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\Desktop\"/>
    </mc:Choice>
  </mc:AlternateContent>
  <xr:revisionPtr revIDLastSave="0" documentId="8_{996D1A0B-2772-472C-91F5-A5B39264A613}" xr6:coauthVersionLast="47" xr6:coauthVersionMax="47" xr10:uidLastSave="{00000000-0000-0000-0000-000000000000}"/>
  <bookViews>
    <workbookView xWindow="5715" yWindow="1470" windowWidth="21600" windowHeight="11835" xr2:uid="{8AF7731B-0917-47F4-A57B-8339B64097B0}"/>
  </bookViews>
  <sheets>
    <sheet name="Sheet1" sheetId="1" r:id="rId1"/>
  </sheets>
  <externalReferences>
    <externalReference r:id="rId2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455" i="1" l="1"/>
  <c r="H2455" i="1"/>
  <c r="I2454" i="1"/>
  <c r="J2454" i="1" s="1"/>
  <c r="G2454" i="1"/>
  <c r="H2454" i="1" s="1"/>
  <c r="E2454" i="1"/>
  <c r="J2453" i="1"/>
  <c r="H2453" i="1"/>
  <c r="I2452" i="1"/>
  <c r="J2452" i="1" s="1"/>
  <c r="G2452" i="1"/>
  <c r="H2452" i="1" s="1"/>
  <c r="E2452" i="1"/>
  <c r="I2451" i="1"/>
  <c r="J2451" i="1" s="1"/>
  <c r="G2451" i="1"/>
  <c r="H2451" i="1" s="1"/>
  <c r="E2451" i="1"/>
  <c r="J2450" i="1"/>
  <c r="H2450" i="1"/>
  <c r="I2449" i="1"/>
  <c r="J2449" i="1" s="1"/>
  <c r="G2449" i="1"/>
  <c r="H2449" i="1" s="1"/>
  <c r="E2449" i="1"/>
  <c r="J2448" i="1"/>
  <c r="H2448" i="1"/>
  <c r="I2447" i="1"/>
  <c r="J2447" i="1" s="1"/>
  <c r="G2447" i="1"/>
  <c r="H2447" i="1" s="1"/>
  <c r="E2447" i="1"/>
  <c r="J2446" i="1"/>
  <c r="H2446" i="1"/>
  <c r="I2445" i="1"/>
  <c r="J2445" i="1" s="1"/>
  <c r="G2445" i="1"/>
  <c r="H2445" i="1" s="1"/>
  <c r="E2445" i="1"/>
  <c r="J2444" i="1"/>
  <c r="H2444" i="1"/>
  <c r="I2443" i="1"/>
  <c r="J2443" i="1" s="1"/>
  <c r="G2443" i="1"/>
  <c r="H2443" i="1" s="1"/>
  <c r="E2443" i="1"/>
  <c r="I2442" i="1"/>
  <c r="J2442" i="1" s="1"/>
  <c r="G2442" i="1"/>
  <c r="H2442" i="1" s="1"/>
  <c r="E2442" i="1"/>
  <c r="I2441" i="1"/>
  <c r="J2441" i="1" s="1"/>
  <c r="G2441" i="1"/>
  <c r="H2441" i="1" s="1"/>
  <c r="E2441" i="1"/>
  <c r="J2440" i="1"/>
  <c r="H2440" i="1"/>
  <c r="I2439" i="1"/>
  <c r="J2439" i="1" s="1"/>
  <c r="G2439" i="1"/>
  <c r="H2439" i="1" s="1"/>
  <c r="E2439" i="1"/>
  <c r="I2438" i="1"/>
  <c r="J2438" i="1" s="1"/>
  <c r="G2438" i="1"/>
  <c r="H2438" i="1" s="1"/>
  <c r="E2438" i="1"/>
  <c r="I2437" i="1"/>
  <c r="J2437" i="1" s="1"/>
  <c r="G2437" i="1"/>
  <c r="H2437" i="1" s="1"/>
  <c r="E2437" i="1"/>
  <c r="I2436" i="1"/>
  <c r="J2436" i="1" s="1"/>
  <c r="J2458" i="1" s="1"/>
  <c r="G2436" i="1"/>
  <c r="H2436" i="1" s="1"/>
  <c r="H2458" i="1" s="1"/>
  <c r="E2436" i="1"/>
  <c r="I2415" i="1"/>
  <c r="J2415" i="1" s="1"/>
  <c r="J2434" i="1" s="1"/>
  <c r="G2415" i="1"/>
  <c r="H2415" i="1" s="1"/>
  <c r="H2434" i="1" s="1"/>
  <c r="E2415" i="1"/>
  <c r="I2397" i="1"/>
  <c r="J2397" i="1" s="1"/>
  <c r="G2397" i="1"/>
  <c r="H2397" i="1" s="1"/>
  <c r="E2397" i="1"/>
  <c r="I2396" i="1"/>
  <c r="J2396" i="1" s="1"/>
  <c r="G2396" i="1"/>
  <c r="H2396" i="1" s="1"/>
  <c r="E2396" i="1"/>
  <c r="I2395" i="1"/>
  <c r="J2395" i="1" s="1"/>
  <c r="G2395" i="1"/>
  <c r="H2395" i="1" s="1"/>
  <c r="E2395" i="1"/>
  <c r="I2394" i="1"/>
  <c r="J2394" i="1" s="1"/>
  <c r="G2394" i="1"/>
  <c r="H2394" i="1" s="1"/>
  <c r="H2413" i="1" s="1"/>
  <c r="E2394" i="1"/>
  <c r="I2374" i="1"/>
  <c r="J2374" i="1" s="1"/>
  <c r="G2374" i="1"/>
  <c r="H2374" i="1" s="1"/>
  <c r="E2374" i="1"/>
  <c r="I2373" i="1"/>
  <c r="J2373" i="1" s="1"/>
  <c r="J2392" i="1" s="1"/>
  <c r="G2373" i="1"/>
  <c r="H2373" i="1" s="1"/>
  <c r="H2392" i="1" s="1"/>
  <c r="E2373" i="1"/>
  <c r="I2360" i="1"/>
  <c r="J2360" i="1" s="1"/>
  <c r="G2360" i="1"/>
  <c r="H2360" i="1" s="1"/>
  <c r="E2360" i="1"/>
  <c r="I2359" i="1"/>
  <c r="J2359" i="1" s="1"/>
  <c r="G2359" i="1"/>
  <c r="H2359" i="1" s="1"/>
  <c r="E2359" i="1"/>
  <c r="I2358" i="1"/>
  <c r="J2358" i="1" s="1"/>
  <c r="G2358" i="1"/>
  <c r="H2358" i="1" s="1"/>
  <c r="E2358" i="1"/>
  <c r="I2357" i="1"/>
  <c r="J2357" i="1" s="1"/>
  <c r="G2357" i="1"/>
  <c r="H2357" i="1" s="1"/>
  <c r="E2357" i="1"/>
  <c r="I2356" i="1"/>
  <c r="J2356" i="1" s="1"/>
  <c r="G2356" i="1"/>
  <c r="H2356" i="1" s="1"/>
  <c r="E2356" i="1"/>
  <c r="I2355" i="1"/>
  <c r="J2355" i="1" s="1"/>
  <c r="G2355" i="1"/>
  <c r="H2355" i="1" s="1"/>
  <c r="E2355" i="1"/>
  <c r="I2354" i="1"/>
  <c r="J2354" i="1" s="1"/>
  <c r="G2354" i="1"/>
  <c r="H2354" i="1" s="1"/>
  <c r="E2354" i="1"/>
  <c r="I2353" i="1"/>
  <c r="J2353" i="1" s="1"/>
  <c r="G2353" i="1"/>
  <c r="H2353" i="1" s="1"/>
  <c r="E2353" i="1"/>
  <c r="I2352" i="1"/>
  <c r="J2352" i="1" s="1"/>
  <c r="J2371" i="1" s="1"/>
  <c r="G2352" i="1"/>
  <c r="H2352" i="1" s="1"/>
  <c r="H2371" i="1" s="1"/>
  <c r="E2352" i="1"/>
  <c r="I2341" i="1"/>
  <c r="J2341" i="1" s="1"/>
  <c r="G2341" i="1"/>
  <c r="H2341" i="1" s="1"/>
  <c r="E2341" i="1"/>
  <c r="I2340" i="1"/>
  <c r="J2340" i="1" s="1"/>
  <c r="G2340" i="1"/>
  <c r="H2340" i="1" s="1"/>
  <c r="E2340" i="1"/>
  <c r="I2339" i="1"/>
  <c r="J2339" i="1" s="1"/>
  <c r="G2339" i="1"/>
  <c r="H2339" i="1" s="1"/>
  <c r="E2339" i="1"/>
  <c r="I2338" i="1"/>
  <c r="J2338" i="1" s="1"/>
  <c r="G2338" i="1"/>
  <c r="H2338" i="1" s="1"/>
  <c r="E2338" i="1"/>
  <c r="I2337" i="1"/>
  <c r="J2337" i="1" s="1"/>
  <c r="G2337" i="1"/>
  <c r="H2337" i="1" s="1"/>
  <c r="E2337" i="1"/>
  <c r="I2336" i="1"/>
  <c r="J2336" i="1" s="1"/>
  <c r="G2336" i="1"/>
  <c r="H2336" i="1" s="1"/>
  <c r="E2336" i="1"/>
  <c r="I2335" i="1"/>
  <c r="J2335" i="1" s="1"/>
  <c r="G2335" i="1"/>
  <c r="H2335" i="1" s="1"/>
  <c r="E2335" i="1"/>
  <c r="I2334" i="1"/>
  <c r="J2334" i="1" s="1"/>
  <c r="G2334" i="1"/>
  <c r="H2334" i="1" s="1"/>
  <c r="E2334" i="1"/>
  <c r="I2333" i="1"/>
  <c r="J2333" i="1" s="1"/>
  <c r="G2333" i="1"/>
  <c r="H2333" i="1" s="1"/>
  <c r="E2333" i="1"/>
  <c r="I2332" i="1"/>
  <c r="J2332" i="1" s="1"/>
  <c r="G2332" i="1"/>
  <c r="H2332" i="1" s="1"/>
  <c r="E2332" i="1"/>
  <c r="I2331" i="1"/>
  <c r="J2331" i="1" s="1"/>
  <c r="J2350" i="1" s="1"/>
  <c r="G2331" i="1"/>
  <c r="H2331" i="1" s="1"/>
  <c r="H2350" i="1" s="1"/>
  <c r="E2331" i="1"/>
  <c r="I2322" i="1"/>
  <c r="J2322" i="1" s="1"/>
  <c r="G2322" i="1"/>
  <c r="H2322" i="1" s="1"/>
  <c r="E2322" i="1"/>
  <c r="I2321" i="1"/>
  <c r="J2321" i="1" s="1"/>
  <c r="G2321" i="1"/>
  <c r="H2321" i="1" s="1"/>
  <c r="F2321" i="1"/>
  <c r="L2321" i="1" s="1"/>
  <c r="E2321" i="1"/>
  <c r="K2321" i="1" s="1"/>
  <c r="I2320" i="1"/>
  <c r="J2320" i="1" s="1"/>
  <c r="G2320" i="1"/>
  <c r="H2320" i="1" s="1"/>
  <c r="E2320" i="1"/>
  <c r="I2319" i="1"/>
  <c r="J2319" i="1" s="1"/>
  <c r="G2319" i="1"/>
  <c r="H2319" i="1" s="1"/>
  <c r="E2319" i="1"/>
  <c r="I2318" i="1"/>
  <c r="J2318" i="1" s="1"/>
  <c r="G2318" i="1"/>
  <c r="H2318" i="1" s="1"/>
  <c r="E2318" i="1"/>
  <c r="I2317" i="1"/>
  <c r="J2317" i="1" s="1"/>
  <c r="G2317" i="1"/>
  <c r="H2317" i="1" s="1"/>
  <c r="E2317" i="1"/>
  <c r="I2316" i="1"/>
  <c r="J2316" i="1" s="1"/>
  <c r="G2316" i="1"/>
  <c r="H2316" i="1" s="1"/>
  <c r="E2316" i="1"/>
  <c r="I2315" i="1"/>
  <c r="J2315" i="1" s="1"/>
  <c r="G2315" i="1"/>
  <c r="H2315" i="1" s="1"/>
  <c r="E2315" i="1"/>
  <c r="I2314" i="1"/>
  <c r="J2314" i="1" s="1"/>
  <c r="G2314" i="1"/>
  <c r="H2314" i="1" s="1"/>
  <c r="E2314" i="1"/>
  <c r="I2313" i="1"/>
  <c r="J2313" i="1" s="1"/>
  <c r="G2313" i="1"/>
  <c r="H2313" i="1" s="1"/>
  <c r="E2313" i="1"/>
  <c r="I2312" i="1"/>
  <c r="J2312" i="1" s="1"/>
  <c r="G2312" i="1"/>
  <c r="H2312" i="1" s="1"/>
  <c r="E2312" i="1"/>
  <c r="I2311" i="1"/>
  <c r="J2311" i="1" s="1"/>
  <c r="G2311" i="1"/>
  <c r="H2311" i="1" s="1"/>
  <c r="E2311" i="1"/>
  <c r="I2310" i="1"/>
  <c r="J2310" i="1" s="1"/>
  <c r="G2310" i="1"/>
  <c r="H2310" i="1" s="1"/>
  <c r="E2310" i="1"/>
  <c r="I2309" i="1"/>
  <c r="J2309" i="1" s="1"/>
  <c r="G2309" i="1"/>
  <c r="H2309" i="1" s="1"/>
  <c r="E2309" i="1"/>
  <c r="I2308" i="1"/>
  <c r="J2308" i="1" s="1"/>
  <c r="G2308" i="1"/>
  <c r="H2308" i="1" s="1"/>
  <c r="E2308" i="1"/>
  <c r="I2307" i="1"/>
  <c r="J2307" i="1" s="1"/>
  <c r="G2307" i="1"/>
  <c r="H2307" i="1" s="1"/>
  <c r="E2307" i="1"/>
  <c r="I2306" i="1"/>
  <c r="J2306" i="1" s="1"/>
  <c r="G2306" i="1"/>
  <c r="H2306" i="1" s="1"/>
  <c r="E2306" i="1"/>
  <c r="I2305" i="1"/>
  <c r="J2305" i="1" s="1"/>
  <c r="G2305" i="1"/>
  <c r="H2305" i="1" s="1"/>
  <c r="E2305" i="1"/>
  <c r="I2304" i="1"/>
  <c r="J2304" i="1" s="1"/>
  <c r="G2304" i="1"/>
  <c r="H2304" i="1" s="1"/>
  <c r="E2304" i="1"/>
  <c r="I2303" i="1"/>
  <c r="J2303" i="1" s="1"/>
  <c r="G2303" i="1"/>
  <c r="H2303" i="1" s="1"/>
  <c r="E2303" i="1"/>
  <c r="I2302" i="1"/>
  <c r="J2302" i="1" s="1"/>
  <c r="G2302" i="1"/>
  <c r="H2302" i="1" s="1"/>
  <c r="E2302" i="1"/>
  <c r="I2301" i="1"/>
  <c r="J2301" i="1" s="1"/>
  <c r="G2301" i="1"/>
  <c r="H2301" i="1" s="1"/>
  <c r="E2301" i="1"/>
  <c r="I2300" i="1"/>
  <c r="J2300" i="1" s="1"/>
  <c r="G2300" i="1"/>
  <c r="H2300" i="1" s="1"/>
  <c r="E2300" i="1"/>
  <c r="I2299" i="1"/>
  <c r="J2299" i="1" s="1"/>
  <c r="H2299" i="1"/>
  <c r="G2299" i="1"/>
  <c r="E2299" i="1"/>
  <c r="I2298" i="1"/>
  <c r="J2298" i="1" s="1"/>
  <c r="G2298" i="1"/>
  <c r="H2298" i="1" s="1"/>
  <c r="E2298" i="1"/>
  <c r="I2297" i="1"/>
  <c r="J2297" i="1" s="1"/>
  <c r="G2297" i="1"/>
  <c r="H2297" i="1" s="1"/>
  <c r="E2297" i="1"/>
  <c r="I2296" i="1"/>
  <c r="J2296" i="1" s="1"/>
  <c r="G2296" i="1"/>
  <c r="H2296" i="1" s="1"/>
  <c r="E2296" i="1"/>
  <c r="I2295" i="1"/>
  <c r="J2295" i="1" s="1"/>
  <c r="H2295" i="1"/>
  <c r="G2295" i="1"/>
  <c r="E2295" i="1"/>
  <c r="I2294" i="1"/>
  <c r="J2294" i="1" s="1"/>
  <c r="G2294" i="1"/>
  <c r="H2294" i="1" s="1"/>
  <c r="E2294" i="1"/>
  <c r="I2293" i="1"/>
  <c r="J2293" i="1" s="1"/>
  <c r="G2293" i="1"/>
  <c r="H2293" i="1" s="1"/>
  <c r="E2293" i="1"/>
  <c r="I2292" i="1"/>
  <c r="J2292" i="1" s="1"/>
  <c r="G2292" i="1"/>
  <c r="H2292" i="1" s="1"/>
  <c r="E2292" i="1"/>
  <c r="I2291" i="1"/>
  <c r="J2291" i="1" s="1"/>
  <c r="G2291" i="1"/>
  <c r="H2291" i="1" s="1"/>
  <c r="E2291" i="1"/>
  <c r="I2290" i="1"/>
  <c r="J2290" i="1" s="1"/>
  <c r="G2290" i="1"/>
  <c r="H2290" i="1" s="1"/>
  <c r="E2290" i="1"/>
  <c r="I2289" i="1"/>
  <c r="J2289" i="1" s="1"/>
  <c r="J2329" i="1" s="1"/>
  <c r="G2289" i="1"/>
  <c r="H2289" i="1" s="1"/>
  <c r="E2289" i="1"/>
  <c r="I2280" i="1"/>
  <c r="J2280" i="1" s="1"/>
  <c r="G2280" i="1"/>
  <c r="F2280" i="1"/>
  <c r="E2280" i="1"/>
  <c r="I2279" i="1"/>
  <c r="J2279" i="1" s="1"/>
  <c r="G2279" i="1"/>
  <c r="H2279" i="1" s="1"/>
  <c r="E2279" i="1"/>
  <c r="I2278" i="1"/>
  <c r="J2278" i="1" s="1"/>
  <c r="G2278" i="1"/>
  <c r="H2278" i="1" s="1"/>
  <c r="E2278" i="1"/>
  <c r="I2277" i="1"/>
  <c r="J2277" i="1" s="1"/>
  <c r="G2277" i="1"/>
  <c r="H2277" i="1" s="1"/>
  <c r="E2277" i="1"/>
  <c r="I2276" i="1"/>
  <c r="J2276" i="1" s="1"/>
  <c r="G2276" i="1"/>
  <c r="H2276" i="1" s="1"/>
  <c r="E2276" i="1"/>
  <c r="I2275" i="1"/>
  <c r="J2275" i="1" s="1"/>
  <c r="G2275" i="1"/>
  <c r="H2275" i="1" s="1"/>
  <c r="E2275" i="1"/>
  <c r="I2274" i="1"/>
  <c r="J2274" i="1" s="1"/>
  <c r="G2274" i="1"/>
  <c r="H2274" i="1" s="1"/>
  <c r="E2274" i="1"/>
  <c r="I2273" i="1"/>
  <c r="J2273" i="1" s="1"/>
  <c r="G2273" i="1"/>
  <c r="H2273" i="1" s="1"/>
  <c r="E2273" i="1"/>
  <c r="I2272" i="1"/>
  <c r="J2272" i="1" s="1"/>
  <c r="G2272" i="1"/>
  <c r="H2272" i="1" s="1"/>
  <c r="E2272" i="1"/>
  <c r="I2271" i="1"/>
  <c r="J2271" i="1" s="1"/>
  <c r="G2271" i="1"/>
  <c r="H2271" i="1" s="1"/>
  <c r="E2271" i="1"/>
  <c r="I2270" i="1"/>
  <c r="J2270" i="1" s="1"/>
  <c r="G2270" i="1"/>
  <c r="H2270" i="1" s="1"/>
  <c r="E2270" i="1"/>
  <c r="I2269" i="1"/>
  <c r="J2269" i="1" s="1"/>
  <c r="G2269" i="1"/>
  <c r="H2269" i="1" s="1"/>
  <c r="E2269" i="1"/>
  <c r="I2268" i="1"/>
  <c r="J2268" i="1" s="1"/>
  <c r="J2287" i="1" s="1"/>
  <c r="G2268" i="1"/>
  <c r="H2268" i="1" s="1"/>
  <c r="E2268" i="1"/>
  <c r="I2248" i="1"/>
  <c r="J2248" i="1" s="1"/>
  <c r="G2248" i="1"/>
  <c r="H2248" i="1" s="1"/>
  <c r="E2248" i="1"/>
  <c r="I2247" i="1"/>
  <c r="J2247" i="1" s="1"/>
  <c r="G2247" i="1"/>
  <c r="H2247" i="1" s="1"/>
  <c r="E2247" i="1"/>
  <c r="I2246" i="1"/>
  <c r="J2246" i="1" s="1"/>
  <c r="G2246" i="1"/>
  <c r="H2246" i="1" s="1"/>
  <c r="E2246" i="1"/>
  <c r="I2245" i="1"/>
  <c r="J2245" i="1" s="1"/>
  <c r="G2245" i="1"/>
  <c r="H2245" i="1" s="1"/>
  <c r="E2245" i="1"/>
  <c r="I2244" i="1"/>
  <c r="J2244" i="1" s="1"/>
  <c r="G2244" i="1"/>
  <c r="H2244" i="1" s="1"/>
  <c r="E2244" i="1"/>
  <c r="I2243" i="1"/>
  <c r="J2243" i="1" s="1"/>
  <c r="G2243" i="1"/>
  <c r="H2243" i="1" s="1"/>
  <c r="E2243" i="1"/>
  <c r="I2242" i="1"/>
  <c r="J2242" i="1" s="1"/>
  <c r="G2242" i="1"/>
  <c r="H2242" i="1" s="1"/>
  <c r="E2242" i="1"/>
  <c r="I2241" i="1"/>
  <c r="J2241" i="1" s="1"/>
  <c r="G2241" i="1"/>
  <c r="H2241" i="1" s="1"/>
  <c r="E2241" i="1"/>
  <c r="I2240" i="1"/>
  <c r="J2240" i="1" s="1"/>
  <c r="G2240" i="1"/>
  <c r="H2240" i="1" s="1"/>
  <c r="E2240" i="1"/>
  <c r="I2239" i="1"/>
  <c r="J2239" i="1" s="1"/>
  <c r="G2239" i="1"/>
  <c r="H2239" i="1" s="1"/>
  <c r="E2239" i="1"/>
  <c r="I2238" i="1"/>
  <c r="J2238" i="1" s="1"/>
  <c r="G2238" i="1"/>
  <c r="H2238" i="1" s="1"/>
  <c r="E2238" i="1"/>
  <c r="I2237" i="1"/>
  <c r="J2237" i="1" s="1"/>
  <c r="G2237" i="1"/>
  <c r="H2237" i="1" s="1"/>
  <c r="E2237" i="1"/>
  <c r="I2236" i="1"/>
  <c r="J2236" i="1" s="1"/>
  <c r="G2236" i="1"/>
  <c r="H2236" i="1" s="1"/>
  <c r="E2236" i="1"/>
  <c r="I2235" i="1"/>
  <c r="J2235" i="1" s="1"/>
  <c r="G2235" i="1"/>
  <c r="H2235" i="1" s="1"/>
  <c r="E2235" i="1"/>
  <c r="I2234" i="1"/>
  <c r="J2234" i="1" s="1"/>
  <c r="G2234" i="1"/>
  <c r="H2234" i="1" s="1"/>
  <c r="E2234" i="1"/>
  <c r="I2233" i="1"/>
  <c r="J2233" i="1" s="1"/>
  <c r="G2233" i="1"/>
  <c r="H2233" i="1" s="1"/>
  <c r="E2233" i="1"/>
  <c r="I2232" i="1"/>
  <c r="J2232" i="1" s="1"/>
  <c r="G2232" i="1"/>
  <c r="H2232" i="1" s="1"/>
  <c r="E2232" i="1"/>
  <c r="I2231" i="1"/>
  <c r="J2231" i="1" s="1"/>
  <c r="G2231" i="1"/>
  <c r="H2231" i="1" s="1"/>
  <c r="E2231" i="1"/>
  <c r="I2230" i="1"/>
  <c r="J2230" i="1" s="1"/>
  <c r="G2230" i="1"/>
  <c r="H2230" i="1" s="1"/>
  <c r="E2230" i="1"/>
  <c r="I2229" i="1"/>
  <c r="J2229" i="1" s="1"/>
  <c r="G2229" i="1"/>
  <c r="H2229" i="1" s="1"/>
  <c r="E2229" i="1"/>
  <c r="I2228" i="1"/>
  <c r="J2228" i="1" s="1"/>
  <c r="G2228" i="1"/>
  <c r="H2228" i="1" s="1"/>
  <c r="E2228" i="1"/>
  <c r="I2227" i="1"/>
  <c r="J2227" i="1" s="1"/>
  <c r="G2227" i="1"/>
  <c r="H2227" i="1" s="1"/>
  <c r="E2227" i="1"/>
  <c r="I2226" i="1"/>
  <c r="J2226" i="1" s="1"/>
  <c r="G2226" i="1"/>
  <c r="H2226" i="1" s="1"/>
  <c r="H2266" i="1" s="1"/>
  <c r="E2226" i="1"/>
  <c r="I2208" i="1"/>
  <c r="J2208" i="1" s="1"/>
  <c r="G2208" i="1"/>
  <c r="H2208" i="1" s="1"/>
  <c r="E2208" i="1"/>
  <c r="I2207" i="1"/>
  <c r="J2207" i="1" s="1"/>
  <c r="G2207" i="1"/>
  <c r="H2207" i="1" s="1"/>
  <c r="E2207" i="1"/>
  <c r="I2206" i="1"/>
  <c r="J2206" i="1" s="1"/>
  <c r="G2206" i="1"/>
  <c r="H2206" i="1" s="1"/>
  <c r="E2206" i="1"/>
  <c r="I2205" i="1"/>
  <c r="J2205" i="1" s="1"/>
  <c r="J2224" i="1" s="1"/>
  <c r="G2205" i="1"/>
  <c r="H2205" i="1" s="1"/>
  <c r="H2224" i="1" s="1"/>
  <c r="E2205" i="1"/>
  <c r="I2184" i="1"/>
  <c r="J2184" i="1" s="1"/>
  <c r="G2184" i="1"/>
  <c r="H2184" i="1" s="1"/>
  <c r="E2184" i="1"/>
  <c r="I2183" i="1"/>
  <c r="J2183" i="1" s="1"/>
  <c r="G2183" i="1"/>
  <c r="H2183" i="1" s="1"/>
  <c r="E2183" i="1"/>
  <c r="I2182" i="1"/>
  <c r="J2182" i="1" s="1"/>
  <c r="G2182" i="1"/>
  <c r="H2182" i="1" s="1"/>
  <c r="E2182" i="1"/>
  <c r="I2181" i="1"/>
  <c r="J2181" i="1" s="1"/>
  <c r="G2181" i="1"/>
  <c r="H2181" i="1" s="1"/>
  <c r="E2181" i="1"/>
  <c r="I2180" i="1"/>
  <c r="J2180" i="1" s="1"/>
  <c r="G2180" i="1"/>
  <c r="H2180" i="1" s="1"/>
  <c r="E2180" i="1"/>
  <c r="I2179" i="1"/>
  <c r="J2179" i="1" s="1"/>
  <c r="G2179" i="1"/>
  <c r="H2179" i="1" s="1"/>
  <c r="E2179" i="1"/>
  <c r="I2178" i="1"/>
  <c r="J2178" i="1" s="1"/>
  <c r="G2178" i="1"/>
  <c r="H2178" i="1" s="1"/>
  <c r="E2178" i="1"/>
  <c r="I2177" i="1"/>
  <c r="J2177" i="1" s="1"/>
  <c r="G2177" i="1"/>
  <c r="H2177" i="1" s="1"/>
  <c r="E2177" i="1"/>
  <c r="I2176" i="1"/>
  <c r="J2176" i="1" s="1"/>
  <c r="G2176" i="1"/>
  <c r="H2176" i="1" s="1"/>
  <c r="E2176" i="1"/>
  <c r="I2175" i="1"/>
  <c r="J2175" i="1" s="1"/>
  <c r="G2175" i="1"/>
  <c r="H2175" i="1" s="1"/>
  <c r="E2175" i="1"/>
  <c r="I2174" i="1"/>
  <c r="J2174" i="1" s="1"/>
  <c r="G2174" i="1"/>
  <c r="H2174" i="1" s="1"/>
  <c r="E2174" i="1"/>
  <c r="I2173" i="1"/>
  <c r="J2173" i="1" s="1"/>
  <c r="G2173" i="1"/>
  <c r="H2173" i="1" s="1"/>
  <c r="E2173" i="1"/>
  <c r="I2172" i="1"/>
  <c r="J2172" i="1" s="1"/>
  <c r="G2172" i="1"/>
  <c r="H2172" i="1" s="1"/>
  <c r="E2172" i="1"/>
  <c r="I2171" i="1"/>
  <c r="J2171" i="1" s="1"/>
  <c r="G2171" i="1"/>
  <c r="H2171" i="1" s="1"/>
  <c r="E2171" i="1"/>
  <c r="I2170" i="1"/>
  <c r="J2170" i="1" s="1"/>
  <c r="G2170" i="1"/>
  <c r="H2170" i="1" s="1"/>
  <c r="E2170" i="1"/>
  <c r="I2169" i="1"/>
  <c r="J2169" i="1" s="1"/>
  <c r="G2169" i="1"/>
  <c r="H2169" i="1" s="1"/>
  <c r="E2169" i="1"/>
  <c r="I2168" i="1"/>
  <c r="J2168" i="1" s="1"/>
  <c r="G2168" i="1"/>
  <c r="H2168" i="1" s="1"/>
  <c r="E2168" i="1"/>
  <c r="I2167" i="1"/>
  <c r="J2167" i="1" s="1"/>
  <c r="G2167" i="1"/>
  <c r="H2167" i="1" s="1"/>
  <c r="E2167" i="1"/>
  <c r="I2166" i="1"/>
  <c r="J2166" i="1" s="1"/>
  <c r="G2166" i="1"/>
  <c r="H2166" i="1" s="1"/>
  <c r="E2166" i="1"/>
  <c r="I2165" i="1"/>
  <c r="J2165" i="1" s="1"/>
  <c r="G2165" i="1"/>
  <c r="H2165" i="1" s="1"/>
  <c r="E2165" i="1"/>
  <c r="I2164" i="1"/>
  <c r="J2164" i="1" s="1"/>
  <c r="G2164" i="1"/>
  <c r="H2164" i="1" s="1"/>
  <c r="E2164" i="1"/>
  <c r="I2163" i="1"/>
  <c r="J2163" i="1" s="1"/>
  <c r="J2203" i="1" s="1"/>
  <c r="G2163" i="1"/>
  <c r="H2163" i="1" s="1"/>
  <c r="H2203" i="1" s="1"/>
  <c r="E2163" i="1"/>
  <c r="I2158" i="1"/>
  <c r="J2158" i="1" s="1"/>
  <c r="G2158" i="1"/>
  <c r="H2158" i="1" s="1"/>
  <c r="E2158" i="1"/>
  <c r="I2157" i="1"/>
  <c r="J2157" i="1" s="1"/>
  <c r="G2157" i="1"/>
  <c r="H2157" i="1" s="1"/>
  <c r="E2157" i="1"/>
  <c r="I2156" i="1"/>
  <c r="J2156" i="1" s="1"/>
  <c r="G2156" i="1"/>
  <c r="H2156" i="1" s="1"/>
  <c r="E2156" i="1"/>
  <c r="I2155" i="1"/>
  <c r="J2155" i="1" s="1"/>
  <c r="G2155" i="1"/>
  <c r="H2155" i="1" s="1"/>
  <c r="E2155" i="1"/>
  <c r="I2154" i="1"/>
  <c r="J2154" i="1" s="1"/>
  <c r="G2154" i="1"/>
  <c r="H2154" i="1" s="1"/>
  <c r="E2154" i="1"/>
  <c r="I2153" i="1"/>
  <c r="J2153" i="1" s="1"/>
  <c r="G2153" i="1"/>
  <c r="H2153" i="1" s="1"/>
  <c r="E2153" i="1"/>
  <c r="I2152" i="1"/>
  <c r="J2152" i="1" s="1"/>
  <c r="G2152" i="1"/>
  <c r="H2152" i="1" s="1"/>
  <c r="E2152" i="1"/>
  <c r="I2151" i="1"/>
  <c r="J2151" i="1" s="1"/>
  <c r="G2151" i="1"/>
  <c r="H2151" i="1" s="1"/>
  <c r="E2151" i="1"/>
  <c r="I2150" i="1"/>
  <c r="J2150" i="1" s="1"/>
  <c r="G2150" i="1"/>
  <c r="H2150" i="1" s="1"/>
  <c r="E2150" i="1"/>
  <c r="I2149" i="1"/>
  <c r="J2149" i="1" s="1"/>
  <c r="G2149" i="1"/>
  <c r="H2149" i="1" s="1"/>
  <c r="E2149" i="1"/>
  <c r="I2148" i="1"/>
  <c r="J2148" i="1" s="1"/>
  <c r="G2148" i="1"/>
  <c r="H2148" i="1" s="1"/>
  <c r="E2148" i="1"/>
  <c r="I2147" i="1"/>
  <c r="J2147" i="1" s="1"/>
  <c r="G2147" i="1"/>
  <c r="H2147" i="1" s="1"/>
  <c r="E2147" i="1"/>
  <c r="I2146" i="1"/>
  <c r="J2146" i="1" s="1"/>
  <c r="G2146" i="1"/>
  <c r="H2146" i="1" s="1"/>
  <c r="E2146" i="1"/>
  <c r="I2145" i="1"/>
  <c r="J2145" i="1" s="1"/>
  <c r="G2145" i="1"/>
  <c r="H2145" i="1" s="1"/>
  <c r="E2145" i="1"/>
  <c r="I2144" i="1"/>
  <c r="J2144" i="1" s="1"/>
  <c r="G2144" i="1"/>
  <c r="H2144" i="1" s="1"/>
  <c r="E2144" i="1"/>
  <c r="I2143" i="1"/>
  <c r="J2143" i="1" s="1"/>
  <c r="G2143" i="1"/>
  <c r="H2143" i="1" s="1"/>
  <c r="E2143" i="1"/>
  <c r="I2142" i="1"/>
  <c r="J2142" i="1" s="1"/>
  <c r="J2161" i="1" s="1"/>
  <c r="G2142" i="1"/>
  <c r="H2142" i="1" s="1"/>
  <c r="H2161" i="1" s="1"/>
  <c r="E2142" i="1"/>
  <c r="I2131" i="1"/>
  <c r="J2131" i="1" s="1"/>
  <c r="H2131" i="1"/>
  <c r="G2131" i="1"/>
  <c r="E2131" i="1"/>
  <c r="I2130" i="1"/>
  <c r="J2130" i="1" s="1"/>
  <c r="G2130" i="1"/>
  <c r="H2130" i="1" s="1"/>
  <c r="E2130" i="1"/>
  <c r="I2129" i="1"/>
  <c r="J2129" i="1" s="1"/>
  <c r="G2129" i="1"/>
  <c r="H2129" i="1" s="1"/>
  <c r="E2129" i="1"/>
  <c r="I2128" i="1"/>
  <c r="G2128" i="1"/>
  <c r="H2128" i="1" s="1"/>
  <c r="E2128" i="1"/>
  <c r="F2128" i="1" s="1"/>
  <c r="I2127" i="1"/>
  <c r="J2127" i="1" s="1"/>
  <c r="G2127" i="1"/>
  <c r="H2127" i="1" s="1"/>
  <c r="E2127" i="1"/>
  <c r="I2126" i="1"/>
  <c r="J2126" i="1" s="1"/>
  <c r="G2126" i="1"/>
  <c r="H2126" i="1" s="1"/>
  <c r="E2126" i="1"/>
  <c r="I2125" i="1"/>
  <c r="J2125" i="1" s="1"/>
  <c r="G2125" i="1"/>
  <c r="H2125" i="1" s="1"/>
  <c r="E2125" i="1"/>
  <c r="I2124" i="1"/>
  <c r="J2124" i="1" s="1"/>
  <c r="G2124" i="1"/>
  <c r="H2124" i="1" s="1"/>
  <c r="E2124" i="1"/>
  <c r="I2123" i="1"/>
  <c r="J2123" i="1" s="1"/>
  <c r="G2123" i="1"/>
  <c r="H2123" i="1" s="1"/>
  <c r="E2123" i="1"/>
  <c r="I2122" i="1"/>
  <c r="J2122" i="1" s="1"/>
  <c r="G2122" i="1"/>
  <c r="H2122" i="1" s="1"/>
  <c r="E2122" i="1"/>
  <c r="I2121" i="1"/>
  <c r="J2121" i="1" s="1"/>
  <c r="G2121" i="1"/>
  <c r="H2121" i="1" s="1"/>
  <c r="H2140" i="1" s="1"/>
  <c r="E2121" i="1"/>
  <c r="I2101" i="1"/>
  <c r="J2101" i="1" s="1"/>
  <c r="G2101" i="1"/>
  <c r="H2101" i="1" s="1"/>
  <c r="E2101" i="1"/>
  <c r="I2100" i="1"/>
  <c r="J2100" i="1" s="1"/>
  <c r="J2119" i="1" s="1"/>
  <c r="G2100" i="1"/>
  <c r="H2100" i="1" s="1"/>
  <c r="H2119" i="1" s="1"/>
  <c r="E2100" i="1"/>
  <c r="I2081" i="1"/>
  <c r="J2081" i="1" s="1"/>
  <c r="G2081" i="1"/>
  <c r="H2081" i="1" s="1"/>
  <c r="E2081" i="1"/>
  <c r="I2080" i="1"/>
  <c r="J2080" i="1" s="1"/>
  <c r="G2080" i="1"/>
  <c r="H2080" i="1" s="1"/>
  <c r="E2080" i="1"/>
  <c r="I2079" i="1"/>
  <c r="J2079" i="1" s="1"/>
  <c r="J2098" i="1" s="1"/>
  <c r="G2079" i="1"/>
  <c r="H2079" i="1" s="1"/>
  <c r="H2098" i="1" s="1"/>
  <c r="E2079" i="1"/>
  <c r="I2057" i="1"/>
  <c r="J2057" i="1" s="1"/>
  <c r="G2057" i="1"/>
  <c r="H2057" i="1" s="1"/>
  <c r="E2057" i="1"/>
  <c r="I2056" i="1"/>
  <c r="J2056" i="1" s="1"/>
  <c r="G2056" i="1"/>
  <c r="H2056" i="1" s="1"/>
  <c r="E2056" i="1"/>
  <c r="I2055" i="1"/>
  <c r="J2055" i="1" s="1"/>
  <c r="G2055" i="1"/>
  <c r="H2055" i="1" s="1"/>
  <c r="E2055" i="1"/>
  <c r="I2054" i="1"/>
  <c r="J2054" i="1" s="1"/>
  <c r="G2054" i="1"/>
  <c r="H2054" i="1" s="1"/>
  <c r="E2054" i="1"/>
  <c r="I2053" i="1"/>
  <c r="J2053" i="1" s="1"/>
  <c r="G2053" i="1"/>
  <c r="H2053" i="1" s="1"/>
  <c r="E2053" i="1"/>
  <c r="I2052" i="1"/>
  <c r="J2052" i="1" s="1"/>
  <c r="G2052" i="1"/>
  <c r="H2052" i="1" s="1"/>
  <c r="E2052" i="1"/>
  <c r="I2051" i="1"/>
  <c r="J2051" i="1" s="1"/>
  <c r="G2051" i="1"/>
  <c r="H2051" i="1" s="1"/>
  <c r="E2051" i="1"/>
  <c r="I2050" i="1"/>
  <c r="J2050" i="1" s="1"/>
  <c r="G2050" i="1"/>
  <c r="H2050" i="1" s="1"/>
  <c r="E2050" i="1"/>
  <c r="I2049" i="1"/>
  <c r="J2049" i="1" s="1"/>
  <c r="G2049" i="1"/>
  <c r="H2049" i="1" s="1"/>
  <c r="E2049" i="1"/>
  <c r="I2048" i="1"/>
  <c r="J2048" i="1" s="1"/>
  <c r="G2048" i="1"/>
  <c r="H2048" i="1" s="1"/>
  <c r="E2048" i="1"/>
  <c r="I2047" i="1"/>
  <c r="J2047" i="1" s="1"/>
  <c r="G2047" i="1"/>
  <c r="H2047" i="1" s="1"/>
  <c r="E2047" i="1"/>
  <c r="I2046" i="1"/>
  <c r="J2046" i="1" s="1"/>
  <c r="G2046" i="1"/>
  <c r="H2046" i="1" s="1"/>
  <c r="E2046" i="1"/>
  <c r="I2045" i="1"/>
  <c r="J2045" i="1" s="1"/>
  <c r="G2045" i="1"/>
  <c r="H2045" i="1" s="1"/>
  <c r="E2045" i="1"/>
  <c r="I2044" i="1"/>
  <c r="J2044" i="1" s="1"/>
  <c r="G2044" i="1"/>
  <c r="H2044" i="1" s="1"/>
  <c r="E2044" i="1"/>
  <c r="I2043" i="1"/>
  <c r="J2043" i="1" s="1"/>
  <c r="G2043" i="1"/>
  <c r="H2043" i="1" s="1"/>
  <c r="E2043" i="1"/>
  <c r="I2042" i="1"/>
  <c r="J2042" i="1" s="1"/>
  <c r="G2042" i="1"/>
  <c r="H2042" i="1" s="1"/>
  <c r="E2042" i="1"/>
  <c r="I2041" i="1"/>
  <c r="J2041" i="1" s="1"/>
  <c r="G2041" i="1"/>
  <c r="H2041" i="1" s="1"/>
  <c r="E2041" i="1"/>
  <c r="I2040" i="1"/>
  <c r="J2040" i="1" s="1"/>
  <c r="G2040" i="1"/>
  <c r="H2040" i="1" s="1"/>
  <c r="E2040" i="1"/>
  <c r="I2039" i="1"/>
  <c r="J2039" i="1" s="1"/>
  <c r="G2039" i="1"/>
  <c r="H2039" i="1" s="1"/>
  <c r="E2039" i="1"/>
  <c r="I2038" i="1"/>
  <c r="J2038" i="1" s="1"/>
  <c r="G2038" i="1"/>
  <c r="H2038" i="1" s="1"/>
  <c r="E2038" i="1"/>
  <c r="I2037" i="1"/>
  <c r="J2037" i="1" s="1"/>
  <c r="J2077" i="1" s="1"/>
  <c r="G2037" i="1"/>
  <c r="H2037" i="1" s="1"/>
  <c r="H2077" i="1" s="1"/>
  <c r="E2037" i="1"/>
  <c r="I2026" i="1"/>
  <c r="J2026" i="1" s="1"/>
  <c r="G2026" i="1"/>
  <c r="H2026" i="1" s="1"/>
  <c r="E2026" i="1"/>
  <c r="I2025" i="1"/>
  <c r="J2025" i="1" s="1"/>
  <c r="G2025" i="1"/>
  <c r="H2025" i="1" s="1"/>
  <c r="E2025" i="1"/>
  <c r="I2024" i="1"/>
  <c r="J2024" i="1" s="1"/>
  <c r="G2024" i="1"/>
  <c r="H2024" i="1" s="1"/>
  <c r="E2024" i="1"/>
  <c r="I2023" i="1"/>
  <c r="J2023" i="1" s="1"/>
  <c r="G2023" i="1"/>
  <c r="H2023" i="1" s="1"/>
  <c r="E2023" i="1"/>
  <c r="I2022" i="1"/>
  <c r="J2022" i="1" s="1"/>
  <c r="G2022" i="1"/>
  <c r="H2022" i="1" s="1"/>
  <c r="E2022" i="1"/>
  <c r="I2021" i="1"/>
  <c r="J2021" i="1" s="1"/>
  <c r="G2021" i="1"/>
  <c r="H2021" i="1" s="1"/>
  <c r="E2021" i="1"/>
  <c r="I2020" i="1"/>
  <c r="J2020" i="1" s="1"/>
  <c r="G2020" i="1"/>
  <c r="H2020" i="1" s="1"/>
  <c r="E2020" i="1"/>
  <c r="I2019" i="1"/>
  <c r="J2019" i="1" s="1"/>
  <c r="G2019" i="1"/>
  <c r="H2019" i="1" s="1"/>
  <c r="E2019" i="1"/>
  <c r="I2018" i="1"/>
  <c r="J2018" i="1" s="1"/>
  <c r="G2018" i="1"/>
  <c r="H2018" i="1" s="1"/>
  <c r="E2018" i="1"/>
  <c r="I2017" i="1"/>
  <c r="J2017" i="1" s="1"/>
  <c r="G2017" i="1"/>
  <c r="H2017" i="1" s="1"/>
  <c r="E2017" i="1"/>
  <c r="I2016" i="1"/>
  <c r="J2016" i="1" s="1"/>
  <c r="J2035" i="1" s="1"/>
  <c r="G2016" i="1"/>
  <c r="H2016" i="1" s="1"/>
  <c r="H2035" i="1" s="1"/>
  <c r="E2016" i="1"/>
  <c r="J2012" i="1"/>
  <c r="H2012" i="1"/>
  <c r="I2011" i="1"/>
  <c r="J2011" i="1" s="1"/>
  <c r="G2011" i="1"/>
  <c r="H2011" i="1" s="1"/>
  <c r="E2011" i="1"/>
  <c r="J2010" i="1"/>
  <c r="H2010" i="1"/>
  <c r="I2009" i="1"/>
  <c r="J2009" i="1" s="1"/>
  <c r="G2009" i="1"/>
  <c r="H2009" i="1" s="1"/>
  <c r="E2009" i="1"/>
  <c r="J2008" i="1"/>
  <c r="H2008" i="1"/>
  <c r="I2007" i="1"/>
  <c r="J2007" i="1" s="1"/>
  <c r="G2007" i="1"/>
  <c r="H2007" i="1" s="1"/>
  <c r="E2007" i="1"/>
  <c r="J2006" i="1"/>
  <c r="H2006" i="1"/>
  <c r="I2005" i="1"/>
  <c r="J2005" i="1" s="1"/>
  <c r="G2005" i="1"/>
  <c r="H2005" i="1" s="1"/>
  <c r="E2005" i="1"/>
  <c r="J2004" i="1"/>
  <c r="H2004" i="1"/>
  <c r="I2003" i="1"/>
  <c r="J2003" i="1" s="1"/>
  <c r="G2003" i="1"/>
  <c r="H2003" i="1" s="1"/>
  <c r="E2003" i="1"/>
  <c r="I2002" i="1"/>
  <c r="J2002" i="1" s="1"/>
  <c r="G2002" i="1"/>
  <c r="H2002" i="1" s="1"/>
  <c r="E2002" i="1"/>
  <c r="I2001" i="1"/>
  <c r="J2001" i="1" s="1"/>
  <c r="G2001" i="1"/>
  <c r="H2001" i="1" s="1"/>
  <c r="E2001" i="1"/>
  <c r="J2000" i="1"/>
  <c r="H2000" i="1"/>
  <c r="I1999" i="1"/>
  <c r="J1999" i="1" s="1"/>
  <c r="G1999" i="1"/>
  <c r="H1999" i="1" s="1"/>
  <c r="E1999" i="1"/>
  <c r="I1998" i="1"/>
  <c r="J1998" i="1" s="1"/>
  <c r="G1998" i="1"/>
  <c r="H1998" i="1" s="1"/>
  <c r="E1998" i="1"/>
  <c r="I1997" i="1"/>
  <c r="J1997" i="1" s="1"/>
  <c r="G1997" i="1"/>
  <c r="H1997" i="1" s="1"/>
  <c r="E1997" i="1"/>
  <c r="I1996" i="1"/>
  <c r="J1996" i="1" s="1"/>
  <c r="H1996" i="1"/>
  <c r="G1996" i="1"/>
  <c r="E1996" i="1"/>
  <c r="I1995" i="1"/>
  <c r="J1995" i="1" s="1"/>
  <c r="G1995" i="1"/>
  <c r="H1995" i="1" s="1"/>
  <c r="E1995" i="1"/>
  <c r="I1975" i="1"/>
  <c r="J1975" i="1" s="1"/>
  <c r="G1975" i="1"/>
  <c r="H1975" i="1" s="1"/>
  <c r="E1975" i="1"/>
  <c r="I1974" i="1"/>
  <c r="J1974" i="1" s="1"/>
  <c r="J1993" i="1" s="1"/>
  <c r="G1974" i="1"/>
  <c r="H1974" i="1" s="1"/>
  <c r="H1993" i="1" s="1"/>
  <c r="E1974" i="1"/>
  <c r="I1957" i="1"/>
  <c r="J1957" i="1" s="1"/>
  <c r="G1957" i="1"/>
  <c r="H1957" i="1" s="1"/>
  <c r="E1957" i="1"/>
  <c r="I1956" i="1"/>
  <c r="J1956" i="1" s="1"/>
  <c r="G1956" i="1"/>
  <c r="H1956" i="1" s="1"/>
  <c r="E1956" i="1"/>
  <c r="I1955" i="1"/>
  <c r="J1955" i="1" s="1"/>
  <c r="G1955" i="1"/>
  <c r="H1955" i="1" s="1"/>
  <c r="E1955" i="1"/>
  <c r="I1954" i="1"/>
  <c r="J1954" i="1" s="1"/>
  <c r="G1954" i="1"/>
  <c r="H1954" i="1" s="1"/>
  <c r="E1954" i="1"/>
  <c r="I1953" i="1"/>
  <c r="J1953" i="1" s="1"/>
  <c r="J1972" i="1" s="1"/>
  <c r="G1953" i="1"/>
  <c r="H1953" i="1" s="1"/>
  <c r="H1972" i="1" s="1"/>
  <c r="E1953" i="1"/>
  <c r="I1933" i="1"/>
  <c r="J1933" i="1" s="1"/>
  <c r="G1933" i="1"/>
  <c r="H1933" i="1" s="1"/>
  <c r="E1933" i="1"/>
  <c r="I1932" i="1"/>
  <c r="J1932" i="1" s="1"/>
  <c r="J1951" i="1" s="1"/>
  <c r="G1932" i="1"/>
  <c r="H1932" i="1" s="1"/>
  <c r="H1951" i="1" s="1"/>
  <c r="E1932" i="1"/>
  <c r="I1916" i="1"/>
  <c r="J1916" i="1" s="1"/>
  <c r="G1916" i="1"/>
  <c r="H1916" i="1" s="1"/>
  <c r="E1916" i="1"/>
  <c r="I1915" i="1"/>
  <c r="J1915" i="1" s="1"/>
  <c r="G1915" i="1"/>
  <c r="H1915" i="1" s="1"/>
  <c r="E1915" i="1"/>
  <c r="I1914" i="1"/>
  <c r="J1914" i="1" s="1"/>
  <c r="G1914" i="1"/>
  <c r="H1914" i="1" s="1"/>
  <c r="E1914" i="1"/>
  <c r="I1913" i="1"/>
  <c r="J1913" i="1" s="1"/>
  <c r="G1913" i="1"/>
  <c r="H1913" i="1" s="1"/>
  <c r="E1913" i="1"/>
  <c r="I1912" i="1"/>
  <c r="J1912" i="1" s="1"/>
  <c r="G1912" i="1"/>
  <c r="H1912" i="1" s="1"/>
  <c r="E1912" i="1"/>
  <c r="I1911" i="1"/>
  <c r="J1911" i="1" s="1"/>
  <c r="J1930" i="1" s="1"/>
  <c r="G1911" i="1"/>
  <c r="H1911" i="1" s="1"/>
  <c r="H1930" i="1" s="1"/>
  <c r="E1911" i="1"/>
  <c r="I1898" i="1"/>
  <c r="J1898" i="1" s="1"/>
  <c r="G1898" i="1"/>
  <c r="H1898" i="1" s="1"/>
  <c r="E1898" i="1"/>
  <c r="I1897" i="1"/>
  <c r="J1897" i="1" s="1"/>
  <c r="G1897" i="1"/>
  <c r="H1897" i="1" s="1"/>
  <c r="E1897" i="1"/>
  <c r="I1896" i="1"/>
  <c r="J1896" i="1" s="1"/>
  <c r="G1896" i="1"/>
  <c r="H1896" i="1" s="1"/>
  <c r="E1896" i="1"/>
  <c r="I1895" i="1"/>
  <c r="J1895" i="1" s="1"/>
  <c r="G1895" i="1"/>
  <c r="H1895" i="1" s="1"/>
  <c r="E1895" i="1"/>
  <c r="I1894" i="1"/>
  <c r="J1894" i="1" s="1"/>
  <c r="G1894" i="1"/>
  <c r="H1894" i="1" s="1"/>
  <c r="E1894" i="1"/>
  <c r="I1893" i="1"/>
  <c r="J1893" i="1" s="1"/>
  <c r="G1893" i="1"/>
  <c r="H1893" i="1" s="1"/>
  <c r="E1893" i="1"/>
  <c r="I1892" i="1"/>
  <c r="J1892" i="1" s="1"/>
  <c r="G1892" i="1"/>
  <c r="H1892" i="1" s="1"/>
  <c r="E1892" i="1"/>
  <c r="I1891" i="1"/>
  <c r="J1891" i="1" s="1"/>
  <c r="G1891" i="1"/>
  <c r="H1891" i="1" s="1"/>
  <c r="E1891" i="1"/>
  <c r="I1890" i="1"/>
  <c r="J1890" i="1" s="1"/>
  <c r="J1909" i="1" s="1"/>
  <c r="G1890" i="1"/>
  <c r="H1890" i="1" s="1"/>
  <c r="H1909" i="1" s="1"/>
  <c r="E1890" i="1"/>
  <c r="I1870" i="1"/>
  <c r="J1870" i="1" s="1"/>
  <c r="G1870" i="1"/>
  <c r="H1870" i="1" s="1"/>
  <c r="E1870" i="1"/>
  <c r="I1869" i="1"/>
  <c r="J1869" i="1" s="1"/>
  <c r="G1869" i="1"/>
  <c r="H1869" i="1" s="1"/>
  <c r="E1869" i="1"/>
  <c r="I1868" i="1"/>
  <c r="J1868" i="1" s="1"/>
  <c r="G1868" i="1"/>
  <c r="H1868" i="1" s="1"/>
  <c r="E1868" i="1"/>
  <c r="I1867" i="1"/>
  <c r="J1867" i="1" s="1"/>
  <c r="G1867" i="1"/>
  <c r="H1867" i="1" s="1"/>
  <c r="E1867" i="1"/>
  <c r="I1866" i="1"/>
  <c r="J1866" i="1" s="1"/>
  <c r="G1866" i="1"/>
  <c r="H1866" i="1" s="1"/>
  <c r="E1866" i="1"/>
  <c r="I1865" i="1"/>
  <c r="J1865" i="1" s="1"/>
  <c r="G1865" i="1"/>
  <c r="H1865" i="1" s="1"/>
  <c r="E1865" i="1"/>
  <c r="I1864" i="1"/>
  <c r="J1864" i="1" s="1"/>
  <c r="G1864" i="1"/>
  <c r="H1864" i="1" s="1"/>
  <c r="E1864" i="1"/>
  <c r="I1863" i="1"/>
  <c r="J1863" i="1" s="1"/>
  <c r="G1863" i="1"/>
  <c r="H1863" i="1" s="1"/>
  <c r="E1863" i="1"/>
  <c r="I1862" i="1"/>
  <c r="J1862" i="1" s="1"/>
  <c r="G1862" i="1"/>
  <c r="H1862" i="1" s="1"/>
  <c r="E1862" i="1"/>
  <c r="I1861" i="1"/>
  <c r="J1861" i="1" s="1"/>
  <c r="G1861" i="1"/>
  <c r="H1861" i="1" s="1"/>
  <c r="E1861" i="1"/>
  <c r="I1860" i="1"/>
  <c r="J1860" i="1" s="1"/>
  <c r="G1860" i="1"/>
  <c r="H1860" i="1" s="1"/>
  <c r="E1860" i="1"/>
  <c r="I1859" i="1"/>
  <c r="J1859" i="1" s="1"/>
  <c r="G1859" i="1"/>
  <c r="H1859" i="1" s="1"/>
  <c r="E1859" i="1"/>
  <c r="I1858" i="1"/>
  <c r="J1858" i="1" s="1"/>
  <c r="G1858" i="1"/>
  <c r="H1858" i="1" s="1"/>
  <c r="E1858" i="1"/>
  <c r="I1857" i="1"/>
  <c r="J1857" i="1" s="1"/>
  <c r="G1857" i="1"/>
  <c r="H1857" i="1" s="1"/>
  <c r="E1857" i="1"/>
  <c r="I1856" i="1"/>
  <c r="J1856" i="1" s="1"/>
  <c r="G1856" i="1"/>
  <c r="H1856" i="1" s="1"/>
  <c r="E1856" i="1"/>
  <c r="I1855" i="1"/>
  <c r="J1855" i="1" s="1"/>
  <c r="G1855" i="1"/>
  <c r="H1855" i="1" s="1"/>
  <c r="E1855" i="1"/>
  <c r="I1854" i="1"/>
  <c r="J1854" i="1" s="1"/>
  <c r="G1854" i="1"/>
  <c r="H1854" i="1" s="1"/>
  <c r="E1854" i="1"/>
  <c r="I1853" i="1"/>
  <c r="J1853" i="1" s="1"/>
  <c r="G1853" i="1"/>
  <c r="H1853" i="1" s="1"/>
  <c r="E1853" i="1"/>
  <c r="I1852" i="1"/>
  <c r="J1852" i="1" s="1"/>
  <c r="G1852" i="1"/>
  <c r="H1852" i="1" s="1"/>
  <c r="E1852" i="1"/>
  <c r="I1851" i="1"/>
  <c r="J1851" i="1" s="1"/>
  <c r="G1851" i="1"/>
  <c r="H1851" i="1" s="1"/>
  <c r="E1851" i="1"/>
  <c r="I1850" i="1"/>
  <c r="J1850" i="1" s="1"/>
  <c r="G1850" i="1"/>
  <c r="H1850" i="1" s="1"/>
  <c r="E1850" i="1"/>
  <c r="I1849" i="1"/>
  <c r="J1849" i="1" s="1"/>
  <c r="G1849" i="1"/>
  <c r="H1849" i="1" s="1"/>
  <c r="E1849" i="1"/>
  <c r="I1848" i="1"/>
  <c r="J1848" i="1" s="1"/>
  <c r="J1888" i="1" s="1"/>
  <c r="G1848" i="1"/>
  <c r="H1848" i="1" s="1"/>
  <c r="H1888" i="1" s="1"/>
  <c r="E1848" i="1"/>
  <c r="I1835" i="1"/>
  <c r="J1835" i="1" s="1"/>
  <c r="G1835" i="1"/>
  <c r="H1835" i="1" s="1"/>
  <c r="E1835" i="1"/>
  <c r="I1834" i="1"/>
  <c r="J1834" i="1" s="1"/>
  <c r="G1834" i="1"/>
  <c r="H1834" i="1" s="1"/>
  <c r="E1834" i="1"/>
  <c r="I1833" i="1"/>
  <c r="J1833" i="1" s="1"/>
  <c r="G1833" i="1"/>
  <c r="H1833" i="1" s="1"/>
  <c r="E1833" i="1"/>
  <c r="I1832" i="1"/>
  <c r="J1832" i="1" s="1"/>
  <c r="G1832" i="1"/>
  <c r="H1832" i="1" s="1"/>
  <c r="E1832" i="1"/>
  <c r="I1831" i="1"/>
  <c r="J1831" i="1" s="1"/>
  <c r="G1831" i="1"/>
  <c r="H1831" i="1" s="1"/>
  <c r="E1831" i="1"/>
  <c r="I1830" i="1"/>
  <c r="J1830" i="1" s="1"/>
  <c r="G1830" i="1"/>
  <c r="H1830" i="1" s="1"/>
  <c r="E1830" i="1"/>
  <c r="I1829" i="1"/>
  <c r="J1829" i="1" s="1"/>
  <c r="G1829" i="1"/>
  <c r="H1829" i="1" s="1"/>
  <c r="E1829" i="1"/>
  <c r="I1828" i="1"/>
  <c r="J1828" i="1" s="1"/>
  <c r="G1828" i="1"/>
  <c r="H1828" i="1" s="1"/>
  <c r="E1828" i="1"/>
  <c r="I1827" i="1"/>
  <c r="J1827" i="1" s="1"/>
  <c r="J1846" i="1" s="1"/>
  <c r="G1827" i="1"/>
  <c r="H1827" i="1" s="1"/>
  <c r="H1846" i="1" s="1"/>
  <c r="E1827" i="1"/>
  <c r="I1807" i="1"/>
  <c r="J1807" i="1" s="1"/>
  <c r="G1807" i="1"/>
  <c r="H1807" i="1" s="1"/>
  <c r="E1807" i="1"/>
  <c r="I1806" i="1"/>
  <c r="J1806" i="1" s="1"/>
  <c r="J1825" i="1" s="1"/>
  <c r="G1806" i="1"/>
  <c r="H1806" i="1" s="1"/>
  <c r="H1825" i="1" s="1"/>
  <c r="E1806" i="1"/>
  <c r="I1800" i="1"/>
  <c r="J1800" i="1" s="1"/>
  <c r="G1800" i="1"/>
  <c r="H1800" i="1" s="1"/>
  <c r="E1800" i="1"/>
  <c r="I1799" i="1"/>
  <c r="J1799" i="1" s="1"/>
  <c r="G1799" i="1"/>
  <c r="H1799" i="1" s="1"/>
  <c r="E1799" i="1"/>
  <c r="I1798" i="1"/>
  <c r="J1798" i="1" s="1"/>
  <c r="G1798" i="1"/>
  <c r="H1798" i="1" s="1"/>
  <c r="E1798" i="1"/>
  <c r="I1797" i="1"/>
  <c r="J1797" i="1" s="1"/>
  <c r="G1797" i="1"/>
  <c r="H1797" i="1" s="1"/>
  <c r="E1797" i="1"/>
  <c r="I1796" i="1"/>
  <c r="J1796" i="1" s="1"/>
  <c r="G1796" i="1"/>
  <c r="H1796" i="1" s="1"/>
  <c r="E1796" i="1"/>
  <c r="I1795" i="1"/>
  <c r="J1795" i="1" s="1"/>
  <c r="G1795" i="1"/>
  <c r="H1795" i="1" s="1"/>
  <c r="E1795" i="1"/>
  <c r="I1794" i="1"/>
  <c r="J1794" i="1" s="1"/>
  <c r="G1794" i="1"/>
  <c r="H1794" i="1" s="1"/>
  <c r="E1794" i="1"/>
  <c r="I1793" i="1"/>
  <c r="J1793" i="1" s="1"/>
  <c r="G1793" i="1"/>
  <c r="H1793" i="1" s="1"/>
  <c r="E1793" i="1"/>
  <c r="I1792" i="1"/>
  <c r="J1792" i="1" s="1"/>
  <c r="G1792" i="1"/>
  <c r="H1792" i="1" s="1"/>
  <c r="E1792" i="1"/>
  <c r="I1791" i="1"/>
  <c r="J1791" i="1" s="1"/>
  <c r="G1791" i="1"/>
  <c r="H1791" i="1" s="1"/>
  <c r="E1791" i="1"/>
  <c r="I1790" i="1"/>
  <c r="J1790" i="1" s="1"/>
  <c r="G1790" i="1"/>
  <c r="H1790" i="1" s="1"/>
  <c r="E1790" i="1"/>
  <c r="I1789" i="1"/>
  <c r="J1789" i="1" s="1"/>
  <c r="G1789" i="1"/>
  <c r="H1789" i="1" s="1"/>
  <c r="E1789" i="1"/>
  <c r="I1788" i="1"/>
  <c r="J1788" i="1" s="1"/>
  <c r="G1788" i="1"/>
  <c r="H1788" i="1" s="1"/>
  <c r="E1788" i="1"/>
  <c r="I1787" i="1"/>
  <c r="J1787" i="1" s="1"/>
  <c r="G1787" i="1"/>
  <c r="H1787" i="1" s="1"/>
  <c r="E1787" i="1"/>
  <c r="I1786" i="1"/>
  <c r="J1786" i="1" s="1"/>
  <c r="G1786" i="1"/>
  <c r="H1786" i="1" s="1"/>
  <c r="E1786" i="1"/>
  <c r="I1785" i="1"/>
  <c r="J1785" i="1" s="1"/>
  <c r="J1804" i="1" s="1"/>
  <c r="G1785" i="1"/>
  <c r="H1785" i="1" s="1"/>
  <c r="H1804" i="1" s="1"/>
  <c r="E1785" i="1"/>
  <c r="I1770" i="1"/>
  <c r="J1770" i="1" s="1"/>
  <c r="G1770" i="1"/>
  <c r="H1770" i="1" s="1"/>
  <c r="E1770" i="1"/>
  <c r="I1769" i="1"/>
  <c r="J1769" i="1" s="1"/>
  <c r="G1769" i="1"/>
  <c r="H1769" i="1" s="1"/>
  <c r="E1769" i="1"/>
  <c r="I1768" i="1"/>
  <c r="J1768" i="1" s="1"/>
  <c r="G1768" i="1"/>
  <c r="H1768" i="1" s="1"/>
  <c r="E1768" i="1"/>
  <c r="I1767" i="1"/>
  <c r="J1767" i="1" s="1"/>
  <c r="G1767" i="1"/>
  <c r="H1767" i="1" s="1"/>
  <c r="E1767" i="1"/>
  <c r="I1766" i="1"/>
  <c r="J1766" i="1" s="1"/>
  <c r="G1766" i="1"/>
  <c r="H1766" i="1" s="1"/>
  <c r="E1766" i="1"/>
  <c r="I1765" i="1"/>
  <c r="J1765" i="1" s="1"/>
  <c r="G1765" i="1"/>
  <c r="H1765" i="1" s="1"/>
  <c r="E1765" i="1"/>
  <c r="I1764" i="1"/>
  <c r="J1764" i="1" s="1"/>
  <c r="J1783" i="1" s="1"/>
  <c r="G1764" i="1"/>
  <c r="H1764" i="1" s="1"/>
  <c r="H1783" i="1" s="1"/>
  <c r="E1764" i="1"/>
  <c r="I1747" i="1"/>
  <c r="J1747" i="1" s="1"/>
  <c r="G1747" i="1"/>
  <c r="H1747" i="1" s="1"/>
  <c r="E1747" i="1"/>
  <c r="I1746" i="1"/>
  <c r="J1746" i="1" s="1"/>
  <c r="G1746" i="1"/>
  <c r="H1746" i="1" s="1"/>
  <c r="E1746" i="1"/>
  <c r="I1745" i="1"/>
  <c r="J1745" i="1" s="1"/>
  <c r="G1745" i="1"/>
  <c r="H1745" i="1" s="1"/>
  <c r="E1745" i="1"/>
  <c r="I1744" i="1"/>
  <c r="J1744" i="1" s="1"/>
  <c r="G1744" i="1"/>
  <c r="H1744" i="1" s="1"/>
  <c r="E1744" i="1"/>
  <c r="I1743" i="1"/>
  <c r="J1743" i="1" s="1"/>
  <c r="J1762" i="1" s="1"/>
  <c r="G1743" i="1"/>
  <c r="H1743" i="1" s="1"/>
  <c r="H1762" i="1" s="1"/>
  <c r="E1743" i="1"/>
  <c r="I1724" i="1"/>
  <c r="J1724" i="1" s="1"/>
  <c r="G1724" i="1"/>
  <c r="H1724" i="1" s="1"/>
  <c r="E1724" i="1"/>
  <c r="I1723" i="1"/>
  <c r="J1723" i="1" s="1"/>
  <c r="G1723" i="1"/>
  <c r="H1723" i="1" s="1"/>
  <c r="E1723" i="1"/>
  <c r="I1722" i="1"/>
  <c r="J1722" i="1" s="1"/>
  <c r="J1741" i="1" s="1"/>
  <c r="G1722" i="1"/>
  <c r="H1722" i="1" s="1"/>
  <c r="H1741" i="1" s="1"/>
  <c r="E1722" i="1"/>
  <c r="I1714" i="1"/>
  <c r="J1714" i="1" s="1"/>
  <c r="G1714" i="1"/>
  <c r="H1714" i="1" s="1"/>
  <c r="E1714" i="1"/>
  <c r="I1713" i="1"/>
  <c r="J1713" i="1" s="1"/>
  <c r="G1713" i="1"/>
  <c r="H1713" i="1" s="1"/>
  <c r="E1713" i="1"/>
  <c r="I1712" i="1"/>
  <c r="J1712" i="1" s="1"/>
  <c r="G1712" i="1"/>
  <c r="H1712" i="1" s="1"/>
  <c r="E1712" i="1"/>
  <c r="I1711" i="1"/>
  <c r="J1711" i="1" s="1"/>
  <c r="G1711" i="1"/>
  <c r="H1711" i="1" s="1"/>
  <c r="E1711" i="1"/>
  <c r="I1710" i="1"/>
  <c r="J1710" i="1" s="1"/>
  <c r="G1710" i="1"/>
  <c r="H1710" i="1" s="1"/>
  <c r="E1710" i="1"/>
  <c r="I1709" i="1"/>
  <c r="J1709" i="1" s="1"/>
  <c r="G1709" i="1"/>
  <c r="H1709" i="1" s="1"/>
  <c r="E1709" i="1"/>
  <c r="I1708" i="1"/>
  <c r="J1708" i="1" s="1"/>
  <c r="G1708" i="1"/>
  <c r="H1708" i="1" s="1"/>
  <c r="E1708" i="1"/>
  <c r="I1707" i="1"/>
  <c r="J1707" i="1" s="1"/>
  <c r="G1707" i="1"/>
  <c r="H1707" i="1" s="1"/>
  <c r="E1707" i="1"/>
  <c r="I1706" i="1"/>
  <c r="J1706" i="1" s="1"/>
  <c r="G1706" i="1"/>
  <c r="H1706" i="1" s="1"/>
  <c r="E1706" i="1"/>
  <c r="K1705" i="1"/>
  <c r="I1705" i="1"/>
  <c r="J1705" i="1" s="1"/>
  <c r="G1705" i="1"/>
  <c r="H1705" i="1" s="1"/>
  <c r="E1705" i="1"/>
  <c r="F1705" i="1" s="1"/>
  <c r="L1705" i="1" s="1"/>
  <c r="I1704" i="1"/>
  <c r="J1704" i="1" s="1"/>
  <c r="G1704" i="1"/>
  <c r="H1704" i="1" s="1"/>
  <c r="E1704" i="1"/>
  <c r="I1703" i="1"/>
  <c r="J1703" i="1" s="1"/>
  <c r="G1703" i="1"/>
  <c r="H1703" i="1" s="1"/>
  <c r="E1703" i="1"/>
  <c r="I1702" i="1"/>
  <c r="J1702" i="1" s="1"/>
  <c r="G1702" i="1"/>
  <c r="H1702" i="1" s="1"/>
  <c r="E1702" i="1"/>
  <c r="I1701" i="1"/>
  <c r="J1701" i="1" s="1"/>
  <c r="G1701" i="1"/>
  <c r="H1701" i="1" s="1"/>
  <c r="E1701" i="1"/>
  <c r="I1680" i="1"/>
  <c r="J1680" i="1" s="1"/>
  <c r="G1680" i="1"/>
  <c r="H1680" i="1" s="1"/>
  <c r="E1680" i="1"/>
  <c r="I1679" i="1"/>
  <c r="J1679" i="1" s="1"/>
  <c r="G1679" i="1"/>
  <c r="H1679" i="1" s="1"/>
  <c r="E1679" i="1"/>
  <c r="I1678" i="1"/>
  <c r="J1678" i="1" s="1"/>
  <c r="G1678" i="1"/>
  <c r="H1678" i="1" s="1"/>
  <c r="E1678" i="1"/>
  <c r="I1677" i="1"/>
  <c r="J1677" i="1" s="1"/>
  <c r="G1677" i="1"/>
  <c r="H1677" i="1" s="1"/>
  <c r="E1677" i="1"/>
  <c r="I1676" i="1"/>
  <c r="J1676" i="1" s="1"/>
  <c r="G1676" i="1"/>
  <c r="H1676" i="1" s="1"/>
  <c r="E1676" i="1"/>
  <c r="I1675" i="1"/>
  <c r="J1675" i="1" s="1"/>
  <c r="G1675" i="1"/>
  <c r="H1675" i="1" s="1"/>
  <c r="E1675" i="1"/>
  <c r="I1674" i="1"/>
  <c r="J1674" i="1" s="1"/>
  <c r="G1674" i="1"/>
  <c r="H1674" i="1" s="1"/>
  <c r="E1674" i="1"/>
  <c r="I1673" i="1"/>
  <c r="J1673" i="1" s="1"/>
  <c r="G1673" i="1"/>
  <c r="H1673" i="1" s="1"/>
  <c r="E1673" i="1"/>
  <c r="I1672" i="1"/>
  <c r="J1672" i="1" s="1"/>
  <c r="G1672" i="1"/>
  <c r="H1672" i="1" s="1"/>
  <c r="E1672" i="1"/>
  <c r="I1671" i="1"/>
  <c r="J1671" i="1" s="1"/>
  <c r="G1671" i="1"/>
  <c r="H1671" i="1" s="1"/>
  <c r="E1671" i="1"/>
  <c r="I1670" i="1"/>
  <c r="J1670" i="1" s="1"/>
  <c r="G1670" i="1"/>
  <c r="H1670" i="1" s="1"/>
  <c r="E1670" i="1"/>
  <c r="I1669" i="1"/>
  <c r="J1669" i="1" s="1"/>
  <c r="G1669" i="1"/>
  <c r="H1669" i="1" s="1"/>
  <c r="E1669" i="1"/>
  <c r="I1668" i="1"/>
  <c r="J1668" i="1" s="1"/>
  <c r="G1668" i="1"/>
  <c r="H1668" i="1" s="1"/>
  <c r="E1668" i="1"/>
  <c r="I1667" i="1"/>
  <c r="J1667" i="1" s="1"/>
  <c r="G1667" i="1"/>
  <c r="H1667" i="1" s="1"/>
  <c r="E1667" i="1"/>
  <c r="I1666" i="1"/>
  <c r="J1666" i="1" s="1"/>
  <c r="G1666" i="1"/>
  <c r="H1666" i="1" s="1"/>
  <c r="E1666" i="1"/>
  <c r="I1665" i="1"/>
  <c r="J1665" i="1" s="1"/>
  <c r="G1665" i="1"/>
  <c r="H1665" i="1" s="1"/>
  <c r="E1665" i="1"/>
  <c r="I1664" i="1"/>
  <c r="J1664" i="1" s="1"/>
  <c r="G1664" i="1"/>
  <c r="H1664" i="1" s="1"/>
  <c r="E1664" i="1"/>
  <c r="I1663" i="1"/>
  <c r="J1663" i="1" s="1"/>
  <c r="G1663" i="1"/>
  <c r="H1663" i="1" s="1"/>
  <c r="E1663" i="1"/>
  <c r="I1662" i="1"/>
  <c r="J1662" i="1" s="1"/>
  <c r="G1662" i="1"/>
  <c r="H1662" i="1" s="1"/>
  <c r="E1662" i="1"/>
  <c r="I1661" i="1"/>
  <c r="J1661" i="1" s="1"/>
  <c r="G1661" i="1"/>
  <c r="H1661" i="1" s="1"/>
  <c r="E1661" i="1"/>
  <c r="I1660" i="1"/>
  <c r="J1660" i="1" s="1"/>
  <c r="G1660" i="1"/>
  <c r="H1660" i="1" s="1"/>
  <c r="E1660" i="1"/>
  <c r="I1659" i="1"/>
  <c r="J1659" i="1" s="1"/>
  <c r="J1699" i="1" s="1"/>
  <c r="G1659" i="1"/>
  <c r="H1659" i="1" s="1"/>
  <c r="H1699" i="1" s="1"/>
  <c r="E1659" i="1"/>
  <c r="I1646" i="1"/>
  <c r="J1646" i="1" s="1"/>
  <c r="G1646" i="1"/>
  <c r="H1646" i="1" s="1"/>
  <c r="E1646" i="1"/>
  <c r="I1645" i="1"/>
  <c r="J1645" i="1" s="1"/>
  <c r="G1645" i="1"/>
  <c r="H1645" i="1" s="1"/>
  <c r="E1645" i="1"/>
  <c r="I1644" i="1"/>
  <c r="J1644" i="1" s="1"/>
  <c r="G1644" i="1"/>
  <c r="H1644" i="1" s="1"/>
  <c r="E1644" i="1"/>
  <c r="I1643" i="1"/>
  <c r="J1643" i="1" s="1"/>
  <c r="G1643" i="1"/>
  <c r="H1643" i="1" s="1"/>
  <c r="E1643" i="1"/>
  <c r="I1642" i="1"/>
  <c r="J1642" i="1" s="1"/>
  <c r="G1642" i="1"/>
  <c r="H1642" i="1" s="1"/>
  <c r="E1642" i="1"/>
  <c r="I1641" i="1"/>
  <c r="J1641" i="1" s="1"/>
  <c r="G1641" i="1"/>
  <c r="H1641" i="1" s="1"/>
  <c r="E1641" i="1"/>
  <c r="I1640" i="1"/>
  <c r="J1640" i="1" s="1"/>
  <c r="G1640" i="1"/>
  <c r="H1640" i="1" s="1"/>
  <c r="E1640" i="1"/>
  <c r="I1639" i="1"/>
  <c r="J1639" i="1" s="1"/>
  <c r="G1639" i="1"/>
  <c r="H1639" i="1" s="1"/>
  <c r="E1639" i="1"/>
  <c r="I1638" i="1"/>
  <c r="J1638" i="1" s="1"/>
  <c r="J1657" i="1" s="1"/>
  <c r="G1638" i="1"/>
  <c r="H1638" i="1" s="1"/>
  <c r="H1657" i="1" s="1"/>
  <c r="E1638" i="1"/>
  <c r="J1616" i="1"/>
  <c r="H1616" i="1"/>
  <c r="I1615" i="1"/>
  <c r="J1615" i="1" s="1"/>
  <c r="G1615" i="1"/>
  <c r="H1615" i="1" s="1"/>
  <c r="E1615" i="1"/>
  <c r="J1614" i="1"/>
  <c r="H1614" i="1"/>
  <c r="I1613" i="1"/>
  <c r="J1613" i="1" s="1"/>
  <c r="G1613" i="1"/>
  <c r="H1613" i="1" s="1"/>
  <c r="E1613" i="1"/>
  <c r="J1612" i="1"/>
  <c r="H1612" i="1"/>
  <c r="I1611" i="1"/>
  <c r="J1611" i="1" s="1"/>
  <c r="G1611" i="1"/>
  <c r="H1611" i="1" s="1"/>
  <c r="E1611" i="1"/>
  <c r="J1610" i="1"/>
  <c r="H1610" i="1"/>
  <c r="I1609" i="1"/>
  <c r="J1609" i="1" s="1"/>
  <c r="G1609" i="1"/>
  <c r="H1609" i="1" s="1"/>
  <c r="E1609" i="1"/>
  <c r="J1608" i="1"/>
  <c r="H1608" i="1"/>
  <c r="I1607" i="1"/>
  <c r="J1607" i="1" s="1"/>
  <c r="G1607" i="1"/>
  <c r="H1607" i="1" s="1"/>
  <c r="E1607" i="1"/>
  <c r="I1606" i="1"/>
  <c r="J1606" i="1" s="1"/>
  <c r="G1606" i="1"/>
  <c r="H1606" i="1" s="1"/>
  <c r="E1606" i="1"/>
  <c r="J1605" i="1"/>
  <c r="H1605" i="1"/>
  <c r="I1604" i="1"/>
  <c r="J1604" i="1" s="1"/>
  <c r="G1604" i="1"/>
  <c r="H1604" i="1" s="1"/>
  <c r="E1604" i="1"/>
  <c r="I1603" i="1"/>
  <c r="J1603" i="1" s="1"/>
  <c r="G1603" i="1"/>
  <c r="H1603" i="1" s="1"/>
  <c r="E1603" i="1"/>
  <c r="I1602" i="1"/>
  <c r="J1602" i="1" s="1"/>
  <c r="G1602" i="1"/>
  <c r="H1602" i="1" s="1"/>
  <c r="E1602" i="1"/>
  <c r="J1601" i="1"/>
  <c r="H1601" i="1"/>
  <c r="I1600" i="1"/>
  <c r="J1600" i="1" s="1"/>
  <c r="G1600" i="1"/>
  <c r="H1600" i="1" s="1"/>
  <c r="E1600" i="1"/>
  <c r="I1599" i="1"/>
  <c r="J1599" i="1" s="1"/>
  <c r="G1599" i="1"/>
  <c r="H1599" i="1" s="1"/>
  <c r="E1599" i="1"/>
  <c r="I1598" i="1"/>
  <c r="J1598" i="1" s="1"/>
  <c r="G1598" i="1"/>
  <c r="H1598" i="1" s="1"/>
  <c r="E1598" i="1"/>
  <c r="I1597" i="1"/>
  <c r="J1597" i="1" s="1"/>
  <c r="G1597" i="1"/>
  <c r="H1597" i="1" s="1"/>
  <c r="E1597" i="1"/>
  <c r="I1596" i="1"/>
  <c r="J1596" i="1" s="1"/>
  <c r="J1636" i="1" s="1"/>
  <c r="G1596" i="1"/>
  <c r="H1596" i="1" s="1"/>
  <c r="H1636" i="1" s="1"/>
  <c r="E1596" i="1"/>
  <c r="I1575" i="1"/>
  <c r="J1575" i="1" s="1"/>
  <c r="J1594" i="1" s="1"/>
  <c r="G1575" i="1"/>
  <c r="H1575" i="1" s="1"/>
  <c r="H1594" i="1" s="1"/>
  <c r="E1575" i="1"/>
  <c r="I1557" i="1"/>
  <c r="J1557" i="1" s="1"/>
  <c r="G1557" i="1"/>
  <c r="H1557" i="1" s="1"/>
  <c r="E1557" i="1"/>
  <c r="I1556" i="1"/>
  <c r="J1556" i="1" s="1"/>
  <c r="G1556" i="1"/>
  <c r="H1556" i="1" s="1"/>
  <c r="E1556" i="1"/>
  <c r="I1555" i="1"/>
  <c r="J1555" i="1" s="1"/>
  <c r="G1555" i="1"/>
  <c r="H1555" i="1" s="1"/>
  <c r="E1555" i="1"/>
  <c r="I1554" i="1"/>
  <c r="J1554" i="1" s="1"/>
  <c r="J1573" i="1" s="1"/>
  <c r="G1554" i="1"/>
  <c r="H1554" i="1" s="1"/>
  <c r="H1573" i="1" s="1"/>
  <c r="E1554" i="1"/>
  <c r="I1534" i="1"/>
  <c r="J1534" i="1" s="1"/>
  <c r="G1534" i="1"/>
  <c r="H1534" i="1" s="1"/>
  <c r="E1534" i="1"/>
  <c r="I1533" i="1"/>
  <c r="J1533" i="1" s="1"/>
  <c r="J1552" i="1" s="1"/>
  <c r="G1533" i="1"/>
  <c r="H1533" i="1" s="1"/>
  <c r="H1552" i="1" s="1"/>
  <c r="E1533" i="1"/>
  <c r="I1521" i="1"/>
  <c r="J1521" i="1" s="1"/>
  <c r="G1521" i="1"/>
  <c r="H1521" i="1" s="1"/>
  <c r="E1521" i="1"/>
  <c r="I1520" i="1"/>
  <c r="J1520" i="1" s="1"/>
  <c r="G1520" i="1"/>
  <c r="H1520" i="1" s="1"/>
  <c r="E1520" i="1"/>
  <c r="I1519" i="1"/>
  <c r="J1519" i="1" s="1"/>
  <c r="G1519" i="1"/>
  <c r="H1519" i="1" s="1"/>
  <c r="E1519" i="1"/>
  <c r="I1518" i="1"/>
  <c r="J1518" i="1" s="1"/>
  <c r="G1518" i="1"/>
  <c r="H1518" i="1" s="1"/>
  <c r="E1518" i="1"/>
  <c r="I1517" i="1"/>
  <c r="J1517" i="1" s="1"/>
  <c r="G1517" i="1"/>
  <c r="H1517" i="1" s="1"/>
  <c r="E1517" i="1"/>
  <c r="I1516" i="1"/>
  <c r="J1516" i="1" s="1"/>
  <c r="G1516" i="1"/>
  <c r="H1516" i="1" s="1"/>
  <c r="E1516" i="1"/>
  <c r="I1515" i="1"/>
  <c r="J1515" i="1" s="1"/>
  <c r="G1515" i="1"/>
  <c r="H1515" i="1" s="1"/>
  <c r="E1515" i="1"/>
  <c r="I1514" i="1"/>
  <c r="J1514" i="1" s="1"/>
  <c r="G1514" i="1"/>
  <c r="H1514" i="1" s="1"/>
  <c r="E1514" i="1"/>
  <c r="I1513" i="1"/>
  <c r="J1513" i="1" s="1"/>
  <c r="G1513" i="1"/>
  <c r="H1513" i="1" s="1"/>
  <c r="E1513" i="1"/>
  <c r="I1512" i="1"/>
  <c r="J1512" i="1" s="1"/>
  <c r="J1531" i="1" s="1"/>
  <c r="G1512" i="1"/>
  <c r="H1512" i="1" s="1"/>
  <c r="H1531" i="1" s="1"/>
  <c r="E1512" i="1"/>
  <c r="I1505" i="1"/>
  <c r="J1505" i="1" s="1"/>
  <c r="G1505" i="1"/>
  <c r="H1505" i="1" s="1"/>
  <c r="E1505" i="1"/>
  <c r="I1504" i="1"/>
  <c r="J1504" i="1" s="1"/>
  <c r="G1504" i="1"/>
  <c r="H1504" i="1" s="1"/>
  <c r="E1504" i="1"/>
  <c r="I1503" i="1"/>
  <c r="J1503" i="1" s="1"/>
  <c r="G1503" i="1"/>
  <c r="H1503" i="1" s="1"/>
  <c r="E1503" i="1"/>
  <c r="I1502" i="1"/>
  <c r="J1502" i="1" s="1"/>
  <c r="G1502" i="1"/>
  <c r="H1502" i="1" s="1"/>
  <c r="E1502" i="1"/>
  <c r="I1501" i="1"/>
  <c r="J1501" i="1" s="1"/>
  <c r="G1501" i="1"/>
  <c r="H1501" i="1" s="1"/>
  <c r="E1501" i="1"/>
  <c r="I1500" i="1"/>
  <c r="J1500" i="1" s="1"/>
  <c r="G1500" i="1"/>
  <c r="H1500" i="1" s="1"/>
  <c r="E1500" i="1"/>
  <c r="I1499" i="1"/>
  <c r="J1499" i="1" s="1"/>
  <c r="G1499" i="1"/>
  <c r="H1499" i="1" s="1"/>
  <c r="E1499" i="1"/>
  <c r="I1498" i="1"/>
  <c r="J1498" i="1" s="1"/>
  <c r="G1498" i="1"/>
  <c r="H1498" i="1" s="1"/>
  <c r="E1498" i="1"/>
  <c r="K1497" i="1"/>
  <c r="I1497" i="1"/>
  <c r="J1497" i="1" s="1"/>
  <c r="G1497" i="1"/>
  <c r="H1497" i="1" s="1"/>
  <c r="E1497" i="1"/>
  <c r="F1497" i="1" s="1"/>
  <c r="L1497" i="1" s="1"/>
  <c r="I1496" i="1"/>
  <c r="J1496" i="1" s="1"/>
  <c r="G1496" i="1"/>
  <c r="H1496" i="1" s="1"/>
  <c r="E1496" i="1"/>
  <c r="I1495" i="1"/>
  <c r="J1495" i="1" s="1"/>
  <c r="G1495" i="1"/>
  <c r="H1495" i="1" s="1"/>
  <c r="E1495" i="1"/>
  <c r="I1494" i="1"/>
  <c r="J1494" i="1" s="1"/>
  <c r="G1494" i="1"/>
  <c r="H1494" i="1" s="1"/>
  <c r="E1494" i="1"/>
  <c r="I1493" i="1"/>
  <c r="J1493" i="1" s="1"/>
  <c r="G1493" i="1"/>
  <c r="H1493" i="1" s="1"/>
  <c r="E1493" i="1"/>
  <c r="I1492" i="1"/>
  <c r="J1492" i="1" s="1"/>
  <c r="G1492" i="1"/>
  <c r="H1492" i="1" s="1"/>
  <c r="E1492" i="1"/>
  <c r="I1491" i="1"/>
  <c r="J1491" i="1" s="1"/>
  <c r="J1510" i="1" s="1"/>
  <c r="G1491" i="1"/>
  <c r="H1491" i="1" s="1"/>
  <c r="H1510" i="1" s="1"/>
  <c r="E1491" i="1"/>
  <c r="I1485" i="1"/>
  <c r="J1485" i="1" s="1"/>
  <c r="G1485" i="1"/>
  <c r="H1485" i="1" s="1"/>
  <c r="E1485" i="1"/>
  <c r="I1484" i="1"/>
  <c r="J1484" i="1" s="1"/>
  <c r="G1484" i="1"/>
  <c r="H1484" i="1" s="1"/>
  <c r="E1484" i="1"/>
  <c r="I1483" i="1"/>
  <c r="J1483" i="1" s="1"/>
  <c r="G1483" i="1"/>
  <c r="H1483" i="1" s="1"/>
  <c r="E1483" i="1"/>
  <c r="I1482" i="1"/>
  <c r="J1482" i="1" s="1"/>
  <c r="G1482" i="1"/>
  <c r="H1482" i="1" s="1"/>
  <c r="E1482" i="1"/>
  <c r="I1481" i="1"/>
  <c r="J1481" i="1" s="1"/>
  <c r="G1481" i="1"/>
  <c r="H1481" i="1" s="1"/>
  <c r="E1481" i="1"/>
  <c r="I1480" i="1"/>
  <c r="J1480" i="1" s="1"/>
  <c r="G1480" i="1"/>
  <c r="H1480" i="1" s="1"/>
  <c r="E1480" i="1"/>
  <c r="I1479" i="1"/>
  <c r="J1479" i="1" s="1"/>
  <c r="G1479" i="1"/>
  <c r="H1479" i="1" s="1"/>
  <c r="E1479" i="1"/>
  <c r="I1478" i="1"/>
  <c r="J1478" i="1" s="1"/>
  <c r="G1478" i="1"/>
  <c r="H1478" i="1" s="1"/>
  <c r="E1478" i="1"/>
  <c r="I1477" i="1"/>
  <c r="J1477" i="1" s="1"/>
  <c r="G1477" i="1"/>
  <c r="H1477" i="1" s="1"/>
  <c r="E1477" i="1"/>
  <c r="I1476" i="1"/>
  <c r="J1476" i="1" s="1"/>
  <c r="G1476" i="1"/>
  <c r="H1476" i="1" s="1"/>
  <c r="E1476" i="1"/>
  <c r="I1475" i="1"/>
  <c r="J1475" i="1" s="1"/>
  <c r="G1475" i="1"/>
  <c r="H1475" i="1" s="1"/>
  <c r="E1475" i="1"/>
  <c r="I1474" i="1"/>
  <c r="J1474" i="1" s="1"/>
  <c r="G1474" i="1"/>
  <c r="H1474" i="1" s="1"/>
  <c r="E1474" i="1"/>
  <c r="I1473" i="1"/>
  <c r="J1473" i="1" s="1"/>
  <c r="G1473" i="1"/>
  <c r="H1473" i="1" s="1"/>
  <c r="E1473" i="1"/>
  <c r="I1472" i="1"/>
  <c r="J1472" i="1" s="1"/>
  <c r="G1472" i="1"/>
  <c r="H1472" i="1" s="1"/>
  <c r="E1472" i="1"/>
  <c r="I1471" i="1"/>
  <c r="J1471" i="1" s="1"/>
  <c r="G1471" i="1"/>
  <c r="H1471" i="1" s="1"/>
  <c r="E1471" i="1"/>
  <c r="I1470" i="1"/>
  <c r="J1470" i="1" s="1"/>
  <c r="G1470" i="1"/>
  <c r="H1470" i="1" s="1"/>
  <c r="E1470" i="1"/>
  <c r="I1469" i="1"/>
  <c r="J1469" i="1" s="1"/>
  <c r="G1469" i="1"/>
  <c r="H1469" i="1" s="1"/>
  <c r="E1469" i="1"/>
  <c r="I1468" i="1"/>
  <c r="J1468" i="1" s="1"/>
  <c r="G1468" i="1"/>
  <c r="H1468" i="1" s="1"/>
  <c r="E1468" i="1"/>
  <c r="I1467" i="1"/>
  <c r="J1467" i="1" s="1"/>
  <c r="G1467" i="1"/>
  <c r="H1467" i="1" s="1"/>
  <c r="E1467" i="1"/>
  <c r="I1466" i="1"/>
  <c r="J1466" i="1" s="1"/>
  <c r="G1466" i="1"/>
  <c r="H1466" i="1" s="1"/>
  <c r="E1466" i="1"/>
  <c r="I1465" i="1"/>
  <c r="J1465" i="1" s="1"/>
  <c r="G1465" i="1"/>
  <c r="H1465" i="1" s="1"/>
  <c r="E1465" i="1"/>
  <c r="I1464" i="1"/>
  <c r="J1464" i="1" s="1"/>
  <c r="G1464" i="1"/>
  <c r="H1464" i="1" s="1"/>
  <c r="E1464" i="1"/>
  <c r="I1463" i="1"/>
  <c r="J1463" i="1" s="1"/>
  <c r="G1463" i="1"/>
  <c r="H1463" i="1" s="1"/>
  <c r="E1463" i="1"/>
  <c r="I1462" i="1"/>
  <c r="J1462" i="1" s="1"/>
  <c r="G1462" i="1"/>
  <c r="H1462" i="1" s="1"/>
  <c r="E1462" i="1"/>
  <c r="I1461" i="1"/>
  <c r="J1461" i="1" s="1"/>
  <c r="G1461" i="1"/>
  <c r="H1461" i="1" s="1"/>
  <c r="E1461" i="1"/>
  <c r="I1460" i="1"/>
  <c r="J1460" i="1" s="1"/>
  <c r="G1460" i="1"/>
  <c r="H1460" i="1" s="1"/>
  <c r="E1460" i="1"/>
  <c r="I1459" i="1"/>
  <c r="J1459" i="1" s="1"/>
  <c r="G1459" i="1"/>
  <c r="H1459" i="1" s="1"/>
  <c r="E1459" i="1"/>
  <c r="I1458" i="1"/>
  <c r="J1458" i="1" s="1"/>
  <c r="G1458" i="1"/>
  <c r="H1458" i="1" s="1"/>
  <c r="E1458" i="1"/>
  <c r="I1457" i="1"/>
  <c r="J1457" i="1" s="1"/>
  <c r="G1457" i="1"/>
  <c r="H1457" i="1" s="1"/>
  <c r="E1457" i="1"/>
  <c r="I1456" i="1"/>
  <c r="J1456" i="1" s="1"/>
  <c r="G1456" i="1"/>
  <c r="H1456" i="1" s="1"/>
  <c r="E1456" i="1"/>
  <c r="I1455" i="1"/>
  <c r="J1455" i="1" s="1"/>
  <c r="G1455" i="1"/>
  <c r="H1455" i="1" s="1"/>
  <c r="E1455" i="1"/>
  <c r="I1454" i="1"/>
  <c r="J1454" i="1" s="1"/>
  <c r="G1454" i="1"/>
  <c r="H1454" i="1" s="1"/>
  <c r="E1454" i="1"/>
  <c r="I1453" i="1"/>
  <c r="J1453" i="1" s="1"/>
  <c r="G1453" i="1"/>
  <c r="H1453" i="1" s="1"/>
  <c r="E1453" i="1"/>
  <c r="I1452" i="1"/>
  <c r="J1452" i="1" s="1"/>
  <c r="G1452" i="1"/>
  <c r="H1452" i="1" s="1"/>
  <c r="E1452" i="1"/>
  <c r="I1451" i="1"/>
  <c r="J1451" i="1" s="1"/>
  <c r="G1451" i="1"/>
  <c r="H1451" i="1" s="1"/>
  <c r="E1451" i="1"/>
  <c r="I1450" i="1"/>
  <c r="J1450" i="1" s="1"/>
  <c r="G1450" i="1"/>
  <c r="H1450" i="1" s="1"/>
  <c r="E1450" i="1"/>
  <c r="I1449" i="1"/>
  <c r="J1449" i="1" s="1"/>
  <c r="G1449" i="1"/>
  <c r="H1449" i="1" s="1"/>
  <c r="E1449" i="1"/>
  <c r="I1448" i="1"/>
  <c r="J1448" i="1" s="1"/>
  <c r="G1448" i="1"/>
  <c r="H1448" i="1" s="1"/>
  <c r="E1448" i="1"/>
  <c r="I1447" i="1"/>
  <c r="J1447" i="1" s="1"/>
  <c r="G1447" i="1"/>
  <c r="H1447" i="1" s="1"/>
  <c r="E1447" i="1"/>
  <c r="I1446" i="1"/>
  <c r="J1446" i="1" s="1"/>
  <c r="G1446" i="1"/>
  <c r="H1446" i="1" s="1"/>
  <c r="E1446" i="1"/>
  <c r="I1445" i="1"/>
  <c r="J1445" i="1" s="1"/>
  <c r="G1445" i="1"/>
  <c r="H1445" i="1" s="1"/>
  <c r="E1445" i="1"/>
  <c r="I1444" i="1"/>
  <c r="J1444" i="1" s="1"/>
  <c r="G1444" i="1"/>
  <c r="H1444" i="1" s="1"/>
  <c r="E1444" i="1"/>
  <c r="I1443" i="1"/>
  <c r="J1443" i="1" s="1"/>
  <c r="G1443" i="1"/>
  <c r="H1443" i="1" s="1"/>
  <c r="E1443" i="1"/>
  <c r="I1442" i="1"/>
  <c r="J1442" i="1" s="1"/>
  <c r="G1442" i="1"/>
  <c r="H1442" i="1" s="1"/>
  <c r="E1442" i="1"/>
  <c r="I1441" i="1"/>
  <c r="J1441" i="1" s="1"/>
  <c r="G1441" i="1"/>
  <c r="H1441" i="1" s="1"/>
  <c r="E1441" i="1"/>
  <c r="I1440" i="1"/>
  <c r="J1440" i="1" s="1"/>
  <c r="G1440" i="1"/>
  <c r="H1440" i="1" s="1"/>
  <c r="E1440" i="1"/>
  <c r="I1439" i="1"/>
  <c r="J1439" i="1" s="1"/>
  <c r="G1439" i="1"/>
  <c r="H1439" i="1" s="1"/>
  <c r="E1439" i="1"/>
  <c r="I1438" i="1"/>
  <c r="J1438" i="1" s="1"/>
  <c r="G1438" i="1"/>
  <c r="H1438" i="1" s="1"/>
  <c r="E1438" i="1"/>
  <c r="I1437" i="1"/>
  <c r="J1437" i="1" s="1"/>
  <c r="G1437" i="1"/>
  <c r="H1437" i="1" s="1"/>
  <c r="E1437" i="1"/>
  <c r="I1436" i="1"/>
  <c r="J1436" i="1" s="1"/>
  <c r="G1436" i="1"/>
  <c r="H1436" i="1" s="1"/>
  <c r="E1436" i="1"/>
  <c r="I1435" i="1"/>
  <c r="J1435" i="1" s="1"/>
  <c r="G1435" i="1"/>
  <c r="H1435" i="1" s="1"/>
  <c r="E1435" i="1"/>
  <c r="I1434" i="1"/>
  <c r="J1434" i="1" s="1"/>
  <c r="G1434" i="1"/>
  <c r="H1434" i="1" s="1"/>
  <c r="E1434" i="1"/>
  <c r="I1433" i="1"/>
  <c r="J1433" i="1" s="1"/>
  <c r="G1433" i="1"/>
  <c r="H1433" i="1" s="1"/>
  <c r="E1433" i="1"/>
  <c r="I1432" i="1"/>
  <c r="J1432" i="1" s="1"/>
  <c r="G1432" i="1"/>
  <c r="H1432" i="1" s="1"/>
  <c r="E1432" i="1"/>
  <c r="I1431" i="1"/>
  <c r="J1431" i="1" s="1"/>
  <c r="G1431" i="1"/>
  <c r="H1431" i="1" s="1"/>
  <c r="E1431" i="1"/>
  <c r="I1430" i="1"/>
  <c r="J1430" i="1" s="1"/>
  <c r="G1430" i="1"/>
  <c r="H1430" i="1" s="1"/>
  <c r="E1430" i="1"/>
  <c r="I1429" i="1"/>
  <c r="J1429" i="1" s="1"/>
  <c r="G1429" i="1"/>
  <c r="H1429" i="1" s="1"/>
  <c r="E1429" i="1"/>
  <c r="I1428" i="1"/>
  <c r="J1428" i="1" s="1"/>
  <c r="G1428" i="1"/>
  <c r="H1428" i="1" s="1"/>
  <c r="E1428" i="1"/>
  <c r="I1419" i="1"/>
  <c r="J1419" i="1" s="1"/>
  <c r="G1419" i="1"/>
  <c r="H1419" i="1" s="1"/>
  <c r="E1419" i="1"/>
  <c r="I1418" i="1"/>
  <c r="J1418" i="1" s="1"/>
  <c r="G1418" i="1"/>
  <c r="H1418" i="1" s="1"/>
  <c r="E1418" i="1"/>
  <c r="I1417" i="1"/>
  <c r="J1417" i="1" s="1"/>
  <c r="G1417" i="1"/>
  <c r="H1417" i="1" s="1"/>
  <c r="E1417" i="1"/>
  <c r="I1416" i="1"/>
  <c r="J1416" i="1" s="1"/>
  <c r="G1416" i="1"/>
  <c r="H1416" i="1" s="1"/>
  <c r="E1416" i="1"/>
  <c r="I1415" i="1"/>
  <c r="J1415" i="1" s="1"/>
  <c r="G1415" i="1"/>
  <c r="H1415" i="1" s="1"/>
  <c r="E1415" i="1"/>
  <c r="I1414" i="1"/>
  <c r="J1414" i="1" s="1"/>
  <c r="G1414" i="1"/>
  <c r="H1414" i="1" s="1"/>
  <c r="E1414" i="1"/>
  <c r="I1413" i="1"/>
  <c r="J1413" i="1" s="1"/>
  <c r="G1413" i="1"/>
  <c r="H1413" i="1" s="1"/>
  <c r="E1413" i="1"/>
  <c r="I1412" i="1"/>
  <c r="J1412" i="1" s="1"/>
  <c r="G1412" i="1"/>
  <c r="H1412" i="1" s="1"/>
  <c r="E1412" i="1"/>
  <c r="I1411" i="1"/>
  <c r="J1411" i="1" s="1"/>
  <c r="G1411" i="1"/>
  <c r="H1411" i="1" s="1"/>
  <c r="E1411" i="1"/>
  <c r="I1410" i="1"/>
  <c r="J1410" i="1" s="1"/>
  <c r="G1410" i="1"/>
  <c r="H1410" i="1" s="1"/>
  <c r="E1410" i="1"/>
  <c r="I1409" i="1"/>
  <c r="J1409" i="1" s="1"/>
  <c r="G1409" i="1"/>
  <c r="H1409" i="1" s="1"/>
  <c r="E1409" i="1"/>
  <c r="I1408" i="1"/>
  <c r="J1408" i="1" s="1"/>
  <c r="G1408" i="1"/>
  <c r="H1408" i="1" s="1"/>
  <c r="E1408" i="1"/>
  <c r="I1407" i="1"/>
  <c r="J1407" i="1" s="1"/>
  <c r="J1426" i="1" s="1"/>
  <c r="G1407" i="1"/>
  <c r="H1407" i="1" s="1"/>
  <c r="H1426" i="1" s="1"/>
  <c r="E1407" i="1"/>
  <c r="I1402" i="1"/>
  <c r="J1402" i="1" s="1"/>
  <c r="G1402" i="1"/>
  <c r="H1402" i="1" s="1"/>
  <c r="E1402" i="1"/>
  <c r="I1401" i="1"/>
  <c r="J1401" i="1" s="1"/>
  <c r="G1401" i="1"/>
  <c r="H1401" i="1" s="1"/>
  <c r="E1401" i="1"/>
  <c r="I1400" i="1"/>
  <c r="J1400" i="1" s="1"/>
  <c r="G1400" i="1"/>
  <c r="H1400" i="1" s="1"/>
  <c r="E1400" i="1"/>
  <c r="I1399" i="1"/>
  <c r="J1399" i="1" s="1"/>
  <c r="G1399" i="1"/>
  <c r="H1399" i="1" s="1"/>
  <c r="E1399" i="1"/>
  <c r="I1398" i="1"/>
  <c r="J1398" i="1" s="1"/>
  <c r="G1398" i="1"/>
  <c r="F1398" i="1"/>
  <c r="E1398" i="1"/>
  <c r="I1397" i="1"/>
  <c r="J1397" i="1" s="1"/>
  <c r="G1397" i="1"/>
  <c r="H1397" i="1" s="1"/>
  <c r="E1397" i="1"/>
  <c r="I1396" i="1"/>
  <c r="J1396" i="1" s="1"/>
  <c r="G1396" i="1"/>
  <c r="H1396" i="1" s="1"/>
  <c r="E1396" i="1"/>
  <c r="I1395" i="1"/>
  <c r="J1395" i="1" s="1"/>
  <c r="G1395" i="1"/>
  <c r="H1395" i="1" s="1"/>
  <c r="E1395" i="1"/>
  <c r="I1394" i="1"/>
  <c r="J1394" i="1" s="1"/>
  <c r="G1394" i="1"/>
  <c r="H1394" i="1" s="1"/>
  <c r="E1394" i="1"/>
  <c r="I1393" i="1"/>
  <c r="J1393" i="1" s="1"/>
  <c r="G1393" i="1"/>
  <c r="H1393" i="1" s="1"/>
  <c r="E1393" i="1"/>
  <c r="I1392" i="1"/>
  <c r="J1392" i="1" s="1"/>
  <c r="G1392" i="1"/>
  <c r="H1392" i="1" s="1"/>
  <c r="E1392" i="1"/>
  <c r="I1391" i="1"/>
  <c r="J1391" i="1" s="1"/>
  <c r="G1391" i="1"/>
  <c r="H1391" i="1" s="1"/>
  <c r="E1391" i="1"/>
  <c r="I1390" i="1"/>
  <c r="J1390" i="1" s="1"/>
  <c r="G1390" i="1"/>
  <c r="H1390" i="1" s="1"/>
  <c r="E1390" i="1"/>
  <c r="I1389" i="1"/>
  <c r="J1389" i="1" s="1"/>
  <c r="G1389" i="1"/>
  <c r="H1389" i="1" s="1"/>
  <c r="E1389" i="1"/>
  <c r="I1388" i="1"/>
  <c r="J1388" i="1" s="1"/>
  <c r="G1388" i="1"/>
  <c r="H1388" i="1" s="1"/>
  <c r="E1388" i="1"/>
  <c r="I1387" i="1"/>
  <c r="J1387" i="1" s="1"/>
  <c r="G1387" i="1"/>
  <c r="H1387" i="1" s="1"/>
  <c r="E1387" i="1"/>
  <c r="I1386" i="1"/>
  <c r="J1386" i="1" s="1"/>
  <c r="J1405" i="1" s="1"/>
  <c r="G1386" i="1"/>
  <c r="H1386" i="1" s="1"/>
  <c r="E1386" i="1"/>
  <c r="I1368" i="1"/>
  <c r="J1368" i="1" s="1"/>
  <c r="G1368" i="1"/>
  <c r="H1368" i="1" s="1"/>
  <c r="E1368" i="1"/>
  <c r="I1367" i="1"/>
  <c r="J1367" i="1" s="1"/>
  <c r="G1367" i="1"/>
  <c r="H1367" i="1" s="1"/>
  <c r="E1367" i="1"/>
  <c r="I1366" i="1"/>
  <c r="J1366" i="1" s="1"/>
  <c r="G1366" i="1"/>
  <c r="H1366" i="1" s="1"/>
  <c r="E1366" i="1"/>
  <c r="I1365" i="1"/>
  <c r="J1365" i="1" s="1"/>
  <c r="J1384" i="1" s="1"/>
  <c r="G1365" i="1"/>
  <c r="H1365" i="1" s="1"/>
  <c r="H1384" i="1" s="1"/>
  <c r="E1365" i="1"/>
  <c r="I1362" i="1"/>
  <c r="J1362" i="1" s="1"/>
  <c r="G1362" i="1"/>
  <c r="H1362" i="1" s="1"/>
  <c r="E1362" i="1"/>
  <c r="I1361" i="1"/>
  <c r="J1361" i="1" s="1"/>
  <c r="G1361" i="1"/>
  <c r="H1361" i="1" s="1"/>
  <c r="E1361" i="1"/>
  <c r="I1360" i="1"/>
  <c r="J1360" i="1" s="1"/>
  <c r="G1360" i="1"/>
  <c r="H1360" i="1" s="1"/>
  <c r="E1360" i="1"/>
  <c r="I1359" i="1"/>
  <c r="J1359" i="1" s="1"/>
  <c r="G1359" i="1"/>
  <c r="H1359" i="1" s="1"/>
  <c r="E1359" i="1"/>
  <c r="I1358" i="1"/>
  <c r="J1358" i="1" s="1"/>
  <c r="G1358" i="1"/>
  <c r="H1358" i="1" s="1"/>
  <c r="E1358" i="1"/>
  <c r="I1357" i="1"/>
  <c r="J1357" i="1" s="1"/>
  <c r="G1357" i="1"/>
  <c r="H1357" i="1" s="1"/>
  <c r="E1357" i="1"/>
  <c r="I1356" i="1"/>
  <c r="J1356" i="1" s="1"/>
  <c r="G1356" i="1"/>
  <c r="H1356" i="1" s="1"/>
  <c r="E1356" i="1"/>
  <c r="I1355" i="1"/>
  <c r="J1355" i="1" s="1"/>
  <c r="G1355" i="1"/>
  <c r="H1355" i="1" s="1"/>
  <c r="E1355" i="1"/>
  <c r="I1354" i="1"/>
  <c r="J1354" i="1" s="1"/>
  <c r="G1354" i="1"/>
  <c r="H1354" i="1" s="1"/>
  <c r="E1354" i="1"/>
  <c r="I1353" i="1"/>
  <c r="J1353" i="1" s="1"/>
  <c r="G1353" i="1"/>
  <c r="H1353" i="1" s="1"/>
  <c r="E1353" i="1"/>
  <c r="I1352" i="1"/>
  <c r="J1352" i="1" s="1"/>
  <c r="G1352" i="1"/>
  <c r="H1352" i="1" s="1"/>
  <c r="E1352" i="1"/>
  <c r="I1351" i="1"/>
  <c r="J1351" i="1" s="1"/>
  <c r="G1351" i="1"/>
  <c r="H1351" i="1" s="1"/>
  <c r="E1351" i="1"/>
  <c r="I1350" i="1"/>
  <c r="J1350" i="1" s="1"/>
  <c r="G1350" i="1"/>
  <c r="H1350" i="1" s="1"/>
  <c r="E1350" i="1"/>
  <c r="I1349" i="1"/>
  <c r="J1349" i="1" s="1"/>
  <c r="G1349" i="1"/>
  <c r="H1349" i="1" s="1"/>
  <c r="E1349" i="1"/>
  <c r="I1348" i="1"/>
  <c r="J1348" i="1" s="1"/>
  <c r="G1348" i="1"/>
  <c r="H1348" i="1" s="1"/>
  <c r="E1348" i="1"/>
  <c r="I1347" i="1"/>
  <c r="J1347" i="1" s="1"/>
  <c r="G1347" i="1"/>
  <c r="H1347" i="1" s="1"/>
  <c r="E1347" i="1"/>
  <c r="I1346" i="1"/>
  <c r="J1346" i="1" s="1"/>
  <c r="G1346" i="1"/>
  <c r="H1346" i="1" s="1"/>
  <c r="E1346" i="1"/>
  <c r="I1345" i="1"/>
  <c r="J1345" i="1" s="1"/>
  <c r="G1345" i="1"/>
  <c r="H1345" i="1" s="1"/>
  <c r="E1345" i="1"/>
  <c r="I1344" i="1"/>
  <c r="J1344" i="1" s="1"/>
  <c r="J1363" i="1" s="1"/>
  <c r="G1344" i="1"/>
  <c r="H1344" i="1" s="1"/>
  <c r="H1363" i="1" s="1"/>
  <c r="E1344" i="1"/>
  <c r="I1339" i="1"/>
  <c r="J1339" i="1" s="1"/>
  <c r="G1339" i="1"/>
  <c r="H1339" i="1" s="1"/>
  <c r="E1339" i="1"/>
  <c r="I1338" i="1"/>
  <c r="J1338" i="1" s="1"/>
  <c r="G1338" i="1"/>
  <c r="H1338" i="1" s="1"/>
  <c r="E1338" i="1"/>
  <c r="I1337" i="1"/>
  <c r="J1337" i="1" s="1"/>
  <c r="G1337" i="1"/>
  <c r="H1337" i="1" s="1"/>
  <c r="E1337" i="1"/>
  <c r="I1336" i="1"/>
  <c r="J1336" i="1" s="1"/>
  <c r="G1336" i="1"/>
  <c r="H1336" i="1" s="1"/>
  <c r="E1336" i="1"/>
  <c r="I1335" i="1"/>
  <c r="J1335" i="1" s="1"/>
  <c r="G1335" i="1"/>
  <c r="H1335" i="1" s="1"/>
  <c r="E1335" i="1"/>
  <c r="I1334" i="1"/>
  <c r="J1334" i="1" s="1"/>
  <c r="G1334" i="1"/>
  <c r="H1334" i="1" s="1"/>
  <c r="E1334" i="1"/>
  <c r="I1333" i="1"/>
  <c r="J1333" i="1" s="1"/>
  <c r="G1333" i="1"/>
  <c r="H1333" i="1" s="1"/>
  <c r="E1333" i="1"/>
  <c r="I1332" i="1"/>
  <c r="J1332" i="1" s="1"/>
  <c r="G1332" i="1"/>
  <c r="H1332" i="1" s="1"/>
  <c r="E1332" i="1"/>
  <c r="I1331" i="1"/>
  <c r="J1331" i="1" s="1"/>
  <c r="G1331" i="1"/>
  <c r="H1331" i="1" s="1"/>
  <c r="E1331" i="1"/>
  <c r="I1330" i="1"/>
  <c r="J1330" i="1" s="1"/>
  <c r="G1330" i="1"/>
  <c r="H1330" i="1" s="1"/>
  <c r="E1330" i="1"/>
  <c r="I1329" i="1"/>
  <c r="J1329" i="1" s="1"/>
  <c r="G1329" i="1"/>
  <c r="H1329" i="1" s="1"/>
  <c r="E1329" i="1"/>
  <c r="I1328" i="1"/>
  <c r="J1328" i="1" s="1"/>
  <c r="G1328" i="1"/>
  <c r="H1328" i="1" s="1"/>
  <c r="E1328" i="1"/>
  <c r="I1327" i="1"/>
  <c r="J1327" i="1" s="1"/>
  <c r="G1327" i="1"/>
  <c r="H1327" i="1" s="1"/>
  <c r="E1327" i="1"/>
  <c r="I1326" i="1"/>
  <c r="J1326" i="1" s="1"/>
  <c r="G1326" i="1"/>
  <c r="H1326" i="1" s="1"/>
  <c r="E1326" i="1"/>
  <c r="I1325" i="1"/>
  <c r="J1325" i="1" s="1"/>
  <c r="G1325" i="1"/>
  <c r="H1325" i="1" s="1"/>
  <c r="E1325" i="1"/>
  <c r="I1324" i="1"/>
  <c r="J1324" i="1" s="1"/>
  <c r="G1324" i="1"/>
  <c r="H1324" i="1" s="1"/>
  <c r="E1324" i="1"/>
  <c r="I1323" i="1"/>
  <c r="J1323" i="1" s="1"/>
  <c r="J1342" i="1" s="1"/>
  <c r="G1323" i="1"/>
  <c r="H1323" i="1" s="1"/>
  <c r="H1342" i="1" s="1"/>
  <c r="E1323" i="1"/>
  <c r="I1306" i="1"/>
  <c r="J1306" i="1" s="1"/>
  <c r="G1306" i="1"/>
  <c r="H1306" i="1" s="1"/>
  <c r="E1306" i="1"/>
  <c r="I1305" i="1"/>
  <c r="J1305" i="1" s="1"/>
  <c r="G1305" i="1"/>
  <c r="H1305" i="1" s="1"/>
  <c r="E1305" i="1"/>
  <c r="I1304" i="1"/>
  <c r="J1304" i="1" s="1"/>
  <c r="G1304" i="1"/>
  <c r="H1304" i="1" s="1"/>
  <c r="E1304" i="1"/>
  <c r="I1303" i="1"/>
  <c r="J1303" i="1" s="1"/>
  <c r="G1303" i="1"/>
  <c r="H1303" i="1" s="1"/>
  <c r="E1303" i="1"/>
  <c r="I1302" i="1"/>
  <c r="J1302" i="1" s="1"/>
  <c r="J1321" i="1" s="1"/>
  <c r="G1302" i="1"/>
  <c r="H1302" i="1" s="1"/>
  <c r="H1321" i="1" s="1"/>
  <c r="E1302" i="1"/>
  <c r="I1282" i="1"/>
  <c r="J1282" i="1" s="1"/>
  <c r="G1282" i="1"/>
  <c r="H1282" i="1" s="1"/>
  <c r="E1282" i="1"/>
  <c r="I1281" i="1"/>
  <c r="J1281" i="1" s="1"/>
  <c r="J1300" i="1" s="1"/>
  <c r="G1281" i="1"/>
  <c r="H1281" i="1" s="1"/>
  <c r="H1300" i="1" s="1"/>
  <c r="E1281" i="1"/>
  <c r="I1272" i="1"/>
  <c r="J1272" i="1" s="1"/>
  <c r="G1272" i="1"/>
  <c r="H1272" i="1" s="1"/>
  <c r="E1272" i="1"/>
  <c r="I1271" i="1"/>
  <c r="J1271" i="1" s="1"/>
  <c r="G1271" i="1"/>
  <c r="H1271" i="1" s="1"/>
  <c r="E1271" i="1"/>
  <c r="I1270" i="1"/>
  <c r="J1270" i="1" s="1"/>
  <c r="G1270" i="1"/>
  <c r="H1270" i="1" s="1"/>
  <c r="E1270" i="1"/>
  <c r="I1269" i="1"/>
  <c r="J1269" i="1" s="1"/>
  <c r="G1269" i="1"/>
  <c r="H1269" i="1" s="1"/>
  <c r="E1269" i="1"/>
  <c r="I1268" i="1"/>
  <c r="J1268" i="1" s="1"/>
  <c r="G1268" i="1"/>
  <c r="H1268" i="1" s="1"/>
  <c r="E1268" i="1"/>
  <c r="I1267" i="1"/>
  <c r="J1267" i="1" s="1"/>
  <c r="G1267" i="1"/>
  <c r="H1267" i="1" s="1"/>
  <c r="E1267" i="1"/>
  <c r="I1266" i="1"/>
  <c r="J1266" i="1" s="1"/>
  <c r="G1266" i="1"/>
  <c r="H1266" i="1" s="1"/>
  <c r="E1266" i="1"/>
  <c r="I1265" i="1"/>
  <c r="J1265" i="1" s="1"/>
  <c r="G1265" i="1"/>
  <c r="H1265" i="1" s="1"/>
  <c r="E1265" i="1"/>
  <c r="I1264" i="1"/>
  <c r="J1264" i="1" s="1"/>
  <c r="G1264" i="1"/>
  <c r="H1264" i="1" s="1"/>
  <c r="E1264" i="1"/>
  <c r="I1263" i="1"/>
  <c r="J1263" i="1" s="1"/>
  <c r="G1263" i="1"/>
  <c r="H1263" i="1" s="1"/>
  <c r="E1263" i="1"/>
  <c r="I1262" i="1"/>
  <c r="J1262" i="1" s="1"/>
  <c r="G1262" i="1"/>
  <c r="H1262" i="1" s="1"/>
  <c r="E1262" i="1"/>
  <c r="I1261" i="1"/>
  <c r="J1261" i="1" s="1"/>
  <c r="G1261" i="1"/>
  <c r="H1261" i="1" s="1"/>
  <c r="E1261" i="1"/>
  <c r="I1260" i="1"/>
  <c r="J1260" i="1" s="1"/>
  <c r="J1279" i="1" s="1"/>
  <c r="G1260" i="1"/>
  <c r="H1260" i="1" s="1"/>
  <c r="H1279" i="1" s="1"/>
  <c r="E1260" i="1"/>
  <c r="I1238" i="1"/>
  <c r="J1238" i="1" s="1"/>
  <c r="G1238" i="1"/>
  <c r="H1238" i="1" s="1"/>
  <c r="E1238" i="1"/>
  <c r="I1237" i="1"/>
  <c r="J1237" i="1" s="1"/>
  <c r="G1237" i="1"/>
  <c r="H1237" i="1" s="1"/>
  <c r="E1237" i="1"/>
  <c r="I1236" i="1"/>
  <c r="J1236" i="1" s="1"/>
  <c r="G1236" i="1"/>
  <c r="H1236" i="1" s="1"/>
  <c r="E1236" i="1"/>
  <c r="I1235" i="1"/>
  <c r="J1235" i="1" s="1"/>
  <c r="G1235" i="1"/>
  <c r="H1235" i="1" s="1"/>
  <c r="E1235" i="1"/>
  <c r="I1234" i="1"/>
  <c r="J1234" i="1" s="1"/>
  <c r="G1234" i="1"/>
  <c r="H1234" i="1" s="1"/>
  <c r="E1234" i="1"/>
  <c r="I1233" i="1"/>
  <c r="J1233" i="1" s="1"/>
  <c r="G1233" i="1"/>
  <c r="H1233" i="1" s="1"/>
  <c r="E1233" i="1"/>
  <c r="I1232" i="1"/>
  <c r="J1232" i="1" s="1"/>
  <c r="G1232" i="1"/>
  <c r="H1232" i="1" s="1"/>
  <c r="E1232" i="1"/>
  <c r="I1231" i="1"/>
  <c r="J1231" i="1" s="1"/>
  <c r="G1231" i="1"/>
  <c r="H1231" i="1" s="1"/>
  <c r="E1231" i="1"/>
  <c r="I1230" i="1"/>
  <c r="G1230" i="1"/>
  <c r="H1230" i="1" s="1"/>
  <c r="E1230" i="1"/>
  <c r="F1230" i="1" s="1"/>
  <c r="I1229" i="1"/>
  <c r="J1229" i="1" s="1"/>
  <c r="G1229" i="1"/>
  <c r="H1229" i="1" s="1"/>
  <c r="E1229" i="1"/>
  <c r="I1228" i="1"/>
  <c r="J1228" i="1" s="1"/>
  <c r="G1228" i="1"/>
  <c r="H1228" i="1" s="1"/>
  <c r="E1228" i="1"/>
  <c r="I1227" i="1"/>
  <c r="J1227" i="1" s="1"/>
  <c r="G1227" i="1"/>
  <c r="H1227" i="1" s="1"/>
  <c r="E1227" i="1"/>
  <c r="I1226" i="1"/>
  <c r="J1226" i="1" s="1"/>
  <c r="G1226" i="1"/>
  <c r="H1226" i="1" s="1"/>
  <c r="E1226" i="1"/>
  <c r="I1225" i="1"/>
  <c r="J1225" i="1" s="1"/>
  <c r="G1225" i="1"/>
  <c r="H1225" i="1" s="1"/>
  <c r="E1225" i="1"/>
  <c r="I1224" i="1"/>
  <c r="J1224" i="1" s="1"/>
  <c r="G1224" i="1"/>
  <c r="H1224" i="1" s="1"/>
  <c r="E1224" i="1"/>
  <c r="I1223" i="1"/>
  <c r="J1223" i="1" s="1"/>
  <c r="G1223" i="1"/>
  <c r="H1223" i="1" s="1"/>
  <c r="E1223" i="1"/>
  <c r="I1222" i="1"/>
  <c r="J1222" i="1" s="1"/>
  <c r="G1222" i="1"/>
  <c r="H1222" i="1" s="1"/>
  <c r="E1222" i="1"/>
  <c r="I1221" i="1"/>
  <c r="J1221" i="1" s="1"/>
  <c r="G1221" i="1"/>
  <c r="H1221" i="1" s="1"/>
  <c r="E1221" i="1"/>
  <c r="I1220" i="1"/>
  <c r="J1220" i="1" s="1"/>
  <c r="G1220" i="1"/>
  <c r="H1220" i="1" s="1"/>
  <c r="E1220" i="1"/>
  <c r="I1219" i="1"/>
  <c r="J1219" i="1" s="1"/>
  <c r="G1219" i="1"/>
  <c r="H1219" i="1" s="1"/>
  <c r="E1219" i="1"/>
  <c r="I1218" i="1"/>
  <c r="J1218" i="1" s="1"/>
  <c r="G1218" i="1"/>
  <c r="H1218" i="1" s="1"/>
  <c r="H1258" i="1" s="1"/>
  <c r="E1218" i="1"/>
  <c r="I1206" i="1"/>
  <c r="J1206" i="1" s="1"/>
  <c r="G1206" i="1"/>
  <c r="H1206" i="1" s="1"/>
  <c r="E1206" i="1"/>
  <c r="I1205" i="1"/>
  <c r="J1205" i="1" s="1"/>
  <c r="G1205" i="1"/>
  <c r="H1205" i="1" s="1"/>
  <c r="E1205" i="1"/>
  <c r="I1204" i="1"/>
  <c r="J1204" i="1" s="1"/>
  <c r="G1204" i="1"/>
  <c r="H1204" i="1" s="1"/>
  <c r="E1204" i="1"/>
  <c r="I1203" i="1"/>
  <c r="J1203" i="1" s="1"/>
  <c r="G1203" i="1"/>
  <c r="H1203" i="1" s="1"/>
  <c r="E1203" i="1"/>
  <c r="I1202" i="1"/>
  <c r="J1202" i="1" s="1"/>
  <c r="G1202" i="1"/>
  <c r="H1202" i="1" s="1"/>
  <c r="E1202" i="1"/>
  <c r="I1201" i="1"/>
  <c r="J1201" i="1" s="1"/>
  <c r="G1201" i="1"/>
  <c r="H1201" i="1" s="1"/>
  <c r="E1201" i="1"/>
  <c r="I1200" i="1"/>
  <c r="J1200" i="1" s="1"/>
  <c r="G1200" i="1"/>
  <c r="H1200" i="1" s="1"/>
  <c r="E1200" i="1"/>
  <c r="I1199" i="1"/>
  <c r="J1199" i="1" s="1"/>
  <c r="G1199" i="1"/>
  <c r="H1199" i="1" s="1"/>
  <c r="E1199" i="1"/>
  <c r="I1198" i="1"/>
  <c r="J1198" i="1" s="1"/>
  <c r="G1198" i="1"/>
  <c r="H1198" i="1" s="1"/>
  <c r="E1198" i="1"/>
  <c r="I1197" i="1"/>
  <c r="J1197" i="1" s="1"/>
  <c r="J1216" i="1" s="1"/>
  <c r="G1197" i="1"/>
  <c r="H1197" i="1" s="1"/>
  <c r="H1216" i="1" s="1"/>
  <c r="E1197" i="1"/>
  <c r="J1174" i="1"/>
  <c r="H1174" i="1"/>
  <c r="I1173" i="1"/>
  <c r="J1173" i="1" s="1"/>
  <c r="G1173" i="1"/>
  <c r="H1173" i="1" s="1"/>
  <c r="E1173" i="1"/>
  <c r="J1172" i="1"/>
  <c r="H1172" i="1"/>
  <c r="I1171" i="1"/>
  <c r="J1171" i="1" s="1"/>
  <c r="G1171" i="1"/>
  <c r="H1171" i="1" s="1"/>
  <c r="E1171" i="1"/>
  <c r="J1170" i="1"/>
  <c r="H1170" i="1"/>
  <c r="I1169" i="1"/>
  <c r="J1169" i="1" s="1"/>
  <c r="G1169" i="1"/>
  <c r="H1169" i="1" s="1"/>
  <c r="E1169" i="1"/>
  <c r="J1168" i="1"/>
  <c r="H1168" i="1"/>
  <c r="I1167" i="1"/>
  <c r="J1167" i="1" s="1"/>
  <c r="G1167" i="1"/>
  <c r="H1167" i="1" s="1"/>
  <c r="E1167" i="1"/>
  <c r="J1166" i="1"/>
  <c r="H1166" i="1"/>
  <c r="I1165" i="1"/>
  <c r="J1165" i="1" s="1"/>
  <c r="G1165" i="1"/>
  <c r="H1165" i="1" s="1"/>
  <c r="E1165" i="1"/>
  <c r="J1164" i="1"/>
  <c r="H1164" i="1"/>
  <c r="I1163" i="1"/>
  <c r="J1163" i="1" s="1"/>
  <c r="G1163" i="1"/>
  <c r="H1163" i="1" s="1"/>
  <c r="E1163" i="1"/>
  <c r="I1162" i="1"/>
  <c r="J1162" i="1" s="1"/>
  <c r="G1162" i="1"/>
  <c r="H1162" i="1" s="1"/>
  <c r="E1162" i="1"/>
  <c r="I1161" i="1"/>
  <c r="J1161" i="1" s="1"/>
  <c r="G1161" i="1"/>
  <c r="H1161" i="1" s="1"/>
  <c r="E1161" i="1"/>
  <c r="J1160" i="1"/>
  <c r="H1160" i="1"/>
  <c r="I1159" i="1"/>
  <c r="J1159" i="1" s="1"/>
  <c r="G1159" i="1"/>
  <c r="H1159" i="1" s="1"/>
  <c r="E1159" i="1"/>
  <c r="I1158" i="1"/>
  <c r="J1158" i="1" s="1"/>
  <c r="G1158" i="1"/>
  <c r="H1158" i="1" s="1"/>
  <c r="E1158" i="1"/>
  <c r="I1157" i="1"/>
  <c r="J1157" i="1" s="1"/>
  <c r="G1157" i="1"/>
  <c r="H1157" i="1" s="1"/>
  <c r="E1157" i="1"/>
  <c r="I1156" i="1"/>
  <c r="J1156" i="1" s="1"/>
  <c r="G1156" i="1"/>
  <c r="H1156" i="1" s="1"/>
  <c r="E1156" i="1"/>
  <c r="I1155" i="1"/>
  <c r="J1155" i="1" s="1"/>
  <c r="J1195" i="1" s="1"/>
  <c r="G1155" i="1"/>
  <c r="H1155" i="1" s="1"/>
  <c r="H1195" i="1" s="1"/>
  <c r="E1155" i="1"/>
  <c r="I1134" i="1"/>
  <c r="J1134" i="1" s="1"/>
  <c r="J1153" i="1" s="1"/>
  <c r="G1134" i="1"/>
  <c r="H1134" i="1" s="1"/>
  <c r="H1153" i="1" s="1"/>
  <c r="E1134" i="1"/>
  <c r="I1116" i="1"/>
  <c r="J1116" i="1" s="1"/>
  <c r="G1116" i="1"/>
  <c r="H1116" i="1" s="1"/>
  <c r="E1116" i="1"/>
  <c r="I1115" i="1"/>
  <c r="J1115" i="1" s="1"/>
  <c r="G1115" i="1"/>
  <c r="H1115" i="1" s="1"/>
  <c r="E1115" i="1"/>
  <c r="I1114" i="1"/>
  <c r="J1114" i="1" s="1"/>
  <c r="G1114" i="1"/>
  <c r="H1114" i="1" s="1"/>
  <c r="E1114" i="1"/>
  <c r="I1113" i="1"/>
  <c r="J1113" i="1" s="1"/>
  <c r="J1132" i="1" s="1"/>
  <c r="G1113" i="1"/>
  <c r="H1113" i="1" s="1"/>
  <c r="H1132" i="1" s="1"/>
  <c r="E1113" i="1"/>
  <c r="I1093" i="1"/>
  <c r="J1093" i="1" s="1"/>
  <c r="G1093" i="1"/>
  <c r="H1093" i="1" s="1"/>
  <c r="E1093" i="1"/>
  <c r="I1092" i="1"/>
  <c r="J1092" i="1" s="1"/>
  <c r="J1111" i="1" s="1"/>
  <c r="G1092" i="1"/>
  <c r="H1092" i="1" s="1"/>
  <c r="H1111" i="1" s="1"/>
  <c r="E1092" i="1"/>
  <c r="I1077" i="1"/>
  <c r="J1077" i="1" s="1"/>
  <c r="G1077" i="1"/>
  <c r="H1077" i="1" s="1"/>
  <c r="E1077" i="1"/>
  <c r="I1076" i="1"/>
  <c r="J1076" i="1" s="1"/>
  <c r="G1076" i="1"/>
  <c r="H1076" i="1" s="1"/>
  <c r="E1076" i="1"/>
  <c r="I1075" i="1"/>
  <c r="J1075" i="1" s="1"/>
  <c r="G1075" i="1"/>
  <c r="H1075" i="1" s="1"/>
  <c r="E1075" i="1"/>
  <c r="I1074" i="1"/>
  <c r="J1074" i="1" s="1"/>
  <c r="G1074" i="1"/>
  <c r="H1074" i="1" s="1"/>
  <c r="E1074" i="1"/>
  <c r="I1073" i="1"/>
  <c r="J1073" i="1" s="1"/>
  <c r="G1073" i="1"/>
  <c r="H1073" i="1" s="1"/>
  <c r="E1073" i="1"/>
  <c r="I1072" i="1"/>
  <c r="J1072" i="1" s="1"/>
  <c r="G1072" i="1"/>
  <c r="H1072" i="1" s="1"/>
  <c r="E1072" i="1"/>
  <c r="I1071" i="1"/>
  <c r="J1071" i="1" s="1"/>
  <c r="J1090" i="1" s="1"/>
  <c r="G1071" i="1"/>
  <c r="H1071" i="1" s="1"/>
  <c r="H1090" i="1" s="1"/>
  <c r="E1071" i="1"/>
  <c r="I1061" i="1"/>
  <c r="J1061" i="1" s="1"/>
  <c r="G1061" i="1"/>
  <c r="H1061" i="1" s="1"/>
  <c r="E1061" i="1"/>
  <c r="I1060" i="1"/>
  <c r="J1060" i="1" s="1"/>
  <c r="G1060" i="1"/>
  <c r="H1060" i="1" s="1"/>
  <c r="E1060" i="1"/>
  <c r="I1059" i="1"/>
  <c r="J1059" i="1" s="1"/>
  <c r="G1059" i="1"/>
  <c r="H1059" i="1" s="1"/>
  <c r="E1059" i="1"/>
  <c r="I1058" i="1"/>
  <c r="J1058" i="1" s="1"/>
  <c r="G1058" i="1"/>
  <c r="H1058" i="1" s="1"/>
  <c r="E1058" i="1"/>
  <c r="I1057" i="1"/>
  <c r="J1057" i="1" s="1"/>
  <c r="G1057" i="1"/>
  <c r="H1057" i="1" s="1"/>
  <c r="E1057" i="1"/>
  <c r="I1056" i="1"/>
  <c r="J1056" i="1" s="1"/>
  <c r="G1056" i="1"/>
  <c r="H1056" i="1" s="1"/>
  <c r="E1056" i="1"/>
  <c r="I1055" i="1"/>
  <c r="J1055" i="1" s="1"/>
  <c r="G1055" i="1"/>
  <c r="H1055" i="1" s="1"/>
  <c r="E1055" i="1"/>
  <c r="I1054" i="1"/>
  <c r="J1054" i="1" s="1"/>
  <c r="G1054" i="1"/>
  <c r="H1054" i="1" s="1"/>
  <c r="E1054" i="1"/>
  <c r="I1053" i="1"/>
  <c r="J1053" i="1" s="1"/>
  <c r="G1053" i="1"/>
  <c r="H1053" i="1" s="1"/>
  <c r="E1053" i="1"/>
  <c r="I1052" i="1"/>
  <c r="J1052" i="1" s="1"/>
  <c r="G1052" i="1"/>
  <c r="H1052" i="1" s="1"/>
  <c r="E1052" i="1"/>
  <c r="I1051" i="1"/>
  <c r="J1051" i="1" s="1"/>
  <c r="G1051" i="1"/>
  <c r="H1051" i="1" s="1"/>
  <c r="E1051" i="1"/>
  <c r="I1050" i="1"/>
  <c r="J1050" i="1" s="1"/>
  <c r="J1069" i="1" s="1"/>
  <c r="G1050" i="1"/>
  <c r="H1050" i="1" s="1"/>
  <c r="H1069" i="1" s="1"/>
  <c r="E1050" i="1"/>
  <c r="I1034" i="1"/>
  <c r="J1034" i="1" s="1"/>
  <c r="G1034" i="1"/>
  <c r="H1034" i="1" s="1"/>
  <c r="E1034" i="1"/>
  <c r="I1033" i="1"/>
  <c r="J1033" i="1" s="1"/>
  <c r="G1033" i="1"/>
  <c r="H1033" i="1" s="1"/>
  <c r="E1033" i="1"/>
  <c r="I1032" i="1"/>
  <c r="J1032" i="1" s="1"/>
  <c r="G1032" i="1"/>
  <c r="H1032" i="1" s="1"/>
  <c r="E1032" i="1"/>
  <c r="I1031" i="1"/>
  <c r="J1031" i="1" s="1"/>
  <c r="G1031" i="1"/>
  <c r="H1031" i="1" s="1"/>
  <c r="E1031" i="1"/>
  <c r="I1030" i="1"/>
  <c r="J1030" i="1" s="1"/>
  <c r="G1030" i="1"/>
  <c r="H1030" i="1" s="1"/>
  <c r="E1030" i="1"/>
  <c r="I1029" i="1"/>
  <c r="J1029" i="1" s="1"/>
  <c r="G1029" i="1"/>
  <c r="H1029" i="1" s="1"/>
  <c r="E1029" i="1"/>
  <c r="I1028" i="1"/>
  <c r="J1028" i="1" s="1"/>
  <c r="G1028" i="1"/>
  <c r="H1028" i="1" s="1"/>
  <c r="E1028" i="1"/>
  <c r="I1027" i="1"/>
  <c r="J1027" i="1" s="1"/>
  <c r="G1027" i="1"/>
  <c r="H1027" i="1" s="1"/>
  <c r="E1027" i="1"/>
  <c r="I1026" i="1"/>
  <c r="J1026" i="1" s="1"/>
  <c r="G1026" i="1"/>
  <c r="H1026" i="1" s="1"/>
  <c r="E1026" i="1"/>
  <c r="I1025" i="1"/>
  <c r="J1025" i="1" s="1"/>
  <c r="G1025" i="1"/>
  <c r="H1025" i="1" s="1"/>
  <c r="E1025" i="1"/>
  <c r="I1024" i="1"/>
  <c r="J1024" i="1" s="1"/>
  <c r="G1024" i="1"/>
  <c r="H1024" i="1" s="1"/>
  <c r="E1024" i="1"/>
  <c r="I1023" i="1"/>
  <c r="J1023" i="1" s="1"/>
  <c r="G1023" i="1"/>
  <c r="H1023" i="1" s="1"/>
  <c r="E1023" i="1"/>
  <c r="I1022" i="1"/>
  <c r="J1022" i="1" s="1"/>
  <c r="G1022" i="1"/>
  <c r="H1022" i="1" s="1"/>
  <c r="E1022" i="1"/>
  <c r="K1021" i="1"/>
  <c r="J1021" i="1"/>
  <c r="I1021" i="1"/>
  <c r="G1021" i="1"/>
  <c r="H1021" i="1" s="1"/>
  <c r="E1021" i="1"/>
  <c r="F1021" i="1" s="1"/>
  <c r="L1021" i="1" s="1"/>
  <c r="I1020" i="1"/>
  <c r="J1020" i="1" s="1"/>
  <c r="G1020" i="1"/>
  <c r="H1020" i="1" s="1"/>
  <c r="E1020" i="1"/>
  <c r="I1019" i="1"/>
  <c r="J1019" i="1" s="1"/>
  <c r="G1019" i="1"/>
  <c r="H1019" i="1" s="1"/>
  <c r="E1019" i="1"/>
  <c r="I1018" i="1"/>
  <c r="J1018" i="1" s="1"/>
  <c r="G1018" i="1"/>
  <c r="H1018" i="1" s="1"/>
  <c r="E1018" i="1"/>
  <c r="I1017" i="1"/>
  <c r="J1017" i="1" s="1"/>
  <c r="G1017" i="1"/>
  <c r="H1017" i="1" s="1"/>
  <c r="E1017" i="1"/>
  <c r="I1016" i="1"/>
  <c r="J1016" i="1" s="1"/>
  <c r="G1016" i="1"/>
  <c r="H1016" i="1" s="1"/>
  <c r="E1016" i="1"/>
  <c r="I1015" i="1"/>
  <c r="J1015" i="1" s="1"/>
  <c r="G1015" i="1"/>
  <c r="H1015" i="1" s="1"/>
  <c r="E1015" i="1"/>
  <c r="I1014" i="1"/>
  <c r="J1014" i="1" s="1"/>
  <c r="G1014" i="1"/>
  <c r="H1014" i="1" s="1"/>
  <c r="E1014" i="1"/>
  <c r="I1013" i="1"/>
  <c r="J1013" i="1" s="1"/>
  <c r="G1013" i="1"/>
  <c r="H1013" i="1" s="1"/>
  <c r="E1013" i="1"/>
  <c r="I1012" i="1"/>
  <c r="J1012" i="1" s="1"/>
  <c r="G1012" i="1"/>
  <c r="H1012" i="1" s="1"/>
  <c r="E1012" i="1"/>
  <c r="I1011" i="1"/>
  <c r="J1011" i="1" s="1"/>
  <c r="G1011" i="1"/>
  <c r="H1011" i="1" s="1"/>
  <c r="E1011" i="1"/>
  <c r="I1010" i="1"/>
  <c r="J1010" i="1" s="1"/>
  <c r="G1010" i="1"/>
  <c r="H1010" i="1" s="1"/>
  <c r="E1010" i="1"/>
  <c r="I1009" i="1"/>
  <c r="J1009" i="1" s="1"/>
  <c r="G1009" i="1"/>
  <c r="H1009" i="1" s="1"/>
  <c r="E1009" i="1"/>
  <c r="I1008" i="1"/>
  <c r="J1008" i="1" s="1"/>
  <c r="J1048" i="1" s="1"/>
  <c r="G1008" i="1"/>
  <c r="H1008" i="1" s="1"/>
  <c r="H1048" i="1" s="1"/>
  <c r="E1008" i="1"/>
  <c r="I995" i="1"/>
  <c r="J995" i="1" s="1"/>
  <c r="G995" i="1"/>
  <c r="H995" i="1" s="1"/>
  <c r="E995" i="1"/>
  <c r="I994" i="1"/>
  <c r="J994" i="1" s="1"/>
  <c r="G994" i="1"/>
  <c r="H994" i="1" s="1"/>
  <c r="E994" i="1"/>
  <c r="I993" i="1"/>
  <c r="J993" i="1" s="1"/>
  <c r="G993" i="1"/>
  <c r="H993" i="1" s="1"/>
  <c r="E993" i="1"/>
  <c r="I992" i="1"/>
  <c r="J992" i="1" s="1"/>
  <c r="G992" i="1"/>
  <c r="H992" i="1" s="1"/>
  <c r="E992" i="1"/>
  <c r="I991" i="1"/>
  <c r="J991" i="1" s="1"/>
  <c r="G991" i="1"/>
  <c r="H991" i="1" s="1"/>
  <c r="E991" i="1"/>
  <c r="I990" i="1"/>
  <c r="J990" i="1" s="1"/>
  <c r="G990" i="1"/>
  <c r="H990" i="1" s="1"/>
  <c r="E990" i="1"/>
  <c r="I989" i="1"/>
  <c r="J989" i="1" s="1"/>
  <c r="G989" i="1"/>
  <c r="H989" i="1" s="1"/>
  <c r="E989" i="1"/>
  <c r="I988" i="1"/>
  <c r="J988" i="1" s="1"/>
  <c r="G988" i="1"/>
  <c r="H988" i="1" s="1"/>
  <c r="E988" i="1"/>
  <c r="I987" i="1"/>
  <c r="J987" i="1" s="1"/>
  <c r="J1006" i="1" s="1"/>
  <c r="G987" i="1"/>
  <c r="H987" i="1" s="1"/>
  <c r="H1006" i="1" s="1"/>
  <c r="E987" i="1"/>
  <c r="I984" i="1"/>
  <c r="J984" i="1" s="1"/>
  <c r="G984" i="1"/>
  <c r="H984" i="1" s="1"/>
  <c r="E984" i="1"/>
  <c r="I983" i="1"/>
  <c r="J983" i="1" s="1"/>
  <c r="G983" i="1"/>
  <c r="H983" i="1" s="1"/>
  <c r="E983" i="1"/>
  <c r="I982" i="1"/>
  <c r="J982" i="1" s="1"/>
  <c r="G982" i="1"/>
  <c r="H982" i="1" s="1"/>
  <c r="E982" i="1"/>
  <c r="I981" i="1"/>
  <c r="J981" i="1" s="1"/>
  <c r="G981" i="1"/>
  <c r="H981" i="1" s="1"/>
  <c r="E981" i="1"/>
  <c r="I980" i="1"/>
  <c r="J980" i="1" s="1"/>
  <c r="G980" i="1"/>
  <c r="H980" i="1" s="1"/>
  <c r="E980" i="1"/>
  <c r="I979" i="1"/>
  <c r="J979" i="1" s="1"/>
  <c r="G979" i="1"/>
  <c r="H979" i="1" s="1"/>
  <c r="E979" i="1"/>
  <c r="I978" i="1"/>
  <c r="J978" i="1" s="1"/>
  <c r="G978" i="1"/>
  <c r="H978" i="1" s="1"/>
  <c r="E978" i="1"/>
  <c r="I977" i="1"/>
  <c r="J977" i="1" s="1"/>
  <c r="G977" i="1"/>
  <c r="H977" i="1" s="1"/>
  <c r="E977" i="1"/>
  <c r="I976" i="1"/>
  <c r="J976" i="1" s="1"/>
  <c r="G976" i="1"/>
  <c r="H976" i="1" s="1"/>
  <c r="E976" i="1"/>
  <c r="I975" i="1"/>
  <c r="J975" i="1" s="1"/>
  <c r="G975" i="1"/>
  <c r="H975" i="1" s="1"/>
  <c r="E975" i="1"/>
  <c r="I974" i="1"/>
  <c r="J974" i="1" s="1"/>
  <c r="G974" i="1"/>
  <c r="H974" i="1" s="1"/>
  <c r="E974" i="1"/>
  <c r="I973" i="1"/>
  <c r="J973" i="1" s="1"/>
  <c r="G973" i="1"/>
  <c r="H973" i="1" s="1"/>
  <c r="E973" i="1"/>
  <c r="I972" i="1"/>
  <c r="J972" i="1" s="1"/>
  <c r="G972" i="1"/>
  <c r="H972" i="1" s="1"/>
  <c r="E972" i="1"/>
  <c r="I971" i="1"/>
  <c r="J971" i="1" s="1"/>
  <c r="G971" i="1"/>
  <c r="H971" i="1" s="1"/>
  <c r="E971" i="1"/>
  <c r="I970" i="1"/>
  <c r="J970" i="1" s="1"/>
  <c r="G970" i="1"/>
  <c r="H970" i="1" s="1"/>
  <c r="E970" i="1"/>
  <c r="I969" i="1"/>
  <c r="J969" i="1" s="1"/>
  <c r="G969" i="1"/>
  <c r="H969" i="1" s="1"/>
  <c r="E969" i="1"/>
  <c r="I968" i="1"/>
  <c r="J968" i="1" s="1"/>
  <c r="G968" i="1"/>
  <c r="H968" i="1" s="1"/>
  <c r="E968" i="1"/>
  <c r="I967" i="1"/>
  <c r="J967" i="1" s="1"/>
  <c r="G967" i="1"/>
  <c r="H967" i="1" s="1"/>
  <c r="E967" i="1"/>
  <c r="I966" i="1"/>
  <c r="J966" i="1" s="1"/>
  <c r="J985" i="1" s="1"/>
  <c r="G966" i="1"/>
  <c r="H966" i="1" s="1"/>
  <c r="H985" i="1" s="1"/>
  <c r="E966" i="1"/>
  <c r="I945" i="1"/>
  <c r="J945" i="1" s="1"/>
  <c r="G945" i="1"/>
  <c r="H945" i="1" s="1"/>
  <c r="E945" i="1"/>
  <c r="I944" i="1"/>
  <c r="J944" i="1" s="1"/>
  <c r="G944" i="1"/>
  <c r="H944" i="1" s="1"/>
  <c r="E944" i="1"/>
  <c r="I943" i="1"/>
  <c r="J943" i="1" s="1"/>
  <c r="G943" i="1"/>
  <c r="H943" i="1" s="1"/>
  <c r="E943" i="1"/>
  <c r="I942" i="1"/>
  <c r="J942" i="1" s="1"/>
  <c r="G942" i="1"/>
  <c r="H942" i="1" s="1"/>
  <c r="E942" i="1"/>
  <c r="I941" i="1"/>
  <c r="J941" i="1" s="1"/>
  <c r="G941" i="1"/>
  <c r="H941" i="1" s="1"/>
  <c r="E941" i="1"/>
  <c r="I940" i="1"/>
  <c r="J940" i="1" s="1"/>
  <c r="G940" i="1"/>
  <c r="H940" i="1" s="1"/>
  <c r="E940" i="1"/>
  <c r="I939" i="1"/>
  <c r="J939" i="1" s="1"/>
  <c r="G939" i="1"/>
  <c r="H939" i="1" s="1"/>
  <c r="E939" i="1"/>
  <c r="I938" i="1"/>
  <c r="J938" i="1" s="1"/>
  <c r="G938" i="1"/>
  <c r="H938" i="1" s="1"/>
  <c r="E938" i="1"/>
  <c r="I937" i="1"/>
  <c r="J937" i="1" s="1"/>
  <c r="G937" i="1"/>
  <c r="H937" i="1" s="1"/>
  <c r="E937" i="1"/>
  <c r="I936" i="1"/>
  <c r="J936" i="1" s="1"/>
  <c r="G936" i="1"/>
  <c r="H936" i="1" s="1"/>
  <c r="E936" i="1"/>
  <c r="I935" i="1"/>
  <c r="J935" i="1" s="1"/>
  <c r="G935" i="1"/>
  <c r="H935" i="1" s="1"/>
  <c r="E935" i="1"/>
  <c r="I934" i="1"/>
  <c r="J934" i="1" s="1"/>
  <c r="G934" i="1"/>
  <c r="H934" i="1" s="1"/>
  <c r="E934" i="1"/>
  <c r="I933" i="1"/>
  <c r="J933" i="1" s="1"/>
  <c r="G933" i="1"/>
  <c r="H933" i="1" s="1"/>
  <c r="E933" i="1"/>
  <c r="I932" i="1"/>
  <c r="J932" i="1" s="1"/>
  <c r="G932" i="1"/>
  <c r="H932" i="1" s="1"/>
  <c r="E932" i="1"/>
  <c r="I931" i="1"/>
  <c r="J931" i="1" s="1"/>
  <c r="G931" i="1"/>
  <c r="H931" i="1" s="1"/>
  <c r="E931" i="1"/>
  <c r="I930" i="1"/>
  <c r="J930" i="1" s="1"/>
  <c r="G930" i="1"/>
  <c r="H930" i="1" s="1"/>
  <c r="E930" i="1"/>
  <c r="I929" i="1"/>
  <c r="J929" i="1" s="1"/>
  <c r="G929" i="1"/>
  <c r="H929" i="1" s="1"/>
  <c r="E929" i="1"/>
  <c r="I928" i="1"/>
  <c r="J928" i="1" s="1"/>
  <c r="G928" i="1"/>
  <c r="H928" i="1" s="1"/>
  <c r="E928" i="1"/>
  <c r="I927" i="1"/>
  <c r="J927" i="1" s="1"/>
  <c r="G927" i="1"/>
  <c r="H927" i="1" s="1"/>
  <c r="E927" i="1"/>
  <c r="I926" i="1"/>
  <c r="J926" i="1" s="1"/>
  <c r="G926" i="1"/>
  <c r="H926" i="1" s="1"/>
  <c r="E926" i="1"/>
  <c r="I925" i="1"/>
  <c r="J925" i="1" s="1"/>
  <c r="G925" i="1"/>
  <c r="H925" i="1" s="1"/>
  <c r="E925" i="1"/>
  <c r="I924" i="1"/>
  <c r="J924" i="1" s="1"/>
  <c r="J964" i="1" s="1"/>
  <c r="G924" i="1"/>
  <c r="H924" i="1" s="1"/>
  <c r="H964" i="1" s="1"/>
  <c r="E924" i="1"/>
  <c r="I914" i="1"/>
  <c r="J914" i="1" s="1"/>
  <c r="G914" i="1"/>
  <c r="H914" i="1" s="1"/>
  <c r="E914" i="1"/>
  <c r="I913" i="1"/>
  <c r="J913" i="1" s="1"/>
  <c r="G913" i="1"/>
  <c r="H913" i="1" s="1"/>
  <c r="E913" i="1"/>
  <c r="I912" i="1"/>
  <c r="J912" i="1" s="1"/>
  <c r="G912" i="1"/>
  <c r="H912" i="1" s="1"/>
  <c r="E912" i="1"/>
  <c r="I911" i="1"/>
  <c r="J911" i="1" s="1"/>
  <c r="G911" i="1"/>
  <c r="H911" i="1" s="1"/>
  <c r="E911" i="1"/>
  <c r="I910" i="1"/>
  <c r="J910" i="1" s="1"/>
  <c r="G910" i="1"/>
  <c r="H910" i="1" s="1"/>
  <c r="E910" i="1"/>
  <c r="I909" i="1"/>
  <c r="J909" i="1" s="1"/>
  <c r="G909" i="1"/>
  <c r="H909" i="1" s="1"/>
  <c r="E909" i="1"/>
  <c r="I908" i="1"/>
  <c r="J908" i="1" s="1"/>
  <c r="G908" i="1"/>
  <c r="H908" i="1" s="1"/>
  <c r="E908" i="1"/>
  <c r="I907" i="1"/>
  <c r="J907" i="1" s="1"/>
  <c r="G907" i="1"/>
  <c r="H907" i="1" s="1"/>
  <c r="E907" i="1"/>
  <c r="I906" i="1"/>
  <c r="J906" i="1" s="1"/>
  <c r="G906" i="1"/>
  <c r="H906" i="1" s="1"/>
  <c r="E906" i="1"/>
  <c r="I905" i="1"/>
  <c r="J905" i="1" s="1"/>
  <c r="G905" i="1"/>
  <c r="H905" i="1" s="1"/>
  <c r="E905" i="1"/>
  <c r="I904" i="1"/>
  <c r="J904" i="1" s="1"/>
  <c r="G904" i="1"/>
  <c r="H904" i="1" s="1"/>
  <c r="E904" i="1"/>
  <c r="I903" i="1"/>
  <c r="J903" i="1" s="1"/>
  <c r="J922" i="1" s="1"/>
  <c r="G903" i="1"/>
  <c r="H903" i="1" s="1"/>
  <c r="H922" i="1" s="1"/>
  <c r="E903" i="1"/>
  <c r="I888" i="1"/>
  <c r="J888" i="1" s="1"/>
  <c r="G888" i="1"/>
  <c r="H888" i="1" s="1"/>
  <c r="E888" i="1"/>
  <c r="I887" i="1"/>
  <c r="J887" i="1" s="1"/>
  <c r="G887" i="1"/>
  <c r="H887" i="1" s="1"/>
  <c r="E887" i="1"/>
  <c r="I886" i="1"/>
  <c r="J886" i="1" s="1"/>
  <c r="G886" i="1"/>
  <c r="H886" i="1" s="1"/>
  <c r="E886" i="1"/>
  <c r="I885" i="1"/>
  <c r="J885" i="1" s="1"/>
  <c r="G885" i="1"/>
  <c r="H885" i="1" s="1"/>
  <c r="E885" i="1"/>
  <c r="I884" i="1"/>
  <c r="J884" i="1" s="1"/>
  <c r="G884" i="1"/>
  <c r="H884" i="1" s="1"/>
  <c r="E884" i="1"/>
  <c r="I883" i="1"/>
  <c r="J883" i="1" s="1"/>
  <c r="G883" i="1"/>
  <c r="H883" i="1" s="1"/>
  <c r="E883" i="1"/>
  <c r="I882" i="1"/>
  <c r="J882" i="1" s="1"/>
  <c r="J901" i="1" s="1"/>
  <c r="G882" i="1"/>
  <c r="H882" i="1" s="1"/>
  <c r="H901" i="1" s="1"/>
  <c r="E882" i="1"/>
  <c r="I864" i="1"/>
  <c r="J864" i="1" s="1"/>
  <c r="G864" i="1"/>
  <c r="H864" i="1" s="1"/>
  <c r="E864" i="1"/>
  <c r="I863" i="1"/>
  <c r="J863" i="1" s="1"/>
  <c r="G863" i="1"/>
  <c r="H863" i="1" s="1"/>
  <c r="E863" i="1"/>
  <c r="I862" i="1"/>
  <c r="J862" i="1" s="1"/>
  <c r="G862" i="1"/>
  <c r="H862" i="1" s="1"/>
  <c r="E862" i="1"/>
  <c r="I861" i="1"/>
  <c r="J861" i="1" s="1"/>
  <c r="J880" i="1" s="1"/>
  <c r="G861" i="1"/>
  <c r="H861" i="1" s="1"/>
  <c r="H880" i="1" s="1"/>
  <c r="E861" i="1"/>
  <c r="I850" i="1"/>
  <c r="J850" i="1" s="1"/>
  <c r="G850" i="1"/>
  <c r="H850" i="1" s="1"/>
  <c r="E850" i="1"/>
  <c r="I849" i="1"/>
  <c r="J849" i="1" s="1"/>
  <c r="G849" i="1"/>
  <c r="H849" i="1" s="1"/>
  <c r="E849" i="1"/>
  <c r="I848" i="1"/>
  <c r="J848" i="1" s="1"/>
  <c r="G848" i="1"/>
  <c r="H848" i="1" s="1"/>
  <c r="E848" i="1"/>
  <c r="I847" i="1"/>
  <c r="J847" i="1" s="1"/>
  <c r="G847" i="1"/>
  <c r="H847" i="1" s="1"/>
  <c r="E847" i="1"/>
  <c r="I846" i="1"/>
  <c r="J846" i="1" s="1"/>
  <c r="G846" i="1"/>
  <c r="H846" i="1" s="1"/>
  <c r="E846" i="1"/>
  <c r="I845" i="1"/>
  <c r="J845" i="1" s="1"/>
  <c r="G845" i="1"/>
  <c r="H845" i="1" s="1"/>
  <c r="E845" i="1"/>
  <c r="I844" i="1"/>
  <c r="J844" i="1" s="1"/>
  <c r="G844" i="1"/>
  <c r="H844" i="1" s="1"/>
  <c r="E844" i="1"/>
  <c r="I843" i="1"/>
  <c r="J843" i="1" s="1"/>
  <c r="G843" i="1"/>
  <c r="H843" i="1" s="1"/>
  <c r="E843" i="1"/>
  <c r="I842" i="1"/>
  <c r="J842" i="1" s="1"/>
  <c r="G842" i="1"/>
  <c r="H842" i="1" s="1"/>
  <c r="E842" i="1"/>
  <c r="I841" i="1"/>
  <c r="J841" i="1" s="1"/>
  <c r="G841" i="1"/>
  <c r="H841" i="1" s="1"/>
  <c r="E841" i="1"/>
  <c r="I840" i="1"/>
  <c r="J840" i="1" s="1"/>
  <c r="G840" i="1"/>
  <c r="H840" i="1" s="1"/>
  <c r="E840" i="1"/>
  <c r="I837" i="1"/>
  <c r="J837" i="1" s="1"/>
  <c r="G837" i="1"/>
  <c r="H837" i="1" s="1"/>
  <c r="E837" i="1"/>
  <c r="I836" i="1"/>
  <c r="J836" i="1" s="1"/>
  <c r="G836" i="1"/>
  <c r="H836" i="1" s="1"/>
  <c r="E836" i="1"/>
  <c r="I835" i="1"/>
  <c r="J835" i="1" s="1"/>
  <c r="G835" i="1"/>
  <c r="H835" i="1" s="1"/>
  <c r="E835" i="1"/>
  <c r="I834" i="1"/>
  <c r="J834" i="1" s="1"/>
  <c r="G834" i="1"/>
  <c r="H834" i="1" s="1"/>
  <c r="E834" i="1"/>
  <c r="I833" i="1"/>
  <c r="J833" i="1" s="1"/>
  <c r="G833" i="1"/>
  <c r="H833" i="1" s="1"/>
  <c r="E833" i="1"/>
  <c r="I832" i="1"/>
  <c r="J832" i="1" s="1"/>
  <c r="G832" i="1"/>
  <c r="H832" i="1" s="1"/>
  <c r="E832" i="1"/>
  <c r="I831" i="1"/>
  <c r="J831" i="1" s="1"/>
  <c r="G831" i="1"/>
  <c r="H831" i="1" s="1"/>
  <c r="E831" i="1"/>
  <c r="I830" i="1"/>
  <c r="J830" i="1" s="1"/>
  <c r="G830" i="1"/>
  <c r="H830" i="1" s="1"/>
  <c r="E830" i="1"/>
  <c r="I829" i="1"/>
  <c r="J829" i="1" s="1"/>
  <c r="G829" i="1"/>
  <c r="H829" i="1" s="1"/>
  <c r="E829" i="1"/>
  <c r="I828" i="1"/>
  <c r="J828" i="1" s="1"/>
  <c r="G828" i="1"/>
  <c r="H828" i="1" s="1"/>
  <c r="E828" i="1"/>
  <c r="I827" i="1"/>
  <c r="J827" i="1" s="1"/>
  <c r="G827" i="1"/>
  <c r="H827" i="1" s="1"/>
  <c r="E827" i="1"/>
  <c r="I826" i="1"/>
  <c r="J826" i="1" s="1"/>
  <c r="G826" i="1"/>
  <c r="H826" i="1" s="1"/>
  <c r="E826" i="1"/>
  <c r="I825" i="1"/>
  <c r="J825" i="1" s="1"/>
  <c r="G825" i="1"/>
  <c r="H825" i="1" s="1"/>
  <c r="E825" i="1"/>
  <c r="I824" i="1"/>
  <c r="J824" i="1" s="1"/>
  <c r="G824" i="1"/>
  <c r="H824" i="1" s="1"/>
  <c r="E824" i="1"/>
  <c r="I823" i="1"/>
  <c r="J823" i="1" s="1"/>
  <c r="G823" i="1"/>
  <c r="H823" i="1" s="1"/>
  <c r="E823" i="1"/>
  <c r="I822" i="1"/>
  <c r="J822" i="1" s="1"/>
  <c r="G822" i="1"/>
  <c r="H822" i="1" s="1"/>
  <c r="E822" i="1"/>
  <c r="I821" i="1"/>
  <c r="J821" i="1" s="1"/>
  <c r="G821" i="1"/>
  <c r="H821" i="1" s="1"/>
  <c r="E821" i="1"/>
  <c r="I820" i="1"/>
  <c r="J820" i="1" s="1"/>
  <c r="G820" i="1"/>
  <c r="H820" i="1" s="1"/>
  <c r="E820" i="1"/>
  <c r="I819" i="1"/>
  <c r="J819" i="1" s="1"/>
  <c r="J838" i="1" s="1"/>
  <c r="G819" i="1"/>
  <c r="H819" i="1" s="1"/>
  <c r="H838" i="1" s="1"/>
  <c r="E819" i="1"/>
  <c r="I807" i="1"/>
  <c r="J807" i="1" s="1"/>
  <c r="G807" i="1"/>
  <c r="H807" i="1" s="1"/>
  <c r="E807" i="1"/>
  <c r="I806" i="1"/>
  <c r="J806" i="1" s="1"/>
  <c r="G806" i="1"/>
  <c r="H806" i="1" s="1"/>
  <c r="E806" i="1"/>
  <c r="I805" i="1"/>
  <c r="J805" i="1" s="1"/>
  <c r="G805" i="1"/>
  <c r="H805" i="1" s="1"/>
  <c r="E805" i="1"/>
  <c r="I804" i="1"/>
  <c r="J804" i="1" s="1"/>
  <c r="G804" i="1"/>
  <c r="H804" i="1" s="1"/>
  <c r="E804" i="1"/>
  <c r="I803" i="1"/>
  <c r="J803" i="1" s="1"/>
  <c r="G803" i="1"/>
  <c r="H803" i="1" s="1"/>
  <c r="E803" i="1"/>
  <c r="I802" i="1"/>
  <c r="J802" i="1" s="1"/>
  <c r="G802" i="1"/>
  <c r="H802" i="1" s="1"/>
  <c r="E802" i="1"/>
  <c r="I801" i="1"/>
  <c r="J801" i="1" s="1"/>
  <c r="G801" i="1"/>
  <c r="H801" i="1" s="1"/>
  <c r="E801" i="1"/>
  <c r="I800" i="1"/>
  <c r="J800" i="1" s="1"/>
  <c r="G800" i="1"/>
  <c r="H800" i="1" s="1"/>
  <c r="E800" i="1"/>
  <c r="I799" i="1"/>
  <c r="J799" i="1" s="1"/>
  <c r="G799" i="1"/>
  <c r="H799" i="1" s="1"/>
  <c r="E799" i="1"/>
  <c r="I798" i="1"/>
  <c r="J798" i="1" s="1"/>
  <c r="J817" i="1" s="1"/>
  <c r="G798" i="1"/>
  <c r="H798" i="1" s="1"/>
  <c r="H817" i="1" s="1"/>
  <c r="E798" i="1"/>
  <c r="J781" i="1"/>
  <c r="H781" i="1"/>
  <c r="I780" i="1"/>
  <c r="J780" i="1" s="1"/>
  <c r="G780" i="1"/>
  <c r="H780" i="1" s="1"/>
  <c r="E780" i="1"/>
  <c r="I779" i="1"/>
  <c r="J779" i="1" s="1"/>
  <c r="G779" i="1"/>
  <c r="H779" i="1" s="1"/>
  <c r="E779" i="1"/>
  <c r="J778" i="1"/>
  <c r="H778" i="1"/>
  <c r="I777" i="1"/>
  <c r="J777" i="1" s="1"/>
  <c r="G777" i="1"/>
  <c r="H777" i="1" s="1"/>
  <c r="E777" i="1"/>
  <c r="J776" i="1"/>
  <c r="H776" i="1"/>
  <c r="I775" i="1"/>
  <c r="J775" i="1" s="1"/>
  <c r="G775" i="1"/>
  <c r="H775" i="1" s="1"/>
  <c r="E775" i="1"/>
  <c r="J774" i="1"/>
  <c r="H774" i="1"/>
  <c r="I773" i="1"/>
  <c r="J773" i="1" s="1"/>
  <c r="G773" i="1"/>
  <c r="H773" i="1" s="1"/>
  <c r="E773" i="1"/>
  <c r="J772" i="1"/>
  <c r="H772" i="1"/>
  <c r="I771" i="1"/>
  <c r="J771" i="1" s="1"/>
  <c r="G771" i="1"/>
  <c r="H771" i="1" s="1"/>
  <c r="E771" i="1"/>
  <c r="J770" i="1"/>
  <c r="H770" i="1"/>
  <c r="I769" i="1"/>
  <c r="J769" i="1" s="1"/>
  <c r="G769" i="1"/>
  <c r="H769" i="1" s="1"/>
  <c r="E769" i="1"/>
  <c r="I768" i="1"/>
  <c r="J768" i="1" s="1"/>
  <c r="G768" i="1"/>
  <c r="H768" i="1" s="1"/>
  <c r="E768" i="1"/>
  <c r="I767" i="1"/>
  <c r="J767" i="1" s="1"/>
  <c r="G767" i="1"/>
  <c r="H767" i="1" s="1"/>
  <c r="E767" i="1"/>
  <c r="J766" i="1"/>
  <c r="H766" i="1"/>
  <c r="I765" i="1"/>
  <c r="J765" i="1" s="1"/>
  <c r="G765" i="1"/>
  <c r="H765" i="1" s="1"/>
  <c r="E765" i="1"/>
  <c r="I764" i="1"/>
  <c r="J764" i="1" s="1"/>
  <c r="G764" i="1"/>
  <c r="H764" i="1" s="1"/>
  <c r="E764" i="1"/>
  <c r="I763" i="1"/>
  <c r="J763" i="1" s="1"/>
  <c r="G763" i="1"/>
  <c r="H763" i="1" s="1"/>
  <c r="E763" i="1"/>
  <c r="I762" i="1"/>
  <c r="J762" i="1" s="1"/>
  <c r="G762" i="1"/>
  <c r="H762" i="1" s="1"/>
  <c r="E762" i="1"/>
  <c r="I761" i="1"/>
  <c r="J761" i="1" s="1"/>
  <c r="G761" i="1"/>
  <c r="H761" i="1" s="1"/>
  <c r="E761" i="1"/>
  <c r="I760" i="1"/>
  <c r="J760" i="1" s="1"/>
  <c r="G760" i="1"/>
  <c r="H760" i="1" s="1"/>
  <c r="E760" i="1"/>
  <c r="J759" i="1"/>
  <c r="H759" i="1"/>
  <c r="I758" i="1"/>
  <c r="J758" i="1" s="1"/>
  <c r="G758" i="1"/>
  <c r="H758" i="1" s="1"/>
  <c r="E758" i="1"/>
  <c r="I757" i="1"/>
  <c r="J757" i="1" s="1"/>
  <c r="G757" i="1"/>
  <c r="H757" i="1" s="1"/>
  <c r="E757" i="1"/>
  <c r="I756" i="1"/>
  <c r="J756" i="1" s="1"/>
  <c r="J796" i="1" s="1"/>
  <c r="G756" i="1"/>
  <c r="H756" i="1" s="1"/>
  <c r="H796" i="1" s="1"/>
  <c r="E756" i="1"/>
  <c r="I736" i="1"/>
  <c r="J736" i="1" s="1"/>
  <c r="G736" i="1"/>
  <c r="H736" i="1" s="1"/>
  <c r="E736" i="1"/>
  <c r="I735" i="1"/>
  <c r="J735" i="1" s="1"/>
  <c r="J754" i="1" s="1"/>
  <c r="G735" i="1"/>
  <c r="H735" i="1" s="1"/>
  <c r="H754" i="1" s="1"/>
  <c r="E735" i="1"/>
  <c r="I718" i="1"/>
  <c r="J718" i="1" s="1"/>
  <c r="G718" i="1"/>
  <c r="H718" i="1" s="1"/>
  <c r="E718" i="1"/>
  <c r="I717" i="1"/>
  <c r="J717" i="1" s="1"/>
  <c r="G717" i="1"/>
  <c r="H717" i="1" s="1"/>
  <c r="E717" i="1"/>
  <c r="I716" i="1"/>
  <c r="J716" i="1" s="1"/>
  <c r="G716" i="1"/>
  <c r="H716" i="1" s="1"/>
  <c r="E716" i="1"/>
  <c r="I715" i="1"/>
  <c r="J715" i="1" s="1"/>
  <c r="G715" i="1"/>
  <c r="H715" i="1" s="1"/>
  <c r="E715" i="1"/>
  <c r="I714" i="1"/>
  <c r="J714" i="1" s="1"/>
  <c r="J733" i="1" s="1"/>
  <c r="G714" i="1"/>
  <c r="H714" i="1" s="1"/>
  <c r="H733" i="1" s="1"/>
  <c r="E714" i="1"/>
  <c r="I694" i="1"/>
  <c r="J694" i="1" s="1"/>
  <c r="G694" i="1"/>
  <c r="H694" i="1" s="1"/>
  <c r="E694" i="1"/>
  <c r="I693" i="1"/>
  <c r="J693" i="1" s="1"/>
  <c r="J712" i="1" s="1"/>
  <c r="G693" i="1"/>
  <c r="H693" i="1" s="1"/>
  <c r="H712" i="1" s="1"/>
  <c r="E693" i="1"/>
  <c r="I684" i="1"/>
  <c r="J684" i="1" s="1"/>
  <c r="G684" i="1"/>
  <c r="H684" i="1" s="1"/>
  <c r="E684" i="1"/>
  <c r="I683" i="1"/>
  <c r="J683" i="1" s="1"/>
  <c r="G683" i="1"/>
  <c r="E683" i="1"/>
  <c r="F683" i="1" s="1"/>
  <c r="I682" i="1"/>
  <c r="J682" i="1" s="1"/>
  <c r="G682" i="1"/>
  <c r="H682" i="1" s="1"/>
  <c r="E682" i="1"/>
  <c r="I681" i="1"/>
  <c r="J681" i="1" s="1"/>
  <c r="G681" i="1"/>
  <c r="H681" i="1" s="1"/>
  <c r="E681" i="1"/>
  <c r="I680" i="1"/>
  <c r="J680" i="1" s="1"/>
  <c r="G680" i="1"/>
  <c r="H680" i="1" s="1"/>
  <c r="E680" i="1"/>
  <c r="I679" i="1"/>
  <c r="J679" i="1" s="1"/>
  <c r="G679" i="1"/>
  <c r="H679" i="1" s="1"/>
  <c r="E679" i="1"/>
  <c r="I678" i="1"/>
  <c r="J678" i="1" s="1"/>
  <c r="G678" i="1"/>
  <c r="H678" i="1" s="1"/>
  <c r="E678" i="1"/>
  <c r="I677" i="1"/>
  <c r="J677" i="1" s="1"/>
  <c r="G677" i="1"/>
  <c r="H677" i="1" s="1"/>
  <c r="E677" i="1"/>
  <c r="I676" i="1"/>
  <c r="J676" i="1" s="1"/>
  <c r="G676" i="1"/>
  <c r="H676" i="1" s="1"/>
  <c r="E676" i="1"/>
  <c r="I675" i="1"/>
  <c r="J675" i="1" s="1"/>
  <c r="G675" i="1"/>
  <c r="H675" i="1" s="1"/>
  <c r="E675" i="1"/>
  <c r="I674" i="1"/>
  <c r="J674" i="1" s="1"/>
  <c r="G674" i="1"/>
  <c r="H674" i="1" s="1"/>
  <c r="E674" i="1"/>
  <c r="I673" i="1"/>
  <c r="J673" i="1" s="1"/>
  <c r="G673" i="1"/>
  <c r="H673" i="1" s="1"/>
  <c r="E673" i="1"/>
  <c r="I672" i="1"/>
  <c r="J672" i="1" s="1"/>
  <c r="J691" i="1" s="1"/>
  <c r="G672" i="1"/>
  <c r="H672" i="1" s="1"/>
  <c r="E672" i="1"/>
  <c r="I668" i="1"/>
  <c r="J668" i="1" s="1"/>
  <c r="G668" i="1"/>
  <c r="H668" i="1" s="1"/>
  <c r="E668" i="1"/>
  <c r="I667" i="1"/>
  <c r="J667" i="1" s="1"/>
  <c r="G667" i="1"/>
  <c r="H667" i="1" s="1"/>
  <c r="E667" i="1"/>
  <c r="I666" i="1"/>
  <c r="J666" i="1" s="1"/>
  <c r="G666" i="1"/>
  <c r="H666" i="1" s="1"/>
  <c r="E666" i="1"/>
  <c r="I665" i="1"/>
  <c r="J665" i="1" s="1"/>
  <c r="G665" i="1"/>
  <c r="H665" i="1" s="1"/>
  <c r="E665" i="1"/>
  <c r="I664" i="1"/>
  <c r="J664" i="1" s="1"/>
  <c r="G664" i="1"/>
  <c r="H664" i="1" s="1"/>
  <c r="E664" i="1"/>
  <c r="I663" i="1"/>
  <c r="J663" i="1" s="1"/>
  <c r="G663" i="1"/>
  <c r="H663" i="1" s="1"/>
  <c r="E663" i="1"/>
  <c r="I662" i="1"/>
  <c r="J662" i="1" s="1"/>
  <c r="G662" i="1"/>
  <c r="H662" i="1" s="1"/>
  <c r="E662" i="1"/>
  <c r="I661" i="1"/>
  <c r="J661" i="1" s="1"/>
  <c r="G661" i="1"/>
  <c r="H661" i="1" s="1"/>
  <c r="E661" i="1"/>
  <c r="I660" i="1"/>
  <c r="J660" i="1" s="1"/>
  <c r="G660" i="1"/>
  <c r="H660" i="1" s="1"/>
  <c r="E660" i="1"/>
  <c r="I659" i="1"/>
  <c r="J659" i="1" s="1"/>
  <c r="G659" i="1"/>
  <c r="H659" i="1" s="1"/>
  <c r="E659" i="1"/>
  <c r="I658" i="1"/>
  <c r="J658" i="1" s="1"/>
  <c r="G658" i="1"/>
  <c r="H658" i="1" s="1"/>
  <c r="E658" i="1"/>
  <c r="I657" i="1"/>
  <c r="J657" i="1" s="1"/>
  <c r="G657" i="1"/>
  <c r="H657" i="1" s="1"/>
  <c r="E657" i="1"/>
  <c r="I656" i="1"/>
  <c r="J656" i="1" s="1"/>
  <c r="G656" i="1"/>
  <c r="H656" i="1" s="1"/>
  <c r="E656" i="1"/>
  <c r="I655" i="1"/>
  <c r="J655" i="1" s="1"/>
  <c r="G655" i="1"/>
  <c r="H655" i="1" s="1"/>
  <c r="E655" i="1"/>
  <c r="I654" i="1"/>
  <c r="J654" i="1" s="1"/>
  <c r="G654" i="1"/>
  <c r="H654" i="1" s="1"/>
  <c r="E654" i="1"/>
  <c r="I653" i="1"/>
  <c r="J653" i="1" s="1"/>
  <c r="G653" i="1"/>
  <c r="H653" i="1" s="1"/>
  <c r="E653" i="1"/>
  <c r="I652" i="1"/>
  <c r="J652" i="1" s="1"/>
  <c r="G652" i="1"/>
  <c r="H652" i="1" s="1"/>
  <c r="E652" i="1"/>
  <c r="I651" i="1"/>
  <c r="J651" i="1" s="1"/>
  <c r="G651" i="1"/>
  <c r="H651" i="1" s="1"/>
  <c r="E651" i="1"/>
  <c r="I650" i="1"/>
  <c r="J650" i="1" s="1"/>
  <c r="G650" i="1"/>
  <c r="H650" i="1" s="1"/>
  <c r="E650" i="1"/>
  <c r="I649" i="1"/>
  <c r="J649" i="1" s="1"/>
  <c r="G649" i="1"/>
  <c r="H649" i="1" s="1"/>
  <c r="E649" i="1"/>
  <c r="I648" i="1"/>
  <c r="J648" i="1" s="1"/>
  <c r="J670" i="1" s="1"/>
  <c r="G648" i="1"/>
  <c r="H648" i="1" s="1"/>
  <c r="H670" i="1" s="1"/>
  <c r="E648" i="1"/>
  <c r="I630" i="1"/>
  <c r="J630" i="1" s="1"/>
  <c r="G630" i="1"/>
  <c r="H630" i="1" s="1"/>
  <c r="E630" i="1"/>
  <c r="I629" i="1"/>
  <c r="J629" i="1" s="1"/>
  <c r="G629" i="1"/>
  <c r="H629" i="1" s="1"/>
  <c r="E629" i="1"/>
  <c r="I628" i="1"/>
  <c r="J628" i="1" s="1"/>
  <c r="G628" i="1"/>
  <c r="H628" i="1" s="1"/>
  <c r="E628" i="1"/>
  <c r="I627" i="1"/>
  <c r="J627" i="1" s="1"/>
  <c r="G627" i="1"/>
  <c r="H627" i="1" s="1"/>
  <c r="E627" i="1"/>
  <c r="I626" i="1"/>
  <c r="J626" i="1" s="1"/>
  <c r="G626" i="1"/>
  <c r="H626" i="1" s="1"/>
  <c r="E626" i="1"/>
  <c r="I625" i="1"/>
  <c r="J625" i="1" s="1"/>
  <c r="G625" i="1"/>
  <c r="H625" i="1" s="1"/>
  <c r="E625" i="1"/>
  <c r="I624" i="1"/>
  <c r="J624" i="1" s="1"/>
  <c r="G624" i="1"/>
  <c r="H624" i="1" s="1"/>
  <c r="E624" i="1"/>
  <c r="I623" i="1"/>
  <c r="J623" i="1" s="1"/>
  <c r="G623" i="1"/>
  <c r="H623" i="1" s="1"/>
  <c r="E623" i="1"/>
  <c r="I622" i="1"/>
  <c r="J622" i="1" s="1"/>
  <c r="G622" i="1"/>
  <c r="H622" i="1" s="1"/>
  <c r="E622" i="1"/>
  <c r="I621" i="1"/>
  <c r="J621" i="1" s="1"/>
  <c r="G621" i="1"/>
  <c r="H621" i="1" s="1"/>
  <c r="E621" i="1"/>
  <c r="I620" i="1"/>
  <c r="J620" i="1" s="1"/>
  <c r="G620" i="1"/>
  <c r="H620" i="1" s="1"/>
  <c r="E620" i="1"/>
  <c r="I619" i="1"/>
  <c r="J619" i="1" s="1"/>
  <c r="G619" i="1"/>
  <c r="H619" i="1" s="1"/>
  <c r="E619" i="1"/>
  <c r="I618" i="1"/>
  <c r="J618" i="1" s="1"/>
  <c r="G618" i="1"/>
  <c r="H618" i="1" s="1"/>
  <c r="E618" i="1"/>
  <c r="I617" i="1"/>
  <c r="J617" i="1" s="1"/>
  <c r="G617" i="1"/>
  <c r="H617" i="1" s="1"/>
  <c r="E617" i="1"/>
  <c r="I616" i="1"/>
  <c r="J616" i="1" s="1"/>
  <c r="G616" i="1"/>
  <c r="H616" i="1" s="1"/>
  <c r="E616" i="1"/>
  <c r="I615" i="1"/>
  <c r="J615" i="1" s="1"/>
  <c r="G615" i="1"/>
  <c r="H615" i="1" s="1"/>
  <c r="E615" i="1"/>
  <c r="I614" i="1"/>
  <c r="J614" i="1" s="1"/>
  <c r="G614" i="1"/>
  <c r="H614" i="1" s="1"/>
  <c r="E614" i="1"/>
  <c r="I613" i="1"/>
  <c r="J613" i="1" s="1"/>
  <c r="G613" i="1"/>
  <c r="H613" i="1" s="1"/>
  <c r="E613" i="1"/>
  <c r="I612" i="1"/>
  <c r="J612" i="1" s="1"/>
  <c r="G612" i="1"/>
  <c r="H612" i="1" s="1"/>
  <c r="E612" i="1"/>
  <c r="I611" i="1"/>
  <c r="J611" i="1" s="1"/>
  <c r="G611" i="1"/>
  <c r="H611" i="1" s="1"/>
  <c r="E611" i="1"/>
  <c r="I610" i="1"/>
  <c r="J610" i="1" s="1"/>
  <c r="G610" i="1"/>
  <c r="H610" i="1" s="1"/>
  <c r="E610" i="1"/>
  <c r="I609" i="1"/>
  <c r="J609" i="1" s="1"/>
  <c r="G609" i="1"/>
  <c r="H609" i="1" s="1"/>
  <c r="E609" i="1"/>
  <c r="I608" i="1"/>
  <c r="J608" i="1" s="1"/>
  <c r="G608" i="1"/>
  <c r="H608" i="1" s="1"/>
  <c r="E608" i="1"/>
  <c r="I607" i="1"/>
  <c r="J607" i="1" s="1"/>
  <c r="G607" i="1"/>
  <c r="H607" i="1" s="1"/>
  <c r="E607" i="1"/>
  <c r="I606" i="1"/>
  <c r="J606" i="1" s="1"/>
  <c r="G606" i="1"/>
  <c r="H606" i="1" s="1"/>
  <c r="E606" i="1"/>
  <c r="I605" i="1"/>
  <c r="J605" i="1" s="1"/>
  <c r="G605" i="1"/>
  <c r="H605" i="1" s="1"/>
  <c r="E605" i="1"/>
  <c r="I604" i="1"/>
  <c r="J604" i="1" s="1"/>
  <c r="G604" i="1"/>
  <c r="H604" i="1" s="1"/>
  <c r="E604" i="1"/>
  <c r="I603" i="1"/>
  <c r="J603" i="1" s="1"/>
  <c r="G603" i="1"/>
  <c r="H603" i="1" s="1"/>
  <c r="E603" i="1"/>
  <c r="I602" i="1"/>
  <c r="J602" i="1" s="1"/>
  <c r="G602" i="1"/>
  <c r="H602" i="1" s="1"/>
  <c r="E602" i="1"/>
  <c r="I601" i="1"/>
  <c r="J601" i="1" s="1"/>
  <c r="G601" i="1"/>
  <c r="H601" i="1" s="1"/>
  <c r="E601" i="1"/>
  <c r="I600" i="1"/>
  <c r="J600" i="1" s="1"/>
  <c r="G600" i="1"/>
  <c r="H600" i="1" s="1"/>
  <c r="E600" i="1"/>
  <c r="I599" i="1"/>
  <c r="J599" i="1" s="1"/>
  <c r="G599" i="1"/>
  <c r="H599" i="1" s="1"/>
  <c r="E599" i="1"/>
  <c r="I598" i="1"/>
  <c r="J598" i="1" s="1"/>
  <c r="G598" i="1"/>
  <c r="H598" i="1" s="1"/>
  <c r="E598" i="1"/>
  <c r="I597" i="1"/>
  <c r="J597" i="1" s="1"/>
  <c r="G597" i="1"/>
  <c r="H597" i="1" s="1"/>
  <c r="E597" i="1"/>
  <c r="I596" i="1"/>
  <c r="J596" i="1" s="1"/>
  <c r="G596" i="1"/>
  <c r="H596" i="1" s="1"/>
  <c r="E596" i="1"/>
  <c r="I595" i="1"/>
  <c r="J595" i="1" s="1"/>
  <c r="G595" i="1"/>
  <c r="H595" i="1" s="1"/>
  <c r="E595" i="1"/>
  <c r="I594" i="1"/>
  <c r="J594" i="1" s="1"/>
  <c r="G594" i="1"/>
  <c r="H594" i="1" s="1"/>
  <c r="E594" i="1"/>
  <c r="I593" i="1"/>
  <c r="J593" i="1" s="1"/>
  <c r="G593" i="1"/>
  <c r="H593" i="1" s="1"/>
  <c r="E593" i="1"/>
  <c r="I592" i="1"/>
  <c r="J592" i="1" s="1"/>
  <c r="G592" i="1"/>
  <c r="H592" i="1" s="1"/>
  <c r="E592" i="1"/>
  <c r="I591" i="1"/>
  <c r="J591" i="1" s="1"/>
  <c r="G591" i="1"/>
  <c r="H591" i="1" s="1"/>
  <c r="E591" i="1"/>
  <c r="I590" i="1"/>
  <c r="J590" i="1" s="1"/>
  <c r="G590" i="1"/>
  <c r="H590" i="1" s="1"/>
  <c r="E590" i="1"/>
  <c r="I589" i="1"/>
  <c r="J589" i="1" s="1"/>
  <c r="G589" i="1"/>
  <c r="H589" i="1" s="1"/>
  <c r="E589" i="1"/>
  <c r="I588" i="1"/>
  <c r="J588" i="1" s="1"/>
  <c r="G588" i="1"/>
  <c r="H588" i="1" s="1"/>
  <c r="E588" i="1"/>
  <c r="I587" i="1"/>
  <c r="J587" i="1" s="1"/>
  <c r="G587" i="1"/>
  <c r="H587" i="1" s="1"/>
  <c r="E587" i="1"/>
  <c r="I586" i="1"/>
  <c r="J586" i="1" s="1"/>
  <c r="G586" i="1"/>
  <c r="H586" i="1" s="1"/>
  <c r="E586" i="1"/>
  <c r="I585" i="1"/>
  <c r="J585" i="1" s="1"/>
  <c r="G585" i="1"/>
  <c r="H585" i="1" s="1"/>
  <c r="E585" i="1"/>
  <c r="I584" i="1"/>
  <c r="J584" i="1" s="1"/>
  <c r="G584" i="1"/>
  <c r="H584" i="1" s="1"/>
  <c r="E584" i="1"/>
  <c r="I583" i="1"/>
  <c r="J583" i="1" s="1"/>
  <c r="G583" i="1"/>
  <c r="H583" i="1" s="1"/>
  <c r="E583" i="1"/>
  <c r="I582" i="1"/>
  <c r="J582" i="1" s="1"/>
  <c r="G582" i="1"/>
  <c r="H582" i="1" s="1"/>
  <c r="E582" i="1"/>
  <c r="I581" i="1"/>
  <c r="J581" i="1" s="1"/>
  <c r="G581" i="1"/>
  <c r="H581" i="1" s="1"/>
  <c r="E581" i="1"/>
  <c r="I580" i="1"/>
  <c r="J580" i="1" s="1"/>
  <c r="G580" i="1"/>
  <c r="F580" i="1"/>
  <c r="E580" i="1"/>
  <c r="I579" i="1"/>
  <c r="J579" i="1" s="1"/>
  <c r="G579" i="1"/>
  <c r="H579" i="1" s="1"/>
  <c r="E579" i="1"/>
  <c r="I578" i="1"/>
  <c r="J578" i="1" s="1"/>
  <c r="G578" i="1"/>
  <c r="H578" i="1" s="1"/>
  <c r="E578" i="1"/>
  <c r="I577" i="1"/>
  <c r="J577" i="1" s="1"/>
  <c r="G577" i="1"/>
  <c r="H577" i="1" s="1"/>
  <c r="E577" i="1"/>
  <c r="I576" i="1"/>
  <c r="J576" i="1" s="1"/>
  <c r="G576" i="1"/>
  <c r="H576" i="1" s="1"/>
  <c r="E576" i="1"/>
  <c r="I575" i="1"/>
  <c r="J575" i="1" s="1"/>
  <c r="G575" i="1"/>
  <c r="H575" i="1" s="1"/>
  <c r="E575" i="1"/>
  <c r="I574" i="1"/>
  <c r="J574" i="1" s="1"/>
  <c r="G574" i="1"/>
  <c r="H574" i="1" s="1"/>
  <c r="E574" i="1"/>
  <c r="I573" i="1"/>
  <c r="J573" i="1" s="1"/>
  <c r="G573" i="1"/>
  <c r="H573" i="1" s="1"/>
  <c r="E573" i="1"/>
  <c r="I572" i="1"/>
  <c r="J572" i="1" s="1"/>
  <c r="G572" i="1"/>
  <c r="H572" i="1" s="1"/>
  <c r="E572" i="1"/>
  <c r="I571" i="1"/>
  <c r="J571" i="1" s="1"/>
  <c r="G571" i="1"/>
  <c r="H571" i="1" s="1"/>
  <c r="E571" i="1"/>
  <c r="I570" i="1"/>
  <c r="J570" i="1" s="1"/>
  <c r="G570" i="1"/>
  <c r="H570" i="1" s="1"/>
  <c r="E570" i="1"/>
  <c r="I569" i="1"/>
  <c r="J569" i="1" s="1"/>
  <c r="G569" i="1"/>
  <c r="H569" i="1" s="1"/>
  <c r="E569" i="1"/>
  <c r="I568" i="1"/>
  <c r="J568" i="1" s="1"/>
  <c r="G568" i="1"/>
  <c r="H568" i="1" s="1"/>
  <c r="E568" i="1"/>
  <c r="I567" i="1"/>
  <c r="J567" i="1" s="1"/>
  <c r="G567" i="1"/>
  <c r="H567" i="1" s="1"/>
  <c r="E567" i="1"/>
  <c r="I566" i="1"/>
  <c r="J566" i="1" s="1"/>
  <c r="G566" i="1"/>
  <c r="H566" i="1" s="1"/>
  <c r="E566" i="1"/>
  <c r="I565" i="1"/>
  <c r="J565" i="1" s="1"/>
  <c r="G565" i="1"/>
  <c r="H565" i="1" s="1"/>
  <c r="E565" i="1"/>
  <c r="I564" i="1"/>
  <c r="J564" i="1" s="1"/>
  <c r="G564" i="1"/>
  <c r="H564" i="1" s="1"/>
  <c r="E564" i="1"/>
  <c r="I563" i="1"/>
  <c r="J563" i="1" s="1"/>
  <c r="G563" i="1"/>
  <c r="H563" i="1" s="1"/>
  <c r="E563" i="1"/>
  <c r="I562" i="1"/>
  <c r="J562" i="1" s="1"/>
  <c r="G562" i="1"/>
  <c r="H562" i="1" s="1"/>
  <c r="E562" i="1"/>
  <c r="I561" i="1"/>
  <c r="J561" i="1" s="1"/>
  <c r="G561" i="1"/>
  <c r="H561" i="1" s="1"/>
  <c r="E561" i="1"/>
  <c r="I560" i="1"/>
  <c r="J560" i="1" s="1"/>
  <c r="G560" i="1"/>
  <c r="H560" i="1" s="1"/>
  <c r="E560" i="1"/>
  <c r="I559" i="1"/>
  <c r="J559" i="1" s="1"/>
  <c r="G559" i="1"/>
  <c r="H559" i="1" s="1"/>
  <c r="E559" i="1"/>
  <c r="I558" i="1"/>
  <c r="J558" i="1" s="1"/>
  <c r="G558" i="1"/>
  <c r="H558" i="1" s="1"/>
  <c r="E558" i="1"/>
  <c r="I557" i="1"/>
  <c r="J557" i="1" s="1"/>
  <c r="G557" i="1"/>
  <c r="H557" i="1" s="1"/>
  <c r="E557" i="1"/>
  <c r="I556" i="1"/>
  <c r="J556" i="1" s="1"/>
  <c r="G556" i="1"/>
  <c r="H556" i="1" s="1"/>
  <c r="E556" i="1"/>
  <c r="I555" i="1"/>
  <c r="J555" i="1" s="1"/>
  <c r="G555" i="1"/>
  <c r="H555" i="1" s="1"/>
  <c r="E555" i="1"/>
  <c r="I554" i="1"/>
  <c r="J554" i="1" s="1"/>
  <c r="G554" i="1"/>
  <c r="H554" i="1" s="1"/>
  <c r="E554" i="1"/>
  <c r="I553" i="1"/>
  <c r="J553" i="1" s="1"/>
  <c r="G553" i="1"/>
  <c r="H553" i="1" s="1"/>
  <c r="E553" i="1"/>
  <c r="I552" i="1"/>
  <c r="J552" i="1" s="1"/>
  <c r="G552" i="1"/>
  <c r="H552" i="1" s="1"/>
  <c r="E552" i="1"/>
  <c r="I551" i="1"/>
  <c r="J551" i="1" s="1"/>
  <c r="G551" i="1"/>
  <c r="H551" i="1" s="1"/>
  <c r="E551" i="1"/>
  <c r="I550" i="1"/>
  <c r="J550" i="1" s="1"/>
  <c r="G550" i="1"/>
  <c r="H550" i="1" s="1"/>
  <c r="E550" i="1"/>
  <c r="I549" i="1"/>
  <c r="J549" i="1" s="1"/>
  <c r="G549" i="1"/>
  <c r="H549" i="1" s="1"/>
  <c r="E549" i="1"/>
  <c r="I548" i="1"/>
  <c r="J548" i="1" s="1"/>
  <c r="G548" i="1"/>
  <c r="H548" i="1" s="1"/>
  <c r="E548" i="1"/>
  <c r="I547" i="1"/>
  <c r="J547" i="1" s="1"/>
  <c r="G547" i="1"/>
  <c r="H547" i="1" s="1"/>
  <c r="E547" i="1"/>
  <c r="I546" i="1"/>
  <c r="J546" i="1" s="1"/>
  <c r="G546" i="1"/>
  <c r="H546" i="1" s="1"/>
  <c r="E546" i="1"/>
  <c r="I545" i="1"/>
  <c r="J545" i="1" s="1"/>
  <c r="G545" i="1"/>
  <c r="H545" i="1" s="1"/>
  <c r="E545" i="1"/>
  <c r="I544" i="1"/>
  <c r="J544" i="1" s="1"/>
  <c r="G544" i="1"/>
  <c r="H544" i="1" s="1"/>
  <c r="E544" i="1"/>
  <c r="I543" i="1"/>
  <c r="J543" i="1" s="1"/>
  <c r="G543" i="1"/>
  <c r="H543" i="1" s="1"/>
  <c r="E543" i="1"/>
  <c r="I542" i="1"/>
  <c r="J542" i="1" s="1"/>
  <c r="G542" i="1"/>
  <c r="H542" i="1" s="1"/>
  <c r="E542" i="1"/>
  <c r="I541" i="1"/>
  <c r="J541" i="1" s="1"/>
  <c r="G541" i="1"/>
  <c r="H541" i="1" s="1"/>
  <c r="E541" i="1"/>
  <c r="I540" i="1"/>
  <c r="J540" i="1" s="1"/>
  <c r="G540" i="1"/>
  <c r="H540" i="1" s="1"/>
  <c r="E540" i="1"/>
  <c r="I539" i="1"/>
  <c r="J539" i="1" s="1"/>
  <c r="G539" i="1"/>
  <c r="H539" i="1" s="1"/>
  <c r="E539" i="1"/>
  <c r="I538" i="1"/>
  <c r="J538" i="1" s="1"/>
  <c r="G538" i="1"/>
  <c r="H538" i="1" s="1"/>
  <c r="E538" i="1"/>
  <c r="I537" i="1"/>
  <c r="J537" i="1" s="1"/>
  <c r="G537" i="1"/>
  <c r="H537" i="1" s="1"/>
  <c r="E537" i="1"/>
  <c r="I536" i="1"/>
  <c r="J536" i="1" s="1"/>
  <c r="G536" i="1"/>
  <c r="H536" i="1" s="1"/>
  <c r="E536" i="1"/>
  <c r="I535" i="1"/>
  <c r="J535" i="1" s="1"/>
  <c r="G535" i="1"/>
  <c r="H535" i="1" s="1"/>
  <c r="E535" i="1"/>
  <c r="I534" i="1"/>
  <c r="J534" i="1" s="1"/>
  <c r="G534" i="1"/>
  <c r="H534" i="1" s="1"/>
  <c r="E534" i="1"/>
  <c r="I533" i="1"/>
  <c r="J533" i="1" s="1"/>
  <c r="G533" i="1"/>
  <c r="H533" i="1" s="1"/>
  <c r="E533" i="1"/>
  <c r="I532" i="1"/>
  <c r="J532" i="1" s="1"/>
  <c r="G532" i="1"/>
  <c r="H532" i="1" s="1"/>
  <c r="E532" i="1"/>
  <c r="I531" i="1"/>
  <c r="J531" i="1" s="1"/>
  <c r="G531" i="1"/>
  <c r="H531" i="1" s="1"/>
  <c r="E531" i="1"/>
  <c r="I530" i="1"/>
  <c r="J530" i="1" s="1"/>
  <c r="G530" i="1"/>
  <c r="H530" i="1" s="1"/>
  <c r="E530" i="1"/>
  <c r="I529" i="1"/>
  <c r="J529" i="1" s="1"/>
  <c r="G529" i="1"/>
  <c r="H529" i="1" s="1"/>
  <c r="E529" i="1"/>
  <c r="I528" i="1"/>
  <c r="J528" i="1" s="1"/>
  <c r="G528" i="1"/>
  <c r="H528" i="1" s="1"/>
  <c r="E528" i="1"/>
  <c r="I527" i="1"/>
  <c r="J527" i="1" s="1"/>
  <c r="G527" i="1"/>
  <c r="H527" i="1" s="1"/>
  <c r="E527" i="1"/>
  <c r="I526" i="1"/>
  <c r="J526" i="1" s="1"/>
  <c r="G526" i="1"/>
  <c r="H526" i="1" s="1"/>
  <c r="E526" i="1"/>
  <c r="I525" i="1"/>
  <c r="J525" i="1" s="1"/>
  <c r="G525" i="1"/>
  <c r="H525" i="1" s="1"/>
  <c r="E525" i="1"/>
  <c r="I524" i="1"/>
  <c r="J524" i="1" s="1"/>
  <c r="G524" i="1"/>
  <c r="H524" i="1" s="1"/>
  <c r="E524" i="1"/>
  <c r="I523" i="1"/>
  <c r="J523" i="1" s="1"/>
  <c r="G523" i="1"/>
  <c r="H523" i="1" s="1"/>
  <c r="E523" i="1"/>
  <c r="I522" i="1"/>
  <c r="J522" i="1" s="1"/>
  <c r="G522" i="1"/>
  <c r="H522" i="1" s="1"/>
  <c r="E522" i="1"/>
  <c r="I521" i="1"/>
  <c r="J521" i="1" s="1"/>
  <c r="G521" i="1"/>
  <c r="H521" i="1" s="1"/>
  <c r="E521" i="1"/>
  <c r="I520" i="1"/>
  <c r="J520" i="1" s="1"/>
  <c r="G520" i="1"/>
  <c r="H520" i="1" s="1"/>
  <c r="E520" i="1"/>
  <c r="I519" i="1"/>
  <c r="J519" i="1" s="1"/>
  <c r="G519" i="1"/>
  <c r="H519" i="1" s="1"/>
  <c r="E519" i="1"/>
  <c r="I518" i="1"/>
  <c r="J518" i="1" s="1"/>
  <c r="G518" i="1"/>
  <c r="H518" i="1" s="1"/>
  <c r="E518" i="1"/>
  <c r="I517" i="1"/>
  <c r="J517" i="1" s="1"/>
  <c r="G517" i="1"/>
  <c r="H517" i="1" s="1"/>
  <c r="E517" i="1"/>
  <c r="I516" i="1"/>
  <c r="J516" i="1" s="1"/>
  <c r="G516" i="1"/>
  <c r="H516" i="1" s="1"/>
  <c r="E516" i="1"/>
  <c r="I515" i="1"/>
  <c r="J515" i="1" s="1"/>
  <c r="G515" i="1"/>
  <c r="H515" i="1" s="1"/>
  <c r="E515" i="1"/>
  <c r="I514" i="1"/>
  <c r="J514" i="1" s="1"/>
  <c r="G514" i="1"/>
  <c r="H514" i="1" s="1"/>
  <c r="E514" i="1"/>
  <c r="I513" i="1"/>
  <c r="J513" i="1" s="1"/>
  <c r="G513" i="1"/>
  <c r="H513" i="1" s="1"/>
  <c r="E513" i="1"/>
  <c r="I512" i="1"/>
  <c r="J512" i="1" s="1"/>
  <c r="G512" i="1"/>
  <c r="H512" i="1" s="1"/>
  <c r="E512" i="1"/>
  <c r="I511" i="1"/>
  <c r="J511" i="1" s="1"/>
  <c r="G511" i="1"/>
  <c r="H511" i="1" s="1"/>
  <c r="E511" i="1"/>
  <c r="I510" i="1"/>
  <c r="J510" i="1" s="1"/>
  <c r="G510" i="1"/>
  <c r="H510" i="1" s="1"/>
  <c r="E510" i="1"/>
  <c r="I509" i="1"/>
  <c r="J509" i="1" s="1"/>
  <c r="G509" i="1"/>
  <c r="H509" i="1" s="1"/>
  <c r="E509" i="1"/>
  <c r="I508" i="1"/>
  <c r="J508" i="1" s="1"/>
  <c r="G508" i="1"/>
  <c r="H508" i="1" s="1"/>
  <c r="E508" i="1"/>
  <c r="I507" i="1"/>
  <c r="J507" i="1" s="1"/>
  <c r="G507" i="1"/>
  <c r="H507" i="1" s="1"/>
  <c r="E507" i="1"/>
  <c r="I506" i="1"/>
  <c r="J506" i="1" s="1"/>
  <c r="G506" i="1"/>
  <c r="H506" i="1" s="1"/>
  <c r="E506" i="1"/>
  <c r="I505" i="1"/>
  <c r="J505" i="1" s="1"/>
  <c r="G505" i="1"/>
  <c r="H505" i="1" s="1"/>
  <c r="E505" i="1"/>
  <c r="I504" i="1"/>
  <c r="J504" i="1" s="1"/>
  <c r="J646" i="1" s="1"/>
  <c r="G504" i="1"/>
  <c r="H504" i="1" s="1"/>
  <c r="E504" i="1"/>
  <c r="I487" i="1"/>
  <c r="J487" i="1" s="1"/>
  <c r="G487" i="1"/>
  <c r="H487" i="1" s="1"/>
  <c r="E487" i="1"/>
  <c r="I486" i="1"/>
  <c r="J486" i="1" s="1"/>
  <c r="G486" i="1"/>
  <c r="H486" i="1" s="1"/>
  <c r="E486" i="1"/>
  <c r="I485" i="1"/>
  <c r="J485" i="1" s="1"/>
  <c r="G485" i="1"/>
  <c r="H485" i="1" s="1"/>
  <c r="E485" i="1"/>
  <c r="I484" i="1"/>
  <c r="J484" i="1" s="1"/>
  <c r="G484" i="1"/>
  <c r="H484" i="1" s="1"/>
  <c r="E484" i="1"/>
  <c r="I483" i="1"/>
  <c r="J483" i="1" s="1"/>
  <c r="G483" i="1"/>
  <c r="H483" i="1" s="1"/>
  <c r="E483" i="1"/>
  <c r="I482" i="1"/>
  <c r="J482" i="1" s="1"/>
  <c r="G482" i="1"/>
  <c r="H482" i="1" s="1"/>
  <c r="E482" i="1"/>
  <c r="I481" i="1"/>
  <c r="J481" i="1" s="1"/>
  <c r="G481" i="1"/>
  <c r="H481" i="1" s="1"/>
  <c r="E481" i="1"/>
  <c r="I480" i="1"/>
  <c r="G480" i="1"/>
  <c r="H480" i="1" s="1"/>
  <c r="E480" i="1"/>
  <c r="F480" i="1" s="1"/>
  <c r="I479" i="1"/>
  <c r="J479" i="1" s="1"/>
  <c r="G479" i="1"/>
  <c r="H479" i="1" s="1"/>
  <c r="E479" i="1"/>
  <c r="I478" i="1"/>
  <c r="J478" i="1" s="1"/>
  <c r="G478" i="1"/>
  <c r="H478" i="1" s="1"/>
  <c r="E478" i="1"/>
  <c r="I477" i="1"/>
  <c r="J477" i="1" s="1"/>
  <c r="G477" i="1"/>
  <c r="H477" i="1" s="1"/>
  <c r="E477" i="1"/>
  <c r="I476" i="1"/>
  <c r="J476" i="1" s="1"/>
  <c r="G476" i="1"/>
  <c r="H476" i="1" s="1"/>
  <c r="E476" i="1"/>
  <c r="I475" i="1"/>
  <c r="J475" i="1" s="1"/>
  <c r="G475" i="1"/>
  <c r="H475" i="1" s="1"/>
  <c r="E475" i="1"/>
  <c r="I474" i="1"/>
  <c r="J474" i="1" s="1"/>
  <c r="G474" i="1"/>
  <c r="H474" i="1" s="1"/>
  <c r="E474" i="1"/>
  <c r="I473" i="1"/>
  <c r="J473" i="1" s="1"/>
  <c r="G473" i="1"/>
  <c r="H473" i="1" s="1"/>
  <c r="E473" i="1"/>
  <c r="I472" i="1"/>
  <c r="J472" i="1" s="1"/>
  <c r="G472" i="1"/>
  <c r="H472" i="1" s="1"/>
  <c r="E472" i="1"/>
  <c r="I471" i="1"/>
  <c r="J471" i="1" s="1"/>
  <c r="G471" i="1"/>
  <c r="H471" i="1" s="1"/>
  <c r="E471" i="1"/>
  <c r="I470" i="1"/>
  <c r="J470" i="1" s="1"/>
  <c r="G470" i="1"/>
  <c r="H470" i="1" s="1"/>
  <c r="E470" i="1"/>
  <c r="I469" i="1"/>
  <c r="J469" i="1" s="1"/>
  <c r="G469" i="1"/>
  <c r="H469" i="1" s="1"/>
  <c r="E469" i="1"/>
  <c r="I468" i="1"/>
  <c r="J468" i="1" s="1"/>
  <c r="G468" i="1"/>
  <c r="H468" i="1" s="1"/>
  <c r="E468" i="1"/>
  <c r="I467" i="1"/>
  <c r="J467" i="1" s="1"/>
  <c r="G467" i="1"/>
  <c r="H467" i="1" s="1"/>
  <c r="E467" i="1"/>
  <c r="I466" i="1"/>
  <c r="J466" i="1" s="1"/>
  <c r="G466" i="1"/>
  <c r="H466" i="1" s="1"/>
  <c r="E466" i="1"/>
  <c r="I465" i="1"/>
  <c r="J465" i="1" s="1"/>
  <c r="G465" i="1"/>
  <c r="H465" i="1" s="1"/>
  <c r="E465" i="1"/>
  <c r="I464" i="1"/>
  <c r="J464" i="1" s="1"/>
  <c r="G464" i="1"/>
  <c r="H464" i="1" s="1"/>
  <c r="E464" i="1"/>
  <c r="I463" i="1"/>
  <c r="J463" i="1" s="1"/>
  <c r="G463" i="1"/>
  <c r="H463" i="1" s="1"/>
  <c r="E463" i="1"/>
  <c r="I462" i="1"/>
  <c r="J462" i="1" s="1"/>
  <c r="G462" i="1"/>
  <c r="H462" i="1" s="1"/>
  <c r="H502" i="1" s="1"/>
  <c r="E462" i="1"/>
  <c r="I451" i="1"/>
  <c r="J451" i="1" s="1"/>
  <c r="G451" i="1"/>
  <c r="H451" i="1" s="1"/>
  <c r="E451" i="1"/>
  <c r="I450" i="1"/>
  <c r="J450" i="1" s="1"/>
  <c r="G450" i="1"/>
  <c r="H450" i="1" s="1"/>
  <c r="E450" i="1"/>
  <c r="I449" i="1"/>
  <c r="J449" i="1" s="1"/>
  <c r="G449" i="1"/>
  <c r="H449" i="1" s="1"/>
  <c r="E449" i="1"/>
  <c r="I448" i="1"/>
  <c r="J448" i="1" s="1"/>
  <c r="G448" i="1"/>
  <c r="H448" i="1" s="1"/>
  <c r="E448" i="1"/>
  <c r="I447" i="1"/>
  <c r="J447" i="1" s="1"/>
  <c r="G447" i="1"/>
  <c r="H447" i="1" s="1"/>
  <c r="E447" i="1"/>
  <c r="I446" i="1"/>
  <c r="J446" i="1" s="1"/>
  <c r="G446" i="1"/>
  <c r="H446" i="1" s="1"/>
  <c r="E446" i="1"/>
  <c r="I445" i="1"/>
  <c r="J445" i="1" s="1"/>
  <c r="G445" i="1"/>
  <c r="H445" i="1" s="1"/>
  <c r="E445" i="1"/>
  <c r="I444" i="1"/>
  <c r="J444" i="1" s="1"/>
  <c r="G444" i="1"/>
  <c r="H444" i="1" s="1"/>
  <c r="E444" i="1"/>
  <c r="I443" i="1"/>
  <c r="J443" i="1" s="1"/>
  <c r="G443" i="1"/>
  <c r="H443" i="1" s="1"/>
  <c r="E443" i="1"/>
  <c r="I442" i="1"/>
  <c r="J442" i="1" s="1"/>
  <c r="G442" i="1"/>
  <c r="H442" i="1" s="1"/>
  <c r="E442" i="1"/>
  <c r="I441" i="1"/>
  <c r="J441" i="1" s="1"/>
  <c r="G441" i="1"/>
  <c r="H441" i="1" s="1"/>
  <c r="E441" i="1"/>
  <c r="I440" i="1"/>
  <c r="J440" i="1" s="1"/>
  <c r="G440" i="1"/>
  <c r="H440" i="1" s="1"/>
  <c r="E440" i="1"/>
  <c r="I439" i="1"/>
  <c r="J439" i="1" s="1"/>
  <c r="G439" i="1"/>
  <c r="H439" i="1" s="1"/>
  <c r="E439" i="1"/>
  <c r="I438" i="1"/>
  <c r="J438" i="1" s="1"/>
  <c r="G438" i="1"/>
  <c r="H438" i="1" s="1"/>
  <c r="E438" i="1"/>
  <c r="I437" i="1"/>
  <c r="J437" i="1" s="1"/>
  <c r="G437" i="1"/>
  <c r="H437" i="1" s="1"/>
  <c r="E437" i="1"/>
  <c r="I436" i="1"/>
  <c r="J436" i="1" s="1"/>
  <c r="G436" i="1"/>
  <c r="H436" i="1" s="1"/>
  <c r="E436" i="1"/>
  <c r="I435" i="1"/>
  <c r="J435" i="1" s="1"/>
  <c r="G435" i="1"/>
  <c r="H435" i="1" s="1"/>
  <c r="E435" i="1"/>
  <c r="I434" i="1"/>
  <c r="J434" i="1" s="1"/>
  <c r="H434" i="1"/>
  <c r="G434" i="1"/>
  <c r="E434" i="1"/>
  <c r="J433" i="1"/>
  <c r="I433" i="1"/>
  <c r="G433" i="1"/>
  <c r="H433" i="1" s="1"/>
  <c r="E433" i="1"/>
  <c r="I432" i="1"/>
  <c r="J432" i="1" s="1"/>
  <c r="G432" i="1"/>
  <c r="H432" i="1" s="1"/>
  <c r="E432" i="1"/>
  <c r="I431" i="1"/>
  <c r="J431" i="1" s="1"/>
  <c r="G431" i="1"/>
  <c r="H431" i="1" s="1"/>
  <c r="E431" i="1"/>
  <c r="I430" i="1"/>
  <c r="J430" i="1" s="1"/>
  <c r="G430" i="1"/>
  <c r="H430" i="1" s="1"/>
  <c r="E430" i="1"/>
  <c r="I429" i="1"/>
  <c r="J429" i="1" s="1"/>
  <c r="G429" i="1"/>
  <c r="H429" i="1" s="1"/>
  <c r="E429" i="1"/>
  <c r="I428" i="1"/>
  <c r="J428" i="1" s="1"/>
  <c r="G428" i="1"/>
  <c r="H428" i="1" s="1"/>
  <c r="E428" i="1"/>
  <c r="I427" i="1"/>
  <c r="J427" i="1" s="1"/>
  <c r="G427" i="1"/>
  <c r="H427" i="1" s="1"/>
  <c r="E427" i="1"/>
  <c r="I426" i="1"/>
  <c r="J426" i="1" s="1"/>
  <c r="G426" i="1"/>
  <c r="H426" i="1" s="1"/>
  <c r="E426" i="1"/>
  <c r="I425" i="1"/>
  <c r="J425" i="1" s="1"/>
  <c r="G425" i="1"/>
  <c r="H425" i="1" s="1"/>
  <c r="E425" i="1"/>
  <c r="I424" i="1"/>
  <c r="J424" i="1" s="1"/>
  <c r="G424" i="1"/>
  <c r="H424" i="1" s="1"/>
  <c r="E424" i="1"/>
  <c r="I423" i="1"/>
  <c r="J423" i="1" s="1"/>
  <c r="G423" i="1"/>
  <c r="H423" i="1" s="1"/>
  <c r="E423" i="1"/>
  <c r="I422" i="1"/>
  <c r="J422" i="1" s="1"/>
  <c r="G422" i="1"/>
  <c r="H422" i="1" s="1"/>
  <c r="E422" i="1"/>
  <c r="I421" i="1"/>
  <c r="J421" i="1" s="1"/>
  <c r="G421" i="1"/>
  <c r="H421" i="1" s="1"/>
  <c r="E421" i="1"/>
  <c r="I420" i="1"/>
  <c r="J420" i="1" s="1"/>
  <c r="G420" i="1"/>
  <c r="H420" i="1" s="1"/>
  <c r="E420" i="1"/>
  <c r="I419" i="1"/>
  <c r="J419" i="1" s="1"/>
  <c r="G419" i="1"/>
  <c r="H419" i="1" s="1"/>
  <c r="E419" i="1"/>
  <c r="I418" i="1"/>
  <c r="J418" i="1" s="1"/>
  <c r="G418" i="1"/>
  <c r="H418" i="1" s="1"/>
  <c r="E418" i="1"/>
  <c r="I417" i="1"/>
  <c r="J417" i="1" s="1"/>
  <c r="G417" i="1"/>
  <c r="H417" i="1" s="1"/>
  <c r="E417" i="1"/>
  <c r="I416" i="1"/>
  <c r="J416" i="1" s="1"/>
  <c r="G416" i="1"/>
  <c r="H416" i="1" s="1"/>
  <c r="E416" i="1"/>
  <c r="I415" i="1"/>
  <c r="J415" i="1" s="1"/>
  <c r="G415" i="1"/>
  <c r="H415" i="1" s="1"/>
  <c r="E415" i="1"/>
  <c r="I414" i="1"/>
  <c r="J414" i="1" s="1"/>
  <c r="G414" i="1"/>
  <c r="H414" i="1" s="1"/>
  <c r="E414" i="1"/>
  <c r="I413" i="1"/>
  <c r="J413" i="1" s="1"/>
  <c r="H413" i="1"/>
  <c r="G413" i="1"/>
  <c r="E413" i="1"/>
  <c r="I412" i="1"/>
  <c r="J412" i="1" s="1"/>
  <c r="G412" i="1"/>
  <c r="H412" i="1" s="1"/>
  <c r="E412" i="1"/>
  <c r="I411" i="1"/>
  <c r="J411" i="1" s="1"/>
  <c r="G411" i="1"/>
  <c r="H411" i="1" s="1"/>
  <c r="E411" i="1"/>
  <c r="I410" i="1"/>
  <c r="J410" i="1" s="1"/>
  <c r="G410" i="1"/>
  <c r="H410" i="1" s="1"/>
  <c r="E410" i="1"/>
  <c r="I409" i="1"/>
  <c r="J409" i="1" s="1"/>
  <c r="G409" i="1"/>
  <c r="H409" i="1" s="1"/>
  <c r="E409" i="1"/>
  <c r="J408" i="1"/>
  <c r="I408" i="1"/>
  <c r="G408" i="1"/>
  <c r="H408" i="1" s="1"/>
  <c r="E408" i="1"/>
  <c r="J407" i="1"/>
  <c r="I407" i="1"/>
  <c r="G407" i="1"/>
  <c r="H407" i="1" s="1"/>
  <c r="E407" i="1"/>
  <c r="I406" i="1"/>
  <c r="J406" i="1" s="1"/>
  <c r="H406" i="1"/>
  <c r="G406" i="1"/>
  <c r="E406" i="1"/>
  <c r="I405" i="1"/>
  <c r="J405" i="1" s="1"/>
  <c r="H405" i="1"/>
  <c r="G405" i="1"/>
  <c r="E405" i="1"/>
  <c r="I404" i="1"/>
  <c r="J404" i="1" s="1"/>
  <c r="G404" i="1"/>
  <c r="H404" i="1" s="1"/>
  <c r="F404" i="1"/>
  <c r="L404" i="1" s="1"/>
  <c r="E404" i="1"/>
  <c r="K404" i="1" s="1"/>
  <c r="I403" i="1"/>
  <c r="J403" i="1" s="1"/>
  <c r="G403" i="1"/>
  <c r="H403" i="1" s="1"/>
  <c r="E403" i="1"/>
  <c r="J402" i="1"/>
  <c r="I402" i="1"/>
  <c r="G402" i="1"/>
  <c r="H402" i="1" s="1"/>
  <c r="E402" i="1"/>
  <c r="I401" i="1"/>
  <c r="J401" i="1" s="1"/>
  <c r="G401" i="1"/>
  <c r="H401" i="1" s="1"/>
  <c r="E401" i="1"/>
  <c r="I400" i="1"/>
  <c r="J400" i="1" s="1"/>
  <c r="G400" i="1"/>
  <c r="H400" i="1" s="1"/>
  <c r="E400" i="1"/>
  <c r="I399" i="1"/>
  <c r="J399" i="1" s="1"/>
  <c r="G399" i="1"/>
  <c r="H399" i="1" s="1"/>
  <c r="E399" i="1"/>
  <c r="I398" i="1"/>
  <c r="J398" i="1" s="1"/>
  <c r="G398" i="1"/>
  <c r="H398" i="1" s="1"/>
  <c r="E398" i="1"/>
  <c r="I397" i="1"/>
  <c r="J397" i="1" s="1"/>
  <c r="G397" i="1"/>
  <c r="H397" i="1" s="1"/>
  <c r="E397" i="1"/>
  <c r="I396" i="1"/>
  <c r="J396" i="1" s="1"/>
  <c r="G396" i="1"/>
  <c r="H396" i="1" s="1"/>
  <c r="E396" i="1"/>
  <c r="I395" i="1"/>
  <c r="J395" i="1" s="1"/>
  <c r="G395" i="1"/>
  <c r="H395" i="1" s="1"/>
  <c r="E395" i="1"/>
  <c r="I394" i="1"/>
  <c r="J394" i="1" s="1"/>
  <c r="G394" i="1"/>
  <c r="H394" i="1" s="1"/>
  <c r="E394" i="1"/>
  <c r="I393" i="1"/>
  <c r="J393" i="1" s="1"/>
  <c r="G393" i="1"/>
  <c r="H393" i="1" s="1"/>
  <c r="E393" i="1"/>
  <c r="I392" i="1"/>
  <c r="J392" i="1" s="1"/>
  <c r="G392" i="1"/>
  <c r="H392" i="1" s="1"/>
  <c r="E392" i="1"/>
  <c r="I391" i="1"/>
  <c r="J391" i="1" s="1"/>
  <c r="G391" i="1"/>
  <c r="H391" i="1" s="1"/>
  <c r="E391" i="1"/>
  <c r="I390" i="1"/>
  <c r="J390" i="1" s="1"/>
  <c r="H390" i="1"/>
  <c r="G390" i="1"/>
  <c r="F390" i="1"/>
  <c r="L390" i="1" s="1"/>
  <c r="E390" i="1"/>
  <c r="K390" i="1" s="1"/>
  <c r="I389" i="1"/>
  <c r="J389" i="1" s="1"/>
  <c r="G389" i="1"/>
  <c r="H389" i="1" s="1"/>
  <c r="E389" i="1"/>
  <c r="J388" i="1"/>
  <c r="I388" i="1"/>
  <c r="G388" i="1"/>
  <c r="H388" i="1" s="1"/>
  <c r="E388" i="1"/>
  <c r="I387" i="1"/>
  <c r="J387" i="1" s="1"/>
  <c r="G387" i="1"/>
  <c r="H387" i="1" s="1"/>
  <c r="E387" i="1"/>
  <c r="I386" i="1"/>
  <c r="J386" i="1" s="1"/>
  <c r="G386" i="1"/>
  <c r="H386" i="1" s="1"/>
  <c r="E386" i="1"/>
  <c r="I385" i="1"/>
  <c r="J385" i="1" s="1"/>
  <c r="G385" i="1"/>
  <c r="H385" i="1" s="1"/>
  <c r="E385" i="1"/>
  <c r="I384" i="1"/>
  <c r="J384" i="1" s="1"/>
  <c r="G384" i="1"/>
  <c r="H384" i="1" s="1"/>
  <c r="E384" i="1"/>
  <c r="I383" i="1"/>
  <c r="J383" i="1" s="1"/>
  <c r="G383" i="1"/>
  <c r="H383" i="1" s="1"/>
  <c r="E383" i="1"/>
  <c r="I382" i="1"/>
  <c r="J382" i="1" s="1"/>
  <c r="G382" i="1"/>
  <c r="H382" i="1" s="1"/>
  <c r="E382" i="1"/>
  <c r="I381" i="1"/>
  <c r="J381" i="1" s="1"/>
  <c r="G381" i="1"/>
  <c r="H381" i="1" s="1"/>
  <c r="E381" i="1"/>
  <c r="I380" i="1"/>
  <c r="J380" i="1" s="1"/>
  <c r="G380" i="1"/>
  <c r="H380" i="1" s="1"/>
  <c r="E380" i="1"/>
  <c r="I379" i="1"/>
  <c r="J379" i="1" s="1"/>
  <c r="G379" i="1"/>
  <c r="H379" i="1" s="1"/>
  <c r="E379" i="1"/>
  <c r="I378" i="1"/>
  <c r="J378" i="1" s="1"/>
  <c r="G378" i="1"/>
  <c r="H378" i="1" s="1"/>
  <c r="E378" i="1"/>
  <c r="I377" i="1"/>
  <c r="J377" i="1" s="1"/>
  <c r="G377" i="1"/>
  <c r="H377" i="1" s="1"/>
  <c r="E377" i="1"/>
  <c r="I376" i="1"/>
  <c r="J376" i="1" s="1"/>
  <c r="G376" i="1"/>
  <c r="H376" i="1" s="1"/>
  <c r="E376" i="1"/>
  <c r="I375" i="1"/>
  <c r="J375" i="1" s="1"/>
  <c r="G375" i="1"/>
  <c r="H375" i="1" s="1"/>
  <c r="E375" i="1"/>
  <c r="I374" i="1"/>
  <c r="J374" i="1" s="1"/>
  <c r="G374" i="1"/>
  <c r="H374" i="1" s="1"/>
  <c r="E374" i="1"/>
  <c r="I373" i="1"/>
  <c r="J373" i="1" s="1"/>
  <c r="G373" i="1"/>
  <c r="H373" i="1" s="1"/>
  <c r="E373" i="1"/>
  <c r="I372" i="1"/>
  <c r="J372" i="1" s="1"/>
  <c r="G372" i="1"/>
  <c r="H372" i="1" s="1"/>
  <c r="E372" i="1"/>
  <c r="I371" i="1"/>
  <c r="J371" i="1" s="1"/>
  <c r="G371" i="1"/>
  <c r="H371" i="1" s="1"/>
  <c r="E371" i="1"/>
  <c r="I370" i="1"/>
  <c r="J370" i="1" s="1"/>
  <c r="G370" i="1"/>
  <c r="H370" i="1" s="1"/>
  <c r="E370" i="1"/>
  <c r="I369" i="1"/>
  <c r="J369" i="1" s="1"/>
  <c r="G369" i="1"/>
  <c r="H369" i="1" s="1"/>
  <c r="E369" i="1"/>
  <c r="I368" i="1"/>
  <c r="J368" i="1" s="1"/>
  <c r="G368" i="1"/>
  <c r="H368" i="1" s="1"/>
  <c r="E368" i="1"/>
  <c r="I367" i="1"/>
  <c r="J367" i="1" s="1"/>
  <c r="G367" i="1"/>
  <c r="H367" i="1" s="1"/>
  <c r="E367" i="1"/>
  <c r="I366" i="1"/>
  <c r="J366" i="1" s="1"/>
  <c r="G366" i="1"/>
  <c r="H366" i="1" s="1"/>
  <c r="E366" i="1"/>
  <c r="I365" i="1"/>
  <c r="J365" i="1" s="1"/>
  <c r="G365" i="1"/>
  <c r="H365" i="1" s="1"/>
  <c r="E365" i="1"/>
  <c r="I364" i="1"/>
  <c r="J364" i="1" s="1"/>
  <c r="G364" i="1"/>
  <c r="H364" i="1" s="1"/>
  <c r="E364" i="1"/>
  <c r="I363" i="1"/>
  <c r="J363" i="1" s="1"/>
  <c r="G363" i="1"/>
  <c r="H363" i="1" s="1"/>
  <c r="E363" i="1"/>
  <c r="I362" i="1"/>
  <c r="J362" i="1" s="1"/>
  <c r="G362" i="1"/>
  <c r="H362" i="1" s="1"/>
  <c r="E362" i="1"/>
  <c r="I361" i="1"/>
  <c r="J361" i="1" s="1"/>
  <c r="G361" i="1"/>
  <c r="H361" i="1" s="1"/>
  <c r="E361" i="1"/>
  <c r="I360" i="1"/>
  <c r="J360" i="1" s="1"/>
  <c r="G360" i="1"/>
  <c r="H360" i="1" s="1"/>
  <c r="E360" i="1"/>
  <c r="I359" i="1"/>
  <c r="J359" i="1" s="1"/>
  <c r="G359" i="1"/>
  <c r="H359" i="1" s="1"/>
  <c r="E359" i="1"/>
  <c r="I358" i="1"/>
  <c r="J358" i="1" s="1"/>
  <c r="G358" i="1"/>
  <c r="H358" i="1" s="1"/>
  <c r="E358" i="1"/>
  <c r="I357" i="1"/>
  <c r="J357" i="1" s="1"/>
  <c r="G357" i="1"/>
  <c r="H357" i="1" s="1"/>
  <c r="E357" i="1"/>
  <c r="I342" i="1"/>
  <c r="J342" i="1" s="1"/>
  <c r="G342" i="1"/>
  <c r="H342" i="1" s="1"/>
  <c r="E342" i="1"/>
  <c r="I341" i="1"/>
  <c r="J341" i="1" s="1"/>
  <c r="G341" i="1"/>
  <c r="H341" i="1" s="1"/>
  <c r="E341" i="1"/>
  <c r="I340" i="1"/>
  <c r="J340" i="1" s="1"/>
  <c r="G340" i="1"/>
  <c r="H340" i="1" s="1"/>
  <c r="E340" i="1"/>
  <c r="I339" i="1"/>
  <c r="J339" i="1" s="1"/>
  <c r="G339" i="1"/>
  <c r="H339" i="1" s="1"/>
  <c r="E339" i="1"/>
  <c r="I338" i="1"/>
  <c r="J338" i="1" s="1"/>
  <c r="G338" i="1"/>
  <c r="H338" i="1" s="1"/>
  <c r="E338" i="1"/>
  <c r="I337" i="1"/>
  <c r="J337" i="1" s="1"/>
  <c r="G337" i="1"/>
  <c r="H337" i="1" s="1"/>
  <c r="E337" i="1"/>
  <c r="I336" i="1"/>
  <c r="J336" i="1" s="1"/>
  <c r="J355" i="1" s="1"/>
  <c r="G336" i="1"/>
  <c r="H336" i="1" s="1"/>
  <c r="H355" i="1" s="1"/>
  <c r="E336" i="1"/>
  <c r="I324" i="1"/>
  <c r="J324" i="1" s="1"/>
  <c r="G324" i="1"/>
  <c r="H324" i="1" s="1"/>
  <c r="E324" i="1"/>
  <c r="I323" i="1"/>
  <c r="J323" i="1" s="1"/>
  <c r="G323" i="1"/>
  <c r="H323" i="1" s="1"/>
  <c r="E323" i="1"/>
  <c r="I322" i="1"/>
  <c r="J322" i="1" s="1"/>
  <c r="G322" i="1"/>
  <c r="H322" i="1" s="1"/>
  <c r="E322" i="1"/>
  <c r="I321" i="1"/>
  <c r="J321" i="1" s="1"/>
  <c r="G321" i="1"/>
  <c r="H321" i="1" s="1"/>
  <c r="E321" i="1"/>
  <c r="I320" i="1"/>
  <c r="J320" i="1" s="1"/>
  <c r="G320" i="1"/>
  <c r="H320" i="1" s="1"/>
  <c r="E320" i="1"/>
  <c r="I319" i="1"/>
  <c r="J319" i="1" s="1"/>
  <c r="G319" i="1"/>
  <c r="H319" i="1" s="1"/>
  <c r="E319" i="1"/>
  <c r="I318" i="1"/>
  <c r="J318" i="1" s="1"/>
  <c r="G318" i="1"/>
  <c r="H318" i="1" s="1"/>
  <c r="E318" i="1"/>
  <c r="I317" i="1"/>
  <c r="J317" i="1" s="1"/>
  <c r="G317" i="1"/>
  <c r="H317" i="1" s="1"/>
  <c r="E317" i="1"/>
  <c r="I316" i="1"/>
  <c r="J316" i="1" s="1"/>
  <c r="G316" i="1"/>
  <c r="H316" i="1" s="1"/>
  <c r="E316" i="1"/>
  <c r="I315" i="1"/>
  <c r="J315" i="1" s="1"/>
  <c r="G315" i="1"/>
  <c r="H315" i="1" s="1"/>
  <c r="E315" i="1"/>
  <c r="I314" i="1"/>
  <c r="J314" i="1" s="1"/>
  <c r="G314" i="1"/>
  <c r="H314" i="1" s="1"/>
  <c r="E314" i="1"/>
  <c r="I313" i="1"/>
  <c r="J313" i="1" s="1"/>
  <c r="G313" i="1"/>
  <c r="H313" i="1" s="1"/>
  <c r="E313" i="1"/>
  <c r="I312" i="1"/>
  <c r="J312" i="1" s="1"/>
  <c r="G312" i="1"/>
  <c r="H312" i="1" s="1"/>
  <c r="E312" i="1"/>
  <c r="I311" i="1"/>
  <c r="J311" i="1" s="1"/>
  <c r="G311" i="1"/>
  <c r="H311" i="1" s="1"/>
  <c r="E311" i="1"/>
  <c r="I310" i="1"/>
  <c r="J310" i="1" s="1"/>
  <c r="G310" i="1"/>
  <c r="H310" i="1" s="1"/>
  <c r="E310" i="1"/>
  <c r="I309" i="1"/>
  <c r="J309" i="1" s="1"/>
  <c r="G309" i="1"/>
  <c r="H309" i="1" s="1"/>
  <c r="E309" i="1"/>
  <c r="I308" i="1"/>
  <c r="J308" i="1" s="1"/>
  <c r="G308" i="1"/>
  <c r="H308" i="1" s="1"/>
  <c r="E308" i="1"/>
  <c r="I307" i="1"/>
  <c r="J307" i="1" s="1"/>
  <c r="G307" i="1"/>
  <c r="H307" i="1" s="1"/>
  <c r="E307" i="1"/>
  <c r="I306" i="1"/>
  <c r="J306" i="1" s="1"/>
  <c r="G306" i="1"/>
  <c r="H306" i="1" s="1"/>
  <c r="E306" i="1"/>
  <c r="I305" i="1"/>
  <c r="J305" i="1" s="1"/>
  <c r="G305" i="1"/>
  <c r="H305" i="1" s="1"/>
  <c r="E305" i="1"/>
  <c r="I304" i="1"/>
  <c r="J304" i="1" s="1"/>
  <c r="G304" i="1"/>
  <c r="H304" i="1" s="1"/>
  <c r="E304" i="1"/>
  <c r="I303" i="1"/>
  <c r="J303" i="1" s="1"/>
  <c r="G303" i="1"/>
  <c r="H303" i="1" s="1"/>
  <c r="E303" i="1"/>
  <c r="I302" i="1"/>
  <c r="J302" i="1" s="1"/>
  <c r="G302" i="1"/>
  <c r="H302" i="1" s="1"/>
  <c r="E302" i="1"/>
  <c r="I301" i="1"/>
  <c r="J301" i="1" s="1"/>
  <c r="G301" i="1"/>
  <c r="H301" i="1" s="1"/>
  <c r="E301" i="1"/>
  <c r="I300" i="1"/>
  <c r="J300" i="1" s="1"/>
  <c r="G300" i="1"/>
  <c r="H300" i="1" s="1"/>
  <c r="E300" i="1"/>
  <c r="I299" i="1"/>
  <c r="J299" i="1" s="1"/>
  <c r="G299" i="1"/>
  <c r="H299" i="1" s="1"/>
  <c r="E299" i="1"/>
  <c r="I298" i="1"/>
  <c r="J298" i="1" s="1"/>
  <c r="G298" i="1"/>
  <c r="H298" i="1" s="1"/>
  <c r="E298" i="1"/>
  <c r="I297" i="1"/>
  <c r="J297" i="1" s="1"/>
  <c r="G297" i="1"/>
  <c r="H297" i="1" s="1"/>
  <c r="E297" i="1"/>
  <c r="I296" i="1"/>
  <c r="J296" i="1" s="1"/>
  <c r="G296" i="1"/>
  <c r="H296" i="1" s="1"/>
  <c r="E296" i="1"/>
  <c r="I295" i="1"/>
  <c r="J295" i="1" s="1"/>
  <c r="G295" i="1"/>
  <c r="H295" i="1" s="1"/>
  <c r="E295" i="1"/>
  <c r="I294" i="1"/>
  <c r="J294" i="1" s="1"/>
  <c r="J334" i="1" s="1"/>
  <c r="G294" i="1"/>
  <c r="H294" i="1" s="1"/>
  <c r="H334" i="1" s="1"/>
  <c r="E294" i="1"/>
  <c r="I278" i="1"/>
  <c r="J278" i="1" s="1"/>
  <c r="G278" i="1"/>
  <c r="H278" i="1" s="1"/>
  <c r="E278" i="1"/>
  <c r="I277" i="1"/>
  <c r="J277" i="1" s="1"/>
  <c r="G277" i="1"/>
  <c r="H277" i="1" s="1"/>
  <c r="E277" i="1"/>
  <c r="I276" i="1"/>
  <c r="J276" i="1" s="1"/>
  <c r="G276" i="1"/>
  <c r="H276" i="1" s="1"/>
  <c r="E276" i="1"/>
  <c r="I275" i="1"/>
  <c r="J275" i="1" s="1"/>
  <c r="G275" i="1"/>
  <c r="H275" i="1" s="1"/>
  <c r="E275" i="1"/>
  <c r="I274" i="1"/>
  <c r="J274" i="1" s="1"/>
  <c r="G274" i="1"/>
  <c r="H274" i="1" s="1"/>
  <c r="E274" i="1"/>
  <c r="I273" i="1"/>
  <c r="J273" i="1" s="1"/>
  <c r="G273" i="1"/>
  <c r="H273" i="1" s="1"/>
  <c r="E273" i="1"/>
  <c r="I272" i="1"/>
  <c r="J272" i="1" s="1"/>
  <c r="G272" i="1"/>
  <c r="H272" i="1" s="1"/>
  <c r="E272" i="1"/>
  <c r="I271" i="1"/>
  <c r="J271" i="1" s="1"/>
  <c r="G271" i="1"/>
  <c r="H271" i="1" s="1"/>
  <c r="E271" i="1"/>
  <c r="I270" i="1"/>
  <c r="J270" i="1" s="1"/>
  <c r="G270" i="1"/>
  <c r="H270" i="1" s="1"/>
  <c r="E270" i="1"/>
  <c r="I269" i="1"/>
  <c r="J269" i="1" s="1"/>
  <c r="G269" i="1"/>
  <c r="H269" i="1" s="1"/>
  <c r="E269" i="1"/>
  <c r="I268" i="1"/>
  <c r="J268" i="1" s="1"/>
  <c r="G268" i="1"/>
  <c r="H268" i="1" s="1"/>
  <c r="E268" i="1"/>
  <c r="I267" i="1"/>
  <c r="J267" i="1" s="1"/>
  <c r="G267" i="1"/>
  <c r="H267" i="1" s="1"/>
  <c r="E267" i="1"/>
  <c r="I266" i="1"/>
  <c r="J266" i="1" s="1"/>
  <c r="G266" i="1"/>
  <c r="H266" i="1" s="1"/>
  <c r="E266" i="1"/>
  <c r="I265" i="1"/>
  <c r="J265" i="1" s="1"/>
  <c r="G265" i="1"/>
  <c r="H265" i="1" s="1"/>
  <c r="E265" i="1"/>
  <c r="I264" i="1"/>
  <c r="J264" i="1" s="1"/>
  <c r="G264" i="1"/>
  <c r="F264" i="1"/>
  <c r="E264" i="1"/>
  <c r="I263" i="1"/>
  <c r="J263" i="1" s="1"/>
  <c r="G263" i="1"/>
  <c r="H263" i="1" s="1"/>
  <c r="E263" i="1"/>
  <c r="I262" i="1"/>
  <c r="J262" i="1" s="1"/>
  <c r="G262" i="1"/>
  <c r="H262" i="1" s="1"/>
  <c r="E262" i="1"/>
  <c r="I261" i="1"/>
  <c r="J261" i="1" s="1"/>
  <c r="G261" i="1"/>
  <c r="H261" i="1" s="1"/>
  <c r="E261" i="1"/>
  <c r="I260" i="1"/>
  <c r="J260" i="1" s="1"/>
  <c r="G260" i="1"/>
  <c r="H260" i="1" s="1"/>
  <c r="E260" i="1"/>
  <c r="I259" i="1"/>
  <c r="J259" i="1" s="1"/>
  <c r="G259" i="1"/>
  <c r="H259" i="1" s="1"/>
  <c r="E259" i="1"/>
  <c r="I258" i="1"/>
  <c r="J258" i="1" s="1"/>
  <c r="G258" i="1"/>
  <c r="H258" i="1" s="1"/>
  <c r="E258" i="1"/>
  <c r="I257" i="1"/>
  <c r="J257" i="1" s="1"/>
  <c r="G257" i="1"/>
  <c r="H257" i="1" s="1"/>
  <c r="E257" i="1"/>
  <c r="I256" i="1"/>
  <c r="J256" i="1" s="1"/>
  <c r="G256" i="1"/>
  <c r="H256" i="1" s="1"/>
  <c r="E256" i="1"/>
  <c r="I255" i="1"/>
  <c r="J255" i="1" s="1"/>
  <c r="G255" i="1"/>
  <c r="H255" i="1" s="1"/>
  <c r="E255" i="1"/>
  <c r="I254" i="1"/>
  <c r="J254" i="1" s="1"/>
  <c r="G254" i="1"/>
  <c r="H254" i="1" s="1"/>
  <c r="E254" i="1"/>
  <c r="I253" i="1"/>
  <c r="J253" i="1" s="1"/>
  <c r="G253" i="1"/>
  <c r="H253" i="1" s="1"/>
  <c r="E253" i="1"/>
  <c r="I252" i="1"/>
  <c r="J252" i="1" s="1"/>
  <c r="G252" i="1"/>
  <c r="H252" i="1" s="1"/>
  <c r="E252" i="1"/>
  <c r="I251" i="1"/>
  <c r="J251" i="1" s="1"/>
  <c r="G251" i="1"/>
  <c r="H251" i="1" s="1"/>
  <c r="E251" i="1"/>
  <c r="I250" i="1"/>
  <c r="J250" i="1" s="1"/>
  <c r="G250" i="1"/>
  <c r="H250" i="1" s="1"/>
  <c r="E250" i="1"/>
  <c r="I249" i="1"/>
  <c r="J249" i="1" s="1"/>
  <c r="G249" i="1"/>
  <c r="H249" i="1" s="1"/>
  <c r="E249" i="1"/>
  <c r="I248" i="1"/>
  <c r="J248" i="1" s="1"/>
  <c r="G248" i="1"/>
  <c r="H248" i="1" s="1"/>
  <c r="E248" i="1"/>
  <c r="I247" i="1"/>
  <c r="J247" i="1" s="1"/>
  <c r="G247" i="1"/>
  <c r="H247" i="1" s="1"/>
  <c r="E247" i="1"/>
  <c r="I246" i="1"/>
  <c r="J246" i="1" s="1"/>
  <c r="G246" i="1"/>
  <c r="H246" i="1" s="1"/>
  <c r="E246" i="1"/>
  <c r="I245" i="1"/>
  <c r="J245" i="1" s="1"/>
  <c r="G245" i="1"/>
  <c r="H245" i="1" s="1"/>
  <c r="E245" i="1"/>
  <c r="I244" i="1"/>
  <c r="J244" i="1" s="1"/>
  <c r="G244" i="1"/>
  <c r="H244" i="1" s="1"/>
  <c r="E244" i="1"/>
  <c r="I243" i="1"/>
  <c r="J243" i="1" s="1"/>
  <c r="G243" i="1"/>
  <c r="H243" i="1" s="1"/>
  <c r="E243" i="1"/>
  <c r="I242" i="1"/>
  <c r="J242" i="1" s="1"/>
  <c r="G242" i="1"/>
  <c r="H242" i="1" s="1"/>
  <c r="E242" i="1"/>
  <c r="I241" i="1"/>
  <c r="J241" i="1" s="1"/>
  <c r="G241" i="1"/>
  <c r="H241" i="1" s="1"/>
  <c r="E241" i="1"/>
  <c r="I240" i="1"/>
  <c r="J240" i="1" s="1"/>
  <c r="G240" i="1"/>
  <c r="H240" i="1" s="1"/>
  <c r="E240" i="1"/>
  <c r="I239" i="1"/>
  <c r="J239" i="1" s="1"/>
  <c r="G239" i="1"/>
  <c r="H239" i="1" s="1"/>
  <c r="E239" i="1"/>
  <c r="I238" i="1"/>
  <c r="J238" i="1" s="1"/>
  <c r="G238" i="1"/>
  <c r="H238" i="1" s="1"/>
  <c r="E238" i="1"/>
  <c r="I237" i="1"/>
  <c r="J237" i="1" s="1"/>
  <c r="G237" i="1"/>
  <c r="H237" i="1" s="1"/>
  <c r="E237" i="1"/>
  <c r="I236" i="1"/>
  <c r="J236" i="1" s="1"/>
  <c r="G236" i="1"/>
  <c r="H236" i="1" s="1"/>
  <c r="E236" i="1"/>
  <c r="I235" i="1"/>
  <c r="J235" i="1" s="1"/>
  <c r="G235" i="1"/>
  <c r="H235" i="1" s="1"/>
  <c r="E235" i="1"/>
  <c r="I234" i="1"/>
  <c r="J234" i="1" s="1"/>
  <c r="G234" i="1"/>
  <c r="H234" i="1" s="1"/>
  <c r="E234" i="1"/>
  <c r="I233" i="1"/>
  <c r="J233" i="1" s="1"/>
  <c r="G233" i="1"/>
  <c r="H233" i="1" s="1"/>
  <c r="E233" i="1"/>
  <c r="I232" i="1"/>
  <c r="J232" i="1" s="1"/>
  <c r="G232" i="1"/>
  <c r="H232" i="1" s="1"/>
  <c r="E232" i="1"/>
  <c r="I231" i="1"/>
  <c r="J231" i="1" s="1"/>
  <c r="G231" i="1"/>
  <c r="H231" i="1" s="1"/>
  <c r="E231" i="1"/>
  <c r="I230" i="1"/>
  <c r="J230" i="1" s="1"/>
  <c r="G230" i="1"/>
  <c r="H230" i="1" s="1"/>
  <c r="E230" i="1"/>
  <c r="I229" i="1"/>
  <c r="J229" i="1" s="1"/>
  <c r="G229" i="1"/>
  <c r="H229" i="1" s="1"/>
  <c r="E229" i="1"/>
  <c r="I228" i="1"/>
  <c r="J228" i="1" s="1"/>
  <c r="G228" i="1"/>
  <c r="H228" i="1" s="1"/>
  <c r="E228" i="1"/>
  <c r="I227" i="1"/>
  <c r="J227" i="1" s="1"/>
  <c r="G227" i="1"/>
  <c r="H227" i="1" s="1"/>
  <c r="E227" i="1"/>
  <c r="I226" i="1"/>
  <c r="J226" i="1" s="1"/>
  <c r="G226" i="1"/>
  <c r="H226" i="1" s="1"/>
  <c r="E226" i="1"/>
  <c r="I225" i="1"/>
  <c r="J225" i="1" s="1"/>
  <c r="G225" i="1"/>
  <c r="H225" i="1" s="1"/>
  <c r="E225" i="1"/>
  <c r="I224" i="1"/>
  <c r="J224" i="1" s="1"/>
  <c r="G224" i="1"/>
  <c r="H224" i="1" s="1"/>
  <c r="E224" i="1"/>
  <c r="I223" i="1"/>
  <c r="J223" i="1" s="1"/>
  <c r="G223" i="1"/>
  <c r="H223" i="1" s="1"/>
  <c r="E223" i="1"/>
  <c r="I222" i="1"/>
  <c r="J222" i="1" s="1"/>
  <c r="G222" i="1"/>
  <c r="H222" i="1" s="1"/>
  <c r="E222" i="1"/>
  <c r="I221" i="1"/>
  <c r="J221" i="1" s="1"/>
  <c r="G221" i="1"/>
  <c r="H221" i="1" s="1"/>
  <c r="E221" i="1"/>
  <c r="I220" i="1"/>
  <c r="J220" i="1" s="1"/>
  <c r="G220" i="1"/>
  <c r="H220" i="1" s="1"/>
  <c r="E220" i="1"/>
  <c r="I219" i="1"/>
  <c r="J219" i="1" s="1"/>
  <c r="G219" i="1"/>
  <c r="H219" i="1" s="1"/>
  <c r="E219" i="1"/>
  <c r="I218" i="1"/>
  <c r="J218" i="1" s="1"/>
  <c r="G218" i="1"/>
  <c r="H218" i="1" s="1"/>
  <c r="E218" i="1"/>
  <c r="I217" i="1"/>
  <c r="J217" i="1" s="1"/>
  <c r="G217" i="1"/>
  <c r="H217" i="1" s="1"/>
  <c r="E217" i="1"/>
  <c r="I216" i="1"/>
  <c r="J216" i="1" s="1"/>
  <c r="G216" i="1"/>
  <c r="H216" i="1" s="1"/>
  <c r="E216" i="1"/>
  <c r="I215" i="1"/>
  <c r="J215" i="1" s="1"/>
  <c r="G215" i="1"/>
  <c r="H215" i="1" s="1"/>
  <c r="E215" i="1"/>
  <c r="I214" i="1"/>
  <c r="J214" i="1" s="1"/>
  <c r="G214" i="1"/>
  <c r="H214" i="1" s="1"/>
  <c r="E214" i="1"/>
  <c r="I213" i="1"/>
  <c r="J213" i="1" s="1"/>
  <c r="G213" i="1"/>
  <c r="H213" i="1" s="1"/>
  <c r="E213" i="1"/>
  <c r="I212" i="1"/>
  <c r="J212" i="1" s="1"/>
  <c r="G212" i="1"/>
  <c r="H212" i="1" s="1"/>
  <c r="E212" i="1"/>
  <c r="I211" i="1"/>
  <c r="J211" i="1" s="1"/>
  <c r="G211" i="1"/>
  <c r="H211" i="1" s="1"/>
  <c r="E211" i="1"/>
  <c r="I210" i="1"/>
  <c r="J210" i="1" s="1"/>
  <c r="G210" i="1"/>
  <c r="H210" i="1" s="1"/>
  <c r="E210" i="1"/>
  <c r="I209" i="1"/>
  <c r="J209" i="1" s="1"/>
  <c r="G209" i="1"/>
  <c r="H209" i="1" s="1"/>
  <c r="E209" i="1"/>
  <c r="I208" i="1"/>
  <c r="J208" i="1" s="1"/>
  <c r="G208" i="1"/>
  <c r="H208" i="1" s="1"/>
  <c r="E208" i="1"/>
  <c r="I207" i="1"/>
  <c r="J207" i="1" s="1"/>
  <c r="G207" i="1"/>
  <c r="H207" i="1" s="1"/>
  <c r="E207" i="1"/>
  <c r="I206" i="1"/>
  <c r="J206" i="1" s="1"/>
  <c r="G206" i="1"/>
  <c r="H206" i="1" s="1"/>
  <c r="E206" i="1"/>
  <c r="I205" i="1"/>
  <c r="J205" i="1" s="1"/>
  <c r="G205" i="1"/>
  <c r="H205" i="1" s="1"/>
  <c r="E205" i="1"/>
  <c r="I204" i="1"/>
  <c r="J204" i="1" s="1"/>
  <c r="G204" i="1"/>
  <c r="H204" i="1" s="1"/>
  <c r="E204" i="1"/>
  <c r="I203" i="1"/>
  <c r="J203" i="1" s="1"/>
  <c r="G203" i="1"/>
  <c r="H203" i="1" s="1"/>
  <c r="E203" i="1"/>
  <c r="I202" i="1"/>
  <c r="J202" i="1" s="1"/>
  <c r="G202" i="1"/>
  <c r="H202" i="1" s="1"/>
  <c r="E202" i="1"/>
  <c r="I201" i="1"/>
  <c r="J201" i="1" s="1"/>
  <c r="G201" i="1"/>
  <c r="H201" i="1" s="1"/>
  <c r="E201" i="1"/>
  <c r="I200" i="1"/>
  <c r="J200" i="1" s="1"/>
  <c r="G200" i="1"/>
  <c r="H200" i="1" s="1"/>
  <c r="E200" i="1"/>
  <c r="I199" i="1"/>
  <c r="J199" i="1" s="1"/>
  <c r="G199" i="1"/>
  <c r="H199" i="1" s="1"/>
  <c r="E199" i="1"/>
  <c r="I198" i="1"/>
  <c r="J198" i="1" s="1"/>
  <c r="G198" i="1"/>
  <c r="H198" i="1" s="1"/>
  <c r="E198" i="1"/>
  <c r="I197" i="1"/>
  <c r="J197" i="1" s="1"/>
  <c r="G197" i="1"/>
  <c r="H197" i="1" s="1"/>
  <c r="E197" i="1"/>
  <c r="I196" i="1"/>
  <c r="J196" i="1" s="1"/>
  <c r="G196" i="1"/>
  <c r="H196" i="1" s="1"/>
  <c r="E196" i="1"/>
  <c r="I195" i="1"/>
  <c r="J195" i="1" s="1"/>
  <c r="G195" i="1"/>
  <c r="H195" i="1" s="1"/>
  <c r="E195" i="1"/>
  <c r="I194" i="1"/>
  <c r="J194" i="1" s="1"/>
  <c r="G194" i="1"/>
  <c r="H194" i="1" s="1"/>
  <c r="E194" i="1"/>
  <c r="I193" i="1"/>
  <c r="J193" i="1" s="1"/>
  <c r="G193" i="1"/>
  <c r="H193" i="1" s="1"/>
  <c r="E193" i="1"/>
  <c r="I192" i="1"/>
  <c r="J192" i="1" s="1"/>
  <c r="G192" i="1"/>
  <c r="H192" i="1" s="1"/>
  <c r="E192" i="1"/>
  <c r="I191" i="1"/>
  <c r="J191" i="1" s="1"/>
  <c r="G191" i="1"/>
  <c r="H191" i="1" s="1"/>
  <c r="E191" i="1"/>
  <c r="I190" i="1"/>
  <c r="J190" i="1" s="1"/>
  <c r="G190" i="1"/>
  <c r="H190" i="1" s="1"/>
  <c r="E190" i="1"/>
  <c r="I189" i="1"/>
  <c r="J189" i="1" s="1"/>
  <c r="G189" i="1"/>
  <c r="H189" i="1" s="1"/>
  <c r="E189" i="1"/>
  <c r="I188" i="1"/>
  <c r="J188" i="1" s="1"/>
  <c r="G188" i="1"/>
  <c r="H188" i="1" s="1"/>
  <c r="E188" i="1"/>
  <c r="I187" i="1"/>
  <c r="J187" i="1" s="1"/>
  <c r="G187" i="1"/>
  <c r="H187" i="1" s="1"/>
  <c r="E187" i="1"/>
  <c r="I186" i="1"/>
  <c r="J186" i="1" s="1"/>
  <c r="H186" i="1"/>
  <c r="G186" i="1"/>
  <c r="E186" i="1"/>
  <c r="I185" i="1"/>
  <c r="J185" i="1" s="1"/>
  <c r="G185" i="1"/>
  <c r="H185" i="1" s="1"/>
  <c r="E185" i="1"/>
  <c r="K184" i="1"/>
  <c r="I184" i="1"/>
  <c r="J184" i="1" s="1"/>
  <c r="G184" i="1"/>
  <c r="H184" i="1" s="1"/>
  <c r="E184" i="1"/>
  <c r="F184" i="1" s="1"/>
  <c r="L184" i="1" s="1"/>
  <c r="I183" i="1"/>
  <c r="J183" i="1" s="1"/>
  <c r="G183" i="1"/>
  <c r="H183" i="1" s="1"/>
  <c r="E183" i="1"/>
  <c r="I182" i="1"/>
  <c r="J182" i="1" s="1"/>
  <c r="G182" i="1"/>
  <c r="H182" i="1" s="1"/>
  <c r="E182" i="1"/>
  <c r="I181" i="1"/>
  <c r="J181" i="1" s="1"/>
  <c r="G181" i="1"/>
  <c r="H181" i="1" s="1"/>
  <c r="E181" i="1"/>
  <c r="I180" i="1"/>
  <c r="J180" i="1" s="1"/>
  <c r="G180" i="1"/>
  <c r="H180" i="1" s="1"/>
  <c r="E180" i="1"/>
  <c r="I179" i="1"/>
  <c r="J179" i="1" s="1"/>
  <c r="G179" i="1"/>
  <c r="H179" i="1" s="1"/>
  <c r="E179" i="1"/>
  <c r="I178" i="1"/>
  <c r="J178" i="1" s="1"/>
  <c r="G178" i="1"/>
  <c r="H178" i="1" s="1"/>
  <c r="E178" i="1"/>
  <c r="I177" i="1"/>
  <c r="J177" i="1" s="1"/>
  <c r="G177" i="1"/>
  <c r="H177" i="1" s="1"/>
  <c r="E177" i="1"/>
  <c r="I176" i="1"/>
  <c r="J176" i="1" s="1"/>
  <c r="G176" i="1"/>
  <c r="H176" i="1" s="1"/>
  <c r="E176" i="1"/>
  <c r="I175" i="1"/>
  <c r="J175" i="1" s="1"/>
  <c r="G175" i="1"/>
  <c r="H175" i="1" s="1"/>
  <c r="E175" i="1"/>
  <c r="I174" i="1"/>
  <c r="J174" i="1" s="1"/>
  <c r="G174" i="1"/>
  <c r="H174" i="1" s="1"/>
  <c r="E174" i="1"/>
  <c r="I173" i="1"/>
  <c r="J173" i="1" s="1"/>
  <c r="J292" i="1" s="1"/>
  <c r="G173" i="1"/>
  <c r="H173" i="1" s="1"/>
  <c r="E173" i="1"/>
  <c r="I167" i="1"/>
  <c r="J167" i="1" s="1"/>
  <c r="G167" i="1"/>
  <c r="H167" i="1" s="1"/>
  <c r="E167" i="1"/>
  <c r="I166" i="1"/>
  <c r="J166" i="1" s="1"/>
  <c r="G166" i="1"/>
  <c r="H166" i="1" s="1"/>
  <c r="E166" i="1"/>
  <c r="I165" i="1"/>
  <c r="J165" i="1" s="1"/>
  <c r="G165" i="1"/>
  <c r="H165" i="1" s="1"/>
  <c r="E165" i="1"/>
  <c r="I164" i="1"/>
  <c r="J164" i="1" s="1"/>
  <c r="G164" i="1"/>
  <c r="H164" i="1" s="1"/>
  <c r="E164" i="1"/>
  <c r="I163" i="1"/>
  <c r="J163" i="1" s="1"/>
  <c r="G163" i="1"/>
  <c r="H163" i="1" s="1"/>
  <c r="E163" i="1"/>
  <c r="I162" i="1"/>
  <c r="J162" i="1" s="1"/>
  <c r="G162" i="1"/>
  <c r="H162" i="1" s="1"/>
  <c r="E162" i="1"/>
  <c r="I161" i="1"/>
  <c r="J161" i="1" s="1"/>
  <c r="G161" i="1"/>
  <c r="H161" i="1" s="1"/>
  <c r="E161" i="1"/>
  <c r="I160" i="1"/>
  <c r="J160" i="1" s="1"/>
  <c r="G160" i="1"/>
  <c r="H160" i="1" s="1"/>
  <c r="E160" i="1"/>
  <c r="I159" i="1"/>
  <c r="J159" i="1" s="1"/>
  <c r="G159" i="1"/>
  <c r="H159" i="1" s="1"/>
  <c r="E159" i="1"/>
  <c r="I158" i="1"/>
  <c r="J158" i="1" s="1"/>
  <c r="G158" i="1"/>
  <c r="H158" i="1" s="1"/>
  <c r="E158" i="1"/>
  <c r="I157" i="1"/>
  <c r="J157" i="1" s="1"/>
  <c r="G157" i="1"/>
  <c r="H157" i="1" s="1"/>
  <c r="E157" i="1"/>
  <c r="I156" i="1"/>
  <c r="J156" i="1" s="1"/>
  <c r="G156" i="1"/>
  <c r="H156" i="1" s="1"/>
  <c r="E156" i="1"/>
  <c r="I155" i="1"/>
  <c r="J155" i="1" s="1"/>
  <c r="G155" i="1"/>
  <c r="H155" i="1" s="1"/>
  <c r="E155" i="1"/>
  <c r="I154" i="1"/>
  <c r="J154" i="1" s="1"/>
  <c r="G154" i="1"/>
  <c r="H154" i="1" s="1"/>
  <c r="E154" i="1"/>
  <c r="I153" i="1"/>
  <c r="J153" i="1" s="1"/>
  <c r="G153" i="1"/>
  <c r="H153" i="1" s="1"/>
  <c r="E153" i="1"/>
  <c r="I152" i="1"/>
  <c r="J152" i="1" s="1"/>
  <c r="J171" i="1" s="1"/>
  <c r="G152" i="1"/>
  <c r="H152" i="1" s="1"/>
  <c r="H171" i="1" s="1"/>
  <c r="E152" i="1"/>
  <c r="I134" i="1"/>
  <c r="J134" i="1" s="1"/>
  <c r="G134" i="1"/>
  <c r="H134" i="1" s="1"/>
  <c r="E134" i="1"/>
  <c r="I133" i="1"/>
  <c r="J133" i="1" s="1"/>
  <c r="G133" i="1"/>
  <c r="H133" i="1" s="1"/>
  <c r="E133" i="1"/>
  <c r="I132" i="1"/>
  <c r="J132" i="1" s="1"/>
  <c r="G132" i="1"/>
  <c r="H132" i="1" s="1"/>
  <c r="E132" i="1"/>
  <c r="I131" i="1"/>
  <c r="J131" i="1" s="1"/>
  <c r="J150" i="1" s="1"/>
  <c r="G131" i="1"/>
  <c r="H131" i="1" s="1"/>
  <c r="H150" i="1" s="1"/>
  <c r="E131" i="1"/>
  <c r="I126" i="1"/>
  <c r="J126" i="1" s="1"/>
  <c r="G126" i="1"/>
  <c r="H126" i="1" s="1"/>
  <c r="E126" i="1"/>
  <c r="I125" i="1"/>
  <c r="J125" i="1" s="1"/>
  <c r="G125" i="1"/>
  <c r="H125" i="1" s="1"/>
  <c r="E125" i="1"/>
  <c r="I124" i="1"/>
  <c r="J124" i="1" s="1"/>
  <c r="G124" i="1"/>
  <c r="H124" i="1" s="1"/>
  <c r="E124" i="1"/>
  <c r="I123" i="1"/>
  <c r="J123" i="1" s="1"/>
  <c r="G123" i="1"/>
  <c r="H123" i="1" s="1"/>
  <c r="E123" i="1"/>
  <c r="I122" i="1"/>
  <c r="J122" i="1" s="1"/>
  <c r="G122" i="1"/>
  <c r="H122" i="1" s="1"/>
  <c r="E122" i="1"/>
  <c r="I121" i="1"/>
  <c r="J121" i="1" s="1"/>
  <c r="G121" i="1"/>
  <c r="H121" i="1" s="1"/>
  <c r="E121" i="1"/>
  <c r="I120" i="1"/>
  <c r="J120" i="1" s="1"/>
  <c r="G120" i="1"/>
  <c r="H120" i="1" s="1"/>
  <c r="E120" i="1"/>
  <c r="I119" i="1"/>
  <c r="J119" i="1" s="1"/>
  <c r="G119" i="1"/>
  <c r="H119" i="1" s="1"/>
  <c r="E119" i="1"/>
  <c r="I118" i="1"/>
  <c r="J118" i="1" s="1"/>
  <c r="G118" i="1"/>
  <c r="H118" i="1" s="1"/>
  <c r="E118" i="1"/>
  <c r="I117" i="1"/>
  <c r="J117" i="1" s="1"/>
  <c r="G117" i="1"/>
  <c r="H117" i="1" s="1"/>
  <c r="E117" i="1"/>
  <c r="I116" i="1"/>
  <c r="J116" i="1" s="1"/>
  <c r="G116" i="1"/>
  <c r="H116" i="1" s="1"/>
  <c r="E116" i="1"/>
  <c r="I115" i="1"/>
  <c r="J115" i="1" s="1"/>
  <c r="G115" i="1"/>
  <c r="H115" i="1" s="1"/>
  <c r="E115" i="1"/>
  <c r="I114" i="1"/>
  <c r="J114" i="1" s="1"/>
  <c r="G114" i="1"/>
  <c r="H114" i="1" s="1"/>
  <c r="E114" i="1"/>
  <c r="I113" i="1"/>
  <c r="J113" i="1" s="1"/>
  <c r="G113" i="1"/>
  <c r="H113" i="1" s="1"/>
  <c r="E113" i="1"/>
  <c r="I112" i="1"/>
  <c r="J112" i="1" s="1"/>
  <c r="G112" i="1"/>
  <c r="H112" i="1" s="1"/>
  <c r="E112" i="1"/>
  <c r="I111" i="1"/>
  <c r="J111" i="1" s="1"/>
  <c r="G111" i="1"/>
  <c r="H111" i="1" s="1"/>
  <c r="E111" i="1"/>
  <c r="I110" i="1"/>
  <c r="J110" i="1" s="1"/>
  <c r="J129" i="1" s="1"/>
  <c r="G110" i="1"/>
  <c r="H110" i="1" s="1"/>
  <c r="H129" i="1" s="1"/>
  <c r="E110" i="1"/>
  <c r="I107" i="1"/>
  <c r="J107" i="1" s="1"/>
  <c r="G107" i="1"/>
  <c r="H107" i="1" s="1"/>
  <c r="E107" i="1"/>
  <c r="I106" i="1"/>
  <c r="J106" i="1" s="1"/>
  <c r="G106" i="1"/>
  <c r="H106" i="1" s="1"/>
  <c r="E106" i="1"/>
  <c r="I105" i="1"/>
  <c r="J105" i="1" s="1"/>
  <c r="G105" i="1"/>
  <c r="H105" i="1" s="1"/>
  <c r="E105" i="1"/>
  <c r="I104" i="1"/>
  <c r="J104" i="1" s="1"/>
  <c r="G104" i="1"/>
  <c r="H104" i="1" s="1"/>
  <c r="E104" i="1"/>
  <c r="I103" i="1"/>
  <c r="J103" i="1" s="1"/>
  <c r="G103" i="1"/>
  <c r="H103" i="1" s="1"/>
  <c r="E103" i="1"/>
  <c r="I102" i="1"/>
  <c r="J102" i="1" s="1"/>
  <c r="G102" i="1"/>
  <c r="H102" i="1" s="1"/>
  <c r="E102" i="1"/>
  <c r="I101" i="1"/>
  <c r="J101" i="1" s="1"/>
  <c r="G101" i="1"/>
  <c r="H101" i="1" s="1"/>
  <c r="E101" i="1"/>
  <c r="I100" i="1"/>
  <c r="J100" i="1" s="1"/>
  <c r="G100" i="1"/>
  <c r="H100" i="1" s="1"/>
  <c r="E100" i="1"/>
  <c r="I99" i="1"/>
  <c r="J99" i="1" s="1"/>
  <c r="G99" i="1"/>
  <c r="H99" i="1" s="1"/>
  <c r="E99" i="1"/>
  <c r="I98" i="1"/>
  <c r="J98" i="1" s="1"/>
  <c r="G98" i="1"/>
  <c r="H98" i="1" s="1"/>
  <c r="E98" i="1"/>
  <c r="I97" i="1"/>
  <c r="J97" i="1" s="1"/>
  <c r="G97" i="1"/>
  <c r="H97" i="1" s="1"/>
  <c r="E97" i="1"/>
  <c r="I96" i="1"/>
  <c r="J96" i="1" s="1"/>
  <c r="G96" i="1"/>
  <c r="H96" i="1" s="1"/>
  <c r="E96" i="1"/>
  <c r="I95" i="1"/>
  <c r="J95" i="1" s="1"/>
  <c r="G95" i="1"/>
  <c r="H95" i="1" s="1"/>
  <c r="E95" i="1"/>
  <c r="I94" i="1"/>
  <c r="J94" i="1" s="1"/>
  <c r="G94" i="1"/>
  <c r="H94" i="1" s="1"/>
  <c r="E94" i="1"/>
  <c r="I93" i="1"/>
  <c r="J93" i="1" s="1"/>
  <c r="G93" i="1"/>
  <c r="H93" i="1" s="1"/>
  <c r="E93" i="1"/>
  <c r="I92" i="1"/>
  <c r="J92" i="1" s="1"/>
  <c r="G92" i="1"/>
  <c r="H92" i="1" s="1"/>
  <c r="E92" i="1"/>
  <c r="I91" i="1"/>
  <c r="J91" i="1" s="1"/>
  <c r="G91" i="1"/>
  <c r="H91" i="1" s="1"/>
  <c r="E91" i="1"/>
  <c r="I90" i="1"/>
  <c r="J90" i="1" s="1"/>
  <c r="G90" i="1"/>
  <c r="H90" i="1" s="1"/>
  <c r="E90" i="1"/>
  <c r="I89" i="1"/>
  <c r="J89" i="1" s="1"/>
  <c r="G89" i="1"/>
  <c r="H89" i="1" s="1"/>
  <c r="H108" i="1" s="1"/>
  <c r="E89" i="1"/>
  <c r="I83" i="1"/>
  <c r="J83" i="1" s="1"/>
  <c r="G83" i="1"/>
  <c r="H83" i="1" s="1"/>
  <c r="E83" i="1"/>
  <c r="I82" i="1"/>
  <c r="J82" i="1" s="1"/>
  <c r="G82" i="1"/>
  <c r="H82" i="1" s="1"/>
  <c r="E82" i="1"/>
  <c r="I81" i="1"/>
  <c r="J81" i="1" s="1"/>
  <c r="G81" i="1"/>
  <c r="H81" i="1" s="1"/>
  <c r="E81" i="1"/>
  <c r="I80" i="1"/>
  <c r="J80" i="1" s="1"/>
  <c r="G80" i="1"/>
  <c r="H80" i="1" s="1"/>
  <c r="E80" i="1"/>
  <c r="I79" i="1"/>
  <c r="J79" i="1" s="1"/>
  <c r="G79" i="1"/>
  <c r="H79" i="1" s="1"/>
  <c r="E79" i="1"/>
  <c r="I78" i="1"/>
  <c r="J78" i="1" s="1"/>
  <c r="G78" i="1"/>
  <c r="H78" i="1" s="1"/>
  <c r="E78" i="1"/>
  <c r="I77" i="1"/>
  <c r="J77" i="1" s="1"/>
  <c r="G77" i="1"/>
  <c r="H77" i="1" s="1"/>
  <c r="E77" i="1"/>
  <c r="I76" i="1"/>
  <c r="J76" i="1" s="1"/>
  <c r="G76" i="1"/>
  <c r="H76" i="1" s="1"/>
  <c r="E76" i="1"/>
  <c r="I75" i="1"/>
  <c r="J75" i="1" s="1"/>
  <c r="G75" i="1"/>
  <c r="H75" i="1" s="1"/>
  <c r="E75" i="1"/>
  <c r="I74" i="1"/>
  <c r="J74" i="1" s="1"/>
  <c r="G74" i="1"/>
  <c r="H74" i="1" s="1"/>
  <c r="E74" i="1"/>
  <c r="I73" i="1"/>
  <c r="J73" i="1" s="1"/>
  <c r="G73" i="1"/>
  <c r="H73" i="1" s="1"/>
  <c r="E73" i="1"/>
  <c r="I72" i="1"/>
  <c r="J72" i="1" s="1"/>
  <c r="G72" i="1"/>
  <c r="H72" i="1" s="1"/>
  <c r="E72" i="1"/>
  <c r="I71" i="1"/>
  <c r="J71" i="1" s="1"/>
  <c r="G71" i="1"/>
  <c r="H71" i="1" s="1"/>
  <c r="E71" i="1"/>
  <c r="I70" i="1"/>
  <c r="J70" i="1" s="1"/>
  <c r="G70" i="1"/>
  <c r="H70" i="1" s="1"/>
  <c r="E70" i="1"/>
  <c r="I69" i="1"/>
  <c r="J69" i="1" s="1"/>
  <c r="G69" i="1"/>
  <c r="H69" i="1" s="1"/>
  <c r="E69" i="1"/>
  <c r="I68" i="1"/>
  <c r="J68" i="1" s="1"/>
  <c r="G68" i="1"/>
  <c r="H68" i="1" s="1"/>
  <c r="E68" i="1"/>
  <c r="I67" i="1"/>
  <c r="J67" i="1" s="1"/>
  <c r="G67" i="1"/>
  <c r="H67" i="1" s="1"/>
  <c r="E67" i="1"/>
  <c r="I66" i="1"/>
  <c r="J66" i="1" s="1"/>
  <c r="G66" i="1"/>
  <c r="H66" i="1" s="1"/>
  <c r="E66" i="1"/>
  <c r="I65" i="1"/>
  <c r="H65" i="1"/>
  <c r="G65" i="1"/>
  <c r="E65" i="1"/>
  <c r="F65" i="1" s="1"/>
  <c r="I64" i="1"/>
  <c r="J64" i="1" s="1"/>
  <c r="G64" i="1"/>
  <c r="H64" i="1" s="1"/>
  <c r="E64" i="1"/>
  <c r="I63" i="1"/>
  <c r="J63" i="1" s="1"/>
  <c r="G63" i="1"/>
  <c r="H63" i="1" s="1"/>
  <c r="E63" i="1"/>
  <c r="I62" i="1"/>
  <c r="J62" i="1" s="1"/>
  <c r="G62" i="1"/>
  <c r="H62" i="1" s="1"/>
  <c r="E62" i="1"/>
  <c r="I61" i="1"/>
  <c r="J61" i="1" s="1"/>
  <c r="G61" i="1"/>
  <c r="H61" i="1" s="1"/>
  <c r="E61" i="1"/>
  <c r="I60" i="1"/>
  <c r="J60" i="1" s="1"/>
  <c r="G60" i="1"/>
  <c r="H60" i="1" s="1"/>
  <c r="E60" i="1"/>
  <c r="I59" i="1"/>
  <c r="J59" i="1" s="1"/>
  <c r="G59" i="1"/>
  <c r="H59" i="1" s="1"/>
  <c r="E59" i="1"/>
  <c r="I58" i="1"/>
  <c r="J58" i="1" s="1"/>
  <c r="G58" i="1"/>
  <c r="H58" i="1" s="1"/>
  <c r="E58" i="1"/>
  <c r="I57" i="1"/>
  <c r="J57" i="1" s="1"/>
  <c r="G57" i="1"/>
  <c r="H57" i="1" s="1"/>
  <c r="E57" i="1"/>
  <c r="I56" i="1"/>
  <c r="J56" i="1" s="1"/>
  <c r="G56" i="1"/>
  <c r="H56" i="1" s="1"/>
  <c r="E56" i="1"/>
  <c r="I55" i="1"/>
  <c r="J55" i="1" s="1"/>
  <c r="G55" i="1"/>
  <c r="H55" i="1" s="1"/>
  <c r="E55" i="1"/>
  <c r="I54" i="1"/>
  <c r="J54" i="1" s="1"/>
  <c r="G54" i="1"/>
  <c r="H54" i="1" s="1"/>
  <c r="E54" i="1"/>
  <c r="I53" i="1"/>
  <c r="J53" i="1" s="1"/>
  <c r="G53" i="1"/>
  <c r="H53" i="1" s="1"/>
  <c r="E53" i="1"/>
  <c r="I52" i="1"/>
  <c r="J52" i="1" s="1"/>
  <c r="G52" i="1"/>
  <c r="H52" i="1" s="1"/>
  <c r="E52" i="1"/>
  <c r="I51" i="1"/>
  <c r="J51" i="1" s="1"/>
  <c r="G51" i="1"/>
  <c r="H51" i="1" s="1"/>
  <c r="E51" i="1"/>
  <c r="I50" i="1"/>
  <c r="J50" i="1" s="1"/>
  <c r="G50" i="1"/>
  <c r="H50" i="1" s="1"/>
  <c r="E50" i="1"/>
  <c r="I49" i="1"/>
  <c r="J49" i="1" s="1"/>
  <c r="G49" i="1"/>
  <c r="H49" i="1" s="1"/>
  <c r="E49" i="1"/>
  <c r="I48" i="1"/>
  <c r="J48" i="1" s="1"/>
  <c r="G48" i="1"/>
  <c r="H48" i="1" s="1"/>
  <c r="E48" i="1"/>
  <c r="I47" i="1"/>
  <c r="J47" i="1" s="1"/>
  <c r="G47" i="1"/>
  <c r="H47" i="1" s="1"/>
  <c r="H87" i="1" s="1"/>
  <c r="E47" i="1"/>
  <c r="I36" i="1"/>
  <c r="J36" i="1" s="1"/>
  <c r="G36" i="1"/>
  <c r="H36" i="1" s="1"/>
  <c r="E36" i="1"/>
  <c r="I35" i="1"/>
  <c r="J35" i="1" s="1"/>
  <c r="G35" i="1"/>
  <c r="H35" i="1" s="1"/>
  <c r="E35" i="1"/>
  <c r="I34" i="1"/>
  <c r="J34" i="1" s="1"/>
  <c r="G34" i="1"/>
  <c r="H34" i="1" s="1"/>
  <c r="E34" i="1"/>
  <c r="I33" i="1"/>
  <c r="J33" i="1" s="1"/>
  <c r="G33" i="1"/>
  <c r="H33" i="1" s="1"/>
  <c r="E33" i="1"/>
  <c r="I32" i="1"/>
  <c r="J32" i="1" s="1"/>
  <c r="G32" i="1"/>
  <c r="H32" i="1" s="1"/>
  <c r="E32" i="1"/>
  <c r="I31" i="1"/>
  <c r="J31" i="1" s="1"/>
  <c r="G31" i="1"/>
  <c r="H31" i="1" s="1"/>
  <c r="E31" i="1"/>
  <c r="I30" i="1"/>
  <c r="J30" i="1" s="1"/>
  <c r="G30" i="1"/>
  <c r="H30" i="1" s="1"/>
  <c r="E30" i="1"/>
  <c r="I29" i="1"/>
  <c r="J29" i="1" s="1"/>
  <c r="G29" i="1"/>
  <c r="H29" i="1" s="1"/>
  <c r="E29" i="1"/>
  <c r="I28" i="1"/>
  <c r="J28" i="1" s="1"/>
  <c r="G28" i="1"/>
  <c r="H28" i="1" s="1"/>
  <c r="E28" i="1"/>
  <c r="I27" i="1"/>
  <c r="J27" i="1" s="1"/>
  <c r="G27" i="1"/>
  <c r="H27" i="1" s="1"/>
  <c r="E27" i="1"/>
  <c r="I26" i="1"/>
  <c r="J26" i="1" s="1"/>
  <c r="J45" i="1" s="1"/>
  <c r="G26" i="1"/>
  <c r="H26" i="1" s="1"/>
  <c r="H45" i="1" s="1"/>
  <c r="E26" i="1"/>
  <c r="I20" i="1"/>
  <c r="J20" i="1" s="1"/>
  <c r="G20" i="1"/>
  <c r="H20" i="1" s="1"/>
  <c r="E20" i="1"/>
  <c r="I19" i="1"/>
  <c r="J19" i="1" s="1"/>
  <c r="G19" i="1"/>
  <c r="H19" i="1" s="1"/>
  <c r="E19" i="1"/>
  <c r="I18" i="1"/>
  <c r="J18" i="1" s="1"/>
  <c r="G18" i="1"/>
  <c r="H18" i="1" s="1"/>
  <c r="E18" i="1"/>
  <c r="I17" i="1"/>
  <c r="J17" i="1" s="1"/>
  <c r="G17" i="1"/>
  <c r="H17" i="1" s="1"/>
  <c r="E17" i="1"/>
  <c r="I16" i="1"/>
  <c r="J16" i="1" s="1"/>
  <c r="G16" i="1"/>
  <c r="H16" i="1" s="1"/>
  <c r="E16" i="1"/>
  <c r="I15" i="1"/>
  <c r="J15" i="1" s="1"/>
  <c r="G15" i="1"/>
  <c r="H15" i="1" s="1"/>
  <c r="E15" i="1"/>
  <c r="I14" i="1"/>
  <c r="J14" i="1" s="1"/>
  <c r="G14" i="1"/>
  <c r="H14" i="1" s="1"/>
  <c r="E14" i="1"/>
  <c r="I13" i="1"/>
  <c r="J13" i="1" s="1"/>
  <c r="G13" i="1"/>
  <c r="H13" i="1" s="1"/>
  <c r="E13" i="1"/>
  <c r="I12" i="1"/>
  <c r="J12" i="1" s="1"/>
  <c r="G12" i="1"/>
  <c r="H12" i="1" s="1"/>
  <c r="E12" i="1"/>
  <c r="I11" i="1"/>
  <c r="J11" i="1" s="1"/>
  <c r="G11" i="1"/>
  <c r="H11" i="1" s="1"/>
  <c r="E11" i="1"/>
  <c r="I10" i="1"/>
  <c r="J10" i="1" s="1"/>
  <c r="G10" i="1"/>
  <c r="H10" i="1" s="1"/>
  <c r="E10" i="1"/>
  <c r="I9" i="1"/>
  <c r="J9" i="1" s="1"/>
  <c r="G9" i="1"/>
  <c r="H9" i="1" s="1"/>
  <c r="E9" i="1"/>
  <c r="I8" i="1"/>
  <c r="J8" i="1" s="1"/>
  <c r="G8" i="1"/>
  <c r="H8" i="1" s="1"/>
  <c r="E8" i="1"/>
  <c r="I7" i="1"/>
  <c r="J7" i="1" s="1"/>
  <c r="G7" i="1"/>
  <c r="H7" i="1" s="1"/>
  <c r="E7" i="1"/>
  <c r="I6" i="1"/>
  <c r="J6" i="1" s="1"/>
  <c r="G6" i="1"/>
  <c r="H6" i="1" s="1"/>
  <c r="E6" i="1"/>
  <c r="I5" i="1"/>
  <c r="J5" i="1" s="1"/>
  <c r="J24" i="1" s="1"/>
  <c r="G5" i="1"/>
  <c r="H5" i="1" s="1"/>
  <c r="H24" i="1" s="1"/>
  <c r="E5" i="1"/>
  <c r="K2454" i="1" l="1"/>
  <c r="F2454" i="1"/>
  <c r="K2452" i="1"/>
  <c r="F2452" i="1"/>
  <c r="L2452" i="1" s="1"/>
  <c r="K2451" i="1"/>
  <c r="F2451" i="1"/>
  <c r="F2449" i="1"/>
  <c r="K2449" i="1"/>
  <c r="F2447" i="1"/>
  <c r="K2447" i="1"/>
  <c r="K2445" i="1"/>
  <c r="F2445" i="1"/>
  <c r="F2443" i="1"/>
  <c r="L2443" i="1" s="1"/>
  <c r="K2443" i="1"/>
  <c r="F2442" i="1"/>
  <c r="L2442" i="1" s="1"/>
  <c r="K2442" i="1"/>
  <c r="F2441" i="1"/>
  <c r="K2441" i="1"/>
  <c r="K2439" i="1"/>
  <c r="F2439" i="1"/>
  <c r="L2439" i="1" s="1"/>
  <c r="K2438" i="1"/>
  <c r="F2438" i="1"/>
  <c r="L2438" i="1" s="1"/>
  <c r="K2437" i="1"/>
  <c r="F2437" i="1"/>
  <c r="L2437" i="1" s="1"/>
  <c r="K2436" i="1"/>
  <c r="F2436" i="1"/>
  <c r="K2415" i="1"/>
  <c r="F2415" i="1"/>
  <c r="F2397" i="1"/>
  <c r="L2397" i="1" s="1"/>
  <c r="K2397" i="1"/>
  <c r="K2396" i="1"/>
  <c r="F2396" i="1"/>
  <c r="L2396" i="1" s="1"/>
  <c r="K2395" i="1"/>
  <c r="F2395" i="1"/>
  <c r="L2395" i="1" s="1"/>
  <c r="K2394" i="1"/>
  <c r="F2394" i="1"/>
  <c r="K2374" i="1"/>
  <c r="F2374" i="1"/>
  <c r="L2374" i="1" s="1"/>
  <c r="K2373" i="1"/>
  <c r="F2373" i="1"/>
  <c r="K2360" i="1"/>
  <c r="F2360" i="1"/>
  <c r="L2360" i="1" s="1"/>
  <c r="K2359" i="1"/>
  <c r="F2359" i="1"/>
  <c r="L2359" i="1" s="1"/>
  <c r="K2358" i="1"/>
  <c r="F2358" i="1"/>
  <c r="L2358" i="1" s="1"/>
  <c r="F2357" i="1"/>
  <c r="L2357" i="1" s="1"/>
  <c r="K2357" i="1"/>
  <c r="K2356" i="1"/>
  <c r="F2356" i="1"/>
  <c r="L2356" i="1" s="1"/>
  <c r="F2355" i="1"/>
  <c r="L2355" i="1" s="1"/>
  <c r="K2355" i="1"/>
  <c r="F2354" i="1"/>
  <c r="L2354" i="1" s="1"/>
  <c r="K2354" i="1"/>
  <c r="K2353" i="1"/>
  <c r="F2353" i="1"/>
  <c r="L2353" i="1" s="1"/>
  <c r="F2352" i="1"/>
  <c r="K2352" i="1"/>
  <c r="K2341" i="1"/>
  <c r="F2341" i="1"/>
  <c r="L2341" i="1" s="1"/>
  <c r="F2340" i="1"/>
  <c r="L2340" i="1" s="1"/>
  <c r="K2340" i="1"/>
  <c r="K2339" i="1"/>
  <c r="F2339" i="1"/>
  <c r="L2339" i="1" s="1"/>
  <c r="K2338" i="1"/>
  <c r="F2338" i="1"/>
  <c r="L2338" i="1" s="1"/>
  <c r="F2337" i="1"/>
  <c r="L2337" i="1" s="1"/>
  <c r="K2337" i="1"/>
  <c r="F2336" i="1"/>
  <c r="L2336" i="1" s="1"/>
  <c r="K2336" i="1"/>
  <c r="K2335" i="1"/>
  <c r="F2335" i="1"/>
  <c r="L2335" i="1" s="1"/>
  <c r="K2334" i="1"/>
  <c r="F2334" i="1"/>
  <c r="L2334" i="1" s="1"/>
  <c r="F2333" i="1"/>
  <c r="L2333" i="1" s="1"/>
  <c r="K2333" i="1"/>
  <c r="F2332" i="1"/>
  <c r="L2332" i="1" s="1"/>
  <c r="K2332" i="1"/>
  <c r="K2331" i="1"/>
  <c r="F2331" i="1"/>
  <c r="F2322" i="1"/>
  <c r="L2322" i="1" s="1"/>
  <c r="K2322" i="1"/>
  <c r="K2320" i="1"/>
  <c r="F2320" i="1"/>
  <c r="L2320" i="1" s="1"/>
  <c r="K2319" i="1"/>
  <c r="F2319" i="1"/>
  <c r="L2319" i="1" s="1"/>
  <c r="K2318" i="1"/>
  <c r="F2318" i="1"/>
  <c r="L2318" i="1" s="1"/>
  <c r="K2317" i="1"/>
  <c r="F2317" i="1"/>
  <c r="L2317" i="1" s="1"/>
  <c r="F2316" i="1"/>
  <c r="L2316" i="1" s="1"/>
  <c r="K2316" i="1"/>
  <c r="K2315" i="1"/>
  <c r="F2315" i="1"/>
  <c r="L2315" i="1" s="1"/>
  <c r="F2314" i="1"/>
  <c r="L2314" i="1" s="1"/>
  <c r="K2314" i="1"/>
  <c r="F2313" i="1"/>
  <c r="L2313" i="1" s="1"/>
  <c r="K2313" i="1"/>
  <c r="F2312" i="1"/>
  <c r="L2312" i="1" s="1"/>
  <c r="K2312" i="1"/>
  <c r="F2311" i="1"/>
  <c r="L2311" i="1" s="1"/>
  <c r="K2311" i="1"/>
  <c r="K2310" i="1"/>
  <c r="F2310" i="1"/>
  <c r="L2310" i="1" s="1"/>
  <c r="K2309" i="1"/>
  <c r="F2309" i="1"/>
  <c r="L2309" i="1" s="1"/>
  <c r="F2308" i="1"/>
  <c r="L2308" i="1" s="1"/>
  <c r="K2308" i="1"/>
  <c r="F2307" i="1"/>
  <c r="L2307" i="1" s="1"/>
  <c r="K2307" i="1"/>
  <c r="F2306" i="1"/>
  <c r="L2306" i="1" s="1"/>
  <c r="K2306" i="1"/>
  <c r="F2305" i="1"/>
  <c r="L2305" i="1" s="1"/>
  <c r="K2305" i="1"/>
  <c r="K2304" i="1"/>
  <c r="F2304" i="1"/>
  <c r="L2304" i="1" s="1"/>
  <c r="F2303" i="1"/>
  <c r="L2303" i="1" s="1"/>
  <c r="K2303" i="1"/>
  <c r="F2302" i="1"/>
  <c r="L2302" i="1" s="1"/>
  <c r="K2302" i="1"/>
  <c r="K2301" i="1"/>
  <c r="F2301" i="1"/>
  <c r="L2301" i="1" s="1"/>
  <c r="F2300" i="1"/>
  <c r="L2300" i="1" s="1"/>
  <c r="K2300" i="1"/>
  <c r="K2299" i="1"/>
  <c r="F2299" i="1"/>
  <c r="L2299" i="1" s="1"/>
  <c r="F2298" i="1"/>
  <c r="L2298" i="1" s="1"/>
  <c r="K2298" i="1"/>
  <c r="K2297" i="1"/>
  <c r="F2297" i="1"/>
  <c r="L2297" i="1" s="1"/>
  <c r="F2296" i="1"/>
  <c r="L2296" i="1" s="1"/>
  <c r="K2296" i="1"/>
  <c r="F2295" i="1"/>
  <c r="L2295" i="1" s="1"/>
  <c r="K2295" i="1"/>
  <c r="F2294" i="1"/>
  <c r="L2294" i="1" s="1"/>
  <c r="K2294" i="1"/>
  <c r="K2293" i="1"/>
  <c r="F2293" i="1"/>
  <c r="L2293" i="1" s="1"/>
  <c r="K2292" i="1"/>
  <c r="F2292" i="1"/>
  <c r="L2292" i="1" s="1"/>
  <c r="F2291" i="1"/>
  <c r="L2291" i="1" s="1"/>
  <c r="K2291" i="1"/>
  <c r="F2290" i="1"/>
  <c r="L2290" i="1" s="1"/>
  <c r="K2290" i="1"/>
  <c r="K2289" i="1"/>
  <c r="F2289" i="1"/>
  <c r="K2280" i="1"/>
  <c r="H2280" i="1"/>
  <c r="K2279" i="1"/>
  <c r="F2279" i="1"/>
  <c r="L2279" i="1" s="1"/>
  <c r="K2278" i="1"/>
  <c r="F2278" i="1"/>
  <c r="L2278" i="1" s="1"/>
  <c r="K2277" i="1"/>
  <c r="F2277" i="1"/>
  <c r="L2277" i="1" s="1"/>
  <c r="F2276" i="1"/>
  <c r="L2276" i="1" s="1"/>
  <c r="K2276" i="1"/>
  <c r="K2275" i="1"/>
  <c r="F2275" i="1"/>
  <c r="L2275" i="1" s="1"/>
  <c r="F2274" i="1"/>
  <c r="L2274" i="1" s="1"/>
  <c r="K2274" i="1"/>
  <c r="F2273" i="1"/>
  <c r="L2273" i="1" s="1"/>
  <c r="K2273" i="1"/>
  <c r="F2272" i="1"/>
  <c r="L2272" i="1" s="1"/>
  <c r="K2272" i="1"/>
  <c r="F2271" i="1"/>
  <c r="L2271" i="1" s="1"/>
  <c r="K2271" i="1"/>
  <c r="F2270" i="1"/>
  <c r="L2270" i="1" s="1"/>
  <c r="K2270" i="1"/>
  <c r="F2269" i="1"/>
  <c r="L2269" i="1" s="1"/>
  <c r="K2269" i="1"/>
  <c r="K2268" i="1"/>
  <c r="F2268" i="1"/>
  <c r="K2248" i="1"/>
  <c r="F2248" i="1"/>
  <c r="L2248" i="1" s="1"/>
  <c r="K2247" i="1"/>
  <c r="F2247" i="1"/>
  <c r="L2247" i="1" s="1"/>
  <c r="F2246" i="1"/>
  <c r="L2246" i="1" s="1"/>
  <c r="K2246" i="1"/>
  <c r="K2245" i="1"/>
  <c r="F2245" i="1"/>
  <c r="L2245" i="1" s="1"/>
  <c r="K2244" i="1"/>
  <c r="F2244" i="1"/>
  <c r="L2244" i="1" s="1"/>
  <c r="K2243" i="1"/>
  <c r="F2243" i="1"/>
  <c r="L2243" i="1" s="1"/>
  <c r="K2242" i="1"/>
  <c r="F2242" i="1"/>
  <c r="L2242" i="1" s="1"/>
  <c r="F2241" i="1"/>
  <c r="L2241" i="1" s="1"/>
  <c r="K2241" i="1"/>
  <c r="F2240" i="1"/>
  <c r="L2240" i="1" s="1"/>
  <c r="K2240" i="1"/>
  <c r="K2239" i="1"/>
  <c r="F2239" i="1"/>
  <c r="L2239" i="1" s="1"/>
  <c r="K2238" i="1"/>
  <c r="F2238" i="1"/>
  <c r="L2238" i="1" s="1"/>
  <c r="F2237" i="1"/>
  <c r="L2237" i="1" s="1"/>
  <c r="K2237" i="1"/>
  <c r="F2236" i="1"/>
  <c r="L2236" i="1" s="1"/>
  <c r="K2236" i="1"/>
  <c r="K2235" i="1"/>
  <c r="F2235" i="1"/>
  <c r="L2235" i="1" s="1"/>
  <c r="K2234" i="1"/>
  <c r="F2234" i="1"/>
  <c r="L2234" i="1" s="1"/>
  <c r="K2233" i="1"/>
  <c r="F2233" i="1"/>
  <c r="L2233" i="1" s="1"/>
  <c r="K2232" i="1"/>
  <c r="F2232" i="1"/>
  <c r="L2232" i="1" s="1"/>
  <c r="K2231" i="1"/>
  <c r="F2231" i="1"/>
  <c r="L2231" i="1" s="1"/>
  <c r="K2230" i="1"/>
  <c r="F2230" i="1"/>
  <c r="L2230" i="1" s="1"/>
  <c r="F2229" i="1"/>
  <c r="L2229" i="1" s="1"/>
  <c r="K2229" i="1"/>
  <c r="F2228" i="1"/>
  <c r="L2228" i="1" s="1"/>
  <c r="K2228" i="1"/>
  <c r="K2227" i="1"/>
  <c r="F2227" i="1"/>
  <c r="L2227" i="1" s="1"/>
  <c r="K2226" i="1"/>
  <c r="F2226" i="1"/>
  <c r="F2208" i="1"/>
  <c r="L2208" i="1" s="1"/>
  <c r="K2208" i="1"/>
  <c r="K2207" i="1"/>
  <c r="F2207" i="1"/>
  <c r="L2207" i="1" s="1"/>
  <c r="K2206" i="1"/>
  <c r="F2206" i="1"/>
  <c r="L2206" i="1" s="1"/>
  <c r="K2205" i="1"/>
  <c r="F2205" i="1"/>
  <c r="F2184" i="1"/>
  <c r="L2184" i="1" s="1"/>
  <c r="K2184" i="1"/>
  <c r="K2183" i="1"/>
  <c r="F2183" i="1"/>
  <c r="L2183" i="1" s="1"/>
  <c r="F2182" i="1"/>
  <c r="L2182" i="1" s="1"/>
  <c r="K2182" i="1"/>
  <c r="K2181" i="1"/>
  <c r="F2181" i="1"/>
  <c r="L2181" i="1" s="1"/>
  <c r="F2180" i="1"/>
  <c r="L2180" i="1" s="1"/>
  <c r="K2180" i="1"/>
  <c r="F2179" i="1"/>
  <c r="L2179" i="1" s="1"/>
  <c r="K2179" i="1"/>
  <c r="F2178" i="1"/>
  <c r="L2178" i="1" s="1"/>
  <c r="K2178" i="1"/>
  <c r="F2177" i="1"/>
  <c r="L2177" i="1" s="1"/>
  <c r="K2177" i="1"/>
  <c r="K2176" i="1"/>
  <c r="F2176" i="1"/>
  <c r="L2176" i="1" s="1"/>
  <c r="F2175" i="1"/>
  <c r="L2175" i="1" s="1"/>
  <c r="K2175" i="1"/>
  <c r="K2174" i="1"/>
  <c r="F2174" i="1"/>
  <c r="L2174" i="1" s="1"/>
  <c r="F2173" i="1"/>
  <c r="L2173" i="1" s="1"/>
  <c r="K2173" i="1"/>
  <c r="K2172" i="1"/>
  <c r="F2172" i="1"/>
  <c r="L2172" i="1" s="1"/>
  <c r="K2171" i="1"/>
  <c r="F2171" i="1"/>
  <c r="L2171" i="1" s="1"/>
  <c r="K2170" i="1"/>
  <c r="F2170" i="1"/>
  <c r="L2170" i="1" s="1"/>
  <c r="F2169" i="1"/>
  <c r="L2169" i="1" s="1"/>
  <c r="K2169" i="1"/>
  <c r="F2168" i="1"/>
  <c r="L2168" i="1" s="1"/>
  <c r="K2168" i="1"/>
  <c r="F2167" i="1"/>
  <c r="L2167" i="1" s="1"/>
  <c r="K2167" i="1"/>
  <c r="F2166" i="1"/>
  <c r="L2166" i="1" s="1"/>
  <c r="K2166" i="1"/>
  <c r="F2165" i="1"/>
  <c r="L2165" i="1" s="1"/>
  <c r="K2165" i="1"/>
  <c r="K2164" i="1"/>
  <c r="F2164" i="1"/>
  <c r="L2164" i="1" s="1"/>
  <c r="K2163" i="1"/>
  <c r="F2163" i="1"/>
  <c r="K2158" i="1"/>
  <c r="F2158" i="1"/>
  <c r="L2158" i="1" s="1"/>
  <c r="K2157" i="1"/>
  <c r="F2157" i="1"/>
  <c r="L2157" i="1" s="1"/>
  <c r="F2156" i="1"/>
  <c r="L2156" i="1" s="1"/>
  <c r="K2156" i="1"/>
  <c r="F2155" i="1"/>
  <c r="L2155" i="1" s="1"/>
  <c r="K2155" i="1"/>
  <c r="F2154" i="1"/>
  <c r="L2154" i="1" s="1"/>
  <c r="K2154" i="1"/>
  <c r="K2153" i="1"/>
  <c r="F2153" i="1"/>
  <c r="L2153" i="1" s="1"/>
  <c r="K2152" i="1"/>
  <c r="F2152" i="1"/>
  <c r="L2152" i="1" s="1"/>
  <c r="K2151" i="1"/>
  <c r="F2151" i="1"/>
  <c r="L2151" i="1" s="1"/>
  <c r="F2150" i="1"/>
  <c r="L2150" i="1" s="1"/>
  <c r="K2150" i="1"/>
  <c r="K2149" i="1"/>
  <c r="F2149" i="1"/>
  <c r="L2149" i="1" s="1"/>
  <c r="K2148" i="1"/>
  <c r="F2148" i="1"/>
  <c r="L2148" i="1" s="1"/>
  <c r="F2147" i="1"/>
  <c r="L2147" i="1" s="1"/>
  <c r="K2147" i="1"/>
  <c r="F2146" i="1"/>
  <c r="L2146" i="1" s="1"/>
  <c r="K2146" i="1"/>
  <c r="F2145" i="1"/>
  <c r="L2145" i="1" s="1"/>
  <c r="K2145" i="1"/>
  <c r="F2144" i="1"/>
  <c r="L2144" i="1" s="1"/>
  <c r="K2144" i="1"/>
  <c r="K2143" i="1"/>
  <c r="F2143" i="1"/>
  <c r="L2143" i="1" s="1"/>
  <c r="K2142" i="1"/>
  <c r="F2142" i="1"/>
  <c r="F2131" i="1"/>
  <c r="L2131" i="1" s="1"/>
  <c r="K2131" i="1"/>
  <c r="K2130" i="1"/>
  <c r="F2130" i="1"/>
  <c r="L2130" i="1" s="1"/>
  <c r="F2129" i="1"/>
  <c r="L2129" i="1" s="1"/>
  <c r="K2129" i="1"/>
  <c r="K2128" i="1"/>
  <c r="J2128" i="1"/>
  <c r="F2127" i="1"/>
  <c r="L2127" i="1" s="1"/>
  <c r="K2127" i="1"/>
  <c r="F2126" i="1"/>
  <c r="L2126" i="1" s="1"/>
  <c r="K2126" i="1"/>
  <c r="K2125" i="1"/>
  <c r="F2125" i="1"/>
  <c r="L2125" i="1" s="1"/>
  <c r="K2124" i="1"/>
  <c r="F2124" i="1"/>
  <c r="L2124" i="1" s="1"/>
  <c r="K2123" i="1"/>
  <c r="F2123" i="1"/>
  <c r="L2123" i="1" s="1"/>
  <c r="K2122" i="1"/>
  <c r="F2122" i="1"/>
  <c r="L2122" i="1" s="1"/>
  <c r="K2121" i="1"/>
  <c r="F2121" i="1"/>
  <c r="K2101" i="1"/>
  <c r="F2101" i="1"/>
  <c r="L2101" i="1" s="1"/>
  <c r="F2100" i="1"/>
  <c r="K2100" i="1"/>
  <c r="F2081" i="1"/>
  <c r="L2081" i="1" s="1"/>
  <c r="K2081" i="1"/>
  <c r="F2080" i="1"/>
  <c r="L2080" i="1" s="1"/>
  <c r="K2080" i="1"/>
  <c r="F2079" i="1"/>
  <c r="K2079" i="1"/>
  <c r="F2057" i="1"/>
  <c r="L2057" i="1" s="1"/>
  <c r="K2057" i="1"/>
  <c r="K2056" i="1"/>
  <c r="F2056" i="1"/>
  <c r="L2056" i="1" s="1"/>
  <c r="F2055" i="1"/>
  <c r="L2055" i="1" s="1"/>
  <c r="K2055" i="1"/>
  <c r="K2054" i="1"/>
  <c r="F2054" i="1"/>
  <c r="L2054" i="1" s="1"/>
  <c r="F2053" i="1"/>
  <c r="L2053" i="1" s="1"/>
  <c r="K2053" i="1"/>
  <c r="F2052" i="1"/>
  <c r="L2052" i="1" s="1"/>
  <c r="K2052" i="1"/>
  <c r="F2051" i="1"/>
  <c r="L2051" i="1" s="1"/>
  <c r="K2051" i="1"/>
  <c r="F2050" i="1"/>
  <c r="L2050" i="1" s="1"/>
  <c r="K2050" i="1"/>
  <c r="K2049" i="1"/>
  <c r="F2049" i="1"/>
  <c r="L2049" i="1" s="1"/>
  <c r="K2048" i="1"/>
  <c r="F2048" i="1"/>
  <c r="L2048" i="1" s="1"/>
  <c r="F2047" i="1"/>
  <c r="L2047" i="1" s="1"/>
  <c r="K2047" i="1"/>
  <c r="K2046" i="1"/>
  <c r="F2046" i="1"/>
  <c r="L2046" i="1" s="1"/>
  <c r="K2045" i="1"/>
  <c r="F2045" i="1"/>
  <c r="L2045" i="1" s="1"/>
  <c r="K2044" i="1"/>
  <c r="F2044" i="1"/>
  <c r="L2044" i="1" s="1"/>
  <c r="K2043" i="1"/>
  <c r="F2043" i="1"/>
  <c r="L2043" i="1" s="1"/>
  <c r="K2042" i="1"/>
  <c r="F2042" i="1"/>
  <c r="L2042" i="1" s="1"/>
  <c r="F2041" i="1"/>
  <c r="L2041" i="1" s="1"/>
  <c r="K2041" i="1"/>
  <c r="K2040" i="1"/>
  <c r="F2040" i="1"/>
  <c r="L2040" i="1" s="1"/>
  <c r="F2039" i="1"/>
  <c r="L2039" i="1" s="1"/>
  <c r="K2039" i="1"/>
  <c r="F2038" i="1"/>
  <c r="L2038" i="1" s="1"/>
  <c r="K2038" i="1"/>
  <c r="F2037" i="1"/>
  <c r="K2037" i="1"/>
  <c r="F2026" i="1"/>
  <c r="L2026" i="1" s="1"/>
  <c r="K2026" i="1"/>
  <c r="F2025" i="1"/>
  <c r="L2025" i="1" s="1"/>
  <c r="K2025" i="1"/>
  <c r="K2024" i="1"/>
  <c r="F2024" i="1"/>
  <c r="L2024" i="1" s="1"/>
  <c r="K2023" i="1"/>
  <c r="F2023" i="1"/>
  <c r="L2023" i="1" s="1"/>
  <c r="F2022" i="1"/>
  <c r="L2022" i="1" s="1"/>
  <c r="K2022" i="1"/>
  <c r="F2021" i="1"/>
  <c r="L2021" i="1" s="1"/>
  <c r="K2021" i="1"/>
  <c r="F2020" i="1"/>
  <c r="L2020" i="1" s="1"/>
  <c r="K2020" i="1"/>
  <c r="F2019" i="1"/>
  <c r="L2019" i="1" s="1"/>
  <c r="K2019" i="1"/>
  <c r="F2018" i="1"/>
  <c r="L2018" i="1" s="1"/>
  <c r="K2018" i="1"/>
  <c r="K2017" i="1"/>
  <c r="F2017" i="1"/>
  <c r="L2017" i="1" s="1"/>
  <c r="F2016" i="1"/>
  <c r="K2016" i="1"/>
  <c r="F2011" i="1"/>
  <c r="K2011" i="1"/>
  <c r="F2009" i="1"/>
  <c r="K2009" i="1"/>
  <c r="K2007" i="1"/>
  <c r="F2007" i="1"/>
  <c r="K2005" i="1"/>
  <c r="F2005" i="1"/>
  <c r="F2003" i="1"/>
  <c r="L2003" i="1" s="1"/>
  <c r="K2003" i="1"/>
  <c r="K2002" i="1"/>
  <c r="F2002" i="1"/>
  <c r="L2002" i="1" s="1"/>
  <c r="K2001" i="1"/>
  <c r="F2001" i="1"/>
  <c r="F1999" i="1"/>
  <c r="L1999" i="1" s="1"/>
  <c r="K1999" i="1"/>
  <c r="F1998" i="1"/>
  <c r="L1998" i="1" s="1"/>
  <c r="K1998" i="1"/>
  <c r="F1997" i="1"/>
  <c r="L1997" i="1" s="1"/>
  <c r="K1997" i="1"/>
  <c r="F1996" i="1"/>
  <c r="L1996" i="1" s="1"/>
  <c r="K1996" i="1"/>
  <c r="K1995" i="1"/>
  <c r="F1995" i="1"/>
  <c r="F1975" i="1"/>
  <c r="L1975" i="1" s="1"/>
  <c r="K1975" i="1"/>
  <c r="K1974" i="1"/>
  <c r="F1974" i="1"/>
  <c r="F1957" i="1"/>
  <c r="L1957" i="1" s="1"/>
  <c r="K1957" i="1"/>
  <c r="F1956" i="1"/>
  <c r="L1956" i="1" s="1"/>
  <c r="K1956" i="1"/>
  <c r="F1955" i="1"/>
  <c r="L1955" i="1" s="1"/>
  <c r="K1955" i="1"/>
  <c r="F1954" i="1"/>
  <c r="L1954" i="1" s="1"/>
  <c r="K1954" i="1"/>
  <c r="F1953" i="1"/>
  <c r="K1953" i="1"/>
  <c r="F1933" i="1"/>
  <c r="L1933" i="1" s="1"/>
  <c r="K1933" i="1"/>
  <c r="F1932" i="1"/>
  <c r="K1932" i="1"/>
  <c r="F1916" i="1"/>
  <c r="L1916" i="1" s="1"/>
  <c r="K1916" i="1"/>
  <c r="F1915" i="1"/>
  <c r="L1915" i="1" s="1"/>
  <c r="K1915" i="1"/>
  <c r="K1914" i="1"/>
  <c r="F1914" i="1"/>
  <c r="L1914" i="1" s="1"/>
  <c r="F1913" i="1"/>
  <c r="L1913" i="1" s="1"/>
  <c r="K1913" i="1"/>
  <c r="F1912" i="1"/>
  <c r="L1912" i="1" s="1"/>
  <c r="K1912" i="1"/>
  <c r="K1911" i="1"/>
  <c r="F1911" i="1"/>
  <c r="K1898" i="1"/>
  <c r="F1898" i="1"/>
  <c r="L1898" i="1" s="1"/>
  <c r="F1897" i="1"/>
  <c r="L1897" i="1" s="1"/>
  <c r="K1897" i="1"/>
  <c r="K1896" i="1"/>
  <c r="F1896" i="1"/>
  <c r="L1896" i="1" s="1"/>
  <c r="K1895" i="1"/>
  <c r="F1895" i="1"/>
  <c r="L1895" i="1" s="1"/>
  <c r="K1894" i="1"/>
  <c r="F1894" i="1"/>
  <c r="L1894" i="1" s="1"/>
  <c r="K1893" i="1"/>
  <c r="F1893" i="1"/>
  <c r="L1893" i="1" s="1"/>
  <c r="K1892" i="1"/>
  <c r="F1892" i="1"/>
  <c r="L1892" i="1" s="1"/>
  <c r="K1891" i="1"/>
  <c r="F1891" i="1"/>
  <c r="L1891" i="1" s="1"/>
  <c r="F1890" i="1"/>
  <c r="K1890" i="1"/>
  <c r="F1870" i="1"/>
  <c r="L1870" i="1" s="1"/>
  <c r="K1870" i="1"/>
  <c r="K1869" i="1"/>
  <c r="F1869" i="1"/>
  <c r="L1869" i="1" s="1"/>
  <c r="F1868" i="1"/>
  <c r="L1868" i="1" s="1"/>
  <c r="K1868" i="1"/>
  <c r="K1867" i="1"/>
  <c r="F1867" i="1"/>
  <c r="L1867" i="1" s="1"/>
  <c r="F1866" i="1"/>
  <c r="L1866" i="1" s="1"/>
  <c r="K1866" i="1"/>
  <c r="K1865" i="1"/>
  <c r="F1865" i="1"/>
  <c r="L1865" i="1" s="1"/>
  <c r="F1864" i="1"/>
  <c r="L1864" i="1" s="1"/>
  <c r="K1864" i="1"/>
  <c r="K1863" i="1"/>
  <c r="F1863" i="1"/>
  <c r="L1863" i="1" s="1"/>
  <c r="K1862" i="1"/>
  <c r="F1862" i="1"/>
  <c r="L1862" i="1" s="1"/>
  <c r="F1861" i="1"/>
  <c r="L1861" i="1" s="1"/>
  <c r="K1861" i="1"/>
  <c r="K1860" i="1"/>
  <c r="F1860" i="1"/>
  <c r="L1860" i="1" s="1"/>
  <c r="K1859" i="1"/>
  <c r="F1859" i="1"/>
  <c r="L1859" i="1" s="1"/>
  <c r="K1858" i="1"/>
  <c r="F1858" i="1"/>
  <c r="L1858" i="1" s="1"/>
  <c r="K1857" i="1"/>
  <c r="F1857" i="1"/>
  <c r="L1857" i="1" s="1"/>
  <c r="F1856" i="1"/>
  <c r="L1856" i="1" s="1"/>
  <c r="K1856" i="1"/>
  <c r="F1855" i="1"/>
  <c r="L1855" i="1" s="1"/>
  <c r="K1855" i="1"/>
  <c r="K1854" i="1"/>
  <c r="F1854" i="1"/>
  <c r="L1854" i="1" s="1"/>
  <c r="F1853" i="1"/>
  <c r="L1853" i="1" s="1"/>
  <c r="K1853" i="1"/>
  <c r="F1852" i="1"/>
  <c r="L1852" i="1" s="1"/>
  <c r="K1852" i="1"/>
  <c r="F1851" i="1"/>
  <c r="L1851" i="1" s="1"/>
  <c r="K1851" i="1"/>
  <c r="F1850" i="1"/>
  <c r="L1850" i="1" s="1"/>
  <c r="K1850" i="1"/>
  <c r="K1849" i="1"/>
  <c r="F1849" i="1"/>
  <c r="L1849" i="1" s="1"/>
  <c r="K1848" i="1"/>
  <c r="F1848" i="1"/>
  <c r="K1835" i="1"/>
  <c r="F1835" i="1"/>
  <c r="L1835" i="1" s="1"/>
  <c r="K1834" i="1"/>
  <c r="F1834" i="1"/>
  <c r="L1834" i="1" s="1"/>
  <c r="F1833" i="1"/>
  <c r="L1833" i="1" s="1"/>
  <c r="K1833" i="1"/>
  <c r="K1832" i="1"/>
  <c r="F1832" i="1"/>
  <c r="L1832" i="1" s="1"/>
  <c r="K1831" i="1"/>
  <c r="F1831" i="1"/>
  <c r="L1831" i="1" s="1"/>
  <c r="K1830" i="1"/>
  <c r="F1830" i="1"/>
  <c r="L1830" i="1" s="1"/>
  <c r="F1829" i="1"/>
  <c r="L1829" i="1" s="1"/>
  <c r="K1829" i="1"/>
  <c r="F1828" i="1"/>
  <c r="L1828" i="1" s="1"/>
  <c r="K1828" i="1"/>
  <c r="K1827" i="1"/>
  <c r="F1827" i="1"/>
  <c r="K1807" i="1"/>
  <c r="F1807" i="1"/>
  <c r="L1807" i="1" s="1"/>
  <c r="F1806" i="1"/>
  <c r="K1806" i="1"/>
  <c r="K1800" i="1"/>
  <c r="F1800" i="1"/>
  <c r="L1800" i="1" s="1"/>
  <c r="K1799" i="1"/>
  <c r="F1799" i="1"/>
  <c r="L1799" i="1" s="1"/>
  <c r="F1798" i="1"/>
  <c r="L1798" i="1" s="1"/>
  <c r="K1798" i="1"/>
  <c r="K1797" i="1"/>
  <c r="F1797" i="1"/>
  <c r="L1797" i="1" s="1"/>
  <c r="F1796" i="1"/>
  <c r="L1796" i="1" s="1"/>
  <c r="K1796" i="1"/>
  <c r="F1795" i="1"/>
  <c r="L1795" i="1" s="1"/>
  <c r="K1795" i="1"/>
  <c r="F1794" i="1"/>
  <c r="L1794" i="1" s="1"/>
  <c r="K1794" i="1"/>
  <c r="F1793" i="1"/>
  <c r="L1793" i="1" s="1"/>
  <c r="K1793" i="1"/>
  <c r="K1792" i="1"/>
  <c r="F1792" i="1"/>
  <c r="L1792" i="1" s="1"/>
  <c r="K1791" i="1"/>
  <c r="F1791" i="1"/>
  <c r="L1791" i="1" s="1"/>
  <c r="K1790" i="1"/>
  <c r="F1790" i="1"/>
  <c r="L1790" i="1" s="1"/>
  <c r="K1789" i="1"/>
  <c r="F1789" i="1"/>
  <c r="L1789" i="1" s="1"/>
  <c r="K1788" i="1"/>
  <c r="F1788" i="1"/>
  <c r="L1788" i="1" s="1"/>
  <c r="F1787" i="1"/>
  <c r="L1787" i="1" s="1"/>
  <c r="K1787" i="1"/>
  <c r="K1786" i="1"/>
  <c r="F1786" i="1"/>
  <c r="L1786" i="1" s="1"/>
  <c r="K1785" i="1"/>
  <c r="F1785" i="1"/>
  <c r="K1770" i="1"/>
  <c r="F1770" i="1"/>
  <c r="L1770" i="1" s="1"/>
  <c r="F1769" i="1"/>
  <c r="L1769" i="1" s="1"/>
  <c r="K1769" i="1"/>
  <c r="F1768" i="1"/>
  <c r="L1768" i="1" s="1"/>
  <c r="K1768" i="1"/>
  <c r="K1767" i="1"/>
  <c r="F1767" i="1"/>
  <c r="L1767" i="1" s="1"/>
  <c r="K1766" i="1"/>
  <c r="F1766" i="1"/>
  <c r="L1766" i="1" s="1"/>
  <c r="K1765" i="1"/>
  <c r="F1765" i="1"/>
  <c r="L1765" i="1" s="1"/>
  <c r="F1764" i="1"/>
  <c r="K1764" i="1"/>
  <c r="K1747" i="1"/>
  <c r="F1747" i="1"/>
  <c r="L1747" i="1" s="1"/>
  <c r="K1746" i="1"/>
  <c r="F1746" i="1"/>
  <c r="L1746" i="1" s="1"/>
  <c r="K1745" i="1"/>
  <c r="F1745" i="1"/>
  <c r="L1745" i="1" s="1"/>
  <c r="F1744" i="1"/>
  <c r="L1744" i="1" s="1"/>
  <c r="K1744" i="1"/>
  <c r="K1743" i="1"/>
  <c r="F1743" i="1"/>
  <c r="F1724" i="1"/>
  <c r="L1724" i="1" s="1"/>
  <c r="K1724" i="1"/>
  <c r="K1723" i="1"/>
  <c r="F1723" i="1"/>
  <c r="L1723" i="1" s="1"/>
  <c r="F1722" i="1"/>
  <c r="K1722" i="1"/>
  <c r="F1714" i="1"/>
  <c r="L1714" i="1" s="1"/>
  <c r="K1714" i="1"/>
  <c r="K1713" i="1"/>
  <c r="F1713" i="1"/>
  <c r="L1713" i="1" s="1"/>
  <c r="K1712" i="1"/>
  <c r="F1712" i="1"/>
  <c r="L1712" i="1" s="1"/>
  <c r="F1711" i="1"/>
  <c r="L1711" i="1" s="1"/>
  <c r="K1711" i="1"/>
  <c r="F1710" i="1"/>
  <c r="L1710" i="1" s="1"/>
  <c r="K1710" i="1"/>
  <c r="F1709" i="1"/>
  <c r="L1709" i="1" s="1"/>
  <c r="K1709" i="1"/>
  <c r="K1708" i="1"/>
  <c r="F1708" i="1"/>
  <c r="L1708" i="1" s="1"/>
  <c r="F1707" i="1"/>
  <c r="L1707" i="1" s="1"/>
  <c r="K1707" i="1"/>
  <c r="K1706" i="1"/>
  <c r="F1706" i="1"/>
  <c r="L1706" i="1" s="1"/>
  <c r="K1704" i="1"/>
  <c r="F1704" i="1"/>
  <c r="L1704" i="1" s="1"/>
  <c r="K1703" i="1"/>
  <c r="F1703" i="1"/>
  <c r="L1703" i="1" s="1"/>
  <c r="F1702" i="1"/>
  <c r="L1702" i="1" s="1"/>
  <c r="K1702" i="1"/>
  <c r="F1701" i="1"/>
  <c r="K1701" i="1"/>
  <c r="K1680" i="1"/>
  <c r="F1680" i="1"/>
  <c r="L1680" i="1" s="1"/>
  <c r="K1679" i="1"/>
  <c r="F1679" i="1"/>
  <c r="L1679" i="1" s="1"/>
  <c r="F1678" i="1"/>
  <c r="L1678" i="1" s="1"/>
  <c r="K1678" i="1"/>
  <c r="F1677" i="1"/>
  <c r="L1677" i="1" s="1"/>
  <c r="K1677" i="1"/>
  <c r="F1676" i="1"/>
  <c r="L1676" i="1" s="1"/>
  <c r="K1676" i="1"/>
  <c r="F1675" i="1"/>
  <c r="L1675" i="1" s="1"/>
  <c r="K1675" i="1"/>
  <c r="F1674" i="1"/>
  <c r="L1674" i="1" s="1"/>
  <c r="K1674" i="1"/>
  <c r="K1673" i="1"/>
  <c r="F1673" i="1"/>
  <c r="L1673" i="1" s="1"/>
  <c r="K1672" i="1"/>
  <c r="F1672" i="1"/>
  <c r="L1672" i="1" s="1"/>
  <c r="F1671" i="1"/>
  <c r="L1671" i="1" s="1"/>
  <c r="K1671" i="1"/>
  <c r="F1670" i="1"/>
  <c r="L1670" i="1" s="1"/>
  <c r="K1670" i="1"/>
  <c r="K1669" i="1"/>
  <c r="F1669" i="1"/>
  <c r="L1669" i="1" s="1"/>
  <c r="F1668" i="1"/>
  <c r="L1668" i="1" s="1"/>
  <c r="K1668" i="1"/>
  <c r="F1667" i="1"/>
  <c r="L1667" i="1" s="1"/>
  <c r="K1667" i="1"/>
  <c r="F1666" i="1"/>
  <c r="L1666" i="1" s="1"/>
  <c r="K1666" i="1"/>
  <c r="K1665" i="1"/>
  <c r="F1665" i="1"/>
  <c r="L1665" i="1" s="1"/>
  <c r="K1664" i="1"/>
  <c r="F1664" i="1"/>
  <c r="L1664" i="1" s="1"/>
  <c r="F1663" i="1"/>
  <c r="L1663" i="1" s="1"/>
  <c r="K1663" i="1"/>
  <c r="K1662" i="1"/>
  <c r="F1662" i="1"/>
  <c r="L1662" i="1" s="1"/>
  <c r="F1661" i="1"/>
  <c r="L1661" i="1" s="1"/>
  <c r="K1661" i="1"/>
  <c r="F1660" i="1"/>
  <c r="L1660" i="1" s="1"/>
  <c r="K1660" i="1"/>
  <c r="K1659" i="1"/>
  <c r="F1659" i="1"/>
  <c r="F1646" i="1"/>
  <c r="L1646" i="1" s="1"/>
  <c r="K1646" i="1"/>
  <c r="K1645" i="1"/>
  <c r="F1645" i="1"/>
  <c r="L1645" i="1" s="1"/>
  <c r="K1644" i="1"/>
  <c r="F1644" i="1"/>
  <c r="L1644" i="1" s="1"/>
  <c r="K1643" i="1"/>
  <c r="F1643" i="1"/>
  <c r="L1643" i="1" s="1"/>
  <c r="K1642" i="1"/>
  <c r="F1642" i="1"/>
  <c r="L1642" i="1" s="1"/>
  <c r="F1641" i="1"/>
  <c r="L1641" i="1" s="1"/>
  <c r="K1641" i="1"/>
  <c r="F1640" i="1"/>
  <c r="L1640" i="1" s="1"/>
  <c r="K1640" i="1"/>
  <c r="F1639" i="1"/>
  <c r="L1639" i="1" s="1"/>
  <c r="K1639" i="1"/>
  <c r="K1638" i="1"/>
  <c r="F1638" i="1"/>
  <c r="K1615" i="1"/>
  <c r="F1615" i="1"/>
  <c r="K1613" i="1"/>
  <c r="F1613" i="1"/>
  <c r="K1611" i="1"/>
  <c r="F1611" i="1"/>
  <c r="F1609" i="1"/>
  <c r="K1609" i="1"/>
  <c r="F1607" i="1"/>
  <c r="L1607" i="1" s="1"/>
  <c r="K1607" i="1"/>
  <c r="F1606" i="1"/>
  <c r="K1606" i="1"/>
  <c r="F1604" i="1"/>
  <c r="L1604" i="1" s="1"/>
  <c r="K1604" i="1"/>
  <c r="K1603" i="1"/>
  <c r="F1603" i="1"/>
  <c r="L1603" i="1" s="1"/>
  <c r="K1602" i="1"/>
  <c r="F1602" i="1"/>
  <c r="K1600" i="1"/>
  <c r="F1600" i="1"/>
  <c r="L1600" i="1" s="1"/>
  <c r="F1599" i="1"/>
  <c r="L1599" i="1" s="1"/>
  <c r="K1599" i="1"/>
  <c r="F1598" i="1"/>
  <c r="L1598" i="1" s="1"/>
  <c r="K1598" i="1"/>
  <c r="K1597" i="1"/>
  <c r="F1597" i="1"/>
  <c r="L1597" i="1" s="1"/>
  <c r="K1596" i="1"/>
  <c r="F1596" i="1"/>
  <c r="K1575" i="1"/>
  <c r="F1575" i="1"/>
  <c r="F1557" i="1"/>
  <c r="L1557" i="1" s="1"/>
  <c r="K1557" i="1"/>
  <c r="K1556" i="1"/>
  <c r="F1556" i="1"/>
  <c r="L1556" i="1" s="1"/>
  <c r="F1555" i="1"/>
  <c r="L1555" i="1" s="1"/>
  <c r="K1555" i="1"/>
  <c r="F1554" i="1"/>
  <c r="K1554" i="1"/>
  <c r="K1534" i="1"/>
  <c r="F1534" i="1"/>
  <c r="L1534" i="1" s="1"/>
  <c r="K1533" i="1"/>
  <c r="F1533" i="1"/>
  <c r="K1521" i="1"/>
  <c r="F1521" i="1"/>
  <c r="L1521" i="1" s="1"/>
  <c r="F1520" i="1"/>
  <c r="L1520" i="1" s="1"/>
  <c r="K1520" i="1"/>
  <c r="F1519" i="1"/>
  <c r="L1519" i="1" s="1"/>
  <c r="K1519" i="1"/>
  <c r="F1518" i="1"/>
  <c r="L1518" i="1" s="1"/>
  <c r="K1518" i="1"/>
  <c r="F1517" i="1"/>
  <c r="L1517" i="1" s="1"/>
  <c r="K1517" i="1"/>
  <c r="F1516" i="1"/>
  <c r="L1516" i="1" s="1"/>
  <c r="K1516" i="1"/>
  <c r="K1515" i="1"/>
  <c r="F1515" i="1"/>
  <c r="L1515" i="1" s="1"/>
  <c r="K1514" i="1"/>
  <c r="F1514" i="1"/>
  <c r="L1514" i="1" s="1"/>
  <c r="K1513" i="1"/>
  <c r="F1513" i="1"/>
  <c r="L1513" i="1" s="1"/>
  <c r="K1512" i="1"/>
  <c r="F1512" i="1"/>
  <c r="F1505" i="1"/>
  <c r="L1505" i="1" s="1"/>
  <c r="K1505" i="1"/>
  <c r="F1504" i="1"/>
  <c r="L1504" i="1" s="1"/>
  <c r="K1504" i="1"/>
  <c r="K1503" i="1"/>
  <c r="F1503" i="1"/>
  <c r="L1503" i="1" s="1"/>
  <c r="K1502" i="1"/>
  <c r="F1502" i="1"/>
  <c r="L1502" i="1" s="1"/>
  <c r="K1501" i="1"/>
  <c r="F1501" i="1"/>
  <c r="L1501" i="1" s="1"/>
  <c r="K1500" i="1"/>
  <c r="F1500" i="1"/>
  <c r="L1500" i="1" s="1"/>
  <c r="K1499" i="1"/>
  <c r="F1499" i="1"/>
  <c r="L1499" i="1" s="1"/>
  <c r="F1498" i="1"/>
  <c r="L1498" i="1" s="1"/>
  <c r="K1498" i="1"/>
  <c r="F1496" i="1"/>
  <c r="L1496" i="1" s="1"/>
  <c r="K1496" i="1"/>
  <c r="K1495" i="1"/>
  <c r="F1495" i="1"/>
  <c r="L1495" i="1" s="1"/>
  <c r="K1494" i="1"/>
  <c r="F1494" i="1"/>
  <c r="L1494" i="1" s="1"/>
  <c r="K1493" i="1"/>
  <c r="F1493" i="1"/>
  <c r="L1493" i="1" s="1"/>
  <c r="K1492" i="1"/>
  <c r="F1492" i="1"/>
  <c r="L1492" i="1" s="1"/>
  <c r="F1491" i="1"/>
  <c r="K1491" i="1"/>
  <c r="K1485" i="1"/>
  <c r="F1485" i="1"/>
  <c r="L1485" i="1" s="1"/>
  <c r="F1484" i="1"/>
  <c r="L1484" i="1" s="1"/>
  <c r="K1484" i="1"/>
  <c r="K1483" i="1"/>
  <c r="F1483" i="1"/>
  <c r="L1483" i="1" s="1"/>
  <c r="K1482" i="1"/>
  <c r="F1482" i="1"/>
  <c r="L1482" i="1" s="1"/>
  <c r="K1481" i="1"/>
  <c r="F1481" i="1"/>
  <c r="L1481" i="1" s="1"/>
  <c r="F1480" i="1"/>
  <c r="L1480" i="1" s="1"/>
  <c r="K1480" i="1"/>
  <c r="K1479" i="1"/>
  <c r="F1479" i="1"/>
  <c r="L1479" i="1" s="1"/>
  <c r="K1478" i="1"/>
  <c r="F1478" i="1"/>
  <c r="L1478" i="1" s="1"/>
  <c r="F1477" i="1"/>
  <c r="L1477" i="1" s="1"/>
  <c r="K1477" i="1"/>
  <c r="K1476" i="1"/>
  <c r="F1476" i="1"/>
  <c r="L1476" i="1" s="1"/>
  <c r="K1475" i="1"/>
  <c r="F1475" i="1"/>
  <c r="L1475" i="1" s="1"/>
  <c r="K1474" i="1"/>
  <c r="F1474" i="1"/>
  <c r="L1474" i="1" s="1"/>
  <c r="F1473" i="1"/>
  <c r="L1473" i="1" s="1"/>
  <c r="K1473" i="1"/>
  <c r="K1472" i="1"/>
  <c r="F1472" i="1"/>
  <c r="L1472" i="1" s="1"/>
  <c r="F1471" i="1"/>
  <c r="L1471" i="1" s="1"/>
  <c r="K1471" i="1"/>
  <c r="F1470" i="1"/>
  <c r="L1470" i="1" s="1"/>
  <c r="K1470" i="1"/>
  <c r="K1469" i="1"/>
  <c r="F1469" i="1"/>
  <c r="L1469" i="1" s="1"/>
  <c r="K1468" i="1"/>
  <c r="F1468" i="1"/>
  <c r="L1468" i="1" s="1"/>
  <c r="F1467" i="1"/>
  <c r="L1467" i="1" s="1"/>
  <c r="K1467" i="1"/>
  <c r="K1466" i="1"/>
  <c r="F1466" i="1"/>
  <c r="L1466" i="1" s="1"/>
  <c r="K1465" i="1"/>
  <c r="F1465" i="1"/>
  <c r="L1465" i="1" s="1"/>
  <c r="F1464" i="1"/>
  <c r="L1464" i="1" s="1"/>
  <c r="K1464" i="1"/>
  <c r="F1463" i="1"/>
  <c r="L1463" i="1" s="1"/>
  <c r="K1463" i="1"/>
  <c r="K1462" i="1"/>
  <c r="F1462" i="1"/>
  <c r="L1462" i="1" s="1"/>
  <c r="K1461" i="1"/>
  <c r="F1461" i="1"/>
  <c r="L1461" i="1" s="1"/>
  <c r="K1460" i="1"/>
  <c r="F1460" i="1"/>
  <c r="L1460" i="1" s="1"/>
  <c r="K1459" i="1"/>
  <c r="F1459" i="1"/>
  <c r="L1459" i="1" s="1"/>
  <c r="K1458" i="1"/>
  <c r="F1458" i="1"/>
  <c r="L1458" i="1" s="1"/>
  <c r="F1457" i="1"/>
  <c r="L1457" i="1" s="1"/>
  <c r="K1457" i="1"/>
  <c r="K1456" i="1"/>
  <c r="F1456" i="1"/>
  <c r="L1456" i="1" s="1"/>
  <c r="K1455" i="1"/>
  <c r="F1455" i="1"/>
  <c r="L1455" i="1" s="1"/>
  <c r="F1454" i="1"/>
  <c r="L1454" i="1" s="1"/>
  <c r="K1454" i="1"/>
  <c r="K1453" i="1"/>
  <c r="F1453" i="1"/>
  <c r="L1453" i="1" s="1"/>
  <c r="F1452" i="1"/>
  <c r="L1452" i="1" s="1"/>
  <c r="K1452" i="1"/>
  <c r="F1451" i="1"/>
  <c r="L1451" i="1" s="1"/>
  <c r="K1451" i="1"/>
  <c r="K1450" i="1"/>
  <c r="F1450" i="1"/>
  <c r="L1450" i="1" s="1"/>
  <c r="F1449" i="1"/>
  <c r="L1449" i="1" s="1"/>
  <c r="K1449" i="1"/>
  <c r="F1448" i="1"/>
  <c r="L1448" i="1" s="1"/>
  <c r="K1448" i="1"/>
  <c r="K1447" i="1"/>
  <c r="F1447" i="1"/>
  <c r="L1447" i="1" s="1"/>
  <c r="K1446" i="1"/>
  <c r="F1446" i="1"/>
  <c r="L1446" i="1" s="1"/>
  <c r="K1445" i="1"/>
  <c r="F1445" i="1"/>
  <c r="L1445" i="1" s="1"/>
  <c r="K1444" i="1"/>
  <c r="F1444" i="1"/>
  <c r="L1444" i="1" s="1"/>
  <c r="F1443" i="1"/>
  <c r="L1443" i="1" s="1"/>
  <c r="K1443" i="1"/>
  <c r="F1442" i="1"/>
  <c r="L1442" i="1" s="1"/>
  <c r="K1442" i="1"/>
  <c r="F1441" i="1"/>
  <c r="L1441" i="1" s="1"/>
  <c r="K1441" i="1"/>
  <c r="F1440" i="1"/>
  <c r="L1440" i="1" s="1"/>
  <c r="K1440" i="1"/>
  <c r="F1439" i="1"/>
  <c r="L1439" i="1" s="1"/>
  <c r="K1439" i="1"/>
  <c r="K1438" i="1"/>
  <c r="F1438" i="1"/>
  <c r="L1438" i="1" s="1"/>
  <c r="K1437" i="1"/>
  <c r="F1437" i="1"/>
  <c r="L1437" i="1" s="1"/>
  <c r="K1436" i="1"/>
  <c r="F1436" i="1"/>
  <c r="L1436" i="1" s="1"/>
  <c r="K1435" i="1"/>
  <c r="F1435" i="1"/>
  <c r="L1435" i="1" s="1"/>
  <c r="F1434" i="1"/>
  <c r="L1434" i="1" s="1"/>
  <c r="K1434" i="1"/>
  <c r="F1433" i="1"/>
  <c r="L1433" i="1" s="1"/>
  <c r="K1433" i="1"/>
  <c r="K1432" i="1"/>
  <c r="F1432" i="1"/>
  <c r="L1432" i="1" s="1"/>
  <c r="K1431" i="1"/>
  <c r="F1431" i="1"/>
  <c r="L1431" i="1" s="1"/>
  <c r="F1430" i="1"/>
  <c r="L1430" i="1" s="1"/>
  <c r="K1430" i="1"/>
  <c r="F1429" i="1"/>
  <c r="L1429" i="1" s="1"/>
  <c r="K1429" i="1"/>
  <c r="F1428" i="1"/>
  <c r="K1428" i="1"/>
  <c r="F1419" i="1"/>
  <c r="L1419" i="1" s="1"/>
  <c r="K1419" i="1"/>
  <c r="K1418" i="1"/>
  <c r="F1418" i="1"/>
  <c r="L1418" i="1" s="1"/>
  <c r="K1417" i="1"/>
  <c r="F1417" i="1"/>
  <c r="L1417" i="1" s="1"/>
  <c r="K1416" i="1"/>
  <c r="F1416" i="1"/>
  <c r="L1416" i="1" s="1"/>
  <c r="K1415" i="1"/>
  <c r="F1415" i="1"/>
  <c r="L1415" i="1" s="1"/>
  <c r="K1414" i="1"/>
  <c r="F1414" i="1"/>
  <c r="L1414" i="1" s="1"/>
  <c r="K1413" i="1"/>
  <c r="F1413" i="1"/>
  <c r="L1413" i="1" s="1"/>
  <c r="F1412" i="1"/>
  <c r="L1412" i="1" s="1"/>
  <c r="K1412" i="1"/>
  <c r="K1411" i="1"/>
  <c r="F1411" i="1"/>
  <c r="L1411" i="1" s="1"/>
  <c r="F1410" i="1"/>
  <c r="L1410" i="1" s="1"/>
  <c r="K1410" i="1"/>
  <c r="K1409" i="1"/>
  <c r="F1409" i="1"/>
  <c r="L1409" i="1" s="1"/>
  <c r="F1408" i="1"/>
  <c r="L1408" i="1" s="1"/>
  <c r="K1408" i="1"/>
  <c r="K1407" i="1"/>
  <c r="F1407" i="1"/>
  <c r="F1402" i="1"/>
  <c r="L1402" i="1" s="1"/>
  <c r="K1402" i="1"/>
  <c r="K1401" i="1"/>
  <c r="F1401" i="1"/>
  <c r="L1401" i="1" s="1"/>
  <c r="F1400" i="1"/>
  <c r="L1400" i="1" s="1"/>
  <c r="K1400" i="1"/>
  <c r="K1399" i="1"/>
  <c r="F1399" i="1"/>
  <c r="L1399" i="1" s="1"/>
  <c r="H1398" i="1"/>
  <c r="K1398" i="1"/>
  <c r="K1397" i="1"/>
  <c r="F1397" i="1"/>
  <c r="L1397" i="1" s="1"/>
  <c r="K1396" i="1"/>
  <c r="F1396" i="1"/>
  <c r="L1396" i="1" s="1"/>
  <c r="K1395" i="1"/>
  <c r="F1395" i="1"/>
  <c r="L1395" i="1" s="1"/>
  <c r="F1394" i="1"/>
  <c r="L1394" i="1" s="1"/>
  <c r="K1394" i="1"/>
  <c r="K1393" i="1"/>
  <c r="F1393" i="1"/>
  <c r="L1393" i="1" s="1"/>
  <c r="K1392" i="1"/>
  <c r="F1392" i="1"/>
  <c r="L1392" i="1" s="1"/>
  <c r="F1391" i="1"/>
  <c r="L1391" i="1" s="1"/>
  <c r="K1391" i="1"/>
  <c r="K1390" i="1"/>
  <c r="F1390" i="1"/>
  <c r="L1390" i="1" s="1"/>
  <c r="K1389" i="1"/>
  <c r="F1389" i="1"/>
  <c r="L1389" i="1" s="1"/>
  <c r="K1388" i="1"/>
  <c r="F1388" i="1"/>
  <c r="L1388" i="1" s="1"/>
  <c r="F1387" i="1"/>
  <c r="L1387" i="1" s="1"/>
  <c r="K1387" i="1"/>
  <c r="K1386" i="1"/>
  <c r="F1386" i="1"/>
  <c r="F1368" i="1"/>
  <c r="L1368" i="1" s="1"/>
  <c r="K1368" i="1"/>
  <c r="F1367" i="1"/>
  <c r="L1367" i="1" s="1"/>
  <c r="K1367" i="1"/>
  <c r="K1366" i="1"/>
  <c r="F1366" i="1"/>
  <c r="L1366" i="1" s="1"/>
  <c r="F1365" i="1"/>
  <c r="K1365" i="1"/>
  <c r="K1362" i="1"/>
  <c r="F1362" i="1"/>
  <c r="L1362" i="1" s="1"/>
  <c r="K1361" i="1"/>
  <c r="F1361" i="1"/>
  <c r="L1361" i="1" s="1"/>
  <c r="F1360" i="1"/>
  <c r="L1360" i="1" s="1"/>
  <c r="K1360" i="1"/>
  <c r="F1359" i="1"/>
  <c r="L1359" i="1" s="1"/>
  <c r="K1359" i="1"/>
  <c r="F1358" i="1"/>
  <c r="L1358" i="1" s="1"/>
  <c r="K1358" i="1"/>
  <c r="F1357" i="1"/>
  <c r="L1357" i="1" s="1"/>
  <c r="K1357" i="1"/>
  <c r="K1356" i="1"/>
  <c r="F1356" i="1"/>
  <c r="L1356" i="1" s="1"/>
  <c r="F1355" i="1"/>
  <c r="L1355" i="1" s="1"/>
  <c r="K1355" i="1"/>
  <c r="F1354" i="1"/>
  <c r="L1354" i="1" s="1"/>
  <c r="K1354" i="1"/>
  <c r="F1353" i="1"/>
  <c r="L1353" i="1" s="1"/>
  <c r="K1353" i="1"/>
  <c r="F1352" i="1"/>
  <c r="L1352" i="1" s="1"/>
  <c r="K1352" i="1"/>
  <c r="K1351" i="1"/>
  <c r="F1351" i="1"/>
  <c r="L1351" i="1" s="1"/>
  <c r="K1350" i="1"/>
  <c r="F1350" i="1"/>
  <c r="L1350" i="1" s="1"/>
  <c r="F1349" i="1"/>
  <c r="L1349" i="1" s="1"/>
  <c r="K1349" i="1"/>
  <c r="F1348" i="1"/>
  <c r="L1348" i="1" s="1"/>
  <c r="K1348" i="1"/>
  <c r="F1347" i="1"/>
  <c r="L1347" i="1" s="1"/>
  <c r="K1347" i="1"/>
  <c r="F1346" i="1"/>
  <c r="L1346" i="1" s="1"/>
  <c r="K1346" i="1"/>
  <c r="K1345" i="1"/>
  <c r="F1345" i="1"/>
  <c r="L1345" i="1" s="1"/>
  <c r="F1344" i="1"/>
  <c r="K1344" i="1"/>
  <c r="F1339" i="1"/>
  <c r="L1339" i="1" s="1"/>
  <c r="K1339" i="1"/>
  <c r="K1338" i="1"/>
  <c r="F1338" i="1"/>
  <c r="L1338" i="1" s="1"/>
  <c r="F1337" i="1"/>
  <c r="L1337" i="1" s="1"/>
  <c r="K1337" i="1"/>
  <c r="F1336" i="1"/>
  <c r="L1336" i="1" s="1"/>
  <c r="K1336" i="1"/>
  <c r="K1335" i="1"/>
  <c r="F1335" i="1"/>
  <c r="L1335" i="1" s="1"/>
  <c r="K1334" i="1"/>
  <c r="F1334" i="1"/>
  <c r="L1334" i="1" s="1"/>
  <c r="F1333" i="1"/>
  <c r="L1333" i="1" s="1"/>
  <c r="K1333" i="1"/>
  <c r="F1332" i="1"/>
  <c r="L1332" i="1" s="1"/>
  <c r="K1332" i="1"/>
  <c r="K1331" i="1"/>
  <c r="F1331" i="1"/>
  <c r="L1331" i="1" s="1"/>
  <c r="K1330" i="1"/>
  <c r="F1330" i="1"/>
  <c r="L1330" i="1" s="1"/>
  <c r="K1329" i="1"/>
  <c r="F1329" i="1"/>
  <c r="L1329" i="1" s="1"/>
  <c r="F1328" i="1"/>
  <c r="L1328" i="1" s="1"/>
  <c r="K1328" i="1"/>
  <c r="F1327" i="1"/>
  <c r="L1327" i="1" s="1"/>
  <c r="K1327" i="1"/>
  <c r="K1326" i="1"/>
  <c r="F1326" i="1"/>
  <c r="L1326" i="1" s="1"/>
  <c r="F1325" i="1"/>
  <c r="L1325" i="1" s="1"/>
  <c r="K1325" i="1"/>
  <c r="K1324" i="1"/>
  <c r="F1324" i="1"/>
  <c r="L1324" i="1" s="1"/>
  <c r="F1323" i="1"/>
  <c r="K1323" i="1"/>
  <c r="F1306" i="1"/>
  <c r="L1306" i="1" s="1"/>
  <c r="K1306" i="1"/>
  <c r="K1305" i="1"/>
  <c r="F1305" i="1"/>
  <c r="L1305" i="1" s="1"/>
  <c r="F1304" i="1"/>
  <c r="L1304" i="1" s="1"/>
  <c r="K1304" i="1"/>
  <c r="K1303" i="1"/>
  <c r="F1303" i="1"/>
  <c r="L1303" i="1" s="1"/>
  <c r="F1302" i="1"/>
  <c r="K1302" i="1"/>
  <c r="F1282" i="1"/>
  <c r="L1282" i="1" s="1"/>
  <c r="K1282" i="1"/>
  <c r="K1281" i="1"/>
  <c r="F1281" i="1"/>
  <c r="K1272" i="1"/>
  <c r="F1272" i="1"/>
  <c r="L1272" i="1" s="1"/>
  <c r="K1271" i="1"/>
  <c r="F1271" i="1"/>
  <c r="L1271" i="1" s="1"/>
  <c r="K1270" i="1"/>
  <c r="F1270" i="1"/>
  <c r="L1270" i="1" s="1"/>
  <c r="K1269" i="1"/>
  <c r="F1269" i="1"/>
  <c r="L1269" i="1" s="1"/>
  <c r="F1268" i="1"/>
  <c r="L1268" i="1" s="1"/>
  <c r="K1268" i="1"/>
  <c r="K1267" i="1"/>
  <c r="F1267" i="1"/>
  <c r="L1267" i="1" s="1"/>
  <c r="F1266" i="1"/>
  <c r="L1266" i="1" s="1"/>
  <c r="K1266" i="1"/>
  <c r="K1265" i="1"/>
  <c r="F1265" i="1"/>
  <c r="L1265" i="1" s="1"/>
  <c r="K1264" i="1"/>
  <c r="F1264" i="1"/>
  <c r="L1264" i="1" s="1"/>
  <c r="F1263" i="1"/>
  <c r="L1263" i="1" s="1"/>
  <c r="K1263" i="1"/>
  <c r="K1262" i="1"/>
  <c r="F1262" i="1"/>
  <c r="L1262" i="1" s="1"/>
  <c r="K1261" i="1"/>
  <c r="F1261" i="1"/>
  <c r="L1261" i="1" s="1"/>
  <c r="F1260" i="1"/>
  <c r="K1260" i="1"/>
  <c r="F1238" i="1"/>
  <c r="L1238" i="1" s="1"/>
  <c r="K1238" i="1"/>
  <c r="K1237" i="1"/>
  <c r="F1237" i="1"/>
  <c r="L1237" i="1" s="1"/>
  <c r="F1236" i="1"/>
  <c r="L1236" i="1" s="1"/>
  <c r="K1236" i="1"/>
  <c r="K1235" i="1"/>
  <c r="F1235" i="1"/>
  <c r="L1235" i="1" s="1"/>
  <c r="K1234" i="1"/>
  <c r="F1234" i="1"/>
  <c r="L1234" i="1" s="1"/>
  <c r="F1233" i="1"/>
  <c r="L1233" i="1" s="1"/>
  <c r="K1233" i="1"/>
  <c r="K1232" i="1"/>
  <c r="F1232" i="1"/>
  <c r="L1232" i="1" s="1"/>
  <c r="F1231" i="1"/>
  <c r="L1231" i="1" s="1"/>
  <c r="K1231" i="1"/>
  <c r="J1230" i="1"/>
  <c r="K1230" i="1"/>
  <c r="K1229" i="1"/>
  <c r="F1229" i="1"/>
  <c r="L1229" i="1" s="1"/>
  <c r="F1228" i="1"/>
  <c r="L1228" i="1" s="1"/>
  <c r="K1228" i="1"/>
  <c r="K1227" i="1"/>
  <c r="F1227" i="1"/>
  <c r="L1227" i="1" s="1"/>
  <c r="K1226" i="1"/>
  <c r="F1226" i="1"/>
  <c r="L1226" i="1" s="1"/>
  <c r="K1225" i="1"/>
  <c r="F1225" i="1"/>
  <c r="L1225" i="1" s="1"/>
  <c r="K1224" i="1"/>
  <c r="F1224" i="1"/>
  <c r="L1224" i="1" s="1"/>
  <c r="F1223" i="1"/>
  <c r="L1223" i="1" s="1"/>
  <c r="K1223" i="1"/>
  <c r="K1222" i="1"/>
  <c r="F1222" i="1"/>
  <c r="L1222" i="1" s="1"/>
  <c r="K1221" i="1"/>
  <c r="F1221" i="1"/>
  <c r="L1221" i="1" s="1"/>
  <c r="K1220" i="1"/>
  <c r="F1220" i="1"/>
  <c r="L1220" i="1" s="1"/>
  <c r="K1219" i="1"/>
  <c r="F1219" i="1"/>
  <c r="L1219" i="1" s="1"/>
  <c r="K1218" i="1"/>
  <c r="F1218" i="1"/>
  <c r="K1206" i="1"/>
  <c r="F1206" i="1"/>
  <c r="L1206" i="1" s="1"/>
  <c r="F1205" i="1"/>
  <c r="L1205" i="1" s="1"/>
  <c r="K1205" i="1"/>
  <c r="F1204" i="1"/>
  <c r="L1204" i="1" s="1"/>
  <c r="K1204" i="1"/>
  <c r="K1203" i="1"/>
  <c r="F1203" i="1"/>
  <c r="L1203" i="1" s="1"/>
  <c r="F1202" i="1"/>
  <c r="L1202" i="1" s="1"/>
  <c r="K1202" i="1"/>
  <c r="K1201" i="1"/>
  <c r="F1201" i="1"/>
  <c r="L1201" i="1" s="1"/>
  <c r="K1200" i="1"/>
  <c r="F1200" i="1"/>
  <c r="L1200" i="1" s="1"/>
  <c r="F1199" i="1"/>
  <c r="L1199" i="1" s="1"/>
  <c r="K1199" i="1"/>
  <c r="K1198" i="1"/>
  <c r="F1198" i="1"/>
  <c r="L1198" i="1" s="1"/>
  <c r="F1197" i="1"/>
  <c r="K1197" i="1"/>
  <c r="K1173" i="1"/>
  <c r="F1173" i="1"/>
  <c r="F1171" i="1"/>
  <c r="K1171" i="1"/>
  <c r="F1169" i="1"/>
  <c r="K1169" i="1"/>
  <c r="F1167" i="1"/>
  <c r="K1167" i="1"/>
  <c r="K1165" i="1"/>
  <c r="F1165" i="1"/>
  <c r="F1163" i="1"/>
  <c r="L1163" i="1" s="1"/>
  <c r="K1163" i="1"/>
  <c r="K1162" i="1"/>
  <c r="F1162" i="1"/>
  <c r="L1162" i="1" s="1"/>
  <c r="K1161" i="1"/>
  <c r="F1161" i="1"/>
  <c r="K1159" i="1"/>
  <c r="F1159" i="1"/>
  <c r="L1159" i="1" s="1"/>
  <c r="K1158" i="1"/>
  <c r="F1158" i="1"/>
  <c r="L1158" i="1" s="1"/>
  <c r="F1157" i="1"/>
  <c r="L1157" i="1" s="1"/>
  <c r="K1157" i="1"/>
  <c r="K1156" i="1"/>
  <c r="F1156" i="1"/>
  <c r="L1156" i="1" s="1"/>
  <c r="K1155" i="1"/>
  <c r="F1155" i="1"/>
  <c r="K1134" i="1"/>
  <c r="F1134" i="1"/>
  <c r="F1116" i="1"/>
  <c r="L1116" i="1" s="1"/>
  <c r="K1116" i="1"/>
  <c r="K1115" i="1"/>
  <c r="F1115" i="1"/>
  <c r="L1115" i="1" s="1"/>
  <c r="F1114" i="1"/>
  <c r="L1114" i="1" s="1"/>
  <c r="K1114" i="1"/>
  <c r="K1113" i="1"/>
  <c r="F1113" i="1"/>
  <c r="K1093" i="1"/>
  <c r="F1093" i="1"/>
  <c r="L1093" i="1" s="1"/>
  <c r="K1092" i="1"/>
  <c r="F1092" i="1"/>
  <c r="F1077" i="1"/>
  <c r="L1077" i="1" s="1"/>
  <c r="K1077" i="1"/>
  <c r="K1076" i="1"/>
  <c r="F1076" i="1"/>
  <c r="L1076" i="1" s="1"/>
  <c r="K1075" i="1"/>
  <c r="F1075" i="1"/>
  <c r="L1075" i="1" s="1"/>
  <c r="F1074" i="1"/>
  <c r="L1074" i="1" s="1"/>
  <c r="K1074" i="1"/>
  <c r="K1073" i="1"/>
  <c r="F1073" i="1"/>
  <c r="L1073" i="1" s="1"/>
  <c r="F1072" i="1"/>
  <c r="L1072" i="1" s="1"/>
  <c r="K1072" i="1"/>
  <c r="K1071" i="1"/>
  <c r="F1071" i="1"/>
  <c r="K1061" i="1"/>
  <c r="F1061" i="1"/>
  <c r="L1061" i="1" s="1"/>
  <c r="K1060" i="1"/>
  <c r="F1060" i="1"/>
  <c r="L1060" i="1" s="1"/>
  <c r="K1059" i="1"/>
  <c r="F1059" i="1"/>
  <c r="L1059" i="1" s="1"/>
  <c r="K1058" i="1"/>
  <c r="F1058" i="1"/>
  <c r="L1058" i="1" s="1"/>
  <c r="K1057" i="1"/>
  <c r="F1057" i="1"/>
  <c r="L1057" i="1" s="1"/>
  <c r="K1056" i="1"/>
  <c r="F1056" i="1"/>
  <c r="L1056" i="1" s="1"/>
  <c r="K1055" i="1"/>
  <c r="F1055" i="1"/>
  <c r="L1055" i="1" s="1"/>
  <c r="K1054" i="1"/>
  <c r="F1054" i="1"/>
  <c r="L1054" i="1" s="1"/>
  <c r="K1053" i="1"/>
  <c r="F1053" i="1"/>
  <c r="L1053" i="1" s="1"/>
  <c r="K1052" i="1"/>
  <c r="F1052" i="1"/>
  <c r="L1052" i="1" s="1"/>
  <c r="K1051" i="1"/>
  <c r="F1051" i="1"/>
  <c r="L1051" i="1" s="1"/>
  <c r="K1050" i="1"/>
  <c r="F1050" i="1"/>
  <c r="K1034" i="1"/>
  <c r="F1034" i="1"/>
  <c r="L1034" i="1" s="1"/>
  <c r="K1033" i="1"/>
  <c r="F1033" i="1"/>
  <c r="L1033" i="1" s="1"/>
  <c r="K1032" i="1"/>
  <c r="F1032" i="1"/>
  <c r="L1032" i="1" s="1"/>
  <c r="K1031" i="1"/>
  <c r="F1031" i="1"/>
  <c r="L1031" i="1" s="1"/>
  <c r="K1030" i="1"/>
  <c r="F1030" i="1"/>
  <c r="L1030" i="1" s="1"/>
  <c r="K1029" i="1"/>
  <c r="F1029" i="1"/>
  <c r="L1029" i="1" s="1"/>
  <c r="K1028" i="1"/>
  <c r="F1028" i="1"/>
  <c r="L1028" i="1" s="1"/>
  <c r="K1027" i="1"/>
  <c r="F1027" i="1"/>
  <c r="L1027" i="1" s="1"/>
  <c r="K1026" i="1"/>
  <c r="F1026" i="1"/>
  <c r="L1026" i="1" s="1"/>
  <c r="K1025" i="1"/>
  <c r="F1025" i="1"/>
  <c r="L1025" i="1" s="1"/>
  <c r="F1024" i="1"/>
  <c r="L1024" i="1" s="1"/>
  <c r="K1024" i="1"/>
  <c r="F1023" i="1"/>
  <c r="L1023" i="1" s="1"/>
  <c r="K1023" i="1"/>
  <c r="K1022" i="1"/>
  <c r="F1022" i="1"/>
  <c r="L1022" i="1" s="1"/>
  <c r="K1020" i="1"/>
  <c r="F1020" i="1"/>
  <c r="L1020" i="1" s="1"/>
  <c r="K1019" i="1"/>
  <c r="F1019" i="1"/>
  <c r="L1019" i="1" s="1"/>
  <c r="F1018" i="1"/>
  <c r="L1018" i="1" s="1"/>
  <c r="K1018" i="1"/>
  <c r="F1017" i="1"/>
  <c r="L1017" i="1" s="1"/>
  <c r="K1017" i="1"/>
  <c r="F1016" i="1"/>
  <c r="L1016" i="1" s="1"/>
  <c r="K1016" i="1"/>
  <c r="K1015" i="1"/>
  <c r="F1015" i="1"/>
  <c r="L1015" i="1" s="1"/>
  <c r="K1014" i="1"/>
  <c r="F1014" i="1"/>
  <c r="L1014" i="1" s="1"/>
  <c r="F1013" i="1"/>
  <c r="L1013" i="1" s="1"/>
  <c r="K1013" i="1"/>
  <c r="F1012" i="1"/>
  <c r="L1012" i="1" s="1"/>
  <c r="K1012" i="1"/>
  <c r="K1011" i="1"/>
  <c r="F1011" i="1"/>
  <c r="L1011" i="1" s="1"/>
  <c r="K1010" i="1"/>
  <c r="F1010" i="1"/>
  <c r="L1010" i="1" s="1"/>
  <c r="K1009" i="1"/>
  <c r="F1009" i="1"/>
  <c r="L1009" i="1" s="1"/>
  <c r="K1008" i="1"/>
  <c r="F1008" i="1"/>
  <c r="K995" i="1"/>
  <c r="F995" i="1"/>
  <c r="L995" i="1" s="1"/>
  <c r="F994" i="1"/>
  <c r="L994" i="1" s="1"/>
  <c r="K994" i="1"/>
  <c r="F993" i="1"/>
  <c r="L993" i="1" s="1"/>
  <c r="K993" i="1"/>
  <c r="K992" i="1"/>
  <c r="F992" i="1"/>
  <c r="L992" i="1" s="1"/>
  <c r="K991" i="1"/>
  <c r="F991" i="1"/>
  <c r="L991" i="1" s="1"/>
  <c r="F990" i="1"/>
  <c r="L990" i="1" s="1"/>
  <c r="K990" i="1"/>
  <c r="F989" i="1"/>
  <c r="L989" i="1" s="1"/>
  <c r="K989" i="1"/>
  <c r="F988" i="1"/>
  <c r="L988" i="1" s="1"/>
  <c r="K988" i="1"/>
  <c r="F987" i="1"/>
  <c r="K987" i="1"/>
  <c r="F984" i="1"/>
  <c r="L984" i="1" s="1"/>
  <c r="K984" i="1"/>
  <c r="F983" i="1"/>
  <c r="L983" i="1" s="1"/>
  <c r="K983" i="1"/>
  <c r="F982" i="1"/>
  <c r="L982" i="1" s="1"/>
  <c r="K982" i="1"/>
  <c r="F981" i="1"/>
  <c r="L981" i="1" s="1"/>
  <c r="K981" i="1"/>
  <c r="F980" i="1"/>
  <c r="L980" i="1" s="1"/>
  <c r="K980" i="1"/>
  <c r="F979" i="1"/>
  <c r="L979" i="1" s="1"/>
  <c r="K979" i="1"/>
  <c r="K978" i="1"/>
  <c r="F978" i="1"/>
  <c r="L978" i="1" s="1"/>
  <c r="K977" i="1"/>
  <c r="F977" i="1"/>
  <c r="L977" i="1" s="1"/>
  <c r="F976" i="1"/>
  <c r="L976" i="1" s="1"/>
  <c r="K976" i="1"/>
  <c r="K975" i="1"/>
  <c r="F975" i="1"/>
  <c r="L975" i="1" s="1"/>
  <c r="K974" i="1"/>
  <c r="F974" i="1"/>
  <c r="L974" i="1" s="1"/>
  <c r="F973" i="1"/>
  <c r="L973" i="1" s="1"/>
  <c r="K973" i="1"/>
  <c r="F972" i="1"/>
  <c r="L972" i="1" s="1"/>
  <c r="K972" i="1"/>
  <c r="F971" i="1"/>
  <c r="L971" i="1" s="1"/>
  <c r="K971" i="1"/>
  <c r="K970" i="1"/>
  <c r="F970" i="1"/>
  <c r="L970" i="1" s="1"/>
  <c r="F969" i="1"/>
  <c r="L969" i="1" s="1"/>
  <c r="K969" i="1"/>
  <c r="F968" i="1"/>
  <c r="L968" i="1" s="1"/>
  <c r="K968" i="1"/>
  <c r="K967" i="1"/>
  <c r="F967" i="1"/>
  <c r="L967" i="1" s="1"/>
  <c r="K966" i="1"/>
  <c r="F966" i="1"/>
  <c r="K945" i="1"/>
  <c r="F945" i="1"/>
  <c r="L945" i="1" s="1"/>
  <c r="K944" i="1"/>
  <c r="F944" i="1"/>
  <c r="L944" i="1" s="1"/>
  <c r="F943" i="1"/>
  <c r="L943" i="1" s="1"/>
  <c r="K943" i="1"/>
  <c r="F942" i="1"/>
  <c r="L942" i="1" s="1"/>
  <c r="K942" i="1"/>
  <c r="K941" i="1"/>
  <c r="F941" i="1"/>
  <c r="L941" i="1" s="1"/>
  <c r="F940" i="1"/>
  <c r="L940" i="1" s="1"/>
  <c r="K940" i="1"/>
  <c r="F939" i="1"/>
  <c r="L939" i="1" s="1"/>
  <c r="K939" i="1"/>
  <c r="F938" i="1"/>
  <c r="L938" i="1" s="1"/>
  <c r="K938" i="1"/>
  <c r="F937" i="1"/>
  <c r="L937" i="1" s="1"/>
  <c r="K937" i="1"/>
  <c r="K936" i="1"/>
  <c r="F936" i="1"/>
  <c r="L936" i="1" s="1"/>
  <c r="K935" i="1"/>
  <c r="F935" i="1"/>
  <c r="L935" i="1" s="1"/>
  <c r="K934" i="1"/>
  <c r="F934" i="1"/>
  <c r="L934" i="1" s="1"/>
  <c r="F933" i="1"/>
  <c r="L933" i="1" s="1"/>
  <c r="K933" i="1"/>
  <c r="F932" i="1"/>
  <c r="L932" i="1" s="1"/>
  <c r="K932" i="1"/>
  <c r="K931" i="1"/>
  <c r="F931" i="1"/>
  <c r="L931" i="1" s="1"/>
  <c r="K930" i="1"/>
  <c r="F930" i="1"/>
  <c r="L930" i="1" s="1"/>
  <c r="K929" i="1"/>
  <c r="F929" i="1"/>
  <c r="L929" i="1" s="1"/>
  <c r="F928" i="1"/>
  <c r="L928" i="1" s="1"/>
  <c r="K928" i="1"/>
  <c r="K927" i="1"/>
  <c r="F927" i="1"/>
  <c r="L927" i="1" s="1"/>
  <c r="K926" i="1"/>
  <c r="F926" i="1"/>
  <c r="L926" i="1" s="1"/>
  <c r="F925" i="1"/>
  <c r="L925" i="1" s="1"/>
  <c r="K925" i="1"/>
  <c r="K924" i="1"/>
  <c r="F924" i="1"/>
  <c r="F914" i="1"/>
  <c r="L914" i="1" s="1"/>
  <c r="K914" i="1"/>
  <c r="F913" i="1"/>
  <c r="L913" i="1" s="1"/>
  <c r="K913" i="1"/>
  <c r="F912" i="1"/>
  <c r="L912" i="1" s="1"/>
  <c r="K912" i="1"/>
  <c r="K911" i="1"/>
  <c r="F911" i="1"/>
  <c r="L911" i="1" s="1"/>
  <c r="K910" i="1"/>
  <c r="F910" i="1"/>
  <c r="L910" i="1" s="1"/>
  <c r="F909" i="1"/>
  <c r="L909" i="1" s="1"/>
  <c r="K909" i="1"/>
  <c r="K908" i="1"/>
  <c r="F908" i="1"/>
  <c r="L908" i="1" s="1"/>
  <c r="K907" i="1"/>
  <c r="F907" i="1"/>
  <c r="L907" i="1" s="1"/>
  <c r="K906" i="1"/>
  <c r="F906" i="1"/>
  <c r="L906" i="1" s="1"/>
  <c r="F905" i="1"/>
  <c r="L905" i="1" s="1"/>
  <c r="K905" i="1"/>
  <c r="F904" i="1"/>
  <c r="L904" i="1" s="1"/>
  <c r="K904" i="1"/>
  <c r="F903" i="1"/>
  <c r="K903" i="1"/>
  <c r="F888" i="1"/>
  <c r="L888" i="1" s="1"/>
  <c r="K888" i="1"/>
  <c r="K887" i="1"/>
  <c r="F887" i="1"/>
  <c r="L887" i="1" s="1"/>
  <c r="K886" i="1"/>
  <c r="F886" i="1"/>
  <c r="L886" i="1" s="1"/>
  <c r="K885" i="1"/>
  <c r="F885" i="1"/>
  <c r="L885" i="1" s="1"/>
  <c r="F884" i="1"/>
  <c r="L884" i="1" s="1"/>
  <c r="K884" i="1"/>
  <c r="F883" i="1"/>
  <c r="L883" i="1" s="1"/>
  <c r="K883" i="1"/>
  <c r="K882" i="1"/>
  <c r="F882" i="1"/>
  <c r="F864" i="1"/>
  <c r="L864" i="1" s="1"/>
  <c r="K864" i="1"/>
  <c r="F863" i="1"/>
  <c r="L863" i="1" s="1"/>
  <c r="K863" i="1"/>
  <c r="K862" i="1"/>
  <c r="F862" i="1"/>
  <c r="L862" i="1" s="1"/>
  <c r="K861" i="1"/>
  <c r="F861" i="1"/>
  <c r="K850" i="1"/>
  <c r="F850" i="1"/>
  <c r="L850" i="1" s="1"/>
  <c r="K849" i="1"/>
  <c r="F849" i="1"/>
  <c r="L849" i="1" s="1"/>
  <c r="F848" i="1"/>
  <c r="L848" i="1" s="1"/>
  <c r="K848" i="1"/>
  <c r="K847" i="1"/>
  <c r="F847" i="1"/>
  <c r="L847" i="1" s="1"/>
  <c r="F846" i="1"/>
  <c r="L846" i="1" s="1"/>
  <c r="K846" i="1"/>
  <c r="K845" i="1"/>
  <c r="F845" i="1"/>
  <c r="L845" i="1" s="1"/>
  <c r="K844" i="1"/>
  <c r="F844" i="1"/>
  <c r="L844" i="1" s="1"/>
  <c r="F843" i="1"/>
  <c r="L843" i="1" s="1"/>
  <c r="K843" i="1"/>
  <c r="F842" i="1"/>
  <c r="L842" i="1" s="1"/>
  <c r="K842" i="1"/>
  <c r="K841" i="1"/>
  <c r="F841" i="1"/>
  <c r="L841" i="1" s="1"/>
  <c r="K840" i="1"/>
  <c r="F840" i="1"/>
  <c r="K837" i="1"/>
  <c r="F837" i="1"/>
  <c r="L837" i="1" s="1"/>
  <c r="F836" i="1"/>
  <c r="L836" i="1" s="1"/>
  <c r="K836" i="1"/>
  <c r="K835" i="1"/>
  <c r="F835" i="1"/>
  <c r="L835" i="1" s="1"/>
  <c r="K834" i="1"/>
  <c r="F834" i="1"/>
  <c r="L834" i="1" s="1"/>
  <c r="K833" i="1"/>
  <c r="F833" i="1"/>
  <c r="L833" i="1" s="1"/>
  <c r="K832" i="1"/>
  <c r="F832" i="1"/>
  <c r="L832" i="1" s="1"/>
  <c r="K831" i="1"/>
  <c r="F831" i="1"/>
  <c r="L831" i="1" s="1"/>
  <c r="K830" i="1"/>
  <c r="F830" i="1"/>
  <c r="L830" i="1" s="1"/>
  <c r="K829" i="1"/>
  <c r="F829" i="1"/>
  <c r="L829" i="1" s="1"/>
  <c r="F828" i="1"/>
  <c r="L828" i="1" s="1"/>
  <c r="K828" i="1"/>
  <c r="K827" i="1"/>
  <c r="F827" i="1"/>
  <c r="L827" i="1" s="1"/>
  <c r="K826" i="1"/>
  <c r="F826" i="1"/>
  <c r="L826" i="1" s="1"/>
  <c r="K825" i="1"/>
  <c r="F825" i="1"/>
  <c r="L825" i="1" s="1"/>
  <c r="F824" i="1"/>
  <c r="L824" i="1" s="1"/>
  <c r="K824" i="1"/>
  <c r="K823" i="1"/>
  <c r="F823" i="1"/>
  <c r="L823" i="1" s="1"/>
  <c r="F822" i="1"/>
  <c r="L822" i="1" s="1"/>
  <c r="K822" i="1"/>
  <c r="K821" i="1"/>
  <c r="F821" i="1"/>
  <c r="L821" i="1" s="1"/>
  <c r="F820" i="1"/>
  <c r="L820" i="1" s="1"/>
  <c r="K820" i="1"/>
  <c r="K819" i="1"/>
  <c r="F819" i="1"/>
  <c r="K807" i="1"/>
  <c r="F807" i="1"/>
  <c r="L807" i="1" s="1"/>
  <c r="K806" i="1"/>
  <c r="F806" i="1"/>
  <c r="L806" i="1" s="1"/>
  <c r="F805" i="1"/>
  <c r="L805" i="1" s="1"/>
  <c r="K805" i="1"/>
  <c r="K804" i="1"/>
  <c r="F804" i="1"/>
  <c r="L804" i="1" s="1"/>
  <c r="F803" i="1"/>
  <c r="L803" i="1" s="1"/>
  <c r="K803" i="1"/>
  <c r="K802" i="1"/>
  <c r="F802" i="1"/>
  <c r="L802" i="1" s="1"/>
  <c r="K801" i="1"/>
  <c r="F801" i="1"/>
  <c r="L801" i="1" s="1"/>
  <c r="F800" i="1"/>
  <c r="L800" i="1" s="1"/>
  <c r="K800" i="1"/>
  <c r="K799" i="1"/>
  <c r="F799" i="1"/>
  <c r="L799" i="1" s="1"/>
  <c r="K798" i="1"/>
  <c r="F798" i="1"/>
  <c r="K780" i="1"/>
  <c r="F780" i="1"/>
  <c r="L780" i="1" s="1"/>
  <c r="K779" i="1"/>
  <c r="F779" i="1"/>
  <c r="F777" i="1"/>
  <c r="K777" i="1"/>
  <c r="F775" i="1"/>
  <c r="K775" i="1"/>
  <c r="K773" i="1"/>
  <c r="F773" i="1"/>
  <c r="K771" i="1"/>
  <c r="F771" i="1"/>
  <c r="F769" i="1"/>
  <c r="L769" i="1" s="1"/>
  <c r="K769" i="1"/>
  <c r="F768" i="1"/>
  <c r="L768" i="1" s="1"/>
  <c r="K768" i="1"/>
  <c r="F767" i="1"/>
  <c r="K767" i="1"/>
  <c r="K765" i="1"/>
  <c r="F765" i="1"/>
  <c r="L765" i="1" s="1"/>
  <c r="F764" i="1"/>
  <c r="L764" i="1" s="1"/>
  <c r="K764" i="1"/>
  <c r="F763" i="1"/>
  <c r="L763" i="1" s="1"/>
  <c r="K763" i="1"/>
  <c r="F762" i="1"/>
  <c r="L762" i="1" s="1"/>
  <c r="K762" i="1"/>
  <c r="F761" i="1"/>
  <c r="L761" i="1" s="1"/>
  <c r="K761" i="1"/>
  <c r="K760" i="1"/>
  <c r="F760" i="1"/>
  <c r="F758" i="1"/>
  <c r="L758" i="1" s="1"/>
  <c r="K758" i="1"/>
  <c r="K757" i="1"/>
  <c r="F757" i="1"/>
  <c r="L757" i="1" s="1"/>
  <c r="K756" i="1"/>
  <c r="F756" i="1"/>
  <c r="F736" i="1"/>
  <c r="L736" i="1" s="1"/>
  <c r="K736" i="1"/>
  <c r="F735" i="1"/>
  <c r="K735" i="1"/>
  <c r="F718" i="1"/>
  <c r="L718" i="1" s="1"/>
  <c r="K718" i="1"/>
  <c r="K717" i="1"/>
  <c r="F717" i="1"/>
  <c r="L717" i="1" s="1"/>
  <c r="F716" i="1"/>
  <c r="L716" i="1" s="1"/>
  <c r="K716" i="1"/>
  <c r="F715" i="1"/>
  <c r="L715" i="1" s="1"/>
  <c r="K715" i="1"/>
  <c r="K714" i="1"/>
  <c r="F714" i="1"/>
  <c r="K694" i="1"/>
  <c r="F694" i="1"/>
  <c r="L694" i="1" s="1"/>
  <c r="K693" i="1"/>
  <c r="F693" i="1"/>
  <c r="K684" i="1"/>
  <c r="F684" i="1"/>
  <c r="L684" i="1" s="1"/>
  <c r="K683" i="1"/>
  <c r="H683" i="1"/>
  <c r="K682" i="1"/>
  <c r="F682" i="1"/>
  <c r="L682" i="1" s="1"/>
  <c r="K681" i="1"/>
  <c r="F681" i="1"/>
  <c r="L681" i="1" s="1"/>
  <c r="K680" i="1"/>
  <c r="F680" i="1"/>
  <c r="L680" i="1" s="1"/>
  <c r="F679" i="1"/>
  <c r="L679" i="1" s="1"/>
  <c r="K679" i="1"/>
  <c r="K678" i="1"/>
  <c r="F678" i="1"/>
  <c r="L678" i="1" s="1"/>
  <c r="K677" i="1"/>
  <c r="F677" i="1"/>
  <c r="L677" i="1" s="1"/>
  <c r="F676" i="1"/>
  <c r="L676" i="1" s="1"/>
  <c r="K676" i="1"/>
  <c r="F675" i="1"/>
  <c r="L675" i="1" s="1"/>
  <c r="K675" i="1"/>
  <c r="F674" i="1"/>
  <c r="L674" i="1" s="1"/>
  <c r="K674" i="1"/>
  <c r="K673" i="1"/>
  <c r="F673" i="1"/>
  <c r="L673" i="1" s="1"/>
  <c r="F672" i="1"/>
  <c r="K672" i="1"/>
  <c r="F668" i="1"/>
  <c r="L668" i="1" s="1"/>
  <c r="K668" i="1"/>
  <c r="K667" i="1"/>
  <c r="F667" i="1"/>
  <c r="L667" i="1" s="1"/>
  <c r="K666" i="1"/>
  <c r="F666" i="1"/>
  <c r="L666" i="1" s="1"/>
  <c r="F665" i="1"/>
  <c r="L665" i="1" s="1"/>
  <c r="K665" i="1"/>
  <c r="K664" i="1"/>
  <c r="F664" i="1"/>
  <c r="L664" i="1" s="1"/>
  <c r="K663" i="1"/>
  <c r="F663" i="1"/>
  <c r="L663" i="1" s="1"/>
  <c r="F662" i="1"/>
  <c r="L662" i="1" s="1"/>
  <c r="K662" i="1"/>
  <c r="K661" i="1"/>
  <c r="F661" i="1"/>
  <c r="L661" i="1" s="1"/>
  <c r="F660" i="1"/>
  <c r="L660" i="1" s="1"/>
  <c r="K660" i="1"/>
  <c r="F659" i="1"/>
  <c r="L659" i="1" s="1"/>
  <c r="K659" i="1"/>
  <c r="K658" i="1"/>
  <c r="F658" i="1"/>
  <c r="L658" i="1" s="1"/>
  <c r="K657" i="1"/>
  <c r="F657" i="1"/>
  <c r="L657" i="1" s="1"/>
  <c r="F656" i="1"/>
  <c r="L656" i="1" s="1"/>
  <c r="K656" i="1"/>
  <c r="F655" i="1"/>
  <c r="L655" i="1" s="1"/>
  <c r="K655" i="1"/>
  <c r="F654" i="1"/>
  <c r="L654" i="1" s="1"/>
  <c r="K654" i="1"/>
  <c r="F653" i="1"/>
  <c r="L653" i="1" s="1"/>
  <c r="K653" i="1"/>
  <c r="K652" i="1"/>
  <c r="F652" i="1"/>
  <c r="L652" i="1" s="1"/>
  <c r="F651" i="1"/>
  <c r="L651" i="1" s="1"/>
  <c r="K651" i="1"/>
  <c r="K650" i="1"/>
  <c r="F650" i="1"/>
  <c r="L650" i="1" s="1"/>
  <c r="K649" i="1"/>
  <c r="F649" i="1"/>
  <c r="L649" i="1" s="1"/>
  <c r="K648" i="1"/>
  <c r="F648" i="1"/>
  <c r="K630" i="1"/>
  <c r="F630" i="1"/>
  <c r="L630" i="1" s="1"/>
  <c r="F629" i="1"/>
  <c r="L629" i="1" s="1"/>
  <c r="K629" i="1"/>
  <c r="K628" i="1"/>
  <c r="F628" i="1"/>
  <c r="L628" i="1" s="1"/>
  <c r="K627" i="1"/>
  <c r="F627" i="1"/>
  <c r="L627" i="1" s="1"/>
  <c r="F626" i="1"/>
  <c r="L626" i="1" s="1"/>
  <c r="K626" i="1"/>
  <c r="F625" i="1"/>
  <c r="L625" i="1" s="1"/>
  <c r="K625" i="1"/>
  <c r="F624" i="1"/>
  <c r="L624" i="1" s="1"/>
  <c r="K624" i="1"/>
  <c r="K623" i="1"/>
  <c r="F623" i="1"/>
  <c r="L623" i="1" s="1"/>
  <c r="F622" i="1"/>
  <c r="L622" i="1" s="1"/>
  <c r="K622" i="1"/>
  <c r="K621" i="1"/>
  <c r="F621" i="1"/>
  <c r="L621" i="1" s="1"/>
  <c r="F620" i="1"/>
  <c r="L620" i="1" s="1"/>
  <c r="K620" i="1"/>
  <c r="F619" i="1"/>
  <c r="L619" i="1" s="1"/>
  <c r="K619" i="1"/>
  <c r="K618" i="1"/>
  <c r="F618" i="1"/>
  <c r="L618" i="1" s="1"/>
  <c r="K617" i="1"/>
  <c r="F617" i="1"/>
  <c r="L617" i="1" s="1"/>
  <c r="K616" i="1"/>
  <c r="F616" i="1"/>
  <c r="L616" i="1" s="1"/>
  <c r="K615" i="1"/>
  <c r="F615" i="1"/>
  <c r="L615" i="1" s="1"/>
  <c r="K614" i="1"/>
  <c r="F614" i="1"/>
  <c r="L614" i="1" s="1"/>
  <c r="F613" i="1"/>
  <c r="L613" i="1" s="1"/>
  <c r="K613" i="1"/>
  <c r="K612" i="1"/>
  <c r="F612" i="1"/>
  <c r="L612" i="1" s="1"/>
  <c r="F611" i="1"/>
  <c r="L611" i="1" s="1"/>
  <c r="K611" i="1"/>
  <c r="F610" i="1"/>
  <c r="L610" i="1" s="1"/>
  <c r="K610" i="1"/>
  <c r="K609" i="1"/>
  <c r="F609" i="1"/>
  <c r="L609" i="1" s="1"/>
  <c r="K608" i="1"/>
  <c r="F608" i="1"/>
  <c r="L608" i="1" s="1"/>
  <c r="F607" i="1"/>
  <c r="L607" i="1" s="1"/>
  <c r="K607" i="1"/>
  <c r="F606" i="1"/>
  <c r="L606" i="1" s="1"/>
  <c r="K606" i="1"/>
  <c r="K605" i="1"/>
  <c r="F605" i="1"/>
  <c r="L605" i="1" s="1"/>
  <c r="K604" i="1"/>
  <c r="F604" i="1"/>
  <c r="L604" i="1" s="1"/>
  <c r="K603" i="1"/>
  <c r="F603" i="1"/>
  <c r="L603" i="1" s="1"/>
  <c r="K602" i="1"/>
  <c r="F602" i="1"/>
  <c r="L602" i="1" s="1"/>
  <c r="K601" i="1"/>
  <c r="F601" i="1"/>
  <c r="L601" i="1" s="1"/>
  <c r="K600" i="1"/>
  <c r="F600" i="1"/>
  <c r="L600" i="1" s="1"/>
  <c r="K599" i="1"/>
  <c r="F599" i="1"/>
  <c r="L599" i="1" s="1"/>
  <c r="K598" i="1"/>
  <c r="F598" i="1"/>
  <c r="L598" i="1" s="1"/>
  <c r="K597" i="1"/>
  <c r="F597" i="1"/>
  <c r="L597" i="1" s="1"/>
  <c r="K596" i="1"/>
  <c r="F596" i="1"/>
  <c r="L596" i="1" s="1"/>
  <c r="K595" i="1"/>
  <c r="F595" i="1"/>
  <c r="L595" i="1" s="1"/>
  <c r="F594" i="1"/>
  <c r="L594" i="1" s="1"/>
  <c r="K594" i="1"/>
  <c r="K593" i="1"/>
  <c r="F593" i="1"/>
  <c r="L593" i="1" s="1"/>
  <c r="F592" i="1"/>
  <c r="L592" i="1" s="1"/>
  <c r="K592" i="1"/>
  <c r="K591" i="1"/>
  <c r="F591" i="1"/>
  <c r="L591" i="1" s="1"/>
  <c r="K590" i="1"/>
  <c r="F590" i="1"/>
  <c r="L590" i="1" s="1"/>
  <c r="F589" i="1"/>
  <c r="L589" i="1" s="1"/>
  <c r="K589" i="1"/>
  <c r="K588" i="1"/>
  <c r="F588" i="1"/>
  <c r="L588" i="1" s="1"/>
  <c r="K587" i="1"/>
  <c r="F587" i="1"/>
  <c r="L587" i="1" s="1"/>
  <c r="K586" i="1"/>
  <c r="F586" i="1"/>
  <c r="L586" i="1" s="1"/>
  <c r="K585" i="1"/>
  <c r="F585" i="1"/>
  <c r="L585" i="1" s="1"/>
  <c r="K584" i="1"/>
  <c r="F584" i="1"/>
  <c r="L584" i="1" s="1"/>
  <c r="F583" i="1"/>
  <c r="L583" i="1" s="1"/>
  <c r="K583" i="1"/>
  <c r="K582" i="1"/>
  <c r="F582" i="1"/>
  <c r="L582" i="1" s="1"/>
  <c r="K581" i="1"/>
  <c r="F581" i="1"/>
  <c r="L581" i="1" s="1"/>
  <c r="K580" i="1"/>
  <c r="H580" i="1"/>
  <c r="F579" i="1"/>
  <c r="L579" i="1" s="1"/>
  <c r="K579" i="1"/>
  <c r="K578" i="1"/>
  <c r="F578" i="1"/>
  <c r="L578" i="1" s="1"/>
  <c r="K577" i="1"/>
  <c r="F577" i="1"/>
  <c r="L577" i="1" s="1"/>
  <c r="F576" i="1"/>
  <c r="L576" i="1" s="1"/>
  <c r="K576" i="1"/>
  <c r="F575" i="1"/>
  <c r="L575" i="1" s="1"/>
  <c r="K575" i="1"/>
  <c r="F574" i="1"/>
  <c r="L574" i="1" s="1"/>
  <c r="K574" i="1"/>
  <c r="K573" i="1"/>
  <c r="F573" i="1"/>
  <c r="L573" i="1" s="1"/>
  <c r="F572" i="1"/>
  <c r="L572" i="1" s="1"/>
  <c r="K572" i="1"/>
  <c r="F571" i="1"/>
  <c r="L571" i="1" s="1"/>
  <c r="K571" i="1"/>
  <c r="K570" i="1"/>
  <c r="F570" i="1"/>
  <c r="L570" i="1" s="1"/>
  <c r="K569" i="1"/>
  <c r="F569" i="1"/>
  <c r="L569" i="1" s="1"/>
  <c r="K568" i="1"/>
  <c r="F568" i="1"/>
  <c r="L568" i="1" s="1"/>
  <c r="F567" i="1"/>
  <c r="L567" i="1" s="1"/>
  <c r="K567" i="1"/>
  <c r="K566" i="1"/>
  <c r="F566" i="1"/>
  <c r="L566" i="1" s="1"/>
  <c r="K565" i="1"/>
  <c r="F565" i="1"/>
  <c r="L565" i="1" s="1"/>
  <c r="K564" i="1"/>
  <c r="F564" i="1"/>
  <c r="L564" i="1" s="1"/>
  <c r="F563" i="1"/>
  <c r="L563" i="1" s="1"/>
  <c r="K563" i="1"/>
  <c r="F562" i="1"/>
  <c r="L562" i="1" s="1"/>
  <c r="K562" i="1"/>
  <c r="F561" i="1"/>
  <c r="L561" i="1" s="1"/>
  <c r="K561" i="1"/>
  <c r="F560" i="1"/>
  <c r="L560" i="1" s="1"/>
  <c r="K560" i="1"/>
  <c r="F559" i="1"/>
  <c r="L559" i="1" s="1"/>
  <c r="K559" i="1"/>
  <c r="F558" i="1"/>
  <c r="L558" i="1" s="1"/>
  <c r="K558" i="1"/>
  <c r="K557" i="1"/>
  <c r="F557" i="1"/>
  <c r="L557" i="1" s="1"/>
  <c r="K556" i="1"/>
  <c r="F556" i="1"/>
  <c r="L556" i="1" s="1"/>
  <c r="K555" i="1"/>
  <c r="F555" i="1"/>
  <c r="L555" i="1" s="1"/>
  <c r="K554" i="1"/>
  <c r="F554" i="1"/>
  <c r="L554" i="1" s="1"/>
  <c r="K553" i="1"/>
  <c r="F553" i="1"/>
  <c r="L553" i="1" s="1"/>
  <c r="K552" i="1"/>
  <c r="F552" i="1"/>
  <c r="L552" i="1" s="1"/>
  <c r="F551" i="1"/>
  <c r="L551" i="1" s="1"/>
  <c r="K551" i="1"/>
  <c r="F550" i="1"/>
  <c r="L550" i="1" s="1"/>
  <c r="K550" i="1"/>
  <c r="K549" i="1"/>
  <c r="F549" i="1"/>
  <c r="L549" i="1" s="1"/>
  <c r="F548" i="1"/>
  <c r="L548" i="1" s="1"/>
  <c r="K548" i="1"/>
  <c r="F547" i="1"/>
  <c r="L547" i="1" s="1"/>
  <c r="K547" i="1"/>
  <c r="K546" i="1"/>
  <c r="F546" i="1"/>
  <c r="L546" i="1" s="1"/>
  <c r="K545" i="1"/>
  <c r="F545" i="1"/>
  <c r="L545" i="1" s="1"/>
  <c r="K544" i="1"/>
  <c r="F544" i="1"/>
  <c r="L544" i="1" s="1"/>
  <c r="F543" i="1"/>
  <c r="L543" i="1" s="1"/>
  <c r="K543" i="1"/>
  <c r="K542" i="1"/>
  <c r="F542" i="1"/>
  <c r="L542" i="1" s="1"/>
  <c r="K541" i="1"/>
  <c r="F541" i="1"/>
  <c r="L541" i="1" s="1"/>
  <c r="K540" i="1"/>
  <c r="F540" i="1"/>
  <c r="L540" i="1" s="1"/>
  <c r="K539" i="1"/>
  <c r="F539" i="1"/>
  <c r="L539" i="1" s="1"/>
  <c r="K538" i="1"/>
  <c r="F538" i="1"/>
  <c r="L538" i="1" s="1"/>
  <c r="F537" i="1"/>
  <c r="L537" i="1" s="1"/>
  <c r="K537" i="1"/>
  <c r="K536" i="1"/>
  <c r="F536" i="1"/>
  <c r="L536" i="1" s="1"/>
  <c r="F535" i="1"/>
  <c r="L535" i="1" s="1"/>
  <c r="K535" i="1"/>
  <c r="F534" i="1"/>
  <c r="L534" i="1" s="1"/>
  <c r="K534" i="1"/>
  <c r="K533" i="1"/>
  <c r="F533" i="1"/>
  <c r="L533" i="1" s="1"/>
  <c r="K532" i="1"/>
  <c r="F532" i="1"/>
  <c r="L532" i="1" s="1"/>
  <c r="F531" i="1"/>
  <c r="L531" i="1" s="1"/>
  <c r="K531" i="1"/>
  <c r="K530" i="1"/>
  <c r="F530" i="1"/>
  <c r="L530" i="1" s="1"/>
  <c r="F529" i="1"/>
  <c r="L529" i="1" s="1"/>
  <c r="K529" i="1"/>
  <c r="F528" i="1"/>
  <c r="L528" i="1" s="1"/>
  <c r="K528" i="1"/>
  <c r="K527" i="1"/>
  <c r="F527" i="1"/>
  <c r="L527" i="1" s="1"/>
  <c r="K526" i="1"/>
  <c r="F526" i="1"/>
  <c r="L526" i="1" s="1"/>
  <c r="K525" i="1"/>
  <c r="F525" i="1"/>
  <c r="L525" i="1" s="1"/>
  <c r="K524" i="1"/>
  <c r="F524" i="1"/>
  <c r="L524" i="1" s="1"/>
  <c r="K523" i="1"/>
  <c r="F523" i="1"/>
  <c r="L523" i="1" s="1"/>
  <c r="K522" i="1"/>
  <c r="F522" i="1"/>
  <c r="L522" i="1" s="1"/>
  <c r="K521" i="1"/>
  <c r="F521" i="1"/>
  <c r="L521" i="1" s="1"/>
  <c r="K520" i="1"/>
  <c r="F520" i="1"/>
  <c r="L520" i="1" s="1"/>
  <c r="K519" i="1"/>
  <c r="F519" i="1"/>
  <c r="L519" i="1" s="1"/>
  <c r="K518" i="1"/>
  <c r="F518" i="1"/>
  <c r="L518" i="1" s="1"/>
  <c r="F517" i="1"/>
  <c r="L517" i="1" s="1"/>
  <c r="K517" i="1"/>
  <c r="F516" i="1"/>
  <c r="L516" i="1" s="1"/>
  <c r="K516" i="1"/>
  <c r="K515" i="1"/>
  <c r="F515" i="1"/>
  <c r="L515" i="1" s="1"/>
  <c r="F514" i="1"/>
  <c r="L514" i="1" s="1"/>
  <c r="K514" i="1"/>
  <c r="K513" i="1"/>
  <c r="F513" i="1"/>
  <c r="L513" i="1" s="1"/>
  <c r="F512" i="1"/>
  <c r="L512" i="1" s="1"/>
  <c r="K512" i="1"/>
  <c r="F511" i="1"/>
  <c r="L511" i="1" s="1"/>
  <c r="K511" i="1"/>
  <c r="K510" i="1"/>
  <c r="F510" i="1"/>
  <c r="L510" i="1" s="1"/>
  <c r="K509" i="1"/>
  <c r="F509" i="1"/>
  <c r="L509" i="1" s="1"/>
  <c r="K508" i="1"/>
  <c r="F508" i="1"/>
  <c r="L508" i="1" s="1"/>
  <c r="K507" i="1"/>
  <c r="F507" i="1"/>
  <c r="L507" i="1" s="1"/>
  <c r="F506" i="1"/>
  <c r="L506" i="1" s="1"/>
  <c r="K506" i="1"/>
  <c r="K505" i="1"/>
  <c r="F505" i="1"/>
  <c r="L505" i="1" s="1"/>
  <c r="K504" i="1"/>
  <c r="F504" i="1"/>
  <c r="K487" i="1"/>
  <c r="F487" i="1"/>
  <c r="L487" i="1" s="1"/>
  <c r="F486" i="1"/>
  <c r="L486" i="1" s="1"/>
  <c r="K486" i="1"/>
  <c r="F485" i="1"/>
  <c r="L485" i="1" s="1"/>
  <c r="K485" i="1"/>
  <c r="F484" i="1"/>
  <c r="L484" i="1" s="1"/>
  <c r="K484" i="1"/>
  <c r="K483" i="1"/>
  <c r="F483" i="1"/>
  <c r="L483" i="1" s="1"/>
  <c r="K482" i="1"/>
  <c r="F482" i="1"/>
  <c r="L482" i="1" s="1"/>
  <c r="K481" i="1"/>
  <c r="F481" i="1"/>
  <c r="L481" i="1" s="1"/>
  <c r="K480" i="1"/>
  <c r="J480" i="1"/>
  <c r="K479" i="1"/>
  <c r="F479" i="1"/>
  <c r="L479" i="1" s="1"/>
  <c r="F478" i="1"/>
  <c r="L478" i="1" s="1"/>
  <c r="K478" i="1"/>
  <c r="F477" i="1"/>
  <c r="L477" i="1" s="1"/>
  <c r="K477" i="1"/>
  <c r="K476" i="1"/>
  <c r="F476" i="1"/>
  <c r="L476" i="1" s="1"/>
  <c r="F475" i="1"/>
  <c r="L475" i="1" s="1"/>
  <c r="K475" i="1"/>
  <c r="F474" i="1"/>
  <c r="L474" i="1" s="1"/>
  <c r="K474" i="1"/>
  <c r="F473" i="1"/>
  <c r="L473" i="1" s="1"/>
  <c r="K473" i="1"/>
  <c r="F472" i="1"/>
  <c r="L472" i="1" s="1"/>
  <c r="K472" i="1"/>
  <c r="F471" i="1"/>
  <c r="L471" i="1" s="1"/>
  <c r="K471" i="1"/>
  <c r="K470" i="1"/>
  <c r="F470" i="1"/>
  <c r="L470" i="1" s="1"/>
  <c r="K469" i="1"/>
  <c r="F469" i="1"/>
  <c r="L469" i="1" s="1"/>
  <c r="F468" i="1"/>
  <c r="L468" i="1" s="1"/>
  <c r="K468" i="1"/>
  <c r="K467" i="1"/>
  <c r="F467" i="1"/>
  <c r="L467" i="1" s="1"/>
  <c r="F466" i="1"/>
  <c r="L466" i="1" s="1"/>
  <c r="K466" i="1"/>
  <c r="F465" i="1"/>
  <c r="L465" i="1" s="1"/>
  <c r="K465" i="1"/>
  <c r="F464" i="1"/>
  <c r="L464" i="1" s="1"/>
  <c r="K464" i="1"/>
  <c r="F463" i="1"/>
  <c r="L463" i="1" s="1"/>
  <c r="K463" i="1"/>
  <c r="F462" i="1"/>
  <c r="K462" i="1"/>
  <c r="F451" i="1"/>
  <c r="L451" i="1" s="1"/>
  <c r="K451" i="1"/>
  <c r="K450" i="1"/>
  <c r="F450" i="1"/>
  <c r="L450" i="1" s="1"/>
  <c r="F449" i="1"/>
  <c r="L449" i="1" s="1"/>
  <c r="K449" i="1"/>
  <c r="F448" i="1"/>
  <c r="L448" i="1" s="1"/>
  <c r="K448" i="1"/>
  <c r="K447" i="1"/>
  <c r="F447" i="1"/>
  <c r="L447" i="1" s="1"/>
  <c r="K446" i="1"/>
  <c r="F446" i="1"/>
  <c r="L446" i="1" s="1"/>
  <c r="K445" i="1"/>
  <c r="F445" i="1"/>
  <c r="L445" i="1" s="1"/>
  <c r="F444" i="1"/>
  <c r="L444" i="1" s="1"/>
  <c r="K444" i="1"/>
  <c r="F443" i="1"/>
  <c r="L443" i="1" s="1"/>
  <c r="K443" i="1"/>
  <c r="K442" i="1"/>
  <c r="F442" i="1"/>
  <c r="L442" i="1" s="1"/>
  <c r="K441" i="1"/>
  <c r="F441" i="1"/>
  <c r="L441" i="1" s="1"/>
  <c r="K440" i="1"/>
  <c r="F440" i="1"/>
  <c r="L440" i="1" s="1"/>
  <c r="K439" i="1"/>
  <c r="F439" i="1"/>
  <c r="L439" i="1" s="1"/>
  <c r="F438" i="1"/>
  <c r="L438" i="1" s="1"/>
  <c r="K438" i="1"/>
  <c r="F437" i="1"/>
  <c r="L437" i="1" s="1"/>
  <c r="K437" i="1"/>
  <c r="K436" i="1"/>
  <c r="F436" i="1"/>
  <c r="L436" i="1" s="1"/>
  <c r="F435" i="1"/>
  <c r="L435" i="1" s="1"/>
  <c r="K435" i="1"/>
  <c r="K434" i="1"/>
  <c r="F434" i="1"/>
  <c r="L434" i="1" s="1"/>
  <c r="F433" i="1"/>
  <c r="L433" i="1" s="1"/>
  <c r="K433" i="1"/>
  <c r="K432" i="1"/>
  <c r="F432" i="1"/>
  <c r="L432" i="1" s="1"/>
  <c r="K431" i="1"/>
  <c r="F431" i="1"/>
  <c r="L431" i="1" s="1"/>
  <c r="K430" i="1"/>
  <c r="F430" i="1"/>
  <c r="L430" i="1" s="1"/>
  <c r="F429" i="1"/>
  <c r="L429" i="1" s="1"/>
  <c r="K429" i="1"/>
  <c r="K428" i="1"/>
  <c r="F428" i="1"/>
  <c r="L428" i="1" s="1"/>
  <c r="K427" i="1"/>
  <c r="F427" i="1"/>
  <c r="L427" i="1" s="1"/>
  <c r="F426" i="1"/>
  <c r="L426" i="1" s="1"/>
  <c r="K426" i="1"/>
  <c r="K425" i="1"/>
  <c r="F425" i="1"/>
  <c r="L425" i="1" s="1"/>
  <c r="K424" i="1"/>
  <c r="F424" i="1"/>
  <c r="L424" i="1" s="1"/>
  <c r="K423" i="1"/>
  <c r="F423" i="1"/>
  <c r="L423" i="1" s="1"/>
  <c r="F422" i="1"/>
  <c r="L422" i="1" s="1"/>
  <c r="K422" i="1"/>
  <c r="F421" i="1"/>
  <c r="L421" i="1" s="1"/>
  <c r="K421" i="1"/>
  <c r="K420" i="1"/>
  <c r="F420" i="1"/>
  <c r="L420" i="1" s="1"/>
  <c r="F419" i="1"/>
  <c r="L419" i="1" s="1"/>
  <c r="K419" i="1"/>
  <c r="K418" i="1"/>
  <c r="F418" i="1"/>
  <c r="L418" i="1" s="1"/>
  <c r="K417" i="1"/>
  <c r="F417" i="1"/>
  <c r="L417" i="1" s="1"/>
  <c r="F416" i="1"/>
  <c r="L416" i="1" s="1"/>
  <c r="K416" i="1"/>
  <c r="K415" i="1"/>
  <c r="F415" i="1"/>
  <c r="L415" i="1" s="1"/>
  <c r="F414" i="1"/>
  <c r="L414" i="1" s="1"/>
  <c r="K414" i="1"/>
  <c r="K413" i="1"/>
  <c r="F413" i="1"/>
  <c r="L413" i="1" s="1"/>
  <c r="K412" i="1"/>
  <c r="F412" i="1"/>
  <c r="L412" i="1" s="1"/>
  <c r="F411" i="1"/>
  <c r="L411" i="1" s="1"/>
  <c r="K411" i="1"/>
  <c r="F410" i="1"/>
  <c r="L410" i="1" s="1"/>
  <c r="K410" i="1"/>
  <c r="K409" i="1"/>
  <c r="F409" i="1"/>
  <c r="L409" i="1" s="1"/>
  <c r="K408" i="1"/>
  <c r="F408" i="1"/>
  <c r="L408" i="1" s="1"/>
  <c r="K407" i="1"/>
  <c r="F407" i="1"/>
  <c r="L407" i="1" s="1"/>
  <c r="F406" i="1"/>
  <c r="L406" i="1" s="1"/>
  <c r="K406" i="1"/>
  <c r="K405" i="1"/>
  <c r="F405" i="1"/>
  <c r="L405" i="1" s="1"/>
  <c r="K403" i="1"/>
  <c r="F403" i="1"/>
  <c r="L403" i="1" s="1"/>
  <c r="K402" i="1"/>
  <c r="F402" i="1"/>
  <c r="L402" i="1" s="1"/>
  <c r="K401" i="1"/>
  <c r="F401" i="1"/>
  <c r="L401" i="1" s="1"/>
  <c r="K400" i="1"/>
  <c r="F400" i="1"/>
  <c r="L400" i="1" s="1"/>
  <c r="K399" i="1"/>
  <c r="F399" i="1"/>
  <c r="L399" i="1" s="1"/>
  <c r="F398" i="1"/>
  <c r="L398" i="1" s="1"/>
  <c r="K398" i="1"/>
  <c r="K397" i="1"/>
  <c r="F397" i="1"/>
  <c r="L397" i="1" s="1"/>
  <c r="F396" i="1"/>
  <c r="L396" i="1" s="1"/>
  <c r="K396" i="1"/>
  <c r="K395" i="1"/>
  <c r="F395" i="1"/>
  <c r="L395" i="1" s="1"/>
  <c r="K394" i="1"/>
  <c r="F394" i="1"/>
  <c r="L394" i="1" s="1"/>
  <c r="F393" i="1"/>
  <c r="L393" i="1" s="1"/>
  <c r="K393" i="1"/>
  <c r="F392" i="1"/>
  <c r="L392" i="1" s="1"/>
  <c r="K392" i="1"/>
  <c r="F391" i="1"/>
  <c r="L391" i="1" s="1"/>
  <c r="K391" i="1"/>
  <c r="F389" i="1"/>
  <c r="L389" i="1" s="1"/>
  <c r="K389" i="1"/>
  <c r="K388" i="1"/>
  <c r="F388" i="1"/>
  <c r="L388" i="1" s="1"/>
  <c r="K387" i="1"/>
  <c r="F387" i="1"/>
  <c r="L387" i="1" s="1"/>
  <c r="F386" i="1"/>
  <c r="L386" i="1" s="1"/>
  <c r="K386" i="1"/>
  <c r="K385" i="1"/>
  <c r="F385" i="1"/>
  <c r="L385" i="1" s="1"/>
  <c r="F384" i="1"/>
  <c r="L384" i="1" s="1"/>
  <c r="K384" i="1"/>
  <c r="K383" i="1"/>
  <c r="F383" i="1"/>
  <c r="L383" i="1" s="1"/>
  <c r="F382" i="1"/>
  <c r="L382" i="1" s="1"/>
  <c r="K382" i="1"/>
  <c r="F381" i="1"/>
  <c r="L381" i="1" s="1"/>
  <c r="K381" i="1"/>
  <c r="K380" i="1"/>
  <c r="F380" i="1"/>
  <c r="L380" i="1" s="1"/>
  <c r="F379" i="1"/>
  <c r="L379" i="1" s="1"/>
  <c r="K379" i="1"/>
  <c r="F378" i="1"/>
  <c r="L378" i="1" s="1"/>
  <c r="K378" i="1"/>
  <c r="K377" i="1"/>
  <c r="F377" i="1"/>
  <c r="L377" i="1" s="1"/>
  <c r="K376" i="1"/>
  <c r="F376" i="1"/>
  <c r="L376" i="1" s="1"/>
  <c r="F375" i="1"/>
  <c r="L375" i="1" s="1"/>
  <c r="K375" i="1"/>
  <c r="K374" i="1"/>
  <c r="F374" i="1"/>
  <c r="L374" i="1" s="1"/>
  <c r="F373" i="1"/>
  <c r="L373" i="1" s="1"/>
  <c r="K373" i="1"/>
  <c r="K372" i="1"/>
  <c r="F372" i="1"/>
  <c r="L372" i="1" s="1"/>
  <c r="K371" i="1"/>
  <c r="F371" i="1"/>
  <c r="L371" i="1" s="1"/>
  <c r="F370" i="1"/>
  <c r="L370" i="1" s="1"/>
  <c r="K370" i="1"/>
  <c r="K369" i="1"/>
  <c r="F369" i="1"/>
  <c r="L369" i="1" s="1"/>
  <c r="K368" i="1"/>
  <c r="F368" i="1"/>
  <c r="L368" i="1" s="1"/>
  <c r="F367" i="1"/>
  <c r="L367" i="1" s="1"/>
  <c r="K367" i="1"/>
  <c r="K366" i="1"/>
  <c r="F366" i="1"/>
  <c r="L366" i="1" s="1"/>
  <c r="K365" i="1"/>
  <c r="F365" i="1"/>
  <c r="L365" i="1" s="1"/>
  <c r="K364" i="1"/>
  <c r="F364" i="1"/>
  <c r="L364" i="1" s="1"/>
  <c r="F363" i="1"/>
  <c r="L363" i="1" s="1"/>
  <c r="K363" i="1"/>
  <c r="F362" i="1"/>
  <c r="L362" i="1" s="1"/>
  <c r="K362" i="1"/>
  <c r="F361" i="1"/>
  <c r="L361" i="1" s="1"/>
  <c r="K361" i="1"/>
  <c r="K360" i="1"/>
  <c r="F360" i="1"/>
  <c r="L360" i="1" s="1"/>
  <c r="F359" i="1"/>
  <c r="L359" i="1" s="1"/>
  <c r="K359" i="1"/>
  <c r="K358" i="1"/>
  <c r="F358" i="1"/>
  <c r="L358" i="1" s="1"/>
  <c r="F357" i="1"/>
  <c r="K357" i="1"/>
  <c r="K342" i="1"/>
  <c r="F342" i="1"/>
  <c r="L342" i="1" s="1"/>
  <c r="K341" i="1"/>
  <c r="F341" i="1"/>
  <c r="L341" i="1" s="1"/>
  <c r="F340" i="1"/>
  <c r="L340" i="1" s="1"/>
  <c r="K340" i="1"/>
  <c r="K339" i="1"/>
  <c r="F339" i="1"/>
  <c r="L339" i="1" s="1"/>
  <c r="K338" i="1"/>
  <c r="F338" i="1"/>
  <c r="L338" i="1" s="1"/>
  <c r="K337" i="1"/>
  <c r="F337" i="1"/>
  <c r="L337" i="1" s="1"/>
  <c r="K336" i="1"/>
  <c r="F336" i="1"/>
  <c r="F324" i="1"/>
  <c r="L324" i="1" s="1"/>
  <c r="K324" i="1"/>
  <c r="F323" i="1"/>
  <c r="L323" i="1" s="1"/>
  <c r="K323" i="1"/>
  <c r="F322" i="1"/>
  <c r="L322" i="1" s="1"/>
  <c r="K322" i="1"/>
  <c r="F321" i="1"/>
  <c r="L321" i="1" s="1"/>
  <c r="K321" i="1"/>
  <c r="K320" i="1"/>
  <c r="F320" i="1"/>
  <c r="L320" i="1" s="1"/>
  <c r="K319" i="1"/>
  <c r="F319" i="1"/>
  <c r="L319" i="1" s="1"/>
  <c r="K318" i="1"/>
  <c r="F318" i="1"/>
  <c r="L318" i="1" s="1"/>
  <c r="K317" i="1"/>
  <c r="F317" i="1"/>
  <c r="L317" i="1" s="1"/>
  <c r="K316" i="1"/>
  <c r="F316" i="1"/>
  <c r="L316" i="1" s="1"/>
  <c r="K315" i="1"/>
  <c r="F315" i="1"/>
  <c r="L315" i="1" s="1"/>
  <c r="F314" i="1"/>
  <c r="L314" i="1" s="1"/>
  <c r="K314" i="1"/>
  <c r="F313" i="1"/>
  <c r="L313" i="1" s="1"/>
  <c r="K313" i="1"/>
  <c r="K312" i="1"/>
  <c r="F312" i="1"/>
  <c r="L312" i="1" s="1"/>
  <c r="F311" i="1"/>
  <c r="L311" i="1" s="1"/>
  <c r="K311" i="1"/>
  <c r="K310" i="1"/>
  <c r="F310" i="1"/>
  <c r="L310" i="1" s="1"/>
  <c r="K309" i="1"/>
  <c r="F309" i="1"/>
  <c r="L309" i="1" s="1"/>
  <c r="K308" i="1"/>
  <c r="F308" i="1"/>
  <c r="L308" i="1" s="1"/>
  <c r="F307" i="1"/>
  <c r="L307" i="1" s="1"/>
  <c r="K307" i="1"/>
  <c r="K306" i="1"/>
  <c r="F306" i="1"/>
  <c r="L306" i="1" s="1"/>
  <c r="K305" i="1"/>
  <c r="F305" i="1"/>
  <c r="L305" i="1" s="1"/>
  <c r="K304" i="1"/>
  <c r="F304" i="1"/>
  <c r="L304" i="1" s="1"/>
  <c r="K303" i="1"/>
  <c r="F303" i="1"/>
  <c r="L303" i="1" s="1"/>
  <c r="K302" i="1"/>
  <c r="F302" i="1"/>
  <c r="L302" i="1" s="1"/>
  <c r="K301" i="1"/>
  <c r="F301" i="1"/>
  <c r="L301" i="1" s="1"/>
  <c r="F300" i="1"/>
  <c r="L300" i="1" s="1"/>
  <c r="K300" i="1"/>
  <c r="F299" i="1"/>
  <c r="L299" i="1" s="1"/>
  <c r="K299" i="1"/>
  <c r="K298" i="1"/>
  <c r="F298" i="1"/>
  <c r="L298" i="1" s="1"/>
  <c r="F297" i="1"/>
  <c r="L297" i="1" s="1"/>
  <c r="K297" i="1"/>
  <c r="F296" i="1"/>
  <c r="L296" i="1" s="1"/>
  <c r="K296" i="1"/>
  <c r="F295" i="1"/>
  <c r="L295" i="1" s="1"/>
  <c r="K295" i="1"/>
  <c r="F294" i="1"/>
  <c r="K294" i="1"/>
  <c r="K278" i="1"/>
  <c r="F278" i="1"/>
  <c r="L278" i="1" s="1"/>
  <c r="K277" i="1"/>
  <c r="F277" i="1"/>
  <c r="L277" i="1" s="1"/>
  <c r="K276" i="1"/>
  <c r="F276" i="1"/>
  <c r="L276" i="1" s="1"/>
  <c r="K275" i="1"/>
  <c r="F275" i="1"/>
  <c r="L275" i="1" s="1"/>
  <c r="K274" i="1"/>
  <c r="F274" i="1"/>
  <c r="L274" i="1" s="1"/>
  <c r="F273" i="1"/>
  <c r="L273" i="1" s="1"/>
  <c r="K273" i="1"/>
  <c r="F272" i="1"/>
  <c r="L272" i="1" s="1"/>
  <c r="K272" i="1"/>
  <c r="K271" i="1"/>
  <c r="F271" i="1"/>
  <c r="L271" i="1" s="1"/>
  <c r="F270" i="1"/>
  <c r="L270" i="1" s="1"/>
  <c r="K270" i="1"/>
  <c r="F269" i="1"/>
  <c r="L269" i="1" s="1"/>
  <c r="K269" i="1"/>
  <c r="K268" i="1"/>
  <c r="F268" i="1"/>
  <c r="L268" i="1" s="1"/>
  <c r="K267" i="1"/>
  <c r="F267" i="1"/>
  <c r="L267" i="1" s="1"/>
  <c r="F266" i="1"/>
  <c r="L266" i="1" s="1"/>
  <c r="K266" i="1"/>
  <c r="K265" i="1"/>
  <c r="F265" i="1"/>
  <c r="L265" i="1" s="1"/>
  <c r="H264" i="1"/>
  <c r="K264" i="1"/>
  <c r="K263" i="1"/>
  <c r="F263" i="1"/>
  <c r="L263" i="1" s="1"/>
  <c r="K262" i="1"/>
  <c r="F262" i="1"/>
  <c r="L262" i="1" s="1"/>
  <c r="F261" i="1"/>
  <c r="L261" i="1" s="1"/>
  <c r="K261" i="1"/>
  <c r="K260" i="1"/>
  <c r="F260" i="1"/>
  <c r="L260" i="1" s="1"/>
  <c r="K259" i="1"/>
  <c r="F259" i="1"/>
  <c r="L259" i="1" s="1"/>
  <c r="F258" i="1"/>
  <c r="L258" i="1" s="1"/>
  <c r="K258" i="1"/>
  <c r="F257" i="1"/>
  <c r="L257" i="1" s="1"/>
  <c r="K257" i="1"/>
  <c r="K256" i="1"/>
  <c r="F256" i="1"/>
  <c r="L256" i="1" s="1"/>
  <c r="K255" i="1"/>
  <c r="F255" i="1"/>
  <c r="L255" i="1" s="1"/>
  <c r="K254" i="1"/>
  <c r="F254" i="1"/>
  <c r="L254" i="1" s="1"/>
  <c r="K253" i="1"/>
  <c r="F253" i="1"/>
  <c r="L253" i="1" s="1"/>
  <c r="K252" i="1"/>
  <c r="F252" i="1"/>
  <c r="L252" i="1" s="1"/>
  <c r="F251" i="1"/>
  <c r="L251" i="1" s="1"/>
  <c r="K251" i="1"/>
  <c r="K250" i="1"/>
  <c r="F250" i="1"/>
  <c r="L250" i="1" s="1"/>
  <c r="K249" i="1"/>
  <c r="F249" i="1"/>
  <c r="L249" i="1" s="1"/>
  <c r="F248" i="1"/>
  <c r="L248" i="1" s="1"/>
  <c r="K248" i="1"/>
  <c r="K247" i="1"/>
  <c r="F247" i="1"/>
  <c r="L247" i="1" s="1"/>
  <c r="K246" i="1"/>
  <c r="F246" i="1"/>
  <c r="L246" i="1" s="1"/>
  <c r="K245" i="1"/>
  <c r="F245" i="1"/>
  <c r="L245" i="1" s="1"/>
  <c r="K244" i="1"/>
  <c r="F244" i="1"/>
  <c r="L244" i="1" s="1"/>
  <c r="F243" i="1"/>
  <c r="L243" i="1" s="1"/>
  <c r="K243" i="1"/>
  <c r="K242" i="1"/>
  <c r="F242" i="1"/>
  <c r="L242" i="1" s="1"/>
  <c r="F241" i="1"/>
  <c r="L241" i="1" s="1"/>
  <c r="K241" i="1"/>
  <c r="F240" i="1"/>
  <c r="L240" i="1" s="1"/>
  <c r="K240" i="1"/>
  <c r="K239" i="1"/>
  <c r="F239" i="1"/>
  <c r="L239" i="1" s="1"/>
  <c r="F238" i="1"/>
  <c r="L238" i="1" s="1"/>
  <c r="K238" i="1"/>
  <c r="K237" i="1"/>
  <c r="F237" i="1"/>
  <c r="L237" i="1" s="1"/>
  <c r="K236" i="1"/>
  <c r="F236" i="1"/>
  <c r="L236" i="1" s="1"/>
  <c r="F235" i="1"/>
  <c r="L235" i="1" s="1"/>
  <c r="K235" i="1"/>
  <c r="F234" i="1"/>
  <c r="L234" i="1" s="1"/>
  <c r="K234" i="1"/>
  <c r="F233" i="1"/>
  <c r="L233" i="1" s="1"/>
  <c r="K233" i="1"/>
  <c r="K232" i="1"/>
  <c r="F232" i="1"/>
  <c r="L232" i="1" s="1"/>
  <c r="K231" i="1"/>
  <c r="F231" i="1"/>
  <c r="L231" i="1" s="1"/>
  <c r="F230" i="1"/>
  <c r="L230" i="1" s="1"/>
  <c r="K230" i="1"/>
  <c r="K229" i="1"/>
  <c r="F229" i="1"/>
  <c r="L229" i="1" s="1"/>
  <c r="F228" i="1"/>
  <c r="L228" i="1" s="1"/>
  <c r="K228" i="1"/>
  <c r="K227" i="1"/>
  <c r="F227" i="1"/>
  <c r="L227" i="1" s="1"/>
  <c r="K226" i="1"/>
  <c r="F226" i="1"/>
  <c r="L226" i="1" s="1"/>
  <c r="F225" i="1"/>
  <c r="L225" i="1" s="1"/>
  <c r="K225" i="1"/>
  <c r="K224" i="1"/>
  <c r="F224" i="1"/>
  <c r="L224" i="1" s="1"/>
  <c r="K223" i="1"/>
  <c r="F223" i="1"/>
  <c r="L223" i="1" s="1"/>
  <c r="K222" i="1"/>
  <c r="F222" i="1"/>
  <c r="L222" i="1" s="1"/>
  <c r="K221" i="1"/>
  <c r="F221" i="1"/>
  <c r="L221" i="1" s="1"/>
  <c r="F220" i="1"/>
  <c r="L220" i="1" s="1"/>
  <c r="K220" i="1"/>
  <c r="K219" i="1"/>
  <c r="F219" i="1"/>
  <c r="L219" i="1" s="1"/>
  <c r="K218" i="1"/>
  <c r="F218" i="1"/>
  <c r="L218" i="1" s="1"/>
  <c r="F217" i="1"/>
  <c r="L217" i="1" s="1"/>
  <c r="K217" i="1"/>
  <c r="K216" i="1"/>
  <c r="F216" i="1"/>
  <c r="L216" i="1" s="1"/>
  <c r="K215" i="1"/>
  <c r="F215" i="1"/>
  <c r="L215" i="1" s="1"/>
  <c r="F214" i="1"/>
  <c r="L214" i="1" s="1"/>
  <c r="K214" i="1"/>
  <c r="K213" i="1"/>
  <c r="F213" i="1"/>
  <c r="L213" i="1" s="1"/>
  <c r="K212" i="1"/>
  <c r="F212" i="1"/>
  <c r="L212" i="1" s="1"/>
  <c r="F211" i="1"/>
  <c r="L211" i="1" s="1"/>
  <c r="K211" i="1"/>
  <c r="K210" i="1"/>
  <c r="F210" i="1"/>
  <c r="L210" i="1" s="1"/>
  <c r="K209" i="1"/>
  <c r="F209" i="1"/>
  <c r="L209" i="1" s="1"/>
  <c r="F208" i="1"/>
  <c r="L208" i="1" s="1"/>
  <c r="K208" i="1"/>
  <c r="K207" i="1"/>
  <c r="F207" i="1"/>
  <c r="L207" i="1" s="1"/>
  <c r="K206" i="1"/>
  <c r="F206" i="1"/>
  <c r="L206" i="1" s="1"/>
  <c r="F205" i="1"/>
  <c r="L205" i="1" s="1"/>
  <c r="K205" i="1"/>
  <c r="K204" i="1"/>
  <c r="F204" i="1"/>
  <c r="L204" i="1" s="1"/>
  <c r="F203" i="1"/>
  <c r="L203" i="1" s="1"/>
  <c r="K203" i="1"/>
  <c r="F202" i="1"/>
  <c r="L202" i="1" s="1"/>
  <c r="K202" i="1"/>
  <c r="K201" i="1"/>
  <c r="F201" i="1"/>
  <c r="L201" i="1" s="1"/>
  <c r="K200" i="1"/>
  <c r="F200" i="1"/>
  <c r="L200" i="1" s="1"/>
  <c r="F199" i="1"/>
  <c r="L199" i="1" s="1"/>
  <c r="K199" i="1"/>
  <c r="F198" i="1"/>
  <c r="L198" i="1" s="1"/>
  <c r="K198" i="1"/>
  <c r="F197" i="1"/>
  <c r="L197" i="1" s="1"/>
  <c r="K197" i="1"/>
  <c r="K196" i="1"/>
  <c r="F196" i="1"/>
  <c r="L196" i="1" s="1"/>
  <c r="K195" i="1"/>
  <c r="F195" i="1"/>
  <c r="L195" i="1" s="1"/>
  <c r="F194" i="1"/>
  <c r="L194" i="1" s="1"/>
  <c r="K194" i="1"/>
  <c r="K193" i="1"/>
  <c r="F193" i="1"/>
  <c r="L193" i="1" s="1"/>
  <c r="K192" i="1"/>
  <c r="F192" i="1"/>
  <c r="L192" i="1" s="1"/>
  <c r="K191" i="1"/>
  <c r="F191" i="1"/>
  <c r="L191" i="1" s="1"/>
  <c r="F190" i="1"/>
  <c r="L190" i="1" s="1"/>
  <c r="K190" i="1"/>
  <c r="F189" i="1"/>
  <c r="L189" i="1" s="1"/>
  <c r="K189" i="1"/>
  <c r="F188" i="1"/>
  <c r="L188" i="1" s="1"/>
  <c r="K188" i="1"/>
  <c r="F187" i="1"/>
  <c r="L187" i="1" s="1"/>
  <c r="K187" i="1"/>
  <c r="K186" i="1"/>
  <c r="F186" i="1"/>
  <c r="L186" i="1" s="1"/>
  <c r="F185" i="1"/>
  <c r="L185" i="1" s="1"/>
  <c r="K185" i="1"/>
  <c r="K183" i="1"/>
  <c r="F183" i="1"/>
  <c r="L183" i="1" s="1"/>
  <c r="K182" i="1"/>
  <c r="F182" i="1"/>
  <c r="L182" i="1" s="1"/>
  <c r="F181" i="1"/>
  <c r="L181" i="1" s="1"/>
  <c r="K181" i="1"/>
  <c r="K180" i="1"/>
  <c r="F180" i="1"/>
  <c r="L180" i="1" s="1"/>
  <c r="F179" i="1"/>
  <c r="L179" i="1" s="1"/>
  <c r="K179" i="1"/>
  <c r="K178" i="1"/>
  <c r="F178" i="1"/>
  <c r="L178" i="1" s="1"/>
  <c r="F177" i="1"/>
  <c r="L177" i="1" s="1"/>
  <c r="K177" i="1"/>
  <c r="K176" i="1"/>
  <c r="F176" i="1"/>
  <c r="L176" i="1" s="1"/>
  <c r="K175" i="1"/>
  <c r="F175" i="1"/>
  <c r="L175" i="1" s="1"/>
  <c r="K174" i="1"/>
  <c r="F174" i="1"/>
  <c r="L174" i="1" s="1"/>
  <c r="K173" i="1"/>
  <c r="F173" i="1"/>
  <c r="K167" i="1"/>
  <c r="F167" i="1"/>
  <c r="L167" i="1" s="1"/>
  <c r="F166" i="1"/>
  <c r="L166" i="1" s="1"/>
  <c r="K166" i="1"/>
  <c r="F165" i="1"/>
  <c r="L165" i="1" s="1"/>
  <c r="K165" i="1"/>
  <c r="F164" i="1"/>
  <c r="L164" i="1" s="1"/>
  <c r="K164" i="1"/>
  <c r="K163" i="1"/>
  <c r="F163" i="1"/>
  <c r="L163" i="1" s="1"/>
  <c r="F162" i="1"/>
  <c r="L162" i="1" s="1"/>
  <c r="K162" i="1"/>
  <c r="F161" i="1"/>
  <c r="L161" i="1" s="1"/>
  <c r="K161" i="1"/>
  <c r="K160" i="1"/>
  <c r="F160" i="1"/>
  <c r="L160" i="1" s="1"/>
  <c r="K159" i="1"/>
  <c r="F159" i="1"/>
  <c r="L159" i="1" s="1"/>
  <c r="F158" i="1"/>
  <c r="L158" i="1" s="1"/>
  <c r="K158" i="1"/>
  <c r="K157" i="1"/>
  <c r="F157" i="1"/>
  <c r="L157" i="1" s="1"/>
  <c r="F156" i="1"/>
  <c r="L156" i="1" s="1"/>
  <c r="K156" i="1"/>
  <c r="F155" i="1"/>
  <c r="L155" i="1" s="1"/>
  <c r="K155" i="1"/>
  <c r="F154" i="1"/>
  <c r="L154" i="1" s="1"/>
  <c r="K154" i="1"/>
  <c r="F153" i="1"/>
  <c r="L153" i="1" s="1"/>
  <c r="K153" i="1"/>
  <c r="K152" i="1"/>
  <c r="F152" i="1"/>
  <c r="K134" i="1"/>
  <c r="F134" i="1"/>
  <c r="L134" i="1" s="1"/>
  <c r="K133" i="1"/>
  <c r="F133" i="1"/>
  <c r="L133" i="1" s="1"/>
  <c r="K132" i="1"/>
  <c r="F132" i="1"/>
  <c r="L132" i="1" s="1"/>
  <c r="K131" i="1"/>
  <c r="F131" i="1"/>
  <c r="K126" i="1"/>
  <c r="F126" i="1"/>
  <c r="L126" i="1" s="1"/>
  <c r="F125" i="1"/>
  <c r="L125" i="1" s="1"/>
  <c r="K125" i="1"/>
  <c r="K124" i="1"/>
  <c r="F124" i="1"/>
  <c r="L124" i="1" s="1"/>
  <c r="K123" i="1"/>
  <c r="F123" i="1"/>
  <c r="L123" i="1" s="1"/>
  <c r="F122" i="1"/>
  <c r="L122" i="1" s="1"/>
  <c r="K122" i="1"/>
  <c r="F121" i="1"/>
  <c r="L121" i="1" s="1"/>
  <c r="K121" i="1"/>
  <c r="K120" i="1"/>
  <c r="F120" i="1"/>
  <c r="L120" i="1" s="1"/>
  <c r="K119" i="1"/>
  <c r="F119" i="1"/>
  <c r="L119" i="1" s="1"/>
  <c r="F118" i="1"/>
  <c r="L118" i="1" s="1"/>
  <c r="K118" i="1"/>
  <c r="K117" i="1"/>
  <c r="F117" i="1"/>
  <c r="L117" i="1" s="1"/>
  <c r="K116" i="1"/>
  <c r="F116" i="1"/>
  <c r="L116" i="1" s="1"/>
  <c r="K115" i="1"/>
  <c r="F115" i="1"/>
  <c r="L115" i="1" s="1"/>
  <c r="K114" i="1"/>
  <c r="F114" i="1"/>
  <c r="L114" i="1" s="1"/>
  <c r="K113" i="1"/>
  <c r="F113" i="1"/>
  <c r="L113" i="1" s="1"/>
  <c r="K112" i="1"/>
  <c r="F112" i="1"/>
  <c r="L112" i="1" s="1"/>
  <c r="K111" i="1"/>
  <c r="F111" i="1"/>
  <c r="L111" i="1" s="1"/>
  <c r="K110" i="1"/>
  <c r="F110" i="1"/>
  <c r="K107" i="1"/>
  <c r="F107" i="1"/>
  <c r="L107" i="1" s="1"/>
  <c r="K106" i="1"/>
  <c r="F106" i="1"/>
  <c r="L106" i="1" s="1"/>
  <c r="K105" i="1"/>
  <c r="F105" i="1"/>
  <c r="L105" i="1" s="1"/>
  <c r="F104" i="1"/>
  <c r="L104" i="1" s="1"/>
  <c r="K104" i="1"/>
  <c r="K103" i="1"/>
  <c r="F103" i="1"/>
  <c r="L103" i="1" s="1"/>
  <c r="F102" i="1"/>
  <c r="L102" i="1" s="1"/>
  <c r="K102" i="1"/>
  <c r="F101" i="1"/>
  <c r="L101" i="1" s="1"/>
  <c r="K101" i="1"/>
  <c r="K100" i="1"/>
  <c r="F100" i="1"/>
  <c r="L100" i="1" s="1"/>
  <c r="K99" i="1"/>
  <c r="F99" i="1"/>
  <c r="L99" i="1" s="1"/>
  <c r="K98" i="1"/>
  <c r="F98" i="1"/>
  <c r="L98" i="1" s="1"/>
  <c r="K97" i="1"/>
  <c r="F97" i="1"/>
  <c r="L97" i="1" s="1"/>
  <c r="K96" i="1"/>
  <c r="F96" i="1"/>
  <c r="L96" i="1" s="1"/>
  <c r="K95" i="1"/>
  <c r="F95" i="1"/>
  <c r="L95" i="1" s="1"/>
  <c r="F94" i="1"/>
  <c r="L94" i="1" s="1"/>
  <c r="K94" i="1"/>
  <c r="F93" i="1"/>
  <c r="L93" i="1" s="1"/>
  <c r="K93" i="1"/>
  <c r="K92" i="1"/>
  <c r="F92" i="1"/>
  <c r="L92" i="1" s="1"/>
  <c r="F91" i="1"/>
  <c r="L91" i="1" s="1"/>
  <c r="K91" i="1"/>
  <c r="F90" i="1"/>
  <c r="L90" i="1" s="1"/>
  <c r="K90" i="1"/>
  <c r="K89" i="1"/>
  <c r="F89" i="1"/>
  <c r="K83" i="1"/>
  <c r="F83" i="1"/>
  <c r="L83" i="1" s="1"/>
  <c r="K82" i="1"/>
  <c r="F82" i="1"/>
  <c r="L82" i="1" s="1"/>
  <c r="K81" i="1"/>
  <c r="F81" i="1"/>
  <c r="L81" i="1" s="1"/>
  <c r="F80" i="1"/>
  <c r="L80" i="1" s="1"/>
  <c r="K80" i="1"/>
  <c r="K79" i="1"/>
  <c r="F79" i="1"/>
  <c r="L79" i="1" s="1"/>
  <c r="K78" i="1"/>
  <c r="F78" i="1"/>
  <c r="L78" i="1" s="1"/>
  <c r="K77" i="1"/>
  <c r="F77" i="1"/>
  <c r="L77" i="1" s="1"/>
  <c r="K76" i="1"/>
  <c r="F76" i="1"/>
  <c r="L76" i="1" s="1"/>
  <c r="K75" i="1"/>
  <c r="F75" i="1"/>
  <c r="L75" i="1" s="1"/>
  <c r="K74" i="1"/>
  <c r="F74" i="1"/>
  <c r="L74" i="1" s="1"/>
  <c r="F73" i="1"/>
  <c r="L73" i="1" s="1"/>
  <c r="K73" i="1"/>
  <c r="K72" i="1"/>
  <c r="F72" i="1"/>
  <c r="L72" i="1" s="1"/>
  <c r="K71" i="1"/>
  <c r="F71" i="1"/>
  <c r="L71" i="1" s="1"/>
  <c r="K70" i="1"/>
  <c r="F70" i="1"/>
  <c r="L70" i="1" s="1"/>
  <c r="F69" i="1"/>
  <c r="L69" i="1" s="1"/>
  <c r="K69" i="1"/>
  <c r="K68" i="1"/>
  <c r="F68" i="1"/>
  <c r="L68" i="1" s="1"/>
  <c r="F67" i="1"/>
  <c r="L67" i="1" s="1"/>
  <c r="K67" i="1"/>
  <c r="K66" i="1"/>
  <c r="F66" i="1"/>
  <c r="L66" i="1" s="1"/>
  <c r="K65" i="1"/>
  <c r="J65" i="1"/>
  <c r="K64" i="1"/>
  <c r="F64" i="1"/>
  <c r="L64" i="1" s="1"/>
  <c r="F63" i="1"/>
  <c r="L63" i="1" s="1"/>
  <c r="K63" i="1"/>
  <c r="K62" i="1"/>
  <c r="F62" i="1"/>
  <c r="L62" i="1" s="1"/>
  <c r="F61" i="1"/>
  <c r="L61" i="1" s="1"/>
  <c r="K61" i="1"/>
  <c r="F60" i="1"/>
  <c r="L60" i="1" s="1"/>
  <c r="K60" i="1"/>
  <c r="F59" i="1"/>
  <c r="L59" i="1" s="1"/>
  <c r="K59" i="1"/>
  <c r="F58" i="1"/>
  <c r="L58" i="1" s="1"/>
  <c r="K58" i="1"/>
  <c r="K57" i="1"/>
  <c r="F57" i="1"/>
  <c r="L57" i="1" s="1"/>
  <c r="K56" i="1"/>
  <c r="F56" i="1"/>
  <c r="L56" i="1" s="1"/>
  <c r="K55" i="1"/>
  <c r="F55" i="1"/>
  <c r="L55" i="1" s="1"/>
  <c r="K54" i="1"/>
  <c r="F54" i="1"/>
  <c r="L54" i="1" s="1"/>
  <c r="K53" i="1"/>
  <c r="F53" i="1"/>
  <c r="L53" i="1" s="1"/>
  <c r="K52" i="1"/>
  <c r="F52" i="1"/>
  <c r="L52" i="1" s="1"/>
  <c r="K51" i="1"/>
  <c r="F51" i="1"/>
  <c r="L51" i="1" s="1"/>
  <c r="K50" i="1"/>
  <c r="F50" i="1"/>
  <c r="L50" i="1" s="1"/>
  <c r="K49" i="1"/>
  <c r="F49" i="1"/>
  <c r="L49" i="1" s="1"/>
  <c r="K48" i="1"/>
  <c r="F48" i="1"/>
  <c r="L48" i="1" s="1"/>
  <c r="F47" i="1"/>
  <c r="K47" i="1"/>
  <c r="K36" i="1"/>
  <c r="F36" i="1"/>
  <c r="L36" i="1" s="1"/>
  <c r="F35" i="1"/>
  <c r="L35" i="1" s="1"/>
  <c r="K35" i="1"/>
  <c r="F34" i="1"/>
  <c r="L34" i="1" s="1"/>
  <c r="K34" i="1"/>
  <c r="K33" i="1"/>
  <c r="F33" i="1"/>
  <c r="L33" i="1" s="1"/>
  <c r="F32" i="1"/>
  <c r="L32" i="1" s="1"/>
  <c r="K32" i="1"/>
  <c r="K31" i="1"/>
  <c r="F31" i="1"/>
  <c r="L31" i="1" s="1"/>
  <c r="K30" i="1"/>
  <c r="F30" i="1"/>
  <c r="L30" i="1" s="1"/>
  <c r="F29" i="1"/>
  <c r="L29" i="1" s="1"/>
  <c r="K29" i="1"/>
  <c r="F28" i="1"/>
  <c r="L28" i="1" s="1"/>
  <c r="K28" i="1"/>
  <c r="F27" i="1"/>
  <c r="L27" i="1" s="1"/>
  <c r="K27" i="1"/>
  <c r="K26" i="1"/>
  <c r="F26" i="1"/>
  <c r="F20" i="1"/>
  <c r="L20" i="1" s="1"/>
  <c r="K20" i="1"/>
  <c r="F19" i="1"/>
  <c r="L19" i="1" s="1"/>
  <c r="K19" i="1"/>
  <c r="F18" i="1"/>
  <c r="L18" i="1" s="1"/>
  <c r="K18" i="1"/>
  <c r="F17" i="1"/>
  <c r="L17" i="1" s="1"/>
  <c r="K17" i="1"/>
  <c r="K16" i="1"/>
  <c r="F16" i="1"/>
  <c r="L16" i="1" s="1"/>
  <c r="F15" i="1"/>
  <c r="L15" i="1" s="1"/>
  <c r="K15" i="1"/>
  <c r="K14" i="1"/>
  <c r="F14" i="1"/>
  <c r="L14" i="1" s="1"/>
  <c r="F13" i="1"/>
  <c r="L13" i="1" s="1"/>
  <c r="K13" i="1"/>
  <c r="K12" i="1"/>
  <c r="F12" i="1"/>
  <c r="L12" i="1" s="1"/>
  <c r="K11" i="1"/>
  <c r="F11" i="1"/>
  <c r="L11" i="1" s="1"/>
  <c r="K10" i="1"/>
  <c r="F10" i="1"/>
  <c r="L10" i="1" s="1"/>
  <c r="F9" i="1"/>
  <c r="L9" i="1" s="1"/>
  <c r="K9" i="1"/>
  <c r="K8" i="1"/>
  <c r="F8" i="1"/>
  <c r="L8" i="1" s="1"/>
  <c r="K7" i="1"/>
  <c r="F7" i="1"/>
  <c r="L7" i="1" s="1"/>
  <c r="K6" i="1"/>
  <c r="F6" i="1"/>
  <c r="L6" i="1" s="1"/>
  <c r="F5" i="1"/>
  <c r="K5" i="1"/>
  <c r="J2266" i="1"/>
  <c r="J2014" i="1"/>
  <c r="H2014" i="1"/>
  <c r="J1720" i="1"/>
  <c r="H1720" i="1"/>
  <c r="J1489" i="1"/>
  <c r="H1489" i="1"/>
  <c r="J859" i="1"/>
  <c r="H859" i="1"/>
  <c r="J460" i="1"/>
  <c r="H460" i="1"/>
  <c r="J108" i="1"/>
  <c r="H2329" i="1"/>
  <c r="J2413" i="1"/>
  <c r="L2454" i="1" l="1"/>
  <c r="E2455" i="1"/>
  <c r="L2451" i="1"/>
  <c r="E2453" i="1"/>
  <c r="L2449" i="1"/>
  <c r="E2450" i="1"/>
  <c r="L2447" i="1"/>
  <c r="E2448" i="1"/>
  <c r="E2446" i="1"/>
  <c r="L2445" i="1"/>
  <c r="L2441" i="1"/>
  <c r="E2444" i="1"/>
  <c r="E2440" i="1"/>
  <c r="L2436" i="1"/>
  <c r="L2415" i="1"/>
  <c r="L2434" i="1" s="1"/>
  <c r="F2434" i="1"/>
  <c r="F2413" i="1"/>
  <c r="L2394" i="1"/>
  <c r="L2413" i="1" s="1"/>
  <c r="F2392" i="1"/>
  <c r="L2373" i="1"/>
  <c r="L2392" i="1" s="1"/>
  <c r="F2371" i="1"/>
  <c r="L2352" i="1"/>
  <c r="L2371" i="1" s="1"/>
  <c r="L2331" i="1"/>
  <c r="L2350" i="1" s="1"/>
  <c r="F2350" i="1"/>
  <c r="F2329" i="1"/>
  <c r="L2289" i="1"/>
  <c r="L2329" i="1" s="1"/>
  <c r="L2280" i="1"/>
  <c r="H2287" i="1"/>
  <c r="L2268" i="1"/>
  <c r="L2287" i="1" s="1"/>
  <c r="F2287" i="1"/>
  <c r="L2226" i="1"/>
  <c r="L2266" i="1" s="1"/>
  <c r="F2266" i="1"/>
  <c r="L2205" i="1"/>
  <c r="L2224" i="1" s="1"/>
  <c r="F2224" i="1"/>
  <c r="L2163" i="1"/>
  <c r="L2203" i="1" s="1"/>
  <c r="F2203" i="1"/>
  <c r="F2161" i="1"/>
  <c r="L2142" i="1"/>
  <c r="L2161" i="1" s="1"/>
  <c r="L2128" i="1"/>
  <c r="J2140" i="1"/>
  <c r="L2121" i="1"/>
  <c r="L2140" i="1" s="1"/>
  <c r="F2140" i="1"/>
  <c r="L2100" i="1"/>
  <c r="L2119" i="1" s="1"/>
  <c r="F2119" i="1"/>
  <c r="L2079" i="1"/>
  <c r="L2098" i="1" s="1"/>
  <c r="F2098" i="1"/>
  <c r="L2037" i="1"/>
  <c r="L2077" i="1" s="1"/>
  <c r="F2077" i="1"/>
  <c r="L2016" i="1"/>
  <c r="L2035" i="1" s="1"/>
  <c r="F2035" i="1"/>
  <c r="L2011" i="1"/>
  <c r="E2012" i="1"/>
  <c r="L2009" i="1"/>
  <c r="E2010" i="1"/>
  <c r="L2007" i="1"/>
  <c r="E2008" i="1"/>
  <c r="L2005" i="1"/>
  <c r="E2006" i="1"/>
  <c r="L2001" i="1"/>
  <c r="E2004" i="1"/>
  <c r="L1995" i="1"/>
  <c r="E2000" i="1"/>
  <c r="L1974" i="1"/>
  <c r="L1993" i="1" s="1"/>
  <c r="F1993" i="1"/>
  <c r="F1972" i="1"/>
  <c r="L1953" i="1"/>
  <c r="L1972" i="1" s="1"/>
  <c r="F1951" i="1"/>
  <c r="L1932" i="1"/>
  <c r="L1951" i="1" s="1"/>
  <c r="F1930" i="1"/>
  <c r="L1911" i="1"/>
  <c r="L1930" i="1" s="1"/>
  <c r="L1890" i="1"/>
  <c r="L1909" i="1" s="1"/>
  <c r="F1909" i="1"/>
  <c r="L1848" i="1"/>
  <c r="L1888" i="1" s="1"/>
  <c r="F1888" i="1"/>
  <c r="L1827" i="1"/>
  <c r="L1846" i="1" s="1"/>
  <c r="F1846" i="1"/>
  <c r="L1806" i="1"/>
  <c r="L1825" i="1" s="1"/>
  <c r="F1825" i="1"/>
  <c r="L1785" i="1"/>
  <c r="L1804" i="1" s="1"/>
  <c r="F1804" i="1"/>
  <c r="L1764" i="1"/>
  <c r="L1783" i="1" s="1"/>
  <c r="F1783" i="1"/>
  <c r="L1743" i="1"/>
  <c r="L1762" i="1" s="1"/>
  <c r="F1762" i="1"/>
  <c r="L1722" i="1"/>
  <c r="L1741" i="1" s="1"/>
  <c r="F1741" i="1"/>
  <c r="L1701" i="1"/>
  <c r="L1720" i="1" s="1"/>
  <c r="F1720" i="1"/>
  <c r="L1659" i="1"/>
  <c r="L1699" i="1" s="1"/>
  <c r="F1699" i="1"/>
  <c r="L1638" i="1"/>
  <c r="L1657" i="1" s="1"/>
  <c r="F1657" i="1"/>
  <c r="L1615" i="1"/>
  <c r="E1616" i="1"/>
  <c r="L1613" i="1"/>
  <c r="E1614" i="1"/>
  <c r="L1611" i="1"/>
  <c r="E1612" i="1"/>
  <c r="L1609" i="1"/>
  <c r="E1610" i="1"/>
  <c r="L1606" i="1"/>
  <c r="E1608" i="1"/>
  <c r="L1602" i="1"/>
  <c r="E1605" i="1"/>
  <c r="L1596" i="1"/>
  <c r="E1601" i="1"/>
  <c r="L1575" i="1"/>
  <c r="L1594" i="1" s="1"/>
  <c r="F1594" i="1"/>
  <c r="L1554" i="1"/>
  <c r="L1573" i="1" s="1"/>
  <c r="F1573" i="1"/>
  <c r="L1533" i="1"/>
  <c r="L1552" i="1" s="1"/>
  <c r="F1552" i="1"/>
  <c r="L1512" i="1"/>
  <c r="L1531" i="1" s="1"/>
  <c r="F1531" i="1"/>
  <c r="L1491" i="1"/>
  <c r="L1510" i="1" s="1"/>
  <c r="F1510" i="1"/>
  <c r="F1489" i="1"/>
  <c r="L1428" i="1"/>
  <c r="L1489" i="1" s="1"/>
  <c r="L1407" i="1"/>
  <c r="L1426" i="1" s="1"/>
  <c r="F1426" i="1"/>
  <c r="L1398" i="1"/>
  <c r="H1405" i="1"/>
  <c r="L1386" i="1"/>
  <c r="L1405" i="1" s="1"/>
  <c r="F1405" i="1"/>
  <c r="L1365" i="1"/>
  <c r="L1384" i="1" s="1"/>
  <c r="F1384" i="1"/>
  <c r="L1344" i="1"/>
  <c r="L1363" i="1" s="1"/>
  <c r="F1363" i="1"/>
  <c r="L1323" i="1"/>
  <c r="L1342" i="1" s="1"/>
  <c r="F1342" i="1"/>
  <c r="L1302" i="1"/>
  <c r="L1321" i="1" s="1"/>
  <c r="F1321" i="1"/>
  <c r="L1281" i="1"/>
  <c r="L1300" i="1" s="1"/>
  <c r="F1300" i="1"/>
  <c r="L1260" i="1"/>
  <c r="L1279" i="1" s="1"/>
  <c r="F1279" i="1"/>
  <c r="L1230" i="1"/>
  <c r="J1258" i="1"/>
  <c r="L1218" i="1"/>
  <c r="L1258" i="1" s="1"/>
  <c r="F1258" i="1"/>
  <c r="L1197" i="1"/>
  <c r="L1216" i="1" s="1"/>
  <c r="F1216" i="1"/>
  <c r="L1173" i="1"/>
  <c r="E1174" i="1"/>
  <c r="L1171" i="1"/>
  <c r="E1172" i="1"/>
  <c r="L1169" i="1"/>
  <c r="E1170" i="1"/>
  <c r="L1167" i="1"/>
  <c r="E1168" i="1"/>
  <c r="L1165" i="1"/>
  <c r="E1166" i="1"/>
  <c r="L1161" i="1"/>
  <c r="E1164" i="1"/>
  <c r="L1155" i="1"/>
  <c r="E1160" i="1"/>
  <c r="L1134" i="1"/>
  <c r="L1153" i="1" s="1"/>
  <c r="F1153" i="1"/>
  <c r="L1113" i="1"/>
  <c r="L1132" i="1" s="1"/>
  <c r="F1132" i="1"/>
  <c r="L1092" i="1"/>
  <c r="L1111" i="1" s="1"/>
  <c r="F1111" i="1"/>
  <c r="L1071" i="1"/>
  <c r="L1090" i="1" s="1"/>
  <c r="F1090" i="1"/>
  <c r="L1050" i="1"/>
  <c r="L1069" i="1" s="1"/>
  <c r="F1069" i="1"/>
  <c r="L1008" i="1"/>
  <c r="L1048" i="1" s="1"/>
  <c r="F1048" i="1"/>
  <c r="L987" i="1"/>
  <c r="L1006" i="1" s="1"/>
  <c r="F1006" i="1"/>
  <c r="L966" i="1"/>
  <c r="L985" i="1" s="1"/>
  <c r="F985" i="1"/>
  <c r="L924" i="1"/>
  <c r="L964" i="1" s="1"/>
  <c r="F964" i="1"/>
  <c r="L903" i="1"/>
  <c r="L922" i="1" s="1"/>
  <c r="F922" i="1"/>
  <c r="L882" i="1"/>
  <c r="L901" i="1" s="1"/>
  <c r="F901" i="1"/>
  <c r="L861" i="1"/>
  <c r="L880" i="1" s="1"/>
  <c r="F880" i="1"/>
  <c r="L840" i="1"/>
  <c r="L859" i="1" s="1"/>
  <c r="F859" i="1"/>
  <c r="L819" i="1"/>
  <c r="L838" i="1" s="1"/>
  <c r="F838" i="1"/>
  <c r="L798" i="1"/>
  <c r="L817" i="1" s="1"/>
  <c r="F817" i="1"/>
  <c r="L779" i="1"/>
  <c r="E781" i="1"/>
  <c r="L777" i="1"/>
  <c r="E778" i="1"/>
  <c r="L775" i="1"/>
  <c r="E776" i="1"/>
  <c r="L773" i="1"/>
  <c r="E774" i="1"/>
  <c r="L771" i="1"/>
  <c r="E772" i="1"/>
  <c r="L767" i="1"/>
  <c r="E770" i="1"/>
  <c r="L760" i="1"/>
  <c r="E766" i="1"/>
  <c r="L756" i="1"/>
  <c r="E759" i="1"/>
  <c r="L735" i="1"/>
  <c r="L754" i="1" s="1"/>
  <c r="F754" i="1"/>
  <c r="L714" i="1"/>
  <c r="L733" i="1" s="1"/>
  <c r="F733" i="1"/>
  <c r="L693" i="1"/>
  <c r="L712" i="1" s="1"/>
  <c r="F712" i="1"/>
  <c r="H691" i="1"/>
  <c r="L683" i="1"/>
  <c r="L672" i="1"/>
  <c r="L691" i="1" s="1"/>
  <c r="F691" i="1"/>
  <c r="L648" i="1"/>
  <c r="L670" i="1" s="1"/>
  <c r="F670" i="1"/>
  <c r="H646" i="1"/>
  <c r="L580" i="1"/>
  <c r="L504" i="1"/>
  <c r="L646" i="1" s="1"/>
  <c r="F646" i="1"/>
  <c r="J502" i="1"/>
  <c r="L480" i="1"/>
  <c r="L462" i="1"/>
  <c r="L502" i="1" s="1"/>
  <c r="F502" i="1"/>
  <c r="L357" i="1"/>
  <c r="L460" i="1" s="1"/>
  <c r="F460" i="1"/>
  <c r="L336" i="1"/>
  <c r="L355" i="1" s="1"/>
  <c r="F355" i="1"/>
  <c r="L294" i="1"/>
  <c r="L334" i="1" s="1"/>
  <c r="F334" i="1"/>
  <c r="H292" i="1"/>
  <c r="L264" i="1"/>
  <c r="L173" i="1"/>
  <c r="L292" i="1" s="1"/>
  <c r="F292" i="1"/>
  <c r="L152" i="1"/>
  <c r="L171" i="1" s="1"/>
  <c r="F171" i="1"/>
  <c r="L131" i="1"/>
  <c r="L150" i="1" s="1"/>
  <c r="F150" i="1"/>
  <c r="L110" i="1"/>
  <c r="L129" i="1" s="1"/>
  <c r="F129" i="1"/>
  <c r="L89" i="1"/>
  <c r="L108" i="1" s="1"/>
  <c r="F108" i="1"/>
  <c r="J87" i="1"/>
  <c r="L65" i="1"/>
  <c r="L47" i="1"/>
  <c r="L87" i="1" s="1"/>
  <c r="F87" i="1"/>
  <c r="L26" i="1"/>
  <c r="L45" i="1" s="1"/>
  <c r="F45" i="1"/>
  <c r="L5" i="1"/>
  <c r="L24" i="1" s="1"/>
  <c r="F24" i="1"/>
  <c r="F2455" i="1" l="1"/>
  <c r="L2455" i="1" s="1"/>
  <c r="K2455" i="1"/>
  <c r="F2453" i="1"/>
  <c r="L2453" i="1" s="1"/>
  <c r="K2453" i="1"/>
  <c r="F2450" i="1"/>
  <c r="L2450" i="1" s="1"/>
  <c r="K2450" i="1"/>
  <c r="K2448" i="1"/>
  <c r="F2448" i="1"/>
  <c r="L2448" i="1" s="1"/>
  <c r="F2446" i="1"/>
  <c r="L2446" i="1" s="1"/>
  <c r="K2446" i="1"/>
  <c r="K2444" i="1"/>
  <c r="F2444" i="1"/>
  <c r="L2444" i="1" s="1"/>
  <c r="F2440" i="1"/>
  <c r="K2440" i="1"/>
  <c r="F2012" i="1"/>
  <c r="L2012" i="1" s="1"/>
  <c r="K2012" i="1"/>
  <c r="F2010" i="1"/>
  <c r="L2010" i="1" s="1"/>
  <c r="K2010" i="1"/>
  <c r="F2008" i="1"/>
  <c r="L2008" i="1" s="1"/>
  <c r="K2008" i="1"/>
  <c r="F2006" i="1"/>
  <c r="L2006" i="1" s="1"/>
  <c r="K2006" i="1"/>
  <c r="K2004" i="1"/>
  <c r="F2004" i="1"/>
  <c r="L2004" i="1" s="1"/>
  <c r="F2000" i="1"/>
  <c r="K2000" i="1"/>
  <c r="F1616" i="1"/>
  <c r="L1616" i="1" s="1"/>
  <c r="K1616" i="1"/>
  <c r="F1614" i="1"/>
  <c r="L1614" i="1" s="1"/>
  <c r="K1614" i="1"/>
  <c r="F1612" i="1"/>
  <c r="L1612" i="1" s="1"/>
  <c r="K1612" i="1"/>
  <c r="F1610" i="1"/>
  <c r="L1610" i="1" s="1"/>
  <c r="K1610" i="1"/>
  <c r="F1608" i="1"/>
  <c r="L1608" i="1" s="1"/>
  <c r="K1608" i="1"/>
  <c r="F1605" i="1"/>
  <c r="L1605" i="1" s="1"/>
  <c r="K1605" i="1"/>
  <c r="F1601" i="1"/>
  <c r="K1601" i="1"/>
  <c r="F1174" i="1"/>
  <c r="L1174" i="1" s="1"/>
  <c r="K1174" i="1"/>
  <c r="F1172" i="1"/>
  <c r="L1172" i="1" s="1"/>
  <c r="K1172" i="1"/>
  <c r="F1170" i="1"/>
  <c r="L1170" i="1" s="1"/>
  <c r="K1170" i="1"/>
  <c r="F1168" i="1"/>
  <c r="L1168" i="1" s="1"/>
  <c r="K1168" i="1"/>
  <c r="F1166" i="1"/>
  <c r="L1166" i="1" s="1"/>
  <c r="K1166" i="1"/>
  <c r="F1164" i="1"/>
  <c r="L1164" i="1" s="1"/>
  <c r="K1164" i="1"/>
  <c r="F1160" i="1"/>
  <c r="K1160" i="1"/>
  <c r="F781" i="1"/>
  <c r="L781" i="1" s="1"/>
  <c r="K781" i="1"/>
  <c r="F778" i="1"/>
  <c r="L778" i="1" s="1"/>
  <c r="K778" i="1"/>
  <c r="F776" i="1"/>
  <c r="L776" i="1" s="1"/>
  <c r="K776" i="1"/>
  <c r="F774" i="1"/>
  <c r="L774" i="1" s="1"/>
  <c r="K774" i="1"/>
  <c r="F772" i="1"/>
  <c r="L772" i="1" s="1"/>
  <c r="K772" i="1"/>
  <c r="F770" i="1"/>
  <c r="L770" i="1" s="1"/>
  <c r="K770" i="1"/>
  <c r="F766" i="1"/>
  <c r="L766" i="1" s="1"/>
  <c r="K766" i="1"/>
  <c r="F759" i="1"/>
  <c r="K759" i="1"/>
  <c r="F2458" i="1" l="1"/>
  <c r="L2440" i="1"/>
  <c r="L2458" i="1" s="1"/>
  <c r="F2014" i="1"/>
  <c r="L2000" i="1"/>
  <c r="L2014" i="1" s="1"/>
  <c r="F1636" i="1"/>
  <c r="L1601" i="1"/>
  <c r="L1636" i="1" s="1"/>
  <c r="F1195" i="1"/>
  <c r="L1160" i="1"/>
  <c r="L1195" i="1" s="1"/>
  <c r="F796" i="1"/>
  <c r="L759" i="1"/>
  <c r="L796" i="1" s="1"/>
</calcChain>
</file>

<file path=xl/sharedStrings.xml><?xml version="1.0" encoding="utf-8"?>
<sst xmlns="http://schemas.openxmlformats.org/spreadsheetml/2006/main" count="19504" uniqueCount="3696">
  <si>
    <t>[ 인천소방학교(221210) ]</t>
  </si>
  <si>
    <t>품      명</t>
  </si>
  <si>
    <t>규      격</t>
  </si>
  <si>
    <t>단위</t>
  </si>
  <si>
    <t>수량</t>
  </si>
  <si>
    <t>재  료  비</t>
  </si>
  <si>
    <t>노  무  비</t>
  </si>
  <si>
    <t>경      비</t>
  </si>
  <si>
    <t>합      계</t>
  </si>
  <si>
    <t>비  고</t>
  </si>
  <si>
    <t>품목코드</t>
  </si>
  <si>
    <t>변수</t>
  </si>
  <si>
    <t>설정</t>
  </si>
  <si>
    <t>공종코드</t>
  </si>
  <si>
    <t>일위</t>
  </si>
  <si>
    <t>단산</t>
  </si>
  <si>
    <t>자재</t>
  </si>
  <si>
    <t>손료적용</t>
  </si>
  <si>
    <t>손료저장</t>
  </si>
  <si>
    <t>적용율</t>
  </si>
  <si>
    <t>JUK1</t>
  </si>
  <si>
    <t>JUK2</t>
  </si>
  <si>
    <t>JUK3</t>
  </si>
  <si>
    <t>JUK4</t>
  </si>
  <si>
    <t>JUK5</t>
  </si>
  <si>
    <t>JUK6</t>
  </si>
  <si>
    <t>JUK7</t>
  </si>
  <si>
    <t>JUK8</t>
  </si>
  <si>
    <t>JUK9</t>
  </si>
  <si>
    <t>JUK10</t>
  </si>
  <si>
    <t>JUK11</t>
  </si>
  <si>
    <t>JUK12</t>
  </si>
  <si>
    <t>JUK13</t>
  </si>
  <si>
    <t>JUK14</t>
  </si>
  <si>
    <t>JUK15</t>
  </si>
  <si>
    <t>JUK16</t>
  </si>
  <si>
    <t>JUK17</t>
  </si>
  <si>
    <t>JUK18</t>
  </si>
  <si>
    <t>JUK19</t>
  </si>
  <si>
    <t>JUK20</t>
  </si>
  <si>
    <t>자재구분</t>
  </si>
  <si>
    <t>공종구분</t>
  </si>
  <si>
    <t>공종레벨</t>
  </si>
  <si>
    <t>공종+자재</t>
  </si>
  <si>
    <t>고유번호</t>
  </si>
  <si>
    <t>단  가</t>
  </si>
  <si>
    <t>금  액</t>
  </si>
  <si>
    <t>010101  공통 가설 공사</t>
  </si>
  <si>
    <t>01.본관동 및 생활관, 후생관</t>
    <phoneticPr fontId="4" type="noConversion"/>
  </si>
  <si>
    <t>010101</t>
  </si>
  <si>
    <t>가설울타리설치및 해체</t>
  </si>
  <si>
    <t>EGI휀스,지주높이 3.5m이하</t>
  </si>
  <si>
    <t>m</t>
  </si>
  <si>
    <t>노무비율 0%</t>
  </si>
  <si>
    <t>4477177097F115B34CE24775BBCC4</t>
  </si>
  <si>
    <t/>
  </si>
  <si>
    <t>F</t>
  </si>
  <si>
    <t>T</t>
  </si>
  <si>
    <t>0101014477177097F115B34CE24775BBCC4</t>
  </si>
  <si>
    <t>조립식가설사무소/감리, 감독자</t>
  </si>
  <si>
    <t>25개월, 렌탈</t>
  </si>
  <si>
    <t>M2</t>
  </si>
  <si>
    <t>호표 1</t>
  </si>
  <si>
    <t>44771770A05C1591F337CE26D8B0E</t>
  </si>
  <si>
    <t>01010144771770A05C1591F337CE26D8B0E</t>
  </si>
  <si>
    <t>컨테이너가설창고</t>
  </si>
  <si>
    <t>25개월, 렌탈, 3.0*6.0m</t>
  </si>
  <si>
    <t>동</t>
  </si>
  <si>
    <t>호표 2</t>
  </si>
  <si>
    <t>44771770A06E15D56C0BA62B9A1F9</t>
  </si>
  <si>
    <t>01010144771770A06E15D56C0BA62B9A1F9</t>
  </si>
  <si>
    <t>컨테이너가설실험실</t>
  </si>
  <si>
    <t>호표 3</t>
  </si>
  <si>
    <t>44771770A06E15D56C0BA6CBCEE91</t>
  </si>
  <si>
    <t>01010144771770A06E15D56C0BA6CBCEE91</t>
  </si>
  <si>
    <t>폐기물보관소</t>
  </si>
  <si>
    <t>호표 4</t>
  </si>
  <si>
    <t>44771770A05C15A251EC38A14CCB8</t>
  </si>
  <si>
    <t>01010144771770A05C15A251EC38A14CCB8</t>
  </si>
  <si>
    <t>가설게이트</t>
  </si>
  <si>
    <t>홀딩도어 L=12m, H=8m</t>
  </si>
  <si>
    <t>EA</t>
  </si>
  <si>
    <t>호표 5</t>
  </si>
  <si>
    <t>4477177097C4150280AAAF6F57072</t>
  </si>
  <si>
    <t>0101014477177097C4150280AAAF6F57072</t>
  </si>
  <si>
    <t>이동식 타워크레인손료 - 월</t>
  </si>
  <si>
    <t>54m*50ton</t>
  </si>
  <si>
    <t>MTH</t>
  </si>
  <si>
    <t>호표 6</t>
  </si>
  <si>
    <t>44771770B29115CAEE25590F4A86C</t>
  </si>
  <si>
    <t>01010144771770B29115CAEE25590F4A86C</t>
  </si>
  <si>
    <t>가설전기인입비</t>
  </si>
  <si>
    <t>식</t>
  </si>
  <si>
    <t>호표 7</t>
  </si>
  <si>
    <t>44771770B2A2152FBF6FD3B83D821</t>
  </si>
  <si>
    <t>01010144771770B2A2152FBF6FD3B83D821</t>
  </si>
  <si>
    <t>가설용수비</t>
  </si>
  <si>
    <t>호표 8</t>
  </si>
  <si>
    <t>4477177097F115B34C5C6434FCD32</t>
  </si>
  <si>
    <t>0101014477177097F115B34C5C6434FCD32</t>
  </si>
  <si>
    <t>가설전력사용료</t>
  </si>
  <si>
    <t>호표 9</t>
  </si>
  <si>
    <t>4477177097F115B34C5C6434FCD31</t>
  </si>
  <si>
    <t>0101014477177097F115B34C5C6434FCD31</t>
  </si>
  <si>
    <t>건설폐기물상차비 - 중간처리</t>
  </si>
  <si>
    <t>16톤압롤트럭(20m3)</t>
  </si>
  <si>
    <t>TON</t>
  </si>
  <si>
    <t>44771770C33C1564727CCF91C5A2A</t>
  </si>
  <si>
    <t>01010144771770C33C1564727CCF91C5A2A</t>
  </si>
  <si>
    <t>45C61727F3E315DA92B49D6357B297CF6556C</t>
  </si>
  <si>
    <t>01010145C61727F3E315DA92B49D6357B297CF6556C</t>
  </si>
  <si>
    <t>[임시소방시설]</t>
  </si>
  <si>
    <t>45C61727F3E315DA92B49D6357B297CF65440</t>
  </si>
  <si>
    <t>01010145C61727F3E315DA92B49D6357B297CF65440</t>
  </si>
  <si>
    <t>휴대용확성기</t>
  </si>
  <si>
    <t>견적</t>
  </si>
  <si>
    <t>45C61727F3E315DA92B49D6357B297CF65441</t>
  </si>
  <si>
    <t>01010145C61727F3E315DA92B49D6357B297CF65441</t>
  </si>
  <si>
    <t>간이피난유도선</t>
  </si>
  <si>
    <t>100M용</t>
  </si>
  <si>
    <t>SET</t>
  </si>
  <si>
    <t>45C61727F3E315DA92B49D6357B297CF653A1</t>
  </si>
  <si>
    <t>01010145C61727F3E315DA92B49D6357B297CF653A1</t>
  </si>
  <si>
    <t>소화기</t>
  </si>
  <si>
    <t>대형분말소화기</t>
  </si>
  <si>
    <t>개</t>
  </si>
  <si>
    <t>45C61727F3E315DA92B49D6357B297CF653A0</t>
  </si>
  <si>
    <t>01010145C61727F3E315DA92B49D6357B297CF653A0</t>
  </si>
  <si>
    <t>[ 합           계 ]</t>
  </si>
  <si>
    <t>TOTAL</t>
  </si>
  <si>
    <t>010102  가  설  공  사</t>
  </si>
  <si>
    <t>010102</t>
  </si>
  <si>
    <t>조립말비계 (강관)</t>
  </si>
  <si>
    <t>3개월 이하 1단,2m</t>
  </si>
  <si>
    <t>대</t>
  </si>
  <si>
    <t>노무비 75.9%</t>
  </si>
  <si>
    <t>4477177097D615E61A0915A2BF7CF</t>
  </si>
  <si>
    <t>0101024477177097D615E61A0915A2BF7CF</t>
  </si>
  <si>
    <t>시스템비계</t>
  </si>
  <si>
    <t>10m이하</t>
  </si>
  <si>
    <t>㎡</t>
  </si>
  <si>
    <t>노무비 96.9%</t>
  </si>
  <si>
    <t>4477177097D615E61A472B48FEC09</t>
  </si>
  <si>
    <t>0101024477177097D615E61A472B48FEC09</t>
  </si>
  <si>
    <t>강관동바리(0.6m초과)</t>
  </si>
  <si>
    <t>3.5m이하, 3개월이하</t>
  </si>
  <si>
    <t>노무비 76.9%</t>
  </si>
  <si>
    <t>4477177097D615D58854549FB67D6</t>
  </si>
  <si>
    <t>0101024477177097D615D58854549FB67D6</t>
  </si>
  <si>
    <t>3.5-4.2m이하, 3개월이하</t>
  </si>
  <si>
    <t>노무비 79.9%</t>
  </si>
  <si>
    <t>4477177097D615D58854548D0E224</t>
  </si>
  <si>
    <t>0101024477177097D615D58854548D0E224</t>
  </si>
  <si>
    <t>시스템동바리 설치 및 해체</t>
  </si>
  <si>
    <t>10m 이하</t>
  </si>
  <si>
    <t>10공M3</t>
  </si>
  <si>
    <t>호표 10</t>
  </si>
  <si>
    <t>4477177097D615D59AB4675ABFE73</t>
  </si>
  <si>
    <t>0101024477177097D615D59AB4675ABFE73</t>
  </si>
  <si>
    <t>현장 정리</t>
  </si>
  <si>
    <t>RC조</t>
  </si>
  <si>
    <t>노무비 98.9%</t>
  </si>
  <si>
    <t>44771770C33C155BF49FA7D6EE412</t>
  </si>
  <si>
    <t>01010244771770C33C155BF49FA7D6EE412</t>
  </si>
  <si>
    <t>구조부 먹매김</t>
  </si>
  <si>
    <t>일반</t>
  </si>
  <si>
    <t>호표 11</t>
  </si>
  <si>
    <t>44771770C30015F0D8B80E316CC6B</t>
  </si>
  <si>
    <t>01010244771770C30015F0D8B80E316CC6B</t>
  </si>
  <si>
    <t>거푸집 먹매김</t>
  </si>
  <si>
    <t>호표 12</t>
  </si>
  <si>
    <t>44771770C30015F0D8B8291F12DAA</t>
  </si>
  <si>
    <t>01010244771770C30015F0D8B8291F12DAA</t>
  </si>
  <si>
    <t>건축물보양 - 콘크리트</t>
  </si>
  <si>
    <t>살수</t>
  </si>
  <si>
    <t>호표 13</t>
  </si>
  <si>
    <t>44771770C30015F0EAFD95BBD0ECD</t>
  </si>
  <si>
    <t>01010244771770C30015F0EAFD95BBD0ECD</t>
  </si>
  <si>
    <t>건축물보양 - 석재면, 테라조면</t>
  </si>
  <si>
    <t>하드롱지</t>
  </si>
  <si>
    <t>호표 14</t>
  </si>
  <si>
    <t>44771770C30015F0EAC07EB8E4F31</t>
  </si>
  <si>
    <t>01010244771770C30015F0EAC07EB8E4F31</t>
  </si>
  <si>
    <t>건축물보양 - 타일</t>
  </si>
  <si>
    <t>톱밥</t>
  </si>
  <si>
    <t>호표 15</t>
  </si>
  <si>
    <t>44771770C30015F0EAC06C3DD7B71</t>
  </si>
  <si>
    <t>01010244771770C30015F0EAC06C3DD7B71</t>
  </si>
  <si>
    <t>010103  철근콘크리트공사</t>
  </si>
  <si>
    <t>010103</t>
  </si>
  <si>
    <t>철근콘크리트용봉강(도급)</t>
  </si>
  <si>
    <t>철근콘크리트용봉강, 이형봉강(SD350/400), HD-10, 하치장상차도</t>
  </si>
  <si>
    <t>45C61727F3E315DA92B49D6357B297EAC00A9</t>
  </si>
  <si>
    <t>01010345C61727F3E315DA92B49D6357B297EAC00A9</t>
  </si>
  <si>
    <t>철근콘크리트용봉강, 이형봉강(SD350/400), HD-13, 하치장상차도</t>
  </si>
  <si>
    <t>45C61727F3E315DA92B49D6357B297EAD108F</t>
  </si>
  <si>
    <t>01010345C61727F3E315DA92B49D6357B297EAD108F</t>
  </si>
  <si>
    <t>철근콘크리트용봉강, 이형봉강(SD500), SH-16, 하치장상차도</t>
  </si>
  <si>
    <t>45C61727F3E315DA92B49D6357B297EAD108E</t>
  </si>
  <si>
    <t>01010345C61727F3E315DA92B49D6357B297EAD108E</t>
  </si>
  <si>
    <t>철근콘크리트용봉강, 이형봉강(SD500), SH-19, 하치장상차도</t>
  </si>
  <si>
    <t>45C61727F3E315DA92B49D6357B297EAD108D</t>
  </si>
  <si>
    <t>01010345C61727F3E315DA92B49D6357B297EAD108D</t>
  </si>
  <si>
    <t>철근콘크리트용봉강, 이형봉강(SD500), SH-22, 하치장상차도</t>
  </si>
  <si>
    <t>45C61727F3E315DA92B49D6357B297EAD108C</t>
  </si>
  <si>
    <t>01010345C61727F3E315DA92B49D6357B297EAD108C</t>
  </si>
  <si>
    <t>철근콘크리트용봉강, 이형봉강(SD500), SH-25, 하치장상차도</t>
  </si>
  <si>
    <t>45C61727F3E315DA92B49D6357B297EAD108B</t>
  </si>
  <si>
    <t>01010345C61727F3E315DA92B49D6357B297EAD108B</t>
  </si>
  <si>
    <t>철근 공장가공 및 현장조립</t>
  </si>
  <si>
    <t>Type- 2</t>
  </si>
  <si>
    <t>호표 16</t>
  </si>
  <si>
    <t>4477172846F215F26BCBEA1E4DE4E</t>
  </si>
  <si>
    <t>0101034477172846F215F26BCBEA1E4DE4E</t>
  </si>
  <si>
    <t>철근시공도 제작</t>
  </si>
  <si>
    <t>(철근공장가공)</t>
  </si>
  <si>
    <t>45C61727F3E315DA92B49D6357B297CF653A4</t>
  </si>
  <si>
    <t>01010345C61727F3E315DA92B49D6357B297CF653A4</t>
  </si>
  <si>
    <t>철근하차 및 선별</t>
  </si>
  <si>
    <t>45C61727F3E315DA92B49D6357B297CF653A7</t>
  </si>
  <si>
    <t>01010345C61727F3E315DA92B49D6357B297CF653A7</t>
  </si>
  <si>
    <t>레미콘(도급)</t>
  </si>
  <si>
    <t>레미콘, 인천(내륙), 25-18-80, 버림</t>
  </si>
  <si>
    <t>M3</t>
  </si>
  <si>
    <t>45C61727F3E315DA92B49D6357B297EAD1196</t>
  </si>
  <si>
    <t>01010345C61727F3E315DA92B49D6357B297EAD1196</t>
  </si>
  <si>
    <t>레미콘, 인천(내륙), 25-18-120</t>
  </si>
  <si>
    <t>45C61727F3E315DA92B49D6357B297EAD1197</t>
  </si>
  <si>
    <t>01010345C61727F3E315DA92B49D6357B297EAD1197</t>
  </si>
  <si>
    <t>레미콘, 인천(내륙), 25-27-150</t>
  </si>
  <si>
    <t>45C61727F3E315DA92B49D6357B297EAD1195</t>
  </si>
  <si>
    <t>01010345C61727F3E315DA92B49D6357B297EAD1195</t>
  </si>
  <si>
    <t>무근콘크리트 타설</t>
  </si>
  <si>
    <t>슬럼프=8∼12, 1일 타설량=300m3이상, 붐타설</t>
  </si>
  <si>
    <t>호표 17</t>
  </si>
  <si>
    <t>447717280F5E15D2408BA5D4E8BB5</t>
  </si>
  <si>
    <t>010103447717280F5E15D2408BA5D4E8BB5</t>
  </si>
  <si>
    <t>철근콘크리트 타설</t>
  </si>
  <si>
    <t>슬럼프=15, 1일 타설량=300m3 이상, 붐타설</t>
  </si>
  <si>
    <t>호표 18</t>
  </si>
  <si>
    <t>447717280F6F1541AA7102B581ED4</t>
  </si>
  <si>
    <t>010103447717280F6F1541AA7102B581ED4</t>
  </si>
  <si>
    <t>섬유보강재</t>
  </si>
  <si>
    <t>435C17C09A7F158126878FF66CCDE0B22B77E</t>
  </si>
  <si>
    <t>010103435C17C09A7F158126878FF66CCDE0B22B77E</t>
  </si>
  <si>
    <t>와이어메쉬</t>
  </si>
  <si>
    <t>노무비 97.9%</t>
  </si>
  <si>
    <t>4477172846AA15F996FFDE9BB150F</t>
  </si>
  <si>
    <t>0101034477172846AA15F996FFDE9BB150F</t>
  </si>
  <si>
    <t>합판거푸집 설치 및 해체</t>
  </si>
  <si>
    <t>3회, 수직고 7m까지</t>
  </si>
  <si>
    <t>호표 19</t>
  </si>
  <si>
    <t>44771728721215946E9C34B560487</t>
  </si>
  <si>
    <t>01010344771728721215946E9C34B560487</t>
  </si>
  <si>
    <t>계단실</t>
  </si>
  <si>
    <t>호표 20</t>
  </si>
  <si>
    <t>44771728721215946E9C34B5604F2</t>
  </si>
  <si>
    <t>01010344771728721215946E9C34B5604F2</t>
  </si>
  <si>
    <t>4회, 수직고 7m까지</t>
  </si>
  <si>
    <t>호표 21</t>
  </si>
  <si>
    <t>44771728721215946E9C2A5F324A1</t>
  </si>
  <si>
    <t>01010344771728721215946E9C2A5F324A1</t>
  </si>
  <si>
    <t>유로폼 설치 및 해체</t>
  </si>
  <si>
    <t>보통, 수직고 7m까지</t>
  </si>
  <si>
    <t>호표 22</t>
  </si>
  <si>
    <t>44771728727B151AA582BDB6C49C1</t>
  </si>
  <si>
    <t>01010344771728727B151AA582BDB6C49C1</t>
  </si>
  <si>
    <t>지수판설치 - 소켓 연결</t>
  </si>
  <si>
    <t>200*5t</t>
  </si>
  <si>
    <t>M</t>
  </si>
  <si>
    <t>호표 23</t>
  </si>
  <si>
    <t>44771728E56015282A1C380FB9A95</t>
  </si>
  <si>
    <t>01010344771728E56015282A1C380FB9A95</t>
  </si>
  <si>
    <t>리브라스 설치</t>
  </si>
  <si>
    <t>호표 24</t>
  </si>
  <si>
    <t>44771728E56015282A1C3872AAA56</t>
  </si>
  <si>
    <t>01010344771728E56015282A1C3872AAA56</t>
  </si>
  <si>
    <t>45C61727F3E315DA92B49D6357B297EA17CCB</t>
  </si>
  <si>
    <t>01010345C61727F3E315DA92B49D6357B297EA17CCB</t>
  </si>
  <si>
    <t>[POST TENSION공사]</t>
  </si>
  <si>
    <t>45C61727F3E315DA92B49D6357B297EA17CCA</t>
  </si>
  <si>
    <t>01010345C61727F3E315DA92B49D6357B297EA17CCA</t>
  </si>
  <si>
    <t>강연선가공</t>
  </si>
  <si>
    <t>Unbonded15.2mm</t>
  </si>
  <si>
    <t>Ton</t>
  </si>
  <si>
    <t>45C61727F3E315DA92B49D6357B297EA17CCD</t>
  </si>
  <si>
    <t>01010345C61727F3E315DA92B49D6357B297EA17CCD</t>
  </si>
  <si>
    <t>강연선설치</t>
  </si>
  <si>
    <t>45C61727F3E315DA92B49D6357B297EA17CCC</t>
  </si>
  <si>
    <t>01010345C61727F3E315DA92B49D6357B297EA17CCC</t>
  </si>
  <si>
    <t>강연선긴장</t>
  </si>
  <si>
    <t>인장단15.2mm</t>
  </si>
  <si>
    <t>45C61727F3E315DA92B49D6357B297EA17CCF</t>
  </si>
  <si>
    <t>01010345C61727F3E315DA92B49D6357B297EA17CCF</t>
  </si>
  <si>
    <t>정착구조립</t>
  </si>
  <si>
    <t>인장/고정 15.2mm</t>
  </si>
  <si>
    <t>45C61727F3E315DA92B49D6357B297EA17CCE</t>
  </si>
  <si>
    <t>01010345C61727F3E315DA92B49D6357B297EA17CCE</t>
  </si>
  <si>
    <t>강연선절단및마감</t>
  </si>
  <si>
    <t>15.2mm</t>
  </si>
  <si>
    <t>45C61727F3E315DA92B49D6357B297EA17CC1</t>
  </si>
  <si>
    <t>01010345C61727F3E315DA92B49D6357B297EA17CC1</t>
  </si>
  <si>
    <t>recess 되메우기</t>
  </si>
  <si>
    <t>45C61727F3E315DA92B49D6357B297EA17CC0</t>
  </si>
  <si>
    <t>01010345C61727F3E315DA92B49D6357B297EA17CC0</t>
  </si>
  <si>
    <t>지지철근 및 보강철근</t>
  </si>
  <si>
    <t>원청사 가공 후 지원</t>
  </si>
  <si>
    <t>45C61727F3E315DA92B49D6357B297EA17B23</t>
  </si>
  <si>
    <t>01010345C61727F3E315DA92B49D6357B297EA17B23</t>
  </si>
  <si>
    <t>45C61727F3E315DA92B49D6357B297CF77E22</t>
  </si>
  <si>
    <t>01010345C61727F3E315DA92B49D6357B297CF77E22</t>
  </si>
  <si>
    <t>[덱플레이트 30191896]-본관동(도급)</t>
  </si>
  <si>
    <t>45C61727F3E315DA92B49D6357B297EA05F24</t>
  </si>
  <si>
    <t>01010345C61727F3E315DA92B49D6357B297EA05F24</t>
  </si>
  <si>
    <t>GC DECKPLATE(도급)</t>
  </si>
  <si>
    <t>GC1A-5(상부근D10,하부근D7,래티스?5)</t>
  </si>
  <si>
    <t>23513444</t>
  </si>
  <si>
    <t>45C61727F3E315DA92B49D6357B297EA05F2B</t>
  </si>
  <si>
    <t>01010345C61727F3E315DA92B49D6357B297EA05F2B</t>
  </si>
  <si>
    <t>GC6-5(상부근D12,하부근D8,래티스?5)</t>
  </si>
  <si>
    <t>23513466</t>
  </si>
  <si>
    <t>45C61727F3E315DA92B49D6357B297EA05F2A</t>
  </si>
  <si>
    <t>01010345C61727F3E315DA92B49D6357B297EA05F2A</t>
  </si>
  <si>
    <t>GC5-5(상부근D13,하부근D13,래티스?5)</t>
  </si>
  <si>
    <t>23513450</t>
  </si>
  <si>
    <t>45C61727F3E315DA92B49D6357B297EA050BE</t>
  </si>
  <si>
    <t>01010345C61727F3E315DA92B49D6357B297EA050BE</t>
  </si>
  <si>
    <t>데크 설치비</t>
  </si>
  <si>
    <t>현장철근별도, 4.3m 이하</t>
  </si>
  <si>
    <t>45C61727F3E315DA92B49D6357B297CF2F495</t>
  </si>
  <si>
    <t>01010345C61727F3E315DA92B49D6357B297CF2F495</t>
  </si>
  <si>
    <t>010104  철  골  공  사</t>
  </si>
  <si>
    <t>010104</t>
  </si>
  <si>
    <t>H형강(도급)</t>
  </si>
  <si>
    <t>SS275, 200*200*8*12mm, 현장도착도</t>
  </si>
  <si>
    <t>49.9kg/m</t>
  </si>
  <si>
    <t>435C17C09A6D1533C2396F2DF37ED34AFA10D</t>
  </si>
  <si>
    <t>010104435C17C09A6D1533C2396F2DF37ED34AFA10D</t>
  </si>
  <si>
    <t>SS275, 300*150*6.5*9mm, 현장도착도</t>
  </si>
  <si>
    <t>36.7kg/m</t>
  </si>
  <si>
    <t>435C17C09A6D1533C2396F2DF37ED34AFA333</t>
  </si>
  <si>
    <t>010104435C17C09A6D1533C2396F2DF37ED34AFA333</t>
  </si>
  <si>
    <t>SHN275, 300*150*6.5*9mm</t>
  </si>
  <si>
    <t>435C17C09A6D1533C2396F2DF37ED34AFA345</t>
  </si>
  <si>
    <t>010104435C17C09A6D1533C2396F2DF37ED34AFA345</t>
  </si>
  <si>
    <t>SHN275, 300*150*10*15mm</t>
  </si>
  <si>
    <t>435C17C09A6D1533C2396F2DF37ED34AFA344</t>
  </si>
  <si>
    <t>010104435C17C09A6D1533C2396F2DF37ED34AFA344</t>
  </si>
  <si>
    <t>SHN275, 300*300*10*15mm</t>
  </si>
  <si>
    <t>94.0kg/m</t>
  </si>
  <si>
    <t>435C17C09A6D1533C2396F2DF37ED34AFA347</t>
  </si>
  <si>
    <t>010104435C17C09A6D1533C2396F2DF37ED34AFA347</t>
  </si>
  <si>
    <t>SS275, 400*200*8*13mm, 현장도착도</t>
  </si>
  <si>
    <t>66.0kg/m</t>
  </si>
  <si>
    <t>435C17C09A6D1533C2396F2DF37ED34AFA5FC</t>
  </si>
  <si>
    <t>010104435C17C09A6D1533C2396F2DF37ED34AFA5FC</t>
  </si>
  <si>
    <t>SHN275, 150*150*5.5*8mm</t>
  </si>
  <si>
    <t>435C17C09A6D1533C2396F2DF37ED34AFA8B1</t>
  </si>
  <si>
    <t>010104435C17C09A6D1533C2396F2DF37ED34AFA8B1</t>
  </si>
  <si>
    <t>일반구조용압연강판</t>
  </si>
  <si>
    <t>일반구조용압연강판, 19mm</t>
  </si>
  <si>
    <t>435C17C09A6D15065F0B790CBD18DA6A43207</t>
  </si>
  <si>
    <t>010104435C17C09A6D15065F0B790CBD18DA6A43207</t>
  </si>
  <si>
    <t>접합철판</t>
  </si>
  <si>
    <t>주자재의 10%</t>
  </si>
  <si>
    <t>435C17C09A6D15065F0B790C800230C447579</t>
  </si>
  <si>
    <t>010104435C17C09A6D15065F0B790C800230C447579</t>
  </si>
  <si>
    <t>각종볼트류</t>
  </si>
  <si>
    <t>톤당 40본</t>
  </si>
  <si>
    <t>본</t>
  </si>
  <si>
    <t>435C17C09A6D15065F0B790C800230C447568</t>
  </si>
  <si>
    <t>010104435C17C09A6D15065F0B790C800230C447568</t>
  </si>
  <si>
    <t>내화페인트</t>
  </si>
  <si>
    <t>2시간, 내화도료, FIREMASK, SQ-2600, 기둥</t>
  </si>
  <si>
    <t>호표 25</t>
  </si>
  <si>
    <t>4477173EA20515ED3704488E8BBF7</t>
  </si>
  <si>
    <t>0101044477173EA20515ED3704488E8BBF7</t>
  </si>
  <si>
    <t>2시간, 내화도료, FIREMASK, SQ-2500, 보</t>
  </si>
  <si>
    <t>호표 26</t>
  </si>
  <si>
    <t>4477173EA20515ED3704488E8BBF6</t>
  </si>
  <si>
    <t>0101044477173EA20515ED3704488E8BBF6</t>
  </si>
  <si>
    <t>앵커볼트</t>
  </si>
  <si>
    <t>앵커볼트, M20*600mm</t>
  </si>
  <si>
    <t>435C17D2E84615F4303C2ED46A2CC602098D3</t>
  </si>
  <si>
    <t>010104435C17D2E84615F4303C2ED46A2CC602098D3</t>
  </si>
  <si>
    <t>앵커 볼트 설치</t>
  </si>
  <si>
    <t>∮20 이하</t>
  </si>
  <si>
    <t>호표 27</t>
  </si>
  <si>
    <t>4477173EFA3715E693BD59EDD0DB2</t>
  </si>
  <si>
    <t>0101044477173EFA3715E693BD59EDD0DB2</t>
  </si>
  <si>
    <t>철골 가공 조립(표준 라멘구조)</t>
  </si>
  <si>
    <t>Rolled shape, 60ton 이상</t>
  </si>
  <si>
    <t>호표 28</t>
  </si>
  <si>
    <t>4477173EE9D11525C562206467E36</t>
  </si>
  <si>
    <t>0101044477173EE9D11525C562206467E36</t>
  </si>
  <si>
    <t>기둥밑 무수축 고름모르타르 바름</t>
  </si>
  <si>
    <t>호표 29</t>
  </si>
  <si>
    <t>4477173E87491508FFBF9E12FBFA0</t>
  </si>
  <si>
    <t>0101044477173E87491508FFBF9E12FBFA0</t>
  </si>
  <si>
    <t>철골세우기/6층미만</t>
  </si>
  <si>
    <t>강재총사용량 500ton미만, ㎡당 130kg미만</t>
  </si>
  <si>
    <t>ton</t>
  </si>
  <si>
    <t>4477173E875B154C5E9C4EACF3E6E</t>
  </si>
  <si>
    <t>0101044477173E875B154C5E9C4EACF3E6E</t>
  </si>
  <si>
    <t>고장력 볼트 본조임 - 표준단가</t>
  </si>
  <si>
    <t>30본/t 미만</t>
  </si>
  <si>
    <t>호표 30</t>
  </si>
  <si>
    <t>4477173E87D815CCA2870D0699906</t>
  </si>
  <si>
    <t>0101044477173E87D815CCA2870D0699906</t>
  </si>
  <si>
    <t>녹막이페인트(뿜칠)</t>
  </si>
  <si>
    <t>2회. 1종</t>
  </si>
  <si>
    <t>호표 31</t>
  </si>
  <si>
    <t>44771786E29515AD9F03CA1E60894</t>
  </si>
  <si>
    <t>01010444771786E29515AD9F03CA1E60894</t>
  </si>
  <si>
    <t>010105  조  적  공  사</t>
  </si>
  <si>
    <t>010105</t>
  </si>
  <si>
    <t>0.5B 벽돌쌓기</t>
  </si>
  <si>
    <t>3.6m 이하</t>
  </si>
  <si>
    <t>호표 32</t>
  </si>
  <si>
    <t>4477170B88811531A2FDB587F8C20</t>
  </si>
  <si>
    <t>0101054477170B88811531A2FDB587F8C20</t>
  </si>
  <si>
    <t>3.6m 초과</t>
  </si>
  <si>
    <t>호표 33</t>
  </si>
  <si>
    <t>4477170B88811531A2FDB587C3821</t>
  </si>
  <si>
    <t>0101054477170B88811531A2FDB587C3821</t>
  </si>
  <si>
    <t>1.0B 벽돌쌓기</t>
  </si>
  <si>
    <t>호표 34</t>
  </si>
  <si>
    <t>4477170B888115318626C22A87E03</t>
  </si>
  <si>
    <t>0101054477170B888115318626C22A87E03</t>
  </si>
  <si>
    <t>블록 보강쌓기(390*190*150)</t>
  </si>
  <si>
    <t>3.6m 초과, 한면마감, 사춤 간격 800mm</t>
  </si>
  <si>
    <t>호표 35</t>
  </si>
  <si>
    <t>4477170BB5CF152F80CB63968C3B9</t>
  </si>
  <si>
    <t>0101054477170BB5CF152F80CB63968C3B9</t>
  </si>
  <si>
    <t>블록 보강쌓기(390*190*100)</t>
  </si>
  <si>
    <t>호표 36</t>
  </si>
  <si>
    <t>4477170BB5CF152F80CB638474219</t>
  </si>
  <si>
    <t>0101054477170BB5CF152F80CB638474219</t>
  </si>
  <si>
    <t>철근콘크리트인방</t>
  </si>
  <si>
    <t>100*200</t>
  </si>
  <si>
    <t>호표 37</t>
  </si>
  <si>
    <t>4477170AB30C151DD900448AA8959</t>
  </si>
  <si>
    <t>0101054477170AB30C151DD900448AA8959</t>
  </si>
  <si>
    <t>200*200</t>
  </si>
  <si>
    <t>호표 38</t>
  </si>
  <si>
    <t>4477170AB30C151DD90071C05AFEE</t>
  </si>
  <si>
    <t>0101054477170AB30C151DD90071C05AFEE</t>
  </si>
  <si>
    <t>콘크리트방수턱</t>
  </si>
  <si>
    <t>100*100</t>
  </si>
  <si>
    <t>호표 39</t>
  </si>
  <si>
    <t>4477170AB3541516AFDFFB639E0F4</t>
  </si>
  <si>
    <t>0101054477170AB3541516AFDFFB639E0F4</t>
  </si>
  <si>
    <t>200*100</t>
  </si>
  <si>
    <t>호표 40</t>
  </si>
  <si>
    <t>4477170AB3541516AFDFCE25BE764</t>
  </si>
  <si>
    <t>0101054477170AB3541516AFDFCE25BE764</t>
  </si>
  <si>
    <t>호표 41</t>
  </si>
  <si>
    <t>4477170AB3541516B84B17D19133A</t>
  </si>
  <si>
    <t>0101054477170AB3541516B84B17D19133A</t>
  </si>
  <si>
    <t>150*100</t>
  </si>
  <si>
    <t>호표 42</t>
  </si>
  <si>
    <t>4477170AB3541516B84B17897D871</t>
  </si>
  <si>
    <t>0101054477170AB3541516B84B17897D871</t>
  </si>
  <si>
    <t>블록상부사춤</t>
  </si>
  <si>
    <t>4"*10mm</t>
  </si>
  <si>
    <t>호표 43</t>
  </si>
  <si>
    <t>4477170AB34B15BBE03BB9F9FDA72</t>
  </si>
  <si>
    <t>0101054477170AB34B15BBE03BB9F9FDA72</t>
  </si>
  <si>
    <t>6"*10mm</t>
  </si>
  <si>
    <t>호표 44</t>
  </si>
  <si>
    <t>4477170AB34B15BBE0294F5BDD148</t>
  </si>
  <si>
    <t>0101054477170AB34B15BBE0294F5BDD148</t>
  </si>
  <si>
    <t>블록메시(4"용)</t>
  </si>
  <si>
    <t>#8</t>
  </si>
  <si>
    <t>호표 45</t>
  </si>
  <si>
    <t>4477170AB37015D303D6A10A63AF4</t>
  </si>
  <si>
    <t>0101054477170AB37015D303D6A10A63AF4</t>
  </si>
  <si>
    <t>블록메시(6"용)</t>
  </si>
  <si>
    <t>호표 46</t>
  </si>
  <si>
    <t>4477170AB37015D303D6A137A982D</t>
  </si>
  <si>
    <t>0101054477170AB37015D303D6A137A982D</t>
  </si>
  <si>
    <t>보강근</t>
  </si>
  <si>
    <t>D10</t>
  </si>
  <si>
    <t>호표 47</t>
  </si>
  <si>
    <t>4477170AB37015D303E7103043738</t>
  </si>
  <si>
    <t>0101054477170AB37015D303E7103043738</t>
  </si>
  <si>
    <t>스트롱앙카설치</t>
  </si>
  <si>
    <t>3/8"</t>
  </si>
  <si>
    <t>개소</t>
  </si>
  <si>
    <t>호표 48</t>
  </si>
  <si>
    <t>4477170AB37015D303E707CB2F7B8</t>
  </si>
  <si>
    <t>0101054477170AB37015D303E707CB2F7B8</t>
  </si>
  <si>
    <t>010106  돌    공    사</t>
  </si>
  <si>
    <t>010106</t>
  </si>
  <si>
    <t>화강석붙임(습식, 잔다듬)</t>
  </si>
  <si>
    <t>바닥, 지정석 30mm, 모르타르 25mm</t>
  </si>
  <si>
    <t>호표 49</t>
  </si>
  <si>
    <t>447717BA16AF15F1D930A32C51F57</t>
  </si>
  <si>
    <t>010106447717BA16AF15F1D930A32C51F57</t>
  </si>
  <si>
    <t>바닥, 지정석 30mm, 모르타르 30mm</t>
  </si>
  <si>
    <t>호표 50</t>
  </si>
  <si>
    <t>447717BA16AF15F1D930A32C51F50</t>
  </si>
  <si>
    <t>010106447717BA16AF15F1D930A32C51F50</t>
  </si>
  <si>
    <t>인조대리석 소변기턱(습식, 물갈기)</t>
  </si>
  <si>
    <t>호표 51</t>
  </si>
  <si>
    <t>447717BA16E5156D63DB60C58DD7A</t>
  </si>
  <si>
    <t>010106447717BA16E5156D63DB60C58DD7A</t>
  </si>
  <si>
    <t>카운터-마블</t>
  </si>
  <si>
    <t>W:600</t>
  </si>
  <si>
    <t>435C17C09AE2159D1686B108044A6E3551827</t>
  </si>
  <si>
    <t>010106435C17C09AE2159D1686B108044A6E3551827</t>
  </si>
  <si>
    <t>010107  타  일  공  사</t>
  </si>
  <si>
    <t>010107</t>
  </si>
  <si>
    <t>포셀린타일</t>
  </si>
  <si>
    <t>600*600*10mm</t>
  </si>
  <si>
    <t>435C17C09A5C15DD7054AB86F9A140A1D2C90</t>
  </si>
  <si>
    <t>010107435C17C09A5C15DD7054AB86F9A140A1D2C90</t>
  </si>
  <si>
    <t>테라조타일</t>
  </si>
  <si>
    <t>테라조타일, 25mm</t>
  </si>
  <si>
    <t>435C17C09A5C15DD7054AB86F9A1529E9BBF9</t>
  </si>
  <si>
    <t>010107435C17C09A5C15DD7054AB86F9A1529E9BBF9</t>
  </si>
  <si>
    <t>자기질타일</t>
  </si>
  <si>
    <t>자기질타일, 9mm, 논슬립</t>
  </si>
  <si>
    <t>435C17C09A5C15DD7054AB86DEA822B77DE18</t>
  </si>
  <si>
    <t>010107435C17C09A5C15DD7054AB86DEA822B77DE18</t>
  </si>
  <si>
    <t>석재타일, 15mm</t>
  </si>
  <si>
    <t>435C17C09A5C15DD7054AB86F9CDEFBD16B54</t>
  </si>
  <si>
    <t>010107435C17C09A5C15DD7054AB86F9CDEFBD16B54</t>
  </si>
  <si>
    <t>모르타르 바름</t>
  </si>
  <si>
    <t>내벽, 17mm, 3.6m 이하</t>
  </si>
  <si>
    <t>호표 52</t>
  </si>
  <si>
    <t>4477171A1F161508E2B76DD8DEB37</t>
  </si>
  <si>
    <t>0101074477171A1F161508E2B76DD8DEB37</t>
  </si>
  <si>
    <t>바닥, 25mm</t>
  </si>
  <si>
    <t>호표 53</t>
  </si>
  <si>
    <t>4477171A1F16152B9568C9D66B7A1</t>
  </si>
  <si>
    <t>0101074477171A1F16152B9568C9D66B7A1</t>
  </si>
  <si>
    <t>바닥, 30mm</t>
  </si>
  <si>
    <t>호표 54</t>
  </si>
  <si>
    <t>4477171A1F16152B9568C9D6759AA</t>
  </si>
  <si>
    <t>0101074477171A1F16152B9568C9D6759AA</t>
  </si>
  <si>
    <t>바닥, 40mm</t>
  </si>
  <si>
    <t>호표 55</t>
  </si>
  <si>
    <t>4477171A1F16152B9568C9D602935</t>
  </si>
  <si>
    <t>0101074477171A1F16152B9568C9D602935</t>
  </si>
  <si>
    <t>바닥, 43mm</t>
  </si>
  <si>
    <t>호표 56</t>
  </si>
  <si>
    <t>4477171A1F16152B9568C9D602937</t>
  </si>
  <si>
    <t>0101074477171A1F16152B9568C9D602937</t>
  </si>
  <si>
    <t>바닥, 45mm</t>
  </si>
  <si>
    <t>호표 57</t>
  </si>
  <si>
    <t>4477171A1F16152B9568C9D602930</t>
  </si>
  <si>
    <t>0101074477171A1F16152B9568C9D602930</t>
  </si>
  <si>
    <t>바닥, 50mm</t>
  </si>
  <si>
    <t>호표 58</t>
  </si>
  <si>
    <t>4477171A1F16152B9568C9D60293D</t>
  </si>
  <si>
    <t>0101074477171A1F16152B9568C9D60293D</t>
  </si>
  <si>
    <t>바닥, 56mm</t>
  </si>
  <si>
    <t>호표 59</t>
  </si>
  <si>
    <t>4477171A1F16152B9568C9D60282C</t>
  </si>
  <si>
    <t>0101074477171A1F16152B9568C9D60282C</t>
  </si>
  <si>
    <t>바닥, 66mm</t>
  </si>
  <si>
    <t>호표 60</t>
  </si>
  <si>
    <t>4477171A1F16152B9568C9D602827</t>
  </si>
  <si>
    <t>0101074477171A1F16152B9568C9D602827</t>
  </si>
  <si>
    <t>바닥, 191mm</t>
  </si>
  <si>
    <t>호표 61</t>
  </si>
  <si>
    <t>4477171A1F16152B9568C9D602F54</t>
  </si>
  <si>
    <t>0101074477171A1F16152B9568C9D602F54</t>
  </si>
  <si>
    <t>타일 압착붙이기 / 벽면</t>
  </si>
  <si>
    <t>0.11-0.20㎡이하</t>
  </si>
  <si>
    <t>447717BA271E15F2751605C6A23B4</t>
  </si>
  <si>
    <t>010107447717BA271E15F2751605C6A23B4</t>
  </si>
  <si>
    <t>타일 압착붙이기 / 바닥면</t>
  </si>
  <si>
    <t>447717BA273915D8339F2C8F7D525</t>
  </si>
  <si>
    <t>010107447717BA273915D8339F2C8F7D525</t>
  </si>
  <si>
    <t>010108  목공사및수장공사</t>
  </si>
  <si>
    <t>010108</t>
  </si>
  <si>
    <t>비닐타일 깔기</t>
  </si>
  <si>
    <t>비닐타일, 3.0</t>
  </si>
  <si>
    <t>호표 62</t>
  </si>
  <si>
    <t>44771795710515D304B4A2B6DEB1A</t>
  </si>
  <si>
    <t>01010844771795710515D304B4A2B6DEB1A</t>
  </si>
  <si>
    <t>비닐시트 깔기</t>
  </si>
  <si>
    <t>비닐시트, 2.2</t>
  </si>
  <si>
    <t>호표 63</t>
  </si>
  <si>
    <t>44771795710515D31508F2D586151</t>
  </si>
  <si>
    <t>01010844771795710515D31508F2D586151</t>
  </si>
  <si>
    <t>고탄성스포츠바닥재</t>
  </si>
  <si>
    <t>6.5T*1800*18M</t>
  </si>
  <si>
    <t>호표 64</t>
  </si>
  <si>
    <t>44771795710515D304AA44BBD35FA</t>
  </si>
  <si>
    <t>01010844771795710515D304AA44BBD35FA</t>
  </si>
  <si>
    <t>카펫타일</t>
  </si>
  <si>
    <t>7.5T*500*500</t>
  </si>
  <si>
    <t>435C17C09A0415BD1C2783FCFDB0F79287630</t>
  </si>
  <si>
    <t>010108435C17C09A0415BD1C2783FCFDB0F79287630</t>
  </si>
  <si>
    <t>ACCESS Floor</t>
  </si>
  <si>
    <t>28T*600*600 (3T 전도성 일체형)</t>
  </si>
  <si>
    <t>시공도</t>
  </si>
  <si>
    <t>435C17C09A0415BD1C318758EB0CCE02E3F7C</t>
  </si>
  <si>
    <t>010108435C17C09A0415BD1C318758EB0CCE02E3F7C</t>
  </si>
  <si>
    <t>알루미늄천장재</t>
  </si>
  <si>
    <t>알루미늄천장재(외부필로티)</t>
  </si>
  <si>
    <t>435C17C09A0415BD03BE584CC90789FCA2CC2</t>
  </si>
  <si>
    <t>010108435C17C09A0415BD03BE584CC90789FCA2CC2</t>
  </si>
  <si>
    <t>알루미늄천장재(600*600*0.7)</t>
  </si>
  <si>
    <t>435C17C09A0415BD03BE584CC90789FCA2CC3</t>
  </si>
  <si>
    <t>010108435C17C09A0415BD03BE584CC90789FCA2CC3</t>
  </si>
  <si>
    <t>마루귀틀 설치</t>
  </si>
  <si>
    <t>호표 65</t>
  </si>
  <si>
    <t>447717F3F3A1151934DA25ED91BD9</t>
  </si>
  <si>
    <t>010108447717F3F3A1151934DA25ED91BD9</t>
  </si>
  <si>
    <t>흡음뿜칠</t>
  </si>
  <si>
    <t>내천장, 10mm, 불연</t>
  </si>
  <si>
    <t>호표 66</t>
  </si>
  <si>
    <t>44771786C7DA1583536CE1D8F1311</t>
  </si>
  <si>
    <t>01010844771786C7DA1583536CE1D8F1311</t>
  </si>
  <si>
    <t>걸레받이설치</t>
  </si>
  <si>
    <t>9×80, MDF위 비닐시트</t>
  </si>
  <si>
    <t>노무비 50.9%</t>
  </si>
  <si>
    <t>44771795AE4F1598EBC10630C5DA5</t>
  </si>
  <si>
    <t>01010844771795AE4F1598EBC10630C5DA5</t>
  </si>
  <si>
    <t>합지벽 설치</t>
  </si>
  <si>
    <t>T80,PF보드70T+석고 9.5T</t>
  </si>
  <si>
    <t>호표 67</t>
  </si>
  <si>
    <t>44771795561D15852516480E28432</t>
  </si>
  <si>
    <t>01010844771795561D15852516480E28432</t>
  </si>
  <si>
    <t>압출발포폴리스티렌 콘크리트타설 부착</t>
  </si>
  <si>
    <t>비중 0.03, 90mm</t>
  </si>
  <si>
    <t>호표 68</t>
  </si>
  <si>
    <t>447717952AE3158ADFAF31D8E52AB</t>
  </si>
  <si>
    <t>010108447717952AE3158ADFAF31D8E52AB</t>
  </si>
  <si>
    <t>비중 0.03, 135mm</t>
  </si>
  <si>
    <t>호표 69</t>
  </si>
  <si>
    <t>447717952AE3158ADFAF31D8F60CA</t>
  </si>
  <si>
    <t>010108447717952AE3158ADFAF31D8F60CA</t>
  </si>
  <si>
    <t>비중 0.03, 190mm</t>
  </si>
  <si>
    <t>호표 70</t>
  </si>
  <si>
    <t>447717952AE3158ADFAF31D8F60CB</t>
  </si>
  <si>
    <t>010108447717952AE3158ADFAF31D8F60CB</t>
  </si>
  <si>
    <t>압출발포폴리스티렌 슬래브 위 깔기</t>
  </si>
  <si>
    <t>비중 0.025, 135mm</t>
  </si>
  <si>
    <t>호표 71</t>
  </si>
  <si>
    <t>447717952AE315A5F35C45276C58B</t>
  </si>
  <si>
    <t>010108447717952AE315A5F35C45276C58B</t>
  </si>
  <si>
    <t>호표 72</t>
  </si>
  <si>
    <t>447717952AE315A5F35C726D47E8C</t>
  </si>
  <si>
    <t>010108447717952AE315A5F35C726D47E8C</t>
  </si>
  <si>
    <t>방습필름 설치 - 바닥</t>
  </si>
  <si>
    <t>폴리에틸렌필름, 두께, 0.03mm, 2겹</t>
  </si>
  <si>
    <t>호표 73</t>
  </si>
  <si>
    <t>447717952AC015A962881635BB7B7</t>
  </si>
  <si>
    <t>010108447717952AC015A962881635BB7B7</t>
  </si>
  <si>
    <t>도배바름(콘크리트·모르타르면)</t>
  </si>
  <si>
    <t>벽, 방염벽지</t>
  </si>
  <si>
    <t>호표 74</t>
  </si>
  <si>
    <t>4477179545C915473AB9AB5D5B129</t>
  </si>
  <si>
    <t>0101084477179545C915473AB9AB5D5B129</t>
  </si>
  <si>
    <t>도배바름(합판·석고보드면)</t>
  </si>
  <si>
    <t>천장, 방염천정지</t>
  </si>
  <si>
    <t>호표 75</t>
  </si>
  <si>
    <t>4477179545C9154728597DE1F5F8E</t>
  </si>
  <si>
    <t>0101084477179545C9154728597DE1F5F8E</t>
  </si>
  <si>
    <t>층간방화구획</t>
  </si>
  <si>
    <t>CFS SP-WB Spray</t>
  </si>
  <si>
    <t>호표 76</t>
  </si>
  <si>
    <t>447717957143153032287560B8B95</t>
  </si>
  <si>
    <t>010108447717957143153032287560B8B95</t>
  </si>
  <si>
    <t>45C61727F3E315DA92B49D6357B297EA43345</t>
  </si>
  <si>
    <t>01010845C61727F3E315DA92B49D6357B297EA43345</t>
  </si>
  <si>
    <t>[샤워칸막이] (도급)</t>
  </si>
  <si>
    <t>45C61727F3E315DA92B49D6357B297EA43341</t>
  </si>
  <si>
    <t>01010845C61727F3E315DA92B49D6357B297EA43341</t>
  </si>
  <si>
    <t>1.샤워칸막이공사 (도급)</t>
  </si>
  <si>
    <t>THK:8T</t>
  </si>
  <si>
    <t>45C61727F3E315DA92B49D6357B297F48E9AB</t>
  </si>
  <si>
    <t>01010845C61727F3E315DA92B49D6357B297F48E9AB</t>
  </si>
  <si>
    <t>45C61727F3E315DA92B49D6357B297EA43343</t>
  </si>
  <si>
    <t>01010845C61727F3E315DA92B49D6357B297EA43343</t>
  </si>
  <si>
    <t>[무빙월]</t>
  </si>
  <si>
    <t>45C61727F3E315DA92B49D6357B297EA432BF</t>
  </si>
  <si>
    <t>01010845C61727F3E315DA92B49D6357B297EA432BF</t>
  </si>
  <si>
    <t>무빙월 1F 구급전문시뮬레이션</t>
  </si>
  <si>
    <t>7,800 * 2,700 (8장)</t>
  </si>
  <si>
    <t>45C61727F3E315DA92B49D6357B297EA432BC</t>
  </si>
  <si>
    <t>01010845C61727F3E315DA92B49D6357B297EA432BC</t>
  </si>
  <si>
    <t>무빙월 2F 분임토의실-1</t>
  </si>
  <si>
    <t>6,600 * 2,700 (7장) * 2개소</t>
  </si>
  <si>
    <t>45C61727F3E315DA92B49D6357B297EA5D8C7</t>
  </si>
  <si>
    <t>01010845C61727F3E315DA92B49D6357B297EA5D8C7</t>
  </si>
  <si>
    <t>무빙월 2F 분임토의실-2</t>
  </si>
  <si>
    <t>5,400 * 2,700 (6장)</t>
  </si>
  <si>
    <t>45C61727F3E315DA92B49D6357B297EA5D8C8</t>
  </si>
  <si>
    <t>01010845C61727F3E315DA92B49D6357B297EA5D8C8</t>
  </si>
  <si>
    <t>45C61727F3E315DA92B49D6357B297EAC0998</t>
  </si>
  <si>
    <t>01010845C61727F3E315DA92B49D6357B297EAC0998</t>
  </si>
  <si>
    <t>[수난구조훈련장]</t>
  </si>
  <si>
    <t>45C61727F3E315DA92B49D6357B297EAC099B</t>
  </si>
  <si>
    <t>01010845C61727F3E315DA92B49D6357B297EAC099B</t>
  </si>
  <si>
    <t>1. 제상2층 체육활동장 공사</t>
  </si>
  <si>
    <t>45C61727F3E315DA92B49D6357B297EAC099A</t>
  </si>
  <si>
    <t>01010845C61727F3E315DA92B49D6357B297EAC099A</t>
  </si>
  <si>
    <t>1) 바닥공사</t>
  </si>
  <si>
    <t>45C61727F3E315DA92B49D6357B297EAC08F7</t>
  </si>
  <si>
    <t>01010845C61727F3E315DA92B49D6357B297EAC08F7</t>
  </si>
  <si>
    <t>합판깔기</t>
  </si>
  <si>
    <t>T15, 1겹</t>
  </si>
  <si>
    <t>45C61727F3E315DA92B49D6357B297EAC08F5</t>
  </si>
  <si>
    <t>01010845C61727F3E315DA92B49D6357B297EAC08F5</t>
  </si>
  <si>
    <t>환기형걸레받이</t>
  </si>
  <si>
    <t>라왕 35*45, 24*24</t>
  </si>
  <si>
    <t>45C61727F3E315DA92B49D6357B297EAC0B4F</t>
  </si>
  <si>
    <t>01010845C61727F3E315DA92B49D6357B297EAC0B4F</t>
  </si>
  <si>
    <t>45C61727F3E315DA92B49D6357B297EAC0B4E</t>
  </si>
  <si>
    <t>01010845C61727F3E315DA92B49D6357B297EAC0B4E</t>
  </si>
  <si>
    <t>2) 벽체공사</t>
  </si>
  <si>
    <t>45C61727F3E315DA92B49D6357B297EAC0B4D</t>
  </si>
  <si>
    <t>01010845C61727F3E315DA92B49D6357B297EAC0B4D</t>
  </si>
  <si>
    <t>고무안전리브</t>
  </si>
  <si>
    <t>T25, H=2,100</t>
  </si>
  <si>
    <t>45C61727F3E315DA92B49D6357B297EAC0B4C</t>
  </si>
  <si>
    <t>01010845C61727F3E315DA92B49D6357B297EAC0B4C</t>
  </si>
  <si>
    <t>목재 몰딩 설치</t>
  </si>
  <si>
    <t>라왕 35*40, 락카</t>
  </si>
  <si>
    <t>45C61727F3E315DA92B49D6357B297EAC0B43</t>
  </si>
  <si>
    <t>01010845C61727F3E315DA92B49D6357B297EAC0B43</t>
  </si>
  <si>
    <t>45C61727F3E315DA92B49D6357B297EAC0AA4</t>
  </si>
  <si>
    <t>01010845C61727F3E315DA92B49D6357B297EAC0AA4</t>
  </si>
  <si>
    <t>[수난구조훈련장-파우더룸]</t>
  </si>
  <si>
    <t>45C61727F3E315DA92B49D6357B297EAC0AA5</t>
  </si>
  <si>
    <t>01010845C61727F3E315DA92B49D6357B297EAC0AA5</t>
  </si>
  <si>
    <t>1) 가구공사</t>
  </si>
  <si>
    <t>45C61727F3E315DA92B49D6357B297EAC0AA6</t>
  </si>
  <si>
    <t>01010845C61727F3E315DA92B49D6357B297EAC0AA6</t>
  </si>
  <si>
    <t>1F 파우더룸(여)</t>
  </si>
  <si>
    <t>2600*500*900</t>
  </si>
  <si>
    <t>45C61727F3E315DA92B49D6357B297EAC0AA7</t>
  </si>
  <si>
    <t>01010845C61727F3E315DA92B49D6357B297EAC0AA7</t>
  </si>
  <si>
    <t>1F 파우더룸(남)</t>
  </si>
  <si>
    <t>3500+2000*500*900</t>
  </si>
  <si>
    <t>45C61727F3E315DA92B49D6357B297EAC0AA0</t>
  </si>
  <si>
    <t>01010845C61727F3E315DA92B49D6357B297EAC0AA0</t>
  </si>
  <si>
    <t>1F 상부장(남)</t>
  </si>
  <si>
    <t>500*600*1000</t>
  </si>
  <si>
    <t>45C61727F3E315DA92B49D6357B297EAC0AA1</t>
  </si>
  <si>
    <t>01010845C61727F3E315DA92B49D6357B297EAC0AA1</t>
  </si>
  <si>
    <t>3F 파우더(여)</t>
  </si>
  <si>
    <t>1020*500*900</t>
  </si>
  <si>
    <t>45C61727F3E315DA92B49D6357B297EAC0AA2</t>
  </si>
  <si>
    <t>01010845C61727F3E315DA92B49D6357B297EAC0AA2</t>
  </si>
  <si>
    <t>3F 파우더(남)</t>
  </si>
  <si>
    <t>2220*500*900</t>
  </si>
  <si>
    <t>45C61727F3E315DA92B49D6357B297EAC0AA3</t>
  </si>
  <si>
    <t>01010845C61727F3E315DA92B49D6357B297EAC0AA3</t>
  </si>
  <si>
    <t>45C61727F3E315DA92B49D6357B297EAC0D7F</t>
  </si>
  <si>
    <t>01010845C61727F3E315DA92B49D6357B297EAC0D7F</t>
  </si>
  <si>
    <t>[수난구조훈련장 수영장공사]</t>
  </si>
  <si>
    <t>45C61727F3E315DA92B49D6357B297EAC0D70</t>
  </si>
  <si>
    <t>01010845C61727F3E315DA92B49D6357B297EAC0D70</t>
  </si>
  <si>
    <t>1. 수영장 공사</t>
  </si>
  <si>
    <t>45C61727F3E315DA92B49D6357B297EAC0D71</t>
  </si>
  <si>
    <t>01010845C61727F3E315DA92B49D6357B297EAC0D71</t>
  </si>
  <si>
    <t>1) 성인풀/잠수풀</t>
  </si>
  <si>
    <t>대한수영연맹공인제품</t>
  </si>
  <si>
    <t>45C61727F3E315DA92B49D6357B297EAC0C51</t>
  </si>
  <si>
    <t>01010845C61727F3E315DA92B49D6357B297EAC0C51</t>
  </si>
  <si>
    <t>손잡이타일(HMT-007)</t>
  </si>
  <si>
    <t>244*119*25</t>
  </si>
  <si>
    <t>45C61727F3E315DA92B49D6357B297EAC0C50</t>
  </si>
  <si>
    <t>01010845C61727F3E315DA92B49D6357B297EAC0C50</t>
  </si>
  <si>
    <t>수영장골타일(HMT-0011)</t>
  </si>
  <si>
    <t>244*119*8</t>
  </si>
  <si>
    <t>45C61727F3E315DA92B49D6357B297EAC0C53</t>
  </si>
  <si>
    <t>01010845C61727F3E315DA92B49D6357B297EAC0C53</t>
  </si>
  <si>
    <t>트렌치내부타일(HMT-2088)</t>
  </si>
  <si>
    <t>245*120*8.5</t>
  </si>
  <si>
    <t>45C61727F3E315DA92B49D6357B297EAC0C52</t>
  </si>
  <si>
    <t>01010845C61727F3E315DA92B49D6357B297EAC0C52</t>
  </si>
  <si>
    <t>트렌치지지대(HMT-004)</t>
  </si>
  <si>
    <t>2000*35*25*15</t>
  </si>
  <si>
    <t>45C61727F3E315DA92B49D6357B297EAC0C55</t>
  </si>
  <si>
    <t>01010845C61727F3E315DA92B49D6357B297EAC0C55</t>
  </si>
  <si>
    <t>입수용사다리(5M)</t>
  </si>
  <si>
    <t>제작(입수용사다리금구포함)</t>
  </si>
  <si>
    <t>45C61727F3E315DA92B49D6357B297EAC0C54</t>
  </si>
  <si>
    <t>01010845C61727F3E315DA92B49D6357B297EAC0C54</t>
  </si>
  <si>
    <t>입수용사다리(2M)</t>
  </si>
  <si>
    <t>45C61727F3E315DA92B49D6357B297EAC0C57</t>
  </si>
  <si>
    <t>01010845C61727F3E315DA92B49D6357B297EAC0C57</t>
  </si>
  <si>
    <t>입수용사다리(3M)</t>
  </si>
  <si>
    <t>45C61727F3E315DA92B49D6357B297EAC0C56</t>
  </si>
  <si>
    <t>01010845C61727F3E315DA92B49D6357B297EAC0C56</t>
  </si>
  <si>
    <t>폴리우레아</t>
  </si>
  <si>
    <t>(관급)</t>
  </si>
  <si>
    <t>45C61727F3E315DA92B49D6357B297EAC0C59</t>
  </si>
  <si>
    <t>01010845C61727F3E315DA92B49D6357B297EAC0C59</t>
  </si>
  <si>
    <t>45C61727F3E315DA92B49D6357B297EAC0C58</t>
  </si>
  <si>
    <t>01010845C61727F3E315DA92B49D6357B297EAC0C58</t>
  </si>
  <si>
    <t>4) DECK 및 주벽체</t>
  </si>
  <si>
    <t>45C61727F3E315DA92B49D6357B297EAC0F26</t>
  </si>
  <si>
    <t>01010845C61727F3E315DA92B49D6357B297EAC0F26</t>
  </si>
  <si>
    <t>DECK논스립타일(HMN-17)</t>
  </si>
  <si>
    <t>370*245*9</t>
  </si>
  <si>
    <t>45C61727F3E315DA92B49D6357B297EAC0F27</t>
  </si>
  <si>
    <t>01010845C61727F3E315DA92B49D6357B297EAC0F27</t>
  </si>
  <si>
    <t>주벽체타일</t>
  </si>
  <si>
    <t>300*300</t>
  </si>
  <si>
    <t>45C61727F3E315DA92B49D6357B297EAC0F24</t>
  </si>
  <si>
    <t>01010845C61727F3E315DA92B49D6357B297EAC0F24</t>
  </si>
  <si>
    <t>45C61727F3E315DA92B49D6357B297EAC0F25</t>
  </si>
  <si>
    <t>01010845C61727F3E315DA92B49D6357B297EAC0F25</t>
  </si>
  <si>
    <t>6) 수영장타일 붙이기</t>
  </si>
  <si>
    <t>45C61727F3E315DA92B49D6357B297EAC0F22</t>
  </si>
  <si>
    <t>01010845C61727F3E315DA92B49D6357B297EAC0F22</t>
  </si>
  <si>
    <t>손잡이타일붙이기</t>
  </si>
  <si>
    <t>45C61727F3E315DA92B49D6357B297EAC0F23</t>
  </si>
  <si>
    <t>01010845C61727F3E315DA92B49D6357B297EAC0F23</t>
  </si>
  <si>
    <t>수영장골타일붙이기</t>
  </si>
  <si>
    <t>45C61727F3E315DA92B49D6357B297EAC0F20</t>
  </si>
  <si>
    <t>01010845C61727F3E315DA92B49D6357B297EAC0F20</t>
  </si>
  <si>
    <t>트렌치타일붙이기</t>
  </si>
  <si>
    <t>45C61727F3E315DA92B49D6357B297EAC0F21</t>
  </si>
  <si>
    <t>01010845C61727F3E315DA92B49D6357B297EAC0F21</t>
  </si>
  <si>
    <t>트렌치지지대붙이기</t>
  </si>
  <si>
    <t>45C61727F3E315DA92B49D6357B297EAC0F2E</t>
  </si>
  <si>
    <t>01010845C61727F3E315DA92B49D6357B297EAC0F2E</t>
  </si>
  <si>
    <t>DECK논스립타일붙이기</t>
  </si>
  <si>
    <t>45C61727F3E315DA92B49D6357B297EAC0F2F</t>
  </si>
  <si>
    <t>01010845C61727F3E315DA92B49D6357B297EAC0F2F</t>
  </si>
  <si>
    <t>주벽체타일붙이기</t>
  </si>
  <si>
    <t>45C61727F3E315DA92B49D6357B297EAC0E1F</t>
  </si>
  <si>
    <t>01010845C61727F3E315DA92B49D6357B297EAC0E1F</t>
  </si>
  <si>
    <t>45C61727F3E315DA92B49D6357B297EAC0E1E</t>
  </si>
  <si>
    <t>01010845C61727F3E315DA92B49D6357B297EAC0E1E</t>
  </si>
  <si>
    <t>5) 미장공사</t>
  </si>
  <si>
    <t>45C61727F3E315DA92B49D6357B297EAC0E1D</t>
  </si>
  <si>
    <t>01010845C61727F3E315DA92B49D6357B297EAC0E1D</t>
  </si>
  <si>
    <t>바탕면고르기(바닥)</t>
  </si>
  <si>
    <t>두께 24mm 이하기준</t>
  </si>
  <si>
    <t>45C61727F3E315DA92B49D6357B297EAC0E1C</t>
  </si>
  <si>
    <t>01010845C61727F3E315DA92B49D6357B297EAC0E1C</t>
  </si>
  <si>
    <t>바탕면고르기(벽체)</t>
  </si>
  <si>
    <t>두께 48mm 이하기준</t>
  </si>
  <si>
    <t>45C61727F3E315DA92B49D6357B297EAC0E1B</t>
  </si>
  <si>
    <t>01010845C61727F3E315DA92B49D6357B297EAC0E1B</t>
  </si>
  <si>
    <t>바닥신축줄눈</t>
  </si>
  <si>
    <t>45C61727F3E315DA92B49D6357B297EAC0E1A</t>
  </si>
  <si>
    <t>01010845C61727F3E315DA92B49D6357B297EAC0E1A</t>
  </si>
  <si>
    <t>45C61727F3E315DA92B49D6357B297EAC0E19</t>
  </si>
  <si>
    <t>01010845C61727F3E315DA92B49D6357B297EAC0E19</t>
  </si>
  <si>
    <t>6) 부자재</t>
  </si>
  <si>
    <t>45C61727F3E315DA92B49D6357B297EAC0E18</t>
  </si>
  <si>
    <t>01010845C61727F3E315DA92B49D6357B297EAC0E18</t>
  </si>
  <si>
    <t>압착시멘트</t>
  </si>
  <si>
    <t>25KG</t>
  </si>
  <si>
    <t>포</t>
  </si>
  <si>
    <t>45C61727F3E315DA92B49D6357B297EAC0E17</t>
  </si>
  <si>
    <t>01010845C61727F3E315DA92B49D6357B297EAC0E17</t>
  </si>
  <si>
    <t>줄눈시멘트</t>
  </si>
  <si>
    <t>45C61727F3E315DA92B49D6357B297EAC0E16</t>
  </si>
  <si>
    <t>01010845C61727F3E315DA92B49D6357B297EAC0E16</t>
  </si>
  <si>
    <t>몰탈접착제</t>
  </si>
  <si>
    <t>18KG</t>
  </si>
  <si>
    <t>캔</t>
  </si>
  <si>
    <t>45C61727F3E315DA92B49D6357B297EAC0147</t>
  </si>
  <si>
    <t>01010845C61727F3E315DA92B49D6357B297EAC0147</t>
  </si>
  <si>
    <t>FIBER-GLASS</t>
  </si>
  <si>
    <t>45C61727F3E315DA92B49D6357B297EAC0146</t>
  </si>
  <si>
    <t>01010845C61727F3E315DA92B49D6357B297EAC0146</t>
  </si>
  <si>
    <t>크렉보강용메쉬</t>
  </si>
  <si>
    <t>#1000</t>
  </si>
  <si>
    <t>45C61727F3E315DA92B49D6357B297EAC0145</t>
  </si>
  <si>
    <t>01010845C61727F3E315DA92B49D6357B297EAC0145</t>
  </si>
  <si>
    <t>45C61727F3E315DA92B49D6357B297EAC0144</t>
  </si>
  <si>
    <t>01010845C61727F3E315DA92B49D6357B297EAC0144</t>
  </si>
  <si>
    <t>2. 수영장 천장공사</t>
  </si>
  <si>
    <t>45C61727F3E315DA92B49D6357B297EAC0143</t>
  </si>
  <si>
    <t>01010845C61727F3E315DA92B49D6357B297EAC0143</t>
  </si>
  <si>
    <t>경량철골천장틀</t>
  </si>
  <si>
    <t>M-BAR, 1M 이상</t>
  </si>
  <si>
    <t>45C61727F3E315DA92B49D6357B297EAC0142</t>
  </si>
  <si>
    <t>01010845C61727F3E315DA92B49D6357B297EAC0142</t>
  </si>
  <si>
    <t>열가소성수지천장재</t>
  </si>
  <si>
    <t>600*600</t>
  </si>
  <si>
    <t>45C61727F3E315DA92B49D6357B297EAC0141</t>
  </si>
  <si>
    <t>01010845C61727F3E315DA92B49D6357B297EAC0141</t>
  </si>
  <si>
    <t>PVC 몰딩설치</t>
  </si>
  <si>
    <t>ㄷ형, 15*15*1.0mm</t>
  </si>
  <si>
    <t>45C61727F3E315DA92B49D6357B297EAC0140</t>
  </si>
  <si>
    <t>01010845C61727F3E315DA92B49D6357B297EAC0140</t>
  </si>
  <si>
    <t>45C61727F3E315DA92B49D6357B297F48EB5B</t>
  </si>
  <si>
    <t>01010845C61727F3E315DA92B49D6357B297F48EB5B</t>
  </si>
  <si>
    <t>[석고보드-천정]</t>
  </si>
  <si>
    <t>45C61727F3E315DA92B49D6357B297F48EB5A</t>
  </si>
  <si>
    <t>01010845C61727F3E315DA92B49D6357B297F48EB5A</t>
  </si>
  <si>
    <t>석고판(나사고정) 설치</t>
  </si>
  <si>
    <t>천장,12.5T 2겹(일반석고보드)</t>
  </si>
  <si>
    <t>호표 77</t>
  </si>
  <si>
    <t>44771795561D158514A72C96F4E8A</t>
  </si>
  <si>
    <t>01010844771795561D158514A72C96F4E8A</t>
  </si>
  <si>
    <t>천장,12.5T 1겹(유공흡음석고보드)</t>
  </si>
  <si>
    <t>호표 78</t>
  </si>
  <si>
    <t>44771795561D158514A72C96F4A12</t>
  </si>
  <si>
    <t>01010844771795561D158514A72C96F4A12</t>
  </si>
  <si>
    <t>45C61727F3E315DA92B49D6357B297F48E9A8</t>
  </si>
  <si>
    <t>01010845C61727F3E315DA92B49D6357B297F48E9A8</t>
  </si>
  <si>
    <t>[석고보드-벽]</t>
  </si>
  <si>
    <t>45C61727F3E315DA92B49D6357B297F48E9A9</t>
  </si>
  <si>
    <t>01010845C61727F3E315DA92B49D6357B297F48E9A9</t>
  </si>
  <si>
    <t>DF1s</t>
  </si>
  <si>
    <t>150T , 내화 1.5시간 건식벽체 셔터상부</t>
  </si>
  <si>
    <t>45C61727F3E315DA92B49D6357B297F48E9A7</t>
  </si>
  <si>
    <t>01010845C61727F3E315DA92B49D6357B297F48E9A7</t>
  </si>
  <si>
    <t>DS2</t>
  </si>
  <si>
    <t>200T , 차음2등급-내화1.5시간 건식벽체</t>
  </si>
  <si>
    <t>45C61727F3E315DA92B49D6357B297F48E885</t>
  </si>
  <si>
    <t>01010845C61727F3E315DA92B49D6357B297F48E885</t>
  </si>
  <si>
    <t>DS3</t>
  </si>
  <si>
    <t>200T , 차음3등급 건식벽체</t>
  </si>
  <si>
    <t>45C61727F3E315DA92B49D6357B297F48E884</t>
  </si>
  <si>
    <t>01010845C61727F3E315DA92B49D6357B297F48E884</t>
  </si>
  <si>
    <t>DS4</t>
  </si>
  <si>
    <t>200T , 차음2등급 건식벽체 칸막이상부</t>
  </si>
  <si>
    <t>45C61727F3E315DA92B49D6357B297F48E883</t>
  </si>
  <si>
    <t>01010845C61727F3E315DA92B49D6357B297F48E883</t>
  </si>
  <si>
    <t>DS5</t>
  </si>
  <si>
    <t>210T , 차음2등급 건식벽체</t>
  </si>
  <si>
    <t>45C61727F3E315DA92B49D6357B297F48E882</t>
  </si>
  <si>
    <t>01010845C61727F3E315DA92B49D6357B297F48E882</t>
  </si>
  <si>
    <t>D2</t>
  </si>
  <si>
    <t>200T , 일반 건식벽체</t>
  </si>
  <si>
    <t>45C61727F3E315DA92B49D6357B297F48E880</t>
  </si>
  <si>
    <t>01010845C61727F3E315DA92B49D6357B297F48E880</t>
  </si>
  <si>
    <t>D3</t>
  </si>
  <si>
    <t>210T , 일반 건식벽체</t>
  </si>
  <si>
    <t>45C61727F3E315DA92B49D6357B297F48E88F</t>
  </si>
  <si>
    <t>01010845C61727F3E315DA92B49D6357B297F48E88F</t>
  </si>
  <si>
    <t>DL1</t>
  </si>
  <si>
    <t>100T , 일반 건식벽체</t>
  </si>
  <si>
    <t>45C61727F3E315DA92B49D6357B297F48E88E</t>
  </si>
  <si>
    <t>01010845C61727F3E315DA92B49D6357B297F48E88E</t>
  </si>
  <si>
    <t>D4</t>
  </si>
  <si>
    <t>규산염시멘트보드(불연재)</t>
  </si>
  <si>
    <t>호표 79</t>
  </si>
  <si>
    <t>44771795561D15852516480E28437</t>
  </si>
  <si>
    <t>01010844771795561D15852516480E28437</t>
  </si>
  <si>
    <t>45C61727F3E315DA92B49D6357B297CF650EF</t>
  </si>
  <si>
    <t>01010845C61727F3E315DA92B49D6357B297CF650EF</t>
  </si>
  <si>
    <t>[PF단열재]</t>
  </si>
  <si>
    <t>45C61727F3E315DA92B49D6357B297CF650EE</t>
  </si>
  <si>
    <t>01010845C61727F3E315DA92B49D6357B297CF650EE</t>
  </si>
  <si>
    <t>페놀폼 단열재</t>
  </si>
  <si>
    <t>Z:IN PF보드 70T</t>
  </si>
  <si>
    <t>45C61727F3E315DA92B49D6357B297CF650E9</t>
  </si>
  <si>
    <t>01010845C61727F3E315DA92B49D6357B297CF650E9</t>
  </si>
  <si>
    <t>페놀폼 달열재</t>
  </si>
  <si>
    <t>Z:IN PF보드 100T 준불연CORE</t>
  </si>
  <si>
    <t>45C61727F3E315DA92B49D6357B297CF650E8</t>
  </si>
  <si>
    <t>01010845C61727F3E315DA92B49D6357B297CF650E8</t>
  </si>
  <si>
    <t>010109  방  수  공  사</t>
  </si>
  <si>
    <t>010109</t>
  </si>
  <si>
    <t>우레탄 복합방수</t>
  </si>
  <si>
    <t>바닥, 비노출</t>
  </si>
  <si>
    <t>45C61727F3E315DA92B49D6357B297CF4A892</t>
  </si>
  <si>
    <t>01010945C61727F3E315DA92B49D6357B297CF4A892</t>
  </si>
  <si>
    <t>벽체, 비노출</t>
  </si>
  <si>
    <t>45C61727F3E315DA92B49D6357B297CF4A893</t>
  </si>
  <si>
    <t>01010945C61727F3E315DA92B49D6357B297CF4A893</t>
  </si>
  <si>
    <t>우리텐 복합방수</t>
  </si>
  <si>
    <t>바닥, 노출</t>
  </si>
  <si>
    <t>45C61727F3E315DA92B49D6357B297CF4A9A8</t>
  </si>
  <si>
    <t>01010945C61727F3E315DA92B49D6357B297CF4A9A8</t>
  </si>
  <si>
    <t>우레탄 도막방수</t>
  </si>
  <si>
    <t>45C61727F3E315DA92B49D6357B297CF4A9A3</t>
  </si>
  <si>
    <t>01010945C61727F3E315DA92B49D6357B297CF4A9A3</t>
  </si>
  <si>
    <t>45C61727F3E315DA92B49D6357B297CF4A9A4</t>
  </si>
  <si>
    <t>01010945C61727F3E315DA92B49D6357B297CF4A9A4</t>
  </si>
  <si>
    <t>45C61727F3E315DA92B49D6357B297CF4A9A5</t>
  </si>
  <si>
    <t>01010945C61727F3E315DA92B49D6357B297CF4A9A5</t>
  </si>
  <si>
    <t>폴리우레아 도막방수</t>
  </si>
  <si>
    <t>바닥, 노출, 2mm</t>
  </si>
  <si>
    <t>45C61727F3E315DA92B49D6357B297CF4A9A1</t>
  </si>
  <si>
    <t>01010945C61727F3E315DA92B49D6357B297CF4A9A1</t>
  </si>
  <si>
    <t>벽체, 노출, 2mm</t>
  </si>
  <si>
    <t>45C61727F3E315DA92B49D6357B297CF4A9A2</t>
  </si>
  <si>
    <t>01010945C61727F3E315DA92B49D6357B297CF4A9A2</t>
  </si>
  <si>
    <t>침투식 액체방수</t>
  </si>
  <si>
    <t>바닥</t>
  </si>
  <si>
    <t>45C61727F3E315DA92B49D6357B297CF4A9A6</t>
  </si>
  <si>
    <t>01010945C61727F3E315DA92B49D6357B297CF4A9A6</t>
  </si>
  <si>
    <t>벽체</t>
  </si>
  <si>
    <t>45C61727F3E315DA92B49D6357B297CF4A9A7</t>
  </si>
  <si>
    <t>01010945C61727F3E315DA92B49D6357B297CF4A9A7</t>
  </si>
  <si>
    <t>방수층 보호판 설치</t>
  </si>
  <si>
    <t>45C61727F3E315DA92B49D6357B297F49F244</t>
  </si>
  <si>
    <t>01010945C61727F3E315DA92B49D6357B297F49F244</t>
  </si>
  <si>
    <t>시멘트 액체방수</t>
  </si>
  <si>
    <t>벽</t>
  </si>
  <si>
    <t>447717EDEAC915F2DFC231E012D5C</t>
  </si>
  <si>
    <t>010109447717EDEAC915F2DFC231E012D5C</t>
  </si>
  <si>
    <t>노무비율 97%</t>
  </si>
  <si>
    <t>447717EDEAC915F2DFDCA48C35D1D</t>
  </si>
  <si>
    <t>010109447717EDEAC915F2DFDCA48C35D1D</t>
  </si>
  <si>
    <t>방수층 보호재 깔기</t>
  </si>
  <si>
    <t>바닥 5mm</t>
  </si>
  <si>
    <t>호표 80</t>
  </si>
  <si>
    <t>447717EDD85F156D2071853A90648</t>
  </si>
  <si>
    <t>010109447717EDD85F156D2071853A90648</t>
  </si>
  <si>
    <t>방수층 보호재 설치</t>
  </si>
  <si>
    <t>벽 5mm</t>
  </si>
  <si>
    <t>호표 81</t>
  </si>
  <si>
    <t>447717EDD85F156D20444F5CFC82C</t>
  </si>
  <si>
    <t>010109447717EDD85F156D20444F5CFC82C</t>
  </si>
  <si>
    <t>신축줄눈</t>
  </si>
  <si>
    <t>옥상, SAW CUT+코킹</t>
  </si>
  <si>
    <t>호표 82</t>
  </si>
  <si>
    <t>44771728E53415D35275B21DBE7C4</t>
  </si>
  <si>
    <t>01010944771728E53415D35275B21DBE7C4</t>
  </si>
  <si>
    <t>수밀코킹(실리콘)</t>
  </si>
  <si>
    <t>삼각, 5mm이하, 방균용</t>
  </si>
  <si>
    <t>호표 83</t>
  </si>
  <si>
    <t>447717ED1D5F152EDAAB1846987CE</t>
  </si>
  <si>
    <t>010109447717ED1D5F152EDAAB1846987CE</t>
  </si>
  <si>
    <t>10㎜*10㎜</t>
  </si>
  <si>
    <t>호표 84</t>
  </si>
  <si>
    <t>447717ED1D691595424F5382746CD</t>
  </si>
  <si>
    <t>010109447717ED1D691595424F5382746CD</t>
  </si>
  <si>
    <t>삼각, 10mm, 창호주위</t>
  </si>
  <si>
    <t>호표 85</t>
  </si>
  <si>
    <t>447717ED1D7A1531FDFCE9BEB987D</t>
  </si>
  <si>
    <t>010109447717ED1D7A1531FDFCE9BEB987D</t>
  </si>
  <si>
    <t>수밀코킹(10x10)</t>
  </si>
  <si>
    <t>ELEV.주위</t>
  </si>
  <si>
    <t>호표 86</t>
  </si>
  <si>
    <t>447717ED1D07150D0A9A1A68780F2</t>
  </si>
  <si>
    <t>010109447717ED1D07150D0A9A1A68780F2</t>
  </si>
  <si>
    <t>방수 모르타르 바름 / 바닥</t>
  </si>
  <si>
    <t>20mm, 트렌치</t>
  </si>
  <si>
    <t>호표 87</t>
  </si>
  <si>
    <t>447717ED0CE8150F18539A094454D</t>
  </si>
  <si>
    <t>010109447717ED0CE8150F18539A094454D</t>
  </si>
  <si>
    <t>방수 모르타르 바름 / 벽</t>
  </si>
  <si>
    <t>호표 88</t>
  </si>
  <si>
    <t>447717ED0CFA15948BAEA301E5459</t>
  </si>
  <si>
    <t>010109447717ED0CFA15948BAEA301E5459</t>
  </si>
  <si>
    <t>배수판설치</t>
  </si>
  <si>
    <t>지하용수, 500*500*45mm</t>
  </si>
  <si>
    <t>호표 89</t>
  </si>
  <si>
    <t>447717EDA30D151D6CDCE5C8E9E27</t>
  </si>
  <si>
    <t>010109447717EDA30D151D6CDCE5C8E9E27</t>
  </si>
  <si>
    <t>엑셀방수</t>
  </si>
  <si>
    <t>호표 90</t>
  </si>
  <si>
    <t>447717EC41D315BD5EF6C22383D5E</t>
  </si>
  <si>
    <t>010109447717EC41D315BD5EF6C22383D5E</t>
  </si>
  <si>
    <t>45C61727F3E315DA92B49D6357B297EA32AA2</t>
  </si>
  <si>
    <t>01010945C61727F3E315DA92B49D6357B297EA32AA2</t>
  </si>
  <si>
    <t>[방수견적]</t>
  </si>
  <si>
    <t>45C61727F3E315DA92B49D6357B297CF650E5</t>
  </si>
  <si>
    <t>01010945C61727F3E315DA92B49D6357B297CF650E5</t>
  </si>
  <si>
    <t>고무아스팔트도막바름(2회)</t>
  </si>
  <si>
    <t>45C61727F3E315DA92B49D6357B297EA32521</t>
  </si>
  <si>
    <t>01010945C61727F3E315DA92B49D6357B297EA32521</t>
  </si>
  <si>
    <t>파라펫벽 방수보호판</t>
  </si>
  <si>
    <t>230x750x8T(ABS수지)</t>
  </si>
  <si>
    <t>45C61727F3E315DA92B49D6357B297EA32B4A</t>
  </si>
  <si>
    <t>01010945C61727F3E315DA92B49D6357B297EA32B4A</t>
  </si>
  <si>
    <t>45C61727F3E315DA92B49D6357B297CF650EA</t>
  </si>
  <si>
    <t>01010945C61727F3E315DA92B49D6357B297CF650EA</t>
  </si>
  <si>
    <t>[단열배수판]</t>
  </si>
  <si>
    <t>45C61727F3E315DA92B49D6357B297EA32AAD</t>
  </si>
  <si>
    <t>01010945C61727F3E315DA92B49D6357B297EA32AAD</t>
  </si>
  <si>
    <t>이격단열재 하이온P+100T</t>
  </si>
  <si>
    <t>500X1000X100T</t>
  </si>
  <si>
    <t>45C61727F3E315DA92B49D6357B297EA32AAC</t>
  </si>
  <si>
    <t>01010945C61727F3E315DA92B49D6357B297EA32AAC</t>
  </si>
  <si>
    <t>010110  지붕 및 홈통공사</t>
  </si>
  <si>
    <t>010110</t>
  </si>
  <si>
    <t>빗물받이불록</t>
  </si>
  <si>
    <t>410*510*940</t>
  </si>
  <si>
    <t>435C17D2DFBE15F0C248D99A115733777CC8D</t>
  </si>
  <si>
    <t>010110435C17D2DFBE15F0C248D99A115733777CC8D</t>
  </si>
  <si>
    <t>선홈통 설치</t>
  </si>
  <si>
    <t>75mm, SST'L</t>
  </si>
  <si>
    <t>호표 91</t>
  </si>
  <si>
    <t>447717DF2D10157F85AEB4AFA49DB</t>
  </si>
  <si>
    <t>010110447717DF2D10157F85AEB4AFA49DB</t>
  </si>
  <si>
    <t>100mm, SST'L</t>
  </si>
  <si>
    <t>호표 92</t>
  </si>
  <si>
    <t>447717DF2D10157F85AEB4AFB554D</t>
  </si>
  <si>
    <t>010110447717DF2D10157F85AEB4AFB554D</t>
  </si>
  <si>
    <t>스텐 상자홈통 설치</t>
  </si>
  <si>
    <t>200*200*200*1.5t</t>
  </si>
  <si>
    <t>호표 93</t>
  </si>
  <si>
    <t>447717DF2D4D15969107B1E38C20A</t>
  </si>
  <si>
    <t>010110447717DF2D4D15969107B1E38C20A</t>
  </si>
  <si>
    <t>루프드레인 설치</t>
  </si>
  <si>
    <t>L형, D75mm</t>
  </si>
  <si>
    <t>호표 94</t>
  </si>
  <si>
    <t>447717DF3F5515EA14796867AC1AE</t>
  </si>
  <si>
    <t>010110447717DF3F5515EA14796867AC1AE</t>
  </si>
  <si>
    <t>L형, D100mm</t>
  </si>
  <si>
    <t>호표 95</t>
  </si>
  <si>
    <t>447717DF3F5515EA14794D9A7B8BB</t>
  </si>
  <si>
    <t>010110447717DF3F5515EA14794D9A7B8BB</t>
  </si>
  <si>
    <t>L형, D125mm</t>
  </si>
  <si>
    <t>호표 96</t>
  </si>
  <si>
    <t>447717DF3F5515EA14793327DF6C9</t>
  </si>
  <si>
    <t>010110447717DF3F5515EA14793327DF6C9</t>
  </si>
  <si>
    <t>010111  금  속  공  사</t>
  </si>
  <si>
    <t>010111</t>
  </si>
  <si>
    <t>SUS점자블럭</t>
  </si>
  <si>
    <t>300*300*6</t>
  </si>
  <si>
    <t>435C17D2E84615CF9C6C1E40CD11A55B8870A</t>
  </si>
  <si>
    <t>010111435C17D2E84615CF9C6C1E40CD11A55B8870A</t>
  </si>
  <si>
    <t>미장용 코너비드 설치</t>
  </si>
  <si>
    <t>AL, H=13mm</t>
  </si>
  <si>
    <t>호표 97</t>
  </si>
  <si>
    <t>4477171AAEDB15CF4FF0AD163840F</t>
  </si>
  <si>
    <t>0101114477171AAEDB15CF4FF0AD163840F</t>
  </si>
  <si>
    <t>베이스비드(홈내기) 설치</t>
  </si>
  <si>
    <t>AL, H=10mm</t>
  </si>
  <si>
    <t>호표 98</t>
  </si>
  <si>
    <t>4477171AAEDB15CF4FF0AD0443920</t>
  </si>
  <si>
    <t>0101114477171AAEDB15CF4FF0AD0443920</t>
  </si>
  <si>
    <t>타일코너비드 설치</t>
  </si>
  <si>
    <t>코너비드, 알루미늄, 타일코너, 7mm</t>
  </si>
  <si>
    <t>호표 99</t>
  </si>
  <si>
    <t>4477171AAEDB15CF4FF0AD0443923</t>
  </si>
  <si>
    <t>0101114477171AAEDB15CF4FF0AD0443923</t>
  </si>
  <si>
    <t>앵글코너가드</t>
  </si>
  <si>
    <t>L-50*50*5t. 도장 포함</t>
  </si>
  <si>
    <t>호표 100</t>
  </si>
  <si>
    <t>4477171AAEDB15CF12EA697E317C3</t>
  </si>
  <si>
    <t>0101114477171AAEDB15CF12EA697E317C3</t>
  </si>
  <si>
    <t>스테인리스사다리</t>
  </si>
  <si>
    <t>ELEV PIT, W:400*1700, D38.1*1.5 SST파이프</t>
  </si>
  <si>
    <t>호표 101</t>
  </si>
  <si>
    <t>447717C88A0415E345F597106B0B7</t>
  </si>
  <si>
    <t>010111447717C88A0415E345F597106B0B7</t>
  </si>
  <si>
    <t>스테인리스사다리_옥탑층 / A06-205</t>
  </si>
  <si>
    <t>W1000*H3000, Ø38.1*1.2t +50*6t +40.5t SST'L 안전보호망 포함</t>
  </si>
  <si>
    <t>호표 102</t>
  </si>
  <si>
    <t>447717C88A0415E345F59006CA737</t>
  </si>
  <si>
    <t>010111447717C88A0415E345F59006CA737</t>
  </si>
  <si>
    <t>오픈 트렌치</t>
  </si>
  <si>
    <t>한면,아연도금(L-25*25*3T)</t>
  </si>
  <si>
    <t>노무비 73.9%</t>
  </si>
  <si>
    <t>447717C8D21E153D92868BBB68ACE</t>
  </si>
  <si>
    <t>010111447717C8D21E153D92868BBB68ACE</t>
  </si>
  <si>
    <t>커버트렌치</t>
  </si>
  <si>
    <t>SST</t>
  </si>
  <si>
    <t>호표 103</t>
  </si>
  <si>
    <t>447717C8D21E153D92B3C1CE4C723</t>
  </si>
  <si>
    <t>010111447717C8D21E153D92B3C1CE4C723</t>
  </si>
  <si>
    <t>무늬강판, W200*4.5T (도장유)</t>
  </si>
  <si>
    <t>호표 104</t>
  </si>
  <si>
    <t>447717C8D21E153D92B3C1CE4C720</t>
  </si>
  <si>
    <t>010111447717C8D21E153D92B3C1CE4C720</t>
  </si>
  <si>
    <t>오픈트랜치</t>
  </si>
  <si>
    <t>한면 W;200, L-25*25*3T 아연도금, 콩자갈채움</t>
  </si>
  <si>
    <t>호표 105</t>
  </si>
  <si>
    <t>447717C8D21E153D92B3C1CE4C725</t>
  </si>
  <si>
    <t>010111447717C8D21E153D92B3C1CE4C725</t>
  </si>
  <si>
    <t>수영장트렌치</t>
  </si>
  <si>
    <t>1층 수영장 &lt;A01-201~234&gt;</t>
  </si>
  <si>
    <t>호표 106</t>
  </si>
  <si>
    <t>447717C8D21E153D92B3C1CE4C721</t>
  </si>
  <si>
    <t>010111447717C8D21E153D92B3C1CE4C721</t>
  </si>
  <si>
    <t>커버트랜치</t>
  </si>
  <si>
    <t>SST &lt;2층선큰 A01-201~234&gt;</t>
  </si>
  <si>
    <t>호표 107</t>
  </si>
  <si>
    <t>447717C8D21E153D92B3C1CE4C726</t>
  </si>
  <si>
    <t>010111447717C8D21E153D92B3C1CE4C726</t>
  </si>
  <si>
    <t>SST &lt;2층주방 A01-201~234&gt;</t>
  </si>
  <si>
    <t>호표 108</t>
  </si>
  <si>
    <t>447717C8D21E153D92B3C1CE4C727</t>
  </si>
  <si>
    <t>010111447717C8D21E153D92B3C1CE4C727</t>
  </si>
  <si>
    <t>철제그레이팅트랜치</t>
  </si>
  <si>
    <t>호표 109</t>
  </si>
  <si>
    <t>447717C8D21E153D92B3C1CE4C724</t>
  </si>
  <si>
    <t>010111447717C8D21E153D92B3C1CE4C724</t>
  </si>
  <si>
    <t>파라펫링</t>
  </si>
  <si>
    <t>스테인리스, D100*19t</t>
  </si>
  <si>
    <t>호표 110</t>
  </si>
  <si>
    <t>447717C8798B154EDF5E326B75513</t>
  </si>
  <si>
    <t>010111447717C8798B154EDF5E326B75513</t>
  </si>
  <si>
    <t>BACKPANEL</t>
  </si>
  <si>
    <t>창후면</t>
  </si>
  <si>
    <t>호표 111</t>
  </si>
  <si>
    <t>447717C8798B155F3C090D10992E7</t>
  </si>
  <si>
    <t>010111447717C8798B155F3C090D10992E7</t>
  </si>
  <si>
    <t>영유아거치대</t>
  </si>
  <si>
    <t>호표 112</t>
  </si>
  <si>
    <t>447717C8798B155F3C090D10991DA</t>
  </si>
  <si>
    <t>010111447717C8798B155F3C090D10991DA</t>
  </si>
  <si>
    <t>스테인리스재료분리대</t>
  </si>
  <si>
    <t>바닥, W30*H20*1.5t</t>
  </si>
  <si>
    <t>호표 113</t>
  </si>
  <si>
    <t>44771795189D15E2E2121319F580D</t>
  </si>
  <si>
    <t>01011144771795189D15E2E2121319F580D</t>
  </si>
  <si>
    <t>철재커텐박스(ㄱ자형)</t>
  </si>
  <si>
    <t>150*150*1.2t, STL(도장 유)</t>
  </si>
  <si>
    <t>호표 114</t>
  </si>
  <si>
    <t>44771795E41D1592FCDE0D7CE5138</t>
  </si>
  <si>
    <t>01011144771795E41D1592FCDE0D7CE5138</t>
  </si>
  <si>
    <t>AL몰딩 설치</t>
  </si>
  <si>
    <t>W형, 15*15*15*15*1.0mm</t>
  </si>
  <si>
    <t>호표 115</t>
  </si>
  <si>
    <t>44771795F65215D45B6BCF25711E1</t>
  </si>
  <si>
    <t>01011144771795F65215D45B6BCF25711E1</t>
  </si>
  <si>
    <t>45C61727F3E315DA92B49D6357B297EA4361C</t>
  </si>
  <si>
    <t>01011145C61727F3E315DA92B49D6357B297EA4361C</t>
  </si>
  <si>
    <t>[강재사각집수정]</t>
  </si>
  <si>
    <t>45C61727F3E315DA92B49D6357B297EA43B98</t>
  </si>
  <si>
    <t>01011145C61727F3E315DA92B49D6357B297EA43B98</t>
  </si>
  <si>
    <t>1.건축용,영구배수용</t>
  </si>
  <si>
    <t>규격:1500*1500*2000 용량:4.50m</t>
  </si>
  <si>
    <t>45C61727F3E315DA92B49D6357B297EA43B99</t>
  </si>
  <si>
    <t>01011145C61727F3E315DA92B49D6357B297EA43B99</t>
  </si>
  <si>
    <t>2.건축용,영구배수용</t>
  </si>
  <si>
    <t>규격:900*900*1500</t>
  </si>
  <si>
    <t>45C61727F3E315DA92B49D6357B297EA43B9E</t>
  </si>
  <si>
    <t>01011145C61727F3E315DA92B49D6357B297EA43B9E</t>
  </si>
  <si>
    <t>45C61727F3E315DA92B49D6357B297EA43B9F</t>
  </si>
  <si>
    <t>01011145C61727F3E315DA92B49D6357B297EA43B9F</t>
  </si>
  <si>
    <t>[외장_FC패널,알루미늄시트]</t>
  </si>
  <si>
    <t>45C61727F3E315DA92B49D6357B297EA5DB9D</t>
  </si>
  <si>
    <t>01011145C61727F3E315DA92B49D6357B297EA5DB9D</t>
  </si>
  <si>
    <t>1. 본관동</t>
  </si>
  <si>
    <t>45C61727F3E315DA92B49D6357B297EA5D8C0</t>
  </si>
  <si>
    <t>01011145C61727F3E315DA92B49D6357B297EA5D8C0</t>
  </si>
  <si>
    <t>FC패널</t>
  </si>
  <si>
    <t>8t(ㅁ-75*50, 1.6t)</t>
  </si>
  <si>
    <t>45C61727F3E315DA92B49D6357B297EA5D8C1</t>
  </si>
  <si>
    <t>01011145C61727F3E315DA92B49D6357B297EA5D8C1</t>
  </si>
  <si>
    <t>알루미늄시트 (본관동)</t>
  </si>
  <si>
    <t>3t(ㅁ-50*50, 1.6t)</t>
  </si>
  <si>
    <t>45C61727F3E315DA92B49D6357B297EA5D8C2</t>
  </si>
  <si>
    <t>01011145C61727F3E315DA92B49D6357B297EA5D8C2</t>
  </si>
  <si>
    <t>창호주위 후레싱</t>
  </si>
  <si>
    <t>2t, w=250</t>
  </si>
  <si>
    <t>45C61727F3E315DA92B49D6357B297EA5D8C3</t>
  </si>
  <si>
    <t>01011145C61727F3E315DA92B49D6357B297EA5D8C3</t>
  </si>
  <si>
    <t>두겁</t>
  </si>
  <si>
    <t>45C61727F3E315DA92B49D6357B297EA5D8C4</t>
  </si>
  <si>
    <t>01011145C61727F3E315DA92B49D6357B297EA5D8C4</t>
  </si>
  <si>
    <t>45C61727F3E315DA92B49D6357B297EA5D8C5</t>
  </si>
  <si>
    <t>01011145C61727F3E315DA92B49D6357B297EA5D8C5</t>
  </si>
  <si>
    <t>2. 생활관/후생관</t>
  </si>
  <si>
    <t>45C61727F3E315DA92B49D6357B297EA5D8C6</t>
  </si>
  <si>
    <t>01011145C61727F3E315DA92B49D6357B297EA5D8C6</t>
  </si>
  <si>
    <t>45C61727F3E315DA92B49D6357B297EA5D9E7</t>
  </si>
  <si>
    <t>01011145C61727F3E315DA92B49D6357B297EA5D9E7</t>
  </si>
  <si>
    <t>알루미늄시트 (생활관/후생관)</t>
  </si>
  <si>
    <t>45C61727F3E315DA92B49D6357B297EA5D9E6</t>
  </si>
  <si>
    <t>01011145C61727F3E315DA92B49D6357B297EA5D9E6</t>
  </si>
  <si>
    <t>45C61727F3E315DA92B49D6357B297EA5D9E5</t>
  </si>
  <si>
    <t>01011145C61727F3E315DA92B49D6357B297EA5D9E5</t>
  </si>
  <si>
    <t>45C61727F3E315DA92B49D6357B297EA5D9E4</t>
  </si>
  <si>
    <t>01011145C61727F3E315DA92B49D6357B297EA5D9E4</t>
  </si>
  <si>
    <t>45C61727F3E315DA92B49D6357B297EA5DE6F</t>
  </si>
  <si>
    <t>01011145C61727F3E315DA92B49D6357B297EA5DE6F</t>
  </si>
  <si>
    <t>5. 정문</t>
  </si>
  <si>
    <t>45C61727F3E315DA92B49D6357B297EA5DE6E</t>
  </si>
  <si>
    <t>01011145C61727F3E315DA92B49D6357B297EA5DE6E</t>
  </si>
  <si>
    <t>45C61727F3E315DA92B49D6357B297EA5DE61</t>
  </si>
  <si>
    <t>01011145C61727F3E315DA92B49D6357B297EA5DE61</t>
  </si>
  <si>
    <t>알루미늄시트 (정문)</t>
  </si>
  <si>
    <t>45C61727F3E315DA92B49D6357B297EA5DE60</t>
  </si>
  <si>
    <t>01011145C61727F3E315DA92B49D6357B297EA5DE60</t>
  </si>
  <si>
    <t>알루미늄시트 기둥</t>
  </si>
  <si>
    <t>3t 곡판(ㅁ-50*50, 1.6t)</t>
  </si>
  <si>
    <t>45C61727F3E315DA92B49D6357B297EA5DF0F</t>
  </si>
  <si>
    <t>01011145C61727F3E315DA92B49D6357B297EA5DF0F</t>
  </si>
  <si>
    <t>알루미늄시트 루버</t>
  </si>
  <si>
    <t>45C61727F3E315DA92B49D6357B297EA5DF0E</t>
  </si>
  <si>
    <t>01011145C61727F3E315DA92B49D6357B297EA5DF0E</t>
  </si>
  <si>
    <t>45C61727F3E315DA92B49D6357B297EA5DF0D</t>
  </si>
  <si>
    <t>01011145C61727F3E315DA92B49D6357B297EA5DF0D</t>
  </si>
  <si>
    <t>45C61727F3E315DA92B49D6357B297EA32E02</t>
  </si>
  <si>
    <t>01011145C61727F3E315DA92B49D6357B297EA32E02</t>
  </si>
  <si>
    <t>[내진천정틀(방풍실)및 마감재]</t>
  </si>
  <si>
    <t>45C61727F3E315DA92B49D6357B297EA32E03</t>
  </si>
  <si>
    <t>01011145C61727F3E315DA92B49D6357B297EA32E03</t>
  </si>
  <si>
    <t>"내진천장시스템 설치 * H : 1M미만"</t>
  </si>
  <si>
    <t>인서트등 부자재 포함, 시공도</t>
  </si>
  <si>
    <t>45C61727F3E315DA92B49D6357B297EA32E04</t>
  </si>
  <si>
    <t>01011145C61727F3E315DA92B49D6357B297EA32E04</t>
  </si>
  <si>
    <t>"내진천장시스템 설치 * H : 1M이상~1.8M미만"</t>
  </si>
  <si>
    <t>45C61727F3E315DA92B49D6357B297EA32E06</t>
  </si>
  <si>
    <t>01011145C61727F3E315DA92B49D6357B297EA32E06</t>
  </si>
  <si>
    <t>"내진천장시스템 설치 * H : 1.8M이상, 수평보강"</t>
  </si>
  <si>
    <t>45C61727F3E315DA92B49D6357B297EA32E08</t>
  </si>
  <si>
    <t>01011145C61727F3E315DA92B49D6357B297EA32E08</t>
  </si>
  <si>
    <t>"내진천장시스템 설치 * H : 1M이상, 수평보강"</t>
  </si>
  <si>
    <t>45C61727F3E315DA92B49D6357B297EA32F27</t>
  </si>
  <si>
    <t>01011145C61727F3E315DA92B49D6357B297EA32F27</t>
  </si>
  <si>
    <t>"내진천장틀-금속천장재 * H : 1M미만"</t>
  </si>
  <si>
    <t>"내진천장틀 TM-BAR(T타입), 마감판부착노임포함,시공도"</t>
  </si>
  <si>
    <t>45C61727F3E315DA92B49D6357B297EA32F25</t>
  </si>
  <si>
    <t>01011145C61727F3E315DA92B49D6357B297EA32F25</t>
  </si>
  <si>
    <t>"내진천장틀-금속천장재 * H : 1M이상~1.8M미만"</t>
  </si>
  <si>
    <t>45C61727F3E315DA92B49D6357B297EA32F23</t>
  </si>
  <si>
    <t>01011145C61727F3E315DA92B49D6357B297EA32F23</t>
  </si>
  <si>
    <t>"내진천장틀-금속천장재 * H : 1.8M이상,수평보강"</t>
  </si>
  <si>
    <t>45C61727F3E315DA92B49D6357B297EA32F21</t>
  </si>
  <si>
    <t>01011145C61727F3E315DA92B49D6357B297EA32F21</t>
  </si>
  <si>
    <t>"내진천장틀 * H : 1M미만"</t>
  </si>
  <si>
    <t>"내진천장틀 TM-BAR(M타입), 마감판부착노임포함,시공도"</t>
  </si>
  <si>
    <t>45C61727F3E315DA92B49D6357B297EA32F2F</t>
  </si>
  <si>
    <t>01011145C61727F3E315DA92B49D6357B297EA32F2F</t>
  </si>
  <si>
    <t>"내진천장틀 * H : 1M이상~1.8M미만"</t>
  </si>
  <si>
    <t>45C61727F3E315DA92B49D6357B297EA328F8</t>
  </si>
  <si>
    <t>01011145C61727F3E315DA92B49D6357B297EA328F8</t>
  </si>
  <si>
    <t>내진TM몰딩</t>
  </si>
  <si>
    <t>30*25*1.0T (시공도)</t>
  </si>
  <si>
    <t>45C61727F3E315DA92B49D6357B297EA328FA</t>
  </si>
  <si>
    <t>01011145C61727F3E315DA92B49D6357B297EA328FA</t>
  </si>
  <si>
    <t>45C61727F3E315DA92B49D6357B297EA328FB</t>
  </si>
  <si>
    <t>01011145C61727F3E315DA92B49D6357B297EA328FB</t>
  </si>
  <si>
    <t>[디자인그레이팅]</t>
  </si>
  <si>
    <t>45C61727F3E315DA92B49D6357B297CF65F57</t>
  </si>
  <si>
    <t>01011145C61727F3E315DA92B49D6357B297CF65F57</t>
  </si>
  <si>
    <t>디자인그레이팅</t>
  </si>
  <si>
    <t>200*1000*50 4.5T</t>
  </si>
  <si>
    <t>45C61727F3E315DA92B49D6357B297CF65F54</t>
  </si>
  <si>
    <t>01011145C61727F3E315DA92B49D6357B297CF65F54</t>
  </si>
  <si>
    <t>직선앵글</t>
  </si>
  <si>
    <t>1000*50*50 4T</t>
  </si>
  <si>
    <t>45C61727F3E315DA92B49D6357B297CF65F55</t>
  </si>
  <si>
    <t>01011145C61727F3E315DA92B49D6357B297CF65F55</t>
  </si>
  <si>
    <t>45C61727F3E315DA92B49D6357B297CF380EE</t>
  </si>
  <si>
    <t>01011145C61727F3E315DA92B49D6357B297CF380EE</t>
  </si>
  <si>
    <t>[전동롤스크린]</t>
  </si>
  <si>
    <t>45C61727F3E315DA92B49D6357B297EA432BA</t>
  </si>
  <si>
    <t>01011145C61727F3E315DA92B49D6357B297EA432BA</t>
  </si>
  <si>
    <t>롤스크린 원단</t>
  </si>
  <si>
    <t>HDK Optima Clear 3%</t>
  </si>
  <si>
    <t>45C61727F3E315DA92B49D6357B297EA432BB</t>
  </si>
  <si>
    <t>01011145C61727F3E315DA92B49D6357B297EA432BB</t>
  </si>
  <si>
    <t>Sonesse 50 RTS 5/32</t>
  </si>
  <si>
    <t>저소음 수신기내장형 모터</t>
  </si>
  <si>
    <t>45C61727F3E315DA92B49D6357B297EA432B9</t>
  </si>
  <si>
    <t>01011145C61727F3E315DA92B49D6357B297EA432B9</t>
  </si>
  <si>
    <t>Motor Accessory(S50-70)</t>
  </si>
  <si>
    <t>모터 액세서리</t>
  </si>
  <si>
    <t>45C61727F3E315DA92B49D6357B297EA432B6</t>
  </si>
  <si>
    <t>01011145C61727F3E315DA92B49D6357B297EA432B6</t>
  </si>
  <si>
    <t>Situo 5 RTS Pure (4채널 리모콘)</t>
  </si>
  <si>
    <t>45C61727F3E315DA92B49D6357B297EA432B7</t>
  </si>
  <si>
    <t>01011145C61727F3E315DA92B49D6357B297EA432B7</t>
  </si>
  <si>
    <t>70mm Shaft</t>
  </si>
  <si>
    <t>45C61727F3E315DA92B49D6357B297EA43196</t>
  </si>
  <si>
    <t>01011145C61727F3E315DA92B49D6357B297EA43196</t>
  </si>
  <si>
    <t>사각하단바</t>
  </si>
  <si>
    <t>45C61727F3E315DA92B49D6357B297EA43195</t>
  </si>
  <si>
    <t>01011145C61727F3E315DA92B49D6357B297EA43195</t>
  </si>
  <si>
    <t>전동 롤스크린 설치시공비</t>
  </si>
  <si>
    <t>45C61727F3E315DA92B49D6357B297EA43193</t>
  </si>
  <si>
    <t>01011145C61727F3E315DA92B49D6357B297EA43193</t>
  </si>
  <si>
    <t>전동 롤스크린 설치시공비(높은창)</t>
  </si>
  <si>
    <t>45C61727F3E315DA92B49D6357B297EA43192</t>
  </si>
  <si>
    <t>01011145C61727F3E315DA92B49D6357B297EA43192</t>
  </si>
  <si>
    <t>원단가공비(전동)</t>
  </si>
  <si>
    <t>45C61727F3E315DA92B49D6357B297EA43191</t>
  </si>
  <si>
    <t>01011145C61727F3E315DA92B49D6357B297EA43191</t>
  </si>
  <si>
    <t>모터 결선비</t>
  </si>
  <si>
    <t>45C61727F3E315DA92B49D6357B297EA43190</t>
  </si>
  <si>
    <t>01011145C61727F3E315DA92B49D6357B297EA43190</t>
  </si>
  <si>
    <t>전기공사비</t>
  </si>
  <si>
    <t>45C61727F3E315DA92B49D6357B297EA4319F</t>
  </si>
  <si>
    <t>01011145C61727F3E315DA92B49D6357B297EA4319F</t>
  </si>
  <si>
    <t>45C61727F3E315DA92B49D6357B297EA4319E</t>
  </si>
  <si>
    <t>01011145C61727F3E315DA92B49D6357B297EA4319E</t>
  </si>
  <si>
    <t>[전동 암막 롤스크린]</t>
  </si>
  <si>
    <t>45C61727F3E315DA92B49D6357B297EA430F0</t>
  </si>
  <si>
    <t>01011145C61727F3E315DA92B49D6357B297EA430F0</t>
  </si>
  <si>
    <t>암막스크린 원단</t>
  </si>
  <si>
    <t>Helsinki 0%</t>
  </si>
  <si>
    <t>45C61727F3E315DA92B49D6357B297EA430F1</t>
  </si>
  <si>
    <t>01011145C61727F3E315DA92B49D6357B297EA430F1</t>
  </si>
  <si>
    <t>45C61727F3E315DA92B49D6357B297EA430F3</t>
  </si>
  <si>
    <t>01011145C61727F3E315DA92B49D6357B297EA430F3</t>
  </si>
  <si>
    <t>45C61727F3E315DA92B49D6357B297EA430F4</t>
  </si>
  <si>
    <t>01011145C61727F3E315DA92B49D6357B297EA430F4</t>
  </si>
  <si>
    <t>45C61727F3E315DA92B49D6357B297EA430F5</t>
  </si>
  <si>
    <t>01011145C61727F3E315DA92B49D6357B297EA430F5</t>
  </si>
  <si>
    <t>45C61727F3E315DA92B49D6357B297EA430F7</t>
  </si>
  <si>
    <t>01011145C61727F3E315DA92B49D6357B297EA430F7</t>
  </si>
  <si>
    <t>45C61727F3E315DA92B49D6357B297EA430F8</t>
  </si>
  <si>
    <t>01011145C61727F3E315DA92B49D6357B297EA430F8</t>
  </si>
  <si>
    <t>가이드레일(전동)</t>
  </si>
  <si>
    <t>45C61727F3E315DA92B49D6357B297EA430F9</t>
  </si>
  <si>
    <t>01011145C61727F3E315DA92B49D6357B297EA430F9</t>
  </si>
  <si>
    <t>전동 암막스크린 설치시공비</t>
  </si>
  <si>
    <t>45C61727F3E315DA92B49D6357B297EA4373E</t>
  </si>
  <si>
    <t>01011145C61727F3E315DA92B49D6357B297EA4373E</t>
  </si>
  <si>
    <t>전동 암막스크린 설치시공비(높은창)</t>
  </si>
  <si>
    <t>45C61727F3E315DA92B49D6357B297EA4373D</t>
  </si>
  <si>
    <t>01011145C61727F3E315DA92B49D6357B297EA4373D</t>
  </si>
  <si>
    <t>가이드레일 설치비</t>
  </si>
  <si>
    <t>45C61727F3E315DA92B49D6357B297EA4373C</t>
  </si>
  <si>
    <t>01011145C61727F3E315DA92B49D6357B297EA4373C</t>
  </si>
  <si>
    <t>45C61727F3E315DA92B49D6357B297EA4373B</t>
  </si>
  <si>
    <t>01011145C61727F3E315DA92B49D6357B297EA4373B</t>
  </si>
  <si>
    <t>45C61727F3E315DA92B49D6357B297EA4373A</t>
  </si>
  <si>
    <t>01011145C61727F3E315DA92B49D6357B297EA4373A</t>
  </si>
  <si>
    <t>45C61727F3E315DA92B49D6357B297EA43739</t>
  </si>
  <si>
    <t>01011145C61727F3E315DA92B49D6357B297EA43739</t>
  </si>
  <si>
    <t>45C61727F3E315DA92B49D6357B297EA43738</t>
  </si>
  <si>
    <t>01011145C61727F3E315DA92B49D6357B297EA43738</t>
  </si>
  <si>
    <t>[수동 롤스크린]</t>
  </si>
  <si>
    <t>45C61727F3E315DA92B49D6357B297EA43737</t>
  </si>
  <si>
    <t>01011145C61727F3E315DA92B49D6357B297EA43737</t>
  </si>
  <si>
    <t>HDK Optima Clear pop 3%</t>
  </si>
  <si>
    <t>45C61727F3E315DA92B49D6357B297EA43736</t>
  </si>
  <si>
    <t>01011145C61727F3E315DA92B49D6357B297EA43736</t>
  </si>
  <si>
    <t>국산 수동 하드웨어</t>
  </si>
  <si>
    <t>45C61727F3E315DA92B49D6357B297EA43618</t>
  </si>
  <si>
    <t>01011145C61727F3E315DA92B49D6357B297EA43618</t>
  </si>
  <si>
    <t>수동 롤스크린 설치시공비</t>
  </si>
  <si>
    <t>45C61727F3E315DA92B49D6357B297EA4361A</t>
  </si>
  <si>
    <t>01011145C61727F3E315DA92B49D6357B297EA4361A</t>
  </si>
  <si>
    <t>원단가공비(수동)</t>
  </si>
  <si>
    <t>45C61727F3E315DA92B49D6357B297EA4361D</t>
  </si>
  <si>
    <t>01011145C61727F3E315DA92B49D6357B297EA4361D</t>
  </si>
  <si>
    <t>010112  미  장  공  사</t>
  </si>
  <si>
    <t>010112</t>
  </si>
  <si>
    <t>내벽, 9mm(초벌)</t>
  </si>
  <si>
    <t>호표 116</t>
  </si>
  <si>
    <t>4477171A1F161508E2B76DCED90AF</t>
  </si>
  <si>
    <t>0101124477171A1F161508E2B76DCED90AF</t>
  </si>
  <si>
    <t>내벽, 11mm, 3.6m 이하</t>
  </si>
  <si>
    <t>호표 117</t>
  </si>
  <si>
    <t>4477171A1F161508E2B76DD8A1682</t>
  </si>
  <si>
    <t>0101124477171A1F161508E2B76DD8A1682</t>
  </si>
  <si>
    <t>외벽, 18mm</t>
  </si>
  <si>
    <t>호표 118</t>
  </si>
  <si>
    <t>4477171A1F161508E2FD1CCAC40FB</t>
  </si>
  <si>
    <t>0101124477171A1F161508E2FD1CCAC40FB</t>
  </si>
  <si>
    <t>ELEV.주위 몰탈충진</t>
  </si>
  <si>
    <t>호표 119</t>
  </si>
  <si>
    <t>4477171A1F161508E2FD1CCAF18B1</t>
  </si>
  <si>
    <t>0101124477171A1F161508E2FD1CCAF18B1</t>
  </si>
  <si>
    <t>바닥, 37mm</t>
  </si>
  <si>
    <t>호표 120</t>
  </si>
  <si>
    <t>4477171A1F16152B9568C9D6759AD</t>
  </si>
  <si>
    <t>0101124477171A1F16152B9568C9D6759AD</t>
  </si>
  <si>
    <t>0101124477171A1F16152B9568C9D602935</t>
  </si>
  <si>
    <t>바닥, 53.5mm</t>
  </si>
  <si>
    <t>호표 121</t>
  </si>
  <si>
    <t>4477171A1F16152B9568C9D602934</t>
  </si>
  <si>
    <t>0101124477171A1F16152B9568C9D602934</t>
  </si>
  <si>
    <t>0101124477171A1F16152B9568C9D60293D</t>
  </si>
  <si>
    <t>바닥, 52mm</t>
  </si>
  <si>
    <t>호표 122</t>
  </si>
  <si>
    <t>4477171A1F16152B9568C9D60282F</t>
  </si>
  <si>
    <t>0101124477171A1F16152B9568C9D60282F</t>
  </si>
  <si>
    <t>바닥, 57mm</t>
  </si>
  <si>
    <t>호표 123</t>
  </si>
  <si>
    <t>4477171A1F16152B9568C9D60282D</t>
  </si>
  <si>
    <t>0101124477171A1F16152B9568C9D60282D</t>
  </si>
  <si>
    <t>바닥, 60mm</t>
  </si>
  <si>
    <t>호표 124</t>
  </si>
  <si>
    <t>4477171A1F16152B9568C9D60282B</t>
  </si>
  <si>
    <t>0101124477171A1F16152B9568C9D60282B</t>
  </si>
  <si>
    <t>바닥, 118mm</t>
  </si>
  <si>
    <t>호표 125</t>
  </si>
  <si>
    <t>4477171A1F16152B9568C9D602F5A</t>
  </si>
  <si>
    <t>0101124477171A1F16152B9568C9D602F5A</t>
  </si>
  <si>
    <t>바닥, 158mm</t>
  </si>
  <si>
    <t>호표 126</t>
  </si>
  <si>
    <t>4477171A1F16152B9568C9D602F55</t>
  </si>
  <si>
    <t>0101124477171A1F16152B9568C9D602F55</t>
  </si>
  <si>
    <t>콘크리트면 정리</t>
  </si>
  <si>
    <t>외벽</t>
  </si>
  <si>
    <t>호표 127</t>
  </si>
  <si>
    <t>4477171A1F2015650EC5706B96BED</t>
  </si>
  <si>
    <t>0101124477171A1F2015650EC5706B96BED</t>
  </si>
  <si>
    <t>외천장</t>
  </si>
  <si>
    <t>호표 128</t>
  </si>
  <si>
    <t>4477171A1F2015650EC5706B96BEE</t>
  </si>
  <si>
    <t>0101124477171A1F2015650EC5706B96BEE</t>
  </si>
  <si>
    <t>내천장</t>
  </si>
  <si>
    <t>호표 129</t>
  </si>
  <si>
    <t>4477171A1F2015650EC5706BEEDE3</t>
  </si>
  <si>
    <t>0101124477171A1F2015650EC5706BEEDE3</t>
  </si>
  <si>
    <t>내벽</t>
  </si>
  <si>
    <t>호표 130</t>
  </si>
  <si>
    <t>4477171A1F2015650EC5706BEEDE2</t>
  </si>
  <si>
    <t>0101124477171A1F2015650EC5706BEEDE2</t>
  </si>
  <si>
    <t>쇠흙손마감</t>
  </si>
  <si>
    <t>콘크리트면</t>
  </si>
  <si>
    <t>호표 131</t>
  </si>
  <si>
    <t>4477171A1F4315196993763B6D45D</t>
  </si>
  <si>
    <t>0101124477171A1F4315196993763B6D45D</t>
  </si>
  <si>
    <t>기계미장</t>
  </si>
  <si>
    <t>호표 132</t>
  </si>
  <si>
    <t>4477171A1F4315196993763B6D45C</t>
  </si>
  <si>
    <t>0101124477171A1F4315196993763B6D45C</t>
  </si>
  <si>
    <t>판넬히팅</t>
  </si>
  <si>
    <t>T=250mm(압출 110mm+경량기포110mm+몰30mm)</t>
  </si>
  <si>
    <t>호표 133</t>
  </si>
  <si>
    <t>4477171A670E156A71A7E156D951B</t>
  </si>
  <si>
    <t>0101124477171A670E156A71A7E156D951B</t>
  </si>
  <si>
    <t>T=290mm(압출 110mm+경량기포140mm+몰40mm)</t>
  </si>
  <si>
    <t>호표 134</t>
  </si>
  <si>
    <t>4477171A670E156A71A7E156D951D</t>
  </si>
  <si>
    <t>0101124477171A670E156A71A7E156D951D</t>
  </si>
  <si>
    <t>T=230mm(경질90mm+경량기포110mm+몰30mm)</t>
  </si>
  <si>
    <t>호표 135</t>
  </si>
  <si>
    <t>4477171A670E156A71A7E151C96B4</t>
  </si>
  <si>
    <t>0101124477171A670E156A71A7E151C96B4</t>
  </si>
  <si>
    <t>T=230mm(경질90mm+경량기포60mm+몰48mm)</t>
  </si>
  <si>
    <t>호표 136</t>
  </si>
  <si>
    <t>4477171A670E156A71A7E151C96B5</t>
  </si>
  <si>
    <t>0101124477171A670E156A71A7E151C96B5</t>
  </si>
  <si>
    <t>창호주위 모르타르 충전</t>
  </si>
  <si>
    <t>10M</t>
  </si>
  <si>
    <t>호표 137</t>
  </si>
  <si>
    <t>447717ABA2BC15EFADB8BAF8B1DF8</t>
  </si>
  <si>
    <t>010112447717ABA2BC15EFADB8BAF8B1DF8</t>
  </si>
  <si>
    <t>호표 138</t>
  </si>
  <si>
    <t>447717ABA2BC15EFADB8BAF8A7442</t>
  </si>
  <si>
    <t>010112447717ABA2BC15EFADB8BAF8A7442</t>
  </si>
  <si>
    <t>창호주위 발포우레탄 충전</t>
  </si>
  <si>
    <t>호표 139</t>
  </si>
  <si>
    <t>447717ABA2BC15EFBE2FD867716B4</t>
  </si>
  <si>
    <t>010112447717ABA2BC15EFBE2FD867716B4</t>
  </si>
  <si>
    <t>010113  창  호  공  사</t>
  </si>
  <si>
    <t>010113</t>
  </si>
  <si>
    <t>유리문</t>
  </si>
  <si>
    <t>유리문, 12*600*2400mm, 손보호, 투명, 강화유리문</t>
  </si>
  <si>
    <t>45C61727F3E315DA92B49D6357B297CF6556B</t>
  </si>
  <si>
    <t>01011345C61727F3E315DA92B49D6357B297CF6556B</t>
  </si>
  <si>
    <t>유리문, 28*1100*2400mm, 손보호, 투명, 복층유리문</t>
  </si>
  <si>
    <t>45C61727F3E315DA92B49D6357B297CF6556A</t>
  </si>
  <si>
    <t>01011345C61727F3E315DA92B49D6357B297CF6556A</t>
  </si>
  <si>
    <t>유리문, 28*1075*2400mm, 손보호, 투명, 복층유리문</t>
  </si>
  <si>
    <t>45C61727F3E315DA92B49D6357B297CF65569</t>
  </si>
  <si>
    <t>01011345C61727F3E315DA92B49D6357B297CF65569</t>
  </si>
  <si>
    <t>강화유리</t>
  </si>
  <si>
    <t>강화유리, 투명, 8mm</t>
  </si>
  <si>
    <t>435C17C09A151501CAEA1BB8B1071E2131448</t>
  </si>
  <si>
    <t>010113435C17C09A151501CAEA1BB8B1071E2131448</t>
  </si>
  <si>
    <t>AFD01[방풍실 자동문]</t>
  </si>
  <si>
    <t>3.460 x 2.100 = 7.266</t>
  </si>
  <si>
    <t>45C61727F3E315DA92B49D6357B297CF6544F</t>
  </si>
  <si>
    <t>01011345C61727F3E315DA92B49D6357B297CF6544F</t>
  </si>
  <si>
    <t>FSD02[기계실]</t>
  </si>
  <si>
    <t>2.200 x 2.100 = 4.620</t>
  </si>
  <si>
    <t>45C61727F3E315DA92B49D6357B297F4A928B</t>
  </si>
  <si>
    <t>01011345C61727F3E315DA92B49D6357B297F4A928B</t>
  </si>
  <si>
    <t>FSD01[계단실,2인실현관]</t>
  </si>
  <si>
    <t>1.100 x 2.100 = 2.310</t>
  </si>
  <si>
    <t>45C61727F3E315DA92B49D6357B297F4A928A</t>
  </si>
  <si>
    <t>01011345C61727F3E315DA92B49D6357B297F4A928A</t>
  </si>
  <si>
    <t>FSD03</t>
  </si>
  <si>
    <t>0.900 x 1.900 = 1.710</t>
  </si>
  <si>
    <t>45C61727F3E315DA92B49D6357B297F4A928C</t>
  </si>
  <si>
    <t>01011345C61727F3E315DA92B49D6357B297F4A928C</t>
  </si>
  <si>
    <t>FSD04</t>
  </si>
  <si>
    <t>45C61727F3E315DA92B49D6357B297CF2F494</t>
  </si>
  <si>
    <t>01011345C61727F3E315DA92B49D6357B297CF2F494</t>
  </si>
  <si>
    <t>FSD05</t>
  </si>
  <si>
    <t>0.800 x 1.800 = 1.440</t>
  </si>
  <si>
    <t>호표 140</t>
  </si>
  <si>
    <t>447717ABDE3215F636F7331AA113F</t>
  </si>
  <si>
    <t>010113447717ABDE3215F636F7331AA113F</t>
  </si>
  <si>
    <t>GD01</t>
  </si>
  <si>
    <t>1.400 x 2.400 = 3.360</t>
  </si>
  <si>
    <t>호표 141</t>
  </si>
  <si>
    <t>447717ABDE3215F636F7331AA16BB</t>
  </si>
  <si>
    <t>010113447717ABDE3215F636F7331AA16BB</t>
  </si>
  <si>
    <t>ISD01[공기충전실]</t>
  </si>
  <si>
    <t>2.250 x 2.400 = 5.400</t>
  </si>
  <si>
    <t>45C61727F3E315DA92B49D6357B297F48ED0B</t>
  </si>
  <si>
    <t>01011345C61727F3E315DA92B49D6357B297F48ED0B</t>
  </si>
  <si>
    <t>PD01</t>
  </si>
  <si>
    <t>0.800 x 2.100 = 1.680</t>
  </si>
  <si>
    <t>호표 142</t>
  </si>
  <si>
    <t>447717ABDE3215F636F7331AA148A</t>
  </si>
  <si>
    <t>010113447717ABDE3215F636F7331AA148A</t>
  </si>
  <si>
    <t>PD02</t>
  </si>
  <si>
    <t>호표 143</t>
  </si>
  <si>
    <t>447717ABDE3215F636F7331AA1488</t>
  </si>
  <si>
    <t>010113447717ABDE3215F636F7331AA1488</t>
  </si>
  <si>
    <t>SD01</t>
  </si>
  <si>
    <t>호표 144</t>
  </si>
  <si>
    <t>447717ABDE3215F636F7331AA1590</t>
  </si>
  <si>
    <t>010113447717ABDE3215F636F7331AA1590</t>
  </si>
  <si>
    <t>SD01A</t>
  </si>
  <si>
    <t>호표 145</t>
  </si>
  <si>
    <t>447717ABDE3215F636F7331AA1593</t>
  </si>
  <si>
    <t>010113447717ABDE3215F636F7331AA1593</t>
  </si>
  <si>
    <t>SD02</t>
  </si>
  <si>
    <t>호표 146</t>
  </si>
  <si>
    <t>447717ABDE3215F636F7331AA1592</t>
  </si>
  <si>
    <t>010113447717ABDE3215F636F7331AA1592</t>
  </si>
  <si>
    <t>SD02A</t>
  </si>
  <si>
    <t>호표 147</t>
  </si>
  <si>
    <t>447717ABDE3215F636F7331AA159C</t>
  </si>
  <si>
    <t>010113447717ABDE3215F636F7331AA159C</t>
  </si>
  <si>
    <t>SD03</t>
  </si>
  <si>
    <t>1.500 x 2.100 = 3.150</t>
  </si>
  <si>
    <t>호표 148</t>
  </si>
  <si>
    <t>447717ABDE3215F636F7331AA1A16</t>
  </si>
  <si>
    <t>010113447717ABDE3215F636F7331AA1A16</t>
  </si>
  <si>
    <t>SD05</t>
  </si>
  <si>
    <t>0.750 x 2.100 = 1.575</t>
  </si>
  <si>
    <t>호표 149</t>
  </si>
  <si>
    <t>447717ABDE3215F636F7331AA1A15</t>
  </si>
  <si>
    <t>010113447717ABDE3215F636F7331AA1A15</t>
  </si>
  <si>
    <t>SD06</t>
  </si>
  <si>
    <t>호표 150</t>
  </si>
  <si>
    <t>447717ABDE3215F636F7331AA1A13</t>
  </si>
  <si>
    <t>010113447717ABDE3215F636F7331AA1A13</t>
  </si>
  <si>
    <t>SSD01</t>
  </si>
  <si>
    <t>호표 151</t>
  </si>
  <si>
    <t>447717ABDE3215F636F7331AA1A14</t>
  </si>
  <si>
    <t>010113447717ABDE3215F636F7331AA1A14</t>
  </si>
  <si>
    <t>SSD02</t>
  </si>
  <si>
    <t>호표 152</t>
  </si>
  <si>
    <t>447717ABDE3215F636F7331AA1A12</t>
  </si>
  <si>
    <t>010113447717ABDE3215F636F7331AA1A12</t>
  </si>
  <si>
    <t>SSD03</t>
  </si>
  <si>
    <t>호표 153</t>
  </si>
  <si>
    <t>447717ABDE3215F636F7331AA1A10</t>
  </si>
  <si>
    <t>010113447717ABDE3215F636F7331AA1A10</t>
  </si>
  <si>
    <t>SSD03A</t>
  </si>
  <si>
    <t>9.100 x 3.000 = 27.300</t>
  </si>
  <si>
    <t>호표 154</t>
  </si>
  <si>
    <t>447717ABDE3215F636F7331AA1A1F</t>
  </si>
  <si>
    <t>010113447717ABDE3215F636F7331AA1A1F</t>
  </si>
  <si>
    <t>SSD04</t>
  </si>
  <si>
    <t>호표 155</t>
  </si>
  <si>
    <t>447717ABDE3215F636F7331AA1A1E</t>
  </si>
  <si>
    <t>010113447717ABDE3215F636F7331AA1A1E</t>
  </si>
  <si>
    <t>SSD05</t>
  </si>
  <si>
    <t>1.100 x 2.700 = 2.970</t>
  </si>
  <si>
    <t>호표 156</t>
  </si>
  <si>
    <t>447717ABDE3215F636F7331AA1B3D</t>
  </si>
  <si>
    <t>010113447717ABDE3215F636F7331AA1B3D</t>
  </si>
  <si>
    <t>SSD06</t>
  </si>
  <si>
    <t>8.300 x 2.700 = 22.410</t>
  </si>
  <si>
    <t>호표 157</t>
  </si>
  <si>
    <t>447717ABDE3215F636F7331AA1B3B</t>
  </si>
  <si>
    <t>010113447717ABDE3215F636F7331AA1B3B</t>
  </si>
  <si>
    <t>SSD07</t>
  </si>
  <si>
    <t>4.700 x 2.700 = 12.690</t>
  </si>
  <si>
    <t>호표 158</t>
  </si>
  <si>
    <t>447717ABDE3215F636F7331AA1B39</t>
  </si>
  <si>
    <t>010113447717ABDE3215F636F7331AA1B39</t>
  </si>
  <si>
    <t>SSD08</t>
  </si>
  <si>
    <t>3.200 x 2.700 = 8.640</t>
  </si>
  <si>
    <t>호표 159</t>
  </si>
  <si>
    <t>447717ABDE3215F636F7331AA1B37</t>
  </si>
  <si>
    <t>010113447717ABDE3215F636F7331AA1B37</t>
  </si>
  <si>
    <t>SSD09</t>
  </si>
  <si>
    <t>7.950 x 3.300 = 26.235</t>
  </si>
  <si>
    <t>호표 160</t>
  </si>
  <si>
    <t>447717ABDE3215F636F7331A90BEE</t>
  </si>
  <si>
    <t>010113447717ABDE3215F636F7331A90BEE</t>
  </si>
  <si>
    <t>SSD11</t>
  </si>
  <si>
    <t>10.100 x 3.000 = 30.300</t>
  </si>
  <si>
    <t>호표 161</t>
  </si>
  <si>
    <t>447717ABDE3215F636F7331A90BEC</t>
  </si>
  <si>
    <t>010113447717ABDE3215F636F7331A90BEC</t>
  </si>
  <si>
    <t>SSD12</t>
  </si>
  <si>
    <t>6.400 x 3.000 = 19.200</t>
  </si>
  <si>
    <t>호표 162</t>
  </si>
  <si>
    <t>447717ABDE3215F636F7331A90BEA</t>
  </si>
  <si>
    <t>010113447717ABDE3215F636F7331A90BEA</t>
  </si>
  <si>
    <t>SSD13</t>
  </si>
  <si>
    <t>9.500 x 3.000 = 28.500</t>
  </si>
  <si>
    <t>호표 163</t>
  </si>
  <si>
    <t>447717ABDE3215F636F7331A90BE8</t>
  </si>
  <si>
    <t>010113447717ABDE3215F636F7331A90BE8</t>
  </si>
  <si>
    <t>SSD14</t>
  </si>
  <si>
    <t>6.200 x 2.700 = 16.740</t>
  </si>
  <si>
    <t>호표 164</t>
  </si>
  <si>
    <t>447717ABDE3215F636F7331A90BE6</t>
  </si>
  <si>
    <t>010113447717ABDE3215F636F7331A90BE6</t>
  </si>
  <si>
    <t>SSD15</t>
  </si>
  <si>
    <t>9.000 x 2.700 = 24.300</t>
  </si>
  <si>
    <t>호표 165</t>
  </si>
  <si>
    <t>447717ABDE3215F636F7331A90AC8</t>
  </si>
  <si>
    <t>010113447717ABDE3215F636F7331A90AC8</t>
  </si>
  <si>
    <t>SSD16[ASD01]</t>
  </si>
  <si>
    <t>8.200 x 3.900 = 31.980</t>
  </si>
  <si>
    <t>호표 166</t>
  </si>
  <si>
    <t>447717ABDE3215F636F7331A90ACA</t>
  </si>
  <si>
    <t>010113447717ABDE3215F636F7331A90ACA</t>
  </si>
  <si>
    <t>SSD17[ASD01]</t>
  </si>
  <si>
    <t>10.700 x 3.000 = 32.100</t>
  </si>
  <si>
    <t>호표 167</t>
  </si>
  <si>
    <t>447717ABDE3215F636F7331A90ACC</t>
  </si>
  <si>
    <t>010113447717ABDE3215F636F7331A90ACC</t>
  </si>
  <si>
    <t>SSW01</t>
  </si>
  <si>
    <t>2.300 x 3.300 = 7.590</t>
  </si>
  <si>
    <t>호표 168</t>
  </si>
  <si>
    <t>447717ABDE3215F636F7331A90AC0</t>
  </si>
  <si>
    <t>010113447717ABDE3215F636F7331A90AC0</t>
  </si>
  <si>
    <t>SSW02</t>
  </si>
  <si>
    <t>1.500 x 0.600 = 0.900</t>
  </si>
  <si>
    <t>호표 169</t>
  </si>
  <si>
    <t>447717ABDE3215F636F7331A90923</t>
  </si>
  <si>
    <t>010113447717ABDE3215F636F7331A90923</t>
  </si>
  <si>
    <t>SSW03</t>
  </si>
  <si>
    <t>1.200 x 0.600 = 0.720</t>
  </si>
  <si>
    <t>호표 170</t>
  </si>
  <si>
    <t>447717ABDE3215F636F7331A90921</t>
  </si>
  <si>
    <t>010113447717ABDE3215F636F7331A90921</t>
  </si>
  <si>
    <t>창호유리설치 / 판유리</t>
  </si>
  <si>
    <t>유리두께 9mm 이하</t>
  </si>
  <si>
    <t>호표 171</t>
  </si>
  <si>
    <t>447717ABB37A1516C8582FBECC8D9</t>
  </si>
  <si>
    <t>010113447717ABB37A1516C8582FBECC8D9</t>
  </si>
  <si>
    <t>45C61727F3E315DA92B49D6357B297EA5DF0B</t>
  </si>
  <si>
    <t>01011345C61727F3E315DA92B49D6357B297EA5DF0B</t>
  </si>
  <si>
    <t>[하드웨어]</t>
  </si>
  <si>
    <t>45C61727F3E315DA92B49D6357B297EA5DF0A</t>
  </si>
  <si>
    <t>01011345C61727F3E315DA92B49D6357B297EA5DF0A</t>
  </si>
  <si>
    <t xml:space="preserve"> 이지힌지</t>
  </si>
  <si>
    <t xml:space="preserve"> HDP HHH502SS4035</t>
  </si>
  <si>
    <t xml:space="preserve"> EA</t>
  </si>
  <si>
    <t>45C61727F3E315DA92B49D6357B297EA5DF07</t>
  </si>
  <si>
    <t>01011345C61727F3E315DA92B49D6357B297EA5DF07</t>
  </si>
  <si>
    <t xml:space="preserve"> 정첩 4.5"x4"</t>
  </si>
  <si>
    <t xml:space="preserve"> HDP HBH505SS4540</t>
  </si>
  <si>
    <t>45C61727F3E315DA92B49D6357B297EA5DF06</t>
  </si>
  <si>
    <t>01011345C61727F3E315DA92B49D6357B297EA5DF06</t>
  </si>
  <si>
    <t xml:space="preserve"> 정첩 5"x4"</t>
  </si>
  <si>
    <t xml:space="preserve"> HDP HBH505SS5040</t>
  </si>
  <si>
    <t>45C61727F3E315DA92B49D6357B297EA5DCBB</t>
  </si>
  <si>
    <t>01011345C61727F3E315DA92B49D6357B297EA5DCBB</t>
  </si>
  <si>
    <t xml:space="preserve"> 제니스힌지</t>
  </si>
  <si>
    <t xml:space="preserve"> SATURN STH 3101Z</t>
  </si>
  <si>
    <t>45C61727F3E315DA92B49D6357B297EA5DCBA</t>
  </si>
  <si>
    <t>01011345C61727F3E315DA92B49D6357B297EA5DCBA</t>
  </si>
  <si>
    <t xml:space="preserve"> 보텀 레일 대드락</t>
  </si>
  <si>
    <t xml:space="preserve"> KOPAT KB-200</t>
  </si>
  <si>
    <t>45C61727F3E315DA92B49D6357B297EA5DCB9</t>
  </si>
  <si>
    <t>01011345C61727F3E315DA92B49D6357B297EA5DCB9</t>
  </si>
  <si>
    <t xml:space="preserve"> 도어클로저-일반형</t>
  </si>
  <si>
    <t xml:space="preserve"> SAMHWA K-770F</t>
  </si>
  <si>
    <t>45C61727F3E315DA92B49D6357B297EA5DCB8</t>
  </si>
  <si>
    <t>01011345C61727F3E315DA92B49D6357B297EA5DCB8</t>
  </si>
  <si>
    <t xml:space="preserve"> SAMHWA S-630F</t>
  </si>
  <si>
    <t>45C61727F3E315DA92B49D6357B297EA5DCBF</t>
  </si>
  <si>
    <t>01011345C61727F3E315DA92B49D6357B297EA5DCBF</t>
  </si>
  <si>
    <t xml:space="preserve"> SAMHWA K-909F</t>
  </si>
  <si>
    <t>45C61727F3E315DA92B49D6357B297EA5DCBE</t>
  </si>
  <si>
    <t>01011345C61727F3E315DA92B49D6357B297EA5DCBE</t>
  </si>
  <si>
    <t xml:space="preserve"> 개폐순위조절기</t>
  </si>
  <si>
    <t xml:space="preserve"> FREEDOOR K-34</t>
  </si>
  <si>
    <t>45C61727F3E315DA92B49D6357B297EA5DCBD</t>
  </si>
  <si>
    <t>01011345C61727F3E315DA92B49D6357B297EA5DCBD</t>
  </si>
  <si>
    <t xml:space="preserve"> 먼지마개소켓</t>
  </si>
  <si>
    <t xml:space="preserve"> WJ WDP-15</t>
  </si>
  <si>
    <t>45C61727F3E315DA92B49D6357B297EA5DCBC</t>
  </si>
  <si>
    <t>01011345C61727F3E315DA92B49D6357B297EA5DCBC</t>
  </si>
  <si>
    <t xml:space="preserve"> 도어스토퍼-일자형</t>
  </si>
  <si>
    <t xml:space="preserve"> WJ WDH-12</t>
  </si>
  <si>
    <t>45C61727F3E315DA92B49D6357B297EA5DCB2</t>
  </si>
  <si>
    <t>01011345C61727F3E315DA92B49D6357B297EA5DCB2</t>
  </si>
  <si>
    <t xml:space="preserve"> 도어스토퍼-바닥형</t>
  </si>
  <si>
    <t xml:space="preserve"> WJ WDH-14</t>
  </si>
  <si>
    <t>45C61727F3E315DA92B49D6357B297EA5DD42</t>
  </si>
  <si>
    <t>01011345C61727F3E315DA92B49D6357B297EA5DD42</t>
  </si>
  <si>
    <t xml:space="preserve"> 오르내리꽂음쇠-12"</t>
  </si>
  <si>
    <t xml:space="preserve"> WJ WFB850SS-12"</t>
  </si>
  <si>
    <t>45C61727F3E315DA92B49D6357B297EA5DD40</t>
  </si>
  <si>
    <t>01011345C61727F3E315DA92B49D6357B297EA5DD40</t>
  </si>
  <si>
    <t xml:space="preserve"> 오르내리꽂음쇠-24"</t>
  </si>
  <si>
    <t xml:space="preserve"> WJ WFB850SS-24"</t>
  </si>
  <si>
    <t>45C61727F3E315DA92B49D6357B297EA5DD41</t>
  </si>
  <si>
    <t>01011345C61727F3E315DA92B49D6357B297EA5DD41</t>
  </si>
  <si>
    <t xml:space="preserve"> 플로어힌지</t>
  </si>
  <si>
    <t xml:space="preserve"> CROSS CF850-WP</t>
  </si>
  <si>
    <t>45C61727F3E315DA92B49D6357B297EA5DD46</t>
  </si>
  <si>
    <t>01011345C61727F3E315DA92B49D6357B297EA5DD46</t>
  </si>
  <si>
    <t xml:space="preserve"> 컵핸들-키타입</t>
  </si>
  <si>
    <t xml:space="preserve"> KOPAT CH-200</t>
  </si>
  <si>
    <t>45C61727F3E315DA92B49D6357B297EA5DD45</t>
  </si>
  <si>
    <t>01011345C61727F3E315DA92B49D6357B297EA5DD45</t>
  </si>
  <si>
    <t xml:space="preserve"> 유리문락-PRIVACY</t>
  </si>
  <si>
    <t xml:space="preserve"> COAD CS-200</t>
  </si>
  <si>
    <t>45C61727F3E315DA92B49D6357B297EA5DD4B</t>
  </si>
  <si>
    <t>01011345C61727F3E315DA92B49D6357B297EA5DD4B</t>
  </si>
  <si>
    <t xml:space="preserve"> 레버락셋-PRIVACY</t>
  </si>
  <si>
    <t xml:space="preserve"> KOPAT LT-700SS</t>
  </si>
  <si>
    <t>45C61727F3E315DA92B49D6357B297EA5D2B8</t>
  </si>
  <si>
    <t>01011345C61727F3E315DA92B49D6357B297EA5D2B8</t>
  </si>
  <si>
    <t xml:space="preserve"> 모티스 실린더</t>
  </si>
  <si>
    <t xml:space="preserve"> KOPAT KBC-200</t>
  </si>
  <si>
    <t>45C61727F3E315DA92B49D6357B297EA5D2B9</t>
  </si>
  <si>
    <t>01011345C61727F3E315DA92B49D6357B297EA5D2B9</t>
  </si>
  <si>
    <t xml:space="preserve"> 모티스 실린더-LONG</t>
  </si>
  <si>
    <t xml:space="preserve"> KOPAT KMC-200/L</t>
  </si>
  <si>
    <t>45C61727F3E315DA92B49D6357B297EA5D2BA</t>
  </si>
  <si>
    <t>01011345C61727F3E315DA92B49D6357B297EA5D2BA</t>
  </si>
  <si>
    <t xml:space="preserve"> 모티스 대드락</t>
  </si>
  <si>
    <t xml:space="preserve"> KOPAT KM-100</t>
  </si>
  <si>
    <t>45C61727F3E315DA92B49D6357B297EA5D2BB</t>
  </si>
  <si>
    <t>01011345C61727F3E315DA92B49D6357B297EA5D2BB</t>
  </si>
  <si>
    <t xml:space="preserve"> 모티스 레버락셋-ENTRANCE</t>
  </si>
  <si>
    <t xml:space="preserve"> KOPAT L-1000</t>
  </si>
  <si>
    <t>45C61727F3E315DA92B49D6357B297EA5D2BC</t>
  </si>
  <si>
    <t>01011345C61727F3E315DA92B49D6357B297EA5D2BC</t>
  </si>
  <si>
    <t xml:space="preserve"> 모티스 레버공정</t>
  </si>
  <si>
    <t xml:space="preserve"> KOPAT L-1003D</t>
  </si>
  <si>
    <t>45C61727F3E315DA92B49D6357B297EA5D2BE</t>
  </si>
  <si>
    <t>01011345C61727F3E315DA92B49D6357B297EA5D2BE</t>
  </si>
  <si>
    <t xml:space="preserve"> 모티스 레버락셋-ENTRANCE(단열문)</t>
  </si>
  <si>
    <t xml:space="preserve"> KOPAT L-1000(단열문)</t>
  </si>
  <si>
    <t>45C61727F3E315DA92B49D6357B297EA5D2BF</t>
  </si>
  <si>
    <t>01011345C61727F3E315DA92B49D6357B297EA5D2BF</t>
  </si>
  <si>
    <t xml:space="preserve"> 모티스 레버공정(단열문)</t>
  </si>
  <si>
    <t xml:space="preserve"> KOPAT L-1003D(단열문)</t>
  </si>
  <si>
    <t>45C61727F3E315DA92B49D6357B297EA5D2B0</t>
  </si>
  <si>
    <t>01011345C61727F3E315DA92B49D6357B297EA5D2B0</t>
  </si>
  <si>
    <t xml:space="preserve"> 모티스 레버락셋-ENTRANCE(80T)</t>
  </si>
  <si>
    <t xml:space="preserve"> KOPAT L-1000(80T)</t>
  </si>
  <si>
    <t>45C61727F3E315DA92B49D6357B297EA5D2B1</t>
  </si>
  <si>
    <t>01011345C61727F3E315DA92B49D6357B297EA5D2B1</t>
  </si>
  <si>
    <t xml:space="preserve"> 모티스 레버공정(80T)</t>
  </si>
  <si>
    <t xml:space="preserve"> KOPAT L-1003D(80T)</t>
  </si>
  <si>
    <t>45C61727F3E315DA92B49D6357B297EA5D35E</t>
  </si>
  <si>
    <t>01011345C61727F3E315DA92B49D6357B297EA5D35E</t>
  </si>
  <si>
    <t xml:space="preserve"> 모티스 썸턴</t>
  </si>
  <si>
    <t xml:space="preserve"> KOPAT KBT-200</t>
  </si>
  <si>
    <t>45C61727F3E315DA92B49D6357B297EA5D35F</t>
  </si>
  <si>
    <t>01011345C61727F3E315DA92B49D6357B297EA5D35F</t>
  </si>
  <si>
    <t xml:space="preserve"> 피봇힌지-중량형</t>
  </si>
  <si>
    <t xml:space="preserve"> WJ M195x180</t>
  </si>
  <si>
    <t xml:space="preserve"> SET</t>
  </si>
  <si>
    <t>45C61727F3E315DA92B49D6357B297EA5D35C</t>
  </si>
  <si>
    <t>01011345C61727F3E315DA92B49D6357B297EA5D35C</t>
  </si>
  <si>
    <t xml:space="preserve"> 유리문 핸들</t>
  </si>
  <si>
    <t xml:space="preserve"> WJ WJ52G</t>
  </si>
  <si>
    <t>45C61727F3E315DA92B49D6357B297EA5D35A</t>
  </si>
  <si>
    <t>01011345C61727F3E315DA92B49D6357B297EA5D35A</t>
  </si>
  <si>
    <t xml:space="preserve"> 방음문 핸들</t>
  </si>
  <si>
    <t xml:space="preserve"> WJ W3321T</t>
  </si>
  <si>
    <t>45C61727F3E315DA92B49D6357B297EA5D35B</t>
  </si>
  <si>
    <t>01011345C61727F3E315DA92B49D6357B297EA5D35B</t>
  </si>
  <si>
    <t xml:space="preserve"> 샤워부스핸들</t>
  </si>
  <si>
    <t xml:space="preserve"> COAS CS350</t>
  </si>
  <si>
    <t>45C61727F3E315DA92B49D6357B297EA5D358</t>
  </si>
  <si>
    <t>01011345C61727F3E315DA92B49D6357B297EA5D358</t>
  </si>
  <si>
    <t xml:space="preserve"> 샤워부스힌지</t>
  </si>
  <si>
    <t xml:space="preserve"> COAD CD-102</t>
  </si>
  <si>
    <t>45C61727F3E315DA92B49D6357B297EA5D359</t>
  </si>
  <si>
    <t>01011345C61727F3E315DA92B49D6357B297EA5D359</t>
  </si>
  <si>
    <t xml:space="preserve"> 키캐비넷</t>
  </si>
  <si>
    <t xml:space="preserve"> WJ KC-300</t>
  </si>
  <si>
    <t>45C61727F3E315DA92B49D6357B297EA5D356</t>
  </si>
  <si>
    <t>01011345C61727F3E315DA92B49D6357B297EA5D356</t>
  </si>
  <si>
    <t>45C61727F3E315DA92B49D6357B297EA17B24</t>
  </si>
  <si>
    <t>01011345C61727F3E315DA92B49D6357B297EA17B24</t>
  </si>
  <si>
    <t>[단열자동문,단열세이프도어]</t>
  </si>
  <si>
    <t>45C61727F3E315DA92B49D6357B297EA17B2B</t>
  </si>
  <si>
    <t>01011345C61727F3E315DA92B49D6357B297EA17B2B</t>
  </si>
  <si>
    <t>ISSD-1</t>
  </si>
  <si>
    <t>8,050 x 3,900</t>
  </si>
  <si>
    <t>45C61727F3E315DA92B49D6357B297EA17A1C</t>
  </si>
  <si>
    <t>01011345C61727F3E315DA92B49D6357B297EA17A1C</t>
  </si>
  <si>
    <t>ISSD-2</t>
  </si>
  <si>
    <t>5,400 x 3,000</t>
  </si>
  <si>
    <t>45C61727F3E315DA92B49D6357B297EA17A1D</t>
  </si>
  <si>
    <t>01011345C61727F3E315DA92B49D6357B297EA17A1D</t>
  </si>
  <si>
    <t>ISSD-3</t>
  </si>
  <si>
    <t>6,200 x 3,000</t>
  </si>
  <si>
    <t>45C61727F3E315DA92B49D6357B297EA17A1E</t>
  </si>
  <si>
    <t>01011345C61727F3E315DA92B49D6357B297EA17A1E</t>
  </si>
  <si>
    <t>ISSD-4</t>
  </si>
  <si>
    <t>10,200 x   2,810</t>
  </si>
  <si>
    <t>45C61727F3E315DA92B49D6357B297EA17A1F</t>
  </si>
  <si>
    <t>01011345C61727F3E315DA92B49D6357B297EA17A1F</t>
  </si>
  <si>
    <t>ISSD-5</t>
  </si>
  <si>
    <t>10,390 x 3,000</t>
  </si>
  <si>
    <t>45C61727F3E315DA92B49D6357B297EA17A18</t>
  </si>
  <si>
    <t>01011345C61727F3E315DA92B49D6357B297EA17A18</t>
  </si>
  <si>
    <t>ISSD-6</t>
  </si>
  <si>
    <t>1,100 x 2,400</t>
  </si>
  <si>
    <t>45C61727F3E315DA92B49D6357B297EA17A19</t>
  </si>
  <si>
    <t>01011345C61727F3E315DA92B49D6357B297EA17A19</t>
  </si>
  <si>
    <t>상롯더</t>
  </si>
  <si>
    <t>단열후렘용</t>
  </si>
  <si>
    <t>조</t>
  </si>
  <si>
    <t>45C61727F3E315DA92B49D6357B297EA202F1</t>
  </si>
  <si>
    <t>01011345C61727F3E315DA92B49D6357B297EA202F1</t>
  </si>
  <si>
    <t>자동문단열자동세이프도어-스텐불소</t>
  </si>
  <si>
    <t>1,127 x 2,200</t>
  </si>
  <si>
    <t>45C61727F3E315DA92B49D6357B297EA202F0</t>
  </si>
  <si>
    <t>01011345C61727F3E315DA92B49D6357B297EA202F0</t>
  </si>
  <si>
    <t>1,134 x 2,200</t>
  </si>
  <si>
    <t>45C61727F3E315DA92B49D6357B297EA202F3</t>
  </si>
  <si>
    <t>01011345C61727F3E315DA92B49D6357B297EA202F3</t>
  </si>
  <si>
    <t>1,108 x 2,200</t>
  </si>
  <si>
    <t>45C61727F3E315DA92B49D6357B297EA20D9D</t>
  </si>
  <si>
    <t>01011345C61727F3E315DA92B49D6357B297EA20D9D</t>
  </si>
  <si>
    <t>자동문 자동기계</t>
  </si>
  <si>
    <t>쌍도어용</t>
  </si>
  <si>
    <t>45C61727F3E315DA92B49D6357B297CF5B1BB</t>
  </si>
  <si>
    <t>01011345C61727F3E315DA92B49D6357B297CF5B1BB</t>
  </si>
  <si>
    <t>외도어용</t>
  </si>
  <si>
    <t>45C61727F3E315DA92B49D6357B297CF5B1BA</t>
  </si>
  <si>
    <t>01011345C61727F3E315DA92B49D6357B297CF5B1BA</t>
  </si>
  <si>
    <t>시스템도어단열 락세이 프도어-스텐불소</t>
  </si>
  <si>
    <t>1,055 x 2,400</t>
  </si>
  <si>
    <t>45C61727F3E315DA92B49D6357B297CF5B1BD</t>
  </si>
  <si>
    <t>01011345C61727F3E315DA92B49D6357B297CF5B1BD</t>
  </si>
  <si>
    <t>1,010 x   2,100</t>
  </si>
  <si>
    <t>45C61727F3E315DA92B49D6357B297CF5B1BC</t>
  </si>
  <si>
    <t>01011345C61727F3E315DA92B49D6357B297CF5B1BC</t>
  </si>
  <si>
    <t>1,050 x 2,100 .</t>
  </si>
  <si>
    <t>45C61727F3E315DA92B49D6357B297CF5B1BF</t>
  </si>
  <si>
    <t>01011345C61727F3E315DA92B49D6357B297CF5B1BF</t>
  </si>
  <si>
    <t>1,075 x 2,400</t>
  </si>
  <si>
    <t>45C61727F3E315DA92B49D6357B297CF5B1B1</t>
  </si>
  <si>
    <t>01011345C61727F3E315DA92B49D6357B297CF5B1B1</t>
  </si>
  <si>
    <t>시스템도어 손잡이 일자스텐</t>
  </si>
  <si>
    <t>320 * H 1000</t>
  </si>
  <si>
    <t>45C61727F3E315DA92B49D6357B297CF5B1B0</t>
  </si>
  <si>
    <t>01011345C61727F3E315DA92B49D6357B297CF5B1B0</t>
  </si>
  <si>
    <t>시스템도어 후로아힌지</t>
  </si>
  <si>
    <t>K.S 8500</t>
  </si>
  <si>
    <t>45C61727F3E315DA92B49D6357B297CF5B240</t>
  </si>
  <si>
    <t>01011345C61727F3E315DA92B49D6357B297CF5B240</t>
  </si>
  <si>
    <t>세이프도어 시공설치비</t>
  </si>
  <si>
    <t>45C61727F3E315DA92B49D6357B297CF4AB68</t>
  </si>
  <si>
    <t>01011345C61727F3E315DA92B49D6357B297CF4AB68</t>
  </si>
  <si>
    <t>45C61727F3E315DA92B49D6357B297CF5B244</t>
  </si>
  <si>
    <t>01011345C61727F3E315DA92B49D6357B297CF5B244</t>
  </si>
  <si>
    <t>[ISD/FSD/IFSD]</t>
  </si>
  <si>
    <t>45C61727F3E315DA92B49D6357B297EA20D9C</t>
  </si>
  <si>
    <t>01011345C61727F3E315DA92B49D6357B297EA20D9C</t>
  </si>
  <si>
    <t>IFSD 01 단열</t>
  </si>
  <si>
    <t>1100*2100*200</t>
  </si>
  <si>
    <t>45C61727F3E315DA92B49D6357B297EA20D97</t>
  </si>
  <si>
    <t>01011345C61727F3E315DA92B49D6357B297EA20D97</t>
  </si>
  <si>
    <t>45C61727F3E315DA92B49D6357B297EA20D96</t>
  </si>
  <si>
    <t>01011345C61727F3E315DA92B49D6357B297EA20D96</t>
  </si>
  <si>
    <t>[단열폴딩도어]</t>
  </si>
  <si>
    <t>45C61727F3E315DA92B49D6357B297EA20CF8</t>
  </si>
  <si>
    <t>01011345C61727F3E315DA92B49D6357B297EA20CF8</t>
  </si>
  <si>
    <t>폴딩도어</t>
  </si>
  <si>
    <t>3360 * 3000 (4장)</t>
  </si>
  <si>
    <t>45C61727F3E315DA92B49D6357B297EA20CF9</t>
  </si>
  <si>
    <t>01011345C61727F3E315DA92B49D6357B297EA20CF9</t>
  </si>
  <si>
    <t>단위절사</t>
  </si>
  <si>
    <t>45C61727F3E315DA92B49D6357B297CF4A89D</t>
  </si>
  <si>
    <t>01011345C61727F3E315DA92B49D6357B297CF4A89D</t>
  </si>
  <si>
    <t>45C61727F3E315DA92B49D6357B297EA20CFA</t>
  </si>
  <si>
    <t>01011345C61727F3E315DA92B49D6357B297EA20CFA</t>
  </si>
  <si>
    <t>[방음문]-PSD01~PSD03</t>
  </si>
  <si>
    <t>45C61727F3E315DA92B49D6357B297EA20CFB</t>
  </si>
  <si>
    <t>01011345C61727F3E315DA92B49D6357B297EA20CFB</t>
  </si>
  <si>
    <t>시창형방음문 편개</t>
  </si>
  <si>
    <t>1100x2100(100mm),Steel1.6/2.0T,분체도장,시창.</t>
  </si>
  <si>
    <t>45C61727F3E315DA92B49D6357B297EA20CFC</t>
  </si>
  <si>
    <t>01011345C61727F3E315DA92B49D6357B297EA20CFC</t>
  </si>
  <si>
    <t>시창형방음문 양개</t>
  </si>
  <si>
    <t>2200x2100(100mm),Steel1.6/2.0T,분체도장,시창.</t>
  </si>
  <si>
    <t>45C61727F3E315DA92B49D6357B297EA20CFD</t>
  </si>
  <si>
    <t>01011345C61727F3E315DA92B49D6357B297EA20CFD</t>
  </si>
  <si>
    <t>레자방음문 양개</t>
  </si>
  <si>
    <t>2400x2100(100mm),Steel1.6/2.0T,분체도장,레자.</t>
  </si>
  <si>
    <t>45C61727F3E315DA92B49D6357B297EA20CFE</t>
  </si>
  <si>
    <t>01011345C61727F3E315DA92B49D6357B297EA20CFE</t>
  </si>
  <si>
    <t>45C61727F3E315DA92B49D6357B297EA20CFF</t>
  </si>
  <si>
    <t>01011345C61727F3E315DA92B49D6357B297EA20CFF</t>
  </si>
  <si>
    <t>[스틸셔터/방화스크린셔터]</t>
  </si>
  <si>
    <t>45C61727F3E315DA92B49D6357B297EA20CF0</t>
  </si>
  <si>
    <t>01011345C61727F3E315DA92B49D6357B297EA20CF0</t>
  </si>
  <si>
    <t>SST-1</t>
  </si>
  <si>
    <t>3000*3000</t>
  </si>
  <si>
    <t>45C61727F3E315DA92B49D6357B297EA20CF1</t>
  </si>
  <si>
    <t>01011345C61727F3E315DA92B49D6357B297EA20CF1</t>
  </si>
  <si>
    <t>FSH-1</t>
  </si>
  <si>
    <t>2300*3300</t>
  </si>
  <si>
    <t>45C61727F3E315DA92B49D6357B297EA32C53</t>
  </si>
  <si>
    <t>01011345C61727F3E315DA92B49D6357B297EA32C53</t>
  </si>
  <si>
    <t>FSH-2</t>
  </si>
  <si>
    <t>4000*3300</t>
  </si>
  <si>
    <t>45C61727F3E315DA92B49D6357B297EA32C52</t>
  </si>
  <si>
    <t>01011345C61727F3E315DA92B49D6357B297EA32C52</t>
  </si>
  <si>
    <t>FSH-3</t>
  </si>
  <si>
    <t>6250*3300</t>
  </si>
  <si>
    <t>45C61727F3E315DA92B49D6357B297EA32C51</t>
  </si>
  <si>
    <t>01011345C61727F3E315DA92B49D6357B297EA32C51</t>
  </si>
  <si>
    <t>FSH-4</t>
  </si>
  <si>
    <t>6000*3300</t>
  </si>
  <si>
    <t>45C61727F3E315DA92B49D6357B297EA32C50</t>
  </si>
  <si>
    <t>01011345C61727F3E315DA92B49D6357B297EA32C50</t>
  </si>
  <si>
    <t>FSH-5</t>
  </si>
  <si>
    <t>5800*3300</t>
  </si>
  <si>
    <t>45C61727F3E315DA92B49D6357B297EA32C57</t>
  </si>
  <si>
    <t>01011345C61727F3E315DA92B49D6357B297EA32C57</t>
  </si>
  <si>
    <t>FSH-6</t>
  </si>
  <si>
    <t>6400*3300</t>
  </si>
  <si>
    <t>45C61727F3E315DA92B49D6357B297CF2F49D</t>
  </si>
  <si>
    <t>01011345C61727F3E315DA92B49D6357B297CF2F49D</t>
  </si>
  <si>
    <t>FST-1</t>
  </si>
  <si>
    <t>6200*2700</t>
  </si>
  <si>
    <t>45C61727F3E315DA92B49D6357B297CF2F49C</t>
  </si>
  <si>
    <t>01011345C61727F3E315DA92B49D6357B297CF2F49C</t>
  </si>
  <si>
    <t>45C61727F3E315DA92B49D6357B297CF2F5BC</t>
  </si>
  <si>
    <t>01011345C61727F3E315DA92B49D6357B297CF2F5BC</t>
  </si>
  <si>
    <t>45C61727F3E315DA92B49D6357B297EA32C56</t>
  </si>
  <si>
    <t>01011345C61727F3E315DA92B49D6357B297EA32C56</t>
  </si>
  <si>
    <t>[자동문]</t>
  </si>
  <si>
    <t>45C61727F3E315DA92B49D6357B297EA32D7A</t>
  </si>
  <si>
    <t>01011345C61727F3E315DA92B49D6357B297EA32D7A</t>
  </si>
  <si>
    <t>ASD-1</t>
  </si>
  <si>
    <t>4625*2400</t>
  </si>
  <si>
    <t>45C61727F3E315DA92B49D6357B297EA32D7D</t>
  </si>
  <si>
    <t>01011345C61727F3E315DA92B49D6357B297EA32D7D</t>
  </si>
  <si>
    <t>ASD-1A</t>
  </si>
  <si>
    <t>4350*2400</t>
  </si>
  <si>
    <t>45C61727F3E315DA92B49D6357B297EA32D7C</t>
  </si>
  <si>
    <t>01011345C61727F3E315DA92B49D6357B297EA32D7C</t>
  </si>
  <si>
    <t>ASD-2</t>
  </si>
  <si>
    <t>2100*2100</t>
  </si>
  <si>
    <t>45C61727F3E315DA92B49D6357B297EA32D7F</t>
  </si>
  <si>
    <t>01011345C61727F3E315DA92B49D6357B297EA32D7F</t>
  </si>
  <si>
    <t>010114  유  리  공  사</t>
  </si>
  <si>
    <t>010114</t>
  </si>
  <si>
    <t>강화유리문, 12*1100*2100mm, 투명, 손보호</t>
  </si>
  <si>
    <t>435C17C09A151501E5B7D59051FB4FDD343C3</t>
  </si>
  <si>
    <t>010114435C17C09A151501E5B7D59051FB4FDD343C3</t>
  </si>
  <si>
    <t>강화유리문, 12*1200*2100mm, 투명, 손보호</t>
  </si>
  <si>
    <t>45C61727F3E315DA92B49D6357B297CF65568</t>
  </si>
  <si>
    <t>01011445C61727F3E315DA92B49D6357B297CF65568</t>
  </si>
  <si>
    <t>강화유리문, 12*1100*2400mm, 투명, 손보호</t>
  </si>
  <si>
    <t>435C17C09A151501E5B7D59051FB4FDD34114</t>
  </si>
  <si>
    <t>010114435C17C09A151501E5B7D59051FB4FDD34114</t>
  </si>
  <si>
    <t>42*1100*2400mm, 6LE+12AR+6CL+12AR+6LE ,로이삼중유리,손보호</t>
  </si>
  <si>
    <t>45C61727F3E315DA92B49D6357B297F48ED0A</t>
  </si>
  <si>
    <t>01011445C61727F3E315DA92B49D6357B297F48ED0A</t>
  </si>
  <si>
    <t>강화유리, 투명, 10mm</t>
  </si>
  <si>
    <t>45C61727F3E315DA92B49D6357B297F48ED0D</t>
  </si>
  <si>
    <t>01011445C61727F3E315DA92B49D6357B297F48ED0D</t>
  </si>
  <si>
    <t>강화유리, 투명, 10mm, 샤워부스</t>
  </si>
  <si>
    <t>45C61727F3E315DA92B49D6357B297CF4AB69</t>
  </si>
  <si>
    <t>01011445C61727F3E315DA92B49D6357B297CF4AB69</t>
  </si>
  <si>
    <t>강화유리, 투명, 12mm</t>
  </si>
  <si>
    <t>45C61727F3E315DA92B49D6357B297F48ED0C</t>
  </si>
  <si>
    <t>01011445C61727F3E315DA92B49D6357B297F48ED0C</t>
  </si>
  <si>
    <t>복층유리</t>
  </si>
  <si>
    <t>복층유리, 투명, 16mm, 5CL+6Air+5CL</t>
  </si>
  <si>
    <t>45C61727F3E315DA92B49D6357B297F48ED0F</t>
  </si>
  <si>
    <t>01011445C61727F3E315DA92B49D6357B297F48ED0F</t>
  </si>
  <si>
    <t>복층유리, 로이, 투명 일면반강화, 24mm, 5CL+14AR+5CL</t>
  </si>
  <si>
    <t>45C61727F3E315DA92B49D6357B297F48ED0E</t>
  </si>
  <si>
    <t>01011445C61727F3E315DA92B49D6357B297F48ED0E</t>
  </si>
  <si>
    <t>복층유리, 로이, 투명,26mm(6LE+14AR+6LE)</t>
  </si>
  <si>
    <t>45C61727F3E315DA92B49D6357B297F48ED01</t>
  </si>
  <si>
    <t>01011445C61727F3E315DA92B49D6357B297F48ED01</t>
  </si>
  <si>
    <t>복층유리, 로이, 투명,32mm(4LE+10AR+4LE+10AR+4CL)</t>
  </si>
  <si>
    <t>45C61727F3E315DA92B49D6357B297F48ED00</t>
  </si>
  <si>
    <t>01011445C61727F3E315DA92B49D6357B297F48ED00</t>
  </si>
  <si>
    <t>에칭시트마감</t>
  </si>
  <si>
    <t>SSD 강화유리면</t>
  </si>
  <si>
    <t>호표 172</t>
  </si>
  <si>
    <t>432717FB8F77154CDAF6208D77327</t>
  </si>
  <si>
    <t>010114432717FB8F77154CDAF6208D77327</t>
  </si>
  <si>
    <t>유리주위 코킹</t>
  </si>
  <si>
    <t>5*5, 실리콘</t>
  </si>
  <si>
    <t>호표 173</t>
  </si>
  <si>
    <t>447717ED1D6915B05543CC9CE5C8E</t>
  </si>
  <si>
    <t>010114447717ED1D6915B05543CC9CE5C8E</t>
  </si>
  <si>
    <t>구조용 코킹</t>
  </si>
  <si>
    <t>5*16, 실리콘</t>
  </si>
  <si>
    <t>호표 174</t>
  </si>
  <si>
    <t>447717ED1D6915EDA9A36AEE18765</t>
  </si>
  <si>
    <t>010114447717ED1D6915EDA9A36AEE18765</t>
  </si>
  <si>
    <t>유리두께 12mm 이하</t>
  </si>
  <si>
    <t>호표 175</t>
  </si>
  <si>
    <t>447717ABB37A1516C8582FBECCF08</t>
  </si>
  <si>
    <t>010114447717ABB37A1516C8582FBECCF08</t>
  </si>
  <si>
    <t>창호유리설치 / 복층유리</t>
  </si>
  <si>
    <t>유리두께 16mm 이하</t>
  </si>
  <si>
    <t>호표 176</t>
  </si>
  <si>
    <t>447717AB487615B6B870C89C60BB9</t>
  </si>
  <si>
    <t>010114447717AB487615B6B870C89C60BB9</t>
  </si>
  <si>
    <t>유리두께 24mm 이하</t>
  </si>
  <si>
    <t>호표 177</t>
  </si>
  <si>
    <t>447717AB487615B6B870C89C60C9D</t>
  </si>
  <si>
    <t>010114447717AB487615B6B870C89C60C9D</t>
  </si>
  <si>
    <t>복층유리주위 코킹</t>
  </si>
  <si>
    <t>호표 178</t>
  </si>
  <si>
    <t>447717AB48E9152E390BD777FEB43</t>
  </si>
  <si>
    <t>010114447717AB48E9152E390BD777FEB43</t>
  </si>
  <si>
    <t>웨더코킹</t>
  </si>
  <si>
    <t>호표 179</t>
  </si>
  <si>
    <t>447717AB48E9152E390BD75B27EAA</t>
  </si>
  <si>
    <t>010114447717AB48E9152E390BD75B27EAA</t>
  </si>
  <si>
    <t>노턴테이프</t>
  </si>
  <si>
    <t>호표 180</t>
  </si>
  <si>
    <t>447717AB48E9152E390BD74AB0CE5</t>
  </si>
  <si>
    <t>010114447717AB48E9152E390BD74AB0CE5</t>
  </si>
  <si>
    <t>방습거울설치 - 합판 12mm+STS 1.5mm</t>
  </si>
  <si>
    <t>5mm, 틀 포함</t>
  </si>
  <si>
    <t>호표 181</t>
  </si>
  <si>
    <t>447717AB5A9F152D2460010B16E30</t>
  </si>
  <si>
    <t>010114447717AB5A9F152D2460010B16E30</t>
  </si>
  <si>
    <t>010115  칠    공    사</t>
  </si>
  <si>
    <t>010115</t>
  </si>
  <si>
    <t>1회. 1종</t>
  </si>
  <si>
    <t>호표 182</t>
  </si>
  <si>
    <t>44771786E29515AD9F03D485059CC</t>
  </si>
  <si>
    <t>01011544771786E29515AD9F03D485059CC</t>
  </si>
  <si>
    <t>조합페인트(뿜칠)</t>
  </si>
  <si>
    <t>철재면 2회. 1급</t>
  </si>
  <si>
    <t>호표 183</t>
  </si>
  <si>
    <t>44771786D02B1519C47DFAF9291B5</t>
  </si>
  <si>
    <t>01011544771786D02B1519C47DFAF9291B5</t>
  </si>
  <si>
    <t>걸레받이용 페인트칠</t>
  </si>
  <si>
    <t>아크릴계 H=100</t>
  </si>
  <si>
    <t>호표 184</t>
  </si>
  <si>
    <t>44771786D008153858E1313D25BA7</t>
  </si>
  <si>
    <t>01011544771786D008153858E1313D25BA7</t>
  </si>
  <si>
    <t>아크릴계 H=100,GB면</t>
  </si>
  <si>
    <t>호표 185</t>
  </si>
  <si>
    <t>44771786D008153858E1313D25BA0</t>
  </si>
  <si>
    <t>01011544771786D008153858E1313D25BA0</t>
  </si>
  <si>
    <t>수성페인트 롤러칠</t>
  </si>
  <si>
    <t>외부, 3회 1급</t>
  </si>
  <si>
    <t>호표 186</t>
  </si>
  <si>
    <t>44771786C7DA158326D73D1444879</t>
  </si>
  <si>
    <t>01011544771786C7DA158326D73D1444879</t>
  </si>
  <si>
    <t>외천장, 3회 1급</t>
  </si>
  <si>
    <t>호표 187</t>
  </si>
  <si>
    <t>44771786C7DA158326C6FB4723F9F</t>
  </si>
  <si>
    <t>01011544771786C7DA158326C6FB4723F9F</t>
  </si>
  <si>
    <t>내벽 2회, 친환경</t>
  </si>
  <si>
    <t>호표 188</t>
  </si>
  <si>
    <t>44771786C7DA158326F3D8A46C805</t>
  </si>
  <si>
    <t>01011544771786C7DA158326F3D8A46C805</t>
  </si>
  <si>
    <t>내천장 2회, 친환경</t>
  </si>
  <si>
    <t>호표 189</t>
  </si>
  <si>
    <t>44771786C7DA158326F3762E95635</t>
  </si>
  <si>
    <t>01011544771786C7DA158326F3762E95635</t>
  </si>
  <si>
    <t>바탕만들기+수성페인트 롤러칠</t>
  </si>
  <si>
    <t>내부 2회, G.B.면 줄퍼티, 친환경</t>
  </si>
  <si>
    <t>호표 190</t>
  </si>
  <si>
    <t>44771786C7DA158326F3D8FC8C298</t>
  </si>
  <si>
    <t>01011544771786C7DA158326F3D8FC8C298</t>
  </si>
  <si>
    <t>내천장 2회, G.B.면 줄퍼티, 친환경</t>
  </si>
  <si>
    <t>호표 191</t>
  </si>
  <si>
    <t>44771786C7DA158326F37676B91BC</t>
  </si>
  <si>
    <t>01011544771786C7DA158326F37676B91BC</t>
  </si>
  <si>
    <t>에폭시 코팅</t>
  </si>
  <si>
    <t>T0.2 에폭시코팅</t>
  </si>
  <si>
    <t>호표 192</t>
  </si>
  <si>
    <t>447717865CD5155EDF9BAE0E293A7</t>
  </si>
  <si>
    <t>010115447717865CD5155EDF9BAE0E293A7</t>
  </si>
  <si>
    <t>에폭시 코팅/장비기초</t>
  </si>
  <si>
    <t>3T</t>
  </si>
  <si>
    <t>호표 193</t>
  </si>
  <si>
    <t>447717865CD5155EDFB685D4955C1</t>
  </si>
  <si>
    <t>010115447717865CD5155EDFB685D4955C1</t>
  </si>
  <si>
    <t>방진 페인트</t>
  </si>
  <si>
    <t>악세스하부</t>
  </si>
  <si>
    <t>호표 194</t>
  </si>
  <si>
    <t>44771787EB5F152BD97D8CD284BCA</t>
  </si>
  <si>
    <t>01011544771787EB5F152BD97D8CD284BCA</t>
  </si>
  <si>
    <t>010116  골    재    비</t>
  </si>
  <si>
    <t>010116</t>
  </si>
  <si>
    <t>모래</t>
  </si>
  <si>
    <t>모래, 인천, 도착도</t>
  </si>
  <si>
    <t>437F17B2BC8915EAEFBA436957452BD884746</t>
  </si>
  <si>
    <t>010116437F17B2BC8915EAEFBA436957452BD884746</t>
  </si>
  <si>
    <t>시멘트(도급)</t>
  </si>
  <si>
    <t>시멘트, 분공장도</t>
  </si>
  <si>
    <t>45C61727F3E315DA92B49D6357B297CF65567</t>
  </si>
  <si>
    <t>01011645C61727F3E315DA92B49D6357B297CF65567</t>
  </si>
  <si>
    <t>010117  운    반    비</t>
  </si>
  <si>
    <t>010117</t>
  </si>
  <si>
    <t>시멘트운반</t>
  </si>
  <si>
    <t>L:20km, 덤프 8ton</t>
  </si>
  <si>
    <t>산근 1</t>
  </si>
  <si>
    <t>44761721BA111564DAEA21FF1F0D6</t>
  </si>
  <si>
    <t>01011744761721BA111564DAEA21FF1F0D6</t>
  </si>
  <si>
    <t>운반비(트레일러 20ton+크레인 10ton)제강소&gt;가공공장</t>
  </si>
  <si>
    <t>철근, L:20km</t>
  </si>
  <si>
    <t>산근 2</t>
  </si>
  <si>
    <t>44761721BA69158461AEBEA17DE1F</t>
  </si>
  <si>
    <t>01011744761721BA69158461AEBEA17DE1F</t>
  </si>
  <si>
    <t>운반비(트레일러 20ton+크레인 10ton)가공공장&gt;현장</t>
  </si>
  <si>
    <t>산근 3</t>
  </si>
  <si>
    <t>44761721BA69158461AEBEA17DF26</t>
  </si>
  <si>
    <t>01011744761721BA69158461AEBEA17DF26</t>
  </si>
  <si>
    <t>운반비(트레일러 20ton+크레인 10ton)</t>
  </si>
  <si>
    <t>철골, L:20km</t>
  </si>
  <si>
    <t>산근 4</t>
  </si>
  <si>
    <t>44761721BA69158461AEBE86A0909</t>
  </si>
  <si>
    <t>01011744761721BA69158461AEBE86A0909</t>
  </si>
  <si>
    <t>벽돌운반비</t>
  </si>
  <si>
    <t>L:20km, 덤프 15ton</t>
  </si>
  <si>
    <t>천매</t>
  </si>
  <si>
    <t>산근 5</t>
  </si>
  <si>
    <t>44761721BA7B15E49F3104CF9042E</t>
  </si>
  <si>
    <t>01011744761721BA7B15E49F3104CF9042E</t>
  </si>
  <si>
    <t>010118  작 업 설 부 산 물</t>
  </si>
  <si>
    <t>010118</t>
  </si>
  <si>
    <t>강설</t>
  </si>
  <si>
    <t>철근, 작업설부산물</t>
  </si>
  <si>
    <t>수집상차도</t>
  </si>
  <si>
    <t>437F17B2BC04158373F1374A9D6336470CA59</t>
  </si>
  <si>
    <t>010118437F17B2BC04158373F1374A9D6336470CA59</t>
  </si>
  <si>
    <t>철골, 작업설부산물</t>
  </si>
  <si>
    <t>437F17B2BC04158373F1374A9D6336470CA5E</t>
  </si>
  <si>
    <t>010118437F17B2BC04158373F1374A9D6336470CA5E</t>
  </si>
  <si>
    <t>01011901  도급자관급</t>
  </si>
  <si>
    <t>01.본관동 및 생활관, 후생관 관  급  공  사</t>
    <phoneticPr fontId="4" type="noConversion"/>
  </si>
  <si>
    <t>01011901</t>
  </si>
  <si>
    <t>GC DECKPLATE</t>
  </si>
  <si>
    <t>45C61727F3E315DA92B49D6357B297EA050BA</t>
  </si>
  <si>
    <t>0101190145C61727F3E315DA92B49D6357B297EA050BA</t>
  </si>
  <si>
    <t>45C61727F3E315DA92B49D6357B297EA050BB</t>
  </si>
  <si>
    <t>0101190145C61727F3E315DA92B49D6357B297EA050BB</t>
  </si>
  <si>
    <t>45C61727F3E315DA92B49D6357B297EA050B8</t>
  </si>
  <si>
    <t>0101190145C61727F3E315DA92B49D6357B297EA050B8</t>
  </si>
  <si>
    <t>조달수수료</t>
  </si>
  <si>
    <t>주재료비의 0.54%</t>
  </si>
  <si>
    <t>456E17B6F904156D2A4EDC6E4AB001</t>
  </si>
  <si>
    <t>01011901456E17B6F904156D2A4EDC6E4AB001</t>
  </si>
  <si>
    <t>철근콘크리트용봉강</t>
  </si>
  <si>
    <t>435C17C09A6D1533DCBEB3B2FDC5D0607D1AE</t>
  </si>
  <si>
    <t>01011901435C17C09A6D1533DCBEB3B2FDC5D0607D1AE</t>
  </si>
  <si>
    <t>435C17C09A6D1533DCBEB3B2FDC5D0607D1A9</t>
  </si>
  <si>
    <t>01011901435C17C09A6D1533DCBEB3B2FDC5D0607D1A9</t>
  </si>
  <si>
    <t>435C17C09A6D1533DCBEB3B2FDC5D0607D081</t>
  </si>
  <si>
    <t>01011901435C17C09A6D1533DCBEB3B2FDC5D0607D081</t>
  </si>
  <si>
    <t>435C17C09A6D1533DCBEB3B2FDC5D0607D08E</t>
  </si>
  <si>
    <t>01011901435C17C09A6D1533DCBEB3B2FDC5D0607D08E</t>
  </si>
  <si>
    <t>435C17C09A6D1533DCBEB3B2FDC5D0607D08F</t>
  </si>
  <si>
    <t>01011901435C17C09A6D1533DCBEB3B2FDC5D0607D08F</t>
  </si>
  <si>
    <t>435C17C09A6D1533DCBEB3B2FDC5D0607D735</t>
  </si>
  <si>
    <t>01011901435C17C09A6D1533DCBEB3B2FDC5D0607D735</t>
  </si>
  <si>
    <t>456E17B6F904156D2A4EDC6E4A8002</t>
  </si>
  <si>
    <t>01011901456E17B6F904156D2A4EDC6E5B2013</t>
  </si>
  <si>
    <t>레미콘</t>
  </si>
  <si>
    <t>435C17C09A7F158126878FF66CCDE00193886</t>
  </si>
  <si>
    <t>01011901435C17C09A7F158126878FF66CCDE00193886</t>
  </si>
  <si>
    <t>435C17C09A7F158126878FF66CCDE00193B43</t>
  </si>
  <si>
    <t>01011901435C17C09A7F158126878FF66CCDE00193B43</t>
  </si>
  <si>
    <t>435C17C09A7F158126878FF66CCDE00193ABC</t>
  </si>
  <si>
    <t>01011901435C17C09A7F158126878FF66CCDE00193ABC</t>
  </si>
  <si>
    <t>456E17B6F904156D2A4EDC6E4A9003</t>
  </si>
  <si>
    <t>01011901456E17B6F904156D2A4EDC6E5B5014</t>
  </si>
  <si>
    <t>콘크리트벽돌</t>
  </si>
  <si>
    <t>콘크리트벽돌, 190*57*90mm, C종2급</t>
  </si>
  <si>
    <t>매</t>
  </si>
  <si>
    <t>별도</t>
  </si>
  <si>
    <t>435C17C09A5C15DD67EF878114879AC4B6AE2</t>
  </si>
  <si>
    <t>01011901435C17C09A5C15DD67EF878114879AC4B6AE2</t>
  </si>
  <si>
    <t>456E17B6F904156D2A4EDC6E4AE004</t>
  </si>
  <si>
    <t>01011901456E17B6F904156D2A4EDC6E5B1010</t>
  </si>
  <si>
    <t>시멘트</t>
  </si>
  <si>
    <t>435C17C09A7F15811427BAD7E0F060F761EE2</t>
  </si>
  <si>
    <t>01011901435C17C09A7F15811427BAD7E0F060F761EE2</t>
  </si>
  <si>
    <t>456E17B6F904156D2A4EDC6E4AF005</t>
  </si>
  <si>
    <t>01011901456E17B6F904156D2A4EDC6E5B3012</t>
  </si>
  <si>
    <t>샤워칸막이공사</t>
  </si>
  <si>
    <t>23862635</t>
  </si>
  <si>
    <t>45C61727F3E315DA92B49D6357B297EA43342</t>
  </si>
  <si>
    <t>0101190145C61727F3E315DA92B49D6357B297EA43342</t>
  </si>
  <si>
    <t>456E17B6F904156D2A4EDC6E4AC006</t>
  </si>
  <si>
    <t>01011901456E17B6F904156D2A4EDC6E5B0011</t>
  </si>
  <si>
    <t>도기질타일</t>
  </si>
  <si>
    <t>도기질타일, 7mm, 벽체</t>
  </si>
  <si>
    <t>435C17C09A5C15DD7054AB86DEE69AF7C578A</t>
  </si>
  <si>
    <t>01011901435C17C09A5C15DD7054AB86DEE69AF7C578A</t>
  </si>
  <si>
    <t>456E17B6F904156D2A4EDC6E4AD007</t>
  </si>
  <si>
    <t>01011901456E17B6F904156D2A4EDC6E4A2008</t>
  </si>
  <si>
    <t>자연석판석</t>
  </si>
  <si>
    <t>자연석판석, 물갈기, 50mm, 포천석판재</t>
  </si>
  <si>
    <t>435C17C09A5C15DD7054C6525C95A9B8974C1</t>
  </si>
  <si>
    <t>01011901435C17C09A5C15DD7054C6525C95A9B8974C1</t>
  </si>
  <si>
    <t>자연석판석, 잔다듬, 30mm, 운천석판재</t>
  </si>
  <si>
    <t>435C17C09A5C15DD7054C6525C95A9B897109</t>
  </si>
  <si>
    <t>01011901435C17C09A5C15DD7054C6525C95A9B897109</t>
  </si>
  <si>
    <t>456E17B6F904156D2A4EDC6E4A2008</t>
  </si>
  <si>
    <t>01011901456E17B6F904156D2A4EDC6E4A3009</t>
  </si>
  <si>
    <t>010201  가  설  공  사</t>
  </si>
  <si>
    <t>02.관리시설</t>
    <phoneticPr fontId="4" type="noConversion"/>
  </si>
  <si>
    <t>010201</t>
  </si>
  <si>
    <t>0102014477177097D615E61A0915A2BF7CF</t>
  </si>
  <si>
    <t>0102014477177097D615E61A472B48FEC09</t>
  </si>
  <si>
    <t>0102014477177097D615D58854549FB67D6</t>
  </si>
  <si>
    <t>0102014477177097D615D59AB4675ABFE73</t>
  </si>
  <si>
    <t>01020144771770C33C155BF49FA7D6EE412</t>
  </si>
  <si>
    <t>01020144771770C30015F0D8B80E316CC6B</t>
  </si>
  <si>
    <t>01020144771770C30015F0D8B8291F12DAA</t>
  </si>
  <si>
    <t>01020144771770C30015F0EAFD95BBD0ECD</t>
  </si>
  <si>
    <t>01020144771770C30015F0EAC07EB8E4F31</t>
  </si>
  <si>
    <t>01020144771770C30015F0EAC06C3DD7B71</t>
  </si>
  <si>
    <t>010202  철근콘크리트공사</t>
  </si>
  <si>
    <t>010202</t>
  </si>
  <si>
    <t>45C61727F3E315DA92B49D6357B297EAD12B8</t>
  </si>
  <si>
    <t>01020245C61727F3E315DA92B49D6357B297EAD12B8</t>
  </si>
  <si>
    <t>45C61727F3E315DA92B49D6357B297EAD12B9</t>
  </si>
  <si>
    <t>01020245C61727F3E315DA92B49D6357B297EAD12B9</t>
  </si>
  <si>
    <t>45C61727F3E315DA92B49D6357B297EAD12BA</t>
  </si>
  <si>
    <t>01020245C61727F3E315DA92B49D6357B297EAD12BA</t>
  </si>
  <si>
    <t>45C61727F3E315DA92B49D6357B297EAD12BB</t>
  </si>
  <si>
    <t>01020245C61727F3E315DA92B49D6357B297EAD12BB</t>
  </si>
  <si>
    <t>45C61727F3E315DA92B49D6357B297EAD12B4</t>
  </si>
  <si>
    <t>01020245C61727F3E315DA92B49D6357B297EAD12B4</t>
  </si>
  <si>
    <t>0102024477172846F215F26BCBEA1E4DE4E</t>
  </si>
  <si>
    <t>01020245C61727F3E315DA92B49D6357B297CF653A4</t>
  </si>
  <si>
    <t>01020245C61727F3E315DA92B49D6357B297CF653A7</t>
  </si>
  <si>
    <t>45C61727F3E315DA92B49D6357B297EAD1340</t>
  </si>
  <si>
    <t>01020245C61727F3E315DA92B49D6357B297EAD1340</t>
  </si>
  <si>
    <t>45C61727F3E315DA92B49D6357B297EAD1347</t>
  </si>
  <si>
    <t>01020245C61727F3E315DA92B49D6357B297EAD1347</t>
  </si>
  <si>
    <t>45C61727F3E315DA92B49D6357B297EAD1345</t>
  </si>
  <si>
    <t>01020245C61727F3E315DA92B49D6357B297EAD1345</t>
  </si>
  <si>
    <t>010202447717280F5E15D2408BA5D4E8BB5</t>
  </si>
  <si>
    <t>010202447717280F6F1541AA7102B581ED4</t>
  </si>
  <si>
    <t>435C17C09A7F158126878FF66CCDE0B22B77C</t>
  </si>
  <si>
    <t>010202435C17C09A7F158126878FF66CCDE0B22B77C</t>
  </si>
  <si>
    <t>01020244771728721215946E9C34B560487</t>
  </si>
  <si>
    <t>01020244771728721215946E9C2A5F324A1</t>
  </si>
  <si>
    <t>01020244771728727B151AA582BDB6C49C1</t>
  </si>
  <si>
    <t>GC7-6(상부근D12,하부근D10,래티스?6)</t>
  </si>
  <si>
    <t>23513473</t>
  </si>
  <si>
    <t>45C61727F3E315DA92B49D6357B297EA17DD1</t>
  </si>
  <si>
    <t>01020245C61727F3E315DA92B49D6357B297EA17DD1</t>
  </si>
  <si>
    <t>01020245C61727F3E315DA92B49D6357B297CF2F495</t>
  </si>
  <si>
    <t>010203  조  적  공  사</t>
  </si>
  <si>
    <t>010203</t>
  </si>
  <si>
    <t>0102034477170B88811531A2FDB587F8C20</t>
  </si>
  <si>
    <t>0102034477170B88811531A2FDB587C3821</t>
  </si>
  <si>
    <t>0102034477170B888115318626C22A87E03</t>
  </si>
  <si>
    <t>0102034477170BB5CF152F80CB63968C3B9</t>
  </si>
  <si>
    <t>0102034477170AB30C151DD90071C05AFEE</t>
  </si>
  <si>
    <t>0102034477170AB3541516AFDFCE25BE764</t>
  </si>
  <si>
    <t>0102034477170AB3541516B84B17897D871</t>
  </si>
  <si>
    <t>0102034477170AB34B15BBE0294F5BDD148</t>
  </si>
  <si>
    <t>0102034477170AB37015D303D6A137A982D</t>
  </si>
  <si>
    <t>0102034477170AB37015D303E7103043738</t>
  </si>
  <si>
    <t>0102034477170AB37015D303E707CB2F7B8</t>
  </si>
  <si>
    <t>010204  돌    공    사</t>
  </si>
  <si>
    <t>010204</t>
  </si>
  <si>
    <t>바닥, 포천석 30mm, 모르타르 30mm</t>
  </si>
  <si>
    <t>호표 195</t>
  </si>
  <si>
    <t>447717BA16AF15F1D9301D7E73B77</t>
  </si>
  <si>
    <t>010204447717BA16AF15F1D9301D7E73B77</t>
  </si>
  <si>
    <t>010204447717BA16AF15F1D930A32C51F50</t>
  </si>
  <si>
    <t>010204447717BA16E5156D63DB60C58DD7A</t>
  </si>
  <si>
    <t>010204435C17C09AE2159D1686B108044A6E3551827</t>
  </si>
  <si>
    <t>010205  타  일  공  사</t>
  </si>
  <si>
    <t>010205</t>
  </si>
  <si>
    <t>010205435C17C09A5C15DD7054AB86F9A140A1D2C90</t>
  </si>
  <si>
    <t>010205435C17C09A5C15DD7054AB86DEA822B77DE18</t>
  </si>
  <si>
    <t>0102054477171A1F161508E2B76DD8DEB37</t>
  </si>
  <si>
    <t>0102054477171A1F16152B9568C9D66B7A1</t>
  </si>
  <si>
    <t>0102054477171A1F16152B9568C9D60282C</t>
  </si>
  <si>
    <t>010205447717BA271E15F2751605C6A23B4</t>
  </si>
  <si>
    <t>010205447717BA273915D8339F2C8F7D525</t>
  </si>
  <si>
    <t>010206  목공사및수장공사</t>
  </si>
  <si>
    <t>010206</t>
  </si>
  <si>
    <t>01020644771795710515D304B4A2B6DEB1A</t>
  </si>
  <si>
    <t>010206435C17C09A0415BD03BE584CC90789FCA2CC2</t>
  </si>
  <si>
    <t>010206435C17C09A0415BD03BE584CC90789FCA2CC3</t>
  </si>
  <si>
    <t>T120,PF보드100T+석고 9.5T*2P</t>
  </si>
  <si>
    <t>호표 196</t>
  </si>
  <si>
    <t>44771795561D15852516480E28434</t>
  </si>
  <si>
    <t>01020644771795561D15852516480E28434</t>
  </si>
  <si>
    <t>010206447717952AE3158ADFAF31D8F60CB</t>
  </si>
  <si>
    <t>비중 0.025, 90mm</t>
  </si>
  <si>
    <t>호표 197</t>
  </si>
  <si>
    <t>447717952AE315A5F35C45277E3B7</t>
  </si>
  <si>
    <t>010206447717952AE315A5F35C45277E3B7</t>
  </si>
  <si>
    <t>010206447717952AC015A962881635BB7B7</t>
  </si>
  <si>
    <t>01020644771786C7DA1583536CE1D8F1311</t>
  </si>
  <si>
    <t>45C61727F3E315DA92B49D6357B297CF5B51C</t>
  </si>
  <si>
    <t>01020645C61727F3E315DA92B49D6357B297CF5B51C</t>
  </si>
  <si>
    <t>01020645C61727F3E315DA92B49D6357B297CF650EE</t>
  </si>
  <si>
    <t>01020645C61727F3E315DA92B49D6357B297CF650E9</t>
  </si>
  <si>
    <t>01020645C61727F3E315DA92B49D6357B297CF650E8</t>
  </si>
  <si>
    <t>010207  방  수  공  사</t>
  </si>
  <si>
    <t>010207</t>
  </si>
  <si>
    <t>01020745C61727F3E315DA92B49D6357B297CF4A892</t>
  </si>
  <si>
    <t>01020745C61727F3E315DA92B49D6357B297CF4A893</t>
  </si>
  <si>
    <t>01020745C61727F3E315DA92B49D6357B297CF4A9A3</t>
  </si>
  <si>
    <t>01020745C61727F3E315DA92B49D6357B297CF4A9A5</t>
  </si>
  <si>
    <t>01020745C61727F3E315DA92B49D6357B297CF4A9A6</t>
  </si>
  <si>
    <t>01020745C61727F3E315DA92B49D6357B297CF4A9A7</t>
  </si>
  <si>
    <t>호표 198</t>
  </si>
  <si>
    <t>447717EDD85F156D20444F5CFC82D</t>
  </si>
  <si>
    <t>010207447717EDD85F156D20444F5CFC82D</t>
  </si>
  <si>
    <t>010207447717EDEAC915F2DFC231E012D5C</t>
  </si>
  <si>
    <t>01020744771728E53415D35275B21DBE7C4</t>
  </si>
  <si>
    <t>010207447717ED1D5F152EDAAB1846987CE</t>
  </si>
  <si>
    <t>010207447717ED1D691595424F5382746CD</t>
  </si>
  <si>
    <t>010207447717ED1D7A1531FDFCE9BEB987D</t>
  </si>
  <si>
    <t>방수 모르타르 비빔</t>
  </si>
  <si>
    <t>1:3, 방수액 포함</t>
  </si>
  <si>
    <t>호표 199</t>
  </si>
  <si>
    <t>447717ED0CE81519CEB597445DBB0</t>
  </si>
  <si>
    <t>010207447717ED0CE81519CEB597445DBB0</t>
  </si>
  <si>
    <t>010207447717ED0CE8150F18539A094454D</t>
  </si>
  <si>
    <t>010207447717ED0CFA15948BAEA301E5459</t>
  </si>
  <si>
    <t>호표 200</t>
  </si>
  <si>
    <t>447717EDD85F156D2071853A90649</t>
  </si>
  <si>
    <t>010207447717EDD85F156D2071853A90649</t>
  </si>
  <si>
    <t>010207447717EDD85F156D20444F5CFC82C</t>
  </si>
  <si>
    <t>010207447717EDA30D151D6CDCE5C8E9E27</t>
  </si>
  <si>
    <t>010207447717EC41D315BD5EF6C22383D5E</t>
  </si>
  <si>
    <t>45C61727F3E315DA92B49D6357B297CF5B51D</t>
  </si>
  <si>
    <t>01020745C61727F3E315DA92B49D6357B297CF5B51D</t>
  </si>
  <si>
    <t>45C61727F3E315DA92B49D6357B297CF5B63B</t>
  </si>
  <si>
    <t>01020745C61727F3E315DA92B49D6357B297CF5B63B</t>
  </si>
  <si>
    <t>이격단열재 100T</t>
  </si>
  <si>
    <t>500*1000*100T</t>
  </si>
  <si>
    <t>45C61727F3E315DA92B49D6357B297CF5B63A</t>
  </si>
  <si>
    <t>01020745C61727F3E315DA92B49D6357B297CF5B63A</t>
  </si>
  <si>
    <t>010208  금  속  공  사</t>
  </si>
  <si>
    <t>010208</t>
  </si>
  <si>
    <t>0102084477171AAEDB15CF4FF0AD0443923</t>
  </si>
  <si>
    <t>0102084477171AAEDB15CF4FF0AD163840F</t>
  </si>
  <si>
    <t>0102084477171AAEDB15CF4FF0AD0443920</t>
  </si>
  <si>
    <t>0102084477171AAEDB15CF12EA697E317C3</t>
  </si>
  <si>
    <t>010208447717C8D21E153D92868BBB68ACE</t>
  </si>
  <si>
    <t>트랜치/주차통로</t>
  </si>
  <si>
    <t>아연도그레이팅, W200. I-50*5*3t</t>
  </si>
  <si>
    <t>호표 201</t>
  </si>
  <si>
    <t>447717C8D21E153DA310620776C20</t>
  </si>
  <si>
    <t>010208447717C8D21E153DA310620776C20</t>
  </si>
  <si>
    <t>호표 202</t>
  </si>
  <si>
    <t>44771795189D15E2E2121319F580C</t>
  </si>
  <si>
    <t>01020844771795189D15E2E2121319F580C</t>
  </si>
  <si>
    <t>45C61727F3E315DA92B49D6357B297EA6E282</t>
  </si>
  <si>
    <t>01020845C61727F3E315DA92B49D6357B297EA6E282</t>
  </si>
  <si>
    <t>3. 관리동</t>
  </si>
  <si>
    <t>45C61727F3E315DA92B49D6357B297EA5D9E2</t>
  </si>
  <si>
    <t>01020845C61727F3E315DA92B49D6357B297EA5D9E2</t>
  </si>
  <si>
    <t>45C61727F3E315DA92B49D6357B297EA5D9E1</t>
  </si>
  <si>
    <t>01020845C61727F3E315DA92B49D6357B297EA5D9E1</t>
  </si>
  <si>
    <t>알루미늄시트</t>
  </si>
  <si>
    <t>23939478</t>
  </si>
  <si>
    <t>45C61727F3E315DA92B49D6357B297EA5D9E0</t>
  </si>
  <si>
    <t>01020845C61727F3E315DA92B49D6357B297EA5D9E0</t>
  </si>
  <si>
    <t>45C61727F3E315DA92B49D6357B297EA5D9EF</t>
  </si>
  <si>
    <t>01020845C61727F3E315DA92B49D6357B297EA5D9EF</t>
  </si>
  <si>
    <t>45C61727F3E315DA92B49D6357B297EA5D9EE</t>
  </si>
  <si>
    <t>01020845C61727F3E315DA92B49D6357B297EA5D9EE</t>
  </si>
  <si>
    <t>45C61727F3E315DA92B49D6357B297CF380E0</t>
  </si>
  <si>
    <t>01020845C61727F3E315DA92B49D6357B297CF380E0</t>
  </si>
  <si>
    <t>[수동 롤스크린-관리시설]</t>
  </si>
  <si>
    <t>45C61727F3E315DA92B49D6357B297EA4361E</t>
  </si>
  <si>
    <t>01020845C61727F3E315DA92B49D6357B297EA4361E</t>
  </si>
  <si>
    <t>45C61727F3E315DA92B49D6357B297EA43611</t>
  </si>
  <si>
    <t>01020845C61727F3E315DA92B49D6357B297EA43611</t>
  </si>
  <si>
    <t>45C61727F3E315DA92B49D6357B297EA43610</t>
  </si>
  <si>
    <t>01020845C61727F3E315DA92B49D6357B297EA43610</t>
  </si>
  <si>
    <t>45C61727F3E315DA92B49D6357B297EA43573</t>
  </si>
  <si>
    <t>01020845C61727F3E315DA92B49D6357B297EA43573</t>
  </si>
  <si>
    <t>45C61727F3E315DA92B49D6357B297EA43570</t>
  </si>
  <si>
    <t>01020845C61727F3E315DA92B49D6357B297EA43570</t>
  </si>
  <si>
    <t>010209  미  장  공  사</t>
  </si>
  <si>
    <t>010209</t>
  </si>
  <si>
    <t>0102094477171A1F161508E2B76DCED90AF</t>
  </si>
  <si>
    <t>0102094477171A1F161508E2B76DD8A1682</t>
  </si>
  <si>
    <t>0102094477171A1F16152B9568C9D6759AD</t>
  </si>
  <si>
    <t>0102094477171A1F2015650EC5706BEEDE3</t>
  </si>
  <si>
    <t>0102094477171A1F2015650EC5706BEEDE2</t>
  </si>
  <si>
    <t>0102094477171A1F4315196993763B6D45C</t>
  </si>
  <si>
    <t>0102094477171A1F4315196993763B6D45D</t>
  </si>
  <si>
    <t>호표 203</t>
  </si>
  <si>
    <t>447717ABA2BC15EFADB8BAF8A7431</t>
  </si>
  <si>
    <t>010209447717ABA2BC15EFADB8BAF8A7431</t>
  </si>
  <si>
    <t>호표 204</t>
  </si>
  <si>
    <t>447717ABA2BC15EFBE2FD867716C4</t>
  </si>
  <si>
    <t>010209447717ABA2BC15EFBE2FD867716C4</t>
  </si>
  <si>
    <t>010210  창  호  공  사</t>
  </si>
  <si>
    <t>010210</t>
  </si>
  <si>
    <t>FSD01</t>
  </si>
  <si>
    <t>45C61727F3E315DA92B49D6357B297F4A94B3</t>
  </si>
  <si>
    <t>01021045C61727F3E315DA92B49D6357B297F4A94B3</t>
  </si>
  <si>
    <t>호표 205</t>
  </si>
  <si>
    <t>447717ABDE3215F636F7331A90F4B</t>
  </si>
  <si>
    <t>010210447717ABDE3215F636F7331A90F4B</t>
  </si>
  <si>
    <t>호표 206</t>
  </si>
  <si>
    <t>447717ABDE3215F636F7331A90F49</t>
  </si>
  <si>
    <t>010210447717ABDE3215F636F7331A90F49</t>
  </si>
  <si>
    <t>SSD02[도어포함]</t>
  </si>
  <si>
    <t>3.500 x 2.700 = 9.450</t>
  </si>
  <si>
    <t>호표 207</t>
  </si>
  <si>
    <t>447717ABDE3215F636F7331A90F4F</t>
  </si>
  <si>
    <t>010210447717ABDE3215F636F7331A90F4F</t>
  </si>
  <si>
    <t>ISSD01</t>
  </si>
  <si>
    <t>45C61727F3E315DA92B49D6357B297CF2F497</t>
  </si>
  <si>
    <t>01021045C61727F3E315DA92B49D6357B297CF2F497</t>
  </si>
  <si>
    <t>45C61727F3E315DA92B49D6357B297CF5B639</t>
  </si>
  <si>
    <t>01021045C61727F3E315DA92B49D6357B297CF5B639</t>
  </si>
  <si>
    <t>[하드웨어]-관리시설</t>
  </si>
  <si>
    <t>45C61727F3E315DA92B49D6357B297EA78590</t>
  </si>
  <si>
    <t>01021045C61727F3E315DA92B49D6357B297EA78590</t>
  </si>
  <si>
    <t>45C61727F3E315DA92B49D6357B297EA7848E</t>
  </si>
  <si>
    <t>01021045C61727F3E315DA92B49D6357B297EA7848E</t>
  </si>
  <si>
    <t>45C61727F3E315DA92B49D6357B297EA7848F</t>
  </si>
  <si>
    <t>01021045C61727F3E315DA92B49D6357B297EA7848F</t>
  </si>
  <si>
    <t>45C61727F3E315DA92B49D6357B297EA7848C</t>
  </si>
  <si>
    <t>01021045C61727F3E315DA92B49D6357B297EA7848C</t>
  </si>
  <si>
    <t>45C61727F3E315DA92B49D6357B297EA7848D</t>
  </si>
  <si>
    <t>01021045C61727F3E315DA92B49D6357B297EA7848D</t>
  </si>
  <si>
    <t>45C61727F3E315DA92B49D6357B297EA78489</t>
  </si>
  <si>
    <t>01021045C61727F3E315DA92B49D6357B297EA78489</t>
  </si>
  <si>
    <t>45C61727F3E315DA92B49D6357B297EA783E8</t>
  </si>
  <si>
    <t>01021045C61727F3E315DA92B49D6357B297EA783E8</t>
  </si>
  <si>
    <t>45C61727F3E315DA92B49D6357B297EA783EA</t>
  </si>
  <si>
    <t>01021045C61727F3E315DA92B49D6357B297EA783EA</t>
  </si>
  <si>
    <t>45C61727F3E315DA92B49D6357B297EA783EC</t>
  </si>
  <si>
    <t>01021045C61727F3E315DA92B49D6357B297EA783EC</t>
  </si>
  <si>
    <t>45C61727F3E315DA92B49D6357B297EA782C0</t>
  </si>
  <si>
    <t>01021045C61727F3E315DA92B49D6357B297EA782C0</t>
  </si>
  <si>
    <t>45C61727F3E315DA92B49D6357B297EA782C5</t>
  </si>
  <si>
    <t>01021045C61727F3E315DA92B49D6357B297EA782C5</t>
  </si>
  <si>
    <t>45C61727F3E315DA92B49D6357B297EA782C7</t>
  </si>
  <si>
    <t>01021045C61727F3E315DA92B49D6357B297EA782C7</t>
  </si>
  <si>
    <t>45C61727F3E315DA92B49D6357B297EA782C6</t>
  </si>
  <si>
    <t>01021045C61727F3E315DA92B49D6357B297EA782C6</t>
  </si>
  <si>
    <t>45C61727F3E315DA92B49D6357B297EA7813B</t>
  </si>
  <si>
    <t>01021045C61727F3E315DA92B49D6357B297EA7813B</t>
  </si>
  <si>
    <t>45C61727F3E315DA92B49D6357B297EA7813E</t>
  </si>
  <si>
    <t>01021045C61727F3E315DA92B49D6357B297EA7813E</t>
  </si>
  <si>
    <t>45C61727F3E315DA92B49D6357B297F4A94B1</t>
  </si>
  <si>
    <t>01021045C61727F3E315DA92B49D6357B297F4A94B1</t>
  </si>
  <si>
    <t>45C61727F3E315DA92B49D6357B297F4A94BE</t>
  </si>
  <si>
    <t>01021045C61727F3E315DA92B49D6357B297F4A94BE</t>
  </si>
  <si>
    <t>ISSD-1/관리시설</t>
  </si>
  <si>
    <t>3,150 x 3,000</t>
  </si>
  <si>
    <t>45C61727F3E315DA92B49D6357B297EA202F7</t>
  </si>
  <si>
    <t>01021045C61727F3E315DA92B49D6357B297EA202F7</t>
  </si>
  <si>
    <t>45C61727F3E315DA92B49D6357B297F4A955C</t>
  </si>
  <si>
    <t>01021045C61727F3E315DA92B49D6357B297F4A955C</t>
  </si>
  <si>
    <t>[오버헤드도어 OHD]</t>
  </si>
  <si>
    <t>45C61727F3E315DA92B49D6357B297F4A9559</t>
  </si>
  <si>
    <t>01021045C61727F3E315DA92B49D6357B297F4A9559</t>
  </si>
  <si>
    <t>도어과속추락안전장치</t>
  </si>
  <si>
    <t>JKF-S52</t>
  </si>
  <si>
    <t>45C61727F3E315DA92B49D6357B297F4A9554</t>
  </si>
  <si>
    <t>01021045C61727F3E315DA92B49D6357B297F4A9554</t>
  </si>
  <si>
    <t>010211  유  리  공  사</t>
  </si>
  <si>
    <t>010211</t>
  </si>
  <si>
    <t>45C61727F3E315DA92B49D6357B297CF65566</t>
  </si>
  <si>
    <t>01021145C61727F3E315DA92B49D6357B297CF65566</t>
  </si>
  <si>
    <t>010211435C17C09A151501E5B7D59051FB4FDD343C3</t>
  </si>
  <si>
    <t>45C61727F3E315DA92B49D6357B297F4A91E3</t>
  </si>
  <si>
    <t>01021145C61727F3E315DA92B49D6357B297F4A91E3</t>
  </si>
  <si>
    <t>45C61727F3E315DA92B49D6357B297F4A91E2</t>
  </si>
  <si>
    <t>01021145C61727F3E315DA92B49D6357B297F4A91E2</t>
  </si>
  <si>
    <t>45C61727F3E315DA92B49D6357B297F4A91E5</t>
  </si>
  <si>
    <t>01021145C61727F3E315DA92B49D6357B297F4A91E5</t>
  </si>
  <si>
    <t>010211447717ED1D6915B05543CC9CE5C8E</t>
  </si>
  <si>
    <t>010211447717ED1D6915EDA9A36AEE18765</t>
  </si>
  <si>
    <t>010211447717ABB37A1516C8582FBECCF08</t>
  </si>
  <si>
    <t>010211447717AB487615B6B870C89C60C9D</t>
  </si>
  <si>
    <t>010211447717AB48E9152E390BD75B27EAA</t>
  </si>
  <si>
    <t>호표 208</t>
  </si>
  <si>
    <t>447717AB48E9152E390BD75B27ED9</t>
  </si>
  <si>
    <t>010211447717AB48E9152E390BD75B27ED9</t>
  </si>
  <si>
    <t>010211447717AB5A9F152D2460010B16E30</t>
  </si>
  <si>
    <t>010212  칠    공    사</t>
  </si>
  <si>
    <t>010212</t>
  </si>
  <si>
    <t>01021244771786E29515AD9F03D485059CC</t>
  </si>
  <si>
    <t>01021244771786D02B1519C47DFAF9291B5</t>
  </si>
  <si>
    <t>01021244771786D008153858E1313D25BA7</t>
  </si>
  <si>
    <t>01021244771786D008153858E1313D25BA0</t>
  </si>
  <si>
    <t>01021244771786C7DA158326F3D8A46C805</t>
  </si>
  <si>
    <t>01021244771786C7DA158326F3D8FC8C298</t>
  </si>
  <si>
    <t>콘크리트 폴리싱</t>
  </si>
  <si>
    <t>바닥, 세라믹코팅포함</t>
  </si>
  <si>
    <t>호표 209</t>
  </si>
  <si>
    <t>44771787EB5F152BD97D8CD284DF7</t>
  </si>
  <si>
    <t>01021244771787EB5F152BD97D8CD284DF7</t>
  </si>
  <si>
    <t>010213  골    재    비</t>
  </si>
  <si>
    <t>010213</t>
  </si>
  <si>
    <t>010213437F17B2BC8915EAEFBA436957452BD884746</t>
  </si>
  <si>
    <t>45C61727F3E315DA92B49D6357B297CF65448</t>
  </si>
  <si>
    <t>01021345C61727F3E315DA92B49D6357B297CF65448</t>
  </si>
  <si>
    <t>010214  운    반    비</t>
  </si>
  <si>
    <t>010214</t>
  </si>
  <si>
    <t>01021444761721BA111564DAEA21FF1F0D6</t>
  </si>
  <si>
    <t>01021444761721BA69158461AEBEA17DE1F</t>
  </si>
  <si>
    <t>01021444761721BA69158461AEBEA17DF26</t>
  </si>
  <si>
    <t>01021444761721BA7B15E49F3104CF9042E</t>
  </si>
  <si>
    <t>010215  작 업 설 부 산 물</t>
  </si>
  <si>
    <t>010215</t>
  </si>
  <si>
    <t>010215437F17B2BC04158373F1374A9D6336470CA59</t>
  </si>
  <si>
    <t>01021601  도급자관급</t>
  </si>
  <si>
    <t>02.관리시설 관  급  공  사</t>
    <phoneticPr fontId="4" type="noConversion"/>
  </si>
  <si>
    <t>01021601</t>
  </si>
  <si>
    <t>01021601435C17C09A6D1533DCBEB3B2FDC5D0607D1AE</t>
  </si>
  <si>
    <t>01021601435C17C09A6D1533DCBEB3B2FDC5D0607D1A9</t>
  </si>
  <si>
    <t>01021601435C17C09A6D1533DCBEB3B2FDC5D0607D081</t>
  </si>
  <si>
    <t>01021601435C17C09A6D1533DCBEB3B2FDC5D0607D08E</t>
  </si>
  <si>
    <t>01021601435C17C09A6D1533DCBEB3B2FDC5D0607D08F</t>
  </si>
  <si>
    <t>01021601456E17B6F904156D2A4EDC6E4AF005</t>
  </si>
  <si>
    <t>01021601435C17C09A7F158126878FF66CCDE00193886</t>
  </si>
  <si>
    <t>01021601435C17C09A7F158126878FF66CCDE00193B43</t>
  </si>
  <si>
    <t>01021601435C17C09A7F158126878FF66CCDE00193ABC</t>
  </si>
  <si>
    <t>01021601456E17B6F904156D2A4EDC6E4AC006</t>
  </si>
  <si>
    <t>45C61727F3E315DA92B49D6357B297EA17DD8</t>
  </si>
  <si>
    <t>0102160145C61727F3E315DA92B49D6357B297EA17DD8</t>
  </si>
  <si>
    <t>01021601456E17B6F904156D2A4EDC6E4A9003</t>
  </si>
  <si>
    <t>01021601435C17C09A5C15DD67EF878114879AC4B6AE2</t>
  </si>
  <si>
    <t>01021601456E17B6F904156D2A4EDC6E4AE004</t>
  </si>
  <si>
    <t>01021601435C17C09A7F15811427BAD7E0F060F761EE2</t>
  </si>
  <si>
    <t>01021601456E17B6F904156D2A4EDC6E4A3009</t>
  </si>
  <si>
    <t>자연석판석, 잔다듬, 30mm, 포천석판재</t>
  </si>
  <si>
    <t>435C17C09A5C15DD7054C65243B989CA8E102</t>
  </si>
  <si>
    <t>01021601435C17C09A5C15DD7054C65243B989CA8E102</t>
  </si>
  <si>
    <t>01021601456E17B6F904156D2A4EDC6E4AD007</t>
  </si>
  <si>
    <t>01021601435C17C09A5C15DD7054AB86DEE69AF7C578A</t>
  </si>
  <si>
    <t>01021601456E17B6F904156D2A4EDC6E4A2008</t>
  </si>
  <si>
    <t>010301  가  설  공  사</t>
  </si>
  <si>
    <t>03.소방종합훈련탑</t>
    <phoneticPr fontId="4" type="noConversion"/>
  </si>
  <si>
    <t>010301</t>
  </si>
  <si>
    <t>0103014477177097D615E61A0915A2BF7CF</t>
  </si>
  <si>
    <t>20m초과-30m이하</t>
  </si>
  <si>
    <t>4477177097D615E61A472B48D3EEE</t>
  </si>
  <si>
    <t>0103014477177097D615E61A472B48D3EEE</t>
  </si>
  <si>
    <t>0103014477177097D615D58854548D0E224</t>
  </si>
  <si>
    <t>0103014477177097D615D59AB4675ABFE73</t>
  </si>
  <si>
    <t>10m 초과∼20m 이하</t>
  </si>
  <si>
    <t>호표 210</t>
  </si>
  <si>
    <t>4477177097D615D59A53F57152389</t>
  </si>
  <si>
    <t>0103014477177097D615D59A53F57152389</t>
  </si>
  <si>
    <t>01030144771770C33C155BF49FA7D6EE412</t>
  </si>
  <si>
    <t>01030144771770C30015F0D8B80E316CC6B</t>
  </si>
  <si>
    <t>01030144771770C30015F0D8B8291F12DAA</t>
  </si>
  <si>
    <t>01030144771770C30015F0EAFD95BBD0ECD</t>
  </si>
  <si>
    <t>01030144771770C30015F0EAC06C3DD7B71</t>
  </si>
  <si>
    <t>010302  철근콘크리트공사</t>
  </si>
  <si>
    <t>010302</t>
  </si>
  <si>
    <t>45C61727F3E315DA92B49D6357B297EAD1576</t>
  </si>
  <si>
    <t>01030245C61727F3E315DA92B49D6357B297EAD1576</t>
  </si>
  <si>
    <t>45C61727F3E315DA92B49D6357B297EAD1579</t>
  </si>
  <si>
    <t>01030245C61727F3E315DA92B49D6357B297EAD1579</t>
  </si>
  <si>
    <t>45C61727F3E315DA92B49D6357B297EAD1578</t>
  </si>
  <si>
    <t>01030245C61727F3E315DA92B49D6357B297EAD1578</t>
  </si>
  <si>
    <t>45C61727F3E315DA92B49D6357B297EAD1617</t>
  </si>
  <si>
    <t>01030245C61727F3E315DA92B49D6357B297EAD1617</t>
  </si>
  <si>
    <t>45C61727F3E315DA92B49D6357B297EAD1616</t>
  </si>
  <si>
    <t>01030245C61727F3E315DA92B49D6357B297EAD1616</t>
  </si>
  <si>
    <t>0103024477172846F215F26BCBEA1E4DE4E</t>
  </si>
  <si>
    <t>01030245C61727F3E315DA92B49D6357B297CF653A4</t>
  </si>
  <si>
    <t>01030245C61727F3E315DA92B49D6357B297CF653A7</t>
  </si>
  <si>
    <t>45C61727F3E315DA92B49D6357B297EAD1615</t>
  </si>
  <si>
    <t>01030245C61727F3E315DA92B49D6357B297EAD1615</t>
  </si>
  <si>
    <t>45C61727F3E315DA92B49D6357B297EAD1614</t>
  </si>
  <si>
    <t>01030245C61727F3E315DA92B49D6357B297EAD1614</t>
  </si>
  <si>
    <t>레미콘, 인천(내륙), 25-30-150</t>
  </si>
  <si>
    <t>45C61727F3E315DA92B49D6357B297CF5B63F</t>
  </si>
  <si>
    <t>01030245C61727F3E315DA92B49D6357B297CF5B63F</t>
  </si>
  <si>
    <t>010302447717280F5E15D2408BA5D4E8BB5</t>
  </si>
  <si>
    <t>010302447717280F6F1541AA7102B581ED4</t>
  </si>
  <si>
    <t>010302435C17C09A7F158126878FF66CCDE0B22B77C</t>
  </si>
  <si>
    <t>01030244771728721215946E9C34B560487</t>
  </si>
  <si>
    <t>01030244771728721215946E9C34B5604F2</t>
  </si>
  <si>
    <t>01030244771728721215946E9C2A5F324A1</t>
  </si>
  <si>
    <t>01030244771728727B151AA582BDB6C49C1</t>
  </si>
  <si>
    <t>45C61727F3E315DA92B49D6357B297EA17F9E</t>
  </si>
  <si>
    <t>01030245C61727F3E315DA92B49D6357B297EA17F9E</t>
  </si>
  <si>
    <t>45C61727F3E315DA92B49D6357B297EA17F9F</t>
  </si>
  <si>
    <t>01030245C61727F3E315DA92B49D6357B297EA17F9F</t>
  </si>
  <si>
    <t>01030245C61727F3E315DA92B49D6357B297CF2F495</t>
  </si>
  <si>
    <t>010303  조  적  공  사</t>
  </si>
  <si>
    <t>010303</t>
  </si>
  <si>
    <t>0103034477170B88811531A2FDB587F8C20</t>
  </si>
  <si>
    <t>0103034477170B88811531A2FDB587C3821</t>
  </si>
  <si>
    <t>0103034477170B888115318626C22A87E03</t>
  </si>
  <si>
    <t>0103034477170BB5CF152F80CB63968C3B9</t>
  </si>
  <si>
    <t>0103034477170AB30C151DD900448AA8959</t>
  </si>
  <si>
    <t>0103034477170AB30C151DD90071C05AFEE</t>
  </si>
  <si>
    <t>0103034477170AB3541516AFDFFB639E0F4</t>
  </si>
  <si>
    <t>0103034477170AB3541516AFDFCE25BE764</t>
  </si>
  <si>
    <t>0103034477170AB3541516B84B17897D871</t>
  </si>
  <si>
    <t>0103034477170AB34B15BBE0294F5BDD148</t>
  </si>
  <si>
    <t>0103034477170AB37015D303D6A137A982D</t>
  </si>
  <si>
    <t>0103034477170AB37015D303E7103043738</t>
  </si>
  <si>
    <t>0103034477170AB37015D303E707CB2F7B8</t>
  </si>
  <si>
    <t>010304  돌    공    사</t>
  </si>
  <si>
    <t>010304</t>
  </si>
  <si>
    <t>010304447717BA16E5156D63DB60C58DD7A</t>
  </si>
  <si>
    <t>010304435C17C09AE2159D1686B108044A6E3551827</t>
  </si>
  <si>
    <t>010305  타  일  공  사</t>
  </si>
  <si>
    <t>010305</t>
  </si>
  <si>
    <t>010305435C17C09A5C15DD7054AB86DEA822B77DE18</t>
  </si>
  <si>
    <t>0103054477171A1F161508E2B76DD8DEB37</t>
  </si>
  <si>
    <t>0103054477171A1F16152B9568C9D602827</t>
  </si>
  <si>
    <t>010305447717BA271E15F2751605C6A23B4</t>
  </si>
  <si>
    <t>010305447717BA273915D8339F2C8F7D525</t>
  </si>
  <si>
    <t>010306  목공사및수장공사</t>
  </si>
  <si>
    <t>010306</t>
  </si>
  <si>
    <t>01030644771795710515D304B4A2B6DEB1A</t>
  </si>
  <si>
    <t>010306435C17C09A0415BD03BE584CC90789FCA2CC3</t>
  </si>
  <si>
    <t>01030644771795561D15852516480E28432</t>
  </si>
  <si>
    <t>45C61727F3E315DA92B49D6357B297F48EC62</t>
  </si>
  <si>
    <t>01030645C61727F3E315DA92B49D6357B297F48EC62</t>
  </si>
  <si>
    <t>45C61727F3E315DA92B49D6357B297F48EC63</t>
  </si>
  <si>
    <t>01030645C61727F3E315DA92B49D6357B297F48EC63</t>
  </si>
  <si>
    <t>45C61727F3E315DA92B49D6357B297F48EC60</t>
  </si>
  <si>
    <t>01030645C61727F3E315DA92B49D6357B297F48EC60</t>
  </si>
  <si>
    <t>45C61727F3E315DA92B49D6357B297F48EC61</t>
  </si>
  <si>
    <t>01030645C61727F3E315DA92B49D6357B297F48EC61</t>
  </si>
  <si>
    <t>비중 0.03, 130mm</t>
  </si>
  <si>
    <t>호표 211</t>
  </si>
  <si>
    <t>447717952AE3158ADFAF31D8F60C4</t>
  </si>
  <si>
    <t>010306447717952AE3158ADFAF31D8F60C4</t>
  </si>
  <si>
    <t>010306447717952AE3158ADFAF31D8F60CB</t>
  </si>
  <si>
    <t>010306447717952AC015A962881635BB7B7</t>
  </si>
  <si>
    <t>45C61727F3E315DA92B49D6357B297CF5B63E</t>
  </si>
  <si>
    <t>01030645C61727F3E315DA92B49D6357B297CF5B63E</t>
  </si>
  <si>
    <t>01030645C61727F3E315DA92B49D6357B297CF650EE</t>
  </si>
  <si>
    <t>01030645C61727F3E315DA92B49D6357B297CF650E9</t>
  </si>
  <si>
    <t>01030645C61727F3E315DA92B49D6357B297CF650E8</t>
  </si>
  <si>
    <t>45C61727F3E315DA92B49D6357B297CF4AE23</t>
  </si>
  <si>
    <t>01030645C61727F3E315DA92B49D6357B297CF4AE23</t>
  </si>
  <si>
    <t>01030645C61727F3E315DA92B49D6357B297F48EB5A</t>
  </si>
  <si>
    <t>01030644771795561D158514A72C96F4E8A</t>
  </si>
  <si>
    <t>010307  방  수  공  사</t>
  </si>
  <si>
    <t>010307</t>
  </si>
  <si>
    <t>01030745C61727F3E315DA92B49D6357B297CF4A892</t>
  </si>
  <si>
    <t>01030745C61727F3E315DA92B49D6357B297CF4A893</t>
  </si>
  <si>
    <t>01030745C61727F3E315DA92B49D6357B297CF4A9A8</t>
  </si>
  <si>
    <t>01030745C61727F3E315DA92B49D6357B297CF4A9A4</t>
  </si>
  <si>
    <t>01030745C61727F3E315DA92B49D6357B297CF4A9A6</t>
  </si>
  <si>
    <t>01030745C61727F3E315DA92B49D6357B297CF4A9A7</t>
  </si>
  <si>
    <t>010307447717EDD85F156D20444F5CFC82D</t>
  </si>
  <si>
    <t>010307447717EDEAC915F2DFC231E012D5C</t>
  </si>
  <si>
    <t>01030744771728E53415D35275B21DBE7C4</t>
  </si>
  <si>
    <t>010307447717ED1D5F152EDAAB1846987CE</t>
  </si>
  <si>
    <t>010307447717ED1D691595424F5382746CD</t>
  </si>
  <si>
    <t>010307447717ED1D7A1531FDFCE9BEB987D</t>
  </si>
  <si>
    <t>010307447717ED0CE81519CEB597445DBB0</t>
  </si>
  <si>
    <t>010307447717ED0CE8150F18539A094454D</t>
  </si>
  <si>
    <t>010307447717ED0CFA15948BAEA301E5459</t>
  </si>
  <si>
    <t>010307447717EDD85F156D2071853A90649</t>
  </si>
  <si>
    <t>010307447717EDD85F156D20444F5CFC82C</t>
  </si>
  <si>
    <t>010307447717EDA30D151D6CDCE5C8E9E27</t>
  </si>
  <si>
    <t>010307447717EC41D315BD5EF6C22383D5E</t>
  </si>
  <si>
    <t>010308  지붕 및 홈통공사</t>
  </si>
  <si>
    <t>010308</t>
  </si>
  <si>
    <t>견적단가</t>
  </si>
  <si>
    <t>010308435C17D2DFBE15F0C248D99A115733777CC8D</t>
  </si>
  <si>
    <t>010308447717DF2D10157F85AEB4AFA49DB</t>
  </si>
  <si>
    <t>호표 212</t>
  </si>
  <si>
    <t>447717DF2D4D15969107B1E38C209</t>
  </si>
  <si>
    <t>010308447717DF2D4D15969107B1E38C209</t>
  </si>
  <si>
    <t>010308447717DF3F5515EA14796867AC1AE</t>
  </si>
  <si>
    <t>010309  금  속  공  사</t>
  </si>
  <si>
    <t>010309</t>
  </si>
  <si>
    <t>0103094477171AAEDB15CF4FF0AD0443923</t>
  </si>
  <si>
    <t>0103094477171AAEDB15CF4FF0AD163840F</t>
  </si>
  <si>
    <t>0103094477171AAEDB15CF4FF0AD0443920</t>
  </si>
  <si>
    <t>0103094477171AAEDB15CF12EA697E317C3</t>
  </si>
  <si>
    <t>호표 213</t>
  </si>
  <si>
    <t>447717C88A0415E345F597106B0B4</t>
  </si>
  <si>
    <t>010309447717C88A0415E345F597106B0B4</t>
  </si>
  <si>
    <t>호표 214</t>
  </si>
  <si>
    <t>447717C88A0415E345F59006CA736</t>
  </si>
  <si>
    <t>010309447717C88A0415E345F59006CA736</t>
  </si>
  <si>
    <t>010309447717C8D21E153D92868BBB68ACE</t>
  </si>
  <si>
    <t>010309447717C8798B154EDF5E326B75513</t>
  </si>
  <si>
    <t>01030944771795189D15E2E2121319F580C</t>
  </si>
  <si>
    <t>01030944771795E41D1592FCDE0D7CE5138</t>
  </si>
  <si>
    <t>01030944771795F65215D45B6BCF25711E1</t>
  </si>
  <si>
    <t>45C61727F3E315DA92B49D6357B297CF38718</t>
  </si>
  <si>
    <t>01030945C61727F3E315DA92B49D6357B297CF38718</t>
  </si>
  <si>
    <t>[수동 롤스크린-소방종합훈련탑]</t>
  </si>
  <si>
    <t>45C61727F3E315DA92B49D6357B297EA43576</t>
  </si>
  <si>
    <t>01030945C61727F3E315DA92B49D6357B297EA43576</t>
  </si>
  <si>
    <t>45C61727F3E315DA92B49D6357B297EA43577</t>
  </si>
  <si>
    <t>01030945C61727F3E315DA92B49D6357B297EA43577</t>
  </si>
  <si>
    <t>45C61727F3E315DA92B49D6357B297EA43575</t>
  </si>
  <si>
    <t>01030945C61727F3E315DA92B49D6357B297EA43575</t>
  </si>
  <si>
    <t>45C61727F3E315DA92B49D6357B297EA4357B</t>
  </si>
  <si>
    <t>01030945C61727F3E315DA92B49D6357B297EA4357B</t>
  </si>
  <si>
    <t>45C61727F3E315DA92B49D6357B297EA4346B</t>
  </si>
  <si>
    <t>01030945C61727F3E315DA92B49D6357B297EA4346B</t>
  </si>
  <si>
    <t>010310  미  장  공  사</t>
  </si>
  <si>
    <t>010310</t>
  </si>
  <si>
    <t>0103104477171A1F161508E2B76DCED90AF</t>
  </si>
  <si>
    <t>0103104477171A1F161508E2B76DD8A1682</t>
  </si>
  <si>
    <t>0103104477171A1F161508E2FD1CCAC40FB</t>
  </si>
  <si>
    <t>바닥, 11mm</t>
  </si>
  <si>
    <t>호표 215</t>
  </si>
  <si>
    <t>4477171A1F16152B9568C9D65AFAC</t>
  </si>
  <si>
    <t>0103104477171A1F16152B9568C9D65AFAC</t>
  </si>
  <si>
    <t>바닥, 35mm</t>
  </si>
  <si>
    <t>호표 216</t>
  </si>
  <si>
    <t>4477171A1F16152B9568C9D6759AC</t>
  </si>
  <si>
    <t>0103104477171A1F16152B9568C9D6759AC</t>
  </si>
  <si>
    <t>0103104477171A1F16152B9568C9D60282D</t>
  </si>
  <si>
    <t>0103104477171A1F16152B9568C9D60282B</t>
  </si>
  <si>
    <t>호표 217</t>
  </si>
  <si>
    <t>4477171A1F2015650EC5706B96BEB</t>
  </si>
  <si>
    <t>0103104477171A1F2015650EC5706B96BEB</t>
  </si>
  <si>
    <t>0103104477171A1F2015650EC5706BEEDE3</t>
  </si>
  <si>
    <t>0103104477171A1F2015650EC5706BEEDE2</t>
  </si>
  <si>
    <t>0103104477171A1F4315196993763B6D45D</t>
  </si>
  <si>
    <t>010310447717ABA2BC15EFADB8BAF8A7431</t>
  </si>
  <si>
    <t>010310447717ABA2BC15EFBE2FD867716C4</t>
  </si>
  <si>
    <t>010311  창  호  공  사</t>
  </si>
  <si>
    <t>010311</t>
  </si>
  <si>
    <t>FSD1</t>
  </si>
  <si>
    <t>2200*2400*200</t>
  </si>
  <si>
    <t>45C61727F3E315DA92B49D6357B297F4A93A6</t>
  </si>
  <si>
    <t>01031145C61727F3E315DA92B49D6357B297F4A93A6</t>
  </si>
  <si>
    <t>FSD2</t>
  </si>
  <si>
    <t>45C61727F3E315DA92B49D6357B297F4A90DB</t>
  </si>
  <si>
    <t>01031145C61727F3E315DA92B49D6357B297F4A90DB</t>
  </si>
  <si>
    <t>FSD3</t>
  </si>
  <si>
    <t>1100*1900*200</t>
  </si>
  <si>
    <t>45C61727F3E315DA92B49D6357B297F4A90DA</t>
  </si>
  <si>
    <t>01031145C61727F3E315DA92B49D6357B297F4A90DA</t>
  </si>
  <si>
    <t>0.500 x 1.900 = 0.950</t>
  </si>
  <si>
    <t>호표 218</t>
  </si>
  <si>
    <t>447717ABDE3215F636F7331A90D9A</t>
  </si>
  <si>
    <t>010311447717ABDE3215F636F7331A90D9A</t>
  </si>
  <si>
    <t>IFSD01</t>
  </si>
  <si>
    <t>45C61727F3E315DA92B49D6357B297F4A90D9</t>
  </si>
  <si>
    <t>01031145C61727F3E315DA92B49D6357B297F4A90D9</t>
  </si>
  <si>
    <t>IFSD02</t>
  </si>
  <si>
    <t>호표 219</t>
  </si>
  <si>
    <t>447717ABDE3215F636F7331A90CF3</t>
  </si>
  <si>
    <t>010311447717ABDE3215F636F7331A90CF3</t>
  </si>
  <si>
    <t>FSH1</t>
  </si>
  <si>
    <t>3000 x 2700</t>
  </si>
  <si>
    <t>45C61727F3E315DA92B49D6357B297F4A90D8</t>
  </si>
  <si>
    <t>01031145C61727F3E315DA92B49D6357B297F4A90D8</t>
  </si>
  <si>
    <t>0.800 x 2.400 = 1.920</t>
  </si>
  <si>
    <t>호표 220</t>
  </si>
  <si>
    <t>447717ABDE3215F636F7331A90CF7</t>
  </si>
  <si>
    <t>010311447717ABDE3215F636F7331A90CF7</t>
  </si>
  <si>
    <t>유리문, 12*800*2100mm, 손보호, 투명, 강화유리문</t>
  </si>
  <si>
    <t>45C61727F3E315DA92B49D6357B297CF65449</t>
  </si>
  <si>
    <t>01031145C61727F3E315DA92B49D6357B297CF65449</t>
  </si>
  <si>
    <t>유리문, 28*1100*2100mm, 손보호, 투명, 복층유리문</t>
  </si>
  <si>
    <t>45C61727F3E315DA92B49D6357B297CF6544A</t>
  </si>
  <si>
    <t>01031145C61727F3E315DA92B49D6357B297CF6544A</t>
  </si>
  <si>
    <t>IFSD03</t>
  </si>
  <si>
    <t>2.200 x 2.400 = 5.280</t>
  </si>
  <si>
    <t>45C61727F3E315DA92B49D6357B297CF2F496</t>
  </si>
  <si>
    <t>01031145C61727F3E315DA92B49D6357B297CF2F496</t>
  </si>
  <si>
    <t>45C61727F3E315DA92B49D6357B297CF65672</t>
  </si>
  <si>
    <t>01031145C61727F3E315DA92B49D6357B297CF65672</t>
  </si>
  <si>
    <t>PW01</t>
  </si>
  <si>
    <t>2.100 x 2.100 = 4.410</t>
  </si>
  <si>
    <t>호표 221</t>
  </si>
  <si>
    <t>447717ABDE3215F636F7331A90398</t>
  </si>
  <si>
    <t>010311447717ABDE3215F636F7331A90398</t>
  </si>
  <si>
    <t>호표 222</t>
  </si>
  <si>
    <t>447717ABDE3215F636F7331A9039A</t>
  </si>
  <si>
    <t>010311447717ABDE3215F636F7331A9039A</t>
  </si>
  <si>
    <t>호표 223</t>
  </si>
  <si>
    <t>447717ABDE3215F636F7331A9039C</t>
  </si>
  <si>
    <t>010311447717ABDE3215F636F7331A9039C</t>
  </si>
  <si>
    <t>1.100 x 2.400 = 2.640</t>
  </si>
  <si>
    <t>호표 224</t>
  </si>
  <si>
    <t>447717ABDE3215F636F7331A9039E</t>
  </si>
  <si>
    <t>010311447717ABDE3215F636F7331A9039E</t>
  </si>
  <si>
    <t>SD04</t>
  </si>
  <si>
    <t>0.900 x 2.100 = 1.890</t>
  </si>
  <si>
    <t>호표 225</t>
  </si>
  <si>
    <t>447717ABDE3215F636F7331A90390</t>
  </si>
  <si>
    <t>010311447717ABDE3215F636F7331A90390</t>
  </si>
  <si>
    <t>호표 226</t>
  </si>
  <si>
    <t>447717ABDE3215F636F7331A902F2</t>
  </si>
  <si>
    <t>010311447717ABDE3215F636F7331A902F2</t>
  </si>
  <si>
    <t>SSD01[도어포함]</t>
  </si>
  <si>
    <t>3.000 x 3.000 = 9.000</t>
  </si>
  <si>
    <t>호표 227</t>
  </si>
  <si>
    <t>447717ABDE3215F636F7331A902F0</t>
  </si>
  <si>
    <t>010311447717ABDE3215F636F7331A902F0</t>
  </si>
  <si>
    <t>호표 228</t>
  </si>
  <si>
    <t>447717ABDE3215F636F7331A902F6</t>
  </si>
  <si>
    <t>010311447717ABDE3215F636F7331A902F6</t>
  </si>
  <si>
    <t>5.010 x 2.700 = 13.527</t>
  </si>
  <si>
    <t>호표 229</t>
  </si>
  <si>
    <t>447717ABDE3215F636F7331A902F4</t>
  </si>
  <si>
    <t>010311447717ABDE3215F636F7331A902F4</t>
  </si>
  <si>
    <t>0.900 x 1.500 = 1.350</t>
  </si>
  <si>
    <t>호표 230</t>
  </si>
  <si>
    <t>447717ABDE3215F636F7331A902FA</t>
  </si>
  <si>
    <t>010311447717ABDE3215F636F7331A902FA</t>
  </si>
  <si>
    <t>2.700 x 1.500 = 4.050</t>
  </si>
  <si>
    <t>호표 231</t>
  </si>
  <si>
    <t>447717ABDE3215F636F7331A86464</t>
  </si>
  <si>
    <t>010311447717ABDE3215F636F7331A86464</t>
  </si>
  <si>
    <t>ISD01</t>
  </si>
  <si>
    <t>45C61727F3E315DA92B49D6357B297CF2F491</t>
  </si>
  <si>
    <t>01031145C61727F3E315DA92B49D6357B297CF2F491</t>
  </si>
  <si>
    <t>ISD02</t>
  </si>
  <si>
    <t>0.550 x 2.100 = 1.155</t>
  </si>
  <si>
    <t>45C61727F3E315DA92B49D6357B297CF2F490</t>
  </si>
  <si>
    <t>01031145C61727F3E315DA92B49D6357B297CF2F490</t>
  </si>
  <si>
    <t>45C61727F3E315DA92B49D6357B297EA6E283</t>
  </si>
  <si>
    <t>01031145C61727F3E315DA92B49D6357B297EA6E283</t>
  </si>
  <si>
    <t>[하드웨어]-소방종합훈련탑</t>
  </si>
  <si>
    <t>45C61727F3E315DA92B49D6357B297EA6E280</t>
  </si>
  <si>
    <t>01031145C61727F3E315DA92B49D6357B297EA6E280</t>
  </si>
  <si>
    <t xml:space="preserve"> 오토플러쉬볼트</t>
  </si>
  <si>
    <t xml:space="preserve"> WJ 781M</t>
  </si>
  <si>
    <t>45C61727F3E315DA92B49D6357B297EA6E281</t>
  </si>
  <si>
    <t>01031145C61727F3E315DA92B49D6357B297EA6E281</t>
  </si>
  <si>
    <t xml:space="preserve"> 오토파워힌지</t>
  </si>
  <si>
    <t xml:space="preserve"> FREEDOOR K-22</t>
  </si>
  <si>
    <t>45C61727F3E315DA92B49D6357B297EA6E28E</t>
  </si>
  <si>
    <t>01031145C61727F3E315DA92B49D6357B297EA6E28E</t>
  </si>
  <si>
    <t>45C61727F3E315DA92B49D6357B297EA6E3AD</t>
  </si>
  <si>
    <t>01031145C61727F3E315DA92B49D6357B297EA6E3AD</t>
  </si>
  <si>
    <t>45C61727F3E315DA92B49D6357B297EA6E3AC</t>
  </si>
  <si>
    <t>01031145C61727F3E315DA92B49D6357B297EA6E3AC</t>
  </si>
  <si>
    <t>45C61727F3E315DA92B49D6357B297EA6E3AF</t>
  </si>
  <si>
    <t>01031145C61727F3E315DA92B49D6357B297EA6E3AF</t>
  </si>
  <si>
    <t>45C61727F3E315DA92B49D6357B297EA6E3AE</t>
  </si>
  <si>
    <t>01031145C61727F3E315DA92B49D6357B297EA6E3AE</t>
  </si>
  <si>
    <t>45C61727F3E315DA92B49D6357B297EA6E3A9</t>
  </si>
  <si>
    <t>01031145C61727F3E315DA92B49D6357B297EA6E3A9</t>
  </si>
  <si>
    <t>45C61727F3E315DA92B49D6357B297EA6E3AA</t>
  </si>
  <si>
    <t>01031145C61727F3E315DA92B49D6357B297EA6E3AA</t>
  </si>
  <si>
    <t>45C61727F3E315DA92B49D6357B297EA6E3A5</t>
  </si>
  <si>
    <t>01031145C61727F3E315DA92B49D6357B297EA6E3A5</t>
  </si>
  <si>
    <t xml:space="preserve"> 도어릴리즈</t>
  </si>
  <si>
    <t xml:space="preserve"> FREEDOOR K-200</t>
  </si>
  <si>
    <t>45C61727F3E315DA92B49D6357B297EA6E3A4</t>
  </si>
  <si>
    <t>01031145C61727F3E315DA92B49D6357B297EA6E3A4</t>
  </si>
  <si>
    <t>45C61727F3E315DA92B49D6357B297EA6E4B5</t>
  </si>
  <si>
    <t>01031145C61727F3E315DA92B49D6357B297EA6E4B5</t>
  </si>
  <si>
    <t xml:space="preserve"> 도어스토퍼-벽부형</t>
  </si>
  <si>
    <t xml:space="preserve"> WJ WDH-11</t>
  </si>
  <si>
    <t>45C61727F3E315DA92B49D6357B297EA6E4B6</t>
  </si>
  <si>
    <t>01031145C61727F3E315DA92B49D6357B297EA6E4B6</t>
  </si>
  <si>
    <t>45C61727F3E315DA92B49D6357B297EA6E4B7</t>
  </si>
  <si>
    <t>01031145C61727F3E315DA92B49D6357B297EA6E4B7</t>
  </si>
  <si>
    <t>45C61727F3E315DA92B49D6357B297EA6E4B1</t>
  </si>
  <si>
    <t>01031145C61727F3E315DA92B49D6357B297EA6E4B1</t>
  </si>
  <si>
    <t xml:space="preserve"> 컵핸들-더블</t>
  </si>
  <si>
    <t xml:space="preserve"> WJ FR-DB</t>
  </si>
  <si>
    <t>45C61727F3E315DA92B49D6357B297EA6E4B2</t>
  </si>
  <si>
    <t>01031145C61727F3E315DA92B49D6357B297EA6E4B2</t>
  </si>
  <si>
    <t xml:space="preserve"> 컵핸들-래치</t>
  </si>
  <si>
    <t xml:space="preserve"> WJ FR-IL</t>
  </si>
  <si>
    <t>45C61727F3E315DA92B49D6357B297EA6E4B3</t>
  </si>
  <si>
    <t>01031145C61727F3E315DA92B49D6357B297EA6E4B3</t>
  </si>
  <si>
    <t>45C61727F3E315DA92B49D6357B297EA6E4BC</t>
  </si>
  <si>
    <t>01031145C61727F3E315DA92B49D6357B297EA6E4BC</t>
  </si>
  <si>
    <t xml:space="preserve"> 컵핸들-키타입(단열문)</t>
  </si>
  <si>
    <t xml:space="preserve"> KOPAT CH-200(단열문)</t>
  </si>
  <si>
    <t>45C61727F3E315DA92B49D6357B297EA6E4BD</t>
  </si>
  <si>
    <t>01031145C61727F3E315DA92B49D6357B297EA6E4BD</t>
  </si>
  <si>
    <t>45C61727F3E315DA92B49D6357B297EA6E558</t>
  </si>
  <si>
    <t>01031145C61727F3E315DA92B49D6357B297EA6E558</t>
  </si>
  <si>
    <t>45C61727F3E315DA92B49D6357B297EA6E55F</t>
  </si>
  <si>
    <t>01031145C61727F3E315DA92B49D6357B297EA6E55F</t>
  </si>
  <si>
    <t xml:space="preserve"> 모티스 레버락셋-PRIVACY</t>
  </si>
  <si>
    <t xml:space="preserve"> KOPAT L-1001</t>
  </si>
  <si>
    <t>45C61727F3E315DA92B49D6357B297EA6E55C</t>
  </si>
  <si>
    <t>01031145C61727F3E315DA92B49D6357B297EA6E55C</t>
  </si>
  <si>
    <t>45C61727F3E315DA92B49D6357B297EA6E55D</t>
  </si>
  <si>
    <t>01031145C61727F3E315DA92B49D6357B297EA6E55D</t>
  </si>
  <si>
    <t>45C61727F3E315DA92B49D6357B297EA6E663</t>
  </si>
  <si>
    <t>01031145C61727F3E315DA92B49D6357B297EA6E663</t>
  </si>
  <si>
    <t xml:space="preserve"> WJ WJ52T</t>
  </si>
  <si>
    <t>45C61727F3E315DA92B49D6357B297EA6E665</t>
  </si>
  <si>
    <t>01031145C61727F3E315DA92B49D6357B297EA6E665</t>
  </si>
  <si>
    <t>45C61727F3E315DA92B49D6357B297EA6E664</t>
  </si>
  <si>
    <t>01031145C61727F3E315DA92B49D6357B297EA6E664</t>
  </si>
  <si>
    <t>45C61727F3E315DA92B49D6357B297EA6E666</t>
  </si>
  <si>
    <t>01031145C61727F3E315DA92B49D6357B297EA6E666</t>
  </si>
  <si>
    <t>45C61727F3E315DA92B49D6357B297EA6E669</t>
  </si>
  <si>
    <t>01031145C61727F3E315DA92B49D6357B297EA6E669</t>
  </si>
  <si>
    <t xml:space="preserve"> WJ KC-60</t>
  </si>
  <si>
    <t>45C61727F3E315DA92B49D6357B297EA6E708</t>
  </si>
  <si>
    <t>01031145C61727F3E315DA92B49D6357B297EA6E708</t>
  </si>
  <si>
    <t>45C61727F3E315DA92B49D6357B297CF5B245</t>
  </si>
  <si>
    <t>01031145C61727F3E315DA92B49D6357B297CF5B245</t>
  </si>
  <si>
    <t>45C61727F3E315DA92B49D6357B297CF5B246</t>
  </si>
  <si>
    <t>01031145C61727F3E315DA92B49D6357B297CF5B246</t>
  </si>
  <si>
    <t>ISSD-1/소방훈련시설</t>
  </si>
  <si>
    <t>9,650 x 2,700</t>
  </si>
  <si>
    <t>45C61727F3E315DA92B49D6357B297EA202F4</t>
  </si>
  <si>
    <t>01031145C61727F3E315DA92B49D6357B297EA202F4</t>
  </si>
  <si>
    <t>010312  유  리  공  사</t>
  </si>
  <si>
    <t>010312</t>
  </si>
  <si>
    <t>010312435C17C09A151501E5B7D59051FB4FDD343C3</t>
  </si>
  <si>
    <t>010312435C17C09A151501E5B7D59051FB4FDD34114</t>
  </si>
  <si>
    <t>45C61727F3E315DA92B49D6357B297F4A91E4</t>
  </si>
  <si>
    <t>01031245C61727F3E315DA92B49D6357B297F4A91E4</t>
  </si>
  <si>
    <t>45C61727F3E315DA92B49D6357B297F4A91E7</t>
  </si>
  <si>
    <t>01031245C61727F3E315DA92B49D6357B297F4A91E7</t>
  </si>
  <si>
    <t>45C61727F3E315DA92B49D6357B297F4A91E6</t>
  </si>
  <si>
    <t>01031245C61727F3E315DA92B49D6357B297F4A91E6</t>
  </si>
  <si>
    <t>45C61727F3E315DA92B49D6357B297F4A91E9</t>
  </si>
  <si>
    <t>01031245C61727F3E315DA92B49D6357B297F4A91E9</t>
  </si>
  <si>
    <t>010312432717FB8F77154CDAF6208D77327</t>
  </si>
  <si>
    <t>010312447717ED1D6915B05543CC9CE5C8E</t>
  </si>
  <si>
    <t>010312447717ED1D6915EDA9A36AEE18765</t>
  </si>
  <si>
    <t>010312447717ABB37A1516C8582FBECCF08</t>
  </si>
  <si>
    <t>010312447717AB487615B6B870C89C60C9D</t>
  </si>
  <si>
    <t>010312447717AB48E9152E390BD777FEB43</t>
  </si>
  <si>
    <t>010312447717AB48E9152E390BD75B27EAA</t>
  </si>
  <si>
    <t>010312447717AB48E9152E390BD74AB0CE5</t>
  </si>
  <si>
    <t>010312447717AB5A9F152D2460010B16E30</t>
  </si>
  <si>
    <t>010313  칠    공    사</t>
  </si>
  <si>
    <t>010313</t>
  </si>
  <si>
    <t>01031344771786E29515AD9F03D485059CC</t>
  </si>
  <si>
    <t>01031344771786D02B1519C47DFAF9291B5</t>
  </si>
  <si>
    <t>01031344771786D008153858E1313D25BA7</t>
  </si>
  <si>
    <t>01031344771786D008153858E1313D25BA0</t>
  </si>
  <si>
    <t>01031344771786C7DA158326D73D1444879</t>
  </si>
  <si>
    <t>01031344771786C7DA158326F3D8A46C805</t>
  </si>
  <si>
    <t>01031344771786C7DA158326F3762E95635</t>
  </si>
  <si>
    <t>01031344771786C7DA158326F3D8FC8C298</t>
  </si>
  <si>
    <t>01031344771786C7DA158326F37676B91BC</t>
  </si>
  <si>
    <t>010313447717865CD5155EDF9BAE0E293A7</t>
  </si>
  <si>
    <t>010314  골    재    비</t>
  </si>
  <si>
    <t>010314</t>
  </si>
  <si>
    <t>010314437F17B2BC8915EAEFBA436957452BD884746</t>
  </si>
  <si>
    <t>45C61727F3E315DA92B49D6357B297CF6544B</t>
  </si>
  <si>
    <t>01031445C61727F3E315DA92B49D6357B297CF6544B</t>
  </si>
  <si>
    <t>010315  운    반    비</t>
  </si>
  <si>
    <t>010315</t>
  </si>
  <si>
    <t>01031544761721BA111564DAEA21FF1F0D6</t>
  </si>
  <si>
    <t>01031544761721BA69158461AEBEA17DE1F</t>
  </si>
  <si>
    <t>01031544761721BA69158461AEBEA17DF26</t>
  </si>
  <si>
    <t>01031544761721BA7B15E49F3104CF9042E</t>
  </si>
  <si>
    <t>010316  작 업 설 부 산 물</t>
  </si>
  <si>
    <t>010316</t>
  </si>
  <si>
    <t>010316437F17B2BC04158373F1374A9D6336470CA59</t>
  </si>
  <si>
    <t>01031701  도급자관급</t>
  </si>
  <si>
    <t>03.소방종합훈련탑 관  급  공  사</t>
    <phoneticPr fontId="4" type="noConversion"/>
  </si>
  <si>
    <t>01031701</t>
  </si>
  <si>
    <t>01031701435C17C09A6D1533DCBEB3B2FDC5D0607D1AE</t>
  </si>
  <si>
    <t>01031701435C17C09A6D1533DCBEB3B2FDC5D0607D1A9</t>
  </si>
  <si>
    <t>01031701435C17C09A6D1533DCBEB3B2FDC5D0607D081</t>
  </si>
  <si>
    <t>01031701435C17C09A6D1533DCBEB3B2FDC5D0607D08E</t>
  </si>
  <si>
    <t>01031701435C17C09A6D1533DCBEB3B2FDC5D0607D08F</t>
  </si>
  <si>
    <t>01031701456E17B6F904156D2A4EDC6E4A2008</t>
  </si>
  <si>
    <t>01031701435C17C09A7F158126878FF66CCDE00193886</t>
  </si>
  <si>
    <t>01031701435C17C09A7F158126878FF66CCDE00193B43</t>
  </si>
  <si>
    <t>435C17C09A7F158126878FF66CCDE00193ABF</t>
  </si>
  <si>
    <t>01031701435C17C09A7F158126878FF66CCDE00193ABF</t>
  </si>
  <si>
    <t>잡재료</t>
  </si>
  <si>
    <t>01031701456E17B6F904156D2A4EDC6E4A3009</t>
  </si>
  <si>
    <t>45C61727F3E315DA92B49D6357B297EA05146</t>
  </si>
  <si>
    <t>0103170145C61727F3E315DA92B49D6357B297EA05146</t>
  </si>
  <si>
    <t>45C61727F3E315DA92B49D6357B297EA05141</t>
  </si>
  <si>
    <t>0103170145C61727F3E315DA92B49D6357B297EA05141</t>
  </si>
  <si>
    <t>01031701456E17B6F904156D2A4EDC6E4A9003</t>
  </si>
  <si>
    <t>01031701435C17C09A5C15DD67EF878114879AC4B6AE2</t>
  </si>
  <si>
    <t>01031701456E17B6F904156D2A4EDC6E4AE004</t>
  </si>
  <si>
    <t>01031701435C17C09A7F15811427BAD7E0F060F761EE2</t>
  </si>
  <si>
    <t>01031701456E17B6F904156D2A4EDC6E5B1010</t>
  </si>
  <si>
    <t>01031701435C17C09A5C15DD7054AB86DEE69AF7C578A</t>
  </si>
  <si>
    <t>01031701456E17B6F904156D2A4EDC6E4AC006</t>
  </si>
  <si>
    <t>01031701435C17C09A5C15DD7054C6525C95A9B8974C1</t>
  </si>
  <si>
    <t>01031701456E17B6F904156D2A4EDC6E4AD007</t>
  </si>
  <si>
    <t>010401  가  설  공  사</t>
  </si>
  <si>
    <t>04.기타시설</t>
    <phoneticPr fontId="4" type="noConversion"/>
  </si>
  <si>
    <t>010401</t>
  </si>
  <si>
    <t>0104014477177097D615E61A0915A2BF7CF</t>
  </si>
  <si>
    <t>10m초과-20m이하</t>
  </si>
  <si>
    <t>4477177097D615E61A472B48C17C5</t>
  </si>
  <si>
    <t>0104014477177097D615E61A472B48C17C5</t>
  </si>
  <si>
    <t>0104014477177097D615D58854548D0E224</t>
  </si>
  <si>
    <t>0104014477177097D615D58854549FB67D6</t>
  </si>
  <si>
    <t>01040144771770C33C155BF49FA7D6EE412</t>
  </si>
  <si>
    <t>01040144771770C30015F0D8B80E316CC6B</t>
  </si>
  <si>
    <t>01040144771770C30015F0D8B8291F12DAA</t>
  </si>
  <si>
    <t>01040144771770C30015F0EAFD95BBD0ECD</t>
  </si>
  <si>
    <t>01040144771770C30015F0EAC06C3DD7B71</t>
  </si>
  <si>
    <t>010402  철근콘크리트공사</t>
  </si>
  <si>
    <t>010402</t>
  </si>
  <si>
    <t>45C61727F3E315DA92B49D6357B297CF5B7C9</t>
  </si>
  <si>
    <t>01040245C61727F3E315DA92B49D6357B297CF5B7C9</t>
  </si>
  <si>
    <t>45C61727F3E315DA92B49D6357B297CF5B7C8</t>
  </si>
  <si>
    <t>01040245C61727F3E315DA92B49D6357B297CF5B7C8</t>
  </si>
  <si>
    <t>45C61727F3E315DA92B49D6357B297CF5B8E8</t>
  </si>
  <si>
    <t>01040245C61727F3E315DA92B49D6357B297CF5B8E8</t>
  </si>
  <si>
    <t>45C61727F3E315DA92B49D6357B297CF5B8E9</t>
  </si>
  <si>
    <t>01040245C61727F3E315DA92B49D6357B297CF5B8E9</t>
  </si>
  <si>
    <t>45C61727F3E315DA92B49D6357B297CF5B8EA</t>
  </si>
  <si>
    <t>01040245C61727F3E315DA92B49D6357B297CF5B8EA</t>
  </si>
  <si>
    <t>0104024477172846F215F26BCBEA1E4DE4E</t>
  </si>
  <si>
    <t>01040245C61727F3E315DA92B49D6357B297CF653A4</t>
  </si>
  <si>
    <t>01040245C61727F3E315DA92B49D6357B297CF653A7</t>
  </si>
  <si>
    <t>45C61727F3E315DA92B49D6357B297CF5B8EF</t>
  </si>
  <si>
    <t>01040245C61727F3E315DA92B49D6357B297CF5B8EF</t>
  </si>
  <si>
    <t>45C61727F3E315DA92B49D6357B297CF5B8E0</t>
  </si>
  <si>
    <t>01040245C61727F3E315DA92B49D6357B297CF5B8E0</t>
  </si>
  <si>
    <t>45C61727F3E315DA92B49D6357B297CF5B8E1</t>
  </si>
  <si>
    <t>01040245C61727F3E315DA92B49D6357B297CF5B8E1</t>
  </si>
  <si>
    <t>010402447717280F5E15D2408BA5D4E8BB5</t>
  </si>
  <si>
    <t>010402447717280F6F1541AA7102B581ED4</t>
  </si>
  <si>
    <t>010402435C17C09A7F158126878FF66CCDE0B22B77C</t>
  </si>
  <si>
    <t>01040244771728721215946E9C34B560487</t>
  </si>
  <si>
    <t>01040244771728721215946E9C34B5604F2</t>
  </si>
  <si>
    <t>01040244771728721215946E9C2A5F324A1</t>
  </si>
  <si>
    <t>01040244771728727B151AA582BDB6C49C1</t>
  </si>
  <si>
    <t>45C61727F3E315DA92B49D6357B297CF5B98F</t>
  </si>
  <si>
    <t>01040245C61727F3E315DA92B49D6357B297CF5B98F</t>
  </si>
  <si>
    <t>[데크플레이트]</t>
  </si>
  <si>
    <t>45C61727F3E315DA92B49D6357B297CF5B98E</t>
  </si>
  <si>
    <t>01040245C61727F3E315DA92B49D6357B297CF5B98E</t>
  </si>
  <si>
    <t>GC6-6(상부근D12,하부근D8,래티스?6)</t>
  </si>
  <si>
    <t>23513472</t>
  </si>
  <si>
    <t>45C61727F3E315DA92B49D6357B297EA17DD0</t>
  </si>
  <si>
    <t>01040245C61727F3E315DA92B49D6357B297EA17DD0</t>
  </si>
  <si>
    <t>01040245C61727F3E315DA92B49D6357B297CF2F495</t>
  </si>
  <si>
    <t>010403  철  골  공  사</t>
  </si>
  <si>
    <t>010403</t>
  </si>
  <si>
    <t>H형강</t>
  </si>
  <si>
    <t>SS275, 200*100*5.5*8mm, 현장도착도</t>
  </si>
  <si>
    <t>21.3kg/m</t>
  </si>
  <si>
    <t>435C17C09A6D1533C2396F2DF37ED34AFA103</t>
  </si>
  <si>
    <t>010403435C17C09A6D1533C2396F2DF37ED34AFA103</t>
  </si>
  <si>
    <t>SS275, 500*200*10*16mm, 현장도착도</t>
  </si>
  <si>
    <t>89.6kg/m</t>
  </si>
  <si>
    <t>435C17C09A6D1533C2396F2DF37ED34AFA7AE</t>
  </si>
  <si>
    <t>010403435C17C09A6D1533C2396F2DF37ED34AFA7AE</t>
  </si>
  <si>
    <t>SS275, 600*200*11*17mm, 현장도착도</t>
  </si>
  <si>
    <t>106.0kg/m</t>
  </si>
  <si>
    <t>435C17C09A6D1533C2396F2DF37ED34AFA7AB</t>
  </si>
  <si>
    <t>010403435C17C09A6D1533C2396F2DF37ED34AFA7AB</t>
  </si>
  <si>
    <t>SS275, 300*300*12*19mm, 현장도착도</t>
  </si>
  <si>
    <t>435C17C09A6D1533C2396F2DF37ED34AFA8B2</t>
  </si>
  <si>
    <t>010403435C17C09A6D1533C2396F2DF37ED34AFA8B2</t>
  </si>
  <si>
    <t>일반구조용압연강판, 12mm</t>
  </si>
  <si>
    <t>435C17C09A6D15065F0B790CA31F9562494D8</t>
  </si>
  <si>
    <t>010403435C17C09A6D15065F0B790CA31F9562494D8</t>
  </si>
  <si>
    <t>일반구조용압연강판, 22mm</t>
  </si>
  <si>
    <t>435C17C09A6D15065F0B790CA31F9562495E4</t>
  </si>
  <si>
    <t>010403435C17C09A6D15065F0B790CA31F9562495E4</t>
  </si>
  <si>
    <t>435C17C09A6D15065F0B790C800230C447578</t>
  </si>
  <si>
    <t>010403435C17C09A6D15065F0B790C800230C447578</t>
  </si>
  <si>
    <t>435C17C09A6D15065F0B790C800230C44757B</t>
  </si>
  <si>
    <t>010403435C17C09A6D15065F0B790C800230C44757B</t>
  </si>
  <si>
    <t>앵커볼트, M27*540mm</t>
  </si>
  <si>
    <t>435C17D2E84615F43023AB596290E5CFAA480</t>
  </si>
  <si>
    <t>010403435C17D2E84615F43023AB596290E5CFAA480</t>
  </si>
  <si>
    <t>∮28 이하</t>
  </si>
  <si>
    <t>호표 232</t>
  </si>
  <si>
    <t>4477173EFA3715E693BD59EDD057E</t>
  </si>
  <si>
    <t>0104034477173EFA3715E693BD59EDD057E</t>
  </si>
  <si>
    <t>0104034477173EE9D11525C562206467E36</t>
  </si>
  <si>
    <t>0104034477173E875B154C5E9C4EACF3E6E</t>
  </si>
  <si>
    <t>0104034477173E87D815CCA2870D0699906</t>
  </si>
  <si>
    <t>호표 233</t>
  </si>
  <si>
    <t>44771786E29515AD9F03CA1E608E7</t>
  </si>
  <si>
    <t>01040344771786E29515AD9F03CA1E608E7</t>
  </si>
  <si>
    <t>010404  조  적  공  사</t>
  </si>
  <si>
    <t>010404</t>
  </si>
  <si>
    <t>0104044477170B88811531A2FDB587C3821</t>
  </si>
  <si>
    <t>0104044477170AB30C151DD900448AA8959</t>
  </si>
  <si>
    <t>0104044477170AB3541516AFDFFB639E0F4</t>
  </si>
  <si>
    <t>010405  타  일  공  사</t>
  </si>
  <si>
    <t>010405</t>
  </si>
  <si>
    <t>010405435C17C09A5C15DD7054AB86DEA822B77DE18</t>
  </si>
  <si>
    <t>0104054477171A1F161508E2B76DD8DEB37</t>
  </si>
  <si>
    <t>0104054477171A1F16152B9568C9D60282C</t>
  </si>
  <si>
    <t>010405447717BA271E15F2751605C6A23B4</t>
  </si>
  <si>
    <t>010405447717BA273915D8339F2C8F7D525</t>
  </si>
  <si>
    <t>010406  목공사및수장공사</t>
  </si>
  <si>
    <t>010406</t>
  </si>
  <si>
    <t>01040644771795710515D304B4A2B6DEB1A</t>
  </si>
  <si>
    <t>010406435C17C09A0415BD03BE584CC90789FCA2CC3</t>
  </si>
  <si>
    <t>010406447717952AE3158ADFAF31D8F60CB</t>
  </si>
  <si>
    <t>010406447717952AC015A962881635BB7B7</t>
  </si>
  <si>
    <t>45C61727F3E315DA92B49D6357B297CF4AB66</t>
  </si>
  <si>
    <t>01040645C61727F3E315DA92B49D6357B297CF4AB66</t>
  </si>
  <si>
    <t>45C61727F3E315DA92B49D6357B297CF4AB67</t>
  </si>
  <si>
    <t>01040645C61727F3E315DA92B49D6357B297CF4AB67</t>
  </si>
  <si>
    <t>Z:IN PF보드, 준불연CORE 100T</t>
  </si>
  <si>
    <t>45C61727F3E315DA92B49D6357B297CF4A89A</t>
  </si>
  <si>
    <t>01040645C61727F3E315DA92B49D6357B297CF4A89A</t>
  </si>
  <si>
    <t>010407  방  수  공  사</t>
  </si>
  <si>
    <t>010407</t>
  </si>
  <si>
    <t>01040745C61727F3E315DA92B49D6357B297CF4A893</t>
  </si>
  <si>
    <t>01040745C61727F3E315DA92B49D6357B297CF4A9A7</t>
  </si>
  <si>
    <t>01040745C61727F3E315DA92B49D6357B297CF4A9A1</t>
  </si>
  <si>
    <t>01040745C61727F3E315DA92B49D6357B297CF4A9A2</t>
  </si>
  <si>
    <t>45C61727F3E315DA92B49D6357B297CF4A89B</t>
  </si>
  <si>
    <t>01040745C61727F3E315DA92B49D6357B297CF4A89B</t>
  </si>
  <si>
    <t>010407447717EDD85F156D20444F5CFC82D</t>
  </si>
  <si>
    <t>01040744771728E53415D35275B21DBE7C4</t>
  </si>
  <si>
    <t>010407447717ED1D5F152EDAAB1846987CE</t>
  </si>
  <si>
    <t>010407447717ED1D691595424F5382746CD</t>
  </si>
  <si>
    <t>010407447717ED1D7A1531FDFCE9BEB987D</t>
  </si>
  <si>
    <t>010407447717EDD85F156D2071853A90649</t>
  </si>
  <si>
    <t>010407447717EDD85F156D20444F5CFC82C</t>
  </si>
  <si>
    <t>010407447717EC41D315BD5EF6C22383D5E</t>
  </si>
  <si>
    <t>45C61727F3E315DA92B49D6357B297CF4A898</t>
  </si>
  <si>
    <t>01040745C61727F3E315DA92B49D6357B297CF4A898</t>
  </si>
  <si>
    <t>45C61727F3E315DA92B49D6357B297CF4A899</t>
  </si>
  <si>
    <t>01040745C61727F3E315DA92B49D6357B297CF4A899</t>
  </si>
  <si>
    <t>45C61727F3E315DA92B49D6357B297CF4A89E</t>
  </si>
  <si>
    <t>01040745C61727F3E315DA92B49D6357B297CF4A89E</t>
  </si>
  <si>
    <t>010408  금  속  공  사</t>
  </si>
  <si>
    <t>010408</t>
  </si>
  <si>
    <t>0104084477171AAEDB15CF4FF0AD0443920</t>
  </si>
  <si>
    <t>0104084477171AAEDB15CF12EA697E317C3</t>
  </si>
  <si>
    <t>010409  미  장  공  사</t>
  </si>
  <si>
    <t>010409</t>
  </si>
  <si>
    <t>내벽, 9mm(초벌), 3.6m 이하</t>
  </si>
  <si>
    <t>호표 234</t>
  </si>
  <si>
    <t>4477171A1F161508E2B76DCED90DF</t>
  </si>
  <si>
    <t>0104094477171A1F161508E2B76DCED90DF</t>
  </si>
  <si>
    <t>호표 235</t>
  </si>
  <si>
    <t>4477171A1F161508E2B76DD8A16F3</t>
  </si>
  <si>
    <t>0104094477171A1F161508E2B76DD8A16F3</t>
  </si>
  <si>
    <t>0104094477171A1F16152B9568C9D6759AD</t>
  </si>
  <si>
    <t>0104094477171A1F2015650EC5706B96BEB</t>
  </si>
  <si>
    <t>0104094477171A1F2015650EC5706BEEDE3</t>
  </si>
  <si>
    <t>0104094477171A1F2015650EC5706BEEDE2</t>
  </si>
  <si>
    <t>호표 236</t>
  </si>
  <si>
    <t>4477171A1F4315196993763B6D45F</t>
  </si>
  <si>
    <t>0104094477171A1F4315196993763B6D45F</t>
  </si>
  <si>
    <t>호표 237</t>
  </si>
  <si>
    <t>447717ABA2BC15EFADB8BAF8A7440</t>
  </si>
  <si>
    <t>010409447717ABA2BC15EFADB8BAF8A7440</t>
  </si>
  <si>
    <t>호표 238</t>
  </si>
  <si>
    <t>447717ABA2BC15EFBE2FD867716B6</t>
  </si>
  <si>
    <t>010409447717ABA2BC15EFBE2FD867716B6</t>
  </si>
  <si>
    <t>010410  창  호  공  사</t>
  </si>
  <si>
    <t>010410</t>
  </si>
  <si>
    <t>45C61727F3E315DA92B49D6357B297F4A9667</t>
  </si>
  <si>
    <t>01041045C61727F3E315DA92B49D6357B297F4A9667</t>
  </si>
  <si>
    <t>호표 239</t>
  </si>
  <si>
    <t>447717ABDE3215F636F7331A86462</t>
  </si>
  <si>
    <t>010410447717ABDE3215F636F7331A86462</t>
  </si>
  <si>
    <t>SD01[오수처리시설]</t>
  </si>
  <si>
    <t>호표 240</t>
  </si>
  <si>
    <t>447717ABDE3215F636F7331A8646C</t>
  </si>
  <si>
    <t>010410447717ABDE3215F636F7331A8646C</t>
  </si>
  <si>
    <t>45C61727F3E315DA92B49D6357B297EA200CF</t>
  </si>
  <si>
    <t>01041045C61727F3E315DA92B49D6357B297EA200CF</t>
  </si>
  <si>
    <t>[하드웨어]-기타시설(관리시설/오수처리시설/경비실)</t>
  </si>
  <si>
    <t>45C61727F3E315DA92B49D6357B297F4BB996</t>
  </si>
  <si>
    <t>01041045C61727F3E315DA92B49D6357B297F4BB996</t>
  </si>
  <si>
    <t>45C61727F3E315DA92B49D6357B297CF77E2E</t>
  </si>
  <si>
    <t>01041045C61727F3E315DA92B49D6357B297CF77E2E</t>
  </si>
  <si>
    <t>45C61727F3E315DA92B49D6357B297CF77FCC</t>
  </si>
  <si>
    <t>01041045C61727F3E315DA92B49D6357B297CF77FCC</t>
  </si>
  <si>
    <t>45C61727F3E315DA92B49D6357B297CF77FCD</t>
  </si>
  <si>
    <t>01041045C61727F3E315DA92B49D6357B297CF77FCD</t>
  </si>
  <si>
    <t>45C61727F3E315DA92B49D6357B297CF77FCE</t>
  </si>
  <si>
    <t>01041045C61727F3E315DA92B49D6357B297CF77FCE</t>
  </si>
  <si>
    <t>45C61727F3E315DA92B49D6357B297CF77FCF</t>
  </si>
  <si>
    <t>01041045C61727F3E315DA92B49D6357B297CF77FCF</t>
  </si>
  <si>
    <t>45C61727F3E315DA92B49D6357B297CF77FCB</t>
  </si>
  <si>
    <t>01041045C61727F3E315DA92B49D6357B297CF77FCB</t>
  </si>
  <si>
    <t>45C61727F3E315DA92B49D6357B297CF77FC5</t>
  </si>
  <si>
    <t>01041045C61727F3E315DA92B49D6357B297CF77FC5</t>
  </si>
  <si>
    <t>45C61727F3E315DA92B49D6357B297CF77C78</t>
  </si>
  <si>
    <t>01041045C61727F3E315DA92B49D6357B297CF77C78</t>
  </si>
  <si>
    <t>45C61727F3E315DA92B49D6357B297CF77C7A</t>
  </si>
  <si>
    <t>01041045C61727F3E315DA92B49D6357B297CF77C7A</t>
  </si>
  <si>
    <t>45C61727F3E315DA92B49D6357B297CF77C7B</t>
  </si>
  <si>
    <t>01041045C61727F3E315DA92B49D6357B297CF77C7B</t>
  </si>
  <si>
    <t>45C61727F3E315DA92B49D6357B297CF77C7C</t>
  </si>
  <si>
    <t>01041045C61727F3E315DA92B49D6357B297CF77C7C</t>
  </si>
  <si>
    <t>45C61727F3E315DA92B49D6357B297CF77D1F</t>
  </si>
  <si>
    <t>01041045C61727F3E315DA92B49D6357B297CF77D1F</t>
  </si>
  <si>
    <t>45C61727F3E315DA92B49D6357B297CF77D1E</t>
  </si>
  <si>
    <t>01041045C61727F3E315DA92B49D6357B297CF77D1E</t>
  </si>
  <si>
    <t>45C61727F3E315DA92B49D6357B297CF77D1B</t>
  </si>
  <si>
    <t>01041045C61727F3E315DA92B49D6357B297CF77D1B</t>
  </si>
  <si>
    <t>45C61727F3E315DA92B49D6357B297CF77D19</t>
  </si>
  <si>
    <t>01041045C61727F3E315DA92B49D6357B297CF77D19</t>
  </si>
  <si>
    <t>45C61727F3E315DA92B49D6357B297CF77D18</t>
  </si>
  <si>
    <t>01041045C61727F3E315DA92B49D6357B297CF77D18</t>
  </si>
  <si>
    <t>45C61727F3E315DA92B49D6357B297CF77A4A</t>
  </si>
  <si>
    <t>01041045C61727F3E315DA92B49D6357B297CF77A4A</t>
  </si>
  <si>
    <t>45C61727F3E315DA92B49D6357B297CF77A4F</t>
  </si>
  <si>
    <t>01041045C61727F3E315DA92B49D6357B297CF77A4F</t>
  </si>
  <si>
    <t>010411  유  리  공  사</t>
  </si>
  <si>
    <t>010411</t>
  </si>
  <si>
    <t>45C61727F3E315DA92B49D6357B297F4A9EB9</t>
  </si>
  <si>
    <t>01041145C61727F3E315DA92B49D6357B297F4A9EB9</t>
  </si>
  <si>
    <t>로이삼중유리/투명</t>
  </si>
  <si>
    <t>39mm(5LE+12AR+5CL+12AR+5LE)</t>
  </si>
  <si>
    <t>45C61727F3E315DA92B49D6357B297F4A91E8</t>
  </si>
  <si>
    <t>01041145C61727F3E315DA92B49D6357B297F4A91E8</t>
  </si>
  <si>
    <t>010411447717ED1D6915B05543CC9CE5C8E</t>
  </si>
  <si>
    <t>010411447717ED1D6915EDA9A36AEE18765</t>
  </si>
  <si>
    <t>010411447717AB487615B6B870C89C60C9D</t>
  </si>
  <si>
    <t>010411447717AB48E9152E390BD777FEB43</t>
  </si>
  <si>
    <t>010411447717AB48E9152E390BD75B27EAA</t>
  </si>
  <si>
    <t>010411447717AB48E9152E390BD74AB0CE5</t>
  </si>
  <si>
    <t>010411447717AB5A9F152D2460010B16E30</t>
  </si>
  <si>
    <t>010412  칠    공    사</t>
  </si>
  <si>
    <t>010412</t>
  </si>
  <si>
    <t>01041244771786E29515AD9F03D485059CC</t>
  </si>
  <si>
    <t>01041244771786D02B1519C47DFAF9291B5</t>
  </si>
  <si>
    <t>01041244771786D008153858E1313D25BA7</t>
  </si>
  <si>
    <t>01041244771786C7DA158326D73D1444879</t>
  </si>
  <si>
    <t>01041244771786C7DA158326F3D8A46C805</t>
  </si>
  <si>
    <t>010412447717865CD5155EDF9BAE0E293A7</t>
  </si>
  <si>
    <t>010413  골    재    비</t>
  </si>
  <si>
    <t>010413</t>
  </si>
  <si>
    <t>010413437F17B2BC8915EAEFBA436957452BD884746</t>
  </si>
  <si>
    <t>45C61727F3E315DA92B49D6357B297CF6544C</t>
  </si>
  <si>
    <t>01041345C61727F3E315DA92B49D6357B297CF6544C</t>
  </si>
  <si>
    <t>010414  운    반    비</t>
  </si>
  <si>
    <t>010414</t>
  </si>
  <si>
    <t>01041444761721BA111564DAEA21FF1F0D6</t>
  </si>
  <si>
    <t>01041444761721BA69158461AEBEA17DE1F</t>
  </si>
  <si>
    <t>01041444761721BA69158461AEBEA17DF26</t>
  </si>
  <si>
    <t>01041444761721BA69158461AEBE86A0909</t>
  </si>
  <si>
    <t>01041444761721BA7B15E49F3104CF9042E</t>
  </si>
  <si>
    <t>010415  작 업 설 부 산 물</t>
  </si>
  <si>
    <t>010415</t>
  </si>
  <si>
    <t>010415437F17B2BC04158373F1374A9D6336470CA59</t>
  </si>
  <si>
    <t>010415437F17B2BC04158373F1374A9D6336470CA5E</t>
  </si>
  <si>
    <t>01041601  도급자관급</t>
  </si>
  <si>
    <t>04.기타시설 관  급  공  사</t>
    <phoneticPr fontId="4" type="noConversion"/>
  </si>
  <si>
    <t>01041601</t>
  </si>
  <si>
    <t>01041601435C17C09A6D1533DCBEB3B2FDC5D0607D1AE</t>
  </si>
  <si>
    <t>01041601435C17C09A6D1533DCBEB3B2FDC5D0607D1A9</t>
  </si>
  <si>
    <t>01041601435C17C09A6D1533DCBEB3B2FDC5D0607D081</t>
  </si>
  <si>
    <t>01041601435C17C09A6D1533DCBEB3B2FDC5D0607D08E</t>
  </si>
  <si>
    <t>01041601435C17C09A6D1533DCBEB3B2FDC5D0607D08F</t>
  </si>
  <si>
    <t>01041601456E17B6F904156D2A4EDC6E4A9003</t>
  </si>
  <si>
    <t>01041601435C17C09A7F158126878FF66CCDE00193886</t>
  </si>
  <si>
    <t>01041601435C17C09A7F158126878FF66CCDE00193B43</t>
  </si>
  <si>
    <t>01041601435C17C09A7F158126878FF66CCDE00193ABC</t>
  </si>
  <si>
    <t>01041601456E17B6F904156D2A4EDC6E4AE004</t>
  </si>
  <si>
    <t>01041601435C17C09A5C15DD67EF878114879AC4B6AE2</t>
  </si>
  <si>
    <t>01041601456E17B6F904156D2A4EDC6E4AC006</t>
  </si>
  <si>
    <t>01041601435C17C09A7F15811427BAD7E0F060F761EE2</t>
  </si>
  <si>
    <t>01041601456E17B6F904156D2A4EDC6E4AD007</t>
  </si>
  <si>
    <t>45C61727F3E315DA92B49D6357B297EA17DD7</t>
  </si>
  <si>
    <t>0104160145C61727F3E315DA92B49D6357B297EA17DD7</t>
  </si>
  <si>
    <t>01041601456E17B6F904156D2A4EDC6E4A2008</t>
  </si>
  <si>
    <t>01041601435C17C09A5C15DD7054AB86DEE69AF7C578A</t>
  </si>
  <si>
    <t>01041601456E17B6F904156D2A4EDC6E4A3009</t>
  </si>
  <si>
    <t>010501  가  설  공  사</t>
  </si>
  <si>
    <t>05.관사동</t>
    <phoneticPr fontId="4" type="noConversion"/>
  </si>
  <si>
    <t>010501</t>
  </si>
  <si>
    <t>0105014477177097D615E61A0915A2BF7CF</t>
  </si>
  <si>
    <t>0105014477177097D615E61A472B48C17C5</t>
  </si>
  <si>
    <t>0105014477177097D615D58854549FB67D6</t>
  </si>
  <si>
    <t>0105014477177097D615D58854548D0E224</t>
  </si>
  <si>
    <t>0105014477177097D615D59AB4675ABFE73</t>
  </si>
  <si>
    <t>01050144771770C33C155BF49FA7D6EE412</t>
  </si>
  <si>
    <t>01050144771770C30015F0D8B80E316CC6B</t>
  </si>
  <si>
    <t>01050144771770C30015F0D8B8291F12DAA</t>
  </si>
  <si>
    <t>01050144771770C30015F0EAFD95BBD0ECD</t>
  </si>
  <si>
    <t>01050144771770C30015F0EAC07EB8E4F31</t>
  </si>
  <si>
    <t>01050144771770C30015F0EAC06C3DD7B71</t>
  </si>
  <si>
    <t>010502  철근콘크리트공사</t>
  </si>
  <si>
    <t>010502</t>
  </si>
  <si>
    <t>45C61727F3E315DA92B49D6357B297EAD161F</t>
  </si>
  <si>
    <t>01050245C61727F3E315DA92B49D6357B297EAD161F</t>
  </si>
  <si>
    <t>45C61727F3E315DA92B49D6357B297EAD161E</t>
  </si>
  <si>
    <t>01050245C61727F3E315DA92B49D6357B297EAD161E</t>
  </si>
  <si>
    <t>45C61727F3E315DA92B49D6357B297EAD173E</t>
  </si>
  <si>
    <t>01050245C61727F3E315DA92B49D6357B297EAD173E</t>
  </si>
  <si>
    <t>45C61727F3E315DA92B49D6357B297EAD173F</t>
  </si>
  <si>
    <t>01050245C61727F3E315DA92B49D6357B297EAD173F</t>
  </si>
  <si>
    <t>0105024477172846F215F26BCBEA1E4DE4E</t>
  </si>
  <si>
    <t>01050245C61727F3E315DA92B49D6357B297CF653A4</t>
  </si>
  <si>
    <t>01050245C61727F3E315DA92B49D6357B297CF653A7</t>
  </si>
  <si>
    <t>45C61727F3E315DA92B49D6357B297EAD173C</t>
  </si>
  <si>
    <t>01050245C61727F3E315DA92B49D6357B297EAD173C</t>
  </si>
  <si>
    <t>45C61727F3E315DA92B49D6357B297EAD173D</t>
  </si>
  <si>
    <t>01050245C61727F3E315DA92B49D6357B297EAD173D</t>
  </si>
  <si>
    <t>45C61727F3E315DA92B49D6357B297EAD173B</t>
  </si>
  <si>
    <t>01050245C61727F3E315DA92B49D6357B297EAD173B</t>
  </si>
  <si>
    <t>010502447717280F5E15D2408BA5D4E8BB5</t>
  </si>
  <si>
    <t>010502447717280F6F1541AA7102B581ED4</t>
  </si>
  <si>
    <t>010502435C17C09A7F158126878FF66CCDE0B22B77C</t>
  </si>
  <si>
    <t>01050244771728721215946E9C34B560487</t>
  </si>
  <si>
    <t>01050244771728721215946E9C34B5604F2</t>
  </si>
  <si>
    <t>01050244771728721215946E9C2A5F324A1</t>
  </si>
  <si>
    <t>01050244771728727B151AA582BDB6C49C1</t>
  </si>
  <si>
    <t>45C61727F3E315DA92B49D6357B297CF5B98C</t>
  </si>
  <si>
    <t>01050245C61727F3E315DA92B49D6357B297CF5B98C</t>
  </si>
  <si>
    <t>45C61727F3E315DA92B49D6357B297CF5B98B</t>
  </si>
  <si>
    <t>01050245C61727F3E315DA92B49D6357B297CF5B98B</t>
  </si>
  <si>
    <t>45C61727F3E315DA92B49D6357B297EA17F96</t>
  </si>
  <si>
    <t>01050245C61727F3E315DA92B49D6357B297EA17F96</t>
  </si>
  <si>
    <t>01050245C61727F3E315DA92B49D6357B297CF2F495</t>
  </si>
  <si>
    <t>010503  조  적  공  사</t>
  </si>
  <si>
    <t>010503</t>
  </si>
  <si>
    <t>0105034477170B88811531A2FDB587C3821</t>
  </si>
  <si>
    <t>0105034477170AB30C151DD90071C05AFEE</t>
  </si>
  <si>
    <t>0105034477170AB3541516AFDFFB639E0F4</t>
  </si>
  <si>
    <t>010504  돌    공    사</t>
  </si>
  <si>
    <t>010504</t>
  </si>
  <si>
    <t>010504447717BA16AF15F1D930A32C51F50</t>
  </si>
  <si>
    <t>화강석 재료분리대(습식, 물갈기)</t>
  </si>
  <si>
    <t>포천석, 100*30mm, 모르타르 30mm</t>
  </si>
  <si>
    <t>호표 241</t>
  </si>
  <si>
    <t>4477179518E515EBBCFF38CDCCCC1</t>
  </si>
  <si>
    <t>0105044477179518E515EBBCFF38CDCCCC1</t>
  </si>
  <si>
    <t>010505  타  일  공  사</t>
  </si>
  <si>
    <t>010505</t>
  </si>
  <si>
    <t>010505435C17C09A5C15DD7054AB86F9A140A1D2C90</t>
  </si>
  <si>
    <t>010505435C17C09A5C15DD7054AB86F9A1529E9BBF9</t>
  </si>
  <si>
    <t>010505435C17C09A5C15DD7054AB86DEA822B77DE18</t>
  </si>
  <si>
    <t>0105054477171A1F161508E2B76DD8DEB37</t>
  </si>
  <si>
    <t>0105054477171A1F16152B9568C9D66B7A1</t>
  </si>
  <si>
    <t>바닥, 15mm</t>
  </si>
  <si>
    <t>호표 242</t>
  </si>
  <si>
    <t>4477171A1F16152B9568C9D65AE82</t>
  </si>
  <si>
    <t>0105054477171A1F16152B9568C9D65AE82</t>
  </si>
  <si>
    <t>0105054477171A1F16152B9568C9D6759AA</t>
  </si>
  <si>
    <t>0105054477171A1F16152B9568C9D602937</t>
  </si>
  <si>
    <t>0105054477171A1F16152B9568C9D602827</t>
  </si>
  <si>
    <t>010505447717BA271E15F2751605C6A23B4</t>
  </si>
  <si>
    <t>010505447717BA273915D8339F2C8F7D525</t>
  </si>
  <si>
    <t>010506  목공사및수장공사</t>
  </si>
  <si>
    <t>010506</t>
  </si>
  <si>
    <t>01050644771795710515D31508F2D586151</t>
  </si>
  <si>
    <t>010506435C17C09A0415BD03BE584CC90789FCA2CC3</t>
  </si>
  <si>
    <t>걸레받이 설치</t>
  </si>
  <si>
    <t>H=100, 무늬목걸레받이</t>
  </si>
  <si>
    <t>호표 243</t>
  </si>
  <si>
    <t>4477179571431542F4EE370376DE8</t>
  </si>
  <si>
    <t>0105064477179571431542F4EE370376DE8</t>
  </si>
  <si>
    <t>0105064477179545C915473AB9AB5D5B129</t>
  </si>
  <si>
    <t>0105064477179545C9154728597DE1F5F8E</t>
  </si>
  <si>
    <t>010506447717952AE3158ADFAF31D8F60CB</t>
  </si>
  <si>
    <t>010506447717952AE3158ADFAF31D8E52AB</t>
  </si>
  <si>
    <t>010506447717952AC015A962881635BB7B7</t>
  </si>
  <si>
    <t>010506447717957143153032287560B8B95</t>
  </si>
  <si>
    <t>45C61727F3E315DA92B49D6357B297CF5B98A</t>
  </si>
  <si>
    <t>01050645C61727F3E315DA92B49D6357B297CF5B98A</t>
  </si>
  <si>
    <t>01050645C61727F3E315DA92B49D6357B297CF650EE</t>
  </si>
  <si>
    <t>01050645C61727F3E315DA92B49D6357B297CF650E9</t>
  </si>
  <si>
    <t>01050645C61727F3E315DA92B49D6357B297CF650E8</t>
  </si>
  <si>
    <t>45C61727F3E315DA92B49D6357B297CF4AE22</t>
  </si>
  <si>
    <t>01050645C61727F3E315DA92B49D6357B297CF4AE22</t>
  </si>
  <si>
    <t>01050645C61727F3E315DA92B49D6357B297F48EB5A</t>
  </si>
  <si>
    <t>01050644771795561D158514A72C96F4E8A</t>
  </si>
  <si>
    <t>01050644771795561D158514A72C96F4A12</t>
  </si>
  <si>
    <t>010507  방  수  공  사</t>
  </si>
  <si>
    <t>010507</t>
  </si>
  <si>
    <t>01050745C61727F3E315DA92B49D6357B297CF4A9A8</t>
  </si>
  <si>
    <t>01050745C61727F3E315DA92B49D6357B297CF4A9A3</t>
  </si>
  <si>
    <t>01050745C61727F3E315DA92B49D6357B297CF4A9A4</t>
  </si>
  <si>
    <t>01050745C61727F3E315DA92B49D6357B297CF4A9A5</t>
  </si>
  <si>
    <t>01050745C61727F3E315DA92B49D6357B297CF4A9A6</t>
  </si>
  <si>
    <t>01050745C61727F3E315DA92B49D6357B297CF4A9A7</t>
  </si>
  <si>
    <t>고무아스팔트 도막바름(2회)</t>
  </si>
  <si>
    <t>45C61727F3E315DA92B49D6357B297CF5B989</t>
  </si>
  <si>
    <t>01050745C61727F3E315DA92B49D6357B297CF5B989</t>
  </si>
  <si>
    <t>010507447717EDD85F156D20444F5CFC82D</t>
  </si>
  <si>
    <t>01050744771728E53415D35275B21DBE7C4</t>
  </si>
  <si>
    <t>010507447717ED1D5F152EDAAB1846987CE</t>
  </si>
  <si>
    <t>010507447717ED1D691595424F5382746CD</t>
  </si>
  <si>
    <t>010507447717ED1D7A1531FDFCE9BEB987D</t>
  </si>
  <si>
    <t>010507447717ED1D07150D0A9A1A68780F2</t>
  </si>
  <si>
    <t>010507447717ED0CE81519CEB597445DBB0</t>
  </si>
  <si>
    <t>010507447717ED0CE8150F18539A094454D</t>
  </si>
  <si>
    <t>010507447717ED0CFA15948BAEA301E5459</t>
  </si>
  <si>
    <t>010507447717EDD85F156D2071853A90649</t>
  </si>
  <si>
    <t>010507447717EDD85F156D20444F5CFC82C</t>
  </si>
  <si>
    <t>010507447717EC41D315BD5EF6C22383D5E</t>
  </si>
  <si>
    <t>45C61727F3E315DA92B49D6357B297CF5B988</t>
  </si>
  <si>
    <t>01050745C61727F3E315DA92B49D6357B297CF5B988</t>
  </si>
  <si>
    <t>45C61727F3E315DA92B49D6357B297CF5B987</t>
  </si>
  <si>
    <t>01050745C61727F3E315DA92B49D6357B297CF5B987</t>
  </si>
  <si>
    <t>이격단열재</t>
  </si>
  <si>
    <t>100T</t>
  </si>
  <si>
    <t>45C61727F3E315DA92B49D6357B297CF5B986</t>
  </si>
  <si>
    <t>01050745C61727F3E315DA92B49D6357B297CF5B986</t>
  </si>
  <si>
    <t>010508  지붕 및 홈통공사</t>
  </si>
  <si>
    <t>010508</t>
  </si>
  <si>
    <t>010508435C17D2DFBE15F0C248D99A115733777CC8D</t>
  </si>
  <si>
    <t>010508447717DF2D10157F85AEB4AFA49DB</t>
  </si>
  <si>
    <t>010508447717DF2D4D15969107B1E38C209</t>
  </si>
  <si>
    <t>010508447717DF3F5515EA14796867AC1AE</t>
  </si>
  <si>
    <t>010509  금  속  공  사</t>
  </si>
  <si>
    <t>010509</t>
  </si>
  <si>
    <t>010509435C17D2E84615CF9C6C1E40CD11A55B8870A</t>
  </si>
  <si>
    <t>0105094477171AAEDB15CF4FF0AD0443920</t>
  </si>
  <si>
    <t>010509447717C88A0415E345F597106B0B4</t>
  </si>
  <si>
    <t>010509447717C88A0415E345F59006CA736</t>
  </si>
  <si>
    <t>010509447717C8D21E153D92868BBB68ACE</t>
  </si>
  <si>
    <t>010509447717C8798B154EDF5E326B75513</t>
  </si>
  <si>
    <t>호표 244</t>
  </si>
  <si>
    <t>447717C8798B155F3C090D10992E4</t>
  </si>
  <si>
    <t>010509447717C8798B155F3C090D10992E4</t>
  </si>
  <si>
    <t>01050944771795189D15E2E2121319F580C</t>
  </si>
  <si>
    <t>01050944771795E41D1592FCDE0D7CE5138</t>
  </si>
  <si>
    <t>01050944771795F65215D45B6BCF25711E1</t>
  </si>
  <si>
    <t>45C61727F3E315DA92B49D6357B297CF381F3</t>
  </si>
  <si>
    <t>01050945C61727F3E315DA92B49D6357B297CF381F3</t>
  </si>
  <si>
    <t>4. 관사</t>
  </si>
  <si>
    <t>45C61727F3E315DA92B49D6357B297CF2FBC3</t>
  </si>
  <si>
    <t>01050945C61727F3E315DA92B49D6357B297CF2FBC3</t>
  </si>
  <si>
    <t>45C61727F3E315DA92B49D6357B297EA5DE6B</t>
  </si>
  <si>
    <t>01050945C61727F3E315DA92B49D6357B297EA5DE6B</t>
  </si>
  <si>
    <t>45C61727F3E315DA92B49D6357B297EA5DE6A</t>
  </si>
  <si>
    <t>01050945C61727F3E315DA92B49D6357B297EA5DE6A</t>
  </si>
  <si>
    <t>45C61727F3E315DA92B49D6357B297EA5DE6D</t>
  </si>
  <si>
    <t>01050945C61727F3E315DA92B49D6357B297EA5DE6D</t>
  </si>
  <si>
    <t>45C61727F3E315DA92B49D6357B297EA5DE6C</t>
  </si>
  <si>
    <t>01050945C61727F3E315DA92B49D6357B297EA5DE6C</t>
  </si>
  <si>
    <t>45C61727F3E315DA92B49D6357B297CF2FBCC</t>
  </si>
  <si>
    <t>01050945C61727F3E315DA92B49D6357B297CF2FBCC</t>
  </si>
  <si>
    <t>[수동 롤스크린-관사]</t>
  </si>
  <si>
    <t>45C61727F3E315DA92B49D6357B297EA43469</t>
  </si>
  <si>
    <t>01050945C61727F3E315DA92B49D6357B297EA43469</t>
  </si>
  <si>
    <t>45C61727F3E315DA92B49D6357B297EA43468</t>
  </si>
  <si>
    <t>01050945C61727F3E315DA92B49D6357B297EA43468</t>
  </si>
  <si>
    <t>45C61727F3E315DA92B49D6357B297EA4346E</t>
  </si>
  <si>
    <t>01050945C61727F3E315DA92B49D6357B297EA4346E</t>
  </si>
  <si>
    <t>45C61727F3E315DA92B49D6357B297EA4346C</t>
  </si>
  <si>
    <t>01050945C61727F3E315DA92B49D6357B297EA4346C</t>
  </si>
  <si>
    <t>45C61727F3E315DA92B49D6357B297EA43463</t>
  </si>
  <si>
    <t>01050945C61727F3E315DA92B49D6357B297EA43463</t>
  </si>
  <si>
    <t>공과잡비</t>
  </si>
  <si>
    <t>45C61727F3E315DA92B49D6357B297CF2FFB8</t>
  </si>
  <si>
    <t>01050945C61727F3E315DA92B49D6357B297CF2FFB8</t>
  </si>
  <si>
    <t>010510  미  장  공  사</t>
  </si>
  <si>
    <t>010510</t>
  </si>
  <si>
    <t>0105104477171A1F161508E2B76DCED90AF</t>
  </si>
  <si>
    <t>0105104477171A1F161508E2B76DD8A1682</t>
  </si>
  <si>
    <t>0105104477171A1F161508E2FD1CCAF18B1</t>
  </si>
  <si>
    <t>0105104477171A1F16152B9568C9D602935</t>
  </si>
  <si>
    <t>0105104477171A1F16152B9568C9D60282B</t>
  </si>
  <si>
    <t>0105104477171A1F16152B9568C9D602F5A</t>
  </si>
  <si>
    <t>0105104477171A1F2015650EC5706B96BEB</t>
  </si>
  <si>
    <t>0105104477171A1F2015650EC5706BEEDE3</t>
  </si>
  <si>
    <t>0105104477171A1F2015650EC5706BEEDE2</t>
  </si>
  <si>
    <t>0105104477171A1F4315196993763B6D45D</t>
  </si>
  <si>
    <t>010510447717ABA2BC15EFADB8BAF8B1DF8</t>
  </si>
  <si>
    <t>010510447717ABA2BC15EFADB8BAF8A7431</t>
  </si>
  <si>
    <t>010510447717ABA2BC15EFBE2FD867716C4</t>
  </si>
  <si>
    <t>010511  창  호  공  사</t>
  </si>
  <si>
    <t>010511</t>
  </si>
  <si>
    <t>45C61727F3E315DA92B49D6357B297CF6544D</t>
  </si>
  <si>
    <t>01051145C61727F3E315DA92B49D6357B297CF6544D</t>
  </si>
  <si>
    <t>FSD01[계단실]</t>
  </si>
  <si>
    <t>45C61727F3E315DA92B49D6357B297F4BBE10</t>
  </si>
  <si>
    <t>01051145C61727F3E315DA92B49D6357B297F4BBE10</t>
  </si>
  <si>
    <t>FSD02[공동구, PIT 점검도어]</t>
  </si>
  <si>
    <t>45C61727F3E315DA92B49D6357B297F4BBE11</t>
  </si>
  <si>
    <t>01051145C61727F3E315DA92B49D6357B297F4BBE11</t>
  </si>
  <si>
    <t>GD01[화장실]</t>
  </si>
  <si>
    <t>호표 245</t>
  </si>
  <si>
    <t>447717ABDE3215F636F7331A86616</t>
  </si>
  <si>
    <t>010511447717ABDE3215F636F7331A86616</t>
  </si>
  <si>
    <t>PD01[화장실]</t>
  </si>
  <si>
    <t>호표 246</t>
  </si>
  <si>
    <t>447717ABDE3215F636F7331A86738</t>
  </si>
  <si>
    <t>010511447717ABDE3215F636F7331A86738</t>
  </si>
  <si>
    <t>9.400 x 3.300 = 31.020</t>
  </si>
  <si>
    <t>호표 247</t>
  </si>
  <si>
    <t>447717ABDE3215F636F7331A86739</t>
  </si>
  <si>
    <t>010511447717ABDE3215F636F7331A86739</t>
  </si>
  <si>
    <t>FSD03[PS]</t>
  </si>
  <si>
    <t>1.800 x 1.800 = 3.240</t>
  </si>
  <si>
    <t>45C61727F3E315DA92B49D6357B297CF2F493</t>
  </si>
  <si>
    <t>01051145C61727F3E315DA92B49D6357B297CF2F493</t>
  </si>
  <si>
    <t>IFSD01[계단실]</t>
  </si>
  <si>
    <t>45C61727F3E315DA92B49D6357B297CF2F492</t>
  </si>
  <si>
    <t>01051145C61727F3E315DA92B49D6357B297CF2F492</t>
  </si>
  <si>
    <t>45C61727F3E315DA92B49D6357B297EA6E700</t>
  </si>
  <si>
    <t>01051145C61727F3E315DA92B49D6357B297EA6E700</t>
  </si>
  <si>
    <t>[하드웨어]-관사동</t>
  </si>
  <si>
    <t>45C61727F3E315DA92B49D6357B297EA6E701</t>
  </si>
  <si>
    <t>01051145C61727F3E315DA92B49D6357B297EA6E701</t>
  </si>
  <si>
    <t>45C61727F3E315DA92B49D6357B297EA6E82A</t>
  </si>
  <si>
    <t>01051145C61727F3E315DA92B49D6357B297EA6E82A</t>
  </si>
  <si>
    <t>45C61727F3E315DA92B49D6357B297EA6E82B</t>
  </si>
  <si>
    <t>01051145C61727F3E315DA92B49D6357B297EA6E82B</t>
  </si>
  <si>
    <t>45C61727F3E315DA92B49D6357B297EA6E828</t>
  </si>
  <si>
    <t>01051145C61727F3E315DA92B49D6357B297EA6E828</t>
  </si>
  <si>
    <t>45C61727F3E315DA92B49D6357B297EA6E829</t>
  </si>
  <si>
    <t>01051145C61727F3E315DA92B49D6357B297EA6E829</t>
  </si>
  <si>
    <t>45C61727F3E315DA92B49D6357B297EA6E826</t>
  </si>
  <si>
    <t>01051145C61727F3E315DA92B49D6357B297EA6E826</t>
  </si>
  <si>
    <t>45C61727F3E315DA92B49D6357B297EA6E934</t>
  </si>
  <si>
    <t>01051145C61727F3E315DA92B49D6357B297EA6E934</t>
  </si>
  <si>
    <t>45C61727F3E315DA92B49D6357B297EA6E936</t>
  </si>
  <si>
    <t>01051145C61727F3E315DA92B49D6357B297EA6E936</t>
  </si>
  <si>
    <t>45C61727F3E315DA92B49D6357B297EA78742</t>
  </si>
  <si>
    <t>01051145C61727F3E315DA92B49D6357B297EA78742</t>
  </si>
  <si>
    <t>45C61727F3E315DA92B49D6357B297EA78746</t>
  </si>
  <si>
    <t>01051145C61727F3E315DA92B49D6357B297EA78746</t>
  </si>
  <si>
    <t>45C61727F3E315DA92B49D6357B297EA7874B</t>
  </si>
  <si>
    <t>01051145C61727F3E315DA92B49D6357B297EA7874B</t>
  </si>
  <si>
    <t>45C61727F3E315DA92B49D6357B297EA78595</t>
  </si>
  <si>
    <t>01051145C61727F3E315DA92B49D6357B297EA78595</t>
  </si>
  <si>
    <t>45C61727F3E315DA92B49D6357B297EAD18C3</t>
  </si>
  <si>
    <t>01051145C61727F3E315DA92B49D6357B297EAD18C3</t>
  </si>
  <si>
    <t>45C61727F3E315DA92B49D6357B297EAD18CC</t>
  </si>
  <si>
    <t>01051145C61727F3E315DA92B49D6357B297EAD18CC</t>
  </si>
  <si>
    <t>45C61727F3E315DA92B49D6357B297EAD19EC</t>
  </si>
  <si>
    <t>01051145C61727F3E315DA92B49D6357B297EAD19EC</t>
  </si>
  <si>
    <t>45C61727F3E315DA92B49D6357B297EAD19EF</t>
  </si>
  <si>
    <t>01051145C61727F3E315DA92B49D6357B297EAD19EF</t>
  </si>
  <si>
    <t>45C61727F3E315DA92B49D6357B297EAD19EA</t>
  </si>
  <si>
    <t>01051145C61727F3E315DA92B49D6357B297EAD19EA</t>
  </si>
  <si>
    <t>45C61727F3E315DA92B49D6357B297F4BBD0D</t>
  </si>
  <si>
    <t>01051145C61727F3E315DA92B49D6357B297F4BBD0D</t>
  </si>
  <si>
    <t>45C61727F3E315DA92B49D6357B297F4BBD0E</t>
  </si>
  <si>
    <t>01051145C61727F3E315DA92B49D6357B297F4BBD0E</t>
  </si>
  <si>
    <t>45C61727F3E315DA92B49D6357B297F4BBD08</t>
  </si>
  <si>
    <t>01051145C61727F3E315DA92B49D6357B297F4BBD08</t>
  </si>
  <si>
    <t>45C61727F3E315DA92B49D6357B297F4BBD0B</t>
  </si>
  <si>
    <t>01051145C61727F3E315DA92B49D6357B297F4BBD0B</t>
  </si>
  <si>
    <t>45C61727F3E315DA92B49D6357B297F4BBD05</t>
  </si>
  <si>
    <t>01051145C61727F3E315DA92B49D6357B297F4BBD05</t>
  </si>
  <si>
    <t>45C61727F3E315DA92B49D6357B297CF5B248</t>
  </si>
  <si>
    <t>01051145C61727F3E315DA92B49D6357B297CF5B248</t>
  </si>
  <si>
    <t>45C61727F3E315DA92B49D6357B297CF5B249</t>
  </si>
  <si>
    <t>01051145C61727F3E315DA92B49D6357B297CF5B249</t>
  </si>
  <si>
    <t>ISSD-1/관사동</t>
  </si>
  <si>
    <t>10,200 x 3,300</t>
  </si>
  <si>
    <t>45C61727F3E315DA92B49D6357B297EA202F6</t>
  </si>
  <si>
    <t>01051145C61727F3E315DA92B49D6357B297EA202F6</t>
  </si>
  <si>
    <t>010512  유  리  공  사</t>
  </si>
  <si>
    <t>010512</t>
  </si>
  <si>
    <t>010512435C17C09A151501E5B7D59051FB4FDD34114</t>
  </si>
  <si>
    <t>45C61727F3E315DA92B49D6357B297F4A9EB8</t>
  </si>
  <si>
    <t>01051245C61727F3E315DA92B49D6357B297F4A9EB8</t>
  </si>
  <si>
    <t>45C61727F3E315DA92B49D6357B297F4A9EBB</t>
  </si>
  <si>
    <t>01051245C61727F3E315DA92B49D6357B297F4A9EBB</t>
  </si>
  <si>
    <t>45C61727F3E315DA92B49D6357B297F4A9EBA</t>
  </si>
  <si>
    <t>01051245C61727F3E315DA92B49D6357B297F4A9EBA</t>
  </si>
  <si>
    <t>010512447717ED1D6915B05543CC9CE5C8E</t>
  </si>
  <si>
    <t>010512447717ED1D6915EDA9A36AEE18765</t>
  </si>
  <si>
    <t>010512447717AB487615B6B870C89C60BB9</t>
  </si>
  <si>
    <t>010512447717AB487615B6B870C89C60C9D</t>
  </si>
  <si>
    <t>010512447717AB48E9152E390BD75B27EAA</t>
  </si>
  <si>
    <t>010512447717AB48E9152E390BD74AB0CE5</t>
  </si>
  <si>
    <t>010512447717AB5A9F152D2460010B16E30</t>
  </si>
  <si>
    <t>010513  칠    공    사</t>
  </si>
  <si>
    <t>010513</t>
  </si>
  <si>
    <t>01051344771786E29515AD9F03D485059CC</t>
  </si>
  <si>
    <t>01051344771786D02B1519C47DFAF9291B5</t>
  </si>
  <si>
    <t>01051344771786D008153858E1313D25BA7</t>
  </si>
  <si>
    <t>01051344771786C7DA158326D73D1444879</t>
  </si>
  <si>
    <t>01051344771786C7DA158326F3D8A46C805</t>
  </si>
  <si>
    <t>01051344771786C7DA158326F3762E95635</t>
  </si>
  <si>
    <t>01051344771786C7DA158326F37676B91BC</t>
  </si>
  <si>
    <t>010513447717865CD5155EDF9BAE0E293A7</t>
  </si>
  <si>
    <t>010513447717865CD5155EDFB685D4955C1</t>
  </si>
  <si>
    <t>010514  골    재    비</t>
  </si>
  <si>
    <t>010514</t>
  </si>
  <si>
    <t>010514437F17B2BC8915EAEFBA436957452BD884746</t>
  </si>
  <si>
    <t>45C61727F3E315DA92B49D6357B297CF6544E</t>
  </si>
  <si>
    <t>01051445C61727F3E315DA92B49D6357B297CF6544E</t>
  </si>
  <si>
    <t>010515  운    반    비</t>
  </si>
  <si>
    <t>010515</t>
  </si>
  <si>
    <t>01051544761721BA111564DAEA21FF1F0D6</t>
  </si>
  <si>
    <t>01051544761721BA69158461AEBEA17DE1F</t>
  </si>
  <si>
    <t>01051544761721BA69158461AEBEA17DF26</t>
  </si>
  <si>
    <t>01051544761721BA7B15E49F3104CF9042E</t>
  </si>
  <si>
    <t>010516  작 업 설 부 산 물</t>
  </si>
  <si>
    <t>010516</t>
  </si>
  <si>
    <t>010516437F17B2BC04158373F1374A9D6336470CA59</t>
  </si>
  <si>
    <t>01051701  도급자관급</t>
  </si>
  <si>
    <t>05.관사동 관  급  공  사</t>
    <phoneticPr fontId="4" type="noConversion"/>
  </si>
  <si>
    <t>01051701</t>
  </si>
  <si>
    <t>01051701435C17C09A6D1533DCBEB3B2FDC5D0607D1AE</t>
  </si>
  <si>
    <t>01051701435C17C09A6D1533DCBEB3B2FDC5D0607D1A9</t>
  </si>
  <si>
    <t>01051701435C17C09A6D1533DCBEB3B2FDC5D0607D081</t>
  </si>
  <si>
    <t>01051701435C17C09A6D1533DCBEB3B2FDC5D0607D08F</t>
  </si>
  <si>
    <t>01051701456E17B6F904156D2A4EDC6E4AB001</t>
  </si>
  <si>
    <t>01051701435C17C09A7F158126878FF66CCDE00193886</t>
  </si>
  <si>
    <t>01051701435C17C09A7F158126878FF66CCDE00193B43</t>
  </si>
  <si>
    <t>01051701435C17C09A7F158126878FF66CCDE00193ABC</t>
  </si>
  <si>
    <t>01051701456E17B6F904156D2A4EDC6E4A8002</t>
  </si>
  <si>
    <t>45C61727F3E315DA92B49D6357B297EA17EF4</t>
  </si>
  <si>
    <t>0105170145C61727F3E315DA92B49D6357B297EA17EF4</t>
  </si>
  <si>
    <t>01051701456E17B6F904156D2A4EDC6E4A9003</t>
  </si>
  <si>
    <t>01051701435C17C09A5C15DD67EF878114879AC4B6AE2</t>
  </si>
  <si>
    <t>01051701456E17B6F904156D2A4EDC6E4AE004</t>
  </si>
  <si>
    <t>01051701435C17C09A7F15811427BAD7E0F060F761EE2</t>
  </si>
  <si>
    <t>01051701456E17B6F904156D2A4EDC6E4AF005</t>
  </si>
  <si>
    <t>01051701435C17C09A5C15DD7054C65243B989CA8E102</t>
  </si>
  <si>
    <t>자연석판석, 물갈기, 30mm, 포천석판재</t>
  </si>
  <si>
    <t>435C17C09A5C15DD7054C65243B989CA8E10D</t>
  </si>
  <si>
    <t>01051701435C17C09A5C15DD7054C65243B989CA8E10D</t>
  </si>
  <si>
    <t>01051701456E17B6F904156D2A4EDC6E4AC006</t>
  </si>
  <si>
    <t>01051701435C17C09A5C15DD7054AB86DEE69AF7C578A</t>
  </si>
  <si>
    <t>01051701456E17B6F904156D2A4EDC6E4AD007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</si>
</sst>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;\-#,###;#;"/>
  </numFmts>
  <fonts count="5" x14ac:knownFonts="1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3" fillId="0" borderId="1" xfId="0" quotePrefix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quotePrefix="1">
      <alignment vertical="center"/>
    </xf>
    <xf numFmtId="176" fontId="3" fillId="0" borderId="1" xfId="0" applyNumberFormat="1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o\Desktop\Temp\09%20AI&#44060;&#48156;\06.%20Data%20Analysis\20250913%20&#45236;&#50669;&#49436;%20&#48516;&#49437;%20&#51204;&#47928;&#44032;\01.%20&#50896;&#48376;&#51088;&#47308;\03%20&#45236;&#50669;&#49436;(&#51068;&#50948;&#45824;&#44032;%20&#48143;%20&#44288;&#44553;&#45236;&#50669;&#54252;&#54632;),%20&#44277;&#45236;&#50669;&#49436;%20OK\01%20&#44148;&#52629;%20OK\01%20&#50896;&#48376;\&#51064;&#52380;&#49548;&#48169;&#54617;&#44368;_&#44148;&#52629;&#45236;&#50669;&#49436;_230409.xlsx" TargetMode="External"/><Relationship Id="rId1" Type="http://schemas.openxmlformats.org/officeDocument/2006/relationships/externalLinkPath" Target="Temp/09%20AI&#44060;&#48156;/06.%20Data%20Analysis/20250913%20&#45236;&#50669;&#49436;%20&#48516;&#49437;%20&#51204;&#47928;&#44032;/01.%20&#50896;&#48376;&#51088;&#47308;/03%20&#45236;&#50669;&#49436;(&#51068;&#50948;&#45824;&#44032;%20&#48143;%20&#44288;&#44553;&#45236;&#50669;&#54252;&#54632;),%20&#44277;&#45236;&#50669;&#49436;%20OK/01%20&#44148;&#52629;%20OK/01%20&#50896;&#48376;/&#51064;&#52380;&#49548;&#48169;&#54617;&#44368;_&#44148;&#52629;&#45236;&#50669;&#49436;_2304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공종별집계표"/>
      <sheetName val="공종별내역서"/>
      <sheetName val="일위대가목록"/>
      <sheetName val="일위대가"/>
      <sheetName val="중기단가목록"/>
      <sheetName val="중기단가산출서"/>
      <sheetName val="단가대비표"/>
      <sheetName val="자재소요량집계표"/>
      <sheetName val=" 공사설정 "/>
      <sheetName val="Sheet1"/>
    </sheetNames>
    <sheetDataSet>
      <sheetData sheetId="0"/>
      <sheetData sheetId="1"/>
      <sheetData sheetId="2">
        <row r="4">
          <cell r="E4">
            <v>0</v>
          </cell>
          <cell r="F4">
            <v>0</v>
          </cell>
          <cell r="G4">
            <v>124888</v>
          </cell>
        </row>
        <row r="5">
          <cell r="E5">
            <v>0</v>
          </cell>
          <cell r="F5">
            <v>0</v>
          </cell>
          <cell r="G5">
            <v>1353144</v>
          </cell>
        </row>
        <row r="6">
          <cell r="E6">
            <v>0</v>
          </cell>
          <cell r="F6">
            <v>0</v>
          </cell>
          <cell r="G6">
            <v>1228144</v>
          </cell>
        </row>
        <row r="7">
          <cell r="E7">
            <v>0</v>
          </cell>
          <cell r="F7">
            <v>0</v>
          </cell>
          <cell r="G7">
            <v>101893</v>
          </cell>
        </row>
        <row r="8">
          <cell r="E8">
            <v>0</v>
          </cell>
          <cell r="F8">
            <v>0</v>
          </cell>
          <cell r="G8">
            <v>1679950</v>
          </cell>
        </row>
        <row r="9">
          <cell r="E9">
            <v>0</v>
          </cell>
          <cell r="F9">
            <v>0</v>
          </cell>
          <cell r="G9">
            <v>19978200</v>
          </cell>
        </row>
        <row r="10">
          <cell r="E10">
            <v>0</v>
          </cell>
          <cell r="F10">
            <v>0</v>
          </cell>
          <cell r="G10">
            <v>64549823</v>
          </cell>
        </row>
        <row r="11">
          <cell r="E11">
            <v>0</v>
          </cell>
          <cell r="F11">
            <v>0</v>
          </cell>
          <cell r="G11">
            <v>14196871</v>
          </cell>
        </row>
        <row r="12">
          <cell r="E12">
            <v>0</v>
          </cell>
          <cell r="F12">
            <v>0</v>
          </cell>
          <cell r="G12">
            <v>38170000</v>
          </cell>
        </row>
        <row r="13">
          <cell r="E13">
            <v>6050</v>
          </cell>
          <cell r="F13">
            <v>175810</v>
          </cell>
          <cell r="G13">
            <v>7130</v>
          </cell>
        </row>
        <row r="14">
          <cell r="E14">
            <v>0</v>
          </cell>
          <cell r="F14">
            <v>897</v>
          </cell>
          <cell r="G14">
            <v>0</v>
          </cell>
        </row>
        <row r="15">
          <cell r="E15">
            <v>0</v>
          </cell>
          <cell r="F15">
            <v>2093</v>
          </cell>
          <cell r="G15">
            <v>0</v>
          </cell>
        </row>
        <row r="16">
          <cell r="E16">
            <v>0</v>
          </cell>
          <cell r="F16">
            <v>512</v>
          </cell>
          <cell r="G16">
            <v>0</v>
          </cell>
        </row>
        <row r="17">
          <cell r="E17">
            <v>329</v>
          </cell>
          <cell r="F17">
            <v>936</v>
          </cell>
          <cell r="G17">
            <v>0</v>
          </cell>
        </row>
        <row r="18">
          <cell r="E18">
            <v>998</v>
          </cell>
          <cell r="F18">
            <v>175</v>
          </cell>
          <cell r="G18">
            <v>0</v>
          </cell>
        </row>
        <row r="19">
          <cell r="E19">
            <v>88376</v>
          </cell>
          <cell r="F19">
            <v>542881</v>
          </cell>
          <cell r="G19">
            <v>0</v>
          </cell>
        </row>
        <row r="20">
          <cell r="E20">
            <v>1610</v>
          </cell>
          <cell r="F20">
            <v>10379</v>
          </cell>
          <cell r="G20">
            <v>3347</v>
          </cell>
        </row>
        <row r="21">
          <cell r="E21">
            <v>1638</v>
          </cell>
          <cell r="F21">
            <v>11011</v>
          </cell>
          <cell r="G21">
            <v>3385</v>
          </cell>
        </row>
        <row r="22">
          <cell r="E22">
            <v>18262</v>
          </cell>
          <cell r="F22">
            <v>37076</v>
          </cell>
          <cell r="G22">
            <v>0</v>
          </cell>
        </row>
        <row r="23">
          <cell r="E23">
            <v>18262</v>
          </cell>
          <cell r="F23">
            <v>37076</v>
          </cell>
          <cell r="G23">
            <v>0</v>
          </cell>
        </row>
        <row r="24">
          <cell r="E24">
            <v>14961</v>
          </cell>
          <cell r="F24">
            <v>25472</v>
          </cell>
          <cell r="G24">
            <v>0</v>
          </cell>
        </row>
        <row r="25">
          <cell r="E25">
            <v>5626</v>
          </cell>
          <cell r="F25">
            <v>29534</v>
          </cell>
          <cell r="G25">
            <v>0</v>
          </cell>
        </row>
        <row r="26">
          <cell r="E26">
            <v>3026</v>
          </cell>
          <cell r="F26">
            <v>21338</v>
          </cell>
          <cell r="G26">
            <v>0</v>
          </cell>
        </row>
        <row r="27">
          <cell r="E27">
            <v>335</v>
          </cell>
          <cell r="F27">
            <v>2267</v>
          </cell>
          <cell r="G27">
            <v>0</v>
          </cell>
        </row>
        <row r="28">
          <cell r="E28">
            <v>43838</v>
          </cell>
          <cell r="F28">
            <v>0</v>
          </cell>
          <cell r="G28">
            <v>0</v>
          </cell>
        </row>
        <row r="29">
          <cell r="E29">
            <v>53229</v>
          </cell>
          <cell r="F29">
            <v>0</v>
          </cell>
          <cell r="G29">
            <v>0</v>
          </cell>
        </row>
        <row r="30">
          <cell r="E30">
            <v>436</v>
          </cell>
          <cell r="F30">
            <v>21354</v>
          </cell>
          <cell r="G30">
            <v>0</v>
          </cell>
        </row>
        <row r="31">
          <cell r="E31">
            <v>37959</v>
          </cell>
          <cell r="F31">
            <v>377460</v>
          </cell>
          <cell r="G31">
            <v>226476</v>
          </cell>
        </row>
        <row r="32">
          <cell r="E32">
            <v>780000</v>
          </cell>
          <cell r="F32">
            <v>0</v>
          </cell>
          <cell r="G32">
            <v>0</v>
          </cell>
        </row>
        <row r="33">
          <cell r="E33">
            <v>3383</v>
          </cell>
          <cell r="F33">
            <v>109353</v>
          </cell>
          <cell r="G33">
            <v>0</v>
          </cell>
        </row>
        <row r="34">
          <cell r="E34">
            <v>1123</v>
          </cell>
          <cell r="F34">
            <v>2904</v>
          </cell>
          <cell r="G34">
            <v>119</v>
          </cell>
        </row>
        <row r="35">
          <cell r="E35">
            <v>483</v>
          </cell>
          <cell r="F35">
            <v>26396</v>
          </cell>
          <cell r="G35">
            <v>0</v>
          </cell>
        </row>
        <row r="36">
          <cell r="E36">
            <v>645</v>
          </cell>
          <cell r="F36">
            <v>34301</v>
          </cell>
          <cell r="G36">
            <v>0</v>
          </cell>
        </row>
        <row r="37">
          <cell r="E37">
            <v>1165</v>
          </cell>
          <cell r="F37">
            <v>62478</v>
          </cell>
          <cell r="G37">
            <v>0</v>
          </cell>
        </row>
        <row r="38">
          <cell r="E38">
            <v>896</v>
          </cell>
          <cell r="F38">
            <v>43870</v>
          </cell>
          <cell r="G38">
            <v>0</v>
          </cell>
        </row>
        <row r="39">
          <cell r="E39">
            <v>737</v>
          </cell>
          <cell r="F39">
            <v>36090</v>
          </cell>
          <cell r="G39">
            <v>0</v>
          </cell>
        </row>
        <row r="40">
          <cell r="E40">
            <v>9831</v>
          </cell>
          <cell r="F40">
            <v>39872</v>
          </cell>
          <cell r="G40">
            <v>572</v>
          </cell>
        </row>
        <row r="41">
          <cell r="E41">
            <v>11796</v>
          </cell>
          <cell r="F41">
            <v>48560</v>
          </cell>
          <cell r="G41">
            <v>691</v>
          </cell>
        </row>
        <row r="42">
          <cell r="E42">
            <v>2744</v>
          </cell>
          <cell r="F42">
            <v>8857</v>
          </cell>
          <cell r="G42">
            <v>115</v>
          </cell>
        </row>
        <row r="43">
          <cell r="E43">
            <v>2744</v>
          </cell>
          <cell r="F43">
            <v>9452</v>
          </cell>
          <cell r="G43">
            <v>127</v>
          </cell>
        </row>
        <row r="44">
          <cell r="E44">
            <v>2744</v>
          </cell>
          <cell r="F44">
            <v>8857</v>
          </cell>
          <cell r="G44">
            <v>115</v>
          </cell>
        </row>
        <row r="45">
          <cell r="E45">
            <v>2744</v>
          </cell>
          <cell r="F45">
            <v>9155</v>
          </cell>
          <cell r="G45">
            <v>121</v>
          </cell>
        </row>
        <row r="46">
          <cell r="E46">
            <v>0</v>
          </cell>
          <cell r="F46">
            <v>6076</v>
          </cell>
          <cell r="G46">
            <v>0</v>
          </cell>
        </row>
        <row r="47">
          <cell r="E47">
            <v>0</v>
          </cell>
          <cell r="F47">
            <v>6155</v>
          </cell>
          <cell r="G47">
            <v>0</v>
          </cell>
        </row>
        <row r="48">
          <cell r="E48">
            <v>534</v>
          </cell>
          <cell r="F48">
            <v>0</v>
          </cell>
          <cell r="G48">
            <v>0</v>
          </cell>
        </row>
        <row r="49">
          <cell r="E49">
            <v>544</v>
          </cell>
          <cell r="F49">
            <v>0</v>
          </cell>
          <cell r="G49">
            <v>0</v>
          </cell>
        </row>
        <row r="50">
          <cell r="E50">
            <v>-5</v>
          </cell>
          <cell r="F50">
            <v>0</v>
          </cell>
          <cell r="G50">
            <v>0</v>
          </cell>
        </row>
        <row r="51">
          <cell r="E51">
            <v>349</v>
          </cell>
          <cell r="F51">
            <v>4869</v>
          </cell>
          <cell r="G51">
            <v>0</v>
          </cell>
        </row>
        <row r="52">
          <cell r="E52">
            <v>18674</v>
          </cell>
          <cell r="F52">
            <v>34385</v>
          </cell>
          <cell r="G52">
            <v>0</v>
          </cell>
        </row>
        <row r="53">
          <cell r="E53">
            <v>21631</v>
          </cell>
          <cell r="F53">
            <v>32980</v>
          </cell>
          <cell r="G53">
            <v>0</v>
          </cell>
        </row>
        <row r="54">
          <cell r="E54">
            <v>187</v>
          </cell>
          <cell r="F54">
            <v>22086</v>
          </cell>
          <cell r="G54">
            <v>0</v>
          </cell>
        </row>
        <row r="55">
          <cell r="E55">
            <v>0</v>
          </cell>
          <cell r="F55">
            <v>24112</v>
          </cell>
          <cell r="G55">
            <v>447</v>
          </cell>
        </row>
        <row r="56">
          <cell r="E56">
            <v>0</v>
          </cell>
          <cell r="F56">
            <v>13294</v>
          </cell>
          <cell r="G56">
            <v>214</v>
          </cell>
        </row>
        <row r="57">
          <cell r="E57">
            <v>0</v>
          </cell>
          <cell r="F57">
            <v>13812</v>
          </cell>
          <cell r="G57">
            <v>214</v>
          </cell>
        </row>
        <row r="58">
          <cell r="E58">
            <v>0</v>
          </cell>
          <cell r="F58">
            <v>14849</v>
          </cell>
          <cell r="G58">
            <v>214</v>
          </cell>
        </row>
        <row r="59">
          <cell r="E59">
            <v>0</v>
          </cell>
          <cell r="F59">
            <v>15160</v>
          </cell>
          <cell r="G59">
            <v>214</v>
          </cell>
        </row>
        <row r="60">
          <cell r="E60">
            <v>0</v>
          </cell>
          <cell r="F60">
            <v>15367</v>
          </cell>
          <cell r="G60">
            <v>214</v>
          </cell>
        </row>
        <row r="61">
          <cell r="E61">
            <v>0</v>
          </cell>
          <cell r="F61">
            <v>15886</v>
          </cell>
          <cell r="G61">
            <v>214</v>
          </cell>
        </row>
        <row r="62">
          <cell r="E62">
            <v>0</v>
          </cell>
          <cell r="F62">
            <v>16508</v>
          </cell>
          <cell r="G62">
            <v>214</v>
          </cell>
        </row>
        <row r="63">
          <cell r="E63">
            <v>0</v>
          </cell>
          <cell r="F63">
            <v>17544</v>
          </cell>
          <cell r="G63">
            <v>214</v>
          </cell>
        </row>
        <row r="64">
          <cell r="E64">
            <v>0</v>
          </cell>
          <cell r="F64">
            <v>30502</v>
          </cell>
          <cell r="G64">
            <v>214</v>
          </cell>
        </row>
        <row r="65">
          <cell r="E65">
            <v>12500</v>
          </cell>
          <cell r="F65">
            <v>5000</v>
          </cell>
          <cell r="G65">
            <v>0</v>
          </cell>
        </row>
        <row r="66">
          <cell r="E66">
            <v>9000</v>
          </cell>
          <cell r="F66">
            <v>3000</v>
          </cell>
          <cell r="G66">
            <v>0</v>
          </cell>
        </row>
        <row r="67">
          <cell r="E67">
            <v>55000</v>
          </cell>
          <cell r="F67">
            <v>6500</v>
          </cell>
          <cell r="G67">
            <v>0</v>
          </cell>
        </row>
        <row r="68">
          <cell r="E68">
            <v>5699</v>
          </cell>
          <cell r="F68">
            <v>10114</v>
          </cell>
          <cell r="G68">
            <v>98</v>
          </cell>
        </row>
        <row r="69">
          <cell r="E69">
            <v>4092</v>
          </cell>
          <cell r="F69">
            <v>1739</v>
          </cell>
          <cell r="G69">
            <v>168</v>
          </cell>
        </row>
        <row r="70">
          <cell r="E70">
            <v>24766</v>
          </cell>
          <cell r="F70">
            <v>16802</v>
          </cell>
          <cell r="G70">
            <v>100</v>
          </cell>
        </row>
        <row r="71">
          <cell r="E71">
            <v>13537</v>
          </cell>
          <cell r="F71">
            <v>8338</v>
          </cell>
          <cell r="G71">
            <v>166</v>
          </cell>
        </row>
        <row r="72">
          <cell r="E72">
            <v>20531</v>
          </cell>
          <cell r="F72">
            <v>8338</v>
          </cell>
          <cell r="G72">
            <v>166</v>
          </cell>
        </row>
        <row r="73">
          <cell r="E73">
            <v>40546</v>
          </cell>
          <cell r="F73">
            <v>8338</v>
          </cell>
          <cell r="G73">
            <v>166</v>
          </cell>
        </row>
        <row r="74">
          <cell r="E74">
            <v>21557</v>
          </cell>
          <cell r="F74">
            <v>9007</v>
          </cell>
          <cell r="G74">
            <v>116</v>
          </cell>
        </row>
        <row r="75">
          <cell r="E75">
            <v>38703</v>
          </cell>
          <cell r="F75">
            <v>3145</v>
          </cell>
          <cell r="G75">
            <v>116</v>
          </cell>
        </row>
        <row r="76">
          <cell r="E76">
            <v>443</v>
          </cell>
          <cell r="F76">
            <v>1301</v>
          </cell>
          <cell r="G76">
            <v>0</v>
          </cell>
        </row>
        <row r="77">
          <cell r="E77">
            <v>4000</v>
          </cell>
          <cell r="F77">
            <v>5500</v>
          </cell>
          <cell r="G77">
            <v>0</v>
          </cell>
        </row>
        <row r="78">
          <cell r="E78">
            <v>4000</v>
          </cell>
          <cell r="F78">
            <v>5500</v>
          </cell>
          <cell r="G78">
            <v>0</v>
          </cell>
        </row>
        <row r="79">
          <cell r="E79">
            <v>15201</v>
          </cell>
          <cell r="F79">
            <v>9077</v>
          </cell>
          <cell r="G79">
            <v>1800</v>
          </cell>
        </row>
        <row r="80">
          <cell r="E80">
            <v>7533</v>
          </cell>
          <cell r="F80">
            <v>13496</v>
          </cell>
          <cell r="G80">
            <v>0</v>
          </cell>
        </row>
        <row r="81">
          <cell r="E81">
            <v>22442</v>
          </cell>
          <cell r="F81">
            <v>9040</v>
          </cell>
          <cell r="G81">
            <v>0</v>
          </cell>
        </row>
        <row r="82">
          <cell r="E82">
            <v>30456</v>
          </cell>
          <cell r="F82">
            <v>19783</v>
          </cell>
          <cell r="G82">
            <v>0</v>
          </cell>
        </row>
        <row r="83">
          <cell r="E83">
            <v>4212</v>
          </cell>
          <cell r="F83">
            <v>3564</v>
          </cell>
          <cell r="G83">
            <v>0</v>
          </cell>
        </row>
        <row r="84">
          <cell r="E84">
            <v>4212</v>
          </cell>
          <cell r="F84">
            <v>4633</v>
          </cell>
          <cell r="G84">
            <v>0</v>
          </cell>
        </row>
        <row r="85">
          <cell r="E85">
            <v>1151</v>
          </cell>
          <cell r="F85">
            <v>7267</v>
          </cell>
          <cell r="G85">
            <v>60</v>
          </cell>
        </row>
        <row r="86">
          <cell r="E86">
            <v>248</v>
          </cell>
          <cell r="F86">
            <v>3221</v>
          </cell>
          <cell r="G86">
            <v>0</v>
          </cell>
        </row>
        <row r="87">
          <cell r="E87">
            <v>2404</v>
          </cell>
          <cell r="F87">
            <v>3221</v>
          </cell>
          <cell r="G87">
            <v>0</v>
          </cell>
        </row>
        <row r="88">
          <cell r="E88">
            <v>767</v>
          </cell>
          <cell r="F88">
            <v>3221</v>
          </cell>
          <cell r="G88">
            <v>0</v>
          </cell>
        </row>
        <row r="89">
          <cell r="E89">
            <v>767</v>
          </cell>
          <cell r="F89">
            <v>3221</v>
          </cell>
          <cell r="G89">
            <v>0</v>
          </cell>
        </row>
        <row r="90">
          <cell r="E90">
            <v>2946</v>
          </cell>
          <cell r="F90">
            <v>30626</v>
          </cell>
          <cell r="G90">
            <v>0</v>
          </cell>
        </row>
        <row r="91">
          <cell r="E91">
            <v>3227</v>
          </cell>
          <cell r="F91">
            <v>31021</v>
          </cell>
          <cell r="G91">
            <v>0</v>
          </cell>
        </row>
        <row r="92">
          <cell r="E92">
            <v>10850</v>
          </cell>
          <cell r="F92">
            <v>7090</v>
          </cell>
          <cell r="G92">
            <v>0</v>
          </cell>
        </row>
        <row r="93">
          <cell r="E93">
            <v>4797</v>
          </cell>
          <cell r="F93">
            <v>1545</v>
          </cell>
          <cell r="G93">
            <v>0</v>
          </cell>
        </row>
        <row r="94">
          <cell r="E94">
            <v>24592</v>
          </cell>
          <cell r="F94">
            <v>16394</v>
          </cell>
          <cell r="G94">
            <v>0</v>
          </cell>
        </row>
        <row r="95">
          <cell r="E95">
            <v>32095</v>
          </cell>
          <cell r="F95">
            <v>20519</v>
          </cell>
          <cell r="G95">
            <v>0</v>
          </cell>
        </row>
        <row r="96">
          <cell r="E96">
            <v>22249</v>
          </cell>
          <cell r="F96">
            <v>28354</v>
          </cell>
          <cell r="G96">
            <v>1134</v>
          </cell>
        </row>
        <row r="97">
          <cell r="E97">
            <v>27523</v>
          </cell>
          <cell r="F97">
            <v>23444</v>
          </cell>
          <cell r="G97">
            <v>0</v>
          </cell>
        </row>
        <row r="98">
          <cell r="E98">
            <v>28863</v>
          </cell>
          <cell r="F98">
            <v>25594</v>
          </cell>
          <cell r="G98">
            <v>0</v>
          </cell>
        </row>
        <row r="99">
          <cell r="E99">
            <v>136353</v>
          </cell>
          <cell r="F99">
            <v>41686</v>
          </cell>
          <cell r="G99">
            <v>0</v>
          </cell>
        </row>
        <row r="100">
          <cell r="E100">
            <v>534</v>
          </cell>
          <cell r="F100">
            <v>4096</v>
          </cell>
          <cell r="G100">
            <v>0</v>
          </cell>
        </row>
        <row r="101">
          <cell r="E101">
            <v>534</v>
          </cell>
          <cell r="F101">
            <v>4096</v>
          </cell>
          <cell r="G101">
            <v>0</v>
          </cell>
        </row>
        <row r="102">
          <cell r="E102">
            <v>1542</v>
          </cell>
          <cell r="F102">
            <v>4096</v>
          </cell>
          <cell r="G102">
            <v>0</v>
          </cell>
        </row>
        <row r="103">
          <cell r="E103">
            <v>5406</v>
          </cell>
          <cell r="F103">
            <v>16634</v>
          </cell>
          <cell r="G103">
            <v>770</v>
          </cell>
        </row>
        <row r="104">
          <cell r="E104">
            <v>50964</v>
          </cell>
          <cell r="F104">
            <v>55914</v>
          </cell>
          <cell r="G104">
            <v>2235</v>
          </cell>
        </row>
        <row r="105">
          <cell r="E105">
            <v>194202</v>
          </cell>
          <cell r="F105">
            <v>213108</v>
          </cell>
          <cell r="G105">
            <v>8520</v>
          </cell>
        </row>
        <row r="106">
          <cell r="E106">
            <v>26971</v>
          </cell>
          <cell r="F106">
            <v>84234</v>
          </cell>
          <cell r="G106">
            <v>3850</v>
          </cell>
        </row>
        <row r="107">
          <cell r="E107">
            <v>26971</v>
          </cell>
          <cell r="F107">
            <v>84234</v>
          </cell>
          <cell r="G107">
            <v>3850</v>
          </cell>
        </row>
        <row r="108">
          <cell r="E108">
            <v>2608</v>
          </cell>
          <cell r="F108">
            <v>7421</v>
          </cell>
          <cell r="G108">
            <v>0</v>
          </cell>
        </row>
        <row r="109">
          <cell r="E109">
            <v>26971</v>
          </cell>
          <cell r="F109">
            <v>84234</v>
          </cell>
          <cell r="G109">
            <v>3850</v>
          </cell>
        </row>
        <row r="110">
          <cell r="E110">
            <v>26971</v>
          </cell>
          <cell r="F110">
            <v>84234</v>
          </cell>
          <cell r="G110">
            <v>3850</v>
          </cell>
        </row>
        <row r="111">
          <cell r="E111">
            <v>26971</v>
          </cell>
          <cell r="F111">
            <v>84234</v>
          </cell>
          <cell r="G111">
            <v>3850</v>
          </cell>
        </row>
        <row r="112">
          <cell r="E112">
            <v>26971</v>
          </cell>
          <cell r="F112">
            <v>84234</v>
          </cell>
          <cell r="G112">
            <v>3850</v>
          </cell>
        </row>
        <row r="113">
          <cell r="E113">
            <v>11404</v>
          </cell>
          <cell r="F113">
            <v>13622</v>
          </cell>
          <cell r="G113">
            <v>544</v>
          </cell>
        </row>
        <row r="114">
          <cell r="E114">
            <v>34070</v>
          </cell>
          <cell r="F114">
            <v>15614</v>
          </cell>
          <cell r="G114">
            <v>439</v>
          </cell>
        </row>
        <row r="115">
          <cell r="E115">
            <v>200000</v>
          </cell>
          <cell r="F115">
            <v>0</v>
          </cell>
          <cell r="G115">
            <v>0</v>
          </cell>
        </row>
        <row r="116">
          <cell r="E116">
            <v>8181</v>
          </cell>
          <cell r="F116">
            <v>17976</v>
          </cell>
          <cell r="G116">
            <v>834</v>
          </cell>
        </row>
        <row r="117">
          <cell r="E117">
            <v>6697</v>
          </cell>
          <cell r="F117">
            <v>27225</v>
          </cell>
          <cell r="G117">
            <v>1045</v>
          </cell>
        </row>
        <row r="118">
          <cell r="E118">
            <v>2864</v>
          </cell>
          <cell r="F118">
            <v>8010</v>
          </cell>
          <cell r="G118">
            <v>320</v>
          </cell>
        </row>
        <row r="119">
          <cell r="E119">
            <v>257</v>
          </cell>
          <cell r="F119">
            <v>13480</v>
          </cell>
          <cell r="G119">
            <v>0</v>
          </cell>
        </row>
        <row r="120">
          <cell r="E120">
            <v>364</v>
          </cell>
          <cell r="F120">
            <v>18953</v>
          </cell>
          <cell r="G120">
            <v>0</v>
          </cell>
        </row>
        <row r="121">
          <cell r="E121">
            <v>538</v>
          </cell>
          <cell r="F121">
            <v>28188</v>
          </cell>
          <cell r="G121">
            <v>0</v>
          </cell>
        </row>
        <row r="122">
          <cell r="E122">
            <v>67</v>
          </cell>
          <cell r="F122">
            <v>3236</v>
          </cell>
          <cell r="G122">
            <v>0</v>
          </cell>
        </row>
        <row r="123">
          <cell r="E123">
            <v>0</v>
          </cell>
          <cell r="F123">
            <v>14538</v>
          </cell>
          <cell r="G123">
            <v>214</v>
          </cell>
        </row>
        <row r="124">
          <cell r="E124">
            <v>0</v>
          </cell>
          <cell r="F124">
            <v>16249</v>
          </cell>
          <cell r="G124">
            <v>214</v>
          </cell>
        </row>
        <row r="125">
          <cell r="E125">
            <v>0</v>
          </cell>
          <cell r="F125">
            <v>16093</v>
          </cell>
          <cell r="G125">
            <v>214</v>
          </cell>
        </row>
        <row r="126">
          <cell r="E126">
            <v>0</v>
          </cell>
          <cell r="F126">
            <v>16611</v>
          </cell>
          <cell r="G126">
            <v>214</v>
          </cell>
        </row>
        <row r="127">
          <cell r="E127">
            <v>0</v>
          </cell>
          <cell r="F127">
            <v>16922</v>
          </cell>
          <cell r="G127">
            <v>214</v>
          </cell>
        </row>
        <row r="128">
          <cell r="E128">
            <v>0</v>
          </cell>
          <cell r="F128">
            <v>22935</v>
          </cell>
          <cell r="G128">
            <v>214</v>
          </cell>
        </row>
        <row r="129">
          <cell r="E129">
            <v>0</v>
          </cell>
          <cell r="F129">
            <v>27081</v>
          </cell>
          <cell r="G129">
            <v>214</v>
          </cell>
        </row>
        <row r="130">
          <cell r="E130">
            <v>0</v>
          </cell>
          <cell r="F130">
            <v>2094</v>
          </cell>
          <cell r="G130">
            <v>62</v>
          </cell>
        </row>
        <row r="131">
          <cell r="E131">
            <v>0</v>
          </cell>
          <cell r="F131">
            <v>2513</v>
          </cell>
          <cell r="G131">
            <v>62</v>
          </cell>
        </row>
        <row r="132">
          <cell r="E132">
            <v>481</v>
          </cell>
          <cell r="F132">
            <v>2094</v>
          </cell>
          <cell r="G132">
            <v>0</v>
          </cell>
        </row>
        <row r="133">
          <cell r="E133">
            <v>62</v>
          </cell>
          <cell r="F133">
            <v>2094</v>
          </cell>
          <cell r="G133">
            <v>0</v>
          </cell>
        </row>
        <row r="134">
          <cell r="E134">
            <v>0</v>
          </cell>
          <cell r="F134">
            <v>826</v>
          </cell>
          <cell r="G134">
            <v>0</v>
          </cell>
        </row>
        <row r="135">
          <cell r="E135">
            <v>60</v>
          </cell>
          <cell r="F135">
            <v>599</v>
          </cell>
          <cell r="G135">
            <v>0</v>
          </cell>
        </row>
        <row r="136">
          <cell r="E136">
            <v>17210</v>
          </cell>
          <cell r="F136">
            <v>17669</v>
          </cell>
          <cell r="G136">
            <v>797</v>
          </cell>
        </row>
        <row r="137">
          <cell r="E137">
            <v>17381</v>
          </cell>
          <cell r="F137">
            <v>17863</v>
          </cell>
          <cell r="G137">
            <v>957</v>
          </cell>
        </row>
        <row r="138">
          <cell r="E138">
            <v>14196</v>
          </cell>
          <cell r="F138">
            <v>17284</v>
          </cell>
          <cell r="G138">
            <v>797</v>
          </cell>
        </row>
        <row r="139">
          <cell r="E139">
            <v>13910</v>
          </cell>
          <cell r="F139">
            <v>16960</v>
          </cell>
          <cell r="G139">
            <v>532</v>
          </cell>
        </row>
        <row r="140">
          <cell r="E140">
            <v>0</v>
          </cell>
          <cell r="F140">
            <v>41559</v>
          </cell>
          <cell r="G140">
            <v>831</v>
          </cell>
        </row>
        <row r="141">
          <cell r="E141">
            <v>67</v>
          </cell>
          <cell r="F141">
            <v>3236</v>
          </cell>
          <cell r="G141">
            <v>0</v>
          </cell>
        </row>
        <row r="142">
          <cell r="E142">
            <v>42</v>
          </cell>
          <cell r="F142">
            <v>2009</v>
          </cell>
          <cell r="G142">
            <v>0</v>
          </cell>
        </row>
        <row r="143">
          <cell r="E143">
            <v>183713</v>
          </cell>
          <cell r="F143">
            <v>118421</v>
          </cell>
          <cell r="G143">
            <v>3552</v>
          </cell>
        </row>
        <row r="144">
          <cell r="E144">
            <v>373532</v>
          </cell>
          <cell r="F144">
            <v>148759</v>
          </cell>
          <cell r="G144">
            <v>0</v>
          </cell>
        </row>
        <row r="145">
          <cell r="E145">
            <v>208152</v>
          </cell>
          <cell r="F145">
            <v>67097</v>
          </cell>
          <cell r="G145">
            <v>1341</v>
          </cell>
        </row>
        <row r="146">
          <cell r="E146">
            <v>286209</v>
          </cell>
          <cell r="F146">
            <v>67097</v>
          </cell>
          <cell r="G146">
            <v>1341</v>
          </cell>
        </row>
        <row r="147">
          <cell r="E147">
            <v>318888</v>
          </cell>
          <cell r="F147">
            <v>153585</v>
          </cell>
          <cell r="G147">
            <v>4607</v>
          </cell>
        </row>
        <row r="148">
          <cell r="E148">
            <v>318888</v>
          </cell>
          <cell r="F148">
            <v>153585</v>
          </cell>
          <cell r="G148">
            <v>4607</v>
          </cell>
        </row>
        <row r="149">
          <cell r="E149">
            <v>637777</v>
          </cell>
          <cell r="F149">
            <v>153585</v>
          </cell>
          <cell r="G149">
            <v>4607</v>
          </cell>
        </row>
        <row r="150">
          <cell r="E150">
            <v>637777</v>
          </cell>
          <cell r="F150">
            <v>153585</v>
          </cell>
          <cell r="G150">
            <v>4607</v>
          </cell>
        </row>
        <row r="151">
          <cell r="E151">
            <v>434848</v>
          </cell>
          <cell r="F151">
            <v>153585</v>
          </cell>
          <cell r="G151">
            <v>4607</v>
          </cell>
        </row>
        <row r="152">
          <cell r="E152">
            <v>217424</v>
          </cell>
          <cell r="F152">
            <v>153585</v>
          </cell>
          <cell r="G152">
            <v>4607</v>
          </cell>
        </row>
        <row r="153">
          <cell r="E153">
            <v>745453</v>
          </cell>
          <cell r="F153">
            <v>153585</v>
          </cell>
          <cell r="G153">
            <v>4607</v>
          </cell>
        </row>
        <row r="154">
          <cell r="E154">
            <v>314228</v>
          </cell>
          <cell r="F154">
            <v>125089</v>
          </cell>
          <cell r="G154">
            <v>0</v>
          </cell>
        </row>
        <row r="155">
          <cell r="E155">
            <v>314228</v>
          </cell>
          <cell r="F155">
            <v>125089</v>
          </cell>
          <cell r="G155">
            <v>0</v>
          </cell>
        </row>
        <row r="156">
          <cell r="E156">
            <v>425222</v>
          </cell>
          <cell r="F156">
            <v>169745</v>
          </cell>
          <cell r="G156">
            <v>0</v>
          </cell>
        </row>
        <row r="157">
          <cell r="E157">
            <v>1208560</v>
          </cell>
          <cell r="F157">
            <v>484329</v>
          </cell>
          <cell r="G157">
            <v>0</v>
          </cell>
        </row>
        <row r="158">
          <cell r="E158">
            <v>425222</v>
          </cell>
          <cell r="F158">
            <v>169745</v>
          </cell>
          <cell r="G158">
            <v>0</v>
          </cell>
        </row>
        <row r="159">
          <cell r="E159">
            <v>372295</v>
          </cell>
          <cell r="F159">
            <v>148071</v>
          </cell>
          <cell r="G159">
            <v>0</v>
          </cell>
        </row>
        <row r="160">
          <cell r="E160">
            <v>2373824</v>
          </cell>
          <cell r="F160">
            <v>1001341</v>
          </cell>
          <cell r="G160">
            <v>0</v>
          </cell>
        </row>
        <row r="161">
          <cell r="E161">
            <v>1467505</v>
          </cell>
          <cell r="F161">
            <v>616260</v>
          </cell>
          <cell r="G161">
            <v>0</v>
          </cell>
        </row>
        <row r="162">
          <cell r="E162">
            <v>990311</v>
          </cell>
          <cell r="F162">
            <v>412004</v>
          </cell>
          <cell r="G162">
            <v>0</v>
          </cell>
        </row>
        <row r="163">
          <cell r="E163">
            <v>2228933</v>
          </cell>
          <cell r="F163">
            <v>936355</v>
          </cell>
          <cell r="G163">
            <v>0</v>
          </cell>
        </row>
        <row r="164">
          <cell r="E164">
            <v>2626986</v>
          </cell>
          <cell r="F164">
            <v>1104603</v>
          </cell>
          <cell r="G164">
            <v>0</v>
          </cell>
        </row>
        <row r="165">
          <cell r="E165">
            <v>1805022</v>
          </cell>
          <cell r="F165">
            <v>757017</v>
          </cell>
          <cell r="G165">
            <v>0</v>
          </cell>
        </row>
        <row r="166">
          <cell r="E166">
            <v>2308990</v>
          </cell>
          <cell r="F166">
            <v>988791</v>
          </cell>
          <cell r="G166">
            <v>0</v>
          </cell>
        </row>
        <row r="167">
          <cell r="E167">
            <v>1817198</v>
          </cell>
          <cell r="F167">
            <v>764417</v>
          </cell>
          <cell r="G167">
            <v>0</v>
          </cell>
        </row>
        <row r="168">
          <cell r="E168">
            <v>2727795</v>
          </cell>
          <cell r="F168">
            <v>1154420</v>
          </cell>
          <cell r="G168">
            <v>0</v>
          </cell>
        </row>
        <row r="169">
          <cell r="E169">
            <v>1554623</v>
          </cell>
          <cell r="F169">
            <v>643464</v>
          </cell>
          <cell r="G169">
            <v>0</v>
          </cell>
        </row>
        <row r="170">
          <cell r="E170">
            <v>2227104</v>
          </cell>
          <cell r="F170">
            <v>926385</v>
          </cell>
          <cell r="G170">
            <v>0</v>
          </cell>
        </row>
        <row r="171">
          <cell r="E171">
            <v>599835</v>
          </cell>
          <cell r="F171">
            <v>238918</v>
          </cell>
          <cell r="G171">
            <v>0</v>
          </cell>
        </row>
        <row r="172">
          <cell r="E172">
            <v>209422</v>
          </cell>
          <cell r="F172">
            <v>83875</v>
          </cell>
          <cell r="G172">
            <v>0</v>
          </cell>
        </row>
        <row r="173">
          <cell r="E173">
            <v>179151</v>
          </cell>
          <cell r="F173">
            <v>71696</v>
          </cell>
          <cell r="G173">
            <v>0</v>
          </cell>
        </row>
        <row r="174">
          <cell r="E174">
            <v>0</v>
          </cell>
          <cell r="F174">
            <v>24699</v>
          </cell>
          <cell r="G174">
            <v>0</v>
          </cell>
        </row>
        <row r="175">
          <cell r="E175">
            <v>21048</v>
          </cell>
          <cell r="F175">
            <v>17655</v>
          </cell>
          <cell r="G175">
            <v>353</v>
          </cell>
        </row>
        <row r="176">
          <cell r="E176">
            <v>383</v>
          </cell>
          <cell r="F176">
            <v>0</v>
          </cell>
          <cell r="G176">
            <v>0</v>
          </cell>
        </row>
        <row r="177">
          <cell r="E177">
            <v>2295</v>
          </cell>
          <cell r="F177">
            <v>0</v>
          </cell>
          <cell r="G177">
            <v>0</v>
          </cell>
        </row>
        <row r="178">
          <cell r="E178">
            <v>0</v>
          </cell>
          <cell r="F178">
            <v>31833</v>
          </cell>
          <cell r="G178">
            <v>0</v>
          </cell>
        </row>
        <row r="179">
          <cell r="E179">
            <v>706</v>
          </cell>
          <cell r="F179">
            <v>22808</v>
          </cell>
          <cell r="G179">
            <v>0</v>
          </cell>
        </row>
        <row r="180">
          <cell r="E180">
            <v>780</v>
          </cell>
          <cell r="F180">
            <v>25201</v>
          </cell>
          <cell r="G180">
            <v>0</v>
          </cell>
        </row>
        <row r="181">
          <cell r="E181">
            <v>383</v>
          </cell>
          <cell r="F181">
            <v>0</v>
          </cell>
          <cell r="G181">
            <v>0</v>
          </cell>
        </row>
        <row r="182">
          <cell r="E182">
            <v>3996</v>
          </cell>
          <cell r="F182">
            <v>3587</v>
          </cell>
          <cell r="G182">
            <v>0</v>
          </cell>
        </row>
        <row r="183">
          <cell r="E183">
            <v>150</v>
          </cell>
          <cell r="F183">
            <v>0</v>
          </cell>
          <cell r="G183">
            <v>0</v>
          </cell>
        </row>
        <row r="184">
          <cell r="E184">
            <v>50471</v>
          </cell>
          <cell r="F184">
            <v>58966</v>
          </cell>
          <cell r="G184">
            <v>343</v>
          </cell>
        </row>
        <row r="185">
          <cell r="E185">
            <v>1133</v>
          </cell>
          <cell r="F185">
            <v>2904</v>
          </cell>
          <cell r="G185">
            <v>119</v>
          </cell>
        </row>
        <row r="186">
          <cell r="E186">
            <v>1694</v>
          </cell>
          <cell r="F186">
            <v>968</v>
          </cell>
          <cell r="G186">
            <v>238</v>
          </cell>
        </row>
        <row r="187">
          <cell r="E187">
            <v>1081</v>
          </cell>
          <cell r="F187">
            <v>2052</v>
          </cell>
          <cell r="G187">
            <v>0</v>
          </cell>
        </row>
        <row r="188">
          <cell r="E188">
            <v>1081</v>
          </cell>
          <cell r="F188">
            <v>2052</v>
          </cell>
          <cell r="G188">
            <v>0</v>
          </cell>
        </row>
        <row r="189">
          <cell r="E189">
            <v>1951</v>
          </cell>
          <cell r="F189">
            <v>9655</v>
          </cell>
          <cell r="G189">
            <v>0</v>
          </cell>
        </row>
        <row r="190">
          <cell r="E190">
            <v>1951</v>
          </cell>
          <cell r="F190">
            <v>11586</v>
          </cell>
          <cell r="G190">
            <v>0</v>
          </cell>
        </row>
        <row r="191">
          <cell r="E191">
            <v>1202</v>
          </cell>
          <cell r="F191">
            <v>5260</v>
          </cell>
          <cell r="G191">
            <v>0</v>
          </cell>
        </row>
        <row r="192">
          <cell r="E192">
            <v>1246</v>
          </cell>
          <cell r="F192">
            <v>6292</v>
          </cell>
          <cell r="G192">
            <v>0</v>
          </cell>
        </row>
        <row r="193">
          <cell r="E193">
            <v>1373</v>
          </cell>
          <cell r="F193">
            <v>13609</v>
          </cell>
          <cell r="G193">
            <v>0</v>
          </cell>
        </row>
        <row r="194">
          <cell r="E194">
            <v>1451</v>
          </cell>
          <cell r="F194">
            <v>16304</v>
          </cell>
          <cell r="G194">
            <v>0</v>
          </cell>
        </row>
        <row r="195">
          <cell r="E195">
            <v>3624</v>
          </cell>
          <cell r="F195">
            <v>0</v>
          </cell>
          <cell r="G195">
            <v>0</v>
          </cell>
        </row>
        <row r="196">
          <cell r="E196">
            <v>3624</v>
          </cell>
          <cell r="F196">
            <v>0</v>
          </cell>
          <cell r="G196">
            <v>0</v>
          </cell>
        </row>
        <row r="197">
          <cell r="E197">
            <v>3624</v>
          </cell>
          <cell r="F197">
            <v>0</v>
          </cell>
          <cell r="G197">
            <v>0</v>
          </cell>
        </row>
        <row r="198">
          <cell r="E198">
            <v>0</v>
          </cell>
          <cell r="F198">
            <v>101143</v>
          </cell>
          <cell r="G198">
            <v>980</v>
          </cell>
        </row>
        <row r="199">
          <cell r="E199">
            <v>31436</v>
          </cell>
          <cell r="F199">
            <v>26868</v>
          </cell>
          <cell r="G199">
            <v>200</v>
          </cell>
        </row>
        <row r="200">
          <cell r="E200">
            <v>11765</v>
          </cell>
          <cell r="F200">
            <v>2760</v>
          </cell>
          <cell r="G200">
            <v>0</v>
          </cell>
        </row>
        <row r="201">
          <cell r="E201">
            <v>12900</v>
          </cell>
          <cell r="F201">
            <v>12695</v>
          </cell>
          <cell r="G201">
            <v>254</v>
          </cell>
        </row>
        <row r="202">
          <cell r="E202">
            <v>133642</v>
          </cell>
          <cell r="F202">
            <v>188481</v>
          </cell>
          <cell r="G202">
            <v>0</v>
          </cell>
        </row>
        <row r="203">
          <cell r="E203">
            <v>4212</v>
          </cell>
          <cell r="F203">
            <v>3564</v>
          </cell>
          <cell r="G203">
            <v>0</v>
          </cell>
        </row>
        <row r="204">
          <cell r="E204">
            <v>30086</v>
          </cell>
          <cell r="F204">
            <v>50066</v>
          </cell>
          <cell r="G204">
            <v>2385</v>
          </cell>
        </row>
        <row r="205">
          <cell r="E205">
            <v>8181</v>
          </cell>
          <cell r="F205">
            <v>17976</v>
          </cell>
          <cell r="G205">
            <v>834</v>
          </cell>
        </row>
        <row r="206">
          <cell r="E206">
            <v>67</v>
          </cell>
          <cell r="F206">
            <v>3236</v>
          </cell>
          <cell r="G206">
            <v>0</v>
          </cell>
        </row>
        <row r="207">
          <cell r="E207">
            <v>42</v>
          </cell>
          <cell r="F207">
            <v>2009</v>
          </cell>
          <cell r="G207">
            <v>0</v>
          </cell>
        </row>
        <row r="208">
          <cell r="E208">
            <v>637777</v>
          </cell>
          <cell r="F208">
            <v>153585</v>
          </cell>
          <cell r="G208">
            <v>4607</v>
          </cell>
        </row>
        <row r="209">
          <cell r="E209">
            <v>314228</v>
          </cell>
          <cell r="F209">
            <v>125089</v>
          </cell>
          <cell r="G209">
            <v>0</v>
          </cell>
        </row>
        <row r="210">
          <cell r="E210">
            <v>614464</v>
          </cell>
          <cell r="F210">
            <v>245501</v>
          </cell>
          <cell r="G210">
            <v>0</v>
          </cell>
        </row>
        <row r="211">
          <cell r="E211">
            <v>150</v>
          </cell>
          <cell r="F211">
            <v>0</v>
          </cell>
          <cell r="G211">
            <v>0</v>
          </cell>
        </row>
        <row r="212">
          <cell r="E212">
            <v>14010</v>
          </cell>
          <cell r="F212">
            <v>10124</v>
          </cell>
          <cell r="G212">
            <v>0</v>
          </cell>
        </row>
        <row r="213">
          <cell r="E213">
            <v>7270</v>
          </cell>
          <cell r="F213">
            <v>242200</v>
          </cell>
          <cell r="G213">
            <v>12670</v>
          </cell>
        </row>
        <row r="214">
          <cell r="E214">
            <v>20531</v>
          </cell>
          <cell r="F214">
            <v>8338</v>
          </cell>
          <cell r="G214">
            <v>166</v>
          </cell>
        </row>
        <row r="215">
          <cell r="E215">
            <v>22249</v>
          </cell>
          <cell r="F215">
            <v>28354</v>
          </cell>
          <cell r="G215">
            <v>1134</v>
          </cell>
        </row>
        <row r="216">
          <cell r="E216">
            <v>50964</v>
          </cell>
          <cell r="F216">
            <v>55914</v>
          </cell>
          <cell r="G216">
            <v>2235</v>
          </cell>
        </row>
        <row r="217">
          <cell r="E217">
            <v>194202</v>
          </cell>
          <cell r="F217">
            <v>213108</v>
          </cell>
          <cell r="G217">
            <v>8520</v>
          </cell>
        </row>
        <row r="218">
          <cell r="E218">
            <v>0</v>
          </cell>
          <cell r="F218">
            <v>11843</v>
          </cell>
          <cell r="G218">
            <v>214</v>
          </cell>
        </row>
        <row r="219">
          <cell r="E219">
            <v>0</v>
          </cell>
          <cell r="F219">
            <v>14331</v>
          </cell>
          <cell r="G219">
            <v>214</v>
          </cell>
        </row>
        <row r="220">
          <cell r="E220">
            <v>62</v>
          </cell>
          <cell r="F220">
            <v>2094</v>
          </cell>
          <cell r="G220">
            <v>0</v>
          </cell>
        </row>
        <row r="221">
          <cell r="E221">
            <v>121200</v>
          </cell>
          <cell r="F221">
            <v>118421</v>
          </cell>
          <cell r="G221">
            <v>3552</v>
          </cell>
        </row>
        <row r="222">
          <cell r="E222">
            <v>121200</v>
          </cell>
          <cell r="F222">
            <v>118421</v>
          </cell>
          <cell r="G222">
            <v>3552</v>
          </cell>
        </row>
        <row r="223">
          <cell r="E223">
            <v>312990</v>
          </cell>
          <cell r="F223">
            <v>124401</v>
          </cell>
          <cell r="G223">
            <v>0</v>
          </cell>
        </row>
        <row r="224">
          <cell r="E224">
            <v>546399</v>
          </cell>
          <cell r="F224">
            <v>103523</v>
          </cell>
          <cell r="G224">
            <v>2070</v>
          </cell>
        </row>
        <row r="225">
          <cell r="E225">
            <v>318888</v>
          </cell>
          <cell r="F225">
            <v>153585</v>
          </cell>
          <cell r="G225">
            <v>4607</v>
          </cell>
        </row>
        <row r="226">
          <cell r="E226">
            <v>637777</v>
          </cell>
          <cell r="F226">
            <v>153585</v>
          </cell>
          <cell r="G226">
            <v>4607</v>
          </cell>
        </row>
        <row r="227">
          <cell r="E227">
            <v>364444</v>
          </cell>
          <cell r="F227">
            <v>153585</v>
          </cell>
          <cell r="G227">
            <v>4607</v>
          </cell>
        </row>
        <row r="228">
          <cell r="E228">
            <v>260908</v>
          </cell>
          <cell r="F228">
            <v>153585</v>
          </cell>
          <cell r="G228">
            <v>4607</v>
          </cell>
        </row>
        <row r="229">
          <cell r="E229">
            <v>318888</v>
          </cell>
          <cell r="F229">
            <v>153585</v>
          </cell>
          <cell r="G229">
            <v>4607</v>
          </cell>
        </row>
        <row r="230">
          <cell r="E230">
            <v>1018053</v>
          </cell>
          <cell r="F230">
            <v>423687</v>
          </cell>
          <cell r="G230">
            <v>0</v>
          </cell>
        </row>
        <row r="231">
          <cell r="E231">
            <v>620361</v>
          </cell>
          <cell r="F231">
            <v>261278</v>
          </cell>
          <cell r="G231">
            <v>0</v>
          </cell>
        </row>
        <row r="232">
          <cell r="E232">
            <v>1376478</v>
          </cell>
          <cell r="F232">
            <v>575032</v>
          </cell>
          <cell r="G232">
            <v>0</v>
          </cell>
        </row>
        <row r="233">
          <cell r="E233">
            <v>235980</v>
          </cell>
          <cell r="F233">
            <v>93989</v>
          </cell>
          <cell r="G233">
            <v>0</v>
          </cell>
        </row>
        <row r="234">
          <cell r="E234">
            <v>417607</v>
          </cell>
          <cell r="F234">
            <v>167062</v>
          </cell>
          <cell r="G234">
            <v>0</v>
          </cell>
        </row>
        <row r="235">
          <cell r="E235">
            <v>872</v>
          </cell>
          <cell r="F235">
            <v>42706</v>
          </cell>
          <cell r="G235">
            <v>0</v>
          </cell>
        </row>
        <row r="236">
          <cell r="E236">
            <v>1123</v>
          </cell>
          <cell r="F236">
            <v>3146</v>
          </cell>
          <cell r="G236">
            <v>119</v>
          </cell>
        </row>
        <row r="237">
          <cell r="E237">
            <v>0</v>
          </cell>
          <cell r="F237">
            <v>16672</v>
          </cell>
          <cell r="G237">
            <v>314</v>
          </cell>
        </row>
        <row r="238">
          <cell r="E238">
            <v>0</v>
          </cell>
          <cell r="F238">
            <v>23490</v>
          </cell>
          <cell r="G238">
            <v>447</v>
          </cell>
        </row>
        <row r="239">
          <cell r="E239">
            <v>0</v>
          </cell>
          <cell r="F239">
            <v>755</v>
          </cell>
          <cell r="G239">
            <v>0</v>
          </cell>
        </row>
        <row r="240">
          <cell r="E240">
            <v>0</v>
          </cell>
          <cell r="F240">
            <v>4155</v>
          </cell>
          <cell r="G240">
            <v>83</v>
          </cell>
        </row>
        <row r="241">
          <cell r="E241">
            <v>0</v>
          </cell>
          <cell r="F241">
            <v>2487</v>
          </cell>
          <cell r="G241">
            <v>0</v>
          </cell>
        </row>
        <row r="242">
          <cell r="E242">
            <v>208152</v>
          </cell>
          <cell r="F242">
            <v>67097</v>
          </cell>
          <cell r="G242">
            <v>1341</v>
          </cell>
        </row>
        <row r="243">
          <cell r="E243">
            <v>728888</v>
          </cell>
          <cell r="F243">
            <v>153585</v>
          </cell>
          <cell r="G243">
            <v>4607</v>
          </cell>
        </row>
        <row r="244">
          <cell r="E244">
            <v>0</v>
          </cell>
          <cell r="F244">
            <v>10114</v>
          </cell>
          <cell r="G244">
            <v>98</v>
          </cell>
        </row>
        <row r="245">
          <cell r="E245">
            <v>0</v>
          </cell>
          <cell r="F245">
            <v>12257</v>
          </cell>
          <cell r="G245">
            <v>214</v>
          </cell>
        </row>
        <row r="246">
          <cell r="E246">
            <v>764</v>
          </cell>
          <cell r="F246">
            <v>3675</v>
          </cell>
          <cell r="G246">
            <v>73</v>
          </cell>
        </row>
        <row r="247">
          <cell r="E247">
            <v>33811</v>
          </cell>
          <cell r="F247">
            <v>6736</v>
          </cell>
          <cell r="G247">
            <v>0</v>
          </cell>
        </row>
        <row r="248">
          <cell r="E248">
            <v>235568</v>
          </cell>
          <cell r="F248">
            <v>93760</v>
          </cell>
          <cell r="G248">
            <v>0</v>
          </cell>
        </row>
        <row r="249">
          <cell r="E249">
            <v>208152</v>
          </cell>
          <cell r="F249">
            <v>67097</v>
          </cell>
          <cell r="G249">
            <v>1341</v>
          </cell>
        </row>
        <row r="250">
          <cell r="E250">
            <v>2481496</v>
          </cell>
          <cell r="F250">
            <v>1041967</v>
          </cell>
          <cell r="G250">
            <v>0</v>
          </cell>
        </row>
      </sheetData>
      <sheetData sheetId="3"/>
      <sheetData sheetId="4">
        <row r="4">
          <cell r="E4">
            <v>0</v>
          </cell>
          <cell r="F4">
            <v>0</v>
          </cell>
          <cell r="G4">
            <v>1556</v>
          </cell>
        </row>
        <row r="5">
          <cell r="E5">
            <v>0</v>
          </cell>
          <cell r="F5">
            <v>0</v>
          </cell>
          <cell r="G5">
            <v>12020</v>
          </cell>
        </row>
        <row r="6">
          <cell r="E6">
            <v>0</v>
          </cell>
          <cell r="F6">
            <v>0</v>
          </cell>
          <cell r="G6">
            <v>12020</v>
          </cell>
        </row>
        <row r="7">
          <cell r="E7">
            <v>0</v>
          </cell>
          <cell r="F7">
            <v>0</v>
          </cell>
          <cell r="G7">
            <v>12020</v>
          </cell>
        </row>
        <row r="8">
          <cell r="E8">
            <v>0</v>
          </cell>
          <cell r="F8">
            <v>0</v>
          </cell>
          <cell r="G8">
            <v>20318</v>
          </cell>
        </row>
      </sheetData>
      <sheetData sheetId="5"/>
      <sheetData sheetId="6">
        <row r="20">
          <cell r="O20">
            <v>29000</v>
          </cell>
          <cell r="P20">
            <v>0</v>
          </cell>
          <cell r="V20">
            <v>0</v>
          </cell>
        </row>
        <row r="25">
          <cell r="O25">
            <v>385000</v>
          </cell>
          <cell r="P25">
            <v>0</v>
          </cell>
          <cell r="V25">
            <v>0</v>
          </cell>
        </row>
        <row r="26">
          <cell r="O26">
            <v>385000</v>
          </cell>
          <cell r="P26">
            <v>0</v>
          </cell>
          <cell r="V26">
            <v>0</v>
          </cell>
        </row>
        <row r="43">
          <cell r="O43">
            <v>1013920</v>
          </cell>
          <cell r="P43">
            <v>0</v>
          </cell>
          <cell r="V43">
            <v>0</v>
          </cell>
        </row>
        <row r="44">
          <cell r="O44">
            <v>1008450</v>
          </cell>
          <cell r="P44">
            <v>0</v>
          </cell>
          <cell r="V44">
            <v>0</v>
          </cell>
        </row>
        <row r="45">
          <cell r="O45">
            <v>1052230</v>
          </cell>
          <cell r="P45">
            <v>0</v>
          </cell>
          <cell r="V45">
            <v>0</v>
          </cell>
        </row>
        <row r="46">
          <cell r="O46">
            <v>1052230</v>
          </cell>
          <cell r="P46">
            <v>0</v>
          </cell>
          <cell r="V46">
            <v>0</v>
          </cell>
        </row>
        <row r="47">
          <cell r="O47">
            <v>1052230</v>
          </cell>
          <cell r="P47">
            <v>0</v>
          </cell>
          <cell r="V47">
            <v>0</v>
          </cell>
        </row>
        <row r="48">
          <cell r="O48">
            <v>1052230</v>
          </cell>
          <cell r="P48">
            <v>0</v>
          </cell>
          <cell r="V48">
            <v>0</v>
          </cell>
        </row>
        <row r="52">
          <cell r="O52">
            <v>1270000</v>
          </cell>
          <cell r="P52">
            <v>0</v>
          </cell>
          <cell r="V52">
            <v>0</v>
          </cell>
        </row>
        <row r="53">
          <cell r="O53">
            <v>1270000</v>
          </cell>
          <cell r="P53">
            <v>0</v>
          </cell>
          <cell r="V53">
            <v>0</v>
          </cell>
        </row>
        <row r="54">
          <cell r="O54">
            <v>1270000</v>
          </cell>
          <cell r="P54">
            <v>0</v>
          </cell>
          <cell r="V54">
            <v>0</v>
          </cell>
        </row>
        <row r="55">
          <cell r="O55">
            <v>1270000</v>
          </cell>
          <cell r="P55">
            <v>0</v>
          </cell>
          <cell r="V55">
            <v>0</v>
          </cell>
        </row>
        <row r="56">
          <cell r="O56">
            <v>1410000</v>
          </cell>
          <cell r="P56">
            <v>0</v>
          </cell>
          <cell r="V56">
            <v>0</v>
          </cell>
        </row>
        <row r="57">
          <cell r="O57">
            <v>1270000</v>
          </cell>
          <cell r="P57">
            <v>0</v>
          </cell>
          <cell r="V57">
            <v>0</v>
          </cell>
        </row>
        <row r="58">
          <cell r="O58">
            <v>1270000</v>
          </cell>
          <cell r="P58">
            <v>0</v>
          </cell>
          <cell r="V58">
            <v>0</v>
          </cell>
        </row>
        <row r="59">
          <cell r="O59">
            <v>1270000</v>
          </cell>
          <cell r="P59">
            <v>0</v>
          </cell>
          <cell r="V59">
            <v>0</v>
          </cell>
        </row>
        <row r="60">
          <cell r="O60">
            <v>1270000</v>
          </cell>
          <cell r="P60">
            <v>0</v>
          </cell>
          <cell r="V60">
            <v>0</v>
          </cell>
        </row>
        <row r="61">
          <cell r="O61">
            <v>1309670</v>
          </cell>
          <cell r="P61">
            <v>0</v>
          </cell>
          <cell r="V61">
            <v>0</v>
          </cell>
        </row>
        <row r="62">
          <cell r="O62">
            <v>1270000</v>
          </cell>
          <cell r="P62">
            <v>0</v>
          </cell>
          <cell r="V62">
            <v>0</v>
          </cell>
        </row>
        <row r="64">
          <cell r="O64">
            <v>1158300</v>
          </cell>
          <cell r="P64">
            <v>0</v>
          </cell>
          <cell r="V64">
            <v>0</v>
          </cell>
        </row>
        <row r="65">
          <cell r="O65">
            <v>1168893</v>
          </cell>
          <cell r="P65">
            <v>0</v>
          </cell>
          <cell r="V65">
            <v>0</v>
          </cell>
        </row>
        <row r="70">
          <cell r="O70">
            <v>1148100</v>
          </cell>
          <cell r="P70">
            <v>0</v>
          </cell>
          <cell r="V70">
            <v>0</v>
          </cell>
        </row>
        <row r="71">
          <cell r="O71">
            <v>1543</v>
          </cell>
          <cell r="P71">
            <v>0</v>
          </cell>
          <cell r="V71">
            <v>0</v>
          </cell>
        </row>
        <row r="72">
          <cell r="O72">
            <v>1236824</v>
          </cell>
          <cell r="P72">
            <v>0</v>
          </cell>
          <cell r="V72">
            <v>0</v>
          </cell>
        </row>
        <row r="73">
          <cell r="O73">
            <v>1236824</v>
          </cell>
          <cell r="P73">
            <v>0</v>
          </cell>
          <cell r="V73">
            <v>0</v>
          </cell>
        </row>
        <row r="74">
          <cell r="O74">
            <v>1543</v>
          </cell>
          <cell r="P74">
            <v>0</v>
          </cell>
          <cell r="V74">
            <v>0</v>
          </cell>
        </row>
        <row r="84">
          <cell r="O84">
            <v>77800</v>
          </cell>
          <cell r="P84">
            <v>0</v>
          </cell>
          <cell r="V84">
            <v>0</v>
          </cell>
        </row>
        <row r="85">
          <cell r="O85">
            <v>78180</v>
          </cell>
          <cell r="P85">
            <v>0</v>
          </cell>
          <cell r="V85">
            <v>0</v>
          </cell>
        </row>
        <row r="86">
          <cell r="O86">
            <v>90400</v>
          </cell>
          <cell r="P86">
            <v>0</v>
          </cell>
          <cell r="V86">
            <v>0</v>
          </cell>
        </row>
        <row r="87">
          <cell r="O87">
            <v>79110</v>
          </cell>
          <cell r="P87">
            <v>0</v>
          </cell>
          <cell r="V87">
            <v>0</v>
          </cell>
        </row>
        <row r="88">
          <cell r="O88">
            <v>7000</v>
          </cell>
          <cell r="P88">
            <v>0</v>
          </cell>
          <cell r="V88">
            <v>0</v>
          </cell>
        </row>
        <row r="90">
          <cell r="O90">
            <v>7000</v>
          </cell>
          <cell r="P90">
            <v>0</v>
          </cell>
          <cell r="V90">
            <v>0</v>
          </cell>
        </row>
        <row r="93">
          <cell r="O93">
            <v>5330</v>
          </cell>
          <cell r="P93">
            <v>0</v>
          </cell>
          <cell r="V93">
            <v>0</v>
          </cell>
        </row>
        <row r="99">
          <cell r="O99">
            <v>50</v>
          </cell>
          <cell r="P99">
            <v>0</v>
          </cell>
          <cell r="V99">
            <v>0</v>
          </cell>
        </row>
        <row r="100">
          <cell r="O100">
            <v>51810</v>
          </cell>
          <cell r="P100">
            <v>0</v>
          </cell>
          <cell r="V100">
            <v>0</v>
          </cell>
        </row>
        <row r="101">
          <cell r="O101">
            <v>54450</v>
          </cell>
          <cell r="P101">
            <v>0</v>
          </cell>
          <cell r="V101">
            <v>0</v>
          </cell>
        </row>
        <row r="102">
          <cell r="O102">
            <v>75900</v>
          </cell>
          <cell r="P102">
            <v>0</v>
          </cell>
          <cell r="V102">
            <v>0</v>
          </cell>
        </row>
        <row r="103">
          <cell r="O103">
            <v>54450</v>
          </cell>
          <cell r="P103">
            <v>0</v>
          </cell>
          <cell r="V103">
            <v>0</v>
          </cell>
        </row>
        <row r="104">
          <cell r="O104">
            <v>16000</v>
          </cell>
          <cell r="P104">
            <v>0</v>
          </cell>
          <cell r="V104">
            <v>0</v>
          </cell>
        </row>
        <row r="105">
          <cell r="O105">
            <v>15000</v>
          </cell>
          <cell r="P105">
            <v>0</v>
          </cell>
          <cell r="V105">
            <v>0</v>
          </cell>
        </row>
        <row r="106">
          <cell r="O106">
            <v>36000</v>
          </cell>
          <cell r="P106">
            <v>0</v>
          </cell>
          <cell r="V106">
            <v>0</v>
          </cell>
        </row>
        <row r="107">
          <cell r="O107">
            <v>10800</v>
          </cell>
          <cell r="P107">
            <v>0</v>
          </cell>
          <cell r="V107">
            <v>0</v>
          </cell>
        </row>
        <row r="108">
          <cell r="O108">
            <v>10800</v>
          </cell>
          <cell r="P108">
            <v>0</v>
          </cell>
          <cell r="V108">
            <v>0</v>
          </cell>
        </row>
        <row r="128">
          <cell r="O128">
            <v>50000</v>
          </cell>
          <cell r="P128">
            <v>0</v>
          </cell>
          <cell r="V128">
            <v>0</v>
          </cell>
        </row>
        <row r="129">
          <cell r="O129">
            <v>50000</v>
          </cell>
          <cell r="P129">
            <v>0</v>
          </cell>
          <cell r="V129">
            <v>0</v>
          </cell>
        </row>
        <row r="131">
          <cell r="O131">
            <v>22000</v>
          </cell>
          <cell r="P131">
            <v>3000</v>
          </cell>
          <cell r="V131">
            <v>0</v>
          </cell>
        </row>
        <row r="132">
          <cell r="O132">
            <v>80000</v>
          </cell>
          <cell r="P132">
            <v>11000</v>
          </cell>
          <cell r="V132">
            <v>0</v>
          </cell>
        </row>
        <row r="133">
          <cell r="O133">
            <v>280982</v>
          </cell>
          <cell r="P133">
            <v>0</v>
          </cell>
          <cell r="V133">
            <v>0</v>
          </cell>
        </row>
        <row r="134">
          <cell r="O134">
            <v>353235</v>
          </cell>
          <cell r="P134">
            <v>0</v>
          </cell>
          <cell r="V134">
            <v>0</v>
          </cell>
        </row>
        <row r="137">
          <cell r="O137">
            <v>31244</v>
          </cell>
          <cell r="P137">
            <v>0</v>
          </cell>
          <cell r="V137">
            <v>0</v>
          </cell>
        </row>
        <row r="138">
          <cell r="O138">
            <v>83333</v>
          </cell>
          <cell r="P138">
            <v>0</v>
          </cell>
          <cell r="V138">
            <v>0</v>
          </cell>
        </row>
        <row r="156">
          <cell r="O156">
            <v>7075</v>
          </cell>
          <cell r="P156">
            <v>0</v>
          </cell>
          <cell r="V156">
            <v>0</v>
          </cell>
        </row>
        <row r="157">
          <cell r="O157">
            <v>5240</v>
          </cell>
          <cell r="P157">
            <v>0</v>
          </cell>
          <cell r="V157">
            <v>0</v>
          </cell>
        </row>
        <row r="163">
          <cell r="O163">
            <v>12000</v>
          </cell>
          <cell r="P163">
            <v>0</v>
          </cell>
          <cell r="V163">
            <v>0</v>
          </cell>
        </row>
        <row r="169">
          <cell r="O169">
            <v>50000</v>
          </cell>
          <cell r="P169">
            <v>0</v>
          </cell>
          <cell r="V169">
            <v>0</v>
          </cell>
        </row>
        <row r="196">
          <cell r="O196">
            <v>0</v>
          </cell>
          <cell r="P196">
            <v>0</v>
          </cell>
          <cell r="V196">
            <v>22749</v>
          </cell>
        </row>
        <row r="197">
          <cell r="O197">
            <v>372</v>
          </cell>
          <cell r="P197">
            <v>12003</v>
          </cell>
          <cell r="V197">
            <v>0</v>
          </cell>
        </row>
        <row r="198">
          <cell r="O198">
            <v>453</v>
          </cell>
          <cell r="P198">
            <v>14635</v>
          </cell>
          <cell r="V198">
            <v>0</v>
          </cell>
        </row>
        <row r="199">
          <cell r="O199">
            <v>535</v>
          </cell>
          <cell r="P199">
            <v>17267</v>
          </cell>
          <cell r="V199">
            <v>0</v>
          </cell>
        </row>
        <row r="200">
          <cell r="O200">
            <v>23445</v>
          </cell>
          <cell r="P200">
            <v>74241</v>
          </cell>
          <cell r="V200">
            <v>0</v>
          </cell>
        </row>
        <row r="201">
          <cell r="O201">
            <v>2637</v>
          </cell>
          <cell r="P201">
            <v>8828</v>
          </cell>
          <cell r="V201">
            <v>0</v>
          </cell>
        </row>
        <row r="202">
          <cell r="O202">
            <v>2665</v>
          </cell>
          <cell r="P202">
            <v>10657</v>
          </cell>
          <cell r="V202">
            <v>0</v>
          </cell>
        </row>
        <row r="205">
          <cell r="O205">
            <v>0</v>
          </cell>
          <cell r="P205">
            <v>0</v>
          </cell>
          <cell r="V205">
            <v>3168</v>
          </cell>
        </row>
        <row r="206">
          <cell r="O206">
            <v>129</v>
          </cell>
          <cell r="P206">
            <v>12741</v>
          </cell>
          <cell r="V206">
            <v>0</v>
          </cell>
        </row>
        <row r="211">
          <cell r="O211">
            <v>21</v>
          </cell>
          <cell r="P211">
            <v>985</v>
          </cell>
          <cell r="V211">
            <v>0</v>
          </cell>
        </row>
        <row r="218">
          <cell r="O218">
            <v>2517</v>
          </cell>
          <cell r="P218">
            <v>123315</v>
          </cell>
          <cell r="V218">
            <v>0</v>
          </cell>
        </row>
        <row r="235">
          <cell r="O235">
            <v>415</v>
          </cell>
          <cell r="P235">
            <v>13399</v>
          </cell>
          <cell r="V235">
            <v>0</v>
          </cell>
        </row>
        <row r="236">
          <cell r="O236">
            <v>486</v>
          </cell>
          <cell r="P236">
            <v>15684</v>
          </cell>
          <cell r="V236">
            <v>0</v>
          </cell>
        </row>
        <row r="239">
          <cell r="O239">
            <v>2608</v>
          </cell>
          <cell r="P239">
            <v>7421</v>
          </cell>
          <cell r="V239">
            <v>0</v>
          </cell>
        </row>
        <row r="249">
          <cell r="O249">
            <v>1079</v>
          </cell>
          <cell r="P249">
            <v>34877</v>
          </cell>
          <cell r="V249">
            <v>0</v>
          </cell>
        </row>
        <row r="252">
          <cell r="O252">
            <v>888</v>
          </cell>
          <cell r="P252">
            <v>28692</v>
          </cell>
          <cell r="V252">
            <v>0</v>
          </cell>
        </row>
        <row r="260">
          <cell r="O260">
            <v>1367</v>
          </cell>
          <cell r="P260">
            <v>1422</v>
          </cell>
          <cell r="V260">
            <v>0</v>
          </cell>
        </row>
        <row r="286">
          <cell r="O286">
            <v>0</v>
          </cell>
          <cell r="P286">
            <v>0</v>
          </cell>
          <cell r="V286">
            <v>0</v>
          </cell>
        </row>
        <row r="287">
          <cell r="O287">
            <v>0</v>
          </cell>
          <cell r="P287">
            <v>0</v>
          </cell>
          <cell r="V287">
            <v>0</v>
          </cell>
        </row>
        <row r="288">
          <cell r="O288">
            <v>90000</v>
          </cell>
          <cell r="P288">
            <v>0</v>
          </cell>
          <cell r="V288">
            <v>0</v>
          </cell>
        </row>
        <row r="289">
          <cell r="O289">
            <v>0</v>
          </cell>
          <cell r="P289">
            <v>0</v>
          </cell>
          <cell r="V289">
            <v>0</v>
          </cell>
        </row>
        <row r="290">
          <cell r="O290">
            <v>0</v>
          </cell>
          <cell r="P290">
            <v>0</v>
          </cell>
          <cell r="V290">
            <v>0</v>
          </cell>
        </row>
        <row r="291">
          <cell r="O291">
            <v>237846</v>
          </cell>
          <cell r="P291">
            <v>101934</v>
          </cell>
          <cell r="V291">
            <v>0</v>
          </cell>
        </row>
        <row r="292">
          <cell r="O292">
            <v>0</v>
          </cell>
          <cell r="P292">
            <v>0</v>
          </cell>
          <cell r="V292">
            <v>0</v>
          </cell>
        </row>
        <row r="293">
          <cell r="O293">
            <v>19000</v>
          </cell>
          <cell r="P293">
            <v>0</v>
          </cell>
          <cell r="V293">
            <v>0</v>
          </cell>
        </row>
        <row r="294">
          <cell r="O294">
            <v>293300</v>
          </cell>
          <cell r="P294">
            <v>0</v>
          </cell>
          <cell r="V294">
            <v>0</v>
          </cell>
        </row>
        <row r="295">
          <cell r="O295">
            <v>30300</v>
          </cell>
          <cell r="P295">
            <v>0</v>
          </cell>
          <cell r="V295">
            <v>0</v>
          </cell>
        </row>
        <row r="296">
          <cell r="O296">
            <v>65800</v>
          </cell>
          <cell r="P296">
            <v>0</v>
          </cell>
          <cell r="V296">
            <v>0</v>
          </cell>
        </row>
        <row r="297">
          <cell r="O297">
            <v>17200</v>
          </cell>
          <cell r="P297">
            <v>0</v>
          </cell>
          <cell r="V297">
            <v>0</v>
          </cell>
        </row>
        <row r="298">
          <cell r="O298">
            <v>12800</v>
          </cell>
          <cell r="P298">
            <v>0</v>
          </cell>
          <cell r="V298">
            <v>0</v>
          </cell>
        </row>
        <row r="299">
          <cell r="O299">
            <v>0</v>
          </cell>
          <cell r="P299">
            <v>80500</v>
          </cell>
          <cell r="V299">
            <v>0</v>
          </cell>
        </row>
        <row r="300">
          <cell r="O300">
            <v>0</v>
          </cell>
          <cell r="P300">
            <v>128800</v>
          </cell>
          <cell r="V300">
            <v>0</v>
          </cell>
        </row>
        <row r="301">
          <cell r="O301">
            <v>0</v>
          </cell>
          <cell r="P301">
            <v>4000</v>
          </cell>
          <cell r="V301">
            <v>0</v>
          </cell>
        </row>
        <row r="302">
          <cell r="O302">
            <v>0</v>
          </cell>
          <cell r="P302">
            <v>16000</v>
          </cell>
          <cell r="V302">
            <v>0</v>
          </cell>
        </row>
        <row r="303">
          <cell r="O303">
            <v>1699000</v>
          </cell>
          <cell r="P303">
            <v>3965000</v>
          </cell>
          <cell r="V303">
            <v>0</v>
          </cell>
        </row>
        <row r="304">
          <cell r="O304">
            <v>0</v>
          </cell>
          <cell r="P304">
            <v>0</v>
          </cell>
          <cell r="V304">
            <v>0</v>
          </cell>
        </row>
        <row r="305">
          <cell r="O305">
            <v>0</v>
          </cell>
          <cell r="P305">
            <v>0</v>
          </cell>
          <cell r="V305">
            <v>0</v>
          </cell>
        </row>
        <row r="306">
          <cell r="O306">
            <v>10000</v>
          </cell>
          <cell r="P306">
            <v>0</v>
          </cell>
          <cell r="V306">
            <v>0</v>
          </cell>
        </row>
        <row r="307">
          <cell r="O307">
            <v>293300</v>
          </cell>
          <cell r="P307">
            <v>0</v>
          </cell>
          <cell r="V307">
            <v>0</v>
          </cell>
        </row>
        <row r="308">
          <cell r="O308">
            <v>30300</v>
          </cell>
          <cell r="P308">
            <v>0</v>
          </cell>
          <cell r="V308">
            <v>0</v>
          </cell>
        </row>
        <row r="309">
          <cell r="O309">
            <v>65800</v>
          </cell>
          <cell r="P309">
            <v>0</v>
          </cell>
          <cell r="V309">
            <v>0</v>
          </cell>
        </row>
        <row r="310">
          <cell r="O310">
            <v>17200</v>
          </cell>
          <cell r="P310">
            <v>0</v>
          </cell>
          <cell r="V310">
            <v>0</v>
          </cell>
        </row>
        <row r="311">
          <cell r="O311">
            <v>12800</v>
          </cell>
          <cell r="P311">
            <v>0</v>
          </cell>
          <cell r="V311">
            <v>0</v>
          </cell>
        </row>
        <row r="312">
          <cell r="O312">
            <v>6500</v>
          </cell>
          <cell r="P312">
            <v>0</v>
          </cell>
          <cell r="V312">
            <v>0</v>
          </cell>
        </row>
        <row r="313">
          <cell r="O313">
            <v>0</v>
          </cell>
          <cell r="P313">
            <v>80500</v>
          </cell>
          <cell r="V313">
            <v>0</v>
          </cell>
        </row>
        <row r="314">
          <cell r="O314">
            <v>0</v>
          </cell>
          <cell r="P314">
            <v>128800</v>
          </cell>
          <cell r="V314">
            <v>0</v>
          </cell>
        </row>
        <row r="315">
          <cell r="O315">
            <v>0</v>
          </cell>
          <cell r="P315">
            <v>3700</v>
          </cell>
          <cell r="V315">
            <v>0</v>
          </cell>
        </row>
        <row r="316">
          <cell r="O316">
            <v>0</v>
          </cell>
          <cell r="P316">
            <v>4000</v>
          </cell>
          <cell r="V316">
            <v>0</v>
          </cell>
        </row>
        <row r="317">
          <cell r="O317">
            <v>0</v>
          </cell>
          <cell r="P317">
            <v>16000</v>
          </cell>
          <cell r="V317">
            <v>0</v>
          </cell>
        </row>
        <row r="318">
          <cell r="O318">
            <v>1066000</v>
          </cell>
          <cell r="P318">
            <v>2486000</v>
          </cell>
          <cell r="V318">
            <v>0</v>
          </cell>
        </row>
        <row r="319">
          <cell r="O319">
            <v>0</v>
          </cell>
          <cell r="P319">
            <v>0</v>
          </cell>
          <cell r="V319">
            <v>0</v>
          </cell>
        </row>
        <row r="320">
          <cell r="O320">
            <v>0</v>
          </cell>
          <cell r="P320">
            <v>0</v>
          </cell>
          <cell r="V320">
            <v>0</v>
          </cell>
        </row>
        <row r="321">
          <cell r="O321">
            <v>15100</v>
          </cell>
          <cell r="P321">
            <v>0</v>
          </cell>
          <cell r="V321">
            <v>0</v>
          </cell>
        </row>
        <row r="322">
          <cell r="O322">
            <v>20300</v>
          </cell>
          <cell r="P322">
            <v>0</v>
          </cell>
          <cell r="V322">
            <v>0</v>
          </cell>
        </row>
        <row r="323">
          <cell r="O323">
            <v>0</v>
          </cell>
          <cell r="P323">
            <v>3200</v>
          </cell>
          <cell r="V323">
            <v>0</v>
          </cell>
        </row>
        <row r="324">
          <cell r="O324">
            <v>0</v>
          </cell>
          <cell r="P324">
            <v>3400</v>
          </cell>
          <cell r="V324">
            <v>0</v>
          </cell>
        </row>
        <row r="325">
          <cell r="O325">
            <v>0</v>
          </cell>
          <cell r="P325">
            <v>0</v>
          </cell>
          <cell r="V325">
            <v>0</v>
          </cell>
        </row>
        <row r="326">
          <cell r="O326">
            <v>0</v>
          </cell>
          <cell r="P326">
            <v>0</v>
          </cell>
          <cell r="V326">
            <v>0</v>
          </cell>
        </row>
        <row r="327">
          <cell r="O327">
            <v>15000</v>
          </cell>
          <cell r="P327">
            <v>0</v>
          </cell>
          <cell r="V327">
            <v>0</v>
          </cell>
        </row>
        <row r="328">
          <cell r="O328">
            <v>20300</v>
          </cell>
          <cell r="P328">
            <v>0</v>
          </cell>
          <cell r="V328">
            <v>0</v>
          </cell>
        </row>
        <row r="329">
          <cell r="O329">
            <v>0</v>
          </cell>
          <cell r="P329">
            <v>3200</v>
          </cell>
          <cell r="V329">
            <v>0</v>
          </cell>
        </row>
        <row r="330">
          <cell r="O330">
            <v>0</v>
          </cell>
          <cell r="P330">
            <v>3400</v>
          </cell>
          <cell r="V330">
            <v>0</v>
          </cell>
        </row>
        <row r="331">
          <cell r="O331">
            <v>0</v>
          </cell>
          <cell r="P331">
            <v>0</v>
          </cell>
          <cell r="V331">
            <v>0</v>
          </cell>
        </row>
        <row r="332">
          <cell r="O332">
            <v>15000</v>
          </cell>
          <cell r="P332">
            <v>0</v>
          </cell>
          <cell r="V332">
            <v>0</v>
          </cell>
        </row>
        <row r="333">
          <cell r="O333">
            <v>20300</v>
          </cell>
          <cell r="P333">
            <v>0</v>
          </cell>
          <cell r="V333">
            <v>0</v>
          </cell>
        </row>
        <row r="334">
          <cell r="O334">
            <v>0</v>
          </cell>
          <cell r="P334">
            <v>3200</v>
          </cell>
          <cell r="V334">
            <v>0</v>
          </cell>
        </row>
        <row r="335">
          <cell r="O335">
            <v>0</v>
          </cell>
          <cell r="P335">
            <v>3400</v>
          </cell>
          <cell r="V335">
            <v>0</v>
          </cell>
        </row>
        <row r="336">
          <cell r="O336">
            <v>0</v>
          </cell>
          <cell r="P336">
            <v>0</v>
          </cell>
          <cell r="V336">
            <v>0</v>
          </cell>
        </row>
        <row r="337">
          <cell r="O337">
            <v>15000</v>
          </cell>
          <cell r="P337">
            <v>0</v>
          </cell>
          <cell r="V337">
            <v>0</v>
          </cell>
        </row>
        <row r="338">
          <cell r="O338">
            <v>20300</v>
          </cell>
          <cell r="P338">
            <v>0</v>
          </cell>
          <cell r="V338">
            <v>0</v>
          </cell>
        </row>
        <row r="339">
          <cell r="O339">
            <v>0</v>
          </cell>
          <cell r="P339">
            <v>3200</v>
          </cell>
          <cell r="V339">
            <v>0</v>
          </cell>
        </row>
        <row r="340">
          <cell r="O340">
            <v>0</v>
          </cell>
          <cell r="P340">
            <v>3400</v>
          </cell>
          <cell r="V340">
            <v>0</v>
          </cell>
        </row>
        <row r="341">
          <cell r="O341">
            <v>0</v>
          </cell>
          <cell r="P341">
            <v>0</v>
          </cell>
          <cell r="V341">
            <v>0</v>
          </cell>
        </row>
        <row r="342">
          <cell r="O342">
            <v>2700000</v>
          </cell>
          <cell r="P342">
            <v>0</v>
          </cell>
          <cell r="V342">
            <v>0</v>
          </cell>
        </row>
        <row r="343">
          <cell r="O343">
            <v>1250000</v>
          </cell>
          <cell r="P343">
            <v>0</v>
          </cell>
          <cell r="V343">
            <v>0</v>
          </cell>
        </row>
        <row r="344">
          <cell r="O344">
            <v>0</v>
          </cell>
          <cell r="P344">
            <v>0</v>
          </cell>
          <cell r="V344">
            <v>0</v>
          </cell>
        </row>
        <row r="345">
          <cell r="O345">
            <v>0</v>
          </cell>
          <cell r="P345">
            <v>0</v>
          </cell>
          <cell r="V345">
            <v>0</v>
          </cell>
        </row>
        <row r="346">
          <cell r="O346">
            <v>0</v>
          </cell>
          <cell r="P346">
            <v>0</v>
          </cell>
          <cell r="V346">
            <v>0</v>
          </cell>
        </row>
        <row r="347">
          <cell r="O347">
            <v>112450</v>
          </cell>
          <cell r="P347">
            <v>68950</v>
          </cell>
          <cell r="V347">
            <v>2000</v>
          </cell>
        </row>
        <row r="348">
          <cell r="O348">
            <v>58120</v>
          </cell>
          <cell r="P348">
            <v>39900</v>
          </cell>
          <cell r="V348">
            <v>2500</v>
          </cell>
        </row>
        <row r="349">
          <cell r="O349">
            <v>21000</v>
          </cell>
          <cell r="P349">
            <v>23000</v>
          </cell>
          <cell r="V349">
            <v>1000</v>
          </cell>
        </row>
        <row r="350">
          <cell r="O350">
            <v>58120</v>
          </cell>
          <cell r="P350">
            <v>39900</v>
          </cell>
          <cell r="V350">
            <v>2500</v>
          </cell>
        </row>
        <row r="351">
          <cell r="O351">
            <v>0</v>
          </cell>
          <cell r="P351">
            <v>0</v>
          </cell>
          <cell r="V351">
            <v>0</v>
          </cell>
        </row>
        <row r="352">
          <cell r="O352">
            <v>0</v>
          </cell>
          <cell r="P352">
            <v>0</v>
          </cell>
          <cell r="V352">
            <v>0</v>
          </cell>
        </row>
        <row r="353">
          <cell r="O353">
            <v>237846</v>
          </cell>
          <cell r="P353">
            <v>101934</v>
          </cell>
          <cell r="V353">
            <v>0</v>
          </cell>
        </row>
        <row r="354">
          <cell r="O354">
            <v>237846</v>
          </cell>
          <cell r="P354">
            <v>101934</v>
          </cell>
          <cell r="V354">
            <v>0</v>
          </cell>
        </row>
        <row r="355">
          <cell r="O355">
            <v>112450</v>
          </cell>
          <cell r="P355">
            <v>68950</v>
          </cell>
          <cell r="V355">
            <v>2000</v>
          </cell>
        </row>
        <row r="356">
          <cell r="O356">
            <v>58120</v>
          </cell>
          <cell r="P356">
            <v>39900</v>
          </cell>
          <cell r="V356">
            <v>2500</v>
          </cell>
        </row>
        <row r="357">
          <cell r="O357">
            <v>21000</v>
          </cell>
          <cell r="P357">
            <v>23000</v>
          </cell>
          <cell r="V357">
            <v>1000</v>
          </cell>
        </row>
        <row r="358">
          <cell r="O358">
            <v>58120</v>
          </cell>
          <cell r="P358">
            <v>39900</v>
          </cell>
          <cell r="V358">
            <v>2500</v>
          </cell>
        </row>
        <row r="359">
          <cell r="O359">
            <v>0</v>
          </cell>
          <cell r="P359">
            <v>0</v>
          </cell>
          <cell r="V359">
            <v>0</v>
          </cell>
        </row>
        <row r="360">
          <cell r="O360">
            <v>112450</v>
          </cell>
          <cell r="P360">
            <v>68950</v>
          </cell>
          <cell r="V360">
            <v>2000</v>
          </cell>
        </row>
        <row r="361">
          <cell r="O361">
            <v>58120</v>
          </cell>
          <cell r="P361">
            <v>39900</v>
          </cell>
          <cell r="V361">
            <v>2500</v>
          </cell>
        </row>
        <row r="362">
          <cell r="O362">
            <v>21000</v>
          </cell>
          <cell r="P362">
            <v>23000</v>
          </cell>
          <cell r="V362">
            <v>1000</v>
          </cell>
        </row>
        <row r="363">
          <cell r="O363">
            <v>58120</v>
          </cell>
          <cell r="P363">
            <v>39900</v>
          </cell>
          <cell r="V363">
            <v>2500</v>
          </cell>
        </row>
        <row r="364">
          <cell r="O364">
            <v>112450</v>
          </cell>
          <cell r="P364">
            <v>68950</v>
          </cell>
          <cell r="V364">
            <v>2000</v>
          </cell>
        </row>
        <row r="365">
          <cell r="O365">
            <v>58120</v>
          </cell>
          <cell r="P365">
            <v>39900</v>
          </cell>
          <cell r="V365">
            <v>2500</v>
          </cell>
        </row>
        <row r="366">
          <cell r="O366">
            <v>21000</v>
          </cell>
          <cell r="P366">
            <v>23000</v>
          </cell>
          <cell r="V366">
            <v>1000</v>
          </cell>
        </row>
        <row r="367">
          <cell r="O367">
            <v>58120</v>
          </cell>
          <cell r="P367">
            <v>39900</v>
          </cell>
          <cell r="V367">
            <v>2500</v>
          </cell>
        </row>
        <row r="368">
          <cell r="O368">
            <v>0</v>
          </cell>
          <cell r="P368">
            <v>0</v>
          </cell>
          <cell r="V368">
            <v>0</v>
          </cell>
        </row>
        <row r="369">
          <cell r="O369">
            <v>0</v>
          </cell>
          <cell r="P369">
            <v>0</v>
          </cell>
          <cell r="V369">
            <v>0</v>
          </cell>
        </row>
        <row r="370">
          <cell r="O370">
            <v>112450</v>
          </cell>
          <cell r="P370">
            <v>68950</v>
          </cell>
          <cell r="V370">
            <v>2000</v>
          </cell>
        </row>
        <row r="371">
          <cell r="O371">
            <v>58120</v>
          </cell>
          <cell r="P371">
            <v>39900</v>
          </cell>
          <cell r="V371">
            <v>2500</v>
          </cell>
        </row>
        <row r="372">
          <cell r="O372">
            <v>66940</v>
          </cell>
          <cell r="P372">
            <v>41900</v>
          </cell>
          <cell r="V372">
            <v>2500</v>
          </cell>
        </row>
        <row r="373">
          <cell r="O373">
            <v>58120</v>
          </cell>
          <cell r="P373">
            <v>39900</v>
          </cell>
          <cell r="V373">
            <v>2500</v>
          </cell>
        </row>
        <row r="374">
          <cell r="O374">
            <v>21000</v>
          </cell>
          <cell r="P374">
            <v>23000</v>
          </cell>
          <cell r="V374">
            <v>1000</v>
          </cell>
        </row>
        <row r="375">
          <cell r="O375">
            <v>0</v>
          </cell>
          <cell r="P375">
            <v>0</v>
          </cell>
          <cell r="V375">
            <v>0</v>
          </cell>
        </row>
        <row r="376">
          <cell r="O376">
            <v>0</v>
          </cell>
          <cell r="P376">
            <v>0</v>
          </cell>
          <cell r="V376">
            <v>0</v>
          </cell>
        </row>
        <row r="377">
          <cell r="O377">
            <v>7500</v>
          </cell>
          <cell r="P377">
            <v>0</v>
          </cell>
          <cell r="V377">
            <v>0</v>
          </cell>
        </row>
        <row r="378">
          <cell r="O378">
            <v>8500</v>
          </cell>
          <cell r="P378">
            <v>0</v>
          </cell>
          <cell r="V378">
            <v>0</v>
          </cell>
        </row>
        <row r="379">
          <cell r="O379">
            <v>9500</v>
          </cell>
          <cell r="P379">
            <v>0</v>
          </cell>
          <cell r="V379">
            <v>0</v>
          </cell>
        </row>
        <row r="380">
          <cell r="O380">
            <v>9500</v>
          </cell>
          <cell r="P380">
            <v>0</v>
          </cell>
          <cell r="V380">
            <v>0</v>
          </cell>
        </row>
        <row r="381">
          <cell r="O381">
            <v>23000</v>
          </cell>
          <cell r="P381">
            <v>0</v>
          </cell>
          <cell r="V381">
            <v>0</v>
          </cell>
        </row>
        <row r="382">
          <cell r="O382">
            <v>76000</v>
          </cell>
          <cell r="P382">
            <v>0</v>
          </cell>
          <cell r="V382">
            <v>0</v>
          </cell>
        </row>
        <row r="383">
          <cell r="O383">
            <v>20000</v>
          </cell>
          <cell r="P383">
            <v>0</v>
          </cell>
          <cell r="V383">
            <v>0</v>
          </cell>
        </row>
        <row r="384">
          <cell r="O384">
            <v>135000</v>
          </cell>
          <cell r="P384">
            <v>0</v>
          </cell>
          <cell r="V384">
            <v>0</v>
          </cell>
        </row>
        <row r="385">
          <cell r="O385">
            <v>42000</v>
          </cell>
          <cell r="P385">
            <v>0</v>
          </cell>
          <cell r="V385">
            <v>0</v>
          </cell>
        </row>
        <row r="386">
          <cell r="O386">
            <v>7500</v>
          </cell>
          <cell r="P386">
            <v>0</v>
          </cell>
          <cell r="V386">
            <v>0</v>
          </cell>
        </row>
        <row r="387">
          <cell r="O387">
            <v>7500</v>
          </cell>
          <cell r="P387">
            <v>0</v>
          </cell>
          <cell r="V387">
            <v>0</v>
          </cell>
        </row>
        <row r="388">
          <cell r="O388">
            <v>7500</v>
          </cell>
          <cell r="P388">
            <v>0</v>
          </cell>
          <cell r="V388">
            <v>0</v>
          </cell>
        </row>
        <row r="389">
          <cell r="O389">
            <v>13000</v>
          </cell>
          <cell r="P389">
            <v>0</v>
          </cell>
          <cell r="V389">
            <v>0</v>
          </cell>
        </row>
        <row r="390">
          <cell r="O390">
            <v>15000</v>
          </cell>
          <cell r="P390">
            <v>0</v>
          </cell>
          <cell r="V390">
            <v>0</v>
          </cell>
        </row>
        <row r="391">
          <cell r="O391">
            <v>62000</v>
          </cell>
          <cell r="P391">
            <v>0</v>
          </cell>
          <cell r="V391">
            <v>0</v>
          </cell>
        </row>
        <row r="392">
          <cell r="O392">
            <v>66000</v>
          </cell>
          <cell r="P392">
            <v>0</v>
          </cell>
          <cell r="V392">
            <v>0</v>
          </cell>
        </row>
        <row r="393">
          <cell r="O393">
            <v>38000</v>
          </cell>
          <cell r="P393">
            <v>0</v>
          </cell>
          <cell r="V393">
            <v>0</v>
          </cell>
        </row>
        <row r="394">
          <cell r="O394">
            <v>33000</v>
          </cell>
          <cell r="P394">
            <v>0</v>
          </cell>
          <cell r="V394">
            <v>0</v>
          </cell>
        </row>
        <row r="395">
          <cell r="O395">
            <v>55000</v>
          </cell>
          <cell r="P395">
            <v>0</v>
          </cell>
          <cell r="V395">
            <v>0</v>
          </cell>
        </row>
        <row r="396">
          <cell r="O396">
            <v>115000</v>
          </cell>
          <cell r="P396">
            <v>0</v>
          </cell>
          <cell r="V396">
            <v>0</v>
          </cell>
        </row>
        <row r="397">
          <cell r="O397">
            <v>28000</v>
          </cell>
          <cell r="P397">
            <v>0</v>
          </cell>
          <cell r="V397">
            <v>0</v>
          </cell>
        </row>
        <row r="398">
          <cell r="O398">
            <v>90000</v>
          </cell>
          <cell r="P398">
            <v>0</v>
          </cell>
          <cell r="V398">
            <v>0</v>
          </cell>
        </row>
        <row r="399">
          <cell r="O399">
            <v>76000</v>
          </cell>
          <cell r="P399">
            <v>0</v>
          </cell>
          <cell r="V399">
            <v>0</v>
          </cell>
        </row>
        <row r="400">
          <cell r="O400">
            <v>123000</v>
          </cell>
          <cell r="P400">
            <v>0</v>
          </cell>
          <cell r="V400">
            <v>0</v>
          </cell>
        </row>
        <row r="401">
          <cell r="O401">
            <v>95000</v>
          </cell>
          <cell r="P401">
            <v>0</v>
          </cell>
          <cell r="V401">
            <v>0</v>
          </cell>
        </row>
        <row r="402">
          <cell r="O402">
            <v>123000</v>
          </cell>
          <cell r="P402">
            <v>0</v>
          </cell>
          <cell r="V402">
            <v>0</v>
          </cell>
        </row>
        <row r="403">
          <cell r="O403">
            <v>95000</v>
          </cell>
          <cell r="P403">
            <v>0</v>
          </cell>
          <cell r="V403">
            <v>0</v>
          </cell>
        </row>
        <row r="404">
          <cell r="O404">
            <v>27000</v>
          </cell>
          <cell r="P404">
            <v>0</v>
          </cell>
          <cell r="V404">
            <v>0</v>
          </cell>
        </row>
        <row r="405">
          <cell r="O405">
            <v>118000</v>
          </cell>
          <cell r="P405">
            <v>0</v>
          </cell>
          <cell r="V405">
            <v>0</v>
          </cell>
        </row>
        <row r="406">
          <cell r="O406">
            <v>100000</v>
          </cell>
          <cell r="P406">
            <v>0</v>
          </cell>
          <cell r="V406">
            <v>0</v>
          </cell>
        </row>
        <row r="407">
          <cell r="O407">
            <v>170000</v>
          </cell>
          <cell r="P407">
            <v>0</v>
          </cell>
          <cell r="V407">
            <v>0</v>
          </cell>
        </row>
        <row r="408">
          <cell r="O408">
            <v>33000</v>
          </cell>
          <cell r="P408">
            <v>0</v>
          </cell>
          <cell r="V408">
            <v>0</v>
          </cell>
        </row>
        <row r="409">
          <cell r="O409">
            <v>38000</v>
          </cell>
          <cell r="P409">
            <v>0</v>
          </cell>
          <cell r="V409">
            <v>0</v>
          </cell>
        </row>
        <row r="410">
          <cell r="O410">
            <v>650000</v>
          </cell>
          <cell r="P410">
            <v>0</v>
          </cell>
          <cell r="V410">
            <v>0</v>
          </cell>
        </row>
        <row r="411">
          <cell r="O411">
            <v>0</v>
          </cell>
          <cell r="P411">
            <v>0</v>
          </cell>
          <cell r="V411">
            <v>0</v>
          </cell>
        </row>
        <row r="412">
          <cell r="O412">
            <v>0</v>
          </cell>
          <cell r="P412">
            <v>0</v>
          </cell>
          <cell r="V412">
            <v>0</v>
          </cell>
        </row>
        <row r="413">
          <cell r="O413">
            <v>0</v>
          </cell>
          <cell r="P413">
            <v>0</v>
          </cell>
          <cell r="V413">
            <v>0</v>
          </cell>
        </row>
        <row r="414">
          <cell r="O414">
            <v>71000</v>
          </cell>
          <cell r="P414">
            <v>0</v>
          </cell>
          <cell r="V414">
            <v>0</v>
          </cell>
        </row>
        <row r="415">
          <cell r="O415">
            <v>115000</v>
          </cell>
          <cell r="P415">
            <v>0</v>
          </cell>
          <cell r="V415">
            <v>0</v>
          </cell>
        </row>
        <row r="416">
          <cell r="O416">
            <v>8500</v>
          </cell>
          <cell r="P416">
            <v>0</v>
          </cell>
          <cell r="V416">
            <v>0</v>
          </cell>
        </row>
        <row r="417">
          <cell r="O417">
            <v>9500</v>
          </cell>
          <cell r="P417">
            <v>0</v>
          </cell>
          <cell r="V417">
            <v>0</v>
          </cell>
        </row>
        <row r="418">
          <cell r="O418">
            <v>9500</v>
          </cell>
          <cell r="P418">
            <v>0</v>
          </cell>
          <cell r="V418">
            <v>0</v>
          </cell>
        </row>
        <row r="419">
          <cell r="O419">
            <v>23000</v>
          </cell>
          <cell r="P419">
            <v>0</v>
          </cell>
          <cell r="V419">
            <v>0</v>
          </cell>
        </row>
        <row r="420">
          <cell r="O420">
            <v>76000</v>
          </cell>
          <cell r="P420">
            <v>0</v>
          </cell>
          <cell r="V420">
            <v>0</v>
          </cell>
        </row>
        <row r="421">
          <cell r="O421">
            <v>42000</v>
          </cell>
          <cell r="P421">
            <v>0</v>
          </cell>
          <cell r="V421">
            <v>0</v>
          </cell>
        </row>
        <row r="422">
          <cell r="O422">
            <v>7500</v>
          </cell>
          <cell r="P422">
            <v>0</v>
          </cell>
          <cell r="V422">
            <v>0</v>
          </cell>
        </row>
        <row r="423">
          <cell r="O423">
            <v>80000</v>
          </cell>
          <cell r="P423">
            <v>0</v>
          </cell>
          <cell r="V423">
            <v>0</v>
          </cell>
        </row>
        <row r="424">
          <cell r="O424">
            <v>7500</v>
          </cell>
          <cell r="P424">
            <v>0</v>
          </cell>
          <cell r="V424">
            <v>0</v>
          </cell>
        </row>
        <row r="425">
          <cell r="O425">
            <v>8500</v>
          </cell>
          <cell r="P425">
            <v>0</v>
          </cell>
          <cell r="V425">
            <v>0</v>
          </cell>
        </row>
        <row r="426">
          <cell r="O426">
            <v>13000</v>
          </cell>
          <cell r="P426">
            <v>0</v>
          </cell>
          <cell r="V426">
            <v>0</v>
          </cell>
        </row>
        <row r="427">
          <cell r="O427">
            <v>62000</v>
          </cell>
          <cell r="P427">
            <v>0</v>
          </cell>
          <cell r="V427">
            <v>0</v>
          </cell>
        </row>
        <row r="428">
          <cell r="O428">
            <v>35000</v>
          </cell>
          <cell r="P428">
            <v>0</v>
          </cell>
          <cell r="V428">
            <v>0</v>
          </cell>
        </row>
        <row r="429">
          <cell r="O429">
            <v>47000</v>
          </cell>
          <cell r="P429">
            <v>0</v>
          </cell>
          <cell r="V429">
            <v>0</v>
          </cell>
        </row>
        <row r="430">
          <cell r="O430">
            <v>66000</v>
          </cell>
          <cell r="P430">
            <v>0</v>
          </cell>
          <cell r="V430">
            <v>0</v>
          </cell>
        </row>
        <row r="431">
          <cell r="O431">
            <v>85000</v>
          </cell>
          <cell r="P431">
            <v>0</v>
          </cell>
          <cell r="V431">
            <v>0</v>
          </cell>
        </row>
        <row r="432">
          <cell r="O432">
            <v>55000</v>
          </cell>
          <cell r="P432">
            <v>0</v>
          </cell>
          <cell r="V432">
            <v>0</v>
          </cell>
        </row>
        <row r="433">
          <cell r="O433">
            <v>90000</v>
          </cell>
          <cell r="P433">
            <v>0</v>
          </cell>
          <cell r="V433">
            <v>0</v>
          </cell>
        </row>
        <row r="434">
          <cell r="O434">
            <v>80000</v>
          </cell>
          <cell r="P434">
            <v>0</v>
          </cell>
          <cell r="V434">
            <v>0</v>
          </cell>
        </row>
        <row r="435">
          <cell r="O435">
            <v>76000</v>
          </cell>
          <cell r="P435">
            <v>0</v>
          </cell>
          <cell r="V435">
            <v>0</v>
          </cell>
        </row>
        <row r="436">
          <cell r="O436">
            <v>27000</v>
          </cell>
          <cell r="P436">
            <v>0</v>
          </cell>
          <cell r="V436">
            <v>0</v>
          </cell>
        </row>
        <row r="437">
          <cell r="O437">
            <v>105000</v>
          </cell>
          <cell r="P437">
            <v>0</v>
          </cell>
          <cell r="V437">
            <v>0</v>
          </cell>
        </row>
        <row r="438">
          <cell r="O438">
            <v>100000</v>
          </cell>
          <cell r="P438">
            <v>0</v>
          </cell>
          <cell r="V438">
            <v>0</v>
          </cell>
        </row>
        <row r="439">
          <cell r="O439">
            <v>33000</v>
          </cell>
          <cell r="P439">
            <v>0</v>
          </cell>
          <cell r="V439">
            <v>0</v>
          </cell>
        </row>
        <row r="440">
          <cell r="O440">
            <v>38000</v>
          </cell>
          <cell r="P440">
            <v>0</v>
          </cell>
          <cell r="V440">
            <v>0</v>
          </cell>
        </row>
        <row r="441">
          <cell r="O441">
            <v>80000</v>
          </cell>
          <cell r="P441">
            <v>0</v>
          </cell>
          <cell r="V441">
            <v>0</v>
          </cell>
        </row>
        <row r="442">
          <cell r="O442">
            <v>0</v>
          </cell>
          <cell r="P442">
            <v>0</v>
          </cell>
          <cell r="V442">
            <v>0</v>
          </cell>
        </row>
        <row r="443">
          <cell r="O443">
            <v>0</v>
          </cell>
          <cell r="P443">
            <v>0</v>
          </cell>
          <cell r="V443">
            <v>0</v>
          </cell>
        </row>
        <row r="444">
          <cell r="O444">
            <v>7500</v>
          </cell>
          <cell r="P444">
            <v>0</v>
          </cell>
          <cell r="V444">
            <v>0</v>
          </cell>
        </row>
        <row r="445">
          <cell r="O445">
            <v>8500</v>
          </cell>
          <cell r="P445">
            <v>0</v>
          </cell>
          <cell r="V445">
            <v>0</v>
          </cell>
        </row>
        <row r="446">
          <cell r="O446">
            <v>9500</v>
          </cell>
          <cell r="P446">
            <v>0</v>
          </cell>
          <cell r="V446">
            <v>0</v>
          </cell>
        </row>
        <row r="447">
          <cell r="O447">
            <v>9500</v>
          </cell>
          <cell r="P447">
            <v>0</v>
          </cell>
          <cell r="V447">
            <v>0</v>
          </cell>
        </row>
        <row r="448">
          <cell r="O448">
            <v>23000</v>
          </cell>
          <cell r="P448">
            <v>0</v>
          </cell>
          <cell r="V448">
            <v>0</v>
          </cell>
        </row>
        <row r="449">
          <cell r="O449">
            <v>76000</v>
          </cell>
          <cell r="P449">
            <v>0</v>
          </cell>
          <cell r="V449">
            <v>0</v>
          </cell>
        </row>
        <row r="450">
          <cell r="O450">
            <v>20000</v>
          </cell>
          <cell r="P450">
            <v>0</v>
          </cell>
          <cell r="V450">
            <v>0</v>
          </cell>
        </row>
        <row r="451">
          <cell r="O451">
            <v>7500</v>
          </cell>
          <cell r="P451">
            <v>0</v>
          </cell>
          <cell r="V451">
            <v>0</v>
          </cell>
        </row>
        <row r="452">
          <cell r="O452">
            <v>7500</v>
          </cell>
          <cell r="P452">
            <v>0</v>
          </cell>
          <cell r="V452">
            <v>0</v>
          </cell>
        </row>
        <row r="453">
          <cell r="O453">
            <v>7500</v>
          </cell>
          <cell r="P453">
            <v>0</v>
          </cell>
          <cell r="V453">
            <v>0</v>
          </cell>
        </row>
        <row r="454">
          <cell r="O454">
            <v>62000</v>
          </cell>
          <cell r="P454">
            <v>0</v>
          </cell>
          <cell r="V454">
            <v>0</v>
          </cell>
        </row>
        <row r="455">
          <cell r="O455">
            <v>0</v>
          </cell>
          <cell r="P455">
            <v>0</v>
          </cell>
          <cell r="V455">
            <v>0</v>
          </cell>
        </row>
        <row r="456">
          <cell r="O456">
            <v>9500</v>
          </cell>
          <cell r="P456">
            <v>0</v>
          </cell>
          <cell r="V456">
            <v>0</v>
          </cell>
        </row>
        <row r="457">
          <cell r="O457">
            <v>9500</v>
          </cell>
          <cell r="P457">
            <v>0</v>
          </cell>
          <cell r="V457">
            <v>0</v>
          </cell>
        </row>
        <row r="458">
          <cell r="O458">
            <v>23000</v>
          </cell>
          <cell r="P458">
            <v>0</v>
          </cell>
          <cell r="V458">
            <v>0</v>
          </cell>
        </row>
        <row r="459">
          <cell r="O459">
            <v>76000</v>
          </cell>
          <cell r="P459">
            <v>0</v>
          </cell>
          <cell r="V459">
            <v>0</v>
          </cell>
        </row>
        <row r="460">
          <cell r="O460">
            <v>7500</v>
          </cell>
          <cell r="P460">
            <v>0</v>
          </cell>
          <cell r="V460">
            <v>0</v>
          </cell>
        </row>
        <row r="461">
          <cell r="O461">
            <v>7500</v>
          </cell>
          <cell r="P461">
            <v>0</v>
          </cell>
          <cell r="V461">
            <v>0</v>
          </cell>
        </row>
        <row r="462">
          <cell r="O462">
            <v>13000</v>
          </cell>
          <cell r="P462">
            <v>0</v>
          </cell>
          <cell r="V462">
            <v>0</v>
          </cell>
        </row>
        <row r="463">
          <cell r="O463">
            <v>62000</v>
          </cell>
          <cell r="P463">
            <v>0</v>
          </cell>
          <cell r="V463">
            <v>0</v>
          </cell>
        </row>
        <row r="464">
          <cell r="O464">
            <v>55000</v>
          </cell>
          <cell r="P464">
            <v>0</v>
          </cell>
          <cell r="V464">
            <v>0</v>
          </cell>
        </row>
        <row r="465">
          <cell r="O465">
            <v>90000</v>
          </cell>
          <cell r="P465">
            <v>0</v>
          </cell>
          <cell r="V465">
            <v>0</v>
          </cell>
        </row>
        <row r="466">
          <cell r="O466">
            <v>76000</v>
          </cell>
          <cell r="P466">
            <v>0</v>
          </cell>
          <cell r="V466">
            <v>0</v>
          </cell>
        </row>
        <row r="467">
          <cell r="O467">
            <v>123000</v>
          </cell>
          <cell r="P467">
            <v>0</v>
          </cell>
          <cell r="V467">
            <v>0</v>
          </cell>
        </row>
        <row r="468">
          <cell r="O468">
            <v>27000</v>
          </cell>
          <cell r="P468">
            <v>0</v>
          </cell>
          <cell r="V468">
            <v>0</v>
          </cell>
        </row>
        <row r="469">
          <cell r="O469">
            <v>100000</v>
          </cell>
          <cell r="P469">
            <v>0</v>
          </cell>
          <cell r="V469">
            <v>0</v>
          </cell>
        </row>
        <row r="470">
          <cell r="O470">
            <v>0</v>
          </cell>
          <cell r="P470">
            <v>0</v>
          </cell>
          <cell r="V470">
            <v>0</v>
          </cell>
        </row>
        <row r="471">
          <cell r="O471">
            <v>0</v>
          </cell>
          <cell r="P471">
            <v>0</v>
          </cell>
          <cell r="V471">
            <v>0</v>
          </cell>
        </row>
        <row r="472">
          <cell r="O472">
            <v>0</v>
          </cell>
          <cell r="P472">
            <v>0</v>
          </cell>
          <cell r="V472">
            <v>0</v>
          </cell>
        </row>
        <row r="473">
          <cell r="O473">
            <v>0</v>
          </cell>
          <cell r="P473">
            <v>0</v>
          </cell>
          <cell r="V473">
            <v>0</v>
          </cell>
        </row>
        <row r="474">
          <cell r="O474">
            <v>29500</v>
          </cell>
          <cell r="P474">
            <v>0</v>
          </cell>
          <cell r="V474">
            <v>0</v>
          </cell>
        </row>
        <row r="475">
          <cell r="O475">
            <v>33500</v>
          </cell>
          <cell r="P475">
            <v>0</v>
          </cell>
          <cell r="V475">
            <v>0</v>
          </cell>
        </row>
        <row r="476">
          <cell r="O476">
            <v>40500</v>
          </cell>
          <cell r="P476">
            <v>0</v>
          </cell>
          <cell r="V476">
            <v>0</v>
          </cell>
        </row>
        <row r="477">
          <cell r="O477">
            <v>29500</v>
          </cell>
          <cell r="P477">
            <v>0</v>
          </cell>
          <cell r="V477">
            <v>0</v>
          </cell>
        </row>
        <row r="478">
          <cell r="O478">
            <v>33500</v>
          </cell>
          <cell r="P478">
            <v>0</v>
          </cell>
          <cell r="V478">
            <v>0</v>
          </cell>
        </row>
        <row r="479">
          <cell r="O479">
            <v>0</v>
          </cell>
          <cell r="P479">
            <v>0</v>
          </cell>
          <cell r="V479">
            <v>0</v>
          </cell>
        </row>
        <row r="480">
          <cell r="O480">
            <v>0</v>
          </cell>
          <cell r="P480">
            <v>0</v>
          </cell>
          <cell r="V480">
            <v>0</v>
          </cell>
        </row>
        <row r="481">
          <cell r="O481">
            <v>0</v>
          </cell>
          <cell r="P481">
            <v>0</v>
          </cell>
          <cell r="V481">
            <v>0</v>
          </cell>
        </row>
        <row r="482">
          <cell r="O482">
            <v>33500</v>
          </cell>
          <cell r="P482">
            <v>0</v>
          </cell>
          <cell r="V482">
            <v>0</v>
          </cell>
        </row>
        <row r="483">
          <cell r="O483">
            <v>0</v>
          </cell>
          <cell r="P483">
            <v>0</v>
          </cell>
          <cell r="V483">
            <v>0</v>
          </cell>
        </row>
        <row r="484">
          <cell r="O484">
            <v>0</v>
          </cell>
          <cell r="P484">
            <v>0</v>
          </cell>
          <cell r="V484">
            <v>0</v>
          </cell>
        </row>
        <row r="485">
          <cell r="O485">
            <v>34900</v>
          </cell>
          <cell r="P485">
            <v>0</v>
          </cell>
          <cell r="V485">
            <v>0</v>
          </cell>
        </row>
        <row r="486">
          <cell r="O486">
            <v>37600</v>
          </cell>
          <cell r="P486">
            <v>0</v>
          </cell>
          <cell r="V486">
            <v>0</v>
          </cell>
        </row>
        <row r="487">
          <cell r="O487">
            <v>0</v>
          </cell>
          <cell r="P487">
            <v>0</v>
          </cell>
          <cell r="V487">
            <v>0</v>
          </cell>
        </row>
        <row r="488">
          <cell r="O488">
            <v>0</v>
          </cell>
          <cell r="P488">
            <v>0</v>
          </cell>
          <cell r="V488">
            <v>0</v>
          </cell>
        </row>
        <row r="489">
          <cell r="O489">
            <v>2500000</v>
          </cell>
          <cell r="P489">
            <v>600000</v>
          </cell>
          <cell r="V489">
            <v>100000</v>
          </cell>
        </row>
        <row r="490">
          <cell r="O490">
            <v>70000</v>
          </cell>
          <cell r="P490">
            <v>900000</v>
          </cell>
          <cell r="V490">
            <v>80000</v>
          </cell>
        </row>
        <row r="491">
          <cell r="O491">
            <v>5000</v>
          </cell>
          <cell r="P491">
            <v>6500</v>
          </cell>
          <cell r="V491">
            <v>3500</v>
          </cell>
        </row>
        <row r="492">
          <cell r="O492">
            <v>32000</v>
          </cell>
          <cell r="P492">
            <v>8500</v>
          </cell>
          <cell r="V492">
            <v>5500</v>
          </cell>
        </row>
        <row r="493">
          <cell r="O493">
            <v>4500</v>
          </cell>
          <cell r="P493">
            <v>6000</v>
          </cell>
          <cell r="V493">
            <v>3000</v>
          </cell>
        </row>
        <row r="494">
          <cell r="O494">
            <v>4000</v>
          </cell>
          <cell r="P494">
            <v>5500</v>
          </cell>
          <cell r="V494">
            <v>2500</v>
          </cell>
        </row>
        <row r="495">
          <cell r="O495">
            <v>0</v>
          </cell>
          <cell r="P495">
            <v>0</v>
          </cell>
          <cell r="V495">
            <v>0</v>
          </cell>
        </row>
        <row r="496">
          <cell r="O496">
            <v>0</v>
          </cell>
          <cell r="P496">
            <v>0</v>
          </cell>
          <cell r="V496">
            <v>0</v>
          </cell>
        </row>
        <row r="497">
          <cell r="O497">
            <v>0</v>
          </cell>
          <cell r="P497">
            <v>0</v>
          </cell>
          <cell r="V497">
            <v>0</v>
          </cell>
        </row>
        <row r="498">
          <cell r="O498">
            <v>6528440</v>
          </cell>
          <cell r="P498">
            <v>0</v>
          </cell>
          <cell r="V498">
            <v>0</v>
          </cell>
        </row>
        <row r="499">
          <cell r="O499">
            <v>4792310</v>
          </cell>
          <cell r="P499">
            <v>0</v>
          </cell>
          <cell r="V499">
            <v>0</v>
          </cell>
        </row>
        <row r="500">
          <cell r="O500">
            <v>5634410</v>
          </cell>
          <cell r="P500">
            <v>0</v>
          </cell>
          <cell r="V500">
            <v>0</v>
          </cell>
        </row>
        <row r="501">
          <cell r="O501">
            <v>8986730</v>
          </cell>
          <cell r="P501">
            <v>0</v>
          </cell>
          <cell r="V501">
            <v>0</v>
          </cell>
        </row>
        <row r="502">
          <cell r="O502">
            <v>8261210</v>
          </cell>
          <cell r="P502">
            <v>0</v>
          </cell>
          <cell r="V502">
            <v>0</v>
          </cell>
        </row>
        <row r="503">
          <cell r="O503">
            <v>854900</v>
          </cell>
          <cell r="P503">
            <v>0</v>
          </cell>
          <cell r="V503">
            <v>0</v>
          </cell>
        </row>
        <row r="504">
          <cell r="O504">
            <v>0</v>
          </cell>
          <cell r="P504">
            <v>0</v>
          </cell>
          <cell r="V504">
            <v>0</v>
          </cell>
        </row>
        <row r="505">
          <cell r="O505">
            <v>6857420</v>
          </cell>
          <cell r="P505">
            <v>0</v>
          </cell>
          <cell r="V505">
            <v>0</v>
          </cell>
        </row>
        <row r="506">
          <cell r="O506">
            <v>2322200</v>
          </cell>
          <cell r="P506">
            <v>0</v>
          </cell>
          <cell r="V506">
            <v>0</v>
          </cell>
        </row>
        <row r="507">
          <cell r="O507">
            <v>6743200</v>
          </cell>
          <cell r="P507">
            <v>0</v>
          </cell>
          <cell r="V507">
            <v>0</v>
          </cell>
        </row>
        <row r="508">
          <cell r="O508">
            <v>10000</v>
          </cell>
          <cell r="P508">
            <v>0</v>
          </cell>
          <cell r="V508">
            <v>0</v>
          </cell>
        </row>
        <row r="509">
          <cell r="O509">
            <v>758000</v>
          </cell>
          <cell r="P509">
            <v>0</v>
          </cell>
          <cell r="V509">
            <v>0</v>
          </cell>
        </row>
        <row r="510">
          <cell r="O510">
            <v>758000</v>
          </cell>
          <cell r="P510">
            <v>0</v>
          </cell>
          <cell r="V510">
            <v>0</v>
          </cell>
        </row>
        <row r="511">
          <cell r="O511">
            <v>758000</v>
          </cell>
          <cell r="P511">
            <v>0</v>
          </cell>
          <cell r="V511">
            <v>0</v>
          </cell>
        </row>
        <row r="512">
          <cell r="O512">
            <v>0</v>
          </cell>
          <cell r="P512">
            <v>0</v>
          </cell>
          <cell r="V512">
            <v>0</v>
          </cell>
        </row>
        <row r="513">
          <cell r="O513">
            <v>599000</v>
          </cell>
          <cell r="P513">
            <v>0</v>
          </cell>
          <cell r="V513">
            <v>0</v>
          </cell>
        </row>
        <row r="514">
          <cell r="O514">
            <v>0</v>
          </cell>
          <cell r="P514">
            <v>0</v>
          </cell>
          <cell r="V514">
            <v>0</v>
          </cell>
        </row>
        <row r="515">
          <cell r="O515">
            <v>0</v>
          </cell>
          <cell r="P515">
            <v>0</v>
          </cell>
          <cell r="V515">
            <v>0</v>
          </cell>
        </row>
        <row r="516">
          <cell r="O516">
            <v>4027800</v>
          </cell>
          <cell r="P516">
            <v>1726200</v>
          </cell>
          <cell r="V516">
            <v>0</v>
          </cell>
        </row>
        <row r="517">
          <cell r="O517">
            <v>0</v>
          </cell>
          <cell r="P517">
            <v>0</v>
          </cell>
          <cell r="V517">
            <v>0</v>
          </cell>
        </row>
        <row r="518">
          <cell r="O518">
            <v>0</v>
          </cell>
          <cell r="P518">
            <v>0</v>
          </cell>
          <cell r="V518">
            <v>0</v>
          </cell>
        </row>
        <row r="519">
          <cell r="O519">
            <v>1050000</v>
          </cell>
          <cell r="P519">
            <v>0</v>
          </cell>
          <cell r="V519">
            <v>0</v>
          </cell>
        </row>
        <row r="520">
          <cell r="O520">
            <v>2200000</v>
          </cell>
          <cell r="P520">
            <v>0</v>
          </cell>
          <cell r="V520">
            <v>0</v>
          </cell>
        </row>
        <row r="521">
          <cell r="O521">
            <v>2400000</v>
          </cell>
          <cell r="P521">
            <v>0</v>
          </cell>
          <cell r="V521">
            <v>0</v>
          </cell>
        </row>
        <row r="522">
          <cell r="O522">
            <v>0</v>
          </cell>
          <cell r="P522">
            <v>0</v>
          </cell>
          <cell r="V522">
            <v>0</v>
          </cell>
        </row>
        <row r="523">
          <cell r="O523">
            <v>0</v>
          </cell>
          <cell r="P523">
            <v>0</v>
          </cell>
          <cell r="V523">
            <v>0</v>
          </cell>
        </row>
        <row r="524">
          <cell r="O524">
            <v>2414000</v>
          </cell>
          <cell r="P524">
            <v>0</v>
          </cell>
          <cell r="V524">
            <v>0</v>
          </cell>
        </row>
        <row r="525">
          <cell r="O525">
            <v>3018000</v>
          </cell>
          <cell r="P525">
            <v>0</v>
          </cell>
          <cell r="V525">
            <v>0</v>
          </cell>
        </row>
        <row r="526">
          <cell r="O526">
            <v>3663000</v>
          </cell>
          <cell r="P526">
            <v>0</v>
          </cell>
          <cell r="V526">
            <v>0</v>
          </cell>
        </row>
        <row r="527">
          <cell r="O527">
            <v>4559000</v>
          </cell>
          <cell r="P527">
            <v>0</v>
          </cell>
          <cell r="V527">
            <v>0</v>
          </cell>
        </row>
        <row r="528">
          <cell r="O528">
            <v>4421000</v>
          </cell>
          <cell r="P528">
            <v>0</v>
          </cell>
          <cell r="V528">
            <v>0</v>
          </cell>
        </row>
        <row r="529">
          <cell r="O529">
            <v>4351000</v>
          </cell>
          <cell r="P529">
            <v>0</v>
          </cell>
          <cell r="V529">
            <v>0</v>
          </cell>
        </row>
        <row r="530">
          <cell r="O530">
            <v>0</v>
          </cell>
          <cell r="P530">
            <v>0</v>
          </cell>
          <cell r="V530">
            <v>0</v>
          </cell>
        </row>
        <row r="531">
          <cell r="O531">
            <v>0</v>
          </cell>
          <cell r="P531">
            <v>0</v>
          </cell>
          <cell r="V531">
            <v>0</v>
          </cell>
        </row>
        <row r="532">
          <cell r="O532">
            <v>4125000</v>
          </cell>
          <cell r="P532">
            <v>1210000</v>
          </cell>
          <cell r="V532">
            <v>165000</v>
          </cell>
        </row>
        <row r="533">
          <cell r="O533">
            <v>3975000</v>
          </cell>
          <cell r="P533">
            <v>1166000</v>
          </cell>
          <cell r="V533">
            <v>159000</v>
          </cell>
        </row>
        <row r="534">
          <cell r="O534">
            <v>2025000</v>
          </cell>
          <cell r="P534">
            <v>594000</v>
          </cell>
          <cell r="V534">
            <v>81000</v>
          </cell>
        </row>
        <row r="535">
          <cell r="O535">
            <v>0</v>
          </cell>
          <cell r="P535">
            <v>0</v>
          </cell>
          <cell r="V535">
            <v>0</v>
          </cell>
        </row>
        <row r="536">
          <cell r="O536">
            <v>0</v>
          </cell>
          <cell r="P536">
            <v>0</v>
          </cell>
          <cell r="V536">
            <v>0</v>
          </cell>
        </row>
        <row r="537">
          <cell r="O537">
            <v>20500</v>
          </cell>
          <cell r="P537">
            <v>0</v>
          </cell>
          <cell r="V537">
            <v>0</v>
          </cell>
        </row>
        <row r="538">
          <cell r="O538">
            <v>22500</v>
          </cell>
          <cell r="P538">
            <v>0</v>
          </cell>
          <cell r="V538">
            <v>0</v>
          </cell>
        </row>
        <row r="539">
          <cell r="O539">
            <v>26000</v>
          </cell>
          <cell r="P539">
            <v>0</v>
          </cell>
          <cell r="V539">
            <v>0</v>
          </cell>
        </row>
        <row r="540">
          <cell r="O540">
            <v>26000</v>
          </cell>
          <cell r="P540">
            <v>0</v>
          </cell>
          <cell r="V540">
            <v>0</v>
          </cell>
        </row>
        <row r="541">
          <cell r="O541">
            <v>26500</v>
          </cell>
          <cell r="P541">
            <v>0</v>
          </cell>
          <cell r="V541">
            <v>0</v>
          </cell>
        </row>
        <row r="542">
          <cell r="O542">
            <v>28500</v>
          </cell>
          <cell r="P542">
            <v>0</v>
          </cell>
          <cell r="V542">
            <v>0</v>
          </cell>
        </row>
        <row r="543">
          <cell r="O543">
            <v>32000</v>
          </cell>
          <cell r="P543">
            <v>0</v>
          </cell>
          <cell r="V543">
            <v>0</v>
          </cell>
        </row>
        <row r="544">
          <cell r="O544">
            <v>26500</v>
          </cell>
          <cell r="P544">
            <v>0</v>
          </cell>
          <cell r="V544">
            <v>0</v>
          </cell>
        </row>
        <row r="545">
          <cell r="O545">
            <v>28500</v>
          </cell>
          <cell r="P545">
            <v>0</v>
          </cell>
          <cell r="V545">
            <v>0</v>
          </cell>
        </row>
        <row r="546">
          <cell r="O546">
            <v>4500</v>
          </cell>
          <cell r="P546">
            <v>0</v>
          </cell>
          <cell r="V546">
            <v>0</v>
          </cell>
        </row>
        <row r="547">
          <cell r="O547">
            <v>0</v>
          </cell>
          <cell r="P547">
            <v>0</v>
          </cell>
          <cell r="V547">
            <v>0</v>
          </cell>
        </row>
        <row r="549">
          <cell r="O549">
            <v>0</v>
          </cell>
          <cell r="P549">
            <v>0</v>
          </cell>
          <cell r="V549">
            <v>0</v>
          </cell>
        </row>
        <row r="550">
          <cell r="O550">
            <v>0</v>
          </cell>
          <cell r="P550">
            <v>0</v>
          </cell>
          <cell r="V550">
            <v>0</v>
          </cell>
        </row>
        <row r="551">
          <cell r="O551">
            <v>28000</v>
          </cell>
          <cell r="P551">
            <v>6828</v>
          </cell>
          <cell r="V551">
            <v>672</v>
          </cell>
        </row>
        <row r="552">
          <cell r="O552">
            <v>12900</v>
          </cell>
          <cell r="P552">
            <v>12695</v>
          </cell>
          <cell r="V552">
            <v>253.91</v>
          </cell>
        </row>
        <row r="553">
          <cell r="O553">
            <v>7920</v>
          </cell>
          <cell r="P553">
            <v>5151</v>
          </cell>
          <cell r="V553">
            <v>0</v>
          </cell>
        </row>
        <row r="557">
          <cell r="O557">
            <v>0</v>
          </cell>
          <cell r="P557">
            <v>0</v>
          </cell>
          <cell r="V557">
            <v>0</v>
          </cell>
        </row>
        <row r="558">
          <cell r="O558">
            <v>0</v>
          </cell>
          <cell r="P558">
            <v>0</v>
          </cell>
          <cell r="V558">
            <v>0</v>
          </cell>
        </row>
        <row r="559">
          <cell r="O559">
            <v>0</v>
          </cell>
          <cell r="P559">
            <v>0</v>
          </cell>
          <cell r="V559">
            <v>0</v>
          </cell>
        </row>
        <row r="560">
          <cell r="O560">
            <v>0</v>
          </cell>
          <cell r="P560">
            <v>0</v>
          </cell>
          <cell r="V560">
            <v>0</v>
          </cell>
        </row>
        <row r="561">
          <cell r="O561">
            <v>12250</v>
          </cell>
          <cell r="P561">
            <v>7242</v>
          </cell>
          <cell r="V561">
            <v>0</v>
          </cell>
        </row>
        <row r="562">
          <cell r="O562">
            <v>4053</v>
          </cell>
          <cell r="P562">
            <v>14416</v>
          </cell>
          <cell r="V562">
            <v>0</v>
          </cell>
        </row>
        <row r="563">
          <cell r="O563">
            <v>0</v>
          </cell>
          <cell r="P563">
            <v>0</v>
          </cell>
          <cell r="V563">
            <v>0</v>
          </cell>
        </row>
        <row r="564">
          <cell r="O564">
            <v>0</v>
          </cell>
          <cell r="P564">
            <v>0</v>
          </cell>
          <cell r="V564">
            <v>0</v>
          </cell>
        </row>
        <row r="565">
          <cell r="O565">
            <v>80560</v>
          </cell>
          <cell r="P565">
            <v>17321</v>
          </cell>
          <cell r="V565">
            <v>0</v>
          </cell>
        </row>
        <row r="566">
          <cell r="O566">
            <v>2667</v>
          </cell>
          <cell r="P566">
            <v>14416</v>
          </cell>
          <cell r="V566">
            <v>0</v>
          </cell>
        </row>
        <row r="567">
          <cell r="O567">
            <v>0</v>
          </cell>
          <cell r="P567">
            <v>0</v>
          </cell>
          <cell r="V567">
            <v>0</v>
          </cell>
        </row>
        <row r="568">
          <cell r="O568">
            <v>0</v>
          </cell>
          <cell r="P568">
            <v>0</v>
          </cell>
          <cell r="V568">
            <v>0</v>
          </cell>
        </row>
        <row r="569">
          <cell r="O569">
            <v>0</v>
          </cell>
          <cell r="P569">
            <v>0</v>
          </cell>
          <cell r="V569">
            <v>0</v>
          </cell>
        </row>
        <row r="570">
          <cell r="O570">
            <v>1950000</v>
          </cell>
          <cell r="P570">
            <v>0</v>
          </cell>
          <cell r="V570">
            <v>0</v>
          </cell>
        </row>
        <row r="571">
          <cell r="O571">
            <v>4125000</v>
          </cell>
          <cell r="P571">
            <v>0</v>
          </cell>
          <cell r="V571">
            <v>0</v>
          </cell>
        </row>
        <row r="572">
          <cell r="O572">
            <v>315000</v>
          </cell>
          <cell r="P572">
            <v>0</v>
          </cell>
          <cell r="V572">
            <v>0</v>
          </cell>
        </row>
        <row r="573">
          <cell r="O573">
            <v>765000</v>
          </cell>
          <cell r="P573">
            <v>0</v>
          </cell>
          <cell r="V573">
            <v>0</v>
          </cell>
        </row>
        <row r="574">
          <cell r="O574">
            <v>1665000</v>
          </cell>
          <cell r="P574">
            <v>0</v>
          </cell>
          <cell r="V574">
            <v>0</v>
          </cell>
        </row>
        <row r="575">
          <cell r="O575">
            <v>0</v>
          </cell>
          <cell r="P575">
            <v>0</v>
          </cell>
          <cell r="V575">
            <v>0</v>
          </cell>
        </row>
        <row r="576">
          <cell r="O576">
            <v>0</v>
          </cell>
          <cell r="P576">
            <v>0</v>
          </cell>
          <cell r="V576">
            <v>0</v>
          </cell>
        </row>
        <row r="577">
          <cell r="O577">
            <v>0</v>
          </cell>
          <cell r="P577">
            <v>0</v>
          </cell>
          <cell r="V577">
            <v>0</v>
          </cell>
        </row>
        <row r="578">
          <cell r="O578">
            <v>0</v>
          </cell>
          <cell r="P578">
            <v>0</v>
          </cell>
          <cell r="V578">
            <v>0</v>
          </cell>
        </row>
        <row r="579">
          <cell r="O579">
            <v>18000</v>
          </cell>
          <cell r="P579">
            <v>0</v>
          </cell>
          <cell r="V579">
            <v>0</v>
          </cell>
        </row>
        <row r="580">
          <cell r="O580">
            <v>8000</v>
          </cell>
          <cell r="P580">
            <v>0</v>
          </cell>
          <cell r="V580">
            <v>0</v>
          </cell>
        </row>
        <row r="581">
          <cell r="O581">
            <v>35000</v>
          </cell>
          <cell r="P581">
            <v>0</v>
          </cell>
          <cell r="V581">
            <v>0</v>
          </cell>
        </row>
        <row r="582">
          <cell r="O582">
            <v>8000</v>
          </cell>
          <cell r="P582">
            <v>0</v>
          </cell>
          <cell r="V582">
            <v>0</v>
          </cell>
        </row>
        <row r="583">
          <cell r="O583">
            <v>3000000</v>
          </cell>
          <cell r="P583">
            <v>0</v>
          </cell>
          <cell r="V583">
            <v>0</v>
          </cell>
        </row>
        <row r="584">
          <cell r="O584">
            <v>2000000</v>
          </cell>
          <cell r="P584">
            <v>0</v>
          </cell>
          <cell r="V584">
            <v>0</v>
          </cell>
        </row>
        <row r="585">
          <cell r="O585">
            <v>2500000</v>
          </cell>
          <cell r="P585">
            <v>0</v>
          </cell>
          <cell r="V585">
            <v>0</v>
          </cell>
        </row>
        <row r="586">
          <cell r="O586">
            <v>0</v>
          </cell>
          <cell r="P586">
            <v>0</v>
          </cell>
          <cell r="V586">
            <v>0</v>
          </cell>
        </row>
        <row r="587">
          <cell r="O587">
            <v>0</v>
          </cell>
          <cell r="P587">
            <v>0</v>
          </cell>
          <cell r="V587">
            <v>0</v>
          </cell>
        </row>
        <row r="588">
          <cell r="O588">
            <v>0</v>
          </cell>
          <cell r="P588">
            <v>0</v>
          </cell>
          <cell r="V588">
            <v>0</v>
          </cell>
        </row>
        <row r="589">
          <cell r="O589">
            <v>50000</v>
          </cell>
          <cell r="P589">
            <v>0</v>
          </cell>
          <cell r="V589">
            <v>0</v>
          </cell>
        </row>
        <row r="590">
          <cell r="O590">
            <v>25000</v>
          </cell>
          <cell r="P590">
            <v>0</v>
          </cell>
          <cell r="V590">
            <v>0</v>
          </cell>
        </row>
        <row r="591">
          <cell r="O591">
            <v>0</v>
          </cell>
          <cell r="P591">
            <v>0</v>
          </cell>
          <cell r="V591">
            <v>0</v>
          </cell>
        </row>
        <row r="592">
          <cell r="O592">
            <v>0</v>
          </cell>
          <cell r="P592">
            <v>0</v>
          </cell>
          <cell r="V592">
            <v>0</v>
          </cell>
        </row>
        <row r="593">
          <cell r="O593">
            <v>0</v>
          </cell>
          <cell r="P593">
            <v>55063</v>
          </cell>
          <cell r="V593">
            <v>0</v>
          </cell>
        </row>
        <row r="594">
          <cell r="O594">
            <v>0</v>
          </cell>
          <cell r="P594">
            <v>57894</v>
          </cell>
          <cell r="V594">
            <v>0</v>
          </cell>
        </row>
        <row r="595">
          <cell r="O595">
            <v>0</v>
          </cell>
          <cell r="P595">
            <v>71407</v>
          </cell>
          <cell r="V595">
            <v>0</v>
          </cell>
        </row>
        <row r="596">
          <cell r="O596">
            <v>0</v>
          </cell>
          <cell r="P596">
            <v>40358</v>
          </cell>
          <cell r="V596">
            <v>0</v>
          </cell>
        </row>
        <row r="597">
          <cell r="O597">
            <v>0</v>
          </cell>
          <cell r="P597">
            <v>54298</v>
          </cell>
          <cell r="V597">
            <v>0</v>
          </cell>
        </row>
        <row r="598">
          <cell r="O598">
            <v>0</v>
          </cell>
          <cell r="P598">
            <v>59446</v>
          </cell>
          <cell r="V598">
            <v>0</v>
          </cell>
        </row>
        <row r="599">
          <cell r="O599">
            <v>0</v>
          </cell>
          <cell r="P599">
            <v>0</v>
          </cell>
          <cell r="V599">
            <v>0</v>
          </cell>
        </row>
        <row r="600">
          <cell r="O600">
            <v>0</v>
          </cell>
          <cell r="P600">
            <v>0</v>
          </cell>
          <cell r="V600">
            <v>0</v>
          </cell>
        </row>
        <row r="601">
          <cell r="O601">
            <v>0</v>
          </cell>
          <cell r="P601">
            <v>24340</v>
          </cell>
          <cell r="V601">
            <v>0</v>
          </cell>
        </row>
        <row r="602">
          <cell r="O602">
            <v>0</v>
          </cell>
          <cell r="P602">
            <v>68388</v>
          </cell>
          <cell r="V602">
            <v>0</v>
          </cell>
        </row>
        <row r="603">
          <cell r="O603">
            <v>0</v>
          </cell>
          <cell r="P603">
            <v>10000</v>
          </cell>
          <cell r="V603">
            <v>0</v>
          </cell>
        </row>
        <row r="604">
          <cell r="O604">
            <v>0</v>
          </cell>
          <cell r="P604">
            <v>0</v>
          </cell>
          <cell r="V604">
            <v>0</v>
          </cell>
        </row>
        <row r="605">
          <cell r="O605">
            <v>0</v>
          </cell>
          <cell r="P605">
            <v>0</v>
          </cell>
          <cell r="V605">
            <v>0</v>
          </cell>
        </row>
        <row r="606">
          <cell r="O606">
            <v>18000</v>
          </cell>
          <cell r="P606">
            <v>0</v>
          </cell>
          <cell r="V606">
            <v>0</v>
          </cell>
        </row>
        <row r="607">
          <cell r="O607">
            <v>6000</v>
          </cell>
          <cell r="P607">
            <v>0</v>
          </cell>
          <cell r="V607">
            <v>0</v>
          </cell>
        </row>
        <row r="608">
          <cell r="O608">
            <v>30000</v>
          </cell>
          <cell r="P608">
            <v>0</v>
          </cell>
          <cell r="V608">
            <v>0</v>
          </cell>
        </row>
        <row r="609">
          <cell r="O609">
            <v>2000</v>
          </cell>
          <cell r="P609">
            <v>0</v>
          </cell>
          <cell r="V609">
            <v>0</v>
          </cell>
        </row>
        <row r="610">
          <cell r="O610">
            <v>4000</v>
          </cell>
          <cell r="P610">
            <v>2500</v>
          </cell>
          <cell r="V610">
            <v>0</v>
          </cell>
        </row>
        <row r="611">
          <cell r="O611">
            <v>0</v>
          </cell>
          <cell r="P611">
            <v>0</v>
          </cell>
          <cell r="V611">
            <v>0</v>
          </cell>
        </row>
        <row r="612">
          <cell r="O612">
            <v>0</v>
          </cell>
          <cell r="P612">
            <v>0</v>
          </cell>
          <cell r="V612">
            <v>0</v>
          </cell>
        </row>
        <row r="613">
          <cell r="O613">
            <v>10261</v>
          </cell>
          <cell r="P613">
            <v>10543</v>
          </cell>
          <cell r="V613">
            <v>0</v>
          </cell>
        </row>
        <row r="614">
          <cell r="O614">
            <v>51500</v>
          </cell>
          <cell r="P614">
            <v>12731</v>
          </cell>
          <cell r="V614">
            <v>0</v>
          </cell>
        </row>
        <row r="615">
          <cell r="O615">
            <v>2169</v>
          </cell>
          <cell r="P615">
            <v>7841</v>
          </cell>
          <cell r="V615">
            <v>0</v>
          </cell>
        </row>
        <row r="616">
          <cell r="O616">
            <v>0</v>
          </cell>
          <cell r="P616">
            <v>0</v>
          </cell>
          <cell r="V616">
            <v>0</v>
          </cell>
        </row>
        <row r="617">
          <cell r="O617">
            <v>0</v>
          </cell>
          <cell r="P617">
            <v>0</v>
          </cell>
          <cell r="V617">
            <v>0</v>
          </cell>
        </row>
        <row r="618">
          <cell r="O618">
            <v>0</v>
          </cell>
          <cell r="P618">
            <v>0</v>
          </cell>
          <cell r="V618">
            <v>0</v>
          </cell>
        </row>
        <row r="619">
          <cell r="O619">
            <v>0</v>
          </cell>
          <cell r="P619">
            <v>0</v>
          </cell>
          <cell r="V619">
            <v>0</v>
          </cell>
        </row>
        <row r="620">
          <cell r="O620">
            <v>0</v>
          </cell>
          <cell r="P620">
            <v>0</v>
          </cell>
          <cell r="V620">
            <v>0</v>
          </cell>
        </row>
        <row r="621">
          <cell r="O621">
            <v>0</v>
          </cell>
          <cell r="P621">
            <v>0</v>
          </cell>
          <cell r="V621">
            <v>0</v>
          </cell>
        </row>
        <row r="622">
          <cell r="O622">
            <v>0</v>
          </cell>
          <cell r="P622">
            <v>0</v>
          </cell>
          <cell r="V622">
            <v>0</v>
          </cell>
        </row>
        <row r="623">
          <cell r="O623">
            <v>0</v>
          </cell>
          <cell r="P623">
            <v>0</v>
          </cell>
          <cell r="V623">
            <v>0</v>
          </cell>
        </row>
        <row r="624">
          <cell r="O624">
            <v>0</v>
          </cell>
          <cell r="P624">
            <v>0</v>
          </cell>
          <cell r="V624">
            <v>0</v>
          </cell>
        </row>
        <row r="628">
          <cell r="O628">
            <v>0</v>
          </cell>
          <cell r="P628">
            <v>0</v>
          </cell>
          <cell r="V628">
            <v>0</v>
          </cell>
        </row>
        <row r="629">
          <cell r="O629">
            <v>0</v>
          </cell>
          <cell r="P629">
            <v>0</v>
          </cell>
          <cell r="V629">
            <v>0</v>
          </cell>
        </row>
        <row r="630">
          <cell r="O630">
            <v>0</v>
          </cell>
          <cell r="P630">
            <v>0</v>
          </cell>
          <cell r="V630">
            <v>0</v>
          </cell>
        </row>
        <row r="631">
          <cell r="O631">
            <v>0</v>
          </cell>
          <cell r="P631">
            <v>0</v>
          </cell>
          <cell r="V631">
            <v>0</v>
          </cell>
        </row>
        <row r="632">
          <cell r="O632">
            <v>0</v>
          </cell>
          <cell r="P632">
            <v>0</v>
          </cell>
          <cell r="V632">
            <v>0</v>
          </cell>
        </row>
        <row r="633">
          <cell r="O633">
            <v>0</v>
          </cell>
          <cell r="P633">
            <v>0</v>
          </cell>
          <cell r="V633">
            <v>0</v>
          </cell>
        </row>
        <row r="634">
          <cell r="O634">
            <v>0</v>
          </cell>
          <cell r="P634">
            <v>0</v>
          </cell>
          <cell r="V634">
            <v>0</v>
          </cell>
        </row>
        <row r="635">
          <cell r="O635">
            <v>0</v>
          </cell>
          <cell r="P635">
            <v>0</v>
          </cell>
          <cell r="V635">
            <v>0</v>
          </cell>
        </row>
        <row r="654">
          <cell r="O654">
            <v>0</v>
          </cell>
          <cell r="P654">
            <v>0</v>
          </cell>
          <cell r="V654">
            <v>0</v>
          </cell>
        </row>
        <row r="655">
          <cell r="O655">
            <v>0</v>
          </cell>
          <cell r="P655">
            <v>0</v>
          </cell>
          <cell r="V655">
            <v>0</v>
          </cell>
        </row>
        <row r="656">
          <cell r="O656">
            <v>0</v>
          </cell>
          <cell r="P656">
            <v>0</v>
          </cell>
          <cell r="V656">
            <v>0</v>
          </cell>
        </row>
        <row r="657">
          <cell r="O657">
            <v>0</v>
          </cell>
          <cell r="P657">
            <v>0</v>
          </cell>
          <cell r="V657">
            <v>0</v>
          </cell>
        </row>
        <row r="658">
          <cell r="O658">
            <v>0</v>
          </cell>
          <cell r="P658">
            <v>0</v>
          </cell>
          <cell r="V658">
            <v>0</v>
          </cell>
        </row>
        <row r="659">
          <cell r="O659">
            <v>0</v>
          </cell>
          <cell r="P659">
            <v>0</v>
          </cell>
          <cell r="V659">
            <v>0</v>
          </cell>
        </row>
        <row r="660">
          <cell r="O660">
            <v>0</v>
          </cell>
          <cell r="P660">
            <v>0</v>
          </cell>
          <cell r="V660">
            <v>0</v>
          </cell>
        </row>
        <row r="661">
          <cell r="O661">
            <v>0</v>
          </cell>
          <cell r="P661">
            <v>0</v>
          </cell>
          <cell r="V661">
            <v>0</v>
          </cell>
        </row>
        <row r="662">
          <cell r="O662">
            <v>0</v>
          </cell>
          <cell r="P662">
            <v>0</v>
          </cell>
          <cell r="V662">
            <v>0</v>
          </cell>
        </row>
        <row r="663">
          <cell r="O663">
            <v>0</v>
          </cell>
          <cell r="P663">
            <v>0</v>
          </cell>
          <cell r="V663">
            <v>0</v>
          </cell>
        </row>
        <row r="664">
          <cell r="O664">
            <v>0</v>
          </cell>
          <cell r="P664">
            <v>0</v>
          </cell>
          <cell r="V664">
            <v>0</v>
          </cell>
        </row>
        <row r="665">
          <cell r="O665">
            <v>0</v>
          </cell>
          <cell r="P665">
            <v>0</v>
          </cell>
          <cell r="V665">
            <v>0</v>
          </cell>
        </row>
        <row r="666">
          <cell r="O666">
            <v>0</v>
          </cell>
          <cell r="P666">
            <v>0</v>
          </cell>
          <cell r="V666">
            <v>0</v>
          </cell>
        </row>
        <row r="667">
          <cell r="O667">
            <v>0</v>
          </cell>
          <cell r="P667">
            <v>0</v>
          </cell>
          <cell r="V667">
            <v>0</v>
          </cell>
        </row>
        <row r="674">
          <cell r="O674">
            <v>66000</v>
          </cell>
          <cell r="P674">
            <v>0</v>
          </cell>
          <cell r="V674">
            <v>0</v>
          </cell>
        </row>
        <row r="675">
          <cell r="O675">
            <v>33000</v>
          </cell>
          <cell r="P675">
            <v>0</v>
          </cell>
          <cell r="V675">
            <v>0</v>
          </cell>
        </row>
        <row r="676">
          <cell r="O676">
            <v>55000</v>
          </cell>
          <cell r="P676">
            <v>0</v>
          </cell>
          <cell r="V676">
            <v>0</v>
          </cell>
        </row>
        <row r="677">
          <cell r="O677">
            <v>90000</v>
          </cell>
          <cell r="P677">
            <v>0</v>
          </cell>
          <cell r="V677">
            <v>0</v>
          </cell>
        </row>
        <row r="678">
          <cell r="O678">
            <v>123000</v>
          </cell>
          <cell r="P678">
            <v>0</v>
          </cell>
          <cell r="V678">
            <v>0</v>
          </cell>
        </row>
        <row r="679">
          <cell r="O679">
            <v>27000</v>
          </cell>
          <cell r="P679">
            <v>0</v>
          </cell>
          <cell r="V679">
            <v>0</v>
          </cell>
        </row>
        <row r="680">
          <cell r="O680">
            <v>100000</v>
          </cell>
          <cell r="P680">
            <v>0</v>
          </cell>
          <cell r="V680">
            <v>0</v>
          </cell>
        </row>
        <row r="681">
          <cell r="O681">
            <v>33000</v>
          </cell>
          <cell r="P681">
            <v>0</v>
          </cell>
          <cell r="V681">
            <v>0</v>
          </cell>
        </row>
        <row r="682">
          <cell r="O682">
            <v>38000</v>
          </cell>
          <cell r="P682">
            <v>0</v>
          </cell>
          <cell r="V682">
            <v>0</v>
          </cell>
        </row>
        <row r="683">
          <cell r="O683">
            <v>80000</v>
          </cell>
          <cell r="P683">
            <v>0</v>
          </cell>
          <cell r="V683">
            <v>0</v>
          </cell>
        </row>
        <row r="684">
          <cell r="O684">
            <v>454000</v>
          </cell>
          <cell r="P684">
            <v>0</v>
          </cell>
          <cell r="V684">
            <v>0</v>
          </cell>
        </row>
        <row r="685">
          <cell r="O685">
            <v>390000</v>
          </cell>
          <cell r="P685">
            <v>0</v>
          </cell>
          <cell r="V685">
            <v>0</v>
          </cell>
        </row>
        <row r="692">
          <cell r="O692">
            <v>0</v>
          </cell>
          <cell r="P692">
            <v>0</v>
          </cell>
          <cell r="V692">
            <v>0</v>
          </cell>
        </row>
        <row r="693">
          <cell r="O693">
            <v>853000</v>
          </cell>
          <cell r="P693">
            <v>0</v>
          </cell>
          <cell r="V693">
            <v>0</v>
          </cell>
        </row>
        <row r="694">
          <cell r="O694">
            <v>454000</v>
          </cell>
          <cell r="P694">
            <v>0</v>
          </cell>
          <cell r="V694">
            <v>0</v>
          </cell>
        </row>
        <row r="695">
          <cell r="O695">
            <v>0</v>
          </cell>
          <cell r="P695">
            <v>0</v>
          </cell>
          <cell r="V695">
            <v>0</v>
          </cell>
        </row>
        <row r="696">
          <cell r="O696">
            <v>0</v>
          </cell>
          <cell r="P696">
            <v>0</v>
          </cell>
          <cell r="V696">
            <v>0</v>
          </cell>
        </row>
        <row r="697">
          <cell r="O697">
            <v>0</v>
          </cell>
          <cell r="P697">
            <v>0</v>
          </cell>
          <cell r="V697">
            <v>0</v>
          </cell>
        </row>
        <row r="698">
          <cell r="O698">
            <v>0</v>
          </cell>
          <cell r="P698">
            <v>0</v>
          </cell>
          <cell r="V698">
            <v>0</v>
          </cell>
        </row>
        <row r="699">
          <cell r="O699">
            <v>2250000</v>
          </cell>
          <cell r="P699">
            <v>0</v>
          </cell>
          <cell r="V699">
            <v>0</v>
          </cell>
        </row>
        <row r="700">
          <cell r="O700">
            <v>454000</v>
          </cell>
          <cell r="P700">
            <v>0</v>
          </cell>
          <cell r="V700">
            <v>0</v>
          </cell>
        </row>
        <row r="701">
          <cell r="O701">
            <v>853000</v>
          </cell>
          <cell r="P701">
            <v>0</v>
          </cell>
          <cell r="V701">
            <v>0</v>
          </cell>
        </row>
        <row r="702">
          <cell r="O702">
            <v>390000</v>
          </cell>
          <cell r="P702">
            <v>0</v>
          </cell>
          <cell r="V702">
            <v>0</v>
          </cell>
        </row>
        <row r="706">
          <cell r="O706">
            <v>1037000</v>
          </cell>
          <cell r="P706">
            <v>0</v>
          </cell>
          <cell r="V706">
            <v>0</v>
          </cell>
        </row>
        <row r="707">
          <cell r="O707">
            <v>454000</v>
          </cell>
          <cell r="P707">
            <v>0</v>
          </cell>
          <cell r="V707">
            <v>0</v>
          </cell>
        </row>
        <row r="708">
          <cell r="O708">
            <v>410000</v>
          </cell>
          <cell r="P708">
            <v>0</v>
          </cell>
          <cell r="V708">
            <v>0</v>
          </cell>
        </row>
        <row r="709">
          <cell r="O709">
            <v>599000</v>
          </cell>
          <cell r="P709">
            <v>0</v>
          </cell>
          <cell r="V709">
            <v>0</v>
          </cell>
        </row>
        <row r="710">
          <cell r="O710">
            <v>3422000</v>
          </cell>
          <cell r="P710">
            <v>0</v>
          </cell>
          <cell r="V710">
            <v>0</v>
          </cell>
        </row>
        <row r="711">
          <cell r="O711">
            <v>34000</v>
          </cell>
          <cell r="P711">
            <v>0</v>
          </cell>
          <cell r="V711">
            <v>0</v>
          </cell>
        </row>
        <row r="712">
          <cell r="O712">
            <v>55000</v>
          </cell>
          <cell r="P712">
            <v>0</v>
          </cell>
          <cell r="V712">
            <v>0</v>
          </cell>
        </row>
        <row r="713">
          <cell r="O713">
            <v>56000</v>
          </cell>
          <cell r="P713">
            <v>0</v>
          </cell>
          <cell r="V713">
            <v>0</v>
          </cell>
        </row>
        <row r="714">
          <cell r="O714">
            <v>34000</v>
          </cell>
          <cell r="P714">
            <v>0</v>
          </cell>
          <cell r="V714">
            <v>0</v>
          </cell>
        </row>
        <row r="715">
          <cell r="O715">
            <v>42000</v>
          </cell>
          <cell r="P715">
            <v>0</v>
          </cell>
          <cell r="V715">
            <v>0</v>
          </cell>
        </row>
        <row r="716">
          <cell r="O716">
            <v>55000</v>
          </cell>
          <cell r="P716">
            <v>0</v>
          </cell>
          <cell r="V716">
            <v>0</v>
          </cell>
        </row>
        <row r="717">
          <cell r="O717">
            <v>56000</v>
          </cell>
          <cell r="P717">
            <v>0</v>
          </cell>
          <cell r="V717">
            <v>0</v>
          </cell>
        </row>
        <row r="718">
          <cell r="O718">
            <v>95000</v>
          </cell>
          <cell r="P718">
            <v>0</v>
          </cell>
          <cell r="V718">
            <v>0</v>
          </cell>
        </row>
        <row r="719">
          <cell r="O719">
            <v>55000</v>
          </cell>
          <cell r="P719">
            <v>0</v>
          </cell>
          <cell r="V719">
            <v>0</v>
          </cell>
        </row>
        <row r="720">
          <cell r="O720">
            <v>36000</v>
          </cell>
          <cell r="P720">
            <v>0</v>
          </cell>
          <cell r="V720">
            <v>0</v>
          </cell>
        </row>
        <row r="721">
          <cell r="O721">
            <v>55000</v>
          </cell>
          <cell r="P721">
            <v>0</v>
          </cell>
          <cell r="V721">
            <v>0</v>
          </cell>
        </row>
        <row r="722">
          <cell r="O722">
            <v>56000</v>
          </cell>
          <cell r="P722">
            <v>0</v>
          </cell>
          <cell r="V722">
            <v>0</v>
          </cell>
        </row>
        <row r="724">
          <cell r="O724">
            <v>12900</v>
          </cell>
          <cell r="P724">
            <v>12695</v>
          </cell>
          <cell r="V724">
            <v>254</v>
          </cell>
        </row>
        <row r="725">
          <cell r="O725">
            <v>0</v>
          </cell>
          <cell r="P725">
            <v>0</v>
          </cell>
          <cell r="V725">
            <v>0</v>
          </cell>
        </row>
        <row r="726">
          <cell r="O726">
            <v>0</v>
          </cell>
          <cell r="P726">
            <v>0</v>
          </cell>
          <cell r="V726">
            <v>0</v>
          </cell>
        </row>
        <row r="727">
          <cell r="O727">
            <v>0</v>
          </cell>
          <cell r="P727">
            <v>0</v>
          </cell>
          <cell r="V727">
            <v>0</v>
          </cell>
        </row>
        <row r="728">
          <cell r="O728">
            <v>35121</v>
          </cell>
          <cell r="P728">
            <v>30354</v>
          </cell>
          <cell r="V728">
            <v>0</v>
          </cell>
        </row>
        <row r="729">
          <cell r="O729">
            <v>50248</v>
          </cell>
          <cell r="P729">
            <v>33325</v>
          </cell>
          <cell r="V729">
            <v>0</v>
          </cell>
        </row>
        <row r="730">
          <cell r="O730">
            <v>32927</v>
          </cell>
          <cell r="P730">
            <v>33325</v>
          </cell>
          <cell r="V730">
            <v>0</v>
          </cell>
        </row>
        <row r="731">
          <cell r="O731">
            <v>32927</v>
          </cell>
          <cell r="P731">
            <v>33325</v>
          </cell>
          <cell r="V731">
            <v>0</v>
          </cell>
        </row>
        <row r="732">
          <cell r="O732">
            <v>34984</v>
          </cell>
          <cell r="P732">
            <v>33325</v>
          </cell>
          <cell r="V732">
            <v>0</v>
          </cell>
        </row>
        <row r="733">
          <cell r="O733">
            <v>25142</v>
          </cell>
          <cell r="P733">
            <v>30354</v>
          </cell>
          <cell r="V733">
            <v>0</v>
          </cell>
        </row>
        <row r="734">
          <cell r="O734">
            <v>33596</v>
          </cell>
          <cell r="P734">
            <v>33325</v>
          </cell>
          <cell r="V734">
            <v>0</v>
          </cell>
        </row>
        <row r="735">
          <cell r="O735">
            <v>17485</v>
          </cell>
          <cell r="P735">
            <v>19361</v>
          </cell>
          <cell r="V735">
            <v>0</v>
          </cell>
        </row>
        <row r="736">
          <cell r="O736">
            <v>0</v>
          </cell>
          <cell r="P736">
            <v>0</v>
          </cell>
          <cell r="V736">
            <v>0</v>
          </cell>
        </row>
        <row r="737">
          <cell r="O737">
            <v>0</v>
          </cell>
          <cell r="P737">
            <v>0</v>
          </cell>
          <cell r="V737">
            <v>0</v>
          </cell>
        </row>
        <row r="744">
          <cell r="O744">
            <v>980000</v>
          </cell>
          <cell r="P744">
            <v>0</v>
          </cell>
          <cell r="V744">
            <v>0</v>
          </cell>
        </row>
        <row r="745">
          <cell r="O745">
            <v>101700</v>
          </cell>
          <cell r="P745">
            <v>0</v>
          </cell>
          <cell r="V745">
            <v>0</v>
          </cell>
        </row>
        <row r="746">
          <cell r="O746">
            <v>33000</v>
          </cell>
          <cell r="P746">
            <v>0</v>
          </cell>
          <cell r="V746">
            <v>0</v>
          </cell>
        </row>
        <row r="747">
          <cell r="O747">
            <v>41000</v>
          </cell>
          <cell r="P747">
            <v>0</v>
          </cell>
          <cell r="V747">
            <v>0</v>
          </cell>
        </row>
        <row r="748">
          <cell r="O748">
            <v>35700</v>
          </cell>
          <cell r="P748">
            <v>0</v>
          </cell>
          <cell r="V748">
            <v>0</v>
          </cell>
        </row>
        <row r="749">
          <cell r="O749">
            <v>54500</v>
          </cell>
          <cell r="P749">
            <v>0</v>
          </cell>
          <cell r="V749">
            <v>0</v>
          </cell>
        </row>
        <row r="750">
          <cell r="O750">
            <v>59500</v>
          </cell>
          <cell r="P750">
            <v>0</v>
          </cell>
          <cell r="V750">
            <v>0</v>
          </cell>
        </row>
        <row r="751">
          <cell r="O751">
            <v>94700</v>
          </cell>
          <cell r="P751">
            <v>0</v>
          </cell>
          <cell r="V751">
            <v>0</v>
          </cell>
        </row>
        <row r="752">
          <cell r="O752">
            <v>65475</v>
          </cell>
          <cell r="P752">
            <v>0</v>
          </cell>
          <cell r="V752">
            <v>0</v>
          </cell>
        </row>
        <row r="753">
          <cell r="O753">
            <v>55496</v>
          </cell>
          <cell r="P753">
            <v>0</v>
          </cell>
          <cell r="V753">
            <v>0</v>
          </cell>
        </row>
        <row r="754">
          <cell r="O754">
            <v>36846</v>
          </cell>
          <cell r="P754">
            <v>0</v>
          </cell>
          <cell r="V754">
            <v>0</v>
          </cell>
        </row>
        <row r="755">
          <cell r="O755">
            <v>66252</v>
          </cell>
          <cell r="P755">
            <v>0</v>
          </cell>
          <cell r="V755">
            <v>0</v>
          </cell>
        </row>
        <row r="760">
          <cell r="O760">
            <v>0</v>
          </cell>
          <cell r="P760">
            <v>0</v>
          </cell>
          <cell r="V760">
            <v>0</v>
          </cell>
        </row>
        <row r="761">
          <cell r="O761">
            <v>7500</v>
          </cell>
          <cell r="P761">
            <v>0</v>
          </cell>
          <cell r="V761">
            <v>0</v>
          </cell>
        </row>
        <row r="762">
          <cell r="O762">
            <v>9500</v>
          </cell>
          <cell r="P762">
            <v>0</v>
          </cell>
          <cell r="V762">
            <v>0</v>
          </cell>
        </row>
        <row r="763">
          <cell r="O763">
            <v>9500</v>
          </cell>
          <cell r="P763">
            <v>0</v>
          </cell>
          <cell r="V763">
            <v>0</v>
          </cell>
        </row>
        <row r="764">
          <cell r="O764">
            <v>23000</v>
          </cell>
          <cell r="P764">
            <v>0</v>
          </cell>
          <cell r="V764">
            <v>0</v>
          </cell>
        </row>
        <row r="765">
          <cell r="O765">
            <v>76000</v>
          </cell>
          <cell r="P765">
            <v>0</v>
          </cell>
          <cell r="V765">
            <v>0</v>
          </cell>
        </row>
        <row r="766">
          <cell r="O766">
            <v>7500</v>
          </cell>
          <cell r="P766">
            <v>0</v>
          </cell>
          <cell r="V766">
            <v>0</v>
          </cell>
        </row>
        <row r="767">
          <cell r="O767">
            <v>7500</v>
          </cell>
          <cell r="P767">
            <v>0</v>
          </cell>
          <cell r="V767">
            <v>0</v>
          </cell>
        </row>
        <row r="768">
          <cell r="O768">
            <v>7500</v>
          </cell>
          <cell r="P768">
            <v>0</v>
          </cell>
          <cell r="V768">
            <v>0</v>
          </cell>
        </row>
        <row r="769">
          <cell r="O769">
            <v>13000</v>
          </cell>
          <cell r="P769">
            <v>0</v>
          </cell>
          <cell r="V769">
            <v>0</v>
          </cell>
        </row>
        <row r="770">
          <cell r="O770">
            <v>15000</v>
          </cell>
          <cell r="P770">
            <v>0</v>
          </cell>
          <cell r="V770">
            <v>0</v>
          </cell>
        </row>
        <row r="771">
          <cell r="O771">
            <v>62000</v>
          </cell>
          <cell r="P771">
            <v>0</v>
          </cell>
          <cell r="V771">
            <v>0</v>
          </cell>
        </row>
        <row r="772">
          <cell r="O772">
            <v>33000</v>
          </cell>
          <cell r="P772">
            <v>0</v>
          </cell>
          <cell r="V772">
            <v>0</v>
          </cell>
        </row>
        <row r="773">
          <cell r="O773">
            <v>55000</v>
          </cell>
          <cell r="P773">
            <v>0</v>
          </cell>
          <cell r="V773">
            <v>0</v>
          </cell>
        </row>
        <row r="774">
          <cell r="O774">
            <v>90000</v>
          </cell>
          <cell r="P774">
            <v>0</v>
          </cell>
          <cell r="V774">
            <v>0</v>
          </cell>
        </row>
        <row r="775">
          <cell r="O775">
            <v>76000</v>
          </cell>
          <cell r="P775">
            <v>0</v>
          </cell>
          <cell r="V775">
            <v>0</v>
          </cell>
        </row>
        <row r="776">
          <cell r="O776">
            <v>123000</v>
          </cell>
          <cell r="P776">
            <v>0</v>
          </cell>
          <cell r="V776">
            <v>0</v>
          </cell>
        </row>
        <row r="777">
          <cell r="O777">
            <v>27000</v>
          </cell>
          <cell r="P777">
            <v>0</v>
          </cell>
          <cell r="V777">
            <v>0</v>
          </cell>
        </row>
        <row r="778">
          <cell r="O778">
            <v>100000</v>
          </cell>
          <cell r="P778">
            <v>0</v>
          </cell>
          <cell r="V778">
            <v>0</v>
          </cell>
        </row>
        <row r="779">
          <cell r="O779">
            <v>0</v>
          </cell>
          <cell r="P779">
            <v>0</v>
          </cell>
          <cell r="V779">
            <v>0</v>
          </cell>
        </row>
        <row r="780">
          <cell r="O780">
            <v>0</v>
          </cell>
          <cell r="P780">
            <v>0</v>
          </cell>
          <cell r="V780">
            <v>0</v>
          </cell>
        </row>
        <row r="781">
          <cell r="O781">
            <v>234208</v>
          </cell>
          <cell r="P781">
            <v>0</v>
          </cell>
          <cell r="V781">
            <v>0</v>
          </cell>
        </row>
        <row r="782">
          <cell r="O782">
            <v>224786</v>
          </cell>
          <cell r="P782">
            <v>0</v>
          </cell>
          <cell r="V782">
            <v>0</v>
          </cell>
        </row>
        <row r="783">
          <cell r="O783">
            <v>219677</v>
          </cell>
          <cell r="P783">
            <v>0</v>
          </cell>
          <cell r="V783">
            <v>0</v>
          </cell>
        </row>
        <row r="784">
          <cell r="O784">
            <v>306525</v>
          </cell>
          <cell r="P784">
            <v>0</v>
          </cell>
          <cell r="V784">
            <v>0</v>
          </cell>
        </row>
        <row r="785">
          <cell r="O785">
            <v>0</v>
          </cell>
          <cell r="P785">
            <v>0</v>
          </cell>
          <cell r="V785">
            <v>0</v>
          </cell>
        </row>
        <row r="786">
          <cell r="O786">
            <v>353235</v>
          </cell>
          <cell r="P786">
            <v>0</v>
          </cell>
          <cell r="V786">
            <v>0</v>
          </cell>
        </row>
        <row r="787">
          <cell r="O787">
            <v>0</v>
          </cell>
          <cell r="P787">
            <v>0</v>
          </cell>
          <cell r="V787">
            <v>0</v>
          </cell>
        </row>
        <row r="788">
          <cell r="O788">
            <v>204350</v>
          </cell>
          <cell r="P788">
            <v>0</v>
          </cell>
          <cell r="V788">
            <v>0</v>
          </cell>
        </row>
        <row r="789">
          <cell r="O789">
            <v>224786</v>
          </cell>
          <cell r="P789">
            <v>0</v>
          </cell>
          <cell r="V789">
            <v>0</v>
          </cell>
        </row>
        <row r="790">
          <cell r="O790">
            <v>0</v>
          </cell>
          <cell r="P790">
            <v>0</v>
          </cell>
          <cell r="V790">
            <v>0</v>
          </cell>
        </row>
        <row r="791">
          <cell r="O791">
            <v>0</v>
          </cell>
          <cell r="P791">
            <v>0</v>
          </cell>
          <cell r="V791">
            <v>0</v>
          </cell>
        </row>
        <row r="792">
          <cell r="O792">
            <v>353235</v>
          </cell>
          <cell r="P792">
            <v>0</v>
          </cell>
          <cell r="V792">
            <v>0</v>
          </cell>
        </row>
        <row r="793">
          <cell r="O793">
            <v>0</v>
          </cell>
          <cell r="P793">
            <v>0</v>
          </cell>
          <cell r="V793">
            <v>0</v>
          </cell>
        </row>
        <row r="794">
          <cell r="O794">
            <v>7050000</v>
          </cell>
          <cell r="P794">
            <v>0</v>
          </cell>
          <cell r="V794">
            <v>0</v>
          </cell>
        </row>
        <row r="795">
          <cell r="O795">
            <v>0</v>
          </cell>
          <cell r="P795">
            <v>0</v>
          </cell>
          <cell r="V795">
            <v>0</v>
          </cell>
        </row>
        <row r="796">
          <cell r="O796">
            <v>50000</v>
          </cell>
          <cell r="P796">
            <v>0</v>
          </cell>
          <cell r="V796">
            <v>0</v>
          </cell>
        </row>
        <row r="797">
          <cell r="O797">
            <v>803756</v>
          </cell>
          <cell r="P797">
            <v>0</v>
          </cell>
          <cell r="V797">
            <v>0</v>
          </cell>
        </row>
        <row r="798">
          <cell r="O798">
            <v>160000</v>
          </cell>
          <cell r="P798">
            <v>0</v>
          </cell>
          <cell r="V798">
            <v>0</v>
          </cell>
        </row>
        <row r="799">
          <cell r="O799">
            <v>9000</v>
          </cell>
          <cell r="P799">
            <v>0</v>
          </cell>
          <cell r="V799">
            <v>0</v>
          </cell>
        </row>
        <row r="800">
          <cell r="O800">
            <v>0</v>
          </cell>
          <cell r="P800">
            <v>9730</v>
          </cell>
          <cell r="V800">
            <v>2258</v>
          </cell>
        </row>
        <row r="815">
          <cell r="O815">
            <v>0</v>
          </cell>
          <cell r="P815">
            <v>0</v>
          </cell>
          <cell r="V815">
            <v>0</v>
          </cell>
        </row>
        <row r="816">
          <cell r="O816">
            <v>0</v>
          </cell>
          <cell r="P816">
            <v>0</v>
          </cell>
          <cell r="V816">
            <v>0</v>
          </cell>
        </row>
        <row r="817">
          <cell r="O817">
            <v>16100</v>
          </cell>
          <cell r="P817">
            <v>0</v>
          </cell>
          <cell r="V817">
            <v>0</v>
          </cell>
        </row>
        <row r="818">
          <cell r="O818">
            <v>32000</v>
          </cell>
          <cell r="P818">
            <v>0</v>
          </cell>
          <cell r="V818">
            <v>0</v>
          </cell>
        </row>
        <row r="819">
          <cell r="O819">
            <v>0</v>
          </cell>
          <cell r="P819">
            <v>0</v>
          </cell>
          <cell r="V819">
            <v>0</v>
          </cell>
        </row>
        <row r="820">
          <cell r="O820">
            <v>0</v>
          </cell>
          <cell r="P820">
            <v>0</v>
          </cell>
          <cell r="V820">
            <v>0</v>
          </cell>
        </row>
        <row r="821">
          <cell r="O821">
            <v>0</v>
          </cell>
          <cell r="P821">
            <v>0</v>
          </cell>
          <cell r="V821">
            <v>0</v>
          </cell>
        </row>
        <row r="822">
          <cell r="O822">
            <v>72410</v>
          </cell>
          <cell r="P822">
            <v>0</v>
          </cell>
          <cell r="V822">
            <v>0</v>
          </cell>
        </row>
        <row r="823">
          <cell r="O823">
            <v>11960</v>
          </cell>
          <cell r="P823">
            <v>0</v>
          </cell>
          <cell r="V823">
            <v>0</v>
          </cell>
        </row>
        <row r="824">
          <cell r="O824">
            <v>1500000</v>
          </cell>
          <cell r="P824">
            <v>0</v>
          </cell>
          <cell r="V824">
            <v>0</v>
          </cell>
        </row>
        <row r="825">
          <cell r="O825">
            <v>1200000</v>
          </cell>
          <cell r="P825">
            <v>0</v>
          </cell>
          <cell r="V825">
            <v>0</v>
          </cell>
        </row>
        <row r="826">
          <cell r="O826">
            <v>800000</v>
          </cell>
          <cell r="P826">
            <v>0</v>
          </cell>
          <cell r="V826">
            <v>0</v>
          </cell>
        </row>
        <row r="827">
          <cell r="O827">
            <v>728000</v>
          </cell>
          <cell r="P827">
            <v>0</v>
          </cell>
          <cell r="V827">
            <v>0</v>
          </cell>
        </row>
        <row r="828">
          <cell r="O828">
            <v>728000</v>
          </cell>
          <cell r="P828">
            <v>0</v>
          </cell>
          <cell r="V828">
            <v>0</v>
          </cell>
        </row>
        <row r="829">
          <cell r="O829">
            <v>800000</v>
          </cell>
          <cell r="P829">
            <v>0</v>
          </cell>
          <cell r="V829">
            <v>0</v>
          </cell>
        </row>
        <row r="830">
          <cell r="O830">
            <v>73000</v>
          </cell>
          <cell r="P830">
            <v>0</v>
          </cell>
          <cell r="V830">
            <v>0</v>
          </cell>
        </row>
        <row r="831">
          <cell r="O831">
            <v>100000</v>
          </cell>
          <cell r="P831">
            <v>0</v>
          </cell>
          <cell r="V831">
            <v>0</v>
          </cell>
        </row>
        <row r="832">
          <cell r="O832">
            <v>0</v>
          </cell>
          <cell r="P832">
            <v>0</v>
          </cell>
          <cell r="V832">
            <v>0</v>
          </cell>
        </row>
        <row r="833">
          <cell r="O833">
            <v>0</v>
          </cell>
          <cell r="P833">
            <v>0</v>
          </cell>
          <cell r="V833">
            <v>0</v>
          </cell>
        </row>
        <row r="834">
          <cell r="O834">
            <v>0</v>
          </cell>
          <cell r="P834">
            <v>0</v>
          </cell>
          <cell r="V834">
            <v>0</v>
          </cell>
        </row>
        <row r="835">
          <cell r="O835">
            <v>0</v>
          </cell>
          <cell r="P835">
            <v>0</v>
          </cell>
          <cell r="V835">
            <v>0</v>
          </cell>
        </row>
        <row r="836">
          <cell r="O836">
            <v>0</v>
          </cell>
          <cell r="P836">
            <v>0</v>
          </cell>
          <cell r="V836">
            <v>0</v>
          </cell>
        </row>
        <row r="837">
          <cell r="O837">
            <v>0</v>
          </cell>
          <cell r="P837">
            <v>0</v>
          </cell>
          <cell r="V837">
            <v>0</v>
          </cell>
        </row>
        <row r="838">
          <cell r="O838">
            <v>0</v>
          </cell>
          <cell r="P838">
            <v>0</v>
          </cell>
          <cell r="V838">
            <v>0</v>
          </cell>
        </row>
        <row r="839">
          <cell r="O839">
            <v>0</v>
          </cell>
          <cell r="P839">
            <v>0</v>
          </cell>
          <cell r="V839">
            <v>0</v>
          </cell>
        </row>
        <row r="840">
          <cell r="O840">
            <v>28000</v>
          </cell>
          <cell r="P840">
            <v>6828</v>
          </cell>
          <cell r="V840">
            <v>672</v>
          </cell>
        </row>
        <row r="841">
          <cell r="O841">
            <v>0</v>
          </cell>
          <cell r="P841">
            <v>0</v>
          </cell>
          <cell r="V841">
            <v>0</v>
          </cell>
        </row>
        <row r="842">
          <cell r="O842">
            <v>0</v>
          </cell>
          <cell r="P842">
            <v>0</v>
          </cell>
          <cell r="V842">
            <v>0</v>
          </cell>
        </row>
        <row r="843">
          <cell r="O843">
            <v>0</v>
          </cell>
          <cell r="P843">
            <v>0</v>
          </cell>
          <cell r="V843">
            <v>0</v>
          </cell>
        </row>
        <row r="844">
          <cell r="O844">
            <v>0</v>
          </cell>
          <cell r="P844">
            <v>0</v>
          </cell>
          <cell r="V844">
            <v>0</v>
          </cell>
        </row>
        <row r="845">
          <cell r="O845">
            <v>0</v>
          </cell>
          <cell r="P845">
            <v>0</v>
          </cell>
          <cell r="V845">
            <v>0</v>
          </cell>
        </row>
        <row r="846">
          <cell r="O846">
            <v>0</v>
          </cell>
          <cell r="P846">
            <v>0</v>
          </cell>
          <cell r="V846">
            <v>0</v>
          </cell>
        </row>
        <row r="847">
          <cell r="O847">
            <v>0</v>
          </cell>
          <cell r="P847">
            <v>0</v>
          </cell>
          <cell r="V847">
            <v>0</v>
          </cell>
        </row>
        <row r="848">
          <cell r="O848">
            <v>0</v>
          </cell>
          <cell r="P848">
            <v>0</v>
          </cell>
          <cell r="V848">
            <v>0</v>
          </cell>
        </row>
        <row r="849">
          <cell r="O849">
            <v>0</v>
          </cell>
          <cell r="P849">
            <v>0</v>
          </cell>
          <cell r="V849">
            <v>0</v>
          </cell>
        </row>
        <row r="850">
          <cell r="O850">
            <v>0</v>
          </cell>
          <cell r="P850">
            <v>0</v>
          </cell>
          <cell r="V850">
            <v>0</v>
          </cell>
        </row>
        <row r="851">
          <cell r="O851">
            <v>0</v>
          </cell>
          <cell r="P851">
            <v>0</v>
          </cell>
          <cell r="V851">
            <v>0</v>
          </cell>
        </row>
        <row r="852">
          <cell r="O852">
            <v>0</v>
          </cell>
          <cell r="P852">
            <v>0</v>
          </cell>
          <cell r="V852">
            <v>0</v>
          </cell>
        </row>
        <row r="853">
          <cell r="O853">
            <v>0</v>
          </cell>
          <cell r="P853">
            <v>0</v>
          </cell>
          <cell r="V853">
            <v>0</v>
          </cell>
        </row>
        <row r="854">
          <cell r="O854">
            <v>0</v>
          </cell>
          <cell r="P854">
            <v>0</v>
          </cell>
          <cell r="V854">
            <v>0</v>
          </cell>
        </row>
        <row r="855">
          <cell r="O855">
            <v>0</v>
          </cell>
          <cell r="P855">
            <v>0</v>
          </cell>
          <cell r="V855">
            <v>0</v>
          </cell>
        </row>
        <row r="856">
          <cell r="O856">
            <v>0</v>
          </cell>
          <cell r="P856">
            <v>0</v>
          </cell>
          <cell r="V856">
            <v>0</v>
          </cell>
        </row>
        <row r="857">
          <cell r="O857">
            <v>7920</v>
          </cell>
          <cell r="P857">
            <v>5151</v>
          </cell>
          <cell r="V857">
            <v>0</v>
          </cell>
        </row>
        <row r="858">
          <cell r="O858">
            <v>0</v>
          </cell>
          <cell r="P858">
            <v>0</v>
          </cell>
          <cell r="V858">
            <v>0</v>
          </cell>
        </row>
        <row r="859">
          <cell r="O859">
            <v>0</v>
          </cell>
          <cell r="P859">
            <v>0</v>
          </cell>
          <cell r="V859">
            <v>0</v>
          </cell>
        </row>
        <row r="860">
          <cell r="O860">
            <v>28000</v>
          </cell>
          <cell r="P860">
            <v>6828</v>
          </cell>
          <cell r="V860">
            <v>672</v>
          </cell>
        </row>
        <row r="868">
          <cell r="O868">
            <v>25000</v>
          </cell>
          <cell r="P868">
            <v>0</v>
          </cell>
          <cell r="V868">
            <v>0</v>
          </cell>
        </row>
        <row r="869">
          <cell r="O869">
            <v>33000</v>
          </cell>
          <cell r="P869">
            <v>0</v>
          </cell>
          <cell r="V869">
            <v>0</v>
          </cell>
        </row>
        <row r="870">
          <cell r="O870">
            <v>0</v>
          </cell>
          <cell r="P870">
            <v>0</v>
          </cell>
          <cell r="V870">
            <v>0</v>
          </cell>
        </row>
        <row r="871">
          <cell r="O871">
            <v>0</v>
          </cell>
          <cell r="P871">
            <v>0</v>
          </cell>
          <cell r="V871">
            <v>0</v>
          </cell>
        </row>
        <row r="872">
          <cell r="O872">
            <v>32000</v>
          </cell>
          <cell r="P872">
            <v>0</v>
          </cell>
          <cell r="V872">
            <v>0</v>
          </cell>
        </row>
        <row r="873">
          <cell r="O873">
            <v>7920</v>
          </cell>
          <cell r="P873">
            <v>0</v>
          </cell>
          <cell r="V873">
            <v>0</v>
          </cell>
        </row>
        <row r="874">
          <cell r="O874">
            <v>0</v>
          </cell>
          <cell r="P874">
            <v>0</v>
          </cell>
          <cell r="V874">
            <v>0</v>
          </cell>
        </row>
        <row r="875">
          <cell r="O875">
            <v>0</v>
          </cell>
          <cell r="P875">
            <v>0</v>
          </cell>
          <cell r="V875">
            <v>0</v>
          </cell>
        </row>
        <row r="876">
          <cell r="O876">
            <v>28000</v>
          </cell>
          <cell r="P876">
            <v>0</v>
          </cell>
          <cell r="V876">
            <v>0</v>
          </cell>
        </row>
        <row r="878">
          <cell r="O878">
            <v>0</v>
          </cell>
          <cell r="P878">
            <v>0</v>
          </cell>
          <cell r="V878">
            <v>0</v>
          </cell>
        </row>
        <row r="879">
          <cell r="O879">
            <v>22083</v>
          </cell>
          <cell r="P879">
            <v>5001</v>
          </cell>
          <cell r="V879">
            <v>0</v>
          </cell>
        </row>
        <row r="880">
          <cell r="O880">
            <v>19441</v>
          </cell>
          <cell r="P880">
            <v>6669</v>
          </cell>
          <cell r="V880">
            <v>0</v>
          </cell>
        </row>
        <row r="881">
          <cell r="O881">
            <v>32918</v>
          </cell>
          <cell r="P881">
            <v>7813</v>
          </cell>
          <cell r="V881">
            <v>0</v>
          </cell>
        </row>
        <row r="882">
          <cell r="O882">
            <v>32918</v>
          </cell>
          <cell r="P882">
            <v>8855</v>
          </cell>
          <cell r="V882">
            <v>0</v>
          </cell>
        </row>
        <row r="883">
          <cell r="O883">
            <v>15995</v>
          </cell>
          <cell r="P883">
            <v>5151</v>
          </cell>
          <cell r="V883">
            <v>0</v>
          </cell>
        </row>
        <row r="884">
          <cell r="O884">
            <v>15995</v>
          </cell>
          <cell r="P884">
            <v>5151</v>
          </cell>
          <cell r="V884">
            <v>0</v>
          </cell>
        </row>
        <row r="885">
          <cell r="O885">
            <v>15995</v>
          </cell>
          <cell r="P885">
            <v>5151</v>
          </cell>
          <cell r="V885">
            <v>0</v>
          </cell>
        </row>
        <row r="886">
          <cell r="O886">
            <v>2250</v>
          </cell>
          <cell r="P886">
            <v>7836</v>
          </cell>
          <cell r="V886">
            <v>0</v>
          </cell>
        </row>
        <row r="887">
          <cell r="O887">
            <v>2250</v>
          </cell>
          <cell r="P887">
            <v>7836</v>
          </cell>
          <cell r="V887">
            <v>0</v>
          </cell>
        </row>
        <row r="888">
          <cell r="O888">
            <v>22083</v>
          </cell>
          <cell r="P888">
            <v>5001</v>
          </cell>
          <cell r="V888">
            <v>0</v>
          </cell>
        </row>
        <row r="889">
          <cell r="O889">
            <v>0</v>
          </cell>
          <cell r="P889">
            <v>0</v>
          </cell>
          <cell r="V889">
            <v>0</v>
          </cell>
        </row>
        <row r="890">
          <cell r="O890">
            <v>0</v>
          </cell>
          <cell r="P890">
            <v>0</v>
          </cell>
          <cell r="V890">
            <v>0</v>
          </cell>
        </row>
        <row r="891">
          <cell r="O891">
            <v>0</v>
          </cell>
          <cell r="P891">
            <v>0</v>
          </cell>
          <cell r="V891">
            <v>0</v>
          </cell>
        </row>
        <row r="892">
          <cell r="O892">
            <v>0</v>
          </cell>
          <cell r="P892">
            <v>0</v>
          </cell>
          <cell r="V892">
            <v>0</v>
          </cell>
        </row>
        <row r="893">
          <cell r="O893">
            <v>0</v>
          </cell>
          <cell r="P893">
            <v>0</v>
          </cell>
          <cell r="V893">
            <v>0</v>
          </cell>
        </row>
        <row r="894">
          <cell r="O894">
            <v>0</v>
          </cell>
          <cell r="P894">
            <v>0</v>
          </cell>
          <cell r="V894">
            <v>0</v>
          </cell>
        </row>
        <row r="895">
          <cell r="O895">
            <v>0</v>
          </cell>
          <cell r="P895">
            <v>0</v>
          </cell>
          <cell r="V895">
            <v>1521100</v>
          </cell>
        </row>
        <row r="896">
          <cell r="O896">
            <v>0</v>
          </cell>
          <cell r="P896">
            <v>0</v>
          </cell>
          <cell r="V896">
            <v>0</v>
          </cell>
        </row>
        <row r="897">
          <cell r="O897">
            <v>0</v>
          </cell>
          <cell r="P897">
            <v>0</v>
          </cell>
          <cell r="V897">
            <v>0</v>
          </cell>
        </row>
        <row r="898">
          <cell r="O898">
            <v>8000</v>
          </cell>
          <cell r="P898">
            <v>0</v>
          </cell>
          <cell r="V898">
            <v>0</v>
          </cell>
        </row>
        <row r="899">
          <cell r="O899">
            <v>390000</v>
          </cell>
          <cell r="P899">
            <v>0</v>
          </cell>
          <cell r="V899">
            <v>0</v>
          </cell>
        </row>
        <row r="900">
          <cell r="O900">
            <v>599000</v>
          </cell>
          <cell r="P900">
            <v>0</v>
          </cell>
          <cell r="V900">
            <v>0</v>
          </cell>
        </row>
        <row r="901">
          <cell r="O901">
            <v>1369000</v>
          </cell>
          <cell r="P901">
            <v>0</v>
          </cell>
          <cell r="V901">
            <v>0</v>
          </cell>
        </row>
        <row r="902">
          <cell r="O902">
            <v>853000</v>
          </cell>
          <cell r="P902">
            <v>0</v>
          </cell>
          <cell r="V902">
            <v>0</v>
          </cell>
        </row>
        <row r="903">
          <cell r="O903">
            <v>426000</v>
          </cell>
          <cell r="P903">
            <v>0</v>
          </cell>
          <cell r="V903">
            <v>0</v>
          </cell>
        </row>
        <row r="904">
          <cell r="O904">
            <v>636700</v>
          </cell>
          <cell r="P904">
            <v>0</v>
          </cell>
          <cell r="V904">
            <v>0</v>
          </cell>
        </row>
        <row r="905">
          <cell r="O905">
            <v>599000</v>
          </cell>
          <cell r="P905">
            <v>0</v>
          </cell>
          <cell r="V905">
            <v>0</v>
          </cell>
        </row>
        <row r="906">
          <cell r="O906">
            <v>4611000</v>
          </cell>
          <cell r="P906">
            <v>0</v>
          </cell>
          <cell r="V906">
            <v>0</v>
          </cell>
        </row>
        <row r="907">
          <cell r="O907">
            <v>4666000</v>
          </cell>
          <cell r="P907">
            <v>0</v>
          </cell>
          <cell r="V907">
            <v>0</v>
          </cell>
        </row>
        <row r="908">
          <cell r="O908">
            <v>0</v>
          </cell>
          <cell r="P908">
            <v>0</v>
          </cell>
          <cell r="V908">
            <v>0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7504B-6821-438C-B9C3-9511EB60B29D}">
  <dimension ref="A1:AV2458"/>
  <sheetViews>
    <sheetView tabSelected="1" workbookViewId="0">
      <selection activeCell="C4" sqref="C4"/>
    </sheetView>
  </sheetViews>
  <sheetFormatPr defaultRowHeight="16.5" x14ac:dyDescent="0.3"/>
  <cols>
    <col min="1" max="2" width="30.625" customWidth="1"/>
    <col min="3" max="3" width="4.625" customWidth="1"/>
    <col min="4" max="4" width="8.625" customWidth="1"/>
    <col min="5" max="12" width="13.625" customWidth="1"/>
    <col min="13" max="13" width="12.625" customWidth="1"/>
    <col min="14" max="43" width="2.625" hidden="1" customWidth="1"/>
    <col min="44" max="44" width="10.625" hidden="1" customWidth="1"/>
    <col min="45" max="46" width="1.625" hidden="1" customWidth="1"/>
    <col min="47" max="47" width="24.625" hidden="1" customWidth="1"/>
    <col min="48" max="48" width="10.625" hidden="1" customWidth="1"/>
  </cols>
  <sheetData>
    <row r="1" spans="1:48" ht="30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48" ht="30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/>
      <c r="G2" s="2" t="s">
        <v>6</v>
      </c>
      <c r="H2" s="2"/>
      <c r="I2" s="2" t="s">
        <v>7</v>
      </c>
      <c r="J2" s="2"/>
      <c r="K2" s="2" t="s">
        <v>8</v>
      </c>
      <c r="L2" s="2"/>
      <c r="M2" s="2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39</v>
      </c>
      <c r="AR2" s="1" t="s">
        <v>40</v>
      </c>
      <c r="AS2" s="1" t="s">
        <v>41</v>
      </c>
      <c r="AT2" s="1" t="s">
        <v>42</v>
      </c>
      <c r="AU2" s="1" t="s">
        <v>43</v>
      </c>
      <c r="AV2" s="1" t="s">
        <v>44</v>
      </c>
    </row>
    <row r="3" spans="1:48" ht="30" customHeight="1" x14ac:dyDescent="0.3">
      <c r="A3" s="2"/>
      <c r="B3" s="2"/>
      <c r="C3" s="2"/>
      <c r="D3" s="2"/>
      <c r="E3" s="3" t="s">
        <v>45</v>
      </c>
      <c r="F3" s="3" t="s">
        <v>46</v>
      </c>
      <c r="G3" s="3" t="s">
        <v>45</v>
      </c>
      <c r="H3" s="3" t="s">
        <v>46</v>
      </c>
      <c r="I3" s="3" t="s">
        <v>45</v>
      </c>
      <c r="J3" s="3" t="s">
        <v>46</v>
      </c>
      <c r="K3" s="3" t="s">
        <v>45</v>
      </c>
      <c r="L3" s="3" t="s">
        <v>46</v>
      </c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 x14ac:dyDescent="0.3">
      <c r="A4" s="4" t="s">
        <v>47</v>
      </c>
      <c r="B4" s="4" t="s">
        <v>48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Q4" s="6" t="s">
        <v>49</v>
      </c>
    </row>
    <row r="5" spans="1:48" ht="30" customHeight="1" x14ac:dyDescent="0.3">
      <c r="A5" s="4" t="s">
        <v>50</v>
      </c>
      <c r="B5" s="4" t="s">
        <v>51</v>
      </c>
      <c r="C5" s="4" t="s">
        <v>52</v>
      </c>
      <c r="D5" s="5">
        <v>990</v>
      </c>
      <c r="E5" s="7">
        <f>TRUNC([1]단가대비표!O196,0)</f>
        <v>0</v>
      </c>
      <c r="F5" s="7">
        <f t="shared" ref="F5:F20" si="0">TRUNC(E5*D5, 0)</f>
        <v>0</v>
      </c>
      <c r="G5" s="7">
        <f>TRUNC([1]단가대비표!P196,0)</f>
        <v>0</v>
      </c>
      <c r="H5" s="7">
        <f t="shared" ref="H5:H20" si="1">TRUNC(G5*D5, 0)</f>
        <v>0</v>
      </c>
      <c r="I5" s="7">
        <f>TRUNC([1]단가대비표!V196,0)</f>
        <v>22749</v>
      </c>
      <c r="J5" s="7">
        <f t="shared" ref="J5:J20" si="2">TRUNC(I5*D5, 0)</f>
        <v>22521510</v>
      </c>
      <c r="K5" s="7">
        <f t="shared" ref="K5:L20" si="3">TRUNC(E5+G5+I5, 0)</f>
        <v>22749</v>
      </c>
      <c r="L5" s="7">
        <f t="shared" si="3"/>
        <v>22521510</v>
      </c>
      <c r="M5" s="4" t="s">
        <v>53</v>
      </c>
      <c r="N5" s="6" t="s">
        <v>54</v>
      </c>
      <c r="O5" s="6" t="s">
        <v>55</v>
      </c>
      <c r="P5" s="6" t="s">
        <v>55</v>
      </c>
      <c r="Q5" s="6" t="s">
        <v>49</v>
      </c>
      <c r="R5" s="6" t="s">
        <v>56</v>
      </c>
      <c r="S5" s="6" t="s">
        <v>56</v>
      </c>
      <c r="T5" s="6" t="s">
        <v>57</v>
      </c>
      <c r="AR5" s="6" t="s">
        <v>55</v>
      </c>
      <c r="AS5" s="6" t="s">
        <v>55</v>
      </c>
      <c r="AU5" s="6" t="s">
        <v>58</v>
      </c>
      <c r="AV5">
        <v>2929</v>
      </c>
    </row>
    <row r="6" spans="1:48" ht="30" customHeight="1" x14ac:dyDescent="0.3">
      <c r="A6" s="4" t="s">
        <v>59</v>
      </c>
      <c r="B6" s="4" t="s">
        <v>60</v>
      </c>
      <c r="C6" s="4" t="s">
        <v>61</v>
      </c>
      <c r="D6" s="5">
        <v>180</v>
      </c>
      <c r="E6" s="7">
        <f>TRUNC([1]일위대가목록!E4,0)</f>
        <v>0</v>
      </c>
      <c r="F6" s="7">
        <f t="shared" si="0"/>
        <v>0</v>
      </c>
      <c r="G6" s="7">
        <f>TRUNC([1]일위대가목록!F4,0)</f>
        <v>0</v>
      </c>
      <c r="H6" s="7">
        <f t="shared" si="1"/>
        <v>0</v>
      </c>
      <c r="I6" s="7">
        <f>TRUNC([1]일위대가목록!G4,0)</f>
        <v>124888</v>
      </c>
      <c r="J6" s="7">
        <f t="shared" si="2"/>
        <v>22479840</v>
      </c>
      <c r="K6" s="7">
        <f t="shared" si="3"/>
        <v>124888</v>
      </c>
      <c r="L6" s="7">
        <f t="shared" si="3"/>
        <v>22479840</v>
      </c>
      <c r="M6" s="4" t="s">
        <v>62</v>
      </c>
      <c r="N6" s="6" t="s">
        <v>63</v>
      </c>
      <c r="O6" s="6" t="s">
        <v>55</v>
      </c>
      <c r="P6" s="6" t="s">
        <v>55</v>
      </c>
      <c r="Q6" s="6" t="s">
        <v>49</v>
      </c>
      <c r="R6" s="6" t="s">
        <v>57</v>
      </c>
      <c r="S6" s="6" t="s">
        <v>56</v>
      </c>
      <c r="T6" s="6" t="s">
        <v>56</v>
      </c>
      <c r="AR6" s="6" t="s">
        <v>55</v>
      </c>
      <c r="AS6" s="6" t="s">
        <v>55</v>
      </c>
      <c r="AU6" s="6" t="s">
        <v>64</v>
      </c>
      <c r="AV6">
        <v>2915</v>
      </c>
    </row>
    <row r="7" spans="1:48" ht="30" customHeight="1" x14ac:dyDescent="0.3">
      <c r="A7" s="4" t="s">
        <v>65</v>
      </c>
      <c r="B7" s="4" t="s">
        <v>66</v>
      </c>
      <c r="C7" s="4" t="s">
        <v>67</v>
      </c>
      <c r="D7" s="5">
        <v>2</v>
      </c>
      <c r="E7" s="7">
        <f>TRUNC([1]일위대가목록!E5,0)</f>
        <v>0</v>
      </c>
      <c r="F7" s="7">
        <f t="shared" si="0"/>
        <v>0</v>
      </c>
      <c r="G7" s="7">
        <f>TRUNC([1]일위대가목록!F5,0)</f>
        <v>0</v>
      </c>
      <c r="H7" s="7">
        <f t="shared" si="1"/>
        <v>0</v>
      </c>
      <c r="I7" s="7">
        <f>TRUNC([1]일위대가목록!G5,0)</f>
        <v>1353144</v>
      </c>
      <c r="J7" s="7">
        <f t="shared" si="2"/>
        <v>2706288</v>
      </c>
      <c r="K7" s="7">
        <f t="shared" si="3"/>
        <v>1353144</v>
      </c>
      <c r="L7" s="7">
        <f t="shared" si="3"/>
        <v>2706288</v>
      </c>
      <c r="M7" s="4" t="s">
        <v>68</v>
      </c>
      <c r="N7" s="6" t="s">
        <v>69</v>
      </c>
      <c r="O7" s="6" t="s">
        <v>55</v>
      </c>
      <c r="P7" s="6" t="s">
        <v>55</v>
      </c>
      <c r="Q7" s="6" t="s">
        <v>49</v>
      </c>
      <c r="R7" s="6" t="s">
        <v>57</v>
      </c>
      <c r="S7" s="6" t="s">
        <v>56</v>
      </c>
      <c r="T7" s="6" t="s">
        <v>56</v>
      </c>
      <c r="AR7" s="6" t="s">
        <v>55</v>
      </c>
      <c r="AS7" s="6" t="s">
        <v>55</v>
      </c>
      <c r="AU7" s="6" t="s">
        <v>70</v>
      </c>
      <c r="AV7">
        <v>2846</v>
      </c>
    </row>
    <row r="8" spans="1:48" ht="30" customHeight="1" x14ac:dyDescent="0.3">
      <c r="A8" s="4" t="s">
        <v>71</v>
      </c>
      <c r="B8" s="4" t="s">
        <v>66</v>
      </c>
      <c r="C8" s="4" t="s">
        <v>67</v>
      </c>
      <c r="D8" s="5">
        <v>3</v>
      </c>
      <c r="E8" s="7">
        <f>TRUNC([1]일위대가목록!E6,0)</f>
        <v>0</v>
      </c>
      <c r="F8" s="7">
        <f t="shared" si="0"/>
        <v>0</v>
      </c>
      <c r="G8" s="7">
        <f>TRUNC([1]일위대가목록!F6,0)</f>
        <v>0</v>
      </c>
      <c r="H8" s="7">
        <f t="shared" si="1"/>
        <v>0</v>
      </c>
      <c r="I8" s="7">
        <f>TRUNC([1]일위대가목록!G6,0)</f>
        <v>1228144</v>
      </c>
      <c r="J8" s="7">
        <f t="shared" si="2"/>
        <v>3684432</v>
      </c>
      <c r="K8" s="7">
        <f t="shared" si="3"/>
        <v>1228144</v>
      </c>
      <c r="L8" s="7">
        <f t="shared" si="3"/>
        <v>3684432</v>
      </c>
      <c r="M8" s="4" t="s">
        <v>72</v>
      </c>
      <c r="N8" s="6" t="s">
        <v>73</v>
      </c>
      <c r="O8" s="6" t="s">
        <v>55</v>
      </c>
      <c r="P8" s="6" t="s">
        <v>55</v>
      </c>
      <c r="Q8" s="6" t="s">
        <v>49</v>
      </c>
      <c r="R8" s="6" t="s">
        <v>57</v>
      </c>
      <c r="S8" s="6" t="s">
        <v>56</v>
      </c>
      <c r="T8" s="6" t="s">
        <v>56</v>
      </c>
      <c r="AR8" s="6" t="s">
        <v>55</v>
      </c>
      <c r="AS8" s="6" t="s">
        <v>55</v>
      </c>
      <c r="AU8" s="6" t="s">
        <v>74</v>
      </c>
      <c r="AV8">
        <v>2847</v>
      </c>
    </row>
    <row r="9" spans="1:48" ht="30" customHeight="1" x14ac:dyDescent="0.3">
      <c r="A9" s="4" t="s">
        <v>75</v>
      </c>
      <c r="B9" s="4" t="s">
        <v>60</v>
      </c>
      <c r="C9" s="4" t="s">
        <v>61</v>
      </c>
      <c r="D9" s="5">
        <v>27</v>
      </c>
      <c r="E9" s="7">
        <f>TRUNC([1]일위대가목록!E7,0)</f>
        <v>0</v>
      </c>
      <c r="F9" s="7">
        <f t="shared" si="0"/>
        <v>0</v>
      </c>
      <c r="G9" s="7">
        <f>TRUNC([1]일위대가목록!F7,0)</f>
        <v>0</v>
      </c>
      <c r="H9" s="7">
        <f t="shared" si="1"/>
        <v>0</v>
      </c>
      <c r="I9" s="7">
        <f>TRUNC([1]일위대가목록!G7,0)</f>
        <v>101893</v>
      </c>
      <c r="J9" s="7">
        <f t="shared" si="2"/>
        <v>2751111</v>
      </c>
      <c r="K9" s="7">
        <f t="shared" si="3"/>
        <v>101893</v>
      </c>
      <c r="L9" s="7">
        <f t="shared" si="3"/>
        <v>2751111</v>
      </c>
      <c r="M9" s="4" t="s">
        <v>76</v>
      </c>
      <c r="N9" s="6" t="s">
        <v>77</v>
      </c>
      <c r="O9" s="6" t="s">
        <v>55</v>
      </c>
      <c r="P9" s="6" t="s">
        <v>55</v>
      </c>
      <c r="Q9" s="6" t="s">
        <v>49</v>
      </c>
      <c r="R9" s="6" t="s">
        <v>57</v>
      </c>
      <c r="S9" s="6" t="s">
        <v>56</v>
      </c>
      <c r="T9" s="6" t="s">
        <v>56</v>
      </c>
      <c r="AR9" s="6" t="s">
        <v>55</v>
      </c>
      <c r="AS9" s="6" t="s">
        <v>55</v>
      </c>
      <c r="AU9" s="6" t="s">
        <v>78</v>
      </c>
      <c r="AV9">
        <v>2843</v>
      </c>
    </row>
    <row r="10" spans="1:48" ht="30" customHeight="1" x14ac:dyDescent="0.3">
      <c r="A10" s="4" t="s">
        <v>79</v>
      </c>
      <c r="B10" s="4" t="s">
        <v>80</v>
      </c>
      <c r="C10" s="4" t="s">
        <v>81</v>
      </c>
      <c r="D10" s="5">
        <v>1</v>
      </c>
      <c r="E10" s="7">
        <f>TRUNC([1]일위대가목록!E8,0)</f>
        <v>0</v>
      </c>
      <c r="F10" s="7">
        <f t="shared" si="0"/>
        <v>0</v>
      </c>
      <c r="G10" s="7">
        <f>TRUNC([1]일위대가목록!F8,0)</f>
        <v>0</v>
      </c>
      <c r="H10" s="7">
        <f t="shared" si="1"/>
        <v>0</v>
      </c>
      <c r="I10" s="7">
        <f>TRUNC([1]일위대가목록!G8,0)</f>
        <v>1679950</v>
      </c>
      <c r="J10" s="7">
        <f t="shared" si="2"/>
        <v>1679950</v>
      </c>
      <c r="K10" s="7">
        <f t="shared" si="3"/>
        <v>1679950</v>
      </c>
      <c r="L10" s="7">
        <f t="shared" si="3"/>
        <v>1679950</v>
      </c>
      <c r="M10" s="4" t="s">
        <v>82</v>
      </c>
      <c r="N10" s="6" t="s">
        <v>83</v>
      </c>
      <c r="O10" s="6" t="s">
        <v>55</v>
      </c>
      <c r="P10" s="6" t="s">
        <v>55</v>
      </c>
      <c r="Q10" s="6" t="s">
        <v>49</v>
      </c>
      <c r="R10" s="6" t="s">
        <v>57</v>
      </c>
      <c r="S10" s="6" t="s">
        <v>56</v>
      </c>
      <c r="T10" s="6" t="s">
        <v>56</v>
      </c>
      <c r="AR10" s="6" t="s">
        <v>55</v>
      </c>
      <c r="AS10" s="6" t="s">
        <v>55</v>
      </c>
      <c r="AU10" s="6" t="s">
        <v>84</v>
      </c>
      <c r="AV10">
        <v>2885</v>
      </c>
    </row>
    <row r="11" spans="1:48" ht="30" customHeight="1" x14ac:dyDescent="0.3">
      <c r="A11" s="4" t="s">
        <v>85</v>
      </c>
      <c r="B11" s="4" t="s">
        <v>86</v>
      </c>
      <c r="C11" s="4" t="s">
        <v>87</v>
      </c>
      <c r="D11" s="5">
        <v>12</v>
      </c>
      <c r="E11" s="7">
        <f>TRUNC([1]일위대가목록!E9,0)</f>
        <v>0</v>
      </c>
      <c r="F11" s="7">
        <f t="shared" si="0"/>
        <v>0</v>
      </c>
      <c r="G11" s="7">
        <f>TRUNC([1]일위대가목록!F9,0)</f>
        <v>0</v>
      </c>
      <c r="H11" s="7">
        <f t="shared" si="1"/>
        <v>0</v>
      </c>
      <c r="I11" s="7">
        <f>TRUNC([1]일위대가목록!G9,0)</f>
        <v>19978200</v>
      </c>
      <c r="J11" s="7">
        <f t="shared" si="2"/>
        <v>239738400</v>
      </c>
      <c r="K11" s="7">
        <f t="shared" si="3"/>
        <v>19978200</v>
      </c>
      <c r="L11" s="7">
        <f t="shared" si="3"/>
        <v>239738400</v>
      </c>
      <c r="M11" s="4" t="s">
        <v>88</v>
      </c>
      <c r="N11" s="6" t="s">
        <v>89</v>
      </c>
      <c r="O11" s="6" t="s">
        <v>55</v>
      </c>
      <c r="P11" s="6" t="s">
        <v>55</v>
      </c>
      <c r="Q11" s="6" t="s">
        <v>49</v>
      </c>
      <c r="R11" s="6" t="s">
        <v>57</v>
      </c>
      <c r="S11" s="6" t="s">
        <v>56</v>
      </c>
      <c r="T11" s="6" t="s">
        <v>56</v>
      </c>
      <c r="AR11" s="6" t="s">
        <v>55</v>
      </c>
      <c r="AS11" s="6" t="s">
        <v>55</v>
      </c>
      <c r="AU11" s="6" t="s">
        <v>90</v>
      </c>
      <c r="AV11">
        <v>2914</v>
      </c>
    </row>
    <row r="12" spans="1:48" ht="30" customHeight="1" x14ac:dyDescent="0.3">
      <c r="A12" s="4" t="s">
        <v>91</v>
      </c>
      <c r="B12" s="4" t="s">
        <v>55</v>
      </c>
      <c r="C12" s="4" t="s">
        <v>92</v>
      </c>
      <c r="D12" s="5">
        <v>1</v>
      </c>
      <c r="E12" s="7">
        <f>TRUNC([1]일위대가목록!E10,0)</f>
        <v>0</v>
      </c>
      <c r="F12" s="7">
        <f t="shared" si="0"/>
        <v>0</v>
      </c>
      <c r="G12" s="7">
        <f>TRUNC([1]일위대가목록!F10,0)</f>
        <v>0</v>
      </c>
      <c r="H12" s="7">
        <f t="shared" si="1"/>
        <v>0</v>
      </c>
      <c r="I12" s="7">
        <f>TRUNC([1]일위대가목록!G10,0)</f>
        <v>64549823</v>
      </c>
      <c r="J12" s="7">
        <f t="shared" si="2"/>
        <v>64549823</v>
      </c>
      <c r="K12" s="7">
        <f t="shared" si="3"/>
        <v>64549823</v>
      </c>
      <c r="L12" s="7">
        <f t="shared" si="3"/>
        <v>64549823</v>
      </c>
      <c r="M12" s="4" t="s">
        <v>93</v>
      </c>
      <c r="N12" s="6" t="s">
        <v>94</v>
      </c>
      <c r="O12" s="6" t="s">
        <v>55</v>
      </c>
      <c r="P12" s="6" t="s">
        <v>55</v>
      </c>
      <c r="Q12" s="6" t="s">
        <v>49</v>
      </c>
      <c r="R12" s="6" t="s">
        <v>57</v>
      </c>
      <c r="S12" s="6" t="s">
        <v>56</v>
      </c>
      <c r="T12" s="6" t="s">
        <v>56</v>
      </c>
      <c r="AR12" s="6" t="s">
        <v>55</v>
      </c>
      <c r="AS12" s="6" t="s">
        <v>55</v>
      </c>
      <c r="AU12" s="6" t="s">
        <v>95</v>
      </c>
      <c r="AV12">
        <v>2832</v>
      </c>
    </row>
    <row r="13" spans="1:48" ht="30" customHeight="1" x14ac:dyDescent="0.3">
      <c r="A13" s="4" t="s">
        <v>96</v>
      </c>
      <c r="B13" s="4" t="s">
        <v>55</v>
      </c>
      <c r="C13" s="4" t="s">
        <v>92</v>
      </c>
      <c r="D13" s="5">
        <v>1</v>
      </c>
      <c r="E13" s="7">
        <f>TRUNC([1]일위대가목록!E11,0)</f>
        <v>0</v>
      </c>
      <c r="F13" s="7">
        <f t="shared" si="0"/>
        <v>0</v>
      </c>
      <c r="G13" s="7">
        <f>TRUNC([1]일위대가목록!F11,0)</f>
        <v>0</v>
      </c>
      <c r="H13" s="7">
        <f t="shared" si="1"/>
        <v>0</v>
      </c>
      <c r="I13" s="7">
        <f>TRUNC([1]일위대가목록!G11,0)</f>
        <v>14196871</v>
      </c>
      <c r="J13" s="7">
        <f t="shared" si="2"/>
        <v>14196871</v>
      </c>
      <c r="K13" s="7">
        <f t="shared" si="3"/>
        <v>14196871</v>
      </c>
      <c r="L13" s="7">
        <f t="shared" si="3"/>
        <v>14196871</v>
      </c>
      <c r="M13" s="4" t="s">
        <v>97</v>
      </c>
      <c r="N13" s="6" t="s">
        <v>98</v>
      </c>
      <c r="O13" s="6" t="s">
        <v>55</v>
      </c>
      <c r="P13" s="6" t="s">
        <v>55</v>
      </c>
      <c r="Q13" s="6" t="s">
        <v>49</v>
      </c>
      <c r="R13" s="6" t="s">
        <v>57</v>
      </c>
      <c r="S13" s="6" t="s">
        <v>56</v>
      </c>
      <c r="T13" s="6" t="s">
        <v>56</v>
      </c>
      <c r="AR13" s="6" t="s">
        <v>55</v>
      </c>
      <c r="AS13" s="6" t="s">
        <v>55</v>
      </c>
      <c r="AU13" s="6" t="s">
        <v>99</v>
      </c>
      <c r="AV13">
        <v>2833</v>
      </c>
    </row>
    <row r="14" spans="1:48" ht="30" customHeight="1" x14ac:dyDescent="0.3">
      <c r="A14" s="4" t="s">
        <v>100</v>
      </c>
      <c r="B14" s="4" t="s">
        <v>55</v>
      </c>
      <c r="C14" s="4" t="s">
        <v>92</v>
      </c>
      <c r="D14" s="5">
        <v>1</v>
      </c>
      <c r="E14" s="7">
        <f>TRUNC([1]일위대가목록!E12,0)</f>
        <v>0</v>
      </c>
      <c r="F14" s="7">
        <f t="shared" si="0"/>
        <v>0</v>
      </c>
      <c r="G14" s="7">
        <f>TRUNC([1]일위대가목록!F12,0)</f>
        <v>0</v>
      </c>
      <c r="H14" s="7">
        <f t="shared" si="1"/>
        <v>0</v>
      </c>
      <c r="I14" s="7">
        <f>TRUNC([1]일위대가목록!G12,0)</f>
        <v>38170000</v>
      </c>
      <c r="J14" s="7">
        <f t="shared" si="2"/>
        <v>38170000</v>
      </c>
      <c r="K14" s="7">
        <f t="shared" si="3"/>
        <v>38170000</v>
      </c>
      <c r="L14" s="7">
        <f t="shared" si="3"/>
        <v>38170000</v>
      </c>
      <c r="M14" s="4" t="s">
        <v>101</v>
      </c>
      <c r="N14" s="6" t="s">
        <v>102</v>
      </c>
      <c r="O14" s="6" t="s">
        <v>55</v>
      </c>
      <c r="P14" s="6" t="s">
        <v>55</v>
      </c>
      <c r="Q14" s="6" t="s">
        <v>49</v>
      </c>
      <c r="R14" s="6" t="s">
        <v>57</v>
      </c>
      <c r="S14" s="6" t="s">
        <v>56</v>
      </c>
      <c r="T14" s="6" t="s">
        <v>56</v>
      </c>
      <c r="AR14" s="6" t="s">
        <v>55</v>
      </c>
      <c r="AS14" s="6" t="s">
        <v>55</v>
      </c>
      <c r="AU14" s="6" t="s">
        <v>103</v>
      </c>
      <c r="AV14">
        <v>2834</v>
      </c>
    </row>
    <row r="15" spans="1:48" ht="30" customHeight="1" x14ac:dyDescent="0.3">
      <c r="A15" s="4" t="s">
        <v>104</v>
      </c>
      <c r="B15" s="4" t="s">
        <v>105</v>
      </c>
      <c r="C15" s="4" t="s">
        <v>106</v>
      </c>
      <c r="D15" s="5">
        <v>363.351</v>
      </c>
      <c r="E15" s="7">
        <f>TRUNC([1]단가대비표!O205,0)</f>
        <v>0</v>
      </c>
      <c r="F15" s="7">
        <f t="shared" si="0"/>
        <v>0</v>
      </c>
      <c r="G15" s="7">
        <f>TRUNC([1]단가대비표!P205,0)</f>
        <v>0</v>
      </c>
      <c r="H15" s="7">
        <f t="shared" si="1"/>
        <v>0</v>
      </c>
      <c r="I15" s="7">
        <f>TRUNC([1]단가대비표!V205,0)</f>
        <v>3168</v>
      </c>
      <c r="J15" s="7">
        <f t="shared" si="2"/>
        <v>1151095</v>
      </c>
      <c r="K15" s="7">
        <f t="shared" si="3"/>
        <v>3168</v>
      </c>
      <c r="L15" s="7">
        <f t="shared" si="3"/>
        <v>1151095</v>
      </c>
      <c r="M15" s="4" t="s">
        <v>55</v>
      </c>
      <c r="N15" s="6" t="s">
        <v>107</v>
      </c>
      <c r="O15" s="6" t="s">
        <v>55</v>
      </c>
      <c r="P15" s="6" t="s">
        <v>55</v>
      </c>
      <c r="Q15" s="6" t="s">
        <v>49</v>
      </c>
      <c r="R15" s="6" t="s">
        <v>56</v>
      </c>
      <c r="S15" s="6" t="s">
        <v>56</v>
      </c>
      <c r="T15" s="6" t="s">
        <v>57</v>
      </c>
      <c r="AR15" s="6" t="s">
        <v>55</v>
      </c>
      <c r="AS15" s="6" t="s">
        <v>55</v>
      </c>
      <c r="AU15" s="6" t="s">
        <v>108</v>
      </c>
      <c r="AV15">
        <v>2836</v>
      </c>
    </row>
    <row r="16" spans="1:48" ht="30" customHeight="1" x14ac:dyDescent="0.3">
      <c r="A16" s="4" t="s">
        <v>55</v>
      </c>
      <c r="B16" s="4" t="s">
        <v>55</v>
      </c>
      <c r="C16" s="4" t="s">
        <v>55</v>
      </c>
      <c r="D16" s="5"/>
      <c r="E16" s="7">
        <f>TRUNC([1]단가대비표!O780,0)</f>
        <v>0</v>
      </c>
      <c r="F16" s="7">
        <f t="shared" si="0"/>
        <v>0</v>
      </c>
      <c r="G16" s="7">
        <f>TRUNC([1]단가대비표!P780,0)</f>
        <v>0</v>
      </c>
      <c r="H16" s="7">
        <f t="shared" si="1"/>
        <v>0</v>
      </c>
      <c r="I16" s="7">
        <f>TRUNC([1]단가대비표!V780,0)</f>
        <v>0</v>
      </c>
      <c r="J16" s="7">
        <f t="shared" si="2"/>
        <v>0</v>
      </c>
      <c r="K16" s="7">
        <f t="shared" si="3"/>
        <v>0</v>
      </c>
      <c r="L16" s="7">
        <f t="shared" si="3"/>
        <v>0</v>
      </c>
      <c r="M16" s="4" t="s">
        <v>55</v>
      </c>
      <c r="N16" s="6" t="s">
        <v>109</v>
      </c>
      <c r="O16" s="6" t="s">
        <v>55</v>
      </c>
      <c r="P16" s="6" t="s">
        <v>55</v>
      </c>
      <c r="Q16" s="6" t="s">
        <v>49</v>
      </c>
      <c r="R16" s="6" t="s">
        <v>56</v>
      </c>
      <c r="S16" s="6" t="s">
        <v>56</v>
      </c>
      <c r="T16" s="6" t="s">
        <v>57</v>
      </c>
      <c r="AR16" s="6" t="s">
        <v>55</v>
      </c>
      <c r="AS16" s="6" t="s">
        <v>55</v>
      </c>
      <c r="AU16" s="6" t="s">
        <v>110</v>
      </c>
      <c r="AV16">
        <v>2837</v>
      </c>
    </row>
    <row r="17" spans="1:48" ht="30" customHeight="1" x14ac:dyDescent="0.3">
      <c r="A17" s="4" t="s">
        <v>111</v>
      </c>
      <c r="B17" s="4" t="s">
        <v>55</v>
      </c>
      <c r="C17" s="4" t="s">
        <v>55</v>
      </c>
      <c r="D17" s="5"/>
      <c r="E17" s="7">
        <f>TRUNC([1]단가대비표!O795,0)</f>
        <v>0</v>
      </c>
      <c r="F17" s="7">
        <f t="shared" si="0"/>
        <v>0</v>
      </c>
      <c r="G17" s="7">
        <f>TRUNC([1]단가대비표!P795,0)</f>
        <v>0</v>
      </c>
      <c r="H17" s="7">
        <f t="shared" si="1"/>
        <v>0</v>
      </c>
      <c r="I17" s="7">
        <f>TRUNC([1]단가대비표!V795,0)</f>
        <v>0</v>
      </c>
      <c r="J17" s="7">
        <f t="shared" si="2"/>
        <v>0</v>
      </c>
      <c r="K17" s="7">
        <f t="shared" si="3"/>
        <v>0</v>
      </c>
      <c r="L17" s="7">
        <f t="shared" si="3"/>
        <v>0</v>
      </c>
      <c r="M17" s="4" t="s">
        <v>55</v>
      </c>
      <c r="N17" s="6" t="s">
        <v>112</v>
      </c>
      <c r="O17" s="6" t="s">
        <v>55</v>
      </c>
      <c r="P17" s="6" t="s">
        <v>55</v>
      </c>
      <c r="Q17" s="6" t="s">
        <v>49</v>
      </c>
      <c r="R17" s="6" t="s">
        <v>56</v>
      </c>
      <c r="S17" s="6" t="s">
        <v>56</v>
      </c>
      <c r="T17" s="6" t="s">
        <v>57</v>
      </c>
      <c r="AR17" s="6" t="s">
        <v>55</v>
      </c>
      <c r="AS17" s="6" t="s">
        <v>55</v>
      </c>
      <c r="AU17" s="6" t="s">
        <v>113</v>
      </c>
      <c r="AV17">
        <v>2930</v>
      </c>
    </row>
    <row r="18" spans="1:48" ht="30" customHeight="1" x14ac:dyDescent="0.3">
      <c r="A18" s="4" t="s">
        <v>114</v>
      </c>
      <c r="B18" s="4" t="s">
        <v>55</v>
      </c>
      <c r="C18" s="4" t="s">
        <v>81</v>
      </c>
      <c r="D18" s="5">
        <v>1</v>
      </c>
      <c r="E18" s="7">
        <f>TRUNC([1]단가대비표!O796,0)</f>
        <v>50000</v>
      </c>
      <c r="F18" s="7">
        <f t="shared" si="0"/>
        <v>50000</v>
      </c>
      <c r="G18" s="7">
        <f>TRUNC([1]단가대비표!P796,0)</f>
        <v>0</v>
      </c>
      <c r="H18" s="7">
        <f t="shared" si="1"/>
        <v>0</v>
      </c>
      <c r="I18" s="7">
        <f>TRUNC([1]단가대비표!V796,0)</f>
        <v>0</v>
      </c>
      <c r="J18" s="7">
        <f t="shared" si="2"/>
        <v>0</v>
      </c>
      <c r="K18" s="7">
        <f t="shared" si="3"/>
        <v>50000</v>
      </c>
      <c r="L18" s="7">
        <f t="shared" si="3"/>
        <v>50000</v>
      </c>
      <c r="M18" s="4" t="s">
        <v>115</v>
      </c>
      <c r="N18" s="6" t="s">
        <v>116</v>
      </c>
      <c r="O18" s="6" t="s">
        <v>55</v>
      </c>
      <c r="P18" s="6" t="s">
        <v>55</v>
      </c>
      <c r="Q18" s="6" t="s">
        <v>49</v>
      </c>
      <c r="R18" s="6" t="s">
        <v>56</v>
      </c>
      <c r="S18" s="6" t="s">
        <v>56</v>
      </c>
      <c r="T18" s="6" t="s">
        <v>57</v>
      </c>
      <c r="AR18" s="6" t="s">
        <v>55</v>
      </c>
      <c r="AS18" s="6" t="s">
        <v>55</v>
      </c>
      <c r="AU18" s="6" t="s">
        <v>117</v>
      </c>
      <c r="AV18">
        <v>2931</v>
      </c>
    </row>
    <row r="19" spans="1:48" ht="30" customHeight="1" x14ac:dyDescent="0.3">
      <c r="A19" s="4" t="s">
        <v>118</v>
      </c>
      <c r="B19" s="4" t="s">
        <v>119</v>
      </c>
      <c r="C19" s="4" t="s">
        <v>120</v>
      </c>
      <c r="D19" s="5">
        <v>5</v>
      </c>
      <c r="E19" s="7">
        <f>TRUNC([1]단가대비표!O797,0)</f>
        <v>803756</v>
      </c>
      <c r="F19" s="7">
        <f t="shared" si="0"/>
        <v>4018780</v>
      </c>
      <c r="G19" s="7">
        <f>TRUNC([1]단가대비표!P797,0)</f>
        <v>0</v>
      </c>
      <c r="H19" s="7">
        <f t="shared" si="1"/>
        <v>0</v>
      </c>
      <c r="I19" s="7">
        <f>TRUNC([1]단가대비표!V797,0)</f>
        <v>0</v>
      </c>
      <c r="J19" s="7">
        <f t="shared" si="2"/>
        <v>0</v>
      </c>
      <c r="K19" s="7">
        <f t="shared" si="3"/>
        <v>803756</v>
      </c>
      <c r="L19" s="7">
        <f t="shared" si="3"/>
        <v>4018780</v>
      </c>
      <c r="M19" s="4" t="s">
        <v>115</v>
      </c>
      <c r="N19" s="6" t="s">
        <v>121</v>
      </c>
      <c r="O19" s="6" t="s">
        <v>55</v>
      </c>
      <c r="P19" s="6" t="s">
        <v>55</v>
      </c>
      <c r="Q19" s="6" t="s">
        <v>49</v>
      </c>
      <c r="R19" s="6" t="s">
        <v>56</v>
      </c>
      <c r="S19" s="6" t="s">
        <v>56</v>
      </c>
      <c r="T19" s="6" t="s">
        <v>57</v>
      </c>
      <c r="AR19" s="6" t="s">
        <v>55</v>
      </c>
      <c r="AS19" s="6" t="s">
        <v>55</v>
      </c>
      <c r="AU19" s="6" t="s">
        <v>122</v>
      </c>
      <c r="AV19">
        <v>2932</v>
      </c>
    </row>
    <row r="20" spans="1:48" ht="30" customHeight="1" x14ac:dyDescent="0.3">
      <c r="A20" s="4" t="s">
        <v>123</v>
      </c>
      <c r="B20" s="4" t="s">
        <v>124</v>
      </c>
      <c r="C20" s="4" t="s">
        <v>125</v>
      </c>
      <c r="D20" s="5">
        <v>11</v>
      </c>
      <c r="E20" s="7">
        <f>TRUNC([1]단가대비표!O798,0)</f>
        <v>160000</v>
      </c>
      <c r="F20" s="7">
        <f t="shared" si="0"/>
        <v>1760000</v>
      </c>
      <c r="G20" s="7">
        <f>TRUNC([1]단가대비표!P798,0)</f>
        <v>0</v>
      </c>
      <c r="H20" s="7">
        <f t="shared" si="1"/>
        <v>0</v>
      </c>
      <c r="I20" s="7">
        <f>TRUNC([1]단가대비표!V798,0)</f>
        <v>0</v>
      </c>
      <c r="J20" s="7">
        <f t="shared" si="2"/>
        <v>0</v>
      </c>
      <c r="K20" s="7">
        <f t="shared" si="3"/>
        <v>160000</v>
      </c>
      <c r="L20" s="7">
        <f t="shared" si="3"/>
        <v>1760000</v>
      </c>
      <c r="M20" s="4" t="s">
        <v>115</v>
      </c>
      <c r="N20" s="6" t="s">
        <v>126</v>
      </c>
      <c r="O20" s="6" t="s">
        <v>55</v>
      </c>
      <c r="P20" s="6" t="s">
        <v>55</v>
      </c>
      <c r="Q20" s="6" t="s">
        <v>49</v>
      </c>
      <c r="R20" s="6" t="s">
        <v>56</v>
      </c>
      <c r="S20" s="6" t="s">
        <v>56</v>
      </c>
      <c r="T20" s="6" t="s">
        <v>57</v>
      </c>
      <c r="AR20" s="6" t="s">
        <v>55</v>
      </c>
      <c r="AS20" s="6" t="s">
        <v>55</v>
      </c>
      <c r="AU20" s="6" t="s">
        <v>127</v>
      </c>
      <c r="AV20">
        <v>2933</v>
      </c>
    </row>
    <row r="21" spans="1:48" ht="30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48" ht="30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48" ht="30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48" ht="30" customHeight="1" x14ac:dyDescent="0.3">
      <c r="A24" s="4" t="s">
        <v>128</v>
      </c>
      <c r="B24" s="5"/>
      <c r="C24" s="5"/>
      <c r="D24" s="5"/>
      <c r="E24" s="5"/>
      <c r="F24" s="7">
        <f>SUM(F5:F23)</f>
        <v>5828780</v>
      </c>
      <c r="G24" s="5"/>
      <c r="H24" s="7">
        <f>SUM(H5:H23)</f>
        <v>0</v>
      </c>
      <c r="I24" s="5"/>
      <c r="J24" s="7">
        <f>SUM(J5:J23)</f>
        <v>413629320</v>
      </c>
      <c r="K24" s="5"/>
      <c r="L24" s="7">
        <f>SUM(L5:L23)</f>
        <v>419458100</v>
      </c>
      <c r="M24" s="5"/>
      <c r="N24" t="s">
        <v>129</v>
      </c>
    </row>
    <row r="25" spans="1:48" ht="30" customHeight="1" x14ac:dyDescent="0.3">
      <c r="A25" s="4" t="s">
        <v>130</v>
      </c>
      <c r="B25" s="4" t="s">
        <v>48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Q25" s="6" t="s">
        <v>131</v>
      </c>
    </row>
    <row r="26" spans="1:48" ht="30" customHeight="1" x14ac:dyDescent="0.3">
      <c r="A26" s="4" t="s">
        <v>132</v>
      </c>
      <c r="B26" s="4" t="s">
        <v>133</v>
      </c>
      <c r="C26" s="4" t="s">
        <v>134</v>
      </c>
      <c r="D26" s="5">
        <v>62</v>
      </c>
      <c r="E26" s="7">
        <f>TRUNC([1]단가대비표!O200,0)</f>
        <v>23445</v>
      </c>
      <c r="F26" s="7">
        <f t="shared" ref="F26:F36" si="4">TRUNC(E26*D26, 0)</f>
        <v>1453590</v>
      </c>
      <c r="G26" s="7">
        <f>TRUNC([1]단가대비표!P200,0)</f>
        <v>74241</v>
      </c>
      <c r="H26" s="7">
        <f t="shared" ref="H26:H36" si="5">TRUNC(G26*D26, 0)</f>
        <v>4602942</v>
      </c>
      <c r="I26" s="7">
        <f>TRUNC([1]단가대비표!V200,0)</f>
        <v>0</v>
      </c>
      <c r="J26" s="7">
        <f t="shared" ref="J26:J36" si="6">TRUNC(I26*D26, 0)</f>
        <v>0</v>
      </c>
      <c r="K26" s="7">
        <f t="shared" ref="K26:L36" si="7">TRUNC(E26+G26+I26, 0)</f>
        <v>97686</v>
      </c>
      <c r="L26" s="7">
        <f t="shared" si="7"/>
        <v>6056532</v>
      </c>
      <c r="M26" s="4" t="s">
        <v>135</v>
      </c>
      <c r="N26" s="6" t="s">
        <v>136</v>
      </c>
      <c r="O26" s="6" t="s">
        <v>55</v>
      </c>
      <c r="P26" s="6" t="s">
        <v>55</v>
      </c>
      <c r="Q26" s="6" t="s">
        <v>131</v>
      </c>
      <c r="R26" s="6" t="s">
        <v>56</v>
      </c>
      <c r="S26" s="6" t="s">
        <v>56</v>
      </c>
      <c r="T26" s="6" t="s">
        <v>57</v>
      </c>
      <c r="AR26" s="6" t="s">
        <v>55</v>
      </c>
      <c r="AS26" s="6" t="s">
        <v>55</v>
      </c>
      <c r="AU26" s="6" t="s">
        <v>137</v>
      </c>
      <c r="AV26">
        <v>2961</v>
      </c>
    </row>
    <row r="27" spans="1:48" ht="30" customHeight="1" x14ac:dyDescent="0.3">
      <c r="A27" s="4" t="s">
        <v>138</v>
      </c>
      <c r="B27" s="4" t="s">
        <v>139</v>
      </c>
      <c r="C27" s="4" t="s">
        <v>140</v>
      </c>
      <c r="D27" s="5">
        <v>10679</v>
      </c>
      <c r="E27" s="7">
        <f>TRUNC([1]단가대비표!O197,0)</f>
        <v>372</v>
      </c>
      <c r="F27" s="7">
        <f t="shared" si="4"/>
        <v>3972588</v>
      </c>
      <c r="G27" s="7">
        <f>TRUNC([1]단가대비표!P197,0)</f>
        <v>12003</v>
      </c>
      <c r="H27" s="7">
        <f t="shared" si="5"/>
        <v>128180037</v>
      </c>
      <c r="I27" s="7">
        <f>TRUNC([1]단가대비표!V197,0)</f>
        <v>0</v>
      </c>
      <c r="J27" s="7">
        <f t="shared" si="6"/>
        <v>0</v>
      </c>
      <c r="K27" s="7">
        <f t="shared" si="7"/>
        <v>12375</v>
      </c>
      <c r="L27" s="7">
        <f t="shared" si="7"/>
        <v>132152625</v>
      </c>
      <c r="M27" s="4" t="s">
        <v>141</v>
      </c>
      <c r="N27" s="6" t="s">
        <v>142</v>
      </c>
      <c r="O27" s="6" t="s">
        <v>55</v>
      </c>
      <c r="P27" s="6" t="s">
        <v>55</v>
      </c>
      <c r="Q27" s="6" t="s">
        <v>131</v>
      </c>
      <c r="R27" s="6" t="s">
        <v>56</v>
      </c>
      <c r="S27" s="6" t="s">
        <v>56</v>
      </c>
      <c r="T27" s="6" t="s">
        <v>57</v>
      </c>
      <c r="AR27" s="6" t="s">
        <v>55</v>
      </c>
      <c r="AS27" s="6" t="s">
        <v>55</v>
      </c>
      <c r="AU27" s="6" t="s">
        <v>143</v>
      </c>
      <c r="AV27">
        <v>2962</v>
      </c>
    </row>
    <row r="28" spans="1:48" ht="30" customHeight="1" x14ac:dyDescent="0.3">
      <c r="A28" s="4" t="s">
        <v>144</v>
      </c>
      <c r="B28" s="4" t="s">
        <v>145</v>
      </c>
      <c r="C28" s="4" t="s">
        <v>140</v>
      </c>
      <c r="D28" s="5">
        <v>58</v>
      </c>
      <c r="E28" s="7">
        <f>TRUNC([1]단가대비표!O201,0)</f>
        <v>2637</v>
      </c>
      <c r="F28" s="7">
        <f t="shared" si="4"/>
        <v>152946</v>
      </c>
      <c r="G28" s="7">
        <f>TRUNC([1]단가대비표!P201,0)</f>
        <v>8828</v>
      </c>
      <c r="H28" s="7">
        <f t="shared" si="5"/>
        <v>512024</v>
      </c>
      <c r="I28" s="7">
        <f>TRUNC([1]단가대비표!V201,0)</f>
        <v>0</v>
      </c>
      <c r="J28" s="7">
        <f t="shared" si="6"/>
        <v>0</v>
      </c>
      <c r="K28" s="7">
        <f t="shared" si="7"/>
        <v>11465</v>
      </c>
      <c r="L28" s="7">
        <f t="shared" si="7"/>
        <v>664970</v>
      </c>
      <c r="M28" s="4" t="s">
        <v>146</v>
      </c>
      <c r="N28" s="6" t="s">
        <v>147</v>
      </c>
      <c r="O28" s="6" t="s">
        <v>55</v>
      </c>
      <c r="P28" s="6" t="s">
        <v>55</v>
      </c>
      <c r="Q28" s="6" t="s">
        <v>131</v>
      </c>
      <c r="R28" s="6" t="s">
        <v>56</v>
      </c>
      <c r="S28" s="6" t="s">
        <v>56</v>
      </c>
      <c r="T28" s="6" t="s">
        <v>57</v>
      </c>
      <c r="AR28" s="6" t="s">
        <v>55</v>
      </c>
      <c r="AS28" s="6" t="s">
        <v>55</v>
      </c>
      <c r="AU28" s="6" t="s">
        <v>148</v>
      </c>
      <c r="AV28">
        <v>2963</v>
      </c>
    </row>
    <row r="29" spans="1:48" ht="30" customHeight="1" x14ac:dyDescent="0.3">
      <c r="A29" s="4" t="s">
        <v>144</v>
      </c>
      <c r="B29" s="4" t="s">
        <v>149</v>
      </c>
      <c r="C29" s="4" t="s">
        <v>140</v>
      </c>
      <c r="D29" s="5">
        <v>3505</v>
      </c>
      <c r="E29" s="7">
        <f>TRUNC([1]단가대비표!O202,0)</f>
        <v>2665</v>
      </c>
      <c r="F29" s="7">
        <f t="shared" si="4"/>
        <v>9340825</v>
      </c>
      <c r="G29" s="7">
        <f>TRUNC([1]단가대비표!P202,0)</f>
        <v>10657</v>
      </c>
      <c r="H29" s="7">
        <f t="shared" si="5"/>
        <v>37352785</v>
      </c>
      <c r="I29" s="7">
        <f>TRUNC([1]단가대비표!V202,0)</f>
        <v>0</v>
      </c>
      <c r="J29" s="7">
        <f t="shared" si="6"/>
        <v>0</v>
      </c>
      <c r="K29" s="7">
        <f t="shared" si="7"/>
        <v>13322</v>
      </c>
      <c r="L29" s="7">
        <f t="shared" si="7"/>
        <v>46693610</v>
      </c>
      <c r="M29" s="4" t="s">
        <v>150</v>
      </c>
      <c r="N29" s="6" t="s">
        <v>151</v>
      </c>
      <c r="O29" s="6" t="s">
        <v>55</v>
      </c>
      <c r="P29" s="6" t="s">
        <v>55</v>
      </c>
      <c r="Q29" s="6" t="s">
        <v>131</v>
      </c>
      <c r="R29" s="6" t="s">
        <v>56</v>
      </c>
      <c r="S29" s="6" t="s">
        <v>56</v>
      </c>
      <c r="T29" s="6" t="s">
        <v>57</v>
      </c>
      <c r="AR29" s="6" t="s">
        <v>55</v>
      </c>
      <c r="AS29" s="6" t="s">
        <v>55</v>
      </c>
      <c r="AU29" s="6" t="s">
        <v>152</v>
      </c>
      <c r="AV29">
        <v>2964</v>
      </c>
    </row>
    <row r="30" spans="1:48" ht="30" customHeight="1" x14ac:dyDescent="0.3">
      <c r="A30" s="4" t="s">
        <v>153</v>
      </c>
      <c r="B30" s="4" t="s">
        <v>154</v>
      </c>
      <c r="C30" s="4" t="s">
        <v>155</v>
      </c>
      <c r="D30" s="5">
        <v>1036</v>
      </c>
      <c r="E30" s="7">
        <f>TRUNC([1]일위대가목록!E13,0)</f>
        <v>6050</v>
      </c>
      <c r="F30" s="7">
        <f t="shared" si="4"/>
        <v>6267800</v>
      </c>
      <c r="G30" s="7">
        <f>TRUNC([1]일위대가목록!F13,0)</f>
        <v>175810</v>
      </c>
      <c r="H30" s="7">
        <f t="shared" si="5"/>
        <v>182139160</v>
      </c>
      <c r="I30" s="7">
        <f>TRUNC([1]일위대가목록!G13,0)</f>
        <v>7130</v>
      </c>
      <c r="J30" s="7">
        <f t="shared" si="6"/>
        <v>7386680</v>
      </c>
      <c r="K30" s="7">
        <f t="shared" si="7"/>
        <v>188990</v>
      </c>
      <c r="L30" s="7">
        <f t="shared" si="7"/>
        <v>195793640</v>
      </c>
      <c r="M30" s="4" t="s">
        <v>156</v>
      </c>
      <c r="N30" s="6" t="s">
        <v>157</v>
      </c>
      <c r="O30" s="6" t="s">
        <v>55</v>
      </c>
      <c r="P30" s="6" t="s">
        <v>55</v>
      </c>
      <c r="Q30" s="6" t="s">
        <v>131</v>
      </c>
      <c r="R30" s="6" t="s">
        <v>57</v>
      </c>
      <c r="S30" s="6" t="s">
        <v>56</v>
      </c>
      <c r="T30" s="6" t="s">
        <v>56</v>
      </c>
      <c r="AR30" s="6" t="s">
        <v>55</v>
      </c>
      <c r="AS30" s="6" t="s">
        <v>55</v>
      </c>
      <c r="AU30" s="6" t="s">
        <v>158</v>
      </c>
      <c r="AV30">
        <v>2562</v>
      </c>
    </row>
    <row r="31" spans="1:48" ht="30" customHeight="1" x14ac:dyDescent="0.3">
      <c r="A31" s="4" t="s">
        <v>159</v>
      </c>
      <c r="B31" s="4" t="s">
        <v>160</v>
      </c>
      <c r="C31" s="4" t="s">
        <v>140</v>
      </c>
      <c r="D31" s="5">
        <v>12235</v>
      </c>
      <c r="E31" s="7">
        <f>TRUNC([1]단가대비표!O206,0)</f>
        <v>129</v>
      </c>
      <c r="F31" s="7">
        <f t="shared" si="4"/>
        <v>1578315</v>
      </c>
      <c r="G31" s="7">
        <f>TRUNC([1]단가대비표!P206,0)</f>
        <v>12741</v>
      </c>
      <c r="H31" s="7">
        <f t="shared" si="5"/>
        <v>155886135</v>
      </c>
      <c r="I31" s="7">
        <f>TRUNC([1]단가대비표!V206,0)</f>
        <v>0</v>
      </c>
      <c r="J31" s="7">
        <f t="shared" si="6"/>
        <v>0</v>
      </c>
      <c r="K31" s="7">
        <f t="shared" si="7"/>
        <v>12870</v>
      </c>
      <c r="L31" s="7">
        <f t="shared" si="7"/>
        <v>157464450</v>
      </c>
      <c r="M31" s="4" t="s">
        <v>161</v>
      </c>
      <c r="N31" s="6" t="s">
        <v>162</v>
      </c>
      <c r="O31" s="6" t="s">
        <v>55</v>
      </c>
      <c r="P31" s="6" t="s">
        <v>55</v>
      </c>
      <c r="Q31" s="6" t="s">
        <v>131</v>
      </c>
      <c r="R31" s="6" t="s">
        <v>56</v>
      </c>
      <c r="S31" s="6" t="s">
        <v>56</v>
      </c>
      <c r="T31" s="6" t="s">
        <v>57</v>
      </c>
      <c r="AR31" s="6" t="s">
        <v>55</v>
      </c>
      <c r="AS31" s="6" t="s">
        <v>55</v>
      </c>
      <c r="AU31" s="6" t="s">
        <v>163</v>
      </c>
      <c r="AV31">
        <v>2965</v>
      </c>
    </row>
    <row r="32" spans="1:48" ht="30" customHeight="1" x14ac:dyDescent="0.3">
      <c r="A32" s="4" t="s">
        <v>164</v>
      </c>
      <c r="B32" s="4" t="s">
        <v>165</v>
      </c>
      <c r="C32" s="4" t="s">
        <v>61</v>
      </c>
      <c r="D32" s="5">
        <v>12235</v>
      </c>
      <c r="E32" s="7">
        <f>TRUNC([1]일위대가목록!E14,0)</f>
        <v>0</v>
      </c>
      <c r="F32" s="7">
        <f t="shared" si="4"/>
        <v>0</v>
      </c>
      <c r="G32" s="7">
        <f>TRUNC([1]일위대가목록!F14,0)</f>
        <v>897</v>
      </c>
      <c r="H32" s="7">
        <f t="shared" si="5"/>
        <v>10974795</v>
      </c>
      <c r="I32" s="7">
        <f>TRUNC([1]일위대가목록!G14,0)</f>
        <v>0</v>
      </c>
      <c r="J32" s="7">
        <f t="shared" si="6"/>
        <v>0</v>
      </c>
      <c r="K32" s="7">
        <f t="shared" si="7"/>
        <v>897</v>
      </c>
      <c r="L32" s="7">
        <f t="shared" si="7"/>
        <v>10974795</v>
      </c>
      <c r="M32" s="4" t="s">
        <v>166</v>
      </c>
      <c r="N32" s="6" t="s">
        <v>167</v>
      </c>
      <c r="O32" s="6" t="s">
        <v>55</v>
      </c>
      <c r="P32" s="6" t="s">
        <v>55</v>
      </c>
      <c r="Q32" s="6" t="s">
        <v>131</v>
      </c>
      <c r="R32" s="6" t="s">
        <v>57</v>
      </c>
      <c r="S32" s="6" t="s">
        <v>56</v>
      </c>
      <c r="T32" s="6" t="s">
        <v>56</v>
      </c>
      <c r="AR32" s="6" t="s">
        <v>55</v>
      </c>
      <c r="AS32" s="6" t="s">
        <v>55</v>
      </c>
      <c r="AU32" s="6" t="s">
        <v>168</v>
      </c>
      <c r="AV32">
        <v>2565</v>
      </c>
    </row>
    <row r="33" spans="1:48" ht="30" customHeight="1" x14ac:dyDescent="0.3">
      <c r="A33" s="4" t="s">
        <v>169</v>
      </c>
      <c r="B33" s="4" t="s">
        <v>165</v>
      </c>
      <c r="C33" s="4" t="s">
        <v>61</v>
      </c>
      <c r="D33" s="5">
        <v>12235</v>
      </c>
      <c r="E33" s="7">
        <f>TRUNC([1]일위대가목록!E15,0)</f>
        <v>0</v>
      </c>
      <c r="F33" s="7">
        <f t="shared" si="4"/>
        <v>0</v>
      </c>
      <c r="G33" s="7">
        <f>TRUNC([1]일위대가목록!F15,0)</f>
        <v>2093</v>
      </c>
      <c r="H33" s="7">
        <f t="shared" si="5"/>
        <v>25607855</v>
      </c>
      <c r="I33" s="7">
        <f>TRUNC([1]일위대가목록!G15,0)</f>
        <v>0</v>
      </c>
      <c r="J33" s="7">
        <f t="shared" si="6"/>
        <v>0</v>
      </c>
      <c r="K33" s="7">
        <f t="shared" si="7"/>
        <v>2093</v>
      </c>
      <c r="L33" s="7">
        <f t="shared" si="7"/>
        <v>25607855</v>
      </c>
      <c r="M33" s="4" t="s">
        <v>170</v>
      </c>
      <c r="N33" s="6" t="s">
        <v>171</v>
      </c>
      <c r="O33" s="6" t="s">
        <v>55</v>
      </c>
      <c r="P33" s="6" t="s">
        <v>55</v>
      </c>
      <c r="Q33" s="6" t="s">
        <v>131</v>
      </c>
      <c r="R33" s="6" t="s">
        <v>57</v>
      </c>
      <c r="S33" s="6" t="s">
        <v>56</v>
      </c>
      <c r="T33" s="6" t="s">
        <v>56</v>
      </c>
      <c r="AR33" s="6" t="s">
        <v>55</v>
      </c>
      <c r="AS33" s="6" t="s">
        <v>55</v>
      </c>
      <c r="AU33" s="6" t="s">
        <v>172</v>
      </c>
      <c r="AV33">
        <v>2566</v>
      </c>
    </row>
    <row r="34" spans="1:48" ht="30" customHeight="1" x14ac:dyDescent="0.3">
      <c r="A34" s="4" t="s">
        <v>173</v>
      </c>
      <c r="B34" s="4" t="s">
        <v>174</v>
      </c>
      <c r="C34" s="4" t="s">
        <v>61</v>
      </c>
      <c r="D34" s="5">
        <v>16291</v>
      </c>
      <c r="E34" s="7">
        <f>TRUNC([1]일위대가목록!E16,0)</f>
        <v>0</v>
      </c>
      <c r="F34" s="7">
        <f t="shared" si="4"/>
        <v>0</v>
      </c>
      <c r="G34" s="7">
        <f>TRUNC([1]일위대가목록!F16,0)</f>
        <v>512</v>
      </c>
      <c r="H34" s="7">
        <f t="shared" si="5"/>
        <v>8340992</v>
      </c>
      <c r="I34" s="7">
        <f>TRUNC([1]일위대가목록!G16,0)</f>
        <v>0</v>
      </c>
      <c r="J34" s="7">
        <f t="shared" si="6"/>
        <v>0</v>
      </c>
      <c r="K34" s="7">
        <f t="shared" si="7"/>
        <v>512</v>
      </c>
      <c r="L34" s="7">
        <f t="shared" si="7"/>
        <v>8340992</v>
      </c>
      <c r="M34" s="4" t="s">
        <v>175</v>
      </c>
      <c r="N34" s="6" t="s">
        <v>176</v>
      </c>
      <c r="O34" s="6" t="s">
        <v>55</v>
      </c>
      <c r="P34" s="6" t="s">
        <v>55</v>
      </c>
      <c r="Q34" s="6" t="s">
        <v>131</v>
      </c>
      <c r="R34" s="6" t="s">
        <v>57</v>
      </c>
      <c r="S34" s="6" t="s">
        <v>56</v>
      </c>
      <c r="T34" s="6" t="s">
        <v>56</v>
      </c>
      <c r="AR34" s="6" t="s">
        <v>55</v>
      </c>
      <c r="AS34" s="6" t="s">
        <v>55</v>
      </c>
      <c r="AU34" s="6" t="s">
        <v>177</v>
      </c>
      <c r="AV34">
        <v>2567</v>
      </c>
    </row>
    <row r="35" spans="1:48" ht="30" customHeight="1" x14ac:dyDescent="0.3">
      <c r="A35" s="4" t="s">
        <v>178</v>
      </c>
      <c r="B35" s="4" t="s">
        <v>179</v>
      </c>
      <c r="C35" s="4" t="s">
        <v>61</v>
      </c>
      <c r="D35" s="5">
        <v>2325</v>
      </c>
      <c r="E35" s="7">
        <f>TRUNC([1]일위대가목록!E17,0)</f>
        <v>329</v>
      </c>
      <c r="F35" s="7">
        <f t="shared" si="4"/>
        <v>764925</v>
      </c>
      <c r="G35" s="7">
        <f>TRUNC([1]일위대가목록!F17,0)</f>
        <v>936</v>
      </c>
      <c r="H35" s="7">
        <f t="shared" si="5"/>
        <v>2176200</v>
      </c>
      <c r="I35" s="7">
        <f>TRUNC([1]일위대가목록!G17,0)</f>
        <v>0</v>
      </c>
      <c r="J35" s="7">
        <f t="shared" si="6"/>
        <v>0</v>
      </c>
      <c r="K35" s="7">
        <f t="shared" si="7"/>
        <v>1265</v>
      </c>
      <c r="L35" s="7">
        <f t="shared" si="7"/>
        <v>2941125</v>
      </c>
      <c r="M35" s="4" t="s">
        <v>180</v>
      </c>
      <c r="N35" s="6" t="s">
        <v>181</v>
      </c>
      <c r="O35" s="6" t="s">
        <v>55</v>
      </c>
      <c r="P35" s="6" t="s">
        <v>55</v>
      </c>
      <c r="Q35" s="6" t="s">
        <v>131</v>
      </c>
      <c r="R35" s="6" t="s">
        <v>57</v>
      </c>
      <c r="S35" s="6" t="s">
        <v>56</v>
      </c>
      <c r="T35" s="6" t="s">
        <v>56</v>
      </c>
      <c r="AR35" s="6" t="s">
        <v>55</v>
      </c>
      <c r="AS35" s="6" t="s">
        <v>55</v>
      </c>
      <c r="AU35" s="6" t="s">
        <v>182</v>
      </c>
      <c r="AV35">
        <v>2568</v>
      </c>
    </row>
    <row r="36" spans="1:48" ht="30" customHeight="1" x14ac:dyDescent="0.3">
      <c r="A36" s="4" t="s">
        <v>183</v>
      </c>
      <c r="B36" s="4" t="s">
        <v>184</v>
      </c>
      <c r="C36" s="4" t="s">
        <v>61</v>
      </c>
      <c r="D36" s="5">
        <v>4179</v>
      </c>
      <c r="E36" s="7">
        <f>TRUNC([1]일위대가목록!E18,0)</f>
        <v>998</v>
      </c>
      <c r="F36" s="7">
        <f t="shared" si="4"/>
        <v>4170642</v>
      </c>
      <c r="G36" s="7">
        <f>TRUNC([1]일위대가목록!F18,0)</f>
        <v>175</v>
      </c>
      <c r="H36" s="7">
        <f t="shared" si="5"/>
        <v>731325</v>
      </c>
      <c r="I36" s="7">
        <f>TRUNC([1]일위대가목록!G18,0)</f>
        <v>0</v>
      </c>
      <c r="J36" s="7">
        <f t="shared" si="6"/>
        <v>0</v>
      </c>
      <c r="K36" s="7">
        <f t="shared" si="7"/>
        <v>1173</v>
      </c>
      <c r="L36" s="7">
        <f t="shared" si="7"/>
        <v>4901967</v>
      </c>
      <c r="M36" s="4" t="s">
        <v>185</v>
      </c>
      <c r="N36" s="6" t="s">
        <v>186</v>
      </c>
      <c r="O36" s="6" t="s">
        <v>55</v>
      </c>
      <c r="P36" s="6" t="s">
        <v>55</v>
      </c>
      <c r="Q36" s="6" t="s">
        <v>131</v>
      </c>
      <c r="R36" s="6" t="s">
        <v>57</v>
      </c>
      <c r="S36" s="6" t="s">
        <v>56</v>
      </c>
      <c r="T36" s="6" t="s">
        <v>56</v>
      </c>
      <c r="AR36" s="6" t="s">
        <v>55</v>
      </c>
      <c r="AS36" s="6" t="s">
        <v>55</v>
      </c>
      <c r="AU36" s="6" t="s">
        <v>187</v>
      </c>
      <c r="AV36">
        <v>2569</v>
      </c>
    </row>
    <row r="37" spans="1:48" ht="30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48" ht="30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48" ht="30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48" ht="30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48" ht="30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48" ht="30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48" ht="30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48" ht="30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48" ht="30" customHeight="1" x14ac:dyDescent="0.3">
      <c r="A45" s="4" t="s">
        <v>128</v>
      </c>
      <c r="B45" s="5"/>
      <c r="C45" s="5"/>
      <c r="D45" s="5"/>
      <c r="E45" s="5"/>
      <c r="F45" s="7">
        <f>SUM(F26:F44)</f>
        <v>27701631</v>
      </c>
      <c r="G45" s="5"/>
      <c r="H45" s="7">
        <f>SUM(H26:H44)</f>
        <v>556504250</v>
      </c>
      <c r="I45" s="5"/>
      <c r="J45" s="7">
        <f>SUM(J26:J44)</f>
        <v>7386680</v>
      </c>
      <c r="K45" s="5"/>
      <c r="L45" s="7">
        <f>SUM(L26:L44)</f>
        <v>591592561</v>
      </c>
      <c r="M45" s="5"/>
      <c r="N45" t="s">
        <v>129</v>
      </c>
    </row>
    <row r="46" spans="1:48" ht="30" customHeight="1" x14ac:dyDescent="0.3">
      <c r="A46" s="4" t="s">
        <v>188</v>
      </c>
      <c r="B46" s="4" t="s">
        <v>48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Q46" s="6" t="s">
        <v>189</v>
      </c>
    </row>
    <row r="47" spans="1:48" ht="30" customHeight="1" x14ac:dyDescent="0.3">
      <c r="A47" s="4" t="s">
        <v>190</v>
      </c>
      <c r="B47" s="4" t="s">
        <v>191</v>
      </c>
      <c r="C47" s="4" t="s">
        <v>106</v>
      </c>
      <c r="D47" s="5">
        <v>255.02799999999999</v>
      </c>
      <c r="E47" s="7">
        <f>TRUNC([1]단가대비표!O616,0)</f>
        <v>0</v>
      </c>
      <c r="F47" s="7">
        <f t="shared" ref="F47:F83" si="8">TRUNC(E47*D47, 0)</f>
        <v>0</v>
      </c>
      <c r="G47" s="7">
        <f>TRUNC([1]단가대비표!P616,0)</f>
        <v>0</v>
      </c>
      <c r="H47" s="7">
        <f t="shared" ref="H47:H83" si="9">TRUNC(G47*D47, 0)</f>
        <v>0</v>
      </c>
      <c r="I47" s="7">
        <f>TRUNC([1]단가대비표!V616,0)</f>
        <v>0</v>
      </c>
      <c r="J47" s="7">
        <f t="shared" ref="J47:J83" si="10">TRUNC(I47*D47, 0)</f>
        <v>0</v>
      </c>
      <c r="K47" s="7">
        <f t="shared" ref="K47:L83" si="11">TRUNC(E47+G47+I47, 0)</f>
        <v>0</v>
      </c>
      <c r="L47" s="7">
        <f t="shared" si="11"/>
        <v>0</v>
      </c>
      <c r="M47" s="4" t="s">
        <v>55</v>
      </c>
      <c r="N47" s="6" t="s">
        <v>192</v>
      </c>
      <c r="O47" s="6" t="s">
        <v>55</v>
      </c>
      <c r="P47" s="6" t="s">
        <v>55</v>
      </c>
      <c r="Q47" s="6" t="s">
        <v>189</v>
      </c>
      <c r="R47" s="6" t="s">
        <v>56</v>
      </c>
      <c r="S47" s="6" t="s">
        <v>56</v>
      </c>
      <c r="T47" s="6" t="s">
        <v>57</v>
      </c>
      <c r="AR47" s="6" t="s">
        <v>55</v>
      </c>
      <c r="AS47" s="6" t="s">
        <v>55</v>
      </c>
      <c r="AU47" s="6" t="s">
        <v>193</v>
      </c>
      <c r="AV47">
        <v>2046</v>
      </c>
    </row>
    <row r="48" spans="1:48" ht="30" customHeight="1" x14ac:dyDescent="0.3">
      <c r="A48" s="4" t="s">
        <v>190</v>
      </c>
      <c r="B48" s="4" t="s">
        <v>194</v>
      </c>
      <c r="C48" s="4" t="s">
        <v>106</v>
      </c>
      <c r="D48" s="5">
        <v>128.58099999999999</v>
      </c>
      <c r="E48" s="7">
        <f>TRUNC([1]단가대비표!O617,0)</f>
        <v>0</v>
      </c>
      <c r="F48" s="7">
        <f t="shared" si="8"/>
        <v>0</v>
      </c>
      <c r="G48" s="7">
        <f>TRUNC([1]단가대비표!P617,0)</f>
        <v>0</v>
      </c>
      <c r="H48" s="7">
        <f t="shared" si="9"/>
        <v>0</v>
      </c>
      <c r="I48" s="7">
        <f>TRUNC([1]단가대비표!V617,0)</f>
        <v>0</v>
      </c>
      <c r="J48" s="7">
        <f t="shared" si="10"/>
        <v>0</v>
      </c>
      <c r="K48" s="7">
        <f t="shared" si="11"/>
        <v>0</v>
      </c>
      <c r="L48" s="7">
        <f t="shared" si="11"/>
        <v>0</v>
      </c>
      <c r="M48" s="4" t="s">
        <v>55</v>
      </c>
      <c r="N48" s="6" t="s">
        <v>195</v>
      </c>
      <c r="O48" s="6" t="s">
        <v>55</v>
      </c>
      <c r="P48" s="6" t="s">
        <v>55</v>
      </c>
      <c r="Q48" s="6" t="s">
        <v>189</v>
      </c>
      <c r="R48" s="6" t="s">
        <v>56</v>
      </c>
      <c r="S48" s="6" t="s">
        <v>56</v>
      </c>
      <c r="T48" s="6" t="s">
        <v>57</v>
      </c>
      <c r="AR48" s="6" t="s">
        <v>55</v>
      </c>
      <c r="AS48" s="6" t="s">
        <v>55</v>
      </c>
      <c r="AU48" s="6" t="s">
        <v>196</v>
      </c>
      <c r="AV48">
        <v>2047</v>
      </c>
    </row>
    <row r="49" spans="1:48" ht="30" customHeight="1" x14ac:dyDescent="0.3">
      <c r="A49" s="4" t="s">
        <v>190</v>
      </c>
      <c r="B49" s="4" t="s">
        <v>197</v>
      </c>
      <c r="C49" s="4" t="s">
        <v>106</v>
      </c>
      <c r="D49" s="5">
        <v>130.995</v>
      </c>
      <c r="E49" s="7">
        <f>TRUNC([1]단가대비표!O618,0)</f>
        <v>0</v>
      </c>
      <c r="F49" s="7">
        <f t="shared" si="8"/>
        <v>0</v>
      </c>
      <c r="G49" s="7">
        <f>TRUNC([1]단가대비표!P618,0)</f>
        <v>0</v>
      </c>
      <c r="H49" s="7">
        <f t="shared" si="9"/>
        <v>0</v>
      </c>
      <c r="I49" s="7">
        <f>TRUNC([1]단가대비표!V618,0)</f>
        <v>0</v>
      </c>
      <c r="J49" s="7">
        <f t="shared" si="10"/>
        <v>0</v>
      </c>
      <c r="K49" s="7">
        <f t="shared" si="11"/>
        <v>0</v>
      </c>
      <c r="L49" s="7">
        <f t="shared" si="11"/>
        <v>0</v>
      </c>
      <c r="M49" s="4" t="s">
        <v>55</v>
      </c>
      <c r="N49" s="6" t="s">
        <v>198</v>
      </c>
      <c r="O49" s="6" t="s">
        <v>55</v>
      </c>
      <c r="P49" s="6" t="s">
        <v>55</v>
      </c>
      <c r="Q49" s="6" t="s">
        <v>189</v>
      </c>
      <c r="R49" s="6" t="s">
        <v>56</v>
      </c>
      <c r="S49" s="6" t="s">
        <v>56</v>
      </c>
      <c r="T49" s="6" t="s">
        <v>57</v>
      </c>
      <c r="AR49" s="6" t="s">
        <v>55</v>
      </c>
      <c r="AS49" s="6" t="s">
        <v>55</v>
      </c>
      <c r="AU49" s="6" t="s">
        <v>199</v>
      </c>
      <c r="AV49">
        <v>2048</v>
      </c>
    </row>
    <row r="50" spans="1:48" ht="30" customHeight="1" x14ac:dyDescent="0.3">
      <c r="A50" s="4" t="s">
        <v>190</v>
      </c>
      <c r="B50" s="4" t="s">
        <v>200</v>
      </c>
      <c r="C50" s="4" t="s">
        <v>106</v>
      </c>
      <c r="D50" s="5">
        <v>275.089</v>
      </c>
      <c r="E50" s="7">
        <f>TRUNC([1]단가대비표!O619,0)</f>
        <v>0</v>
      </c>
      <c r="F50" s="7">
        <f t="shared" si="8"/>
        <v>0</v>
      </c>
      <c r="G50" s="7">
        <f>TRUNC([1]단가대비표!P619,0)</f>
        <v>0</v>
      </c>
      <c r="H50" s="7">
        <f t="shared" si="9"/>
        <v>0</v>
      </c>
      <c r="I50" s="7">
        <f>TRUNC([1]단가대비표!V619,0)</f>
        <v>0</v>
      </c>
      <c r="J50" s="7">
        <f t="shared" si="10"/>
        <v>0</v>
      </c>
      <c r="K50" s="7">
        <f t="shared" si="11"/>
        <v>0</v>
      </c>
      <c r="L50" s="7">
        <f t="shared" si="11"/>
        <v>0</v>
      </c>
      <c r="M50" s="4" t="s">
        <v>55</v>
      </c>
      <c r="N50" s="6" t="s">
        <v>201</v>
      </c>
      <c r="O50" s="6" t="s">
        <v>55</v>
      </c>
      <c r="P50" s="6" t="s">
        <v>55</v>
      </c>
      <c r="Q50" s="6" t="s">
        <v>189</v>
      </c>
      <c r="R50" s="6" t="s">
        <v>56</v>
      </c>
      <c r="S50" s="6" t="s">
        <v>56</v>
      </c>
      <c r="T50" s="6" t="s">
        <v>57</v>
      </c>
      <c r="AR50" s="6" t="s">
        <v>55</v>
      </c>
      <c r="AS50" s="6" t="s">
        <v>55</v>
      </c>
      <c r="AU50" s="6" t="s">
        <v>202</v>
      </c>
      <c r="AV50">
        <v>2049</v>
      </c>
    </row>
    <row r="51" spans="1:48" ht="30" customHeight="1" x14ac:dyDescent="0.3">
      <c r="A51" s="4" t="s">
        <v>190</v>
      </c>
      <c r="B51" s="4" t="s">
        <v>203</v>
      </c>
      <c r="C51" s="4" t="s">
        <v>106</v>
      </c>
      <c r="D51" s="5">
        <v>459.52300000000002</v>
      </c>
      <c r="E51" s="7">
        <f>TRUNC([1]단가대비표!O620,0)</f>
        <v>0</v>
      </c>
      <c r="F51" s="7">
        <f t="shared" si="8"/>
        <v>0</v>
      </c>
      <c r="G51" s="7">
        <f>TRUNC([1]단가대비표!P620,0)</f>
        <v>0</v>
      </c>
      <c r="H51" s="7">
        <f t="shared" si="9"/>
        <v>0</v>
      </c>
      <c r="I51" s="7">
        <f>TRUNC([1]단가대비표!V620,0)</f>
        <v>0</v>
      </c>
      <c r="J51" s="7">
        <f t="shared" si="10"/>
        <v>0</v>
      </c>
      <c r="K51" s="7">
        <f t="shared" si="11"/>
        <v>0</v>
      </c>
      <c r="L51" s="7">
        <f t="shared" si="11"/>
        <v>0</v>
      </c>
      <c r="M51" s="4" t="s">
        <v>55</v>
      </c>
      <c r="N51" s="6" t="s">
        <v>204</v>
      </c>
      <c r="O51" s="6" t="s">
        <v>55</v>
      </c>
      <c r="P51" s="6" t="s">
        <v>55</v>
      </c>
      <c r="Q51" s="6" t="s">
        <v>189</v>
      </c>
      <c r="R51" s="6" t="s">
        <v>56</v>
      </c>
      <c r="S51" s="6" t="s">
        <v>56</v>
      </c>
      <c r="T51" s="6" t="s">
        <v>57</v>
      </c>
      <c r="AR51" s="6" t="s">
        <v>55</v>
      </c>
      <c r="AS51" s="6" t="s">
        <v>55</v>
      </c>
      <c r="AU51" s="6" t="s">
        <v>205</v>
      </c>
      <c r="AV51">
        <v>2050</v>
      </c>
    </row>
    <row r="52" spans="1:48" ht="30" customHeight="1" x14ac:dyDescent="0.3">
      <c r="A52" s="4" t="s">
        <v>190</v>
      </c>
      <c r="B52" s="4" t="s">
        <v>206</v>
      </c>
      <c r="C52" s="4" t="s">
        <v>106</v>
      </c>
      <c r="D52" s="5">
        <v>58.408000000000001</v>
      </c>
      <c r="E52" s="7">
        <f>TRUNC([1]단가대비표!O621,0)</f>
        <v>0</v>
      </c>
      <c r="F52" s="7">
        <f t="shared" si="8"/>
        <v>0</v>
      </c>
      <c r="G52" s="7">
        <f>TRUNC([1]단가대비표!P621,0)</f>
        <v>0</v>
      </c>
      <c r="H52" s="7">
        <f t="shared" si="9"/>
        <v>0</v>
      </c>
      <c r="I52" s="7">
        <f>TRUNC([1]단가대비표!V621,0)</f>
        <v>0</v>
      </c>
      <c r="J52" s="7">
        <f t="shared" si="10"/>
        <v>0</v>
      </c>
      <c r="K52" s="7">
        <f t="shared" si="11"/>
        <v>0</v>
      </c>
      <c r="L52" s="7">
        <f t="shared" si="11"/>
        <v>0</v>
      </c>
      <c r="M52" s="4" t="s">
        <v>55</v>
      </c>
      <c r="N52" s="6" t="s">
        <v>207</v>
      </c>
      <c r="O52" s="6" t="s">
        <v>55</v>
      </c>
      <c r="P52" s="6" t="s">
        <v>55</v>
      </c>
      <c r="Q52" s="6" t="s">
        <v>189</v>
      </c>
      <c r="R52" s="6" t="s">
        <v>56</v>
      </c>
      <c r="S52" s="6" t="s">
        <v>56</v>
      </c>
      <c r="T52" s="6" t="s">
        <v>57</v>
      </c>
      <c r="AR52" s="6" t="s">
        <v>55</v>
      </c>
      <c r="AS52" s="6" t="s">
        <v>55</v>
      </c>
      <c r="AU52" s="6" t="s">
        <v>208</v>
      </c>
      <c r="AV52">
        <v>2051</v>
      </c>
    </row>
    <row r="53" spans="1:48" ht="30" customHeight="1" x14ac:dyDescent="0.3">
      <c r="A53" s="4" t="s">
        <v>209</v>
      </c>
      <c r="B53" s="4" t="s">
        <v>210</v>
      </c>
      <c r="C53" s="4" t="s">
        <v>106</v>
      </c>
      <c r="D53" s="5">
        <v>1269.539</v>
      </c>
      <c r="E53" s="7">
        <f>TRUNC([1]일위대가목록!E19,0)</f>
        <v>88376</v>
      </c>
      <c r="F53" s="7">
        <f t="shared" si="8"/>
        <v>112196778</v>
      </c>
      <c r="G53" s="7">
        <f>TRUNC([1]일위대가목록!F19,0)</f>
        <v>542881</v>
      </c>
      <c r="H53" s="7">
        <f t="shared" si="9"/>
        <v>689208601</v>
      </c>
      <c r="I53" s="7">
        <f>TRUNC([1]일위대가목록!G19,0)</f>
        <v>0</v>
      </c>
      <c r="J53" s="7">
        <f t="shared" si="10"/>
        <v>0</v>
      </c>
      <c r="K53" s="7">
        <f t="shared" si="11"/>
        <v>631257</v>
      </c>
      <c r="L53" s="7">
        <f t="shared" si="11"/>
        <v>801405379</v>
      </c>
      <c r="M53" s="4" t="s">
        <v>211</v>
      </c>
      <c r="N53" s="6" t="s">
        <v>212</v>
      </c>
      <c r="O53" s="6" t="s">
        <v>55</v>
      </c>
      <c r="P53" s="6" t="s">
        <v>55</v>
      </c>
      <c r="Q53" s="6" t="s">
        <v>189</v>
      </c>
      <c r="R53" s="6" t="s">
        <v>57</v>
      </c>
      <c r="S53" s="6" t="s">
        <v>56</v>
      </c>
      <c r="T53" s="6" t="s">
        <v>56</v>
      </c>
      <c r="AR53" s="6" t="s">
        <v>55</v>
      </c>
      <c r="AS53" s="6" t="s">
        <v>55</v>
      </c>
      <c r="AU53" s="6" t="s">
        <v>213</v>
      </c>
      <c r="AV53">
        <v>2911</v>
      </c>
    </row>
    <row r="54" spans="1:48" ht="30" customHeight="1" x14ac:dyDescent="0.3">
      <c r="A54" s="4" t="s">
        <v>214</v>
      </c>
      <c r="B54" s="4" t="s">
        <v>215</v>
      </c>
      <c r="C54" s="4" t="s">
        <v>106</v>
      </c>
      <c r="D54" s="5">
        <v>1269.539</v>
      </c>
      <c r="E54" s="7">
        <f>TRUNC([1]단가대비표!O799,0)</f>
        <v>9000</v>
      </c>
      <c r="F54" s="7">
        <f t="shared" si="8"/>
        <v>11425851</v>
      </c>
      <c r="G54" s="7">
        <f>TRUNC([1]단가대비표!P799,0)</f>
        <v>0</v>
      </c>
      <c r="H54" s="7">
        <f t="shared" si="9"/>
        <v>0</v>
      </c>
      <c r="I54" s="7">
        <f>TRUNC([1]단가대비표!V799,0)</f>
        <v>0</v>
      </c>
      <c r="J54" s="7">
        <f t="shared" si="10"/>
        <v>0</v>
      </c>
      <c r="K54" s="7">
        <f t="shared" si="11"/>
        <v>9000</v>
      </c>
      <c r="L54" s="7">
        <f t="shared" si="11"/>
        <v>11425851</v>
      </c>
      <c r="M54" s="4" t="s">
        <v>55</v>
      </c>
      <c r="N54" s="6" t="s">
        <v>216</v>
      </c>
      <c r="O54" s="6" t="s">
        <v>55</v>
      </c>
      <c r="P54" s="6" t="s">
        <v>55</v>
      </c>
      <c r="Q54" s="6" t="s">
        <v>189</v>
      </c>
      <c r="R54" s="6" t="s">
        <v>56</v>
      </c>
      <c r="S54" s="6" t="s">
        <v>56</v>
      </c>
      <c r="T54" s="6" t="s">
        <v>57</v>
      </c>
      <c r="AR54" s="6" t="s">
        <v>55</v>
      </c>
      <c r="AS54" s="6" t="s">
        <v>55</v>
      </c>
      <c r="AU54" s="6" t="s">
        <v>217</v>
      </c>
      <c r="AV54">
        <v>2967</v>
      </c>
    </row>
    <row r="55" spans="1:48" ht="30" customHeight="1" x14ac:dyDescent="0.3">
      <c r="A55" s="4" t="s">
        <v>218</v>
      </c>
      <c r="B55" s="4" t="s">
        <v>215</v>
      </c>
      <c r="C55" s="4" t="s">
        <v>106</v>
      </c>
      <c r="D55" s="5">
        <v>1269.539</v>
      </c>
      <c r="E55" s="7">
        <f>TRUNC([1]단가대비표!O800,0)</f>
        <v>0</v>
      </c>
      <c r="F55" s="7">
        <f t="shared" si="8"/>
        <v>0</v>
      </c>
      <c r="G55" s="7">
        <f>TRUNC([1]단가대비표!P800,0)</f>
        <v>9730</v>
      </c>
      <c r="H55" s="7">
        <f t="shared" si="9"/>
        <v>12352614</v>
      </c>
      <c r="I55" s="7">
        <f>TRUNC([1]단가대비표!V800,0)</f>
        <v>2258</v>
      </c>
      <c r="J55" s="7">
        <f t="shared" si="10"/>
        <v>2866619</v>
      </c>
      <c r="K55" s="7">
        <f t="shared" si="11"/>
        <v>11988</v>
      </c>
      <c r="L55" s="7">
        <f t="shared" si="11"/>
        <v>15219233</v>
      </c>
      <c r="M55" s="4" t="s">
        <v>55</v>
      </c>
      <c r="N55" s="6" t="s">
        <v>219</v>
      </c>
      <c r="O55" s="6" t="s">
        <v>55</v>
      </c>
      <c r="P55" s="6" t="s">
        <v>55</v>
      </c>
      <c r="Q55" s="6" t="s">
        <v>189</v>
      </c>
      <c r="R55" s="6" t="s">
        <v>56</v>
      </c>
      <c r="S55" s="6" t="s">
        <v>56</v>
      </c>
      <c r="T55" s="6" t="s">
        <v>57</v>
      </c>
      <c r="AR55" s="6" t="s">
        <v>55</v>
      </c>
      <c r="AS55" s="6" t="s">
        <v>55</v>
      </c>
      <c r="AU55" s="6" t="s">
        <v>220</v>
      </c>
      <c r="AV55">
        <v>2968</v>
      </c>
    </row>
    <row r="56" spans="1:48" ht="30" customHeight="1" x14ac:dyDescent="0.3">
      <c r="A56" s="4" t="s">
        <v>221</v>
      </c>
      <c r="B56" s="4" t="s">
        <v>222</v>
      </c>
      <c r="C56" s="4" t="s">
        <v>223</v>
      </c>
      <c r="D56" s="5">
        <v>283</v>
      </c>
      <c r="E56" s="7">
        <f>TRUNC([1]단가대비표!O622,0)</f>
        <v>0</v>
      </c>
      <c r="F56" s="7">
        <f t="shared" si="8"/>
        <v>0</v>
      </c>
      <c r="G56" s="7">
        <f>TRUNC([1]단가대비표!P622,0)</f>
        <v>0</v>
      </c>
      <c r="H56" s="7">
        <f t="shared" si="9"/>
        <v>0</v>
      </c>
      <c r="I56" s="7">
        <f>TRUNC([1]단가대비표!V622,0)</f>
        <v>0</v>
      </c>
      <c r="J56" s="7">
        <f t="shared" si="10"/>
        <v>0</v>
      </c>
      <c r="K56" s="7">
        <f t="shared" si="11"/>
        <v>0</v>
      </c>
      <c r="L56" s="7">
        <f t="shared" si="11"/>
        <v>0</v>
      </c>
      <c r="M56" s="4" t="s">
        <v>55</v>
      </c>
      <c r="N56" s="6" t="s">
        <v>224</v>
      </c>
      <c r="O56" s="6" t="s">
        <v>55</v>
      </c>
      <c r="P56" s="6" t="s">
        <v>55</v>
      </c>
      <c r="Q56" s="6" t="s">
        <v>189</v>
      </c>
      <c r="R56" s="6" t="s">
        <v>56</v>
      </c>
      <c r="S56" s="6" t="s">
        <v>56</v>
      </c>
      <c r="T56" s="6" t="s">
        <v>57</v>
      </c>
      <c r="AR56" s="6" t="s">
        <v>55</v>
      </c>
      <c r="AS56" s="6" t="s">
        <v>55</v>
      </c>
      <c r="AU56" s="6" t="s">
        <v>225</v>
      </c>
      <c r="AV56">
        <v>2058</v>
      </c>
    </row>
    <row r="57" spans="1:48" ht="30" customHeight="1" x14ac:dyDescent="0.3">
      <c r="A57" s="4" t="s">
        <v>221</v>
      </c>
      <c r="B57" s="4" t="s">
        <v>226</v>
      </c>
      <c r="C57" s="4" t="s">
        <v>223</v>
      </c>
      <c r="D57" s="5">
        <v>2591</v>
      </c>
      <c r="E57" s="7">
        <f>TRUNC([1]단가대비표!O623,0)</f>
        <v>0</v>
      </c>
      <c r="F57" s="7">
        <f t="shared" si="8"/>
        <v>0</v>
      </c>
      <c r="G57" s="7">
        <f>TRUNC([1]단가대비표!P623,0)</f>
        <v>0</v>
      </c>
      <c r="H57" s="7">
        <f t="shared" si="9"/>
        <v>0</v>
      </c>
      <c r="I57" s="7">
        <f>TRUNC([1]단가대비표!V623,0)</f>
        <v>0</v>
      </c>
      <c r="J57" s="7">
        <f t="shared" si="10"/>
        <v>0</v>
      </c>
      <c r="K57" s="7">
        <f t="shared" si="11"/>
        <v>0</v>
      </c>
      <c r="L57" s="7">
        <f t="shared" si="11"/>
        <v>0</v>
      </c>
      <c r="M57" s="4" t="s">
        <v>55</v>
      </c>
      <c r="N57" s="6" t="s">
        <v>227</v>
      </c>
      <c r="O57" s="6" t="s">
        <v>55</v>
      </c>
      <c r="P57" s="6" t="s">
        <v>55</v>
      </c>
      <c r="Q57" s="6" t="s">
        <v>189</v>
      </c>
      <c r="R57" s="6" t="s">
        <v>56</v>
      </c>
      <c r="S57" s="6" t="s">
        <v>56</v>
      </c>
      <c r="T57" s="6" t="s">
        <v>57</v>
      </c>
      <c r="AR57" s="6" t="s">
        <v>55</v>
      </c>
      <c r="AS57" s="6" t="s">
        <v>55</v>
      </c>
      <c r="AU57" s="6" t="s">
        <v>228</v>
      </c>
      <c r="AV57">
        <v>2059</v>
      </c>
    </row>
    <row r="58" spans="1:48" ht="30" customHeight="1" x14ac:dyDescent="0.3">
      <c r="A58" s="4" t="s">
        <v>221</v>
      </c>
      <c r="B58" s="4" t="s">
        <v>229</v>
      </c>
      <c r="C58" s="4" t="s">
        <v>223</v>
      </c>
      <c r="D58" s="5">
        <v>11557</v>
      </c>
      <c r="E58" s="7">
        <f>TRUNC([1]단가대비표!O624,0)</f>
        <v>0</v>
      </c>
      <c r="F58" s="7">
        <f t="shared" si="8"/>
        <v>0</v>
      </c>
      <c r="G58" s="7">
        <f>TRUNC([1]단가대비표!P624,0)</f>
        <v>0</v>
      </c>
      <c r="H58" s="7">
        <f t="shared" si="9"/>
        <v>0</v>
      </c>
      <c r="I58" s="7">
        <f>TRUNC([1]단가대비표!V624,0)</f>
        <v>0</v>
      </c>
      <c r="J58" s="7">
        <f t="shared" si="10"/>
        <v>0</v>
      </c>
      <c r="K58" s="7">
        <f t="shared" si="11"/>
        <v>0</v>
      </c>
      <c r="L58" s="7">
        <f t="shared" si="11"/>
        <v>0</v>
      </c>
      <c r="M58" s="4" t="s">
        <v>55</v>
      </c>
      <c r="N58" s="6" t="s">
        <v>230</v>
      </c>
      <c r="O58" s="6" t="s">
        <v>55</v>
      </c>
      <c r="P58" s="6" t="s">
        <v>55</v>
      </c>
      <c r="Q58" s="6" t="s">
        <v>189</v>
      </c>
      <c r="R58" s="6" t="s">
        <v>56</v>
      </c>
      <c r="S58" s="6" t="s">
        <v>56</v>
      </c>
      <c r="T58" s="6" t="s">
        <v>57</v>
      </c>
      <c r="AR58" s="6" t="s">
        <v>55</v>
      </c>
      <c r="AS58" s="6" t="s">
        <v>55</v>
      </c>
      <c r="AU58" s="6" t="s">
        <v>231</v>
      </c>
      <c r="AV58">
        <v>2061</v>
      </c>
    </row>
    <row r="59" spans="1:48" ht="30" customHeight="1" x14ac:dyDescent="0.3">
      <c r="A59" s="4" t="s">
        <v>232</v>
      </c>
      <c r="B59" s="4" t="s">
        <v>233</v>
      </c>
      <c r="C59" s="4" t="s">
        <v>223</v>
      </c>
      <c r="D59" s="5">
        <v>2817</v>
      </c>
      <c r="E59" s="7">
        <f>TRUNC([1]일위대가목록!E20,0)</f>
        <v>1610</v>
      </c>
      <c r="F59" s="7">
        <f t="shared" si="8"/>
        <v>4535370</v>
      </c>
      <c r="G59" s="7">
        <f>TRUNC([1]일위대가목록!F20,0)</f>
        <v>10379</v>
      </c>
      <c r="H59" s="7">
        <f t="shared" si="9"/>
        <v>29237643</v>
      </c>
      <c r="I59" s="7">
        <f>TRUNC([1]일위대가목록!G20,0)</f>
        <v>3347</v>
      </c>
      <c r="J59" s="7">
        <f t="shared" si="10"/>
        <v>9428499</v>
      </c>
      <c r="K59" s="7">
        <f t="shared" si="11"/>
        <v>15336</v>
      </c>
      <c r="L59" s="7">
        <f t="shared" si="11"/>
        <v>43201512</v>
      </c>
      <c r="M59" s="4" t="s">
        <v>234</v>
      </c>
      <c r="N59" s="6" t="s">
        <v>235</v>
      </c>
      <c r="O59" s="6" t="s">
        <v>55</v>
      </c>
      <c r="P59" s="6" t="s">
        <v>55</v>
      </c>
      <c r="Q59" s="6" t="s">
        <v>189</v>
      </c>
      <c r="R59" s="6" t="s">
        <v>57</v>
      </c>
      <c r="S59" s="6" t="s">
        <v>56</v>
      </c>
      <c r="T59" s="6" t="s">
        <v>56</v>
      </c>
      <c r="AR59" s="6" t="s">
        <v>55</v>
      </c>
      <c r="AS59" s="6" t="s">
        <v>55</v>
      </c>
      <c r="AU59" s="6" t="s">
        <v>236</v>
      </c>
      <c r="AV59">
        <v>2572</v>
      </c>
    </row>
    <row r="60" spans="1:48" ht="30" customHeight="1" x14ac:dyDescent="0.3">
      <c r="A60" s="4" t="s">
        <v>237</v>
      </c>
      <c r="B60" s="4" t="s">
        <v>238</v>
      </c>
      <c r="C60" s="4" t="s">
        <v>223</v>
      </c>
      <c r="D60" s="5">
        <v>11442</v>
      </c>
      <c r="E60" s="7">
        <f>TRUNC([1]일위대가목록!E21,0)</f>
        <v>1638</v>
      </c>
      <c r="F60" s="7">
        <f t="shared" si="8"/>
        <v>18741996</v>
      </c>
      <c r="G60" s="7">
        <f>TRUNC([1]일위대가목록!F21,0)</f>
        <v>11011</v>
      </c>
      <c r="H60" s="7">
        <f t="shared" si="9"/>
        <v>125987862</v>
      </c>
      <c r="I60" s="7">
        <f>TRUNC([1]일위대가목록!G21,0)</f>
        <v>3385</v>
      </c>
      <c r="J60" s="7">
        <f t="shared" si="10"/>
        <v>38731170</v>
      </c>
      <c r="K60" s="7">
        <f t="shared" si="11"/>
        <v>16034</v>
      </c>
      <c r="L60" s="7">
        <f t="shared" si="11"/>
        <v>183461028</v>
      </c>
      <c r="M60" s="4" t="s">
        <v>239</v>
      </c>
      <c r="N60" s="6" t="s">
        <v>240</v>
      </c>
      <c r="O60" s="6" t="s">
        <v>55</v>
      </c>
      <c r="P60" s="6" t="s">
        <v>55</v>
      </c>
      <c r="Q60" s="6" t="s">
        <v>189</v>
      </c>
      <c r="R60" s="6" t="s">
        <v>57</v>
      </c>
      <c r="S60" s="6" t="s">
        <v>56</v>
      </c>
      <c r="T60" s="6" t="s">
        <v>56</v>
      </c>
      <c r="AR60" s="6" t="s">
        <v>55</v>
      </c>
      <c r="AS60" s="6" t="s">
        <v>55</v>
      </c>
      <c r="AU60" s="6" t="s">
        <v>241</v>
      </c>
      <c r="AV60">
        <v>2573</v>
      </c>
    </row>
    <row r="61" spans="1:48" ht="30" customHeight="1" x14ac:dyDescent="0.3">
      <c r="A61" s="4" t="s">
        <v>242</v>
      </c>
      <c r="B61" s="4" t="s">
        <v>55</v>
      </c>
      <c r="C61" s="4" t="s">
        <v>223</v>
      </c>
      <c r="D61" s="5">
        <v>580</v>
      </c>
      <c r="E61" s="7">
        <f>TRUNC([1]단가대비표!O90,0)</f>
        <v>7000</v>
      </c>
      <c r="F61" s="7">
        <f t="shared" si="8"/>
        <v>4060000</v>
      </c>
      <c r="G61" s="7">
        <f>TRUNC([1]단가대비표!P90,0)</f>
        <v>0</v>
      </c>
      <c r="H61" s="7">
        <f t="shared" si="9"/>
        <v>0</v>
      </c>
      <c r="I61" s="7">
        <f>TRUNC([1]단가대비표!V90,0)</f>
        <v>0</v>
      </c>
      <c r="J61" s="7">
        <f t="shared" si="10"/>
        <v>0</v>
      </c>
      <c r="K61" s="7">
        <f t="shared" si="11"/>
        <v>7000</v>
      </c>
      <c r="L61" s="7">
        <f t="shared" si="11"/>
        <v>4060000</v>
      </c>
      <c r="M61" s="4" t="s">
        <v>55</v>
      </c>
      <c r="N61" s="6" t="s">
        <v>243</v>
      </c>
      <c r="O61" s="6" t="s">
        <v>55</v>
      </c>
      <c r="P61" s="6" t="s">
        <v>55</v>
      </c>
      <c r="Q61" s="6" t="s">
        <v>189</v>
      </c>
      <c r="R61" s="6" t="s">
        <v>56</v>
      </c>
      <c r="S61" s="6" t="s">
        <v>56</v>
      </c>
      <c r="T61" s="6" t="s">
        <v>57</v>
      </c>
      <c r="AR61" s="6" t="s">
        <v>55</v>
      </c>
      <c r="AS61" s="6" t="s">
        <v>55</v>
      </c>
      <c r="AU61" s="6" t="s">
        <v>244</v>
      </c>
      <c r="AV61">
        <v>2062</v>
      </c>
    </row>
    <row r="62" spans="1:48" ht="30" customHeight="1" x14ac:dyDescent="0.3">
      <c r="A62" s="4" t="s">
        <v>245</v>
      </c>
      <c r="B62" s="4" t="s">
        <v>55</v>
      </c>
      <c r="C62" s="4" t="s">
        <v>140</v>
      </c>
      <c r="D62" s="5">
        <v>4229</v>
      </c>
      <c r="E62" s="7">
        <f>TRUNC([1]단가대비표!O211,0)</f>
        <v>21</v>
      </c>
      <c r="F62" s="7">
        <f t="shared" si="8"/>
        <v>88809</v>
      </c>
      <c r="G62" s="7">
        <f>TRUNC([1]단가대비표!P211,0)</f>
        <v>985</v>
      </c>
      <c r="H62" s="7">
        <f t="shared" si="9"/>
        <v>4165565</v>
      </c>
      <c r="I62" s="7">
        <f>TRUNC([1]단가대비표!V211,0)</f>
        <v>0</v>
      </c>
      <c r="J62" s="7">
        <f t="shared" si="10"/>
        <v>0</v>
      </c>
      <c r="K62" s="7">
        <f t="shared" si="11"/>
        <v>1006</v>
      </c>
      <c r="L62" s="7">
        <f t="shared" si="11"/>
        <v>4254374</v>
      </c>
      <c r="M62" s="4" t="s">
        <v>246</v>
      </c>
      <c r="N62" s="6" t="s">
        <v>247</v>
      </c>
      <c r="O62" s="6" t="s">
        <v>55</v>
      </c>
      <c r="P62" s="6" t="s">
        <v>55</v>
      </c>
      <c r="Q62" s="6" t="s">
        <v>189</v>
      </c>
      <c r="R62" s="6" t="s">
        <v>56</v>
      </c>
      <c r="S62" s="6" t="s">
        <v>56</v>
      </c>
      <c r="T62" s="6" t="s">
        <v>57</v>
      </c>
      <c r="AR62" s="6" t="s">
        <v>55</v>
      </c>
      <c r="AS62" s="6" t="s">
        <v>55</v>
      </c>
      <c r="AU62" s="6" t="s">
        <v>248</v>
      </c>
      <c r="AV62">
        <v>2966</v>
      </c>
    </row>
    <row r="63" spans="1:48" ht="30" customHeight="1" x14ac:dyDescent="0.3">
      <c r="A63" s="4" t="s">
        <v>249</v>
      </c>
      <c r="B63" s="4" t="s">
        <v>250</v>
      </c>
      <c r="C63" s="4" t="s">
        <v>61</v>
      </c>
      <c r="D63" s="5">
        <v>12474</v>
      </c>
      <c r="E63" s="7">
        <f>TRUNC([1]일위대가목록!E22,0)</f>
        <v>18262</v>
      </c>
      <c r="F63" s="7">
        <f t="shared" si="8"/>
        <v>227800188</v>
      </c>
      <c r="G63" s="7">
        <f>TRUNC([1]일위대가목록!F22,0)</f>
        <v>37076</v>
      </c>
      <c r="H63" s="7">
        <f t="shared" si="9"/>
        <v>462486024</v>
      </c>
      <c r="I63" s="7">
        <f>TRUNC([1]일위대가목록!G22,0)</f>
        <v>0</v>
      </c>
      <c r="J63" s="7">
        <f t="shared" si="10"/>
        <v>0</v>
      </c>
      <c r="K63" s="7">
        <f t="shared" si="11"/>
        <v>55338</v>
      </c>
      <c r="L63" s="7">
        <f t="shared" si="11"/>
        <v>690286212</v>
      </c>
      <c r="M63" s="4" t="s">
        <v>251</v>
      </c>
      <c r="N63" s="6" t="s">
        <v>252</v>
      </c>
      <c r="O63" s="6" t="s">
        <v>55</v>
      </c>
      <c r="P63" s="6" t="s">
        <v>55</v>
      </c>
      <c r="Q63" s="6" t="s">
        <v>189</v>
      </c>
      <c r="R63" s="6" t="s">
        <v>57</v>
      </c>
      <c r="S63" s="6" t="s">
        <v>56</v>
      </c>
      <c r="T63" s="6" t="s">
        <v>56</v>
      </c>
      <c r="AR63" s="6" t="s">
        <v>55</v>
      </c>
      <c r="AS63" s="6" t="s">
        <v>55</v>
      </c>
      <c r="AU63" s="6" t="s">
        <v>253</v>
      </c>
      <c r="AV63">
        <v>2574</v>
      </c>
    </row>
    <row r="64" spans="1:48" ht="30" customHeight="1" x14ac:dyDescent="0.3">
      <c r="A64" s="4" t="s">
        <v>249</v>
      </c>
      <c r="B64" s="4" t="s">
        <v>254</v>
      </c>
      <c r="C64" s="4" t="s">
        <v>61</v>
      </c>
      <c r="D64" s="5">
        <v>800</v>
      </c>
      <c r="E64" s="7">
        <f>TRUNC([1]일위대가목록!E23,0)</f>
        <v>18262</v>
      </c>
      <c r="F64" s="7">
        <f t="shared" si="8"/>
        <v>14609600</v>
      </c>
      <c r="G64" s="7">
        <f>TRUNC([1]일위대가목록!F23,0)</f>
        <v>37076</v>
      </c>
      <c r="H64" s="7">
        <f t="shared" si="9"/>
        <v>29660800</v>
      </c>
      <c r="I64" s="7">
        <f>TRUNC([1]일위대가목록!G23,0)</f>
        <v>0</v>
      </c>
      <c r="J64" s="7">
        <f t="shared" si="10"/>
        <v>0</v>
      </c>
      <c r="K64" s="7">
        <f t="shared" si="11"/>
        <v>55338</v>
      </c>
      <c r="L64" s="7">
        <f t="shared" si="11"/>
        <v>44270400</v>
      </c>
      <c r="M64" s="4" t="s">
        <v>255</v>
      </c>
      <c r="N64" s="6" t="s">
        <v>256</v>
      </c>
      <c r="O64" s="6" t="s">
        <v>55</v>
      </c>
      <c r="P64" s="6" t="s">
        <v>55</v>
      </c>
      <c r="Q64" s="6" t="s">
        <v>189</v>
      </c>
      <c r="R64" s="6" t="s">
        <v>57</v>
      </c>
      <c r="S64" s="6" t="s">
        <v>56</v>
      </c>
      <c r="T64" s="6" t="s">
        <v>56</v>
      </c>
      <c r="AR64" s="6" t="s">
        <v>55</v>
      </c>
      <c r="AS64" s="6" t="s">
        <v>55</v>
      </c>
      <c r="AU64" s="6" t="s">
        <v>257</v>
      </c>
      <c r="AV64">
        <v>2575</v>
      </c>
    </row>
    <row r="65" spans="1:48" ht="30" customHeight="1" x14ac:dyDescent="0.3">
      <c r="A65" s="4" t="s">
        <v>249</v>
      </c>
      <c r="B65" s="4" t="s">
        <v>258</v>
      </c>
      <c r="C65" s="4" t="s">
        <v>61</v>
      </c>
      <c r="D65" s="5">
        <v>961</v>
      </c>
      <c r="E65" s="7">
        <f>TRUNC([1]일위대가목록!E24,0)</f>
        <v>14961</v>
      </c>
      <c r="F65" s="7">
        <f t="shared" si="8"/>
        <v>14377521</v>
      </c>
      <c r="G65" s="7">
        <f>TRUNC([1]일위대가목록!F24,0)</f>
        <v>25472</v>
      </c>
      <c r="H65" s="7">
        <f t="shared" si="9"/>
        <v>24478592</v>
      </c>
      <c r="I65" s="7">
        <f>TRUNC([1]일위대가목록!G24,0)</f>
        <v>0</v>
      </c>
      <c r="J65" s="7">
        <f t="shared" si="10"/>
        <v>0</v>
      </c>
      <c r="K65" s="7">
        <f t="shared" si="11"/>
        <v>40433</v>
      </c>
      <c r="L65" s="7">
        <f t="shared" si="11"/>
        <v>38856113</v>
      </c>
      <c r="M65" s="4" t="s">
        <v>259</v>
      </c>
      <c r="N65" s="6" t="s">
        <v>260</v>
      </c>
      <c r="O65" s="6" t="s">
        <v>55</v>
      </c>
      <c r="P65" s="6" t="s">
        <v>55</v>
      </c>
      <c r="Q65" s="6" t="s">
        <v>189</v>
      </c>
      <c r="R65" s="6" t="s">
        <v>57</v>
      </c>
      <c r="S65" s="6" t="s">
        <v>56</v>
      </c>
      <c r="T65" s="6" t="s">
        <v>56</v>
      </c>
      <c r="AR65" s="6" t="s">
        <v>55</v>
      </c>
      <c r="AS65" s="6" t="s">
        <v>55</v>
      </c>
      <c r="AU65" s="6" t="s">
        <v>261</v>
      </c>
      <c r="AV65">
        <v>2576</v>
      </c>
    </row>
    <row r="66" spans="1:48" ht="30" customHeight="1" x14ac:dyDescent="0.3">
      <c r="A66" s="4" t="s">
        <v>262</v>
      </c>
      <c r="B66" s="4" t="s">
        <v>263</v>
      </c>
      <c r="C66" s="4" t="s">
        <v>61</v>
      </c>
      <c r="D66" s="5">
        <v>24437</v>
      </c>
      <c r="E66" s="7">
        <f>TRUNC([1]일위대가목록!E25,0)</f>
        <v>5626</v>
      </c>
      <c r="F66" s="7">
        <f t="shared" si="8"/>
        <v>137482562</v>
      </c>
      <c r="G66" s="7">
        <f>TRUNC([1]일위대가목록!F25,0)</f>
        <v>29534</v>
      </c>
      <c r="H66" s="7">
        <f t="shared" si="9"/>
        <v>721722358</v>
      </c>
      <c r="I66" s="7">
        <f>TRUNC([1]일위대가목록!G25,0)</f>
        <v>0</v>
      </c>
      <c r="J66" s="7">
        <f t="shared" si="10"/>
        <v>0</v>
      </c>
      <c r="K66" s="7">
        <f t="shared" si="11"/>
        <v>35160</v>
      </c>
      <c r="L66" s="7">
        <f t="shared" si="11"/>
        <v>859204920</v>
      </c>
      <c r="M66" s="4" t="s">
        <v>264</v>
      </c>
      <c r="N66" s="6" t="s">
        <v>265</v>
      </c>
      <c r="O66" s="6" t="s">
        <v>55</v>
      </c>
      <c r="P66" s="6" t="s">
        <v>55</v>
      </c>
      <c r="Q66" s="6" t="s">
        <v>189</v>
      </c>
      <c r="R66" s="6" t="s">
        <v>57</v>
      </c>
      <c r="S66" s="6" t="s">
        <v>56</v>
      </c>
      <c r="T66" s="6" t="s">
        <v>56</v>
      </c>
      <c r="AR66" s="6" t="s">
        <v>55</v>
      </c>
      <c r="AS66" s="6" t="s">
        <v>55</v>
      </c>
      <c r="AU66" s="6" t="s">
        <v>266</v>
      </c>
      <c r="AV66">
        <v>2578</v>
      </c>
    </row>
    <row r="67" spans="1:48" ht="30" customHeight="1" x14ac:dyDescent="0.3">
      <c r="A67" s="4" t="s">
        <v>267</v>
      </c>
      <c r="B67" s="4" t="s">
        <v>268</v>
      </c>
      <c r="C67" s="4" t="s">
        <v>269</v>
      </c>
      <c r="D67" s="5">
        <v>580</v>
      </c>
      <c r="E67" s="7">
        <f>TRUNC([1]일위대가목록!E26,0)</f>
        <v>3026</v>
      </c>
      <c r="F67" s="7">
        <f t="shared" si="8"/>
        <v>1755080</v>
      </c>
      <c r="G67" s="7">
        <f>TRUNC([1]일위대가목록!F26,0)</f>
        <v>21338</v>
      </c>
      <c r="H67" s="7">
        <f t="shared" si="9"/>
        <v>12376040</v>
      </c>
      <c r="I67" s="7">
        <f>TRUNC([1]일위대가목록!G26,0)</f>
        <v>0</v>
      </c>
      <c r="J67" s="7">
        <f t="shared" si="10"/>
        <v>0</v>
      </c>
      <c r="K67" s="7">
        <f t="shared" si="11"/>
        <v>24364</v>
      </c>
      <c r="L67" s="7">
        <f t="shared" si="11"/>
        <v>14131120</v>
      </c>
      <c r="M67" s="4" t="s">
        <v>270</v>
      </c>
      <c r="N67" s="6" t="s">
        <v>271</v>
      </c>
      <c r="O67" s="6" t="s">
        <v>55</v>
      </c>
      <c r="P67" s="6" t="s">
        <v>55</v>
      </c>
      <c r="Q67" s="6" t="s">
        <v>189</v>
      </c>
      <c r="R67" s="6" t="s">
        <v>57</v>
      </c>
      <c r="S67" s="6" t="s">
        <v>56</v>
      </c>
      <c r="T67" s="6" t="s">
        <v>56</v>
      </c>
      <c r="AR67" s="6" t="s">
        <v>55</v>
      </c>
      <c r="AS67" s="6" t="s">
        <v>55</v>
      </c>
      <c r="AU67" s="6" t="s">
        <v>272</v>
      </c>
      <c r="AV67">
        <v>2969</v>
      </c>
    </row>
    <row r="68" spans="1:48" ht="30" customHeight="1" x14ac:dyDescent="0.3">
      <c r="A68" s="4" t="s">
        <v>273</v>
      </c>
      <c r="B68" s="4" t="s">
        <v>55</v>
      </c>
      <c r="C68" s="4" t="s">
        <v>269</v>
      </c>
      <c r="D68" s="5">
        <v>221</v>
      </c>
      <c r="E68" s="7">
        <f>TRUNC([1]일위대가목록!E27,0)</f>
        <v>335</v>
      </c>
      <c r="F68" s="7">
        <f t="shared" si="8"/>
        <v>74035</v>
      </c>
      <c r="G68" s="7">
        <f>TRUNC([1]일위대가목록!F27,0)</f>
        <v>2267</v>
      </c>
      <c r="H68" s="7">
        <f t="shared" si="9"/>
        <v>501007</v>
      </c>
      <c r="I68" s="7">
        <f>TRUNC([1]일위대가목록!G27,0)</f>
        <v>0</v>
      </c>
      <c r="J68" s="7">
        <f t="shared" si="10"/>
        <v>0</v>
      </c>
      <c r="K68" s="7">
        <f t="shared" si="11"/>
        <v>2602</v>
      </c>
      <c r="L68" s="7">
        <f t="shared" si="11"/>
        <v>575042</v>
      </c>
      <c r="M68" s="4" t="s">
        <v>274</v>
      </c>
      <c r="N68" s="6" t="s">
        <v>275</v>
      </c>
      <c r="O68" s="6" t="s">
        <v>55</v>
      </c>
      <c r="P68" s="6" t="s">
        <v>55</v>
      </c>
      <c r="Q68" s="6" t="s">
        <v>189</v>
      </c>
      <c r="R68" s="6" t="s">
        <v>57</v>
      </c>
      <c r="S68" s="6" t="s">
        <v>56</v>
      </c>
      <c r="T68" s="6" t="s">
        <v>56</v>
      </c>
      <c r="AR68" s="6" t="s">
        <v>55</v>
      </c>
      <c r="AS68" s="6" t="s">
        <v>55</v>
      </c>
      <c r="AU68" s="6" t="s">
        <v>276</v>
      </c>
      <c r="AV68">
        <v>2064</v>
      </c>
    </row>
    <row r="69" spans="1:48" ht="30" customHeight="1" x14ac:dyDescent="0.3">
      <c r="A69" s="4" t="s">
        <v>55</v>
      </c>
      <c r="B69" s="4" t="s">
        <v>55</v>
      </c>
      <c r="C69" s="4" t="s">
        <v>55</v>
      </c>
      <c r="D69" s="5"/>
      <c r="E69" s="7">
        <f>TRUNC([1]단가대비표!O487,0)</f>
        <v>0</v>
      </c>
      <c r="F69" s="7">
        <f t="shared" si="8"/>
        <v>0</v>
      </c>
      <c r="G69" s="7">
        <f>TRUNC([1]단가대비표!P487,0)</f>
        <v>0</v>
      </c>
      <c r="H69" s="7">
        <f t="shared" si="9"/>
        <v>0</v>
      </c>
      <c r="I69" s="7">
        <f>TRUNC([1]단가대비표!V487,0)</f>
        <v>0</v>
      </c>
      <c r="J69" s="7">
        <f t="shared" si="10"/>
        <v>0</v>
      </c>
      <c r="K69" s="7">
        <f t="shared" si="11"/>
        <v>0</v>
      </c>
      <c r="L69" s="7">
        <f t="shared" si="11"/>
        <v>0</v>
      </c>
      <c r="M69" s="4" t="s">
        <v>55</v>
      </c>
      <c r="N69" s="6" t="s">
        <v>277</v>
      </c>
      <c r="O69" s="6" t="s">
        <v>55</v>
      </c>
      <c r="P69" s="6" t="s">
        <v>55</v>
      </c>
      <c r="Q69" s="6" t="s">
        <v>189</v>
      </c>
      <c r="R69" s="6" t="s">
        <v>56</v>
      </c>
      <c r="S69" s="6" t="s">
        <v>56</v>
      </c>
      <c r="T69" s="6" t="s">
        <v>57</v>
      </c>
      <c r="AR69" s="6" t="s">
        <v>55</v>
      </c>
      <c r="AS69" s="6" t="s">
        <v>55</v>
      </c>
      <c r="AU69" s="6" t="s">
        <v>278</v>
      </c>
      <c r="AV69">
        <v>1702</v>
      </c>
    </row>
    <row r="70" spans="1:48" ht="30" customHeight="1" x14ac:dyDescent="0.3">
      <c r="A70" s="4" t="s">
        <v>279</v>
      </c>
      <c r="B70" s="4" t="s">
        <v>55</v>
      </c>
      <c r="C70" s="4" t="s">
        <v>55</v>
      </c>
      <c r="D70" s="5"/>
      <c r="E70" s="7">
        <f>TRUNC([1]단가대비표!O488,0)</f>
        <v>0</v>
      </c>
      <c r="F70" s="7">
        <f t="shared" si="8"/>
        <v>0</v>
      </c>
      <c r="G70" s="7">
        <f>TRUNC([1]단가대비표!P488,0)</f>
        <v>0</v>
      </c>
      <c r="H70" s="7">
        <f t="shared" si="9"/>
        <v>0</v>
      </c>
      <c r="I70" s="7">
        <f>TRUNC([1]단가대비표!V488,0)</f>
        <v>0</v>
      </c>
      <c r="J70" s="7">
        <f t="shared" si="10"/>
        <v>0</v>
      </c>
      <c r="K70" s="7">
        <f t="shared" si="11"/>
        <v>0</v>
      </c>
      <c r="L70" s="7">
        <f t="shared" si="11"/>
        <v>0</v>
      </c>
      <c r="M70" s="4" t="s">
        <v>55</v>
      </c>
      <c r="N70" s="6" t="s">
        <v>280</v>
      </c>
      <c r="O70" s="6" t="s">
        <v>55</v>
      </c>
      <c r="P70" s="6" t="s">
        <v>55</v>
      </c>
      <c r="Q70" s="6" t="s">
        <v>189</v>
      </c>
      <c r="R70" s="6" t="s">
        <v>56</v>
      </c>
      <c r="S70" s="6" t="s">
        <v>56</v>
      </c>
      <c r="T70" s="6" t="s">
        <v>57</v>
      </c>
      <c r="AR70" s="6" t="s">
        <v>55</v>
      </c>
      <c r="AS70" s="6" t="s">
        <v>55</v>
      </c>
      <c r="AU70" s="6" t="s">
        <v>281</v>
      </c>
      <c r="AV70">
        <v>1703</v>
      </c>
    </row>
    <row r="71" spans="1:48" ht="30" customHeight="1" x14ac:dyDescent="0.3">
      <c r="A71" s="4" t="s">
        <v>282</v>
      </c>
      <c r="B71" s="4" t="s">
        <v>283</v>
      </c>
      <c r="C71" s="4" t="s">
        <v>284</v>
      </c>
      <c r="D71" s="5">
        <v>8.91</v>
      </c>
      <c r="E71" s="7">
        <f>TRUNC([1]단가대비표!O489,0)</f>
        <v>2500000</v>
      </c>
      <c r="F71" s="7">
        <f t="shared" si="8"/>
        <v>22275000</v>
      </c>
      <c r="G71" s="7">
        <f>TRUNC([1]단가대비표!P489,0)</f>
        <v>600000</v>
      </c>
      <c r="H71" s="7">
        <f t="shared" si="9"/>
        <v>5346000</v>
      </c>
      <c r="I71" s="7">
        <f>TRUNC([1]단가대비표!V489,0)</f>
        <v>100000</v>
      </c>
      <c r="J71" s="7">
        <f t="shared" si="10"/>
        <v>891000</v>
      </c>
      <c r="K71" s="7">
        <f t="shared" si="11"/>
        <v>3200000</v>
      </c>
      <c r="L71" s="7">
        <f t="shared" si="11"/>
        <v>28512000</v>
      </c>
      <c r="M71" s="4" t="s">
        <v>115</v>
      </c>
      <c r="N71" s="6" t="s">
        <v>285</v>
      </c>
      <c r="O71" s="6" t="s">
        <v>55</v>
      </c>
      <c r="P71" s="6" t="s">
        <v>55</v>
      </c>
      <c r="Q71" s="6" t="s">
        <v>189</v>
      </c>
      <c r="R71" s="6" t="s">
        <v>56</v>
      </c>
      <c r="S71" s="6" t="s">
        <v>56</v>
      </c>
      <c r="T71" s="6" t="s">
        <v>57</v>
      </c>
      <c r="AR71" s="6" t="s">
        <v>55</v>
      </c>
      <c r="AS71" s="6" t="s">
        <v>55</v>
      </c>
      <c r="AU71" s="6" t="s">
        <v>286</v>
      </c>
      <c r="AV71">
        <v>1704</v>
      </c>
    </row>
    <row r="72" spans="1:48" ht="30" customHeight="1" x14ac:dyDescent="0.3">
      <c r="A72" s="4" t="s">
        <v>287</v>
      </c>
      <c r="B72" s="4" t="s">
        <v>283</v>
      </c>
      <c r="C72" s="4" t="s">
        <v>284</v>
      </c>
      <c r="D72" s="5">
        <v>8.91</v>
      </c>
      <c r="E72" s="7">
        <f>TRUNC([1]단가대비표!O490,0)</f>
        <v>70000</v>
      </c>
      <c r="F72" s="7">
        <f t="shared" si="8"/>
        <v>623700</v>
      </c>
      <c r="G72" s="7">
        <f>TRUNC([1]단가대비표!P490,0)</f>
        <v>900000</v>
      </c>
      <c r="H72" s="7">
        <f t="shared" si="9"/>
        <v>8019000</v>
      </c>
      <c r="I72" s="7">
        <f>TRUNC([1]단가대비표!V490,0)</f>
        <v>80000</v>
      </c>
      <c r="J72" s="7">
        <f t="shared" si="10"/>
        <v>712800</v>
      </c>
      <c r="K72" s="7">
        <f t="shared" si="11"/>
        <v>1050000</v>
      </c>
      <c r="L72" s="7">
        <f t="shared" si="11"/>
        <v>9355500</v>
      </c>
      <c r="M72" s="4" t="s">
        <v>115</v>
      </c>
      <c r="N72" s="6" t="s">
        <v>288</v>
      </c>
      <c r="O72" s="6" t="s">
        <v>55</v>
      </c>
      <c r="P72" s="6" t="s">
        <v>55</v>
      </c>
      <c r="Q72" s="6" t="s">
        <v>189</v>
      </c>
      <c r="R72" s="6" t="s">
        <v>56</v>
      </c>
      <c r="S72" s="6" t="s">
        <v>56</v>
      </c>
      <c r="T72" s="6" t="s">
        <v>57</v>
      </c>
      <c r="AR72" s="6" t="s">
        <v>55</v>
      </c>
      <c r="AS72" s="6" t="s">
        <v>55</v>
      </c>
      <c r="AU72" s="6" t="s">
        <v>289</v>
      </c>
      <c r="AV72">
        <v>1705</v>
      </c>
    </row>
    <row r="73" spans="1:48" ht="30" customHeight="1" x14ac:dyDescent="0.3">
      <c r="A73" s="4" t="s">
        <v>290</v>
      </c>
      <c r="B73" s="4" t="s">
        <v>291</v>
      </c>
      <c r="C73" s="4" t="s">
        <v>81</v>
      </c>
      <c r="D73" s="5">
        <v>386</v>
      </c>
      <c r="E73" s="7">
        <f>TRUNC([1]단가대비표!O491,0)</f>
        <v>5000</v>
      </c>
      <c r="F73" s="7">
        <f t="shared" si="8"/>
        <v>1930000</v>
      </c>
      <c r="G73" s="7">
        <f>TRUNC([1]단가대비표!P491,0)</f>
        <v>6500</v>
      </c>
      <c r="H73" s="7">
        <f t="shared" si="9"/>
        <v>2509000</v>
      </c>
      <c r="I73" s="7">
        <f>TRUNC([1]단가대비표!V491,0)</f>
        <v>3500</v>
      </c>
      <c r="J73" s="7">
        <f t="shared" si="10"/>
        <v>1351000</v>
      </c>
      <c r="K73" s="7">
        <f t="shared" si="11"/>
        <v>15000</v>
      </c>
      <c r="L73" s="7">
        <f t="shared" si="11"/>
        <v>5790000</v>
      </c>
      <c r="M73" s="4" t="s">
        <v>115</v>
      </c>
      <c r="N73" s="6" t="s">
        <v>292</v>
      </c>
      <c r="O73" s="6" t="s">
        <v>55</v>
      </c>
      <c r="P73" s="6" t="s">
        <v>55</v>
      </c>
      <c r="Q73" s="6" t="s">
        <v>189</v>
      </c>
      <c r="R73" s="6" t="s">
        <v>56</v>
      </c>
      <c r="S73" s="6" t="s">
        <v>56</v>
      </c>
      <c r="T73" s="6" t="s">
        <v>57</v>
      </c>
      <c r="AR73" s="6" t="s">
        <v>55</v>
      </c>
      <c r="AS73" s="6" t="s">
        <v>55</v>
      </c>
      <c r="AU73" s="6" t="s">
        <v>293</v>
      </c>
      <c r="AV73">
        <v>1706</v>
      </c>
    </row>
    <row r="74" spans="1:48" ht="30" customHeight="1" x14ac:dyDescent="0.3">
      <c r="A74" s="4" t="s">
        <v>294</v>
      </c>
      <c r="B74" s="4" t="s">
        <v>295</v>
      </c>
      <c r="C74" s="4" t="s">
        <v>81</v>
      </c>
      <c r="D74" s="5">
        <v>772</v>
      </c>
      <c r="E74" s="7">
        <f>TRUNC([1]단가대비표!O492,0)</f>
        <v>32000</v>
      </c>
      <c r="F74" s="7">
        <f t="shared" si="8"/>
        <v>24704000</v>
      </c>
      <c r="G74" s="7">
        <f>TRUNC([1]단가대비표!P492,0)</f>
        <v>8500</v>
      </c>
      <c r="H74" s="7">
        <f t="shared" si="9"/>
        <v>6562000</v>
      </c>
      <c r="I74" s="7">
        <f>TRUNC([1]단가대비표!V492,0)</f>
        <v>5500</v>
      </c>
      <c r="J74" s="7">
        <f t="shared" si="10"/>
        <v>4246000</v>
      </c>
      <c r="K74" s="7">
        <f t="shared" si="11"/>
        <v>46000</v>
      </c>
      <c r="L74" s="7">
        <f t="shared" si="11"/>
        <v>35512000</v>
      </c>
      <c r="M74" s="4" t="s">
        <v>115</v>
      </c>
      <c r="N74" s="6" t="s">
        <v>296</v>
      </c>
      <c r="O74" s="6" t="s">
        <v>55</v>
      </c>
      <c r="P74" s="6" t="s">
        <v>55</v>
      </c>
      <c r="Q74" s="6" t="s">
        <v>189</v>
      </c>
      <c r="R74" s="6" t="s">
        <v>56</v>
      </c>
      <c r="S74" s="6" t="s">
        <v>56</v>
      </c>
      <c r="T74" s="6" t="s">
        <v>57</v>
      </c>
      <c r="AR74" s="6" t="s">
        <v>55</v>
      </c>
      <c r="AS74" s="6" t="s">
        <v>55</v>
      </c>
      <c r="AU74" s="6" t="s">
        <v>297</v>
      </c>
      <c r="AV74">
        <v>1707</v>
      </c>
    </row>
    <row r="75" spans="1:48" ht="30" customHeight="1" x14ac:dyDescent="0.3">
      <c r="A75" s="4" t="s">
        <v>298</v>
      </c>
      <c r="B75" s="4" t="s">
        <v>299</v>
      </c>
      <c r="C75" s="4" t="s">
        <v>81</v>
      </c>
      <c r="D75" s="5">
        <v>386</v>
      </c>
      <c r="E75" s="7">
        <f>TRUNC([1]단가대비표!O493,0)</f>
        <v>4500</v>
      </c>
      <c r="F75" s="7">
        <f t="shared" si="8"/>
        <v>1737000</v>
      </c>
      <c r="G75" s="7">
        <f>TRUNC([1]단가대비표!P493,0)</f>
        <v>6000</v>
      </c>
      <c r="H75" s="7">
        <f t="shared" si="9"/>
        <v>2316000</v>
      </c>
      <c r="I75" s="7">
        <f>TRUNC([1]단가대비표!V493,0)</f>
        <v>3000</v>
      </c>
      <c r="J75" s="7">
        <f t="shared" si="10"/>
        <v>1158000</v>
      </c>
      <c r="K75" s="7">
        <f t="shared" si="11"/>
        <v>13500</v>
      </c>
      <c r="L75" s="7">
        <f t="shared" si="11"/>
        <v>5211000</v>
      </c>
      <c r="M75" s="4" t="s">
        <v>115</v>
      </c>
      <c r="N75" s="6" t="s">
        <v>300</v>
      </c>
      <c r="O75" s="6" t="s">
        <v>55</v>
      </c>
      <c r="P75" s="6" t="s">
        <v>55</v>
      </c>
      <c r="Q75" s="6" t="s">
        <v>189</v>
      </c>
      <c r="R75" s="6" t="s">
        <v>56</v>
      </c>
      <c r="S75" s="6" t="s">
        <v>56</v>
      </c>
      <c r="T75" s="6" t="s">
        <v>57</v>
      </c>
      <c r="AR75" s="6" t="s">
        <v>55</v>
      </c>
      <c r="AS75" s="6" t="s">
        <v>55</v>
      </c>
      <c r="AU75" s="6" t="s">
        <v>301</v>
      </c>
      <c r="AV75">
        <v>1708</v>
      </c>
    </row>
    <row r="76" spans="1:48" ht="30" customHeight="1" x14ac:dyDescent="0.3">
      <c r="A76" s="4" t="s">
        <v>302</v>
      </c>
      <c r="B76" s="4" t="s">
        <v>55</v>
      </c>
      <c r="C76" s="4" t="s">
        <v>81</v>
      </c>
      <c r="D76" s="5">
        <v>386</v>
      </c>
      <c r="E76" s="7">
        <f>TRUNC([1]단가대비표!O494,0)</f>
        <v>4000</v>
      </c>
      <c r="F76" s="7">
        <f t="shared" si="8"/>
        <v>1544000</v>
      </c>
      <c r="G76" s="7">
        <f>TRUNC([1]단가대비표!P494,0)</f>
        <v>5500</v>
      </c>
      <c r="H76" s="7">
        <f t="shared" si="9"/>
        <v>2123000</v>
      </c>
      <c r="I76" s="7">
        <f>TRUNC([1]단가대비표!V494,0)</f>
        <v>2500</v>
      </c>
      <c r="J76" s="7">
        <f t="shared" si="10"/>
        <v>965000</v>
      </c>
      <c r="K76" s="7">
        <f t="shared" si="11"/>
        <v>12000</v>
      </c>
      <c r="L76" s="7">
        <f t="shared" si="11"/>
        <v>4632000</v>
      </c>
      <c r="M76" s="4" t="s">
        <v>115</v>
      </c>
      <c r="N76" s="6" t="s">
        <v>303</v>
      </c>
      <c r="O76" s="6" t="s">
        <v>55</v>
      </c>
      <c r="P76" s="6" t="s">
        <v>55</v>
      </c>
      <c r="Q76" s="6" t="s">
        <v>189</v>
      </c>
      <c r="R76" s="6" t="s">
        <v>56</v>
      </c>
      <c r="S76" s="6" t="s">
        <v>56</v>
      </c>
      <c r="T76" s="6" t="s">
        <v>57</v>
      </c>
      <c r="AR76" s="6" t="s">
        <v>55</v>
      </c>
      <c r="AS76" s="6" t="s">
        <v>55</v>
      </c>
      <c r="AU76" s="6" t="s">
        <v>304</v>
      </c>
      <c r="AV76">
        <v>1709</v>
      </c>
    </row>
    <row r="77" spans="1:48" ht="30" customHeight="1" x14ac:dyDescent="0.3">
      <c r="A77" s="4" t="s">
        <v>305</v>
      </c>
      <c r="B77" s="4" t="s">
        <v>306</v>
      </c>
      <c r="C77" s="4" t="s">
        <v>284</v>
      </c>
      <c r="D77" s="5">
        <v>3</v>
      </c>
      <c r="E77" s="7">
        <f>TRUNC([1]단가대비표!O495,0)</f>
        <v>0</v>
      </c>
      <c r="F77" s="7">
        <f t="shared" si="8"/>
        <v>0</v>
      </c>
      <c r="G77" s="7">
        <f>TRUNC([1]단가대비표!P495,0)</f>
        <v>0</v>
      </c>
      <c r="H77" s="7">
        <f t="shared" si="9"/>
        <v>0</v>
      </c>
      <c r="I77" s="7">
        <f>TRUNC([1]단가대비표!V495,0)</f>
        <v>0</v>
      </c>
      <c r="J77" s="7">
        <f t="shared" si="10"/>
        <v>0</v>
      </c>
      <c r="K77" s="7">
        <f t="shared" si="11"/>
        <v>0</v>
      </c>
      <c r="L77" s="7">
        <f t="shared" si="11"/>
        <v>0</v>
      </c>
      <c r="M77" s="4" t="s">
        <v>55</v>
      </c>
      <c r="N77" s="6" t="s">
        <v>307</v>
      </c>
      <c r="O77" s="6" t="s">
        <v>55</v>
      </c>
      <c r="P77" s="6" t="s">
        <v>55</v>
      </c>
      <c r="Q77" s="6" t="s">
        <v>189</v>
      </c>
      <c r="R77" s="6" t="s">
        <v>56</v>
      </c>
      <c r="S77" s="6" t="s">
        <v>56</v>
      </c>
      <c r="T77" s="6" t="s">
        <v>57</v>
      </c>
      <c r="AR77" s="6" t="s">
        <v>55</v>
      </c>
      <c r="AS77" s="6" t="s">
        <v>55</v>
      </c>
      <c r="AU77" s="6" t="s">
        <v>308</v>
      </c>
      <c r="AV77">
        <v>1710</v>
      </c>
    </row>
    <row r="78" spans="1:48" ht="30" customHeight="1" x14ac:dyDescent="0.3">
      <c r="A78" s="4" t="s">
        <v>55</v>
      </c>
      <c r="B78" s="4" t="s">
        <v>55</v>
      </c>
      <c r="C78" s="4" t="s">
        <v>55</v>
      </c>
      <c r="D78" s="5"/>
      <c r="E78" s="7">
        <f>TRUNC([1]단가대비표!O760,0)</f>
        <v>0</v>
      </c>
      <c r="F78" s="7">
        <f t="shared" si="8"/>
        <v>0</v>
      </c>
      <c r="G78" s="7">
        <f>TRUNC([1]단가대비표!P760,0)</f>
        <v>0</v>
      </c>
      <c r="H78" s="7">
        <f t="shared" si="9"/>
        <v>0</v>
      </c>
      <c r="I78" s="7">
        <f>TRUNC([1]단가대비표!V760,0)</f>
        <v>0</v>
      </c>
      <c r="J78" s="7">
        <f t="shared" si="10"/>
        <v>0</v>
      </c>
      <c r="K78" s="7">
        <f t="shared" si="11"/>
        <v>0</v>
      </c>
      <c r="L78" s="7">
        <f t="shared" si="11"/>
        <v>0</v>
      </c>
      <c r="M78" s="4" t="s">
        <v>55</v>
      </c>
      <c r="N78" s="6" t="s">
        <v>309</v>
      </c>
      <c r="O78" s="6" t="s">
        <v>55</v>
      </c>
      <c r="P78" s="6" t="s">
        <v>55</v>
      </c>
      <c r="Q78" s="6" t="s">
        <v>189</v>
      </c>
      <c r="R78" s="6" t="s">
        <v>56</v>
      </c>
      <c r="S78" s="6" t="s">
        <v>56</v>
      </c>
      <c r="T78" s="6" t="s">
        <v>57</v>
      </c>
      <c r="AR78" s="6" t="s">
        <v>55</v>
      </c>
      <c r="AS78" s="6" t="s">
        <v>55</v>
      </c>
      <c r="AU78" s="6" t="s">
        <v>310</v>
      </c>
      <c r="AV78">
        <v>2579</v>
      </c>
    </row>
    <row r="79" spans="1:48" ht="30" customHeight="1" x14ac:dyDescent="0.3">
      <c r="A79" s="4" t="s">
        <v>311</v>
      </c>
      <c r="B79" s="4" t="s">
        <v>55</v>
      </c>
      <c r="C79" s="4" t="s">
        <v>55</v>
      </c>
      <c r="D79" s="5"/>
      <c r="E79" s="7">
        <f>TRUNC([1]단가대비표!O470,0)</f>
        <v>0</v>
      </c>
      <c r="F79" s="7">
        <f t="shared" si="8"/>
        <v>0</v>
      </c>
      <c r="G79" s="7">
        <f>TRUNC([1]단가대비표!P470,0)</f>
        <v>0</v>
      </c>
      <c r="H79" s="7">
        <f t="shared" si="9"/>
        <v>0</v>
      </c>
      <c r="I79" s="7">
        <f>TRUNC([1]단가대비표!V470,0)</f>
        <v>0</v>
      </c>
      <c r="J79" s="7">
        <f t="shared" si="10"/>
        <v>0</v>
      </c>
      <c r="K79" s="7">
        <f t="shared" si="11"/>
        <v>0</v>
      </c>
      <c r="L79" s="7">
        <f t="shared" si="11"/>
        <v>0</v>
      </c>
      <c r="M79" s="4" t="s">
        <v>55</v>
      </c>
      <c r="N79" s="6" t="s">
        <v>312</v>
      </c>
      <c r="O79" s="6" t="s">
        <v>55</v>
      </c>
      <c r="P79" s="6" t="s">
        <v>55</v>
      </c>
      <c r="Q79" s="6" t="s">
        <v>189</v>
      </c>
      <c r="R79" s="6" t="s">
        <v>56</v>
      </c>
      <c r="S79" s="6" t="s">
        <v>56</v>
      </c>
      <c r="T79" s="6" t="s">
        <v>57</v>
      </c>
      <c r="AR79" s="6" t="s">
        <v>55</v>
      </c>
      <c r="AS79" s="6" t="s">
        <v>55</v>
      </c>
      <c r="AU79" s="6" t="s">
        <v>313</v>
      </c>
      <c r="AV79">
        <v>1632</v>
      </c>
    </row>
    <row r="80" spans="1:48" ht="30" customHeight="1" x14ac:dyDescent="0.3">
      <c r="A80" s="4" t="s">
        <v>314</v>
      </c>
      <c r="B80" s="4" t="s">
        <v>315</v>
      </c>
      <c r="C80" s="4" t="s">
        <v>140</v>
      </c>
      <c r="D80" s="5">
        <v>6255</v>
      </c>
      <c r="E80" s="7">
        <f>TRUNC([1]단가대비표!O471,0)</f>
        <v>0</v>
      </c>
      <c r="F80" s="7">
        <f t="shared" si="8"/>
        <v>0</v>
      </c>
      <c r="G80" s="7">
        <f>TRUNC([1]단가대비표!P471,0)</f>
        <v>0</v>
      </c>
      <c r="H80" s="7">
        <f t="shared" si="9"/>
        <v>0</v>
      </c>
      <c r="I80" s="7">
        <f>TRUNC([1]단가대비표!V471,0)</f>
        <v>0</v>
      </c>
      <c r="J80" s="7">
        <f t="shared" si="10"/>
        <v>0</v>
      </c>
      <c r="K80" s="7">
        <f t="shared" si="11"/>
        <v>0</v>
      </c>
      <c r="L80" s="7">
        <f t="shared" si="11"/>
        <v>0</v>
      </c>
      <c r="M80" s="4" t="s">
        <v>316</v>
      </c>
      <c r="N80" s="6" t="s">
        <v>317</v>
      </c>
      <c r="O80" s="6" t="s">
        <v>55</v>
      </c>
      <c r="P80" s="6" t="s">
        <v>55</v>
      </c>
      <c r="Q80" s="6" t="s">
        <v>189</v>
      </c>
      <c r="R80" s="6" t="s">
        <v>56</v>
      </c>
      <c r="S80" s="6" t="s">
        <v>56</v>
      </c>
      <c r="T80" s="6" t="s">
        <v>57</v>
      </c>
      <c r="AR80" s="6" t="s">
        <v>55</v>
      </c>
      <c r="AS80" s="6" t="s">
        <v>55</v>
      </c>
      <c r="AU80" s="6" t="s">
        <v>318</v>
      </c>
      <c r="AV80">
        <v>1633</v>
      </c>
    </row>
    <row r="81" spans="1:48" ht="30" customHeight="1" x14ac:dyDescent="0.3">
      <c r="A81" s="4" t="s">
        <v>314</v>
      </c>
      <c r="B81" s="4" t="s">
        <v>319</v>
      </c>
      <c r="C81" s="4" t="s">
        <v>140</v>
      </c>
      <c r="D81" s="5">
        <v>874</v>
      </c>
      <c r="E81" s="7">
        <f>TRUNC([1]단가대비표!O472,0)</f>
        <v>0</v>
      </c>
      <c r="F81" s="7">
        <f t="shared" si="8"/>
        <v>0</v>
      </c>
      <c r="G81" s="7">
        <f>TRUNC([1]단가대비표!P472,0)</f>
        <v>0</v>
      </c>
      <c r="H81" s="7">
        <f t="shared" si="9"/>
        <v>0</v>
      </c>
      <c r="I81" s="7">
        <f>TRUNC([1]단가대비표!V472,0)</f>
        <v>0</v>
      </c>
      <c r="J81" s="7">
        <f t="shared" si="10"/>
        <v>0</v>
      </c>
      <c r="K81" s="7">
        <f t="shared" si="11"/>
        <v>0</v>
      </c>
      <c r="L81" s="7">
        <f t="shared" si="11"/>
        <v>0</v>
      </c>
      <c r="M81" s="4" t="s">
        <v>320</v>
      </c>
      <c r="N81" s="6" t="s">
        <v>321</v>
      </c>
      <c r="O81" s="6" t="s">
        <v>55</v>
      </c>
      <c r="P81" s="6" t="s">
        <v>55</v>
      </c>
      <c r="Q81" s="6" t="s">
        <v>189</v>
      </c>
      <c r="R81" s="6" t="s">
        <v>56</v>
      </c>
      <c r="S81" s="6" t="s">
        <v>56</v>
      </c>
      <c r="T81" s="6" t="s">
        <v>57</v>
      </c>
      <c r="AR81" s="6" t="s">
        <v>55</v>
      </c>
      <c r="AS81" s="6" t="s">
        <v>55</v>
      </c>
      <c r="AU81" s="6" t="s">
        <v>322</v>
      </c>
      <c r="AV81">
        <v>1634</v>
      </c>
    </row>
    <row r="82" spans="1:48" ht="30" customHeight="1" x14ac:dyDescent="0.3">
      <c r="A82" s="4" t="s">
        <v>314</v>
      </c>
      <c r="B82" s="4" t="s">
        <v>323</v>
      </c>
      <c r="C82" s="4" t="s">
        <v>140</v>
      </c>
      <c r="D82" s="5">
        <v>159</v>
      </c>
      <c r="E82" s="7">
        <f>TRUNC([1]단가대비표!O473,0)</f>
        <v>0</v>
      </c>
      <c r="F82" s="7">
        <f t="shared" si="8"/>
        <v>0</v>
      </c>
      <c r="G82" s="7">
        <f>TRUNC([1]단가대비표!P473,0)</f>
        <v>0</v>
      </c>
      <c r="H82" s="7">
        <f t="shared" si="9"/>
        <v>0</v>
      </c>
      <c r="I82" s="7">
        <f>TRUNC([1]단가대비표!V473,0)</f>
        <v>0</v>
      </c>
      <c r="J82" s="7">
        <f t="shared" si="10"/>
        <v>0</v>
      </c>
      <c r="K82" s="7">
        <f t="shared" si="11"/>
        <v>0</v>
      </c>
      <c r="L82" s="7">
        <f t="shared" si="11"/>
        <v>0</v>
      </c>
      <c r="M82" s="4" t="s">
        <v>324</v>
      </c>
      <c r="N82" s="6" t="s">
        <v>325</v>
      </c>
      <c r="O82" s="6" t="s">
        <v>55</v>
      </c>
      <c r="P82" s="6" t="s">
        <v>55</v>
      </c>
      <c r="Q82" s="6" t="s">
        <v>189</v>
      </c>
      <c r="R82" s="6" t="s">
        <v>56</v>
      </c>
      <c r="S82" s="6" t="s">
        <v>56</v>
      </c>
      <c r="T82" s="6" t="s">
        <v>57</v>
      </c>
      <c r="AR82" s="6" t="s">
        <v>55</v>
      </c>
      <c r="AS82" s="6" t="s">
        <v>55</v>
      </c>
      <c r="AU82" s="6" t="s">
        <v>326</v>
      </c>
      <c r="AV82">
        <v>1635</v>
      </c>
    </row>
    <row r="83" spans="1:48" ht="30" customHeight="1" x14ac:dyDescent="0.3">
      <c r="A83" s="4" t="s">
        <v>327</v>
      </c>
      <c r="B83" s="4" t="s">
        <v>328</v>
      </c>
      <c r="C83" s="4" t="s">
        <v>61</v>
      </c>
      <c r="D83" s="5">
        <v>7288</v>
      </c>
      <c r="E83" s="7">
        <f>TRUNC([1]단가대비표!O898,0)</f>
        <v>8000</v>
      </c>
      <c r="F83" s="7">
        <f t="shared" si="8"/>
        <v>58304000</v>
      </c>
      <c r="G83" s="7">
        <f>TRUNC([1]단가대비표!P898,0)</f>
        <v>0</v>
      </c>
      <c r="H83" s="7">
        <f t="shared" si="9"/>
        <v>0</v>
      </c>
      <c r="I83" s="7">
        <f>TRUNC([1]단가대비표!V898,0)</f>
        <v>0</v>
      </c>
      <c r="J83" s="7">
        <f t="shared" si="10"/>
        <v>0</v>
      </c>
      <c r="K83" s="7">
        <f t="shared" si="11"/>
        <v>8000</v>
      </c>
      <c r="L83" s="7">
        <f t="shared" si="11"/>
        <v>58304000</v>
      </c>
      <c r="M83" s="4" t="s">
        <v>115</v>
      </c>
      <c r="N83" s="6" t="s">
        <v>329</v>
      </c>
      <c r="O83" s="6" t="s">
        <v>55</v>
      </c>
      <c r="P83" s="6" t="s">
        <v>55</v>
      </c>
      <c r="Q83" s="6" t="s">
        <v>189</v>
      </c>
      <c r="R83" s="6" t="s">
        <v>56</v>
      </c>
      <c r="S83" s="6" t="s">
        <v>56</v>
      </c>
      <c r="T83" s="6" t="s">
        <v>57</v>
      </c>
      <c r="AR83" s="6" t="s">
        <v>55</v>
      </c>
      <c r="AS83" s="6" t="s">
        <v>55</v>
      </c>
      <c r="AU83" s="6" t="s">
        <v>330</v>
      </c>
      <c r="AV83">
        <v>3483</v>
      </c>
    </row>
    <row r="84" spans="1:48" ht="30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spans="1:48" ht="30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spans="1:48" ht="30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spans="1:48" ht="30" customHeight="1" x14ac:dyDescent="0.3">
      <c r="A87" s="4" t="s">
        <v>128</v>
      </c>
      <c r="B87" s="5"/>
      <c r="C87" s="5"/>
      <c r="D87" s="5"/>
      <c r="E87" s="5"/>
      <c r="F87" s="7">
        <f>SUM(F47:F86)</f>
        <v>658265490</v>
      </c>
      <c r="G87" s="5"/>
      <c r="H87" s="7">
        <f>SUM(H47:H86)</f>
        <v>2139052106</v>
      </c>
      <c r="I87" s="5"/>
      <c r="J87" s="7">
        <f>SUM(J47:J86)</f>
        <v>60350088</v>
      </c>
      <c r="K87" s="5"/>
      <c r="L87" s="7">
        <f>SUM(L47:L86)</f>
        <v>2857667684</v>
      </c>
      <c r="M87" s="5"/>
      <c r="N87" t="s">
        <v>129</v>
      </c>
    </row>
    <row r="88" spans="1:48" ht="30" customHeight="1" x14ac:dyDescent="0.3">
      <c r="A88" s="4" t="s">
        <v>331</v>
      </c>
      <c r="B88" s="4" t="s">
        <v>48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Q88" s="6" t="s">
        <v>332</v>
      </c>
    </row>
    <row r="89" spans="1:48" ht="30" customHeight="1" x14ac:dyDescent="0.3">
      <c r="A89" s="4" t="s">
        <v>333</v>
      </c>
      <c r="B89" s="4" t="s">
        <v>334</v>
      </c>
      <c r="C89" s="4" t="s">
        <v>106</v>
      </c>
      <c r="D89" s="5">
        <v>0.48</v>
      </c>
      <c r="E89" s="7">
        <f>TRUNC([1]단가대비표!O53,0)</f>
        <v>1270000</v>
      </c>
      <c r="F89" s="7">
        <f t="shared" ref="F89:F107" si="12">TRUNC(E89*D89, 0)</f>
        <v>609600</v>
      </c>
      <c r="G89" s="7">
        <f>TRUNC([1]단가대비표!P53,0)</f>
        <v>0</v>
      </c>
      <c r="H89" s="7">
        <f t="shared" ref="H89:H107" si="13">TRUNC(G89*D89, 0)</f>
        <v>0</v>
      </c>
      <c r="I89" s="7">
        <f>TRUNC([1]단가대비표!V53,0)</f>
        <v>0</v>
      </c>
      <c r="J89" s="7">
        <f t="shared" ref="J89:J107" si="14">TRUNC(I89*D89, 0)</f>
        <v>0</v>
      </c>
      <c r="K89" s="7">
        <f t="shared" ref="K89:L107" si="15">TRUNC(E89+G89+I89, 0)</f>
        <v>1270000</v>
      </c>
      <c r="L89" s="7">
        <f t="shared" si="15"/>
        <v>609600</v>
      </c>
      <c r="M89" s="4" t="s">
        <v>335</v>
      </c>
      <c r="N89" s="6" t="s">
        <v>336</v>
      </c>
      <c r="O89" s="6" t="s">
        <v>55</v>
      </c>
      <c r="P89" s="6" t="s">
        <v>55</v>
      </c>
      <c r="Q89" s="6" t="s">
        <v>332</v>
      </c>
      <c r="R89" s="6" t="s">
        <v>56</v>
      </c>
      <c r="S89" s="6" t="s">
        <v>56</v>
      </c>
      <c r="T89" s="6" t="s">
        <v>57</v>
      </c>
      <c r="AR89" s="6" t="s">
        <v>55</v>
      </c>
      <c r="AS89" s="6" t="s">
        <v>55</v>
      </c>
      <c r="AU89" s="6" t="s">
        <v>337</v>
      </c>
      <c r="AV89">
        <v>54</v>
      </c>
    </row>
    <row r="90" spans="1:48" ht="30" customHeight="1" x14ac:dyDescent="0.3">
      <c r="A90" s="4" t="s">
        <v>333</v>
      </c>
      <c r="B90" s="4" t="s">
        <v>338</v>
      </c>
      <c r="C90" s="4" t="s">
        <v>106</v>
      </c>
      <c r="D90" s="5">
        <v>0.38800000000000001</v>
      </c>
      <c r="E90" s="7">
        <f>TRUNC([1]단가대비표!O54,0)</f>
        <v>1270000</v>
      </c>
      <c r="F90" s="7">
        <f t="shared" si="12"/>
        <v>492760</v>
      </c>
      <c r="G90" s="7">
        <f>TRUNC([1]단가대비표!P54,0)</f>
        <v>0</v>
      </c>
      <c r="H90" s="7">
        <f t="shared" si="13"/>
        <v>0</v>
      </c>
      <c r="I90" s="7">
        <f>TRUNC([1]단가대비표!V54,0)</f>
        <v>0</v>
      </c>
      <c r="J90" s="7">
        <f t="shared" si="14"/>
        <v>0</v>
      </c>
      <c r="K90" s="7">
        <f t="shared" si="15"/>
        <v>1270000</v>
      </c>
      <c r="L90" s="7">
        <f t="shared" si="15"/>
        <v>492760</v>
      </c>
      <c r="M90" s="4" t="s">
        <v>339</v>
      </c>
      <c r="N90" s="6" t="s">
        <v>340</v>
      </c>
      <c r="O90" s="6" t="s">
        <v>55</v>
      </c>
      <c r="P90" s="6" t="s">
        <v>55</v>
      </c>
      <c r="Q90" s="6" t="s">
        <v>332</v>
      </c>
      <c r="R90" s="6" t="s">
        <v>56</v>
      </c>
      <c r="S90" s="6" t="s">
        <v>56</v>
      </c>
      <c r="T90" s="6" t="s">
        <v>57</v>
      </c>
      <c r="AR90" s="6" t="s">
        <v>55</v>
      </c>
      <c r="AS90" s="6" t="s">
        <v>55</v>
      </c>
      <c r="AU90" s="6" t="s">
        <v>341</v>
      </c>
      <c r="AV90">
        <v>55</v>
      </c>
    </row>
    <row r="91" spans="1:48" ht="30" customHeight="1" x14ac:dyDescent="0.3">
      <c r="A91" s="4" t="s">
        <v>333</v>
      </c>
      <c r="B91" s="4" t="s">
        <v>342</v>
      </c>
      <c r="C91" s="4" t="s">
        <v>106</v>
      </c>
      <c r="D91" s="5">
        <v>3.0030000000000001</v>
      </c>
      <c r="E91" s="7">
        <f>TRUNC([1]단가대비표!O55,0)</f>
        <v>1270000</v>
      </c>
      <c r="F91" s="7">
        <f t="shared" si="12"/>
        <v>3813810</v>
      </c>
      <c r="G91" s="7">
        <f>TRUNC([1]단가대비표!P55,0)</f>
        <v>0</v>
      </c>
      <c r="H91" s="7">
        <f t="shared" si="13"/>
        <v>0</v>
      </c>
      <c r="I91" s="7">
        <f>TRUNC([1]단가대비표!V55,0)</f>
        <v>0</v>
      </c>
      <c r="J91" s="7">
        <f t="shared" si="14"/>
        <v>0</v>
      </c>
      <c r="K91" s="7">
        <f t="shared" si="15"/>
        <v>1270000</v>
      </c>
      <c r="L91" s="7">
        <f t="shared" si="15"/>
        <v>3813810</v>
      </c>
      <c r="M91" s="4" t="s">
        <v>339</v>
      </c>
      <c r="N91" s="6" t="s">
        <v>343</v>
      </c>
      <c r="O91" s="6" t="s">
        <v>55</v>
      </c>
      <c r="P91" s="6" t="s">
        <v>55</v>
      </c>
      <c r="Q91" s="6" t="s">
        <v>332</v>
      </c>
      <c r="R91" s="6" t="s">
        <v>56</v>
      </c>
      <c r="S91" s="6" t="s">
        <v>56</v>
      </c>
      <c r="T91" s="6" t="s">
        <v>57</v>
      </c>
      <c r="AR91" s="6" t="s">
        <v>55</v>
      </c>
      <c r="AS91" s="6" t="s">
        <v>55</v>
      </c>
      <c r="AU91" s="6" t="s">
        <v>344</v>
      </c>
      <c r="AV91">
        <v>2065</v>
      </c>
    </row>
    <row r="92" spans="1:48" ht="30" customHeight="1" x14ac:dyDescent="0.3">
      <c r="A92" s="4" t="s">
        <v>333</v>
      </c>
      <c r="B92" s="4" t="s">
        <v>345</v>
      </c>
      <c r="C92" s="4" t="s">
        <v>106</v>
      </c>
      <c r="D92" s="5">
        <v>5.8179999999999996</v>
      </c>
      <c r="E92" s="7">
        <f>TRUNC([1]단가대비표!O56,0)</f>
        <v>1410000</v>
      </c>
      <c r="F92" s="7">
        <f t="shared" si="12"/>
        <v>8203380</v>
      </c>
      <c r="G92" s="7">
        <f>TRUNC([1]단가대비표!P56,0)</f>
        <v>0</v>
      </c>
      <c r="H92" s="7">
        <f t="shared" si="13"/>
        <v>0</v>
      </c>
      <c r="I92" s="7">
        <f>TRUNC([1]단가대비표!V56,0)</f>
        <v>0</v>
      </c>
      <c r="J92" s="7">
        <f t="shared" si="14"/>
        <v>0</v>
      </c>
      <c r="K92" s="7">
        <f t="shared" si="15"/>
        <v>1410000</v>
      </c>
      <c r="L92" s="7">
        <f t="shared" si="15"/>
        <v>8203380</v>
      </c>
      <c r="M92" s="4" t="s">
        <v>339</v>
      </c>
      <c r="N92" s="6" t="s">
        <v>346</v>
      </c>
      <c r="O92" s="6" t="s">
        <v>55</v>
      </c>
      <c r="P92" s="6" t="s">
        <v>55</v>
      </c>
      <c r="Q92" s="6" t="s">
        <v>332</v>
      </c>
      <c r="R92" s="6" t="s">
        <v>56</v>
      </c>
      <c r="S92" s="6" t="s">
        <v>56</v>
      </c>
      <c r="T92" s="6" t="s">
        <v>57</v>
      </c>
      <c r="AR92" s="6" t="s">
        <v>55</v>
      </c>
      <c r="AS92" s="6" t="s">
        <v>55</v>
      </c>
      <c r="AU92" s="6" t="s">
        <v>347</v>
      </c>
      <c r="AV92">
        <v>2066</v>
      </c>
    </row>
    <row r="93" spans="1:48" ht="30" customHeight="1" x14ac:dyDescent="0.3">
      <c r="A93" s="4" t="s">
        <v>333</v>
      </c>
      <c r="B93" s="4" t="s">
        <v>348</v>
      </c>
      <c r="C93" s="4" t="s">
        <v>106</v>
      </c>
      <c r="D93" s="5">
        <v>7.7290000000000001</v>
      </c>
      <c r="E93" s="7">
        <f>TRUNC([1]단가대비표!O57,0)</f>
        <v>1270000</v>
      </c>
      <c r="F93" s="7">
        <f t="shared" si="12"/>
        <v>9815830</v>
      </c>
      <c r="G93" s="7">
        <f>TRUNC([1]단가대비표!P57,0)</f>
        <v>0</v>
      </c>
      <c r="H93" s="7">
        <f t="shared" si="13"/>
        <v>0</v>
      </c>
      <c r="I93" s="7">
        <f>TRUNC([1]단가대비표!V57,0)</f>
        <v>0</v>
      </c>
      <c r="J93" s="7">
        <f t="shared" si="14"/>
        <v>0</v>
      </c>
      <c r="K93" s="7">
        <f t="shared" si="15"/>
        <v>1270000</v>
      </c>
      <c r="L93" s="7">
        <f t="shared" si="15"/>
        <v>9815830</v>
      </c>
      <c r="M93" s="4" t="s">
        <v>349</v>
      </c>
      <c r="N93" s="6" t="s">
        <v>350</v>
      </c>
      <c r="O93" s="6" t="s">
        <v>55</v>
      </c>
      <c r="P93" s="6" t="s">
        <v>55</v>
      </c>
      <c r="Q93" s="6" t="s">
        <v>332</v>
      </c>
      <c r="R93" s="6" t="s">
        <v>56</v>
      </c>
      <c r="S93" s="6" t="s">
        <v>56</v>
      </c>
      <c r="T93" s="6" t="s">
        <v>57</v>
      </c>
      <c r="AR93" s="6" t="s">
        <v>55</v>
      </c>
      <c r="AS93" s="6" t="s">
        <v>55</v>
      </c>
      <c r="AU93" s="6" t="s">
        <v>351</v>
      </c>
      <c r="AV93">
        <v>2067</v>
      </c>
    </row>
    <row r="94" spans="1:48" ht="30" customHeight="1" x14ac:dyDescent="0.3">
      <c r="A94" s="4" t="s">
        <v>333</v>
      </c>
      <c r="B94" s="4" t="s">
        <v>352</v>
      </c>
      <c r="C94" s="4" t="s">
        <v>106</v>
      </c>
      <c r="D94" s="5">
        <v>0.93799999999999994</v>
      </c>
      <c r="E94" s="7">
        <f>TRUNC([1]단가대비표!O58,0)</f>
        <v>1270000</v>
      </c>
      <c r="F94" s="7">
        <f t="shared" si="12"/>
        <v>1191260</v>
      </c>
      <c r="G94" s="7">
        <f>TRUNC([1]단가대비표!P58,0)</f>
        <v>0</v>
      </c>
      <c r="H94" s="7">
        <f t="shared" si="13"/>
        <v>0</v>
      </c>
      <c r="I94" s="7">
        <f>TRUNC([1]단가대비표!V58,0)</f>
        <v>0</v>
      </c>
      <c r="J94" s="7">
        <f t="shared" si="14"/>
        <v>0</v>
      </c>
      <c r="K94" s="7">
        <f t="shared" si="15"/>
        <v>1270000</v>
      </c>
      <c r="L94" s="7">
        <f t="shared" si="15"/>
        <v>1191260</v>
      </c>
      <c r="M94" s="4" t="s">
        <v>353</v>
      </c>
      <c r="N94" s="6" t="s">
        <v>354</v>
      </c>
      <c r="O94" s="6" t="s">
        <v>55</v>
      </c>
      <c r="P94" s="6" t="s">
        <v>55</v>
      </c>
      <c r="Q94" s="6" t="s">
        <v>332</v>
      </c>
      <c r="R94" s="6" t="s">
        <v>56</v>
      </c>
      <c r="S94" s="6" t="s">
        <v>56</v>
      </c>
      <c r="T94" s="6" t="s">
        <v>57</v>
      </c>
      <c r="AR94" s="6" t="s">
        <v>55</v>
      </c>
      <c r="AS94" s="6" t="s">
        <v>55</v>
      </c>
      <c r="AU94" s="6" t="s">
        <v>355</v>
      </c>
      <c r="AV94">
        <v>59</v>
      </c>
    </row>
    <row r="95" spans="1:48" ht="30" customHeight="1" x14ac:dyDescent="0.3">
      <c r="A95" s="4" t="s">
        <v>333</v>
      </c>
      <c r="B95" s="4" t="s">
        <v>356</v>
      </c>
      <c r="C95" s="4" t="s">
        <v>106</v>
      </c>
      <c r="D95" s="5">
        <v>0.28799999999999998</v>
      </c>
      <c r="E95" s="7">
        <f>TRUNC([1]단가대비표!O62,0)</f>
        <v>1270000</v>
      </c>
      <c r="F95" s="7">
        <f t="shared" si="12"/>
        <v>365760</v>
      </c>
      <c r="G95" s="7">
        <f>TRUNC([1]단가대비표!P62,0)</f>
        <v>0</v>
      </c>
      <c r="H95" s="7">
        <f t="shared" si="13"/>
        <v>0</v>
      </c>
      <c r="I95" s="7">
        <f>TRUNC([1]단가대비표!V62,0)</f>
        <v>0</v>
      </c>
      <c r="J95" s="7">
        <f t="shared" si="14"/>
        <v>0</v>
      </c>
      <c r="K95" s="7">
        <f t="shared" si="15"/>
        <v>1270000</v>
      </c>
      <c r="L95" s="7">
        <f t="shared" si="15"/>
        <v>365760</v>
      </c>
      <c r="M95" s="4" t="s">
        <v>55</v>
      </c>
      <c r="N95" s="6" t="s">
        <v>357</v>
      </c>
      <c r="O95" s="6" t="s">
        <v>55</v>
      </c>
      <c r="P95" s="6" t="s">
        <v>55</v>
      </c>
      <c r="Q95" s="6" t="s">
        <v>332</v>
      </c>
      <c r="R95" s="6" t="s">
        <v>56</v>
      </c>
      <c r="S95" s="6" t="s">
        <v>56</v>
      </c>
      <c r="T95" s="6" t="s">
        <v>57</v>
      </c>
      <c r="AR95" s="6" t="s">
        <v>55</v>
      </c>
      <c r="AS95" s="6" t="s">
        <v>55</v>
      </c>
      <c r="AU95" s="6" t="s">
        <v>358</v>
      </c>
      <c r="AV95">
        <v>2068</v>
      </c>
    </row>
    <row r="96" spans="1:48" ht="30" customHeight="1" x14ac:dyDescent="0.3">
      <c r="A96" s="4" t="s">
        <v>359</v>
      </c>
      <c r="B96" s="4" t="s">
        <v>360</v>
      </c>
      <c r="C96" s="4" t="s">
        <v>106</v>
      </c>
      <c r="D96" s="5">
        <v>0.72399999999999998</v>
      </c>
      <c r="E96" s="7">
        <f>TRUNC([1]단가대비표!O70,0)</f>
        <v>1148100</v>
      </c>
      <c r="F96" s="7">
        <f t="shared" si="12"/>
        <v>831224</v>
      </c>
      <c r="G96" s="7">
        <f>TRUNC([1]단가대비표!P70,0)</f>
        <v>0</v>
      </c>
      <c r="H96" s="7">
        <f t="shared" si="13"/>
        <v>0</v>
      </c>
      <c r="I96" s="7">
        <f>TRUNC([1]단가대비표!V70,0)</f>
        <v>0</v>
      </c>
      <c r="J96" s="7">
        <f t="shared" si="14"/>
        <v>0</v>
      </c>
      <c r="K96" s="7">
        <f t="shared" si="15"/>
        <v>1148100</v>
      </c>
      <c r="L96" s="7">
        <f t="shared" si="15"/>
        <v>831224</v>
      </c>
      <c r="M96" s="4" t="s">
        <v>55</v>
      </c>
      <c r="N96" s="6" t="s">
        <v>361</v>
      </c>
      <c r="O96" s="6" t="s">
        <v>55</v>
      </c>
      <c r="P96" s="6" t="s">
        <v>55</v>
      </c>
      <c r="Q96" s="6" t="s">
        <v>332</v>
      </c>
      <c r="R96" s="6" t="s">
        <v>56</v>
      </c>
      <c r="S96" s="6" t="s">
        <v>56</v>
      </c>
      <c r="T96" s="6" t="s">
        <v>57</v>
      </c>
      <c r="AR96" s="6" t="s">
        <v>55</v>
      </c>
      <c r="AS96" s="6" t="s">
        <v>55</v>
      </c>
      <c r="AU96" s="6" t="s">
        <v>362</v>
      </c>
      <c r="AV96">
        <v>61</v>
      </c>
    </row>
    <row r="97" spans="1:48" ht="30" customHeight="1" x14ac:dyDescent="0.3">
      <c r="A97" s="4" t="s">
        <v>363</v>
      </c>
      <c r="B97" s="4" t="s">
        <v>364</v>
      </c>
      <c r="C97" s="4" t="s">
        <v>106</v>
      </c>
      <c r="D97" s="5">
        <v>1.9890000000000001</v>
      </c>
      <c r="E97" s="7">
        <f>TRUNC([1]단가대비표!O72,0)</f>
        <v>1236824</v>
      </c>
      <c r="F97" s="7">
        <f t="shared" si="12"/>
        <v>2460042</v>
      </c>
      <c r="G97" s="7">
        <f>TRUNC([1]단가대비표!P72,0)</f>
        <v>0</v>
      </c>
      <c r="H97" s="7">
        <f t="shared" si="13"/>
        <v>0</v>
      </c>
      <c r="I97" s="7">
        <f>TRUNC([1]단가대비표!V72,0)</f>
        <v>0</v>
      </c>
      <c r="J97" s="7">
        <f t="shared" si="14"/>
        <v>0</v>
      </c>
      <c r="K97" s="7">
        <f t="shared" si="15"/>
        <v>1236824</v>
      </c>
      <c r="L97" s="7">
        <f t="shared" si="15"/>
        <v>2460042</v>
      </c>
      <c r="M97" s="4" t="s">
        <v>55</v>
      </c>
      <c r="N97" s="6" t="s">
        <v>365</v>
      </c>
      <c r="O97" s="6" t="s">
        <v>55</v>
      </c>
      <c r="P97" s="6" t="s">
        <v>55</v>
      </c>
      <c r="Q97" s="6" t="s">
        <v>332</v>
      </c>
      <c r="R97" s="6" t="s">
        <v>56</v>
      </c>
      <c r="S97" s="6" t="s">
        <v>56</v>
      </c>
      <c r="T97" s="6" t="s">
        <v>57</v>
      </c>
      <c r="AR97" s="6" t="s">
        <v>55</v>
      </c>
      <c r="AS97" s="6" t="s">
        <v>55</v>
      </c>
      <c r="AU97" s="6" t="s">
        <v>366</v>
      </c>
      <c r="AV97">
        <v>2069</v>
      </c>
    </row>
    <row r="98" spans="1:48" ht="30" customHeight="1" x14ac:dyDescent="0.3">
      <c r="A98" s="4" t="s">
        <v>367</v>
      </c>
      <c r="B98" s="4" t="s">
        <v>368</v>
      </c>
      <c r="C98" s="4" t="s">
        <v>369</v>
      </c>
      <c r="D98" s="5">
        <v>723.63599999999997</v>
      </c>
      <c r="E98" s="7">
        <f>TRUNC([1]단가대비표!O71,0)</f>
        <v>1543</v>
      </c>
      <c r="F98" s="7">
        <f t="shared" si="12"/>
        <v>1116570</v>
      </c>
      <c r="G98" s="7">
        <f>TRUNC([1]단가대비표!P71,0)</f>
        <v>0</v>
      </c>
      <c r="H98" s="7">
        <f t="shared" si="13"/>
        <v>0</v>
      </c>
      <c r="I98" s="7">
        <f>TRUNC([1]단가대비표!V71,0)</f>
        <v>0</v>
      </c>
      <c r="J98" s="7">
        <f t="shared" si="14"/>
        <v>0</v>
      </c>
      <c r="K98" s="7">
        <f t="shared" si="15"/>
        <v>1543</v>
      </c>
      <c r="L98" s="7">
        <f t="shared" si="15"/>
        <v>1116570</v>
      </c>
      <c r="M98" s="4" t="s">
        <v>55</v>
      </c>
      <c r="N98" s="6" t="s">
        <v>370</v>
      </c>
      <c r="O98" s="6" t="s">
        <v>55</v>
      </c>
      <c r="P98" s="6" t="s">
        <v>55</v>
      </c>
      <c r="Q98" s="6" t="s">
        <v>332</v>
      </c>
      <c r="R98" s="6" t="s">
        <v>56</v>
      </c>
      <c r="S98" s="6" t="s">
        <v>56</v>
      </c>
      <c r="T98" s="6" t="s">
        <v>57</v>
      </c>
      <c r="AR98" s="6" t="s">
        <v>55</v>
      </c>
      <c r="AS98" s="6" t="s">
        <v>55</v>
      </c>
      <c r="AU98" s="6" t="s">
        <v>371</v>
      </c>
      <c r="AV98">
        <v>2070</v>
      </c>
    </row>
    <row r="99" spans="1:48" ht="30" customHeight="1" x14ac:dyDescent="0.3">
      <c r="A99" s="4" t="s">
        <v>372</v>
      </c>
      <c r="B99" s="4" t="s">
        <v>373</v>
      </c>
      <c r="C99" s="4" t="s">
        <v>61</v>
      </c>
      <c r="D99" s="5">
        <v>159</v>
      </c>
      <c r="E99" s="7">
        <f>TRUNC([1]일위대가목록!E28,0)</f>
        <v>43838</v>
      </c>
      <c r="F99" s="7">
        <f t="shared" si="12"/>
        <v>6970242</v>
      </c>
      <c r="G99" s="7">
        <f>TRUNC([1]일위대가목록!F28,0)</f>
        <v>0</v>
      </c>
      <c r="H99" s="7">
        <f t="shared" si="13"/>
        <v>0</v>
      </c>
      <c r="I99" s="7">
        <f>TRUNC([1]일위대가목록!G28,0)</f>
        <v>0</v>
      </c>
      <c r="J99" s="7">
        <f t="shared" si="14"/>
        <v>0</v>
      </c>
      <c r="K99" s="7">
        <f t="shared" si="15"/>
        <v>43838</v>
      </c>
      <c r="L99" s="7">
        <f t="shared" si="15"/>
        <v>6970242</v>
      </c>
      <c r="M99" s="4" t="s">
        <v>374</v>
      </c>
      <c r="N99" s="6" t="s">
        <v>375</v>
      </c>
      <c r="O99" s="6" t="s">
        <v>55</v>
      </c>
      <c r="P99" s="6" t="s">
        <v>55</v>
      </c>
      <c r="Q99" s="6" t="s">
        <v>332</v>
      </c>
      <c r="R99" s="6" t="s">
        <v>57</v>
      </c>
      <c r="S99" s="6" t="s">
        <v>56</v>
      </c>
      <c r="T99" s="6" t="s">
        <v>56</v>
      </c>
      <c r="AR99" s="6" t="s">
        <v>55</v>
      </c>
      <c r="AS99" s="6" t="s">
        <v>55</v>
      </c>
      <c r="AU99" s="6" t="s">
        <v>376</v>
      </c>
      <c r="AV99">
        <v>3221</v>
      </c>
    </row>
    <row r="100" spans="1:48" ht="30" customHeight="1" x14ac:dyDescent="0.3">
      <c r="A100" s="4" t="s">
        <v>372</v>
      </c>
      <c r="B100" s="4" t="s">
        <v>377</v>
      </c>
      <c r="C100" s="4" t="s">
        <v>61</v>
      </c>
      <c r="D100" s="5">
        <v>303</v>
      </c>
      <c r="E100" s="7">
        <f>TRUNC([1]일위대가목록!E29,0)</f>
        <v>53229</v>
      </c>
      <c r="F100" s="7">
        <f t="shared" si="12"/>
        <v>16128387</v>
      </c>
      <c r="G100" s="7">
        <f>TRUNC([1]일위대가목록!F29,0)</f>
        <v>0</v>
      </c>
      <c r="H100" s="7">
        <f t="shared" si="13"/>
        <v>0</v>
      </c>
      <c r="I100" s="7">
        <f>TRUNC([1]일위대가목록!G29,0)</f>
        <v>0</v>
      </c>
      <c r="J100" s="7">
        <f t="shared" si="14"/>
        <v>0</v>
      </c>
      <c r="K100" s="7">
        <f t="shared" si="15"/>
        <v>53229</v>
      </c>
      <c r="L100" s="7">
        <f t="shared" si="15"/>
        <v>16128387</v>
      </c>
      <c r="M100" s="4" t="s">
        <v>378</v>
      </c>
      <c r="N100" s="6" t="s">
        <v>379</v>
      </c>
      <c r="O100" s="6" t="s">
        <v>55</v>
      </c>
      <c r="P100" s="6" t="s">
        <v>55</v>
      </c>
      <c r="Q100" s="6" t="s">
        <v>332</v>
      </c>
      <c r="R100" s="6" t="s">
        <v>57</v>
      </c>
      <c r="S100" s="6" t="s">
        <v>56</v>
      </c>
      <c r="T100" s="6" t="s">
        <v>56</v>
      </c>
      <c r="AR100" s="6" t="s">
        <v>55</v>
      </c>
      <c r="AS100" s="6" t="s">
        <v>55</v>
      </c>
      <c r="AU100" s="6" t="s">
        <v>380</v>
      </c>
      <c r="AV100">
        <v>3222</v>
      </c>
    </row>
    <row r="101" spans="1:48" ht="30" customHeight="1" x14ac:dyDescent="0.3">
      <c r="A101" s="4" t="s">
        <v>381</v>
      </c>
      <c r="B101" s="4" t="s">
        <v>382</v>
      </c>
      <c r="C101" s="4" t="s">
        <v>125</v>
      </c>
      <c r="D101" s="5">
        <v>109.2</v>
      </c>
      <c r="E101" s="7">
        <f>TRUNC([1]단가대비표!O157,0)</f>
        <v>5240</v>
      </c>
      <c r="F101" s="7">
        <f t="shared" si="12"/>
        <v>572208</v>
      </c>
      <c r="G101" s="7">
        <f>TRUNC([1]단가대비표!P157,0)</f>
        <v>0</v>
      </c>
      <c r="H101" s="7">
        <f t="shared" si="13"/>
        <v>0</v>
      </c>
      <c r="I101" s="7">
        <f>TRUNC([1]단가대비표!V157,0)</f>
        <v>0</v>
      </c>
      <c r="J101" s="7">
        <f t="shared" si="14"/>
        <v>0</v>
      </c>
      <c r="K101" s="7">
        <f t="shared" si="15"/>
        <v>5240</v>
      </c>
      <c r="L101" s="7">
        <f t="shared" si="15"/>
        <v>572208</v>
      </c>
      <c r="M101" s="4" t="s">
        <v>55</v>
      </c>
      <c r="N101" s="6" t="s">
        <v>383</v>
      </c>
      <c r="O101" s="6" t="s">
        <v>55</v>
      </c>
      <c r="P101" s="6" t="s">
        <v>55</v>
      </c>
      <c r="Q101" s="6" t="s">
        <v>332</v>
      </c>
      <c r="R101" s="6" t="s">
        <v>56</v>
      </c>
      <c r="S101" s="6" t="s">
        <v>56</v>
      </c>
      <c r="T101" s="6" t="s">
        <v>57</v>
      </c>
      <c r="AR101" s="6" t="s">
        <v>55</v>
      </c>
      <c r="AS101" s="6" t="s">
        <v>55</v>
      </c>
      <c r="AU101" s="6" t="s">
        <v>384</v>
      </c>
      <c r="AV101">
        <v>2072</v>
      </c>
    </row>
    <row r="102" spans="1:48" ht="30" customHeight="1" x14ac:dyDescent="0.3">
      <c r="A102" s="4" t="s">
        <v>385</v>
      </c>
      <c r="B102" s="4" t="s">
        <v>386</v>
      </c>
      <c r="C102" s="4" t="s">
        <v>125</v>
      </c>
      <c r="D102" s="5">
        <v>104</v>
      </c>
      <c r="E102" s="7">
        <f>TRUNC([1]일위대가목록!E30,0)</f>
        <v>436</v>
      </c>
      <c r="F102" s="7">
        <f t="shared" si="12"/>
        <v>45344</v>
      </c>
      <c r="G102" s="7">
        <f>TRUNC([1]일위대가목록!F30,0)</f>
        <v>21354</v>
      </c>
      <c r="H102" s="7">
        <f t="shared" si="13"/>
        <v>2220816</v>
      </c>
      <c r="I102" s="7">
        <f>TRUNC([1]일위대가목록!G30,0)</f>
        <v>0</v>
      </c>
      <c r="J102" s="7">
        <f t="shared" si="14"/>
        <v>0</v>
      </c>
      <c r="K102" s="7">
        <f t="shared" si="15"/>
        <v>21790</v>
      </c>
      <c r="L102" s="7">
        <f t="shared" si="15"/>
        <v>2266160</v>
      </c>
      <c r="M102" s="4" t="s">
        <v>387</v>
      </c>
      <c r="N102" s="6" t="s">
        <v>388</v>
      </c>
      <c r="O102" s="6" t="s">
        <v>55</v>
      </c>
      <c r="P102" s="6" t="s">
        <v>55</v>
      </c>
      <c r="Q102" s="6" t="s">
        <v>332</v>
      </c>
      <c r="R102" s="6" t="s">
        <v>57</v>
      </c>
      <c r="S102" s="6" t="s">
        <v>56</v>
      </c>
      <c r="T102" s="6" t="s">
        <v>56</v>
      </c>
      <c r="AR102" s="6" t="s">
        <v>55</v>
      </c>
      <c r="AS102" s="6" t="s">
        <v>55</v>
      </c>
      <c r="AU102" s="6" t="s">
        <v>389</v>
      </c>
      <c r="AV102">
        <v>2580</v>
      </c>
    </row>
    <row r="103" spans="1:48" ht="30" customHeight="1" x14ac:dyDescent="0.3">
      <c r="A103" s="4" t="s">
        <v>390</v>
      </c>
      <c r="B103" s="4" t="s">
        <v>391</v>
      </c>
      <c r="C103" s="4" t="s">
        <v>106</v>
      </c>
      <c r="D103" s="5">
        <v>19.899000000000001</v>
      </c>
      <c r="E103" s="7">
        <f>TRUNC([1]일위대가목록!E31,0)</f>
        <v>37959</v>
      </c>
      <c r="F103" s="7">
        <f t="shared" si="12"/>
        <v>755346</v>
      </c>
      <c r="G103" s="7">
        <f>TRUNC([1]일위대가목록!F31,0)</f>
        <v>377460</v>
      </c>
      <c r="H103" s="7">
        <f t="shared" si="13"/>
        <v>7511076</v>
      </c>
      <c r="I103" s="7">
        <f>TRUNC([1]일위대가목록!G31,0)</f>
        <v>226476</v>
      </c>
      <c r="J103" s="7">
        <f t="shared" si="14"/>
        <v>4506645</v>
      </c>
      <c r="K103" s="7">
        <f t="shared" si="15"/>
        <v>641895</v>
      </c>
      <c r="L103" s="7">
        <f t="shared" si="15"/>
        <v>12773067</v>
      </c>
      <c r="M103" s="4" t="s">
        <v>392</v>
      </c>
      <c r="N103" s="6" t="s">
        <v>393</v>
      </c>
      <c r="O103" s="6" t="s">
        <v>55</v>
      </c>
      <c r="P103" s="6" t="s">
        <v>55</v>
      </c>
      <c r="Q103" s="6" t="s">
        <v>332</v>
      </c>
      <c r="R103" s="6" t="s">
        <v>57</v>
      </c>
      <c r="S103" s="6" t="s">
        <v>56</v>
      </c>
      <c r="T103" s="6" t="s">
        <v>56</v>
      </c>
      <c r="AR103" s="6" t="s">
        <v>55</v>
      </c>
      <c r="AS103" s="6" t="s">
        <v>55</v>
      </c>
      <c r="AU103" s="6" t="s">
        <v>394</v>
      </c>
      <c r="AV103">
        <v>67</v>
      </c>
    </row>
    <row r="104" spans="1:48" ht="30" customHeight="1" x14ac:dyDescent="0.3">
      <c r="A104" s="4" t="s">
        <v>395</v>
      </c>
      <c r="B104" s="4" t="s">
        <v>55</v>
      </c>
      <c r="C104" s="4" t="s">
        <v>223</v>
      </c>
      <c r="D104" s="5">
        <v>1</v>
      </c>
      <c r="E104" s="7">
        <f>TRUNC([1]일위대가목록!E32,0)</f>
        <v>780000</v>
      </c>
      <c r="F104" s="7">
        <f t="shared" si="12"/>
        <v>780000</v>
      </c>
      <c r="G104" s="7">
        <f>TRUNC([1]일위대가목록!F32,0)</f>
        <v>0</v>
      </c>
      <c r="H104" s="7">
        <f t="shared" si="13"/>
        <v>0</v>
      </c>
      <c r="I104" s="7">
        <f>TRUNC([1]일위대가목록!G32,0)</f>
        <v>0</v>
      </c>
      <c r="J104" s="7">
        <f t="shared" si="14"/>
        <v>0</v>
      </c>
      <c r="K104" s="7">
        <f t="shared" si="15"/>
        <v>780000</v>
      </c>
      <c r="L104" s="7">
        <f t="shared" si="15"/>
        <v>780000</v>
      </c>
      <c r="M104" s="4" t="s">
        <v>396</v>
      </c>
      <c r="N104" s="6" t="s">
        <v>397</v>
      </c>
      <c r="O104" s="6" t="s">
        <v>55</v>
      </c>
      <c r="P104" s="6" t="s">
        <v>55</v>
      </c>
      <c r="Q104" s="6" t="s">
        <v>332</v>
      </c>
      <c r="R104" s="6" t="s">
        <v>57</v>
      </c>
      <c r="S104" s="6" t="s">
        <v>56</v>
      </c>
      <c r="T104" s="6" t="s">
        <v>56</v>
      </c>
      <c r="AR104" s="6" t="s">
        <v>55</v>
      </c>
      <c r="AS104" s="6" t="s">
        <v>55</v>
      </c>
      <c r="AU104" s="6" t="s">
        <v>398</v>
      </c>
      <c r="AV104">
        <v>2074</v>
      </c>
    </row>
    <row r="105" spans="1:48" ht="30" customHeight="1" x14ac:dyDescent="0.3">
      <c r="A105" s="4" t="s">
        <v>399</v>
      </c>
      <c r="B105" s="4" t="s">
        <v>400</v>
      </c>
      <c r="C105" s="4" t="s">
        <v>401</v>
      </c>
      <c r="D105" s="5">
        <v>19.899000000000001</v>
      </c>
      <c r="E105" s="7">
        <f>TRUNC([1]단가대비표!O218,0)</f>
        <v>2517</v>
      </c>
      <c r="F105" s="7">
        <f t="shared" si="12"/>
        <v>50085</v>
      </c>
      <c r="G105" s="7">
        <f>TRUNC([1]단가대비표!P218,0)</f>
        <v>123315</v>
      </c>
      <c r="H105" s="7">
        <f t="shared" si="13"/>
        <v>2453845</v>
      </c>
      <c r="I105" s="7">
        <f>TRUNC([1]단가대비표!V218,0)</f>
        <v>0</v>
      </c>
      <c r="J105" s="7">
        <f t="shared" si="14"/>
        <v>0</v>
      </c>
      <c r="K105" s="7">
        <f t="shared" si="15"/>
        <v>125832</v>
      </c>
      <c r="L105" s="7">
        <f t="shared" si="15"/>
        <v>2503930</v>
      </c>
      <c r="M105" s="4" t="s">
        <v>246</v>
      </c>
      <c r="N105" s="6" t="s">
        <v>402</v>
      </c>
      <c r="O105" s="6" t="s">
        <v>55</v>
      </c>
      <c r="P105" s="6" t="s">
        <v>55</v>
      </c>
      <c r="Q105" s="6" t="s">
        <v>332</v>
      </c>
      <c r="R105" s="6" t="s">
        <v>56</v>
      </c>
      <c r="S105" s="6" t="s">
        <v>56</v>
      </c>
      <c r="T105" s="6" t="s">
        <v>57</v>
      </c>
      <c r="AR105" s="6" t="s">
        <v>55</v>
      </c>
      <c r="AS105" s="6" t="s">
        <v>55</v>
      </c>
      <c r="AU105" s="6" t="s">
        <v>403</v>
      </c>
      <c r="AV105">
        <v>2970</v>
      </c>
    </row>
    <row r="106" spans="1:48" ht="30" customHeight="1" x14ac:dyDescent="0.3">
      <c r="A106" s="4" t="s">
        <v>404</v>
      </c>
      <c r="B106" s="4" t="s">
        <v>405</v>
      </c>
      <c r="C106" s="4" t="s">
        <v>106</v>
      </c>
      <c r="D106" s="5">
        <v>19.899000000000001</v>
      </c>
      <c r="E106" s="7">
        <f>TRUNC([1]일위대가목록!E33,0)</f>
        <v>3383</v>
      </c>
      <c r="F106" s="7">
        <f t="shared" si="12"/>
        <v>67318</v>
      </c>
      <c r="G106" s="7">
        <f>TRUNC([1]일위대가목록!F33,0)</f>
        <v>109353</v>
      </c>
      <c r="H106" s="7">
        <f t="shared" si="13"/>
        <v>2176015</v>
      </c>
      <c r="I106" s="7">
        <f>TRUNC([1]일위대가목록!G33,0)</f>
        <v>0</v>
      </c>
      <c r="J106" s="7">
        <f t="shared" si="14"/>
        <v>0</v>
      </c>
      <c r="K106" s="7">
        <f t="shared" si="15"/>
        <v>112736</v>
      </c>
      <c r="L106" s="7">
        <f t="shared" si="15"/>
        <v>2243333</v>
      </c>
      <c r="M106" s="4" t="s">
        <v>406</v>
      </c>
      <c r="N106" s="6" t="s">
        <v>407</v>
      </c>
      <c r="O106" s="6" t="s">
        <v>55</v>
      </c>
      <c r="P106" s="6" t="s">
        <v>55</v>
      </c>
      <c r="Q106" s="6" t="s">
        <v>332</v>
      </c>
      <c r="R106" s="6" t="s">
        <v>57</v>
      </c>
      <c r="S106" s="6" t="s">
        <v>56</v>
      </c>
      <c r="T106" s="6" t="s">
        <v>56</v>
      </c>
      <c r="AR106" s="6" t="s">
        <v>55</v>
      </c>
      <c r="AS106" s="6" t="s">
        <v>55</v>
      </c>
      <c r="AU106" s="6" t="s">
        <v>408</v>
      </c>
      <c r="AV106">
        <v>2582</v>
      </c>
    </row>
    <row r="107" spans="1:48" ht="30" customHeight="1" x14ac:dyDescent="0.3">
      <c r="A107" s="4" t="s">
        <v>409</v>
      </c>
      <c r="B107" s="4" t="s">
        <v>410</v>
      </c>
      <c r="C107" s="4" t="s">
        <v>61</v>
      </c>
      <c r="D107" s="5">
        <v>462</v>
      </c>
      <c r="E107" s="7">
        <f>TRUNC([1]일위대가목록!E34,0)</f>
        <v>1123</v>
      </c>
      <c r="F107" s="7">
        <f t="shared" si="12"/>
        <v>518826</v>
      </c>
      <c r="G107" s="7">
        <f>TRUNC([1]일위대가목록!F34,0)</f>
        <v>2904</v>
      </c>
      <c r="H107" s="7">
        <f t="shared" si="13"/>
        <v>1341648</v>
      </c>
      <c r="I107" s="7">
        <f>TRUNC([1]일위대가목록!G34,0)</f>
        <v>119</v>
      </c>
      <c r="J107" s="7">
        <f t="shared" si="14"/>
        <v>54978</v>
      </c>
      <c r="K107" s="7">
        <f t="shared" si="15"/>
        <v>4146</v>
      </c>
      <c r="L107" s="7">
        <f t="shared" si="15"/>
        <v>1915452</v>
      </c>
      <c r="M107" s="4" t="s">
        <v>411</v>
      </c>
      <c r="N107" s="6" t="s">
        <v>412</v>
      </c>
      <c r="O107" s="6" t="s">
        <v>55</v>
      </c>
      <c r="P107" s="6" t="s">
        <v>55</v>
      </c>
      <c r="Q107" s="6" t="s">
        <v>332</v>
      </c>
      <c r="R107" s="6" t="s">
        <v>57</v>
      </c>
      <c r="S107" s="6" t="s">
        <v>56</v>
      </c>
      <c r="T107" s="6" t="s">
        <v>56</v>
      </c>
      <c r="AR107" s="6" t="s">
        <v>55</v>
      </c>
      <c r="AS107" s="6" t="s">
        <v>55</v>
      </c>
      <c r="AU107" s="6" t="s">
        <v>413</v>
      </c>
      <c r="AV107">
        <v>2076</v>
      </c>
    </row>
    <row r="108" spans="1:48" ht="30" customHeight="1" x14ac:dyDescent="0.3">
      <c r="A108" s="4" t="s">
        <v>128</v>
      </c>
      <c r="B108" s="5"/>
      <c r="C108" s="5"/>
      <c r="D108" s="5"/>
      <c r="E108" s="5"/>
      <c r="F108" s="7">
        <f>SUM(F89:F107)</f>
        <v>54787992</v>
      </c>
      <c r="G108" s="5"/>
      <c r="H108" s="7">
        <f>SUM(H89:H107)</f>
        <v>15703400</v>
      </c>
      <c r="I108" s="5"/>
      <c r="J108" s="7">
        <f>SUM(J89:J107)</f>
        <v>4561623</v>
      </c>
      <c r="K108" s="5"/>
      <c r="L108" s="7">
        <f>SUM(L89:L107)</f>
        <v>75053015</v>
      </c>
      <c r="M108" s="5"/>
      <c r="N108" t="s">
        <v>129</v>
      </c>
    </row>
    <row r="109" spans="1:48" ht="30" customHeight="1" x14ac:dyDescent="0.3">
      <c r="A109" s="4" t="s">
        <v>414</v>
      </c>
      <c r="B109" s="4" t="s">
        <v>48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Q109" s="6" t="s">
        <v>415</v>
      </c>
    </row>
    <row r="110" spans="1:48" ht="30" customHeight="1" x14ac:dyDescent="0.3">
      <c r="A110" s="4" t="s">
        <v>416</v>
      </c>
      <c r="B110" s="4" t="s">
        <v>417</v>
      </c>
      <c r="C110" s="4" t="s">
        <v>61</v>
      </c>
      <c r="D110" s="5">
        <v>78</v>
      </c>
      <c r="E110" s="7">
        <f>TRUNC([1]일위대가목록!E35,0)</f>
        <v>483</v>
      </c>
      <c r="F110" s="7">
        <f t="shared" ref="F110:F126" si="16">TRUNC(E110*D110, 0)</f>
        <v>37674</v>
      </c>
      <c r="G110" s="7">
        <f>TRUNC([1]일위대가목록!F35,0)</f>
        <v>26396</v>
      </c>
      <c r="H110" s="7">
        <f t="shared" ref="H110:H126" si="17">TRUNC(G110*D110, 0)</f>
        <v>2058888</v>
      </c>
      <c r="I110" s="7">
        <f>TRUNC([1]일위대가목록!G35,0)</f>
        <v>0</v>
      </c>
      <c r="J110" s="7">
        <f t="shared" ref="J110:J126" si="18">TRUNC(I110*D110, 0)</f>
        <v>0</v>
      </c>
      <c r="K110" s="7">
        <f t="shared" ref="K110:L126" si="19">TRUNC(E110+G110+I110, 0)</f>
        <v>26879</v>
      </c>
      <c r="L110" s="7">
        <f t="shared" si="19"/>
        <v>2096562</v>
      </c>
      <c r="M110" s="4" t="s">
        <v>418</v>
      </c>
      <c r="N110" s="6" t="s">
        <v>419</v>
      </c>
      <c r="O110" s="6" t="s">
        <v>55</v>
      </c>
      <c r="P110" s="6" t="s">
        <v>55</v>
      </c>
      <c r="Q110" s="6" t="s">
        <v>415</v>
      </c>
      <c r="R110" s="6" t="s">
        <v>57</v>
      </c>
      <c r="S110" s="6" t="s">
        <v>56</v>
      </c>
      <c r="T110" s="6" t="s">
        <v>56</v>
      </c>
      <c r="AR110" s="6" t="s">
        <v>55</v>
      </c>
      <c r="AS110" s="6" t="s">
        <v>55</v>
      </c>
      <c r="AU110" s="6" t="s">
        <v>420</v>
      </c>
      <c r="AV110">
        <v>2583</v>
      </c>
    </row>
    <row r="111" spans="1:48" ht="30" customHeight="1" x14ac:dyDescent="0.3">
      <c r="A111" s="4" t="s">
        <v>416</v>
      </c>
      <c r="B111" s="4" t="s">
        <v>421</v>
      </c>
      <c r="C111" s="4" t="s">
        <v>61</v>
      </c>
      <c r="D111" s="5">
        <v>1127</v>
      </c>
      <c r="E111" s="7">
        <f>TRUNC([1]일위대가목록!E36,0)</f>
        <v>645</v>
      </c>
      <c r="F111" s="7">
        <f t="shared" si="16"/>
        <v>726915</v>
      </c>
      <c r="G111" s="7">
        <f>TRUNC([1]일위대가목록!F36,0)</f>
        <v>34301</v>
      </c>
      <c r="H111" s="7">
        <f t="shared" si="17"/>
        <v>38657227</v>
      </c>
      <c r="I111" s="7">
        <f>TRUNC([1]일위대가목록!G36,0)</f>
        <v>0</v>
      </c>
      <c r="J111" s="7">
        <f t="shared" si="18"/>
        <v>0</v>
      </c>
      <c r="K111" s="7">
        <f t="shared" si="19"/>
        <v>34946</v>
      </c>
      <c r="L111" s="7">
        <f t="shared" si="19"/>
        <v>39384142</v>
      </c>
      <c r="M111" s="4" t="s">
        <v>422</v>
      </c>
      <c r="N111" s="6" t="s">
        <v>423</v>
      </c>
      <c r="O111" s="6" t="s">
        <v>55</v>
      </c>
      <c r="P111" s="6" t="s">
        <v>55</v>
      </c>
      <c r="Q111" s="6" t="s">
        <v>415</v>
      </c>
      <c r="R111" s="6" t="s">
        <v>57</v>
      </c>
      <c r="S111" s="6" t="s">
        <v>56</v>
      </c>
      <c r="T111" s="6" t="s">
        <v>56</v>
      </c>
      <c r="AR111" s="6" t="s">
        <v>55</v>
      </c>
      <c r="AS111" s="6" t="s">
        <v>55</v>
      </c>
      <c r="AU111" s="6" t="s">
        <v>424</v>
      </c>
      <c r="AV111">
        <v>2584</v>
      </c>
    </row>
    <row r="112" spans="1:48" ht="30" customHeight="1" x14ac:dyDescent="0.3">
      <c r="A112" s="4" t="s">
        <v>425</v>
      </c>
      <c r="B112" s="4" t="s">
        <v>421</v>
      </c>
      <c r="C112" s="4" t="s">
        <v>61</v>
      </c>
      <c r="D112" s="5">
        <v>2567</v>
      </c>
      <c r="E112" s="7">
        <f>TRUNC([1]일위대가목록!E37,0)</f>
        <v>1165</v>
      </c>
      <c r="F112" s="7">
        <f t="shared" si="16"/>
        <v>2990555</v>
      </c>
      <c r="G112" s="7">
        <f>TRUNC([1]일위대가목록!F37,0)</f>
        <v>62478</v>
      </c>
      <c r="H112" s="7">
        <f t="shared" si="17"/>
        <v>160381026</v>
      </c>
      <c r="I112" s="7">
        <f>TRUNC([1]일위대가목록!G37,0)</f>
        <v>0</v>
      </c>
      <c r="J112" s="7">
        <f t="shared" si="18"/>
        <v>0</v>
      </c>
      <c r="K112" s="7">
        <f t="shared" si="19"/>
        <v>63643</v>
      </c>
      <c r="L112" s="7">
        <f t="shared" si="19"/>
        <v>163371581</v>
      </c>
      <c r="M112" s="4" t="s">
        <v>426</v>
      </c>
      <c r="N112" s="6" t="s">
        <v>427</v>
      </c>
      <c r="O112" s="6" t="s">
        <v>55</v>
      </c>
      <c r="P112" s="6" t="s">
        <v>55</v>
      </c>
      <c r="Q112" s="6" t="s">
        <v>415</v>
      </c>
      <c r="R112" s="6" t="s">
        <v>57</v>
      </c>
      <c r="S112" s="6" t="s">
        <v>56</v>
      </c>
      <c r="T112" s="6" t="s">
        <v>56</v>
      </c>
      <c r="AR112" s="6" t="s">
        <v>55</v>
      </c>
      <c r="AS112" s="6" t="s">
        <v>55</v>
      </c>
      <c r="AU112" s="6" t="s">
        <v>428</v>
      </c>
      <c r="AV112">
        <v>2585</v>
      </c>
    </row>
    <row r="113" spans="1:48" ht="30" customHeight="1" x14ac:dyDescent="0.3">
      <c r="A113" s="4" t="s">
        <v>429</v>
      </c>
      <c r="B113" s="4" t="s">
        <v>430</v>
      </c>
      <c r="C113" s="4" t="s">
        <v>61</v>
      </c>
      <c r="D113" s="5">
        <v>958</v>
      </c>
      <c r="E113" s="7">
        <f>TRUNC([1]일위대가목록!E38,0)</f>
        <v>896</v>
      </c>
      <c r="F113" s="7">
        <f t="shared" si="16"/>
        <v>858368</v>
      </c>
      <c r="G113" s="7">
        <f>TRUNC([1]일위대가목록!F38,0)</f>
        <v>43870</v>
      </c>
      <c r="H113" s="7">
        <f t="shared" si="17"/>
        <v>42027460</v>
      </c>
      <c r="I113" s="7">
        <f>TRUNC([1]일위대가목록!G38,0)</f>
        <v>0</v>
      </c>
      <c r="J113" s="7">
        <f t="shared" si="18"/>
        <v>0</v>
      </c>
      <c r="K113" s="7">
        <f t="shared" si="19"/>
        <v>44766</v>
      </c>
      <c r="L113" s="7">
        <f t="shared" si="19"/>
        <v>42885828</v>
      </c>
      <c r="M113" s="4" t="s">
        <v>431</v>
      </c>
      <c r="N113" s="6" t="s">
        <v>432</v>
      </c>
      <c r="O113" s="6" t="s">
        <v>55</v>
      </c>
      <c r="P113" s="6" t="s">
        <v>55</v>
      </c>
      <c r="Q113" s="6" t="s">
        <v>415</v>
      </c>
      <c r="R113" s="6" t="s">
        <v>57</v>
      </c>
      <c r="S113" s="6" t="s">
        <v>56</v>
      </c>
      <c r="T113" s="6" t="s">
        <v>56</v>
      </c>
      <c r="AR113" s="6" t="s">
        <v>55</v>
      </c>
      <c r="AS113" s="6" t="s">
        <v>55</v>
      </c>
      <c r="AU113" s="6" t="s">
        <v>433</v>
      </c>
      <c r="AV113">
        <v>2586</v>
      </c>
    </row>
    <row r="114" spans="1:48" ht="30" customHeight="1" x14ac:dyDescent="0.3">
      <c r="A114" s="4" t="s">
        <v>434</v>
      </c>
      <c r="B114" s="4" t="s">
        <v>430</v>
      </c>
      <c r="C114" s="4" t="s">
        <v>61</v>
      </c>
      <c r="D114" s="5">
        <v>288</v>
      </c>
      <c r="E114" s="7">
        <f>TRUNC([1]일위대가목록!E39,0)</f>
        <v>737</v>
      </c>
      <c r="F114" s="7">
        <f t="shared" si="16"/>
        <v>212256</v>
      </c>
      <c r="G114" s="7">
        <f>TRUNC([1]일위대가목록!F39,0)</f>
        <v>36090</v>
      </c>
      <c r="H114" s="7">
        <f t="shared" si="17"/>
        <v>10393920</v>
      </c>
      <c r="I114" s="7">
        <f>TRUNC([1]일위대가목록!G39,0)</f>
        <v>0</v>
      </c>
      <c r="J114" s="7">
        <f t="shared" si="18"/>
        <v>0</v>
      </c>
      <c r="K114" s="7">
        <f t="shared" si="19"/>
        <v>36827</v>
      </c>
      <c r="L114" s="7">
        <f t="shared" si="19"/>
        <v>10606176</v>
      </c>
      <c r="M114" s="4" t="s">
        <v>435</v>
      </c>
      <c r="N114" s="6" t="s">
        <v>436</v>
      </c>
      <c r="O114" s="6" t="s">
        <v>55</v>
      </c>
      <c r="P114" s="6" t="s">
        <v>55</v>
      </c>
      <c r="Q114" s="6" t="s">
        <v>415</v>
      </c>
      <c r="R114" s="6" t="s">
        <v>57</v>
      </c>
      <c r="S114" s="6" t="s">
        <v>56</v>
      </c>
      <c r="T114" s="6" t="s">
        <v>56</v>
      </c>
      <c r="AR114" s="6" t="s">
        <v>55</v>
      </c>
      <c r="AS114" s="6" t="s">
        <v>55</v>
      </c>
      <c r="AU114" s="6" t="s">
        <v>437</v>
      </c>
      <c r="AV114">
        <v>2587</v>
      </c>
    </row>
    <row r="115" spans="1:48" ht="30" customHeight="1" x14ac:dyDescent="0.3">
      <c r="A115" s="4" t="s">
        <v>438</v>
      </c>
      <c r="B115" s="4" t="s">
        <v>439</v>
      </c>
      <c r="C115" s="4" t="s">
        <v>269</v>
      </c>
      <c r="D115" s="5">
        <v>107</v>
      </c>
      <c r="E115" s="7">
        <f>TRUNC([1]일위대가목록!E40,0)</f>
        <v>9831</v>
      </c>
      <c r="F115" s="7">
        <f t="shared" si="16"/>
        <v>1051917</v>
      </c>
      <c r="G115" s="7">
        <f>TRUNC([1]일위대가목록!F40,0)</f>
        <v>39872</v>
      </c>
      <c r="H115" s="7">
        <f t="shared" si="17"/>
        <v>4266304</v>
      </c>
      <c r="I115" s="7">
        <f>TRUNC([1]일위대가목록!G40,0)</f>
        <v>572</v>
      </c>
      <c r="J115" s="7">
        <f t="shared" si="18"/>
        <v>61204</v>
      </c>
      <c r="K115" s="7">
        <f t="shared" si="19"/>
        <v>50275</v>
      </c>
      <c r="L115" s="7">
        <f t="shared" si="19"/>
        <v>5379425</v>
      </c>
      <c r="M115" s="4" t="s">
        <v>440</v>
      </c>
      <c r="N115" s="6" t="s">
        <v>441</v>
      </c>
      <c r="O115" s="6" t="s">
        <v>55</v>
      </c>
      <c r="P115" s="6" t="s">
        <v>55</v>
      </c>
      <c r="Q115" s="6" t="s">
        <v>415</v>
      </c>
      <c r="R115" s="6" t="s">
        <v>57</v>
      </c>
      <c r="S115" s="6" t="s">
        <v>56</v>
      </c>
      <c r="T115" s="6" t="s">
        <v>56</v>
      </c>
      <c r="AR115" s="6" t="s">
        <v>55</v>
      </c>
      <c r="AS115" s="6" t="s">
        <v>55</v>
      </c>
      <c r="AU115" s="6" t="s">
        <v>442</v>
      </c>
      <c r="AV115">
        <v>85</v>
      </c>
    </row>
    <row r="116" spans="1:48" ht="30" customHeight="1" x14ac:dyDescent="0.3">
      <c r="A116" s="4" t="s">
        <v>438</v>
      </c>
      <c r="B116" s="4" t="s">
        <v>443</v>
      </c>
      <c r="C116" s="4" t="s">
        <v>269</v>
      </c>
      <c r="D116" s="5">
        <v>79</v>
      </c>
      <c r="E116" s="7">
        <f>TRUNC([1]일위대가목록!E41,0)</f>
        <v>11796</v>
      </c>
      <c r="F116" s="7">
        <f t="shared" si="16"/>
        <v>931884</v>
      </c>
      <c r="G116" s="7">
        <f>TRUNC([1]일위대가목록!F41,0)</f>
        <v>48560</v>
      </c>
      <c r="H116" s="7">
        <f t="shared" si="17"/>
        <v>3836240</v>
      </c>
      <c r="I116" s="7">
        <f>TRUNC([1]일위대가목록!G41,0)</f>
        <v>691</v>
      </c>
      <c r="J116" s="7">
        <f t="shared" si="18"/>
        <v>54589</v>
      </c>
      <c r="K116" s="7">
        <f t="shared" si="19"/>
        <v>61047</v>
      </c>
      <c r="L116" s="7">
        <f t="shared" si="19"/>
        <v>4822713</v>
      </c>
      <c r="M116" s="4" t="s">
        <v>444</v>
      </c>
      <c r="N116" s="6" t="s">
        <v>445</v>
      </c>
      <c r="O116" s="6" t="s">
        <v>55</v>
      </c>
      <c r="P116" s="6" t="s">
        <v>55</v>
      </c>
      <c r="Q116" s="6" t="s">
        <v>415</v>
      </c>
      <c r="R116" s="6" t="s">
        <v>57</v>
      </c>
      <c r="S116" s="6" t="s">
        <v>56</v>
      </c>
      <c r="T116" s="6" t="s">
        <v>56</v>
      </c>
      <c r="AR116" s="6" t="s">
        <v>55</v>
      </c>
      <c r="AS116" s="6" t="s">
        <v>55</v>
      </c>
      <c r="AU116" s="6" t="s">
        <v>446</v>
      </c>
      <c r="AV116">
        <v>86</v>
      </c>
    </row>
    <row r="117" spans="1:48" ht="30" customHeight="1" x14ac:dyDescent="0.3">
      <c r="A117" s="4" t="s">
        <v>447</v>
      </c>
      <c r="B117" s="4" t="s">
        <v>448</v>
      </c>
      <c r="C117" s="4" t="s">
        <v>269</v>
      </c>
      <c r="D117" s="5">
        <v>303</v>
      </c>
      <c r="E117" s="7">
        <f>TRUNC([1]일위대가목록!E42,0)</f>
        <v>2744</v>
      </c>
      <c r="F117" s="7">
        <f t="shared" si="16"/>
        <v>831432</v>
      </c>
      <c r="G117" s="7">
        <f>TRUNC([1]일위대가목록!F42,0)</f>
        <v>8857</v>
      </c>
      <c r="H117" s="7">
        <f t="shared" si="17"/>
        <v>2683671</v>
      </c>
      <c r="I117" s="7">
        <f>TRUNC([1]일위대가목록!G42,0)</f>
        <v>115</v>
      </c>
      <c r="J117" s="7">
        <f t="shared" si="18"/>
        <v>34845</v>
      </c>
      <c r="K117" s="7">
        <f t="shared" si="19"/>
        <v>11716</v>
      </c>
      <c r="L117" s="7">
        <f t="shared" si="19"/>
        <v>3549948</v>
      </c>
      <c r="M117" s="4" t="s">
        <v>449</v>
      </c>
      <c r="N117" s="6" t="s">
        <v>450</v>
      </c>
      <c r="O117" s="6" t="s">
        <v>55</v>
      </c>
      <c r="P117" s="6" t="s">
        <v>55</v>
      </c>
      <c r="Q117" s="6" t="s">
        <v>415</v>
      </c>
      <c r="R117" s="6" t="s">
        <v>57</v>
      </c>
      <c r="S117" s="6" t="s">
        <v>56</v>
      </c>
      <c r="T117" s="6" t="s">
        <v>56</v>
      </c>
      <c r="AR117" s="6" t="s">
        <v>55</v>
      </c>
      <c r="AS117" s="6" t="s">
        <v>55</v>
      </c>
      <c r="AU117" s="6" t="s">
        <v>451</v>
      </c>
      <c r="AV117">
        <v>87</v>
      </c>
    </row>
    <row r="118" spans="1:48" ht="30" customHeight="1" x14ac:dyDescent="0.3">
      <c r="A118" s="4" t="s">
        <v>447</v>
      </c>
      <c r="B118" s="4" t="s">
        <v>452</v>
      </c>
      <c r="C118" s="4" t="s">
        <v>269</v>
      </c>
      <c r="D118" s="5">
        <v>517</v>
      </c>
      <c r="E118" s="7">
        <f>TRUNC([1]일위대가목록!E43,0)</f>
        <v>2744</v>
      </c>
      <c r="F118" s="7">
        <f t="shared" si="16"/>
        <v>1418648</v>
      </c>
      <c r="G118" s="7">
        <f>TRUNC([1]일위대가목록!F43,0)</f>
        <v>9452</v>
      </c>
      <c r="H118" s="7">
        <f t="shared" si="17"/>
        <v>4886684</v>
      </c>
      <c r="I118" s="7">
        <f>TRUNC([1]일위대가목록!G43,0)</f>
        <v>127</v>
      </c>
      <c r="J118" s="7">
        <f t="shared" si="18"/>
        <v>65659</v>
      </c>
      <c r="K118" s="7">
        <f t="shared" si="19"/>
        <v>12323</v>
      </c>
      <c r="L118" s="7">
        <f t="shared" si="19"/>
        <v>6370991</v>
      </c>
      <c r="M118" s="4" t="s">
        <v>453</v>
      </c>
      <c r="N118" s="6" t="s">
        <v>454</v>
      </c>
      <c r="O118" s="6" t="s">
        <v>55</v>
      </c>
      <c r="P118" s="6" t="s">
        <v>55</v>
      </c>
      <c r="Q118" s="6" t="s">
        <v>415</v>
      </c>
      <c r="R118" s="6" t="s">
        <v>57</v>
      </c>
      <c r="S118" s="6" t="s">
        <v>56</v>
      </c>
      <c r="T118" s="6" t="s">
        <v>56</v>
      </c>
      <c r="AR118" s="6" t="s">
        <v>55</v>
      </c>
      <c r="AS118" s="6" t="s">
        <v>55</v>
      </c>
      <c r="AU118" s="6" t="s">
        <v>455</v>
      </c>
      <c r="AV118">
        <v>88</v>
      </c>
    </row>
    <row r="119" spans="1:48" ht="30" customHeight="1" x14ac:dyDescent="0.3">
      <c r="A119" s="4" t="s">
        <v>447</v>
      </c>
      <c r="B119" s="4" t="s">
        <v>448</v>
      </c>
      <c r="C119" s="4" t="s">
        <v>269</v>
      </c>
      <c r="D119" s="5">
        <v>58</v>
      </c>
      <c r="E119" s="7">
        <f>TRUNC([1]일위대가목록!E44,0)</f>
        <v>2744</v>
      </c>
      <c r="F119" s="7">
        <f t="shared" si="16"/>
        <v>159152</v>
      </c>
      <c r="G119" s="7">
        <f>TRUNC([1]일위대가목록!F44,0)</f>
        <v>8857</v>
      </c>
      <c r="H119" s="7">
        <f t="shared" si="17"/>
        <v>513706</v>
      </c>
      <c r="I119" s="7">
        <f>TRUNC([1]일위대가목록!G44,0)</f>
        <v>115</v>
      </c>
      <c r="J119" s="7">
        <f t="shared" si="18"/>
        <v>6670</v>
      </c>
      <c r="K119" s="7">
        <f t="shared" si="19"/>
        <v>11716</v>
      </c>
      <c r="L119" s="7">
        <f t="shared" si="19"/>
        <v>679528</v>
      </c>
      <c r="M119" s="4" t="s">
        <v>456</v>
      </c>
      <c r="N119" s="6" t="s">
        <v>457</v>
      </c>
      <c r="O119" s="6" t="s">
        <v>55</v>
      </c>
      <c r="P119" s="6" t="s">
        <v>55</v>
      </c>
      <c r="Q119" s="6" t="s">
        <v>415</v>
      </c>
      <c r="R119" s="6" t="s">
        <v>57</v>
      </c>
      <c r="S119" s="6" t="s">
        <v>56</v>
      </c>
      <c r="T119" s="6" t="s">
        <v>56</v>
      </c>
      <c r="AR119" s="6" t="s">
        <v>55</v>
      </c>
      <c r="AS119" s="6" t="s">
        <v>55</v>
      </c>
      <c r="AU119" s="6" t="s">
        <v>458</v>
      </c>
      <c r="AV119">
        <v>89</v>
      </c>
    </row>
    <row r="120" spans="1:48" ht="30" customHeight="1" x14ac:dyDescent="0.3">
      <c r="A120" s="4" t="s">
        <v>447</v>
      </c>
      <c r="B120" s="4" t="s">
        <v>459</v>
      </c>
      <c r="C120" s="4" t="s">
        <v>269</v>
      </c>
      <c r="D120" s="5">
        <v>199</v>
      </c>
      <c r="E120" s="7">
        <f>TRUNC([1]일위대가목록!E45,0)</f>
        <v>2744</v>
      </c>
      <c r="F120" s="7">
        <f t="shared" si="16"/>
        <v>546056</v>
      </c>
      <c r="G120" s="7">
        <f>TRUNC([1]일위대가목록!F45,0)</f>
        <v>9155</v>
      </c>
      <c r="H120" s="7">
        <f t="shared" si="17"/>
        <v>1821845</v>
      </c>
      <c r="I120" s="7">
        <f>TRUNC([1]일위대가목록!G45,0)</f>
        <v>121</v>
      </c>
      <c r="J120" s="7">
        <f t="shared" si="18"/>
        <v>24079</v>
      </c>
      <c r="K120" s="7">
        <f t="shared" si="19"/>
        <v>12020</v>
      </c>
      <c r="L120" s="7">
        <f t="shared" si="19"/>
        <v>2391980</v>
      </c>
      <c r="M120" s="4" t="s">
        <v>460</v>
      </c>
      <c r="N120" s="6" t="s">
        <v>461</v>
      </c>
      <c r="O120" s="6" t="s">
        <v>55</v>
      </c>
      <c r="P120" s="6" t="s">
        <v>55</v>
      </c>
      <c r="Q120" s="6" t="s">
        <v>415</v>
      </c>
      <c r="R120" s="6" t="s">
        <v>57</v>
      </c>
      <c r="S120" s="6" t="s">
        <v>56</v>
      </c>
      <c r="T120" s="6" t="s">
        <v>56</v>
      </c>
      <c r="AR120" s="6" t="s">
        <v>55</v>
      </c>
      <c r="AS120" s="6" t="s">
        <v>55</v>
      </c>
      <c r="AU120" s="6" t="s">
        <v>462</v>
      </c>
      <c r="AV120">
        <v>90</v>
      </c>
    </row>
    <row r="121" spans="1:48" ht="30" customHeight="1" x14ac:dyDescent="0.3">
      <c r="A121" s="4" t="s">
        <v>463</v>
      </c>
      <c r="B121" s="4" t="s">
        <v>464</v>
      </c>
      <c r="C121" s="4" t="s">
        <v>269</v>
      </c>
      <c r="D121" s="5">
        <v>58</v>
      </c>
      <c r="E121" s="7">
        <f>TRUNC([1]일위대가목록!E46,0)</f>
        <v>0</v>
      </c>
      <c r="F121" s="7">
        <f t="shared" si="16"/>
        <v>0</v>
      </c>
      <c r="G121" s="7">
        <f>TRUNC([1]일위대가목록!F46,0)</f>
        <v>6076</v>
      </c>
      <c r="H121" s="7">
        <f t="shared" si="17"/>
        <v>352408</v>
      </c>
      <c r="I121" s="7">
        <f>TRUNC([1]일위대가목록!G46,0)</f>
        <v>0</v>
      </c>
      <c r="J121" s="7">
        <f t="shared" si="18"/>
        <v>0</v>
      </c>
      <c r="K121" s="7">
        <f t="shared" si="19"/>
        <v>6076</v>
      </c>
      <c r="L121" s="7">
        <f t="shared" si="19"/>
        <v>352408</v>
      </c>
      <c r="M121" s="4" t="s">
        <v>465</v>
      </c>
      <c r="N121" s="6" t="s">
        <v>466</v>
      </c>
      <c r="O121" s="6" t="s">
        <v>55</v>
      </c>
      <c r="P121" s="6" t="s">
        <v>55</v>
      </c>
      <c r="Q121" s="6" t="s">
        <v>415</v>
      </c>
      <c r="R121" s="6" t="s">
        <v>57</v>
      </c>
      <c r="S121" s="6" t="s">
        <v>56</v>
      </c>
      <c r="T121" s="6" t="s">
        <v>56</v>
      </c>
      <c r="AR121" s="6" t="s">
        <v>55</v>
      </c>
      <c r="AS121" s="6" t="s">
        <v>55</v>
      </c>
      <c r="AU121" s="6" t="s">
        <v>467</v>
      </c>
      <c r="AV121">
        <v>91</v>
      </c>
    </row>
    <row r="122" spans="1:48" ht="30" customHeight="1" x14ac:dyDescent="0.3">
      <c r="A122" s="4" t="s">
        <v>463</v>
      </c>
      <c r="B122" s="4" t="s">
        <v>468</v>
      </c>
      <c r="C122" s="4" t="s">
        <v>269</v>
      </c>
      <c r="D122" s="5">
        <v>199</v>
      </c>
      <c r="E122" s="7">
        <f>TRUNC([1]일위대가목록!E47,0)</f>
        <v>0</v>
      </c>
      <c r="F122" s="7">
        <f t="shared" si="16"/>
        <v>0</v>
      </c>
      <c r="G122" s="7">
        <f>TRUNC([1]일위대가목록!F47,0)</f>
        <v>6155</v>
      </c>
      <c r="H122" s="7">
        <f t="shared" si="17"/>
        <v>1224845</v>
      </c>
      <c r="I122" s="7">
        <f>TRUNC([1]일위대가목록!G47,0)</f>
        <v>0</v>
      </c>
      <c r="J122" s="7">
        <f t="shared" si="18"/>
        <v>0</v>
      </c>
      <c r="K122" s="7">
        <f t="shared" si="19"/>
        <v>6155</v>
      </c>
      <c r="L122" s="7">
        <f t="shared" si="19"/>
        <v>1224845</v>
      </c>
      <c r="M122" s="4" t="s">
        <v>469</v>
      </c>
      <c r="N122" s="6" t="s">
        <v>470</v>
      </c>
      <c r="O122" s="6" t="s">
        <v>55</v>
      </c>
      <c r="P122" s="6" t="s">
        <v>55</v>
      </c>
      <c r="Q122" s="6" t="s">
        <v>415</v>
      </c>
      <c r="R122" s="6" t="s">
        <v>57</v>
      </c>
      <c r="S122" s="6" t="s">
        <v>56</v>
      </c>
      <c r="T122" s="6" t="s">
        <v>56</v>
      </c>
      <c r="AR122" s="6" t="s">
        <v>55</v>
      </c>
      <c r="AS122" s="6" t="s">
        <v>55</v>
      </c>
      <c r="AU122" s="6" t="s">
        <v>471</v>
      </c>
      <c r="AV122">
        <v>92</v>
      </c>
    </row>
    <row r="123" spans="1:48" ht="30" customHeight="1" x14ac:dyDescent="0.3">
      <c r="A123" s="4" t="s">
        <v>472</v>
      </c>
      <c r="B123" s="4" t="s">
        <v>473</v>
      </c>
      <c r="C123" s="4" t="s">
        <v>269</v>
      </c>
      <c r="D123" s="5">
        <v>479</v>
      </c>
      <c r="E123" s="7">
        <f>TRUNC([1]일위대가목록!E48,0)</f>
        <v>534</v>
      </c>
      <c r="F123" s="7">
        <f t="shared" si="16"/>
        <v>255786</v>
      </c>
      <c r="G123" s="7">
        <f>TRUNC([1]일위대가목록!F48,0)</f>
        <v>0</v>
      </c>
      <c r="H123" s="7">
        <f t="shared" si="17"/>
        <v>0</v>
      </c>
      <c r="I123" s="7">
        <f>TRUNC([1]일위대가목록!G48,0)</f>
        <v>0</v>
      </c>
      <c r="J123" s="7">
        <f t="shared" si="18"/>
        <v>0</v>
      </c>
      <c r="K123" s="7">
        <f t="shared" si="19"/>
        <v>534</v>
      </c>
      <c r="L123" s="7">
        <f t="shared" si="19"/>
        <v>255786</v>
      </c>
      <c r="M123" s="4" t="s">
        <v>474</v>
      </c>
      <c r="N123" s="6" t="s">
        <v>475</v>
      </c>
      <c r="O123" s="6" t="s">
        <v>55</v>
      </c>
      <c r="P123" s="6" t="s">
        <v>55</v>
      </c>
      <c r="Q123" s="6" t="s">
        <v>415</v>
      </c>
      <c r="R123" s="6" t="s">
        <v>57</v>
      </c>
      <c r="S123" s="6" t="s">
        <v>56</v>
      </c>
      <c r="T123" s="6" t="s">
        <v>56</v>
      </c>
      <c r="AR123" s="6" t="s">
        <v>55</v>
      </c>
      <c r="AS123" s="6" t="s">
        <v>55</v>
      </c>
      <c r="AU123" s="6" t="s">
        <v>476</v>
      </c>
      <c r="AV123">
        <v>93</v>
      </c>
    </row>
    <row r="124" spans="1:48" ht="30" customHeight="1" x14ac:dyDescent="0.3">
      <c r="A124" s="4" t="s">
        <v>477</v>
      </c>
      <c r="B124" s="4" t="s">
        <v>473</v>
      </c>
      <c r="C124" s="4" t="s">
        <v>269</v>
      </c>
      <c r="D124" s="5">
        <v>1597</v>
      </c>
      <c r="E124" s="7">
        <f>TRUNC([1]일위대가목록!E49,0)</f>
        <v>544</v>
      </c>
      <c r="F124" s="7">
        <f t="shared" si="16"/>
        <v>868768</v>
      </c>
      <c r="G124" s="7">
        <f>TRUNC([1]일위대가목록!F49,0)</f>
        <v>0</v>
      </c>
      <c r="H124" s="7">
        <f t="shared" si="17"/>
        <v>0</v>
      </c>
      <c r="I124" s="7">
        <f>TRUNC([1]일위대가목록!G49,0)</f>
        <v>0</v>
      </c>
      <c r="J124" s="7">
        <f t="shared" si="18"/>
        <v>0</v>
      </c>
      <c r="K124" s="7">
        <f t="shared" si="19"/>
        <v>544</v>
      </c>
      <c r="L124" s="7">
        <f t="shared" si="19"/>
        <v>868768</v>
      </c>
      <c r="M124" s="4" t="s">
        <v>478</v>
      </c>
      <c r="N124" s="6" t="s">
        <v>479</v>
      </c>
      <c r="O124" s="6" t="s">
        <v>55</v>
      </c>
      <c r="P124" s="6" t="s">
        <v>55</v>
      </c>
      <c r="Q124" s="6" t="s">
        <v>415</v>
      </c>
      <c r="R124" s="6" t="s">
        <v>57</v>
      </c>
      <c r="S124" s="6" t="s">
        <v>56</v>
      </c>
      <c r="T124" s="6" t="s">
        <v>56</v>
      </c>
      <c r="AR124" s="6" t="s">
        <v>55</v>
      </c>
      <c r="AS124" s="6" t="s">
        <v>55</v>
      </c>
      <c r="AU124" s="6" t="s">
        <v>480</v>
      </c>
      <c r="AV124">
        <v>94</v>
      </c>
    </row>
    <row r="125" spans="1:48" ht="30" customHeight="1" x14ac:dyDescent="0.3">
      <c r="A125" s="4" t="s">
        <v>481</v>
      </c>
      <c r="B125" s="4" t="s">
        <v>482</v>
      </c>
      <c r="C125" s="4" t="s">
        <v>269</v>
      </c>
      <c r="D125" s="5">
        <v>1557</v>
      </c>
      <c r="E125" s="7">
        <f>TRUNC([1]일위대가목록!E50,0)</f>
        <v>-5</v>
      </c>
      <c r="F125" s="7">
        <f t="shared" si="16"/>
        <v>-7785</v>
      </c>
      <c r="G125" s="7">
        <f>TRUNC([1]일위대가목록!F50,0)</f>
        <v>0</v>
      </c>
      <c r="H125" s="7">
        <f t="shared" si="17"/>
        <v>0</v>
      </c>
      <c r="I125" s="7">
        <f>TRUNC([1]일위대가목록!G50,0)</f>
        <v>0</v>
      </c>
      <c r="J125" s="7">
        <f t="shared" si="18"/>
        <v>0</v>
      </c>
      <c r="K125" s="7">
        <f t="shared" si="19"/>
        <v>-5</v>
      </c>
      <c r="L125" s="7">
        <f t="shared" si="19"/>
        <v>-7785</v>
      </c>
      <c r="M125" s="4" t="s">
        <v>483</v>
      </c>
      <c r="N125" s="6" t="s">
        <v>484</v>
      </c>
      <c r="O125" s="6" t="s">
        <v>55</v>
      </c>
      <c r="P125" s="6" t="s">
        <v>55</v>
      </c>
      <c r="Q125" s="6" t="s">
        <v>415</v>
      </c>
      <c r="R125" s="6" t="s">
        <v>57</v>
      </c>
      <c r="S125" s="6" t="s">
        <v>56</v>
      </c>
      <c r="T125" s="6" t="s">
        <v>56</v>
      </c>
      <c r="AR125" s="6" t="s">
        <v>55</v>
      </c>
      <c r="AS125" s="6" t="s">
        <v>55</v>
      </c>
      <c r="AU125" s="6" t="s">
        <v>485</v>
      </c>
      <c r="AV125">
        <v>95</v>
      </c>
    </row>
    <row r="126" spans="1:48" ht="30" customHeight="1" x14ac:dyDescent="0.3">
      <c r="A126" s="4" t="s">
        <v>486</v>
      </c>
      <c r="B126" s="4" t="s">
        <v>487</v>
      </c>
      <c r="C126" s="4" t="s">
        <v>488</v>
      </c>
      <c r="D126" s="5">
        <v>489</v>
      </c>
      <c r="E126" s="7">
        <f>TRUNC([1]일위대가목록!E51,0)</f>
        <v>349</v>
      </c>
      <c r="F126" s="7">
        <f t="shared" si="16"/>
        <v>170661</v>
      </c>
      <c r="G126" s="7">
        <f>TRUNC([1]일위대가목록!F51,0)</f>
        <v>4869</v>
      </c>
      <c r="H126" s="7">
        <f t="shared" si="17"/>
        <v>2380941</v>
      </c>
      <c r="I126" s="7">
        <f>TRUNC([1]일위대가목록!G51,0)</f>
        <v>0</v>
      </c>
      <c r="J126" s="7">
        <f t="shared" si="18"/>
        <v>0</v>
      </c>
      <c r="K126" s="7">
        <f t="shared" si="19"/>
        <v>5218</v>
      </c>
      <c r="L126" s="7">
        <f t="shared" si="19"/>
        <v>2551602</v>
      </c>
      <c r="M126" s="4" t="s">
        <v>489</v>
      </c>
      <c r="N126" s="6" t="s">
        <v>490</v>
      </c>
      <c r="O126" s="6" t="s">
        <v>55</v>
      </c>
      <c r="P126" s="6" t="s">
        <v>55</v>
      </c>
      <c r="Q126" s="6" t="s">
        <v>415</v>
      </c>
      <c r="R126" s="6" t="s">
        <v>57</v>
      </c>
      <c r="S126" s="6" t="s">
        <v>56</v>
      </c>
      <c r="T126" s="6" t="s">
        <v>56</v>
      </c>
      <c r="AR126" s="6" t="s">
        <v>55</v>
      </c>
      <c r="AS126" s="6" t="s">
        <v>55</v>
      </c>
      <c r="AU126" s="6" t="s">
        <v>491</v>
      </c>
      <c r="AV126">
        <v>96</v>
      </c>
    </row>
    <row r="127" spans="1:48" ht="30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spans="1:48" ht="30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spans="1:48" ht="30" customHeight="1" x14ac:dyDescent="0.3">
      <c r="A129" s="4" t="s">
        <v>128</v>
      </c>
      <c r="B129" s="5"/>
      <c r="C129" s="5"/>
      <c r="D129" s="5"/>
      <c r="E129" s="5"/>
      <c r="F129" s="7">
        <f>SUM(F110:F128)</f>
        <v>11052287</v>
      </c>
      <c r="G129" s="5"/>
      <c r="H129" s="7">
        <f>SUM(H110:H128)</f>
        <v>275485165</v>
      </c>
      <c r="I129" s="5"/>
      <c r="J129" s="7">
        <f>SUM(J110:J128)</f>
        <v>247046</v>
      </c>
      <c r="K129" s="5"/>
      <c r="L129" s="7">
        <f>SUM(L110:L128)</f>
        <v>286784498</v>
      </c>
      <c r="M129" s="5"/>
      <c r="N129" t="s">
        <v>129</v>
      </c>
    </row>
    <row r="130" spans="1:48" ht="30" customHeight="1" x14ac:dyDescent="0.3">
      <c r="A130" s="4" t="s">
        <v>492</v>
      </c>
      <c r="B130" s="4" t="s">
        <v>48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Q130" s="6" t="s">
        <v>493</v>
      </c>
    </row>
    <row r="131" spans="1:48" ht="30" customHeight="1" x14ac:dyDescent="0.3">
      <c r="A131" s="4" t="s">
        <v>494</v>
      </c>
      <c r="B131" s="4" t="s">
        <v>495</v>
      </c>
      <c r="C131" s="4" t="s">
        <v>61</v>
      </c>
      <c r="D131" s="5">
        <v>64</v>
      </c>
      <c r="E131" s="7">
        <f>TRUNC([1]일위대가목록!E52,0)</f>
        <v>18674</v>
      </c>
      <c r="F131" s="7">
        <f>TRUNC(E131*D131, 0)</f>
        <v>1195136</v>
      </c>
      <c r="G131" s="7">
        <f>TRUNC([1]일위대가목록!F52,0)</f>
        <v>34385</v>
      </c>
      <c r="H131" s="7">
        <f>TRUNC(G131*D131, 0)</f>
        <v>2200640</v>
      </c>
      <c r="I131" s="7">
        <f>TRUNC([1]일위대가목록!G52,0)</f>
        <v>0</v>
      </c>
      <c r="J131" s="7">
        <f>TRUNC(I131*D131, 0)</f>
        <v>0</v>
      </c>
      <c r="K131" s="7">
        <f t="shared" ref="K131:L134" si="20">TRUNC(E131+G131+I131, 0)</f>
        <v>53059</v>
      </c>
      <c r="L131" s="7">
        <f t="shared" si="20"/>
        <v>3395776</v>
      </c>
      <c r="M131" s="4" t="s">
        <v>496</v>
      </c>
      <c r="N131" s="6" t="s">
        <v>497</v>
      </c>
      <c r="O131" s="6" t="s">
        <v>55</v>
      </c>
      <c r="P131" s="6" t="s">
        <v>55</v>
      </c>
      <c r="Q131" s="6" t="s">
        <v>493</v>
      </c>
      <c r="R131" s="6" t="s">
        <v>57</v>
      </c>
      <c r="S131" s="6" t="s">
        <v>56</v>
      </c>
      <c r="T131" s="6" t="s">
        <v>56</v>
      </c>
      <c r="AR131" s="6" t="s">
        <v>55</v>
      </c>
      <c r="AS131" s="6" t="s">
        <v>55</v>
      </c>
      <c r="AU131" s="6" t="s">
        <v>498</v>
      </c>
      <c r="AV131">
        <v>103</v>
      </c>
    </row>
    <row r="132" spans="1:48" ht="30" customHeight="1" x14ac:dyDescent="0.3">
      <c r="A132" s="4" t="s">
        <v>494</v>
      </c>
      <c r="B132" s="4" t="s">
        <v>499</v>
      </c>
      <c r="C132" s="4" t="s">
        <v>61</v>
      </c>
      <c r="D132" s="5">
        <v>42</v>
      </c>
      <c r="E132" s="7">
        <f>TRUNC([1]일위대가목록!E53,0)</f>
        <v>21631</v>
      </c>
      <c r="F132" s="7">
        <f>TRUNC(E132*D132, 0)</f>
        <v>908502</v>
      </c>
      <c r="G132" s="7">
        <f>TRUNC([1]일위대가목록!F53,0)</f>
        <v>32980</v>
      </c>
      <c r="H132" s="7">
        <f>TRUNC(G132*D132, 0)</f>
        <v>1385160</v>
      </c>
      <c r="I132" s="7">
        <f>TRUNC([1]일위대가목록!G53,0)</f>
        <v>0</v>
      </c>
      <c r="J132" s="7">
        <f>TRUNC(I132*D132, 0)</f>
        <v>0</v>
      </c>
      <c r="K132" s="7">
        <f t="shared" si="20"/>
        <v>54611</v>
      </c>
      <c r="L132" s="7">
        <f t="shared" si="20"/>
        <v>2293662</v>
      </c>
      <c r="M132" s="4" t="s">
        <v>500</v>
      </c>
      <c r="N132" s="6" t="s">
        <v>501</v>
      </c>
      <c r="O132" s="6" t="s">
        <v>55</v>
      </c>
      <c r="P132" s="6" t="s">
        <v>55</v>
      </c>
      <c r="Q132" s="6" t="s">
        <v>493</v>
      </c>
      <c r="R132" s="6" t="s">
        <v>57</v>
      </c>
      <c r="S132" s="6" t="s">
        <v>56</v>
      </c>
      <c r="T132" s="6" t="s">
        <v>56</v>
      </c>
      <c r="AR132" s="6" t="s">
        <v>55</v>
      </c>
      <c r="AS132" s="6" t="s">
        <v>55</v>
      </c>
      <c r="AU132" s="6" t="s">
        <v>502</v>
      </c>
      <c r="AV132">
        <v>104</v>
      </c>
    </row>
    <row r="133" spans="1:48" ht="30" customHeight="1" x14ac:dyDescent="0.3">
      <c r="A133" s="4" t="s">
        <v>503</v>
      </c>
      <c r="B133" s="4" t="s">
        <v>55</v>
      </c>
      <c r="C133" s="4" t="s">
        <v>269</v>
      </c>
      <c r="D133" s="5">
        <v>52</v>
      </c>
      <c r="E133" s="7">
        <f>TRUNC([1]일위대가목록!E54,0)</f>
        <v>187</v>
      </c>
      <c r="F133" s="7">
        <f>TRUNC(E133*D133, 0)</f>
        <v>9724</v>
      </c>
      <c r="G133" s="7">
        <f>TRUNC([1]일위대가목록!F54,0)</f>
        <v>22086</v>
      </c>
      <c r="H133" s="7">
        <f>TRUNC(G133*D133, 0)</f>
        <v>1148472</v>
      </c>
      <c r="I133" s="7">
        <f>TRUNC([1]일위대가목록!G54,0)</f>
        <v>0</v>
      </c>
      <c r="J133" s="7">
        <f>TRUNC(I133*D133, 0)</f>
        <v>0</v>
      </c>
      <c r="K133" s="7">
        <f t="shared" si="20"/>
        <v>22273</v>
      </c>
      <c r="L133" s="7">
        <f t="shared" si="20"/>
        <v>1158196</v>
      </c>
      <c r="M133" s="4" t="s">
        <v>504</v>
      </c>
      <c r="N133" s="6" t="s">
        <v>505</v>
      </c>
      <c r="O133" s="6" t="s">
        <v>55</v>
      </c>
      <c r="P133" s="6" t="s">
        <v>55</v>
      </c>
      <c r="Q133" s="6" t="s">
        <v>493</v>
      </c>
      <c r="R133" s="6" t="s">
        <v>57</v>
      </c>
      <c r="S133" s="6" t="s">
        <v>56</v>
      </c>
      <c r="T133" s="6" t="s">
        <v>56</v>
      </c>
      <c r="AR133" s="6" t="s">
        <v>55</v>
      </c>
      <c r="AS133" s="6" t="s">
        <v>55</v>
      </c>
      <c r="AU133" s="6" t="s">
        <v>506</v>
      </c>
      <c r="AV133">
        <v>109</v>
      </c>
    </row>
    <row r="134" spans="1:48" ht="30" customHeight="1" x14ac:dyDescent="0.3">
      <c r="A134" s="4" t="s">
        <v>507</v>
      </c>
      <c r="B134" s="4" t="s">
        <v>508</v>
      </c>
      <c r="C134" s="4" t="s">
        <v>269</v>
      </c>
      <c r="D134" s="5">
        <v>26</v>
      </c>
      <c r="E134" s="7">
        <f>TRUNC([1]단가대비표!O138,0)</f>
        <v>83333</v>
      </c>
      <c r="F134" s="7">
        <f>TRUNC(E134*D134, 0)</f>
        <v>2166658</v>
      </c>
      <c r="G134" s="7">
        <f>TRUNC([1]단가대비표!P138,0)</f>
        <v>0</v>
      </c>
      <c r="H134" s="7">
        <f>TRUNC(G134*D134, 0)</f>
        <v>0</v>
      </c>
      <c r="I134" s="7">
        <f>TRUNC([1]단가대비표!V138,0)</f>
        <v>0</v>
      </c>
      <c r="J134" s="7">
        <f>TRUNC(I134*D134, 0)</f>
        <v>0</v>
      </c>
      <c r="K134" s="7">
        <f t="shared" si="20"/>
        <v>83333</v>
      </c>
      <c r="L134" s="7">
        <f t="shared" si="20"/>
        <v>2166658</v>
      </c>
      <c r="M134" s="4" t="s">
        <v>55</v>
      </c>
      <c r="N134" s="6" t="s">
        <v>509</v>
      </c>
      <c r="O134" s="6" t="s">
        <v>55</v>
      </c>
      <c r="P134" s="6" t="s">
        <v>55</v>
      </c>
      <c r="Q134" s="6" t="s">
        <v>493</v>
      </c>
      <c r="R134" s="6" t="s">
        <v>56</v>
      </c>
      <c r="S134" s="6" t="s">
        <v>56</v>
      </c>
      <c r="T134" s="6" t="s">
        <v>57</v>
      </c>
      <c r="AR134" s="6" t="s">
        <v>55</v>
      </c>
      <c r="AS134" s="6" t="s">
        <v>55</v>
      </c>
      <c r="AU134" s="6" t="s">
        <v>510</v>
      </c>
      <c r="AV134">
        <v>100</v>
      </c>
    </row>
    <row r="135" spans="1:48" ht="30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spans="1:48" ht="30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spans="1:48" ht="30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spans="1:48" ht="30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spans="1:48" ht="30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spans="1:48" ht="30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spans="1:48" ht="30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spans="1:48" ht="30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spans="1:48" ht="30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spans="1:48" ht="30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spans="1:48" ht="30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spans="1:48" ht="30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spans="1:48" ht="30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spans="1:48" ht="30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spans="1:48" ht="30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spans="1:48" ht="30" customHeight="1" x14ac:dyDescent="0.3">
      <c r="A150" s="4" t="s">
        <v>128</v>
      </c>
      <c r="B150" s="5"/>
      <c r="C150" s="5"/>
      <c r="D150" s="5"/>
      <c r="E150" s="5"/>
      <c r="F150" s="7">
        <f>SUM(F131:F149)</f>
        <v>4280020</v>
      </c>
      <c r="G150" s="5"/>
      <c r="H150" s="7">
        <f>SUM(H131:H149)</f>
        <v>4734272</v>
      </c>
      <c r="I150" s="5"/>
      <c r="J150" s="7">
        <f>SUM(J131:J149)</f>
        <v>0</v>
      </c>
      <c r="K150" s="5"/>
      <c r="L150" s="7">
        <f>SUM(L131:L149)</f>
        <v>9014292</v>
      </c>
      <c r="M150" s="5"/>
      <c r="N150" t="s">
        <v>129</v>
      </c>
    </row>
    <row r="151" spans="1:48" ht="30" customHeight="1" x14ac:dyDescent="0.3">
      <c r="A151" s="4" t="s">
        <v>511</v>
      </c>
      <c r="B151" s="4" t="s">
        <v>48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Q151" s="6" t="s">
        <v>512</v>
      </c>
    </row>
    <row r="152" spans="1:48" ht="30" customHeight="1" x14ac:dyDescent="0.3">
      <c r="A152" s="4" t="s">
        <v>513</v>
      </c>
      <c r="B152" s="4" t="s">
        <v>514</v>
      </c>
      <c r="C152" s="4" t="s">
        <v>61</v>
      </c>
      <c r="D152" s="5">
        <v>701</v>
      </c>
      <c r="E152" s="7">
        <f>TRUNC([1]단가대비표!O104,0)</f>
        <v>16000</v>
      </c>
      <c r="F152" s="7">
        <f t="shared" ref="F152:F167" si="21">TRUNC(E152*D152, 0)</f>
        <v>11216000</v>
      </c>
      <c r="G152" s="7">
        <f>TRUNC([1]단가대비표!P104,0)</f>
        <v>0</v>
      </c>
      <c r="H152" s="7">
        <f t="shared" ref="H152:H167" si="22">TRUNC(G152*D152, 0)</f>
        <v>0</v>
      </c>
      <c r="I152" s="7">
        <f>TRUNC([1]단가대비표!V104,0)</f>
        <v>0</v>
      </c>
      <c r="J152" s="7">
        <f t="shared" ref="J152:J167" si="23">TRUNC(I152*D152, 0)</f>
        <v>0</v>
      </c>
      <c r="K152" s="7">
        <f t="shared" ref="K152:L167" si="24">TRUNC(E152+G152+I152, 0)</f>
        <v>16000</v>
      </c>
      <c r="L152" s="7">
        <f t="shared" si="24"/>
        <v>11216000</v>
      </c>
      <c r="M152" s="4" t="s">
        <v>55</v>
      </c>
      <c r="N152" s="6" t="s">
        <v>515</v>
      </c>
      <c r="O152" s="6" t="s">
        <v>55</v>
      </c>
      <c r="P152" s="6" t="s">
        <v>55</v>
      </c>
      <c r="Q152" s="6" t="s">
        <v>512</v>
      </c>
      <c r="R152" s="6" t="s">
        <v>56</v>
      </c>
      <c r="S152" s="6" t="s">
        <v>56</v>
      </c>
      <c r="T152" s="6" t="s">
        <v>57</v>
      </c>
      <c r="AR152" s="6" t="s">
        <v>55</v>
      </c>
      <c r="AS152" s="6" t="s">
        <v>55</v>
      </c>
      <c r="AU152" s="6" t="s">
        <v>516</v>
      </c>
      <c r="AV152">
        <v>113</v>
      </c>
    </row>
    <row r="153" spans="1:48" ht="30" customHeight="1" x14ac:dyDescent="0.3">
      <c r="A153" s="4" t="s">
        <v>517</v>
      </c>
      <c r="B153" s="4" t="s">
        <v>518</v>
      </c>
      <c r="C153" s="4" t="s">
        <v>61</v>
      </c>
      <c r="D153" s="5">
        <v>684</v>
      </c>
      <c r="E153" s="7">
        <f>TRUNC([1]단가대비표!O105,0)</f>
        <v>15000</v>
      </c>
      <c r="F153" s="7">
        <f t="shared" si="21"/>
        <v>10260000</v>
      </c>
      <c r="G153" s="7">
        <f>TRUNC([1]단가대비표!P105,0)</f>
        <v>0</v>
      </c>
      <c r="H153" s="7">
        <f t="shared" si="22"/>
        <v>0</v>
      </c>
      <c r="I153" s="7">
        <f>TRUNC([1]단가대비표!V105,0)</f>
        <v>0</v>
      </c>
      <c r="J153" s="7">
        <f t="shared" si="23"/>
        <v>0</v>
      </c>
      <c r="K153" s="7">
        <f t="shared" si="24"/>
        <v>15000</v>
      </c>
      <c r="L153" s="7">
        <f t="shared" si="24"/>
        <v>10260000</v>
      </c>
      <c r="M153" s="4" t="s">
        <v>55</v>
      </c>
      <c r="N153" s="6" t="s">
        <v>519</v>
      </c>
      <c r="O153" s="6" t="s">
        <v>55</v>
      </c>
      <c r="P153" s="6" t="s">
        <v>55</v>
      </c>
      <c r="Q153" s="6" t="s">
        <v>512</v>
      </c>
      <c r="R153" s="6" t="s">
        <v>56</v>
      </c>
      <c r="S153" s="6" t="s">
        <v>56</v>
      </c>
      <c r="T153" s="6" t="s">
        <v>57</v>
      </c>
      <c r="AR153" s="6" t="s">
        <v>55</v>
      </c>
      <c r="AS153" s="6" t="s">
        <v>55</v>
      </c>
      <c r="AU153" s="6" t="s">
        <v>520</v>
      </c>
      <c r="AV153">
        <v>114</v>
      </c>
    </row>
    <row r="154" spans="1:48" ht="30" customHeight="1" x14ac:dyDescent="0.3">
      <c r="A154" s="4" t="s">
        <v>521</v>
      </c>
      <c r="B154" s="4" t="s">
        <v>522</v>
      </c>
      <c r="C154" s="4" t="s">
        <v>61</v>
      </c>
      <c r="D154" s="5">
        <v>694</v>
      </c>
      <c r="E154" s="7">
        <f>TRUNC([1]단가대비표!O108,0)</f>
        <v>10800</v>
      </c>
      <c r="F154" s="7">
        <f t="shared" si="21"/>
        <v>7495200</v>
      </c>
      <c r="G154" s="7">
        <f>TRUNC([1]단가대비표!P108,0)</f>
        <v>0</v>
      </c>
      <c r="H154" s="7">
        <f t="shared" si="22"/>
        <v>0</v>
      </c>
      <c r="I154" s="7">
        <f>TRUNC([1]단가대비표!V108,0)</f>
        <v>0</v>
      </c>
      <c r="J154" s="7">
        <f t="shared" si="23"/>
        <v>0</v>
      </c>
      <c r="K154" s="7">
        <f t="shared" si="24"/>
        <v>10800</v>
      </c>
      <c r="L154" s="7">
        <f t="shared" si="24"/>
        <v>7495200</v>
      </c>
      <c r="M154" s="4" t="s">
        <v>55</v>
      </c>
      <c r="N154" s="6" t="s">
        <v>523</v>
      </c>
      <c r="O154" s="6" t="s">
        <v>55</v>
      </c>
      <c r="P154" s="6" t="s">
        <v>55</v>
      </c>
      <c r="Q154" s="6" t="s">
        <v>512</v>
      </c>
      <c r="R154" s="6" t="s">
        <v>56</v>
      </c>
      <c r="S154" s="6" t="s">
        <v>56</v>
      </c>
      <c r="T154" s="6" t="s">
        <v>57</v>
      </c>
      <c r="AR154" s="6" t="s">
        <v>55</v>
      </c>
      <c r="AS154" s="6" t="s">
        <v>55</v>
      </c>
      <c r="AU154" s="6" t="s">
        <v>524</v>
      </c>
      <c r="AV154">
        <v>116</v>
      </c>
    </row>
    <row r="155" spans="1:48" ht="30" customHeight="1" x14ac:dyDescent="0.3">
      <c r="A155" s="4" t="s">
        <v>521</v>
      </c>
      <c r="B155" s="4" t="s">
        <v>525</v>
      </c>
      <c r="C155" s="4" t="s">
        <v>61</v>
      </c>
      <c r="D155" s="5">
        <v>638</v>
      </c>
      <c r="E155" s="7">
        <f>TRUNC([1]단가대비표!O106,0)</f>
        <v>36000</v>
      </c>
      <c r="F155" s="7">
        <f t="shared" si="21"/>
        <v>22968000</v>
      </c>
      <c r="G155" s="7">
        <f>TRUNC([1]단가대비표!P106,0)</f>
        <v>0</v>
      </c>
      <c r="H155" s="7">
        <f t="shared" si="22"/>
        <v>0</v>
      </c>
      <c r="I155" s="7">
        <f>TRUNC([1]단가대비표!V106,0)</f>
        <v>0</v>
      </c>
      <c r="J155" s="7">
        <f t="shared" si="23"/>
        <v>0</v>
      </c>
      <c r="K155" s="7">
        <f t="shared" si="24"/>
        <v>36000</v>
      </c>
      <c r="L155" s="7">
        <f t="shared" si="24"/>
        <v>22968000</v>
      </c>
      <c r="M155" s="4" t="s">
        <v>55</v>
      </c>
      <c r="N155" s="6" t="s">
        <v>526</v>
      </c>
      <c r="O155" s="6" t="s">
        <v>55</v>
      </c>
      <c r="P155" s="6" t="s">
        <v>55</v>
      </c>
      <c r="Q155" s="6" t="s">
        <v>512</v>
      </c>
      <c r="R155" s="6" t="s">
        <v>56</v>
      </c>
      <c r="S155" s="6" t="s">
        <v>56</v>
      </c>
      <c r="T155" s="6" t="s">
        <v>57</v>
      </c>
      <c r="AR155" s="6" t="s">
        <v>55</v>
      </c>
      <c r="AS155" s="6" t="s">
        <v>55</v>
      </c>
      <c r="AU155" s="6" t="s">
        <v>527</v>
      </c>
      <c r="AV155">
        <v>2971</v>
      </c>
    </row>
    <row r="156" spans="1:48" ht="30" customHeight="1" x14ac:dyDescent="0.3">
      <c r="A156" s="4" t="s">
        <v>528</v>
      </c>
      <c r="B156" s="4" t="s">
        <v>529</v>
      </c>
      <c r="C156" s="4" t="s">
        <v>61</v>
      </c>
      <c r="D156" s="5">
        <v>2354</v>
      </c>
      <c r="E156" s="7">
        <f>TRUNC([1]일위대가목록!E55,0)</f>
        <v>0</v>
      </c>
      <c r="F156" s="7">
        <f t="shared" si="21"/>
        <v>0</v>
      </c>
      <c r="G156" s="7">
        <f>TRUNC([1]일위대가목록!F55,0)</f>
        <v>24112</v>
      </c>
      <c r="H156" s="7">
        <f t="shared" si="22"/>
        <v>56759648</v>
      </c>
      <c r="I156" s="7">
        <f>TRUNC([1]일위대가목록!G55,0)</f>
        <v>447</v>
      </c>
      <c r="J156" s="7">
        <f t="shared" si="23"/>
        <v>1052238</v>
      </c>
      <c r="K156" s="7">
        <f t="shared" si="24"/>
        <v>24559</v>
      </c>
      <c r="L156" s="7">
        <f t="shared" si="24"/>
        <v>57811886</v>
      </c>
      <c r="M156" s="4" t="s">
        <v>530</v>
      </c>
      <c r="N156" s="6" t="s">
        <v>531</v>
      </c>
      <c r="O156" s="6" t="s">
        <v>55</v>
      </c>
      <c r="P156" s="6" t="s">
        <v>55</v>
      </c>
      <c r="Q156" s="6" t="s">
        <v>512</v>
      </c>
      <c r="R156" s="6" t="s">
        <v>57</v>
      </c>
      <c r="S156" s="6" t="s">
        <v>56</v>
      </c>
      <c r="T156" s="6" t="s">
        <v>56</v>
      </c>
      <c r="AR156" s="6" t="s">
        <v>55</v>
      </c>
      <c r="AS156" s="6" t="s">
        <v>55</v>
      </c>
      <c r="AU156" s="6" t="s">
        <v>532</v>
      </c>
      <c r="AV156">
        <v>2972</v>
      </c>
    </row>
    <row r="157" spans="1:48" ht="30" customHeight="1" x14ac:dyDescent="0.3">
      <c r="A157" s="4" t="s">
        <v>528</v>
      </c>
      <c r="B157" s="4" t="s">
        <v>533</v>
      </c>
      <c r="C157" s="4" t="s">
        <v>61</v>
      </c>
      <c r="D157" s="5">
        <v>557</v>
      </c>
      <c r="E157" s="7">
        <f>TRUNC([1]일위대가목록!E56,0)</f>
        <v>0</v>
      </c>
      <c r="F157" s="7">
        <f t="shared" si="21"/>
        <v>0</v>
      </c>
      <c r="G157" s="7">
        <f>TRUNC([1]일위대가목록!F56,0)</f>
        <v>13294</v>
      </c>
      <c r="H157" s="7">
        <f t="shared" si="22"/>
        <v>7404758</v>
      </c>
      <c r="I157" s="7">
        <f>TRUNC([1]일위대가목록!G56,0)</f>
        <v>214</v>
      </c>
      <c r="J157" s="7">
        <f t="shared" si="23"/>
        <v>119198</v>
      </c>
      <c r="K157" s="7">
        <f t="shared" si="24"/>
        <v>13508</v>
      </c>
      <c r="L157" s="7">
        <f t="shared" si="24"/>
        <v>7523956</v>
      </c>
      <c r="M157" s="4" t="s">
        <v>534</v>
      </c>
      <c r="N157" s="6" t="s">
        <v>535</v>
      </c>
      <c r="O157" s="6" t="s">
        <v>55</v>
      </c>
      <c r="P157" s="6" t="s">
        <v>55</v>
      </c>
      <c r="Q157" s="6" t="s">
        <v>512</v>
      </c>
      <c r="R157" s="6" t="s">
        <v>57</v>
      </c>
      <c r="S157" s="6" t="s">
        <v>56</v>
      </c>
      <c r="T157" s="6" t="s">
        <v>56</v>
      </c>
      <c r="AR157" s="6" t="s">
        <v>55</v>
      </c>
      <c r="AS157" s="6" t="s">
        <v>55</v>
      </c>
      <c r="AU157" s="6" t="s">
        <v>536</v>
      </c>
      <c r="AV157">
        <v>2973</v>
      </c>
    </row>
    <row r="158" spans="1:48" ht="30" customHeight="1" x14ac:dyDescent="0.3">
      <c r="A158" s="4" t="s">
        <v>528</v>
      </c>
      <c r="B158" s="4" t="s">
        <v>537</v>
      </c>
      <c r="C158" s="4" t="s">
        <v>61</v>
      </c>
      <c r="D158" s="5">
        <v>644</v>
      </c>
      <c r="E158" s="7">
        <f>TRUNC([1]일위대가목록!E57,0)</f>
        <v>0</v>
      </c>
      <c r="F158" s="7">
        <f t="shared" si="21"/>
        <v>0</v>
      </c>
      <c r="G158" s="7">
        <f>TRUNC([1]일위대가목록!F57,0)</f>
        <v>13812</v>
      </c>
      <c r="H158" s="7">
        <f t="shared" si="22"/>
        <v>8894928</v>
      </c>
      <c r="I158" s="7">
        <f>TRUNC([1]일위대가목록!G57,0)</f>
        <v>214</v>
      </c>
      <c r="J158" s="7">
        <f t="shared" si="23"/>
        <v>137816</v>
      </c>
      <c r="K158" s="7">
        <f t="shared" si="24"/>
        <v>14026</v>
      </c>
      <c r="L158" s="7">
        <f t="shared" si="24"/>
        <v>9032744</v>
      </c>
      <c r="M158" s="4" t="s">
        <v>538</v>
      </c>
      <c r="N158" s="6" t="s">
        <v>539</v>
      </c>
      <c r="O158" s="6" t="s">
        <v>55</v>
      </c>
      <c r="P158" s="6" t="s">
        <v>55</v>
      </c>
      <c r="Q158" s="6" t="s">
        <v>512</v>
      </c>
      <c r="R158" s="6" t="s">
        <v>57</v>
      </c>
      <c r="S158" s="6" t="s">
        <v>56</v>
      </c>
      <c r="T158" s="6" t="s">
        <v>56</v>
      </c>
      <c r="AR158" s="6" t="s">
        <v>55</v>
      </c>
      <c r="AS158" s="6" t="s">
        <v>55</v>
      </c>
      <c r="AU158" s="6" t="s">
        <v>540</v>
      </c>
      <c r="AV158">
        <v>2974</v>
      </c>
    </row>
    <row r="159" spans="1:48" ht="30" customHeight="1" x14ac:dyDescent="0.3">
      <c r="A159" s="4" t="s">
        <v>528</v>
      </c>
      <c r="B159" s="4" t="s">
        <v>541</v>
      </c>
      <c r="C159" s="4" t="s">
        <v>61</v>
      </c>
      <c r="D159" s="5">
        <v>498</v>
      </c>
      <c r="E159" s="7">
        <f>TRUNC([1]일위대가목록!E58,0)</f>
        <v>0</v>
      </c>
      <c r="F159" s="7">
        <f t="shared" si="21"/>
        <v>0</v>
      </c>
      <c r="G159" s="7">
        <f>TRUNC([1]일위대가목록!F58,0)</f>
        <v>14849</v>
      </c>
      <c r="H159" s="7">
        <f t="shared" si="22"/>
        <v>7394802</v>
      </c>
      <c r="I159" s="7">
        <f>TRUNC([1]일위대가목록!G58,0)</f>
        <v>214</v>
      </c>
      <c r="J159" s="7">
        <f t="shared" si="23"/>
        <v>106572</v>
      </c>
      <c r="K159" s="7">
        <f t="shared" si="24"/>
        <v>15063</v>
      </c>
      <c r="L159" s="7">
        <f t="shared" si="24"/>
        <v>7501374</v>
      </c>
      <c r="M159" s="4" t="s">
        <v>542</v>
      </c>
      <c r="N159" s="6" t="s">
        <v>543</v>
      </c>
      <c r="O159" s="6" t="s">
        <v>55</v>
      </c>
      <c r="P159" s="6" t="s">
        <v>55</v>
      </c>
      <c r="Q159" s="6" t="s">
        <v>512</v>
      </c>
      <c r="R159" s="6" t="s">
        <v>57</v>
      </c>
      <c r="S159" s="6" t="s">
        <v>56</v>
      </c>
      <c r="T159" s="6" t="s">
        <v>56</v>
      </c>
      <c r="AR159" s="6" t="s">
        <v>55</v>
      </c>
      <c r="AS159" s="6" t="s">
        <v>55</v>
      </c>
      <c r="AU159" s="6" t="s">
        <v>544</v>
      </c>
      <c r="AV159">
        <v>2977</v>
      </c>
    </row>
    <row r="160" spans="1:48" ht="30" customHeight="1" x14ac:dyDescent="0.3">
      <c r="A160" s="4" t="s">
        <v>528</v>
      </c>
      <c r="B160" s="4" t="s">
        <v>545</v>
      </c>
      <c r="C160" s="4" t="s">
        <v>61</v>
      </c>
      <c r="D160" s="5">
        <v>1043</v>
      </c>
      <c r="E160" s="7">
        <f>TRUNC([1]일위대가목록!E59,0)</f>
        <v>0</v>
      </c>
      <c r="F160" s="7">
        <f t="shared" si="21"/>
        <v>0</v>
      </c>
      <c r="G160" s="7">
        <f>TRUNC([1]일위대가목록!F59,0)</f>
        <v>15160</v>
      </c>
      <c r="H160" s="7">
        <f t="shared" si="22"/>
        <v>15811880</v>
      </c>
      <c r="I160" s="7">
        <f>TRUNC([1]일위대가목록!G59,0)</f>
        <v>214</v>
      </c>
      <c r="J160" s="7">
        <f t="shared" si="23"/>
        <v>223202</v>
      </c>
      <c r="K160" s="7">
        <f t="shared" si="24"/>
        <v>15374</v>
      </c>
      <c r="L160" s="7">
        <f t="shared" si="24"/>
        <v>16035082</v>
      </c>
      <c r="M160" s="4" t="s">
        <v>546</v>
      </c>
      <c r="N160" s="6" t="s">
        <v>547</v>
      </c>
      <c r="O160" s="6" t="s">
        <v>55</v>
      </c>
      <c r="P160" s="6" t="s">
        <v>55</v>
      </c>
      <c r="Q160" s="6" t="s">
        <v>512</v>
      </c>
      <c r="R160" s="6" t="s">
        <v>57</v>
      </c>
      <c r="S160" s="6" t="s">
        <v>56</v>
      </c>
      <c r="T160" s="6" t="s">
        <v>56</v>
      </c>
      <c r="AR160" s="6" t="s">
        <v>55</v>
      </c>
      <c r="AS160" s="6" t="s">
        <v>55</v>
      </c>
      <c r="AU160" s="6" t="s">
        <v>548</v>
      </c>
      <c r="AV160">
        <v>2975</v>
      </c>
    </row>
    <row r="161" spans="1:48" ht="30" customHeight="1" x14ac:dyDescent="0.3">
      <c r="A161" s="4" t="s">
        <v>528</v>
      </c>
      <c r="B161" s="4" t="s">
        <v>549</v>
      </c>
      <c r="C161" s="4" t="s">
        <v>61</v>
      </c>
      <c r="D161" s="5">
        <v>1446</v>
      </c>
      <c r="E161" s="7">
        <f>TRUNC([1]일위대가목록!E60,0)</f>
        <v>0</v>
      </c>
      <c r="F161" s="7">
        <f t="shared" si="21"/>
        <v>0</v>
      </c>
      <c r="G161" s="7">
        <f>TRUNC([1]일위대가목록!F60,0)</f>
        <v>15367</v>
      </c>
      <c r="H161" s="7">
        <f t="shared" si="22"/>
        <v>22220682</v>
      </c>
      <c r="I161" s="7">
        <f>TRUNC([1]일위대가목록!G60,0)</f>
        <v>214</v>
      </c>
      <c r="J161" s="7">
        <f t="shared" si="23"/>
        <v>309444</v>
      </c>
      <c r="K161" s="7">
        <f t="shared" si="24"/>
        <v>15581</v>
      </c>
      <c r="L161" s="7">
        <f t="shared" si="24"/>
        <v>22530126</v>
      </c>
      <c r="M161" s="4" t="s">
        <v>550</v>
      </c>
      <c r="N161" s="6" t="s">
        <v>551</v>
      </c>
      <c r="O161" s="6" t="s">
        <v>55</v>
      </c>
      <c r="P161" s="6" t="s">
        <v>55</v>
      </c>
      <c r="Q161" s="6" t="s">
        <v>512</v>
      </c>
      <c r="R161" s="6" t="s">
        <v>57</v>
      </c>
      <c r="S161" s="6" t="s">
        <v>56</v>
      </c>
      <c r="T161" s="6" t="s">
        <v>56</v>
      </c>
      <c r="AR161" s="6" t="s">
        <v>55</v>
      </c>
      <c r="AS161" s="6" t="s">
        <v>55</v>
      </c>
      <c r="AU161" s="6" t="s">
        <v>552</v>
      </c>
      <c r="AV161">
        <v>2976</v>
      </c>
    </row>
    <row r="162" spans="1:48" ht="30" customHeight="1" x14ac:dyDescent="0.3">
      <c r="A162" s="4" t="s">
        <v>528</v>
      </c>
      <c r="B162" s="4" t="s">
        <v>553</v>
      </c>
      <c r="C162" s="4" t="s">
        <v>61</v>
      </c>
      <c r="D162" s="5">
        <v>141</v>
      </c>
      <c r="E162" s="7">
        <f>TRUNC([1]일위대가목록!E61,0)</f>
        <v>0</v>
      </c>
      <c r="F162" s="7">
        <f t="shared" si="21"/>
        <v>0</v>
      </c>
      <c r="G162" s="7">
        <f>TRUNC([1]일위대가목록!F61,0)</f>
        <v>15886</v>
      </c>
      <c r="H162" s="7">
        <f t="shared" si="22"/>
        <v>2239926</v>
      </c>
      <c r="I162" s="7">
        <f>TRUNC([1]일위대가목록!G61,0)</f>
        <v>214</v>
      </c>
      <c r="J162" s="7">
        <f t="shared" si="23"/>
        <v>30174</v>
      </c>
      <c r="K162" s="7">
        <f t="shared" si="24"/>
        <v>16100</v>
      </c>
      <c r="L162" s="7">
        <f t="shared" si="24"/>
        <v>2270100</v>
      </c>
      <c r="M162" s="4" t="s">
        <v>554</v>
      </c>
      <c r="N162" s="6" t="s">
        <v>555</v>
      </c>
      <c r="O162" s="6" t="s">
        <v>55</v>
      </c>
      <c r="P162" s="6" t="s">
        <v>55</v>
      </c>
      <c r="Q162" s="6" t="s">
        <v>512</v>
      </c>
      <c r="R162" s="6" t="s">
        <v>57</v>
      </c>
      <c r="S162" s="6" t="s">
        <v>56</v>
      </c>
      <c r="T162" s="6" t="s">
        <v>56</v>
      </c>
      <c r="AR162" s="6" t="s">
        <v>55</v>
      </c>
      <c r="AS162" s="6" t="s">
        <v>55</v>
      </c>
      <c r="AU162" s="6" t="s">
        <v>556</v>
      </c>
      <c r="AV162">
        <v>2978</v>
      </c>
    </row>
    <row r="163" spans="1:48" ht="30" customHeight="1" x14ac:dyDescent="0.3">
      <c r="A163" s="4" t="s">
        <v>528</v>
      </c>
      <c r="B163" s="4" t="s">
        <v>557</v>
      </c>
      <c r="C163" s="4" t="s">
        <v>61</v>
      </c>
      <c r="D163" s="5">
        <v>22</v>
      </c>
      <c r="E163" s="7">
        <f>TRUNC([1]일위대가목록!E62,0)</f>
        <v>0</v>
      </c>
      <c r="F163" s="7">
        <f t="shared" si="21"/>
        <v>0</v>
      </c>
      <c r="G163" s="7">
        <f>TRUNC([1]일위대가목록!F62,0)</f>
        <v>16508</v>
      </c>
      <c r="H163" s="7">
        <f t="shared" si="22"/>
        <v>363176</v>
      </c>
      <c r="I163" s="7">
        <f>TRUNC([1]일위대가목록!G62,0)</f>
        <v>214</v>
      </c>
      <c r="J163" s="7">
        <f t="shared" si="23"/>
        <v>4708</v>
      </c>
      <c r="K163" s="7">
        <f t="shared" si="24"/>
        <v>16722</v>
      </c>
      <c r="L163" s="7">
        <f t="shared" si="24"/>
        <v>367884</v>
      </c>
      <c r="M163" s="4" t="s">
        <v>558</v>
      </c>
      <c r="N163" s="6" t="s">
        <v>559</v>
      </c>
      <c r="O163" s="6" t="s">
        <v>55</v>
      </c>
      <c r="P163" s="6" t="s">
        <v>55</v>
      </c>
      <c r="Q163" s="6" t="s">
        <v>512</v>
      </c>
      <c r="R163" s="6" t="s">
        <v>57</v>
      </c>
      <c r="S163" s="6" t="s">
        <v>56</v>
      </c>
      <c r="T163" s="6" t="s">
        <v>56</v>
      </c>
      <c r="AR163" s="6" t="s">
        <v>55</v>
      </c>
      <c r="AS163" s="6" t="s">
        <v>55</v>
      </c>
      <c r="AU163" s="6" t="s">
        <v>560</v>
      </c>
      <c r="AV163">
        <v>2979</v>
      </c>
    </row>
    <row r="164" spans="1:48" ht="30" customHeight="1" x14ac:dyDescent="0.3">
      <c r="A164" s="4" t="s">
        <v>528</v>
      </c>
      <c r="B164" s="4" t="s">
        <v>561</v>
      </c>
      <c r="C164" s="4" t="s">
        <v>61</v>
      </c>
      <c r="D164" s="5">
        <v>584</v>
      </c>
      <c r="E164" s="7">
        <f>TRUNC([1]일위대가목록!E63,0)</f>
        <v>0</v>
      </c>
      <c r="F164" s="7">
        <f t="shared" si="21"/>
        <v>0</v>
      </c>
      <c r="G164" s="7">
        <f>TRUNC([1]일위대가목록!F63,0)</f>
        <v>17544</v>
      </c>
      <c r="H164" s="7">
        <f t="shared" si="22"/>
        <v>10245696</v>
      </c>
      <c r="I164" s="7">
        <f>TRUNC([1]일위대가목록!G63,0)</f>
        <v>214</v>
      </c>
      <c r="J164" s="7">
        <f t="shared" si="23"/>
        <v>124976</v>
      </c>
      <c r="K164" s="7">
        <f t="shared" si="24"/>
        <v>17758</v>
      </c>
      <c r="L164" s="7">
        <f t="shared" si="24"/>
        <v>10370672</v>
      </c>
      <c r="M164" s="4" t="s">
        <v>562</v>
      </c>
      <c r="N164" s="6" t="s">
        <v>563</v>
      </c>
      <c r="O164" s="6" t="s">
        <v>55</v>
      </c>
      <c r="P164" s="6" t="s">
        <v>55</v>
      </c>
      <c r="Q164" s="6" t="s">
        <v>512</v>
      </c>
      <c r="R164" s="6" t="s">
        <v>57</v>
      </c>
      <c r="S164" s="6" t="s">
        <v>56</v>
      </c>
      <c r="T164" s="6" t="s">
        <v>56</v>
      </c>
      <c r="AR164" s="6" t="s">
        <v>55</v>
      </c>
      <c r="AS164" s="6" t="s">
        <v>55</v>
      </c>
      <c r="AU164" s="6" t="s">
        <v>564</v>
      </c>
      <c r="AV164">
        <v>2980</v>
      </c>
    </row>
    <row r="165" spans="1:48" ht="30" customHeight="1" x14ac:dyDescent="0.3">
      <c r="A165" s="4" t="s">
        <v>528</v>
      </c>
      <c r="B165" s="4" t="s">
        <v>565</v>
      </c>
      <c r="C165" s="4" t="s">
        <v>61</v>
      </c>
      <c r="D165" s="5">
        <v>64</v>
      </c>
      <c r="E165" s="7">
        <f>TRUNC([1]일위대가목록!E64,0)</f>
        <v>0</v>
      </c>
      <c r="F165" s="7">
        <f t="shared" si="21"/>
        <v>0</v>
      </c>
      <c r="G165" s="7">
        <f>TRUNC([1]일위대가목록!F64,0)</f>
        <v>30502</v>
      </c>
      <c r="H165" s="7">
        <f t="shared" si="22"/>
        <v>1952128</v>
      </c>
      <c r="I165" s="7">
        <f>TRUNC([1]일위대가목록!G64,0)</f>
        <v>214</v>
      </c>
      <c r="J165" s="7">
        <f t="shared" si="23"/>
        <v>13696</v>
      </c>
      <c r="K165" s="7">
        <f t="shared" si="24"/>
        <v>30716</v>
      </c>
      <c r="L165" s="7">
        <f t="shared" si="24"/>
        <v>1965824</v>
      </c>
      <c r="M165" s="4" t="s">
        <v>566</v>
      </c>
      <c r="N165" s="6" t="s">
        <v>567</v>
      </c>
      <c r="O165" s="6" t="s">
        <v>55</v>
      </c>
      <c r="P165" s="6" t="s">
        <v>55</v>
      </c>
      <c r="Q165" s="6" t="s">
        <v>512</v>
      </c>
      <c r="R165" s="6" t="s">
        <v>57</v>
      </c>
      <c r="S165" s="6" t="s">
        <v>56</v>
      </c>
      <c r="T165" s="6" t="s">
        <v>56</v>
      </c>
      <c r="AR165" s="6" t="s">
        <v>55</v>
      </c>
      <c r="AS165" s="6" t="s">
        <v>55</v>
      </c>
      <c r="AU165" s="6" t="s">
        <v>568</v>
      </c>
      <c r="AV165">
        <v>2981</v>
      </c>
    </row>
    <row r="166" spans="1:48" ht="30" customHeight="1" x14ac:dyDescent="0.3">
      <c r="A166" s="4" t="s">
        <v>569</v>
      </c>
      <c r="B166" s="4" t="s">
        <v>570</v>
      </c>
      <c r="C166" s="4" t="s">
        <v>140</v>
      </c>
      <c r="D166" s="5">
        <v>2354</v>
      </c>
      <c r="E166" s="7">
        <f>TRUNC([1]단가대비표!O249,0)</f>
        <v>1079</v>
      </c>
      <c r="F166" s="7">
        <f t="shared" si="21"/>
        <v>2539966</v>
      </c>
      <c r="G166" s="7">
        <f>TRUNC([1]단가대비표!P249,0)</f>
        <v>34877</v>
      </c>
      <c r="H166" s="7">
        <f t="shared" si="22"/>
        <v>82100458</v>
      </c>
      <c r="I166" s="7">
        <f>TRUNC([1]단가대비표!V249,0)</f>
        <v>0</v>
      </c>
      <c r="J166" s="7">
        <f t="shared" si="23"/>
        <v>0</v>
      </c>
      <c r="K166" s="7">
        <f t="shared" si="24"/>
        <v>35956</v>
      </c>
      <c r="L166" s="7">
        <f t="shared" si="24"/>
        <v>84640424</v>
      </c>
      <c r="M166" s="4" t="s">
        <v>141</v>
      </c>
      <c r="N166" s="6" t="s">
        <v>571</v>
      </c>
      <c r="O166" s="6" t="s">
        <v>55</v>
      </c>
      <c r="P166" s="6" t="s">
        <v>55</v>
      </c>
      <c r="Q166" s="6" t="s">
        <v>512</v>
      </c>
      <c r="R166" s="6" t="s">
        <v>56</v>
      </c>
      <c r="S166" s="6" t="s">
        <v>56</v>
      </c>
      <c r="T166" s="6" t="s">
        <v>57</v>
      </c>
      <c r="AR166" s="6" t="s">
        <v>55</v>
      </c>
      <c r="AS166" s="6" t="s">
        <v>55</v>
      </c>
      <c r="AU166" s="6" t="s">
        <v>572</v>
      </c>
      <c r="AV166">
        <v>2982</v>
      </c>
    </row>
    <row r="167" spans="1:48" ht="30" customHeight="1" x14ac:dyDescent="0.3">
      <c r="A167" s="4" t="s">
        <v>573</v>
      </c>
      <c r="B167" s="4" t="s">
        <v>570</v>
      </c>
      <c r="C167" s="4" t="s">
        <v>140</v>
      </c>
      <c r="D167" s="5">
        <v>4360</v>
      </c>
      <c r="E167" s="7">
        <f>TRUNC([1]단가대비표!O252,0)</f>
        <v>888</v>
      </c>
      <c r="F167" s="7">
        <f t="shared" si="21"/>
        <v>3871680</v>
      </c>
      <c r="G167" s="7">
        <f>TRUNC([1]단가대비표!P252,0)</f>
        <v>28692</v>
      </c>
      <c r="H167" s="7">
        <f t="shared" si="22"/>
        <v>125097120</v>
      </c>
      <c r="I167" s="7">
        <f>TRUNC([1]단가대비표!V252,0)</f>
        <v>0</v>
      </c>
      <c r="J167" s="7">
        <f t="shared" si="23"/>
        <v>0</v>
      </c>
      <c r="K167" s="7">
        <f t="shared" si="24"/>
        <v>29580</v>
      </c>
      <c r="L167" s="7">
        <f t="shared" si="24"/>
        <v>128968800</v>
      </c>
      <c r="M167" s="4" t="s">
        <v>141</v>
      </c>
      <c r="N167" s="6" t="s">
        <v>574</v>
      </c>
      <c r="O167" s="6" t="s">
        <v>55</v>
      </c>
      <c r="P167" s="6" t="s">
        <v>55</v>
      </c>
      <c r="Q167" s="6" t="s">
        <v>512</v>
      </c>
      <c r="R167" s="6" t="s">
        <v>56</v>
      </c>
      <c r="S167" s="6" t="s">
        <v>56</v>
      </c>
      <c r="T167" s="6" t="s">
        <v>57</v>
      </c>
      <c r="AR167" s="6" t="s">
        <v>55</v>
      </c>
      <c r="AS167" s="6" t="s">
        <v>55</v>
      </c>
      <c r="AU167" s="6" t="s">
        <v>575</v>
      </c>
      <c r="AV167">
        <v>2983</v>
      </c>
    </row>
    <row r="168" spans="1:48" ht="30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48" ht="30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48" ht="30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48" ht="30" customHeight="1" x14ac:dyDescent="0.3">
      <c r="A171" s="4" t="s">
        <v>128</v>
      </c>
      <c r="B171" s="5"/>
      <c r="C171" s="5"/>
      <c r="D171" s="5"/>
      <c r="E171" s="5"/>
      <c r="F171" s="7">
        <f>SUM(F152:F170)</f>
        <v>58350846</v>
      </c>
      <c r="G171" s="5"/>
      <c r="H171" s="7">
        <f>SUM(H152:H170)</f>
        <v>340485202</v>
      </c>
      <c r="I171" s="5"/>
      <c r="J171" s="7">
        <f>SUM(J152:J170)</f>
        <v>2122024</v>
      </c>
      <c r="K171" s="5"/>
      <c r="L171" s="7">
        <f>SUM(L152:L170)</f>
        <v>400958072</v>
      </c>
      <c r="M171" s="5"/>
      <c r="N171" t="s">
        <v>129</v>
      </c>
    </row>
    <row r="172" spans="1:48" ht="30" customHeight="1" x14ac:dyDescent="0.3">
      <c r="A172" s="4" t="s">
        <v>576</v>
      </c>
      <c r="B172" s="4" t="s">
        <v>48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Q172" s="6" t="s">
        <v>577</v>
      </c>
    </row>
    <row r="173" spans="1:48" ht="30" customHeight="1" x14ac:dyDescent="0.3">
      <c r="A173" s="4" t="s">
        <v>578</v>
      </c>
      <c r="B173" s="4" t="s">
        <v>579</v>
      </c>
      <c r="C173" s="4" t="s">
        <v>61</v>
      </c>
      <c r="D173" s="5">
        <v>2010</v>
      </c>
      <c r="E173" s="7">
        <f>TRUNC([1]일위대가목록!E65,0)</f>
        <v>12500</v>
      </c>
      <c r="F173" s="7">
        <f t="shared" ref="F173:F236" si="25">TRUNC(E173*D173, 0)</f>
        <v>25125000</v>
      </c>
      <c r="G173" s="7">
        <f>TRUNC([1]일위대가목록!F65,0)</f>
        <v>5000</v>
      </c>
      <c r="H173" s="7">
        <f t="shared" ref="H173:H236" si="26">TRUNC(G173*D173, 0)</f>
        <v>10050000</v>
      </c>
      <c r="I173" s="7">
        <f>TRUNC([1]일위대가목록!G65,0)</f>
        <v>0</v>
      </c>
      <c r="J173" s="7">
        <f t="shared" ref="J173:J236" si="27">TRUNC(I173*D173, 0)</f>
        <v>0</v>
      </c>
      <c r="K173" s="7">
        <f t="shared" ref="K173:L204" si="28">TRUNC(E173+G173+I173, 0)</f>
        <v>17500</v>
      </c>
      <c r="L173" s="7">
        <f t="shared" si="28"/>
        <v>35175000</v>
      </c>
      <c r="M173" s="4" t="s">
        <v>580</v>
      </c>
      <c r="N173" s="6" t="s">
        <v>581</v>
      </c>
      <c r="O173" s="6" t="s">
        <v>55</v>
      </c>
      <c r="P173" s="6" t="s">
        <v>55</v>
      </c>
      <c r="Q173" s="6" t="s">
        <v>577</v>
      </c>
      <c r="R173" s="6" t="s">
        <v>57</v>
      </c>
      <c r="S173" s="6" t="s">
        <v>56</v>
      </c>
      <c r="T173" s="6" t="s">
        <v>56</v>
      </c>
      <c r="AR173" s="6" t="s">
        <v>55</v>
      </c>
      <c r="AS173" s="6" t="s">
        <v>55</v>
      </c>
      <c r="AU173" s="6" t="s">
        <v>582</v>
      </c>
      <c r="AV173">
        <v>2904</v>
      </c>
    </row>
    <row r="174" spans="1:48" ht="30" customHeight="1" x14ac:dyDescent="0.3">
      <c r="A174" s="4" t="s">
        <v>583</v>
      </c>
      <c r="B174" s="4" t="s">
        <v>584</v>
      </c>
      <c r="C174" s="4" t="s">
        <v>61</v>
      </c>
      <c r="D174" s="5">
        <v>1155</v>
      </c>
      <c r="E174" s="7">
        <f>TRUNC([1]일위대가목록!E66,0)</f>
        <v>9000</v>
      </c>
      <c r="F174" s="7">
        <f t="shared" si="25"/>
        <v>10395000</v>
      </c>
      <c r="G174" s="7">
        <f>TRUNC([1]일위대가목록!F66,0)</f>
        <v>3000</v>
      </c>
      <c r="H174" s="7">
        <f t="shared" si="26"/>
        <v>3465000</v>
      </c>
      <c r="I174" s="7">
        <f>TRUNC([1]일위대가목록!G66,0)</f>
        <v>0</v>
      </c>
      <c r="J174" s="7">
        <f t="shared" si="27"/>
        <v>0</v>
      </c>
      <c r="K174" s="7">
        <f t="shared" si="28"/>
        <v>12000</v>
      </c>
      <c r="L174" s="7">
        <f t="shared" si="28"/>
        <v>13860000</v>
      </c>
      <c r="M174" s="4" t="s">
        <v>585</v>
      </c>
      <c r="N174" s="6" t="s">
        <v>586</v>
      </c>
      <c r="O174" s="6" t="s">
        <v>55</v>
      </c>
      <c r="P174" s="6" t="s">
        <v>55</v>
      </c>
      <c r="Q174" s="6" t="s">
        <v>577</v>
      </c>
      <c r="R174" s="6" t="s">
        <v>57</v>
      </c>
      <c r="S174" s="6" t="s">
        <v>56</v>
      </c>
      <c r="T174" s="6" t="s">
        <v>56</v>
      </c>
      <c r="AR174" s="6" t="s">
        <v>55</v>
      </c>
      <c r="AS174" s="6" t="s">
        <v>55</v>
      </c>
      <c r="AU174" s="6" t="s">
        <v>587</v>
      </c>
      <c r="AV174">
        <v>2905</v>
      </c>
    </row>
    <row r="175" spans="1:48" ht="30" customHeight="1" x14ac:dyDescent="0.3">
      <c r="A175" s="4" t="s">
        <v>588</v>
      </c>
      <c r="B175" s="4" t="s">
        <v>589</v>
      </c>
      <c r="C175" s="4" t="s">
        <v>61</v>
      </c>
      <c r="D175" s="5">
        <v>151</v>
      </c>
      <c r="E175" s="7">
        <f>TRUNC([1]일위대가목록!E67,0)</f>
        <v>55000</v>
      </c>
      <c r="F175" s="7">
        <f t="shared" si="25"/>
        <v>8305000</v>
      </c>
      <c r="G175" s="7">
        <f>TRUNC([1]일위대가목록!F67,0)</f>
        <v>6500</v>
      </c>
      <c r="H175" s="7">
        <f t="shared" si="26"/>
        <v>981500</v>
      </c>
      <c r="I175" s="7">
        <f>TRUNC([1]일위대가목록!G67,0)</f>
        <v>0</v>
      </c>
      <c r="J175" s="7">
        <f t="shared" si="27"/>
        <v>0</v>
      </c>
      <c r="K175" s="7">
        <f t="shared" si="28"/>
        <v>61500</v>
      </c>
      <c r="L175" s="7">
        <f t="shared" si="28"/>
        <v>9286500</v>
      </c>
      <c r="M175" s="4" t="s">
        <v>590</v>
      </c>
      <c r="N175" s="6" t="s">
        <v>591</v>
      </c>
      <c r="O175" s="6" t="s">
        <v>55</v>
      </c>
      <c r="P175" s="6" t="s">
        <v>55</v>
      </c>
      <c r="Q175" s="6" t="s">
        <v>577</v>
      </c>
      <c r="R175" s="6" t="s">
        <v>57</v>
      </c>
      <c r="S175" s="6" t="s">
        <v>56</v>
      </c>
      <c r="T175" s="6" t="s">
        <v>56</v>
      </c>
      <c r="AR175" s="6" t="s">
        <v>55</v>
      </c>
      <c r="AS175" s="6" t="s">
        <v>55</v>
      </c>
      <c r="AU175" s="6" t="s">
        <v>592</v>
      </c>
      <c r="AV175">
        <v>2907</v>
      </c>
    </row>
    <row r="176" spans="1:48" ht="30" customHeight="1" x14ac:dyDescent="0.3">
      <c r="A176" s="4" t="s">
        <v>593</v>
      </c>
      <c r="B176" s="4" t="s">
        <v>594</v>
      </c>
      <c r="C176" s="4" t="s">
        <v>61</v>
      </c>
      <c r="D176" s="5">
        <v>381</v>
      </c>
      <c r="E176" s="7">
        <f>TRUNC([1]단가대비표!O131,0)</f>
        <v>22000</v>
      </c>
      <c r="F176" s="7">
        <f t="shared" si="25"/>
        <v>8382000</v>
      </c>
      <c r="G176" s="7">
        <f>TRUNC([1]단가대비표!P131,0)</f>
        <v>3000</v>
      </c>
      <c r="H176" s="7">
        <f t="shared" si="26"/>
        <v>1143000</v>
      </c>
      <c r="I176" s="7">
        <f>TRUNC([1]단가대비표!V131,0)</f>
        <v>0</v>
      </c>
      <c r="J176" s="7">
        <f t="shared" si="27"/>
        <v>0</v>
      </c>
      <c r="K176" s="7">
        <f t="shared" si="28"/>
        <v>25000</v>
      </c>
      <c r="L176" s="7">
        <f t="shared" si="28"/>
        <v>9525000</v>
      </c>
      <c r="M176" s="4" t="s">
        <v>115</v>
      </c>
      <c r="N176" s="6" t="s">
        <v>595</v>
      </c>
      <c r="O176" s="6" t="s">
        <v>55</v>
      </c>
      <c r="P176" s="6" t="s">
        <v>55</v>
      </c>
      <c r="Q176" s="6" t="s">
        <v>577</v>
      </c>
      <c r="R176" s="6" t="s">
        <v>56</v>
      </c>
      <c r="S176" s="6" t="s">
        <v>56</v>
      </c>
      <c r="T176" s="6" t="s">
        <v>57</v>
      </c>
      <c r="AR176" s="6" t="s">
        <v>55</v>
      </c>
      <c r="AS176" s="6" t="s">
        <v>55</v>
      </c>
      <c r="AU176" s="6" t="s">
        <v>596</v>
      </c>
      <c r="AV176">
        <v>2906</v>
      </c>
    </row>
    <row r="177" spans="1:48" ht="30" customHeight="1" x14ac:dyDescent="0.3">
      <c r="A177" s="4" t="s">
        <v>597</v>
      </c>
      <c r="B177" s="4" t="s">
        <v>598</v>
      </c>
      <c r="C177" s="4" t="s">
        <v>61</v>
      </c>
      <c r="D177" s="5">
        <v>830</v>
      </c>
      <c r="E177" s="7">
        <f>TRUNC([1]단가대비표!O132,0)</f>
        <v>80000</v>
      </c>
      <c r="F177" s="7">
        <f t="shared" si="25"/>
        <v>66400000</v>
      </c>
      <c r="G177" s="7">
        <f>TRUNC([1]단가대비표!P132,0)</f>
        <v>11000</v>
      </c>
      <c r="H177" s="7">
        <f t="shared" si="26"/>
        <v>9130000</v>
      </c>
      <c r="I177" s="7">
        <f>TRUNC([1]단가대비표!V132,0)</f>
        <v>0</v>
      </c>
      <c r="J177" s="7">
        <f t="shared" si="27"/>
        <v>0</v>
      </c>
      <c r="K177" s="7">
        <f t="shared" si="28"/>
        <v>91000</v>
      </c>
      <c r="L177" s="7">
        <f t="shared" si="28"/>
        <v>75530000</v>
      </c>
      <c r="M177" s="4" t="s">
        <v>599</v>
      </c>
      <c r="N177" s="6" t="s">
        <v>600</v>
      </c>
      <c r="O177" s="6" t="s">
        <v>55</v>
      </c>
      <c r="P177" s="6" t="s">
        <v>55</v>
      </c>
      <c r="Q177" s="6" t="s">
        <v>577</v>
      </c>
      <c r="R177" s="6" t="s">
        <v>56</v>
      </c>
      <c r="S177" s="6" t="s">
        <v>56</v>
      </c>
      <c r="T177" s="6" t="s">
        <v>57</v>
      </c>
      <c r="AR177" s="6" t="s">
        <v>55</v>
      </c>
      <c r="AS177" s="6" t="s">
        <v>55</v>
      </c>
      <c r="AU177" s="6" t="s">
        <v>601</v>
      </c>
      <c r="AV177">
        <v>2903</v>
      </c>
    </row>
    <row r="178" spans="1:48" ht="30" customHeight="1" x14ac:dyDescent="0.3">
      <c r="A178" s="4" t="s">
        <v>602</v>
      </c>
      <c r="B178" s="4" t="s">
        <v>603</v>
      </c>
      <c r="C178" s="4" t="s">
        <v>61</v>
      </c>
      <c r="D178" s="5">
        <v>686</v>
      </c>
      <c r="E178" s="7">
        <f>TRUNC([1]단가대비표!O128,0)</f>
        <v>50000</v>
      </c>
      <c r="F178" s="7">
        <f t="shared" si="25"/>
        <v>34300000</v>
      </c>
      <c r="G178" s="7">
        <f>TRUNC([1]단가대비표!P128,0)</f>
        <v>0</v>
      </c>
      <c r="H178" s="7">
        <f t="shared" si="26"/>
        <v>0</v>
      </c>
      <c r="I178" s="7">
        <f>TRUNC([1]단가대비표!V128,0)</f>
        <v>0</v>
      </c>
      <c r="J178" s="7">
        <f t="shared" si="27"/>
        <v>0</v>
      </c>
      <c r="K178" s="7">
        <f t="shared" si="28"/>
        <v>50000</v>
      </c>
      <c r="L178" s="7">
        <f t="shared" si="28"/>
        <v>34300000</v>
      </c>
      <c r="M178" s="4" t="s">
        <v>55</v>
      </c>
      <c r="N178" s="6" t="s">
        <v>604</v>
      </c>
      <c r="O178" s="6" t="s">
        <v>55</v>
      </c>
      <c r="P178" s="6" t="s">
        <v>55</v>
      </c>
      <c r="Q178" s="6" t="s">
        <v>577</v>
      </c>
      <c r="R178" s="6" t="s">
        <v>56</v>
      </c>
      <c r="S178" s="6" t="s">
        <v>56</v>
      </c>
      <c r="T178" s="6" t="s">
        <v>57</v>
      </c>
      <c r="AR178" s="6" t="s">
        <v>55</v>
      </c>
      <c r="AS178" s="6" t="s">
        <v>55</v>
      </c>
      <c r="AU178" s="6" t="s">
        <v>605</v>
      </c>
      <c r="AV178">
        <v>138</v>
      </c>
    </row>
    <row r="179" spans="1:48" ht="30" customHeight="1" x14ac:dyDescent="0.3">
      <c r="A179" s="4" t="s">
        <v>602</v>
      </c>
      <c r="B179" s="4" t="s">
        <v>606</v>
      </c>
      <c r="C179" s="4" t="s">
        <v>61</v>
      </c>
      <c r="D179" s="5">
        <v>670</v>
      </c>
      <c r="E179" s="7">
        <f>TRUNC([1]단가대비표!O129,0)</f>
        <v>50000</v>
      </c>
      <c r="F179" s="7">
        <f t="shared" si="25"/>
        <v>33500000</v>
      </c>
      <c r="G179" s="7">
        <f>TRUNC([1]단가대비표!P129,0)</f>
        <v>0</v>
      </c>
      <c r="H179" s="7">
        <f t="shared" si="26"/>
        <v>0</v>
      </c>
      <c r="I179" s="7">
        <f>TRUNC([1]단가대비표!V129,0)</f>
        <v>0</v>
      </c>
      <c r="J179" s="7">
        <f t="shared" si="27"/>
        <v>0</v>
      </c>
      <c r="K179" s="7">
        <f t="shared" si="28"/>
        <v>50000</v>
      </c>
      <c r="L179" s="7">
        <f t="shared" si="28"/>
        <v>33500000</v>
      </c>
      <c r="M179" s="4" t="s">
        <v>55</v>
      </c>
      <c r="N179" s="6" t="s">
        <v>607</v>
      </c>
      <c r="O179" s="6" t="s">
        <v>55</v>
      </c>
      <c r="P179" s="6" t="s">
        <v>55</v>
      </c>
      <c r="Q179" s="6" t="s">
        <v>577</v>
      </c>
      <c r="R179" s="6" t="s">
        <v>56</v>
      </c>
      <c r="S179" s="6" t="s">
        <v>56</v>
      </c>
      <c r="T179" s="6" t="s">
        <v>57</v>
      </c>
      <c r="AR179" s="6" t="s">
        <v>55</v>
      </c>
      <c r="AS179" s="6" t="s">
        <v>55</v>
      </c>
      <c r="AU179" s="6" t="s">
        <v>608</v>
      </c>
      <c r="AV179">
        <v>2984</v>
      </c>
    </row>
    <row r="180" spans="1:48" ht="30" customHeight="1" x14ac:dyDescent="0.3">
      <c r="A180" s="4" t="s">
        <v>609</v>
      </c>
      <c r="B180" s="4" t="s">
        <v>55</v>
      </c>
      <c r="C180" s="4" t="s">
        <v>269</v>
      </c>
      <c r="D180" s="5">
        <v>14</v>
      </c>
      <c r="E180" s="7">
        <f>TRUNC([1]일위대가목록!E68,0)</f>
        <v>5699</v>
      </c>
      <c r="F180" s="7">
        <f t="shared" si="25"/>
        <v>79786</v>
      </c>
      <c r="G180" s="7">
        <f>TRUNC([1]일위대가목록!F68,0)</f>
        <v>10114</v>
      </c>
      <c r="H180" s="7">
        <f t="shared" si="26"/>
        <v>141596</v>
      </c>
      <c r="I180" s="7">
        <f>TRUNC([1]일위대가목록!G68,0)</f>
        <v>98</v>
      </c>
      <c r="J180" s="7">
        <f t="shared" si="27"/>
        <v>1372</v>
      </c>
      <c r="K180" s="7">
        <f t="shared" si="28"/>
        <v>15911</v>
      </c>
      <c r="L180" s="7">
        <f t="shared" si="28"/>
        <v>222754</v>
      </c>
      <c r="M180" s="4" t="s">
        <v>610</v>
      </c>
      <c r="N180" s="6" t="s">
        <v>611</v>
      </c>
      <c r="O180" s="6" t="s">
        <v>55</v>
      </c>
      <c r="P180" s="6" t="s">
        <v>55</v>
      </c>
      <c r="Q180" s="6" t="s">
        <v>577</v>
      </c>
      <c r="R180" s="6" t="s">
        <v>57</v>
      </c>
      <c r="S180" s="6" t="s">
        <v>56</v>
      </c>
      <c r="T180" s="6" t="s">
        <v>56</v>
      </c>
      <c r="AR180" s="6" t="s">
        <v>55</v>
      </c>
      <c r="AS180" s="6" t="s">
        <v>55</v>
      </c>
      <c r="AU180" s="6" t="s">
        <v>612</v>
      </c>
      <c r="AV180">
        <v>2902</v>
      </c>
    </row>
    <row r="181" spans="1:48" ht="30" customHeight="1" x14ac:dyDescent="0.3">
      <c r="A181" s="4" t="s">
        <v>613</v>
      </c>
      <c r="B181" s="4" t="s">
        <v>614</v>
      </c>
      <c r="C181" s="4" t="s">
        <v>61</v>
      </c>
      <c r="D181" s="5">
        <v>1274</v>
      </c>
      <c r="E181" s="7">
        <f>TRUNC([1]일위대가목록!E69,0)</f>
        <v>4092</v>
      </c>
      <c r="F181" s="7">
        <f t="shared" si="25"/>
        <v>5213208</v>
      </c>
      <c r="G181" s="7">
        <f>TRUNC([1]일위대가목록!F69,0)</f>
        <v>1739</v>
      </c>
      <c r="H181" s="7">
        <f t="shared" si="26"/>
        <v>2215486</v>
      </c>
      <c r="I181" s="7">
        <f>TRUNC([1]일위대가목록!G69,0)</f>
        <v>168</v>
      </c>
      <c r="J181" s="7">
        <f t="shared" si="27"/>
        <v>214032</v>
      </c>
      <c r="K181" s="7">
        <f t="shared" si="28"/>
        <v>5999</v>
      </c>
      <c r="L181" s="7">
        <f t="shared" si="28"/>
        <v>7642726</v>
      </c>
      <c r="M181" s="4" t="s">
        <v>615</v>
      </c>
      <c r="N181" s="6" t="s">
        <v>616</v>
      </c>
      <c r="O181" s="6" t="s">
        <v>55</v>
      </c>
      <c r="P181" s="6" t="s">
        <v>55</v>
      </c>
      <c r="Q181" s="6" t="s">
        <v>577</v>
      </c>
      <c r="R181" s="6" t="s">
        <v>57</v>
      </c>
      <c r="S181" s="6" t="s">
        <v>56</v>
      </c>
      <c r="T181" s="6" t="s">
        <v>56</v>
      </c>
      <c r="AR181" s="6" t="s">
        <v>55</v>
      </c>
      <c r="AS181" s="6" t="s">
        <v>55</v>
      </c>
      <c r="AU181" s="6" t="s">
        <v>617</v>
      </c>
      <c r="AV181">
        <v>147</v>
      </c>
    </row>
    <row r="182" spans="1:48" ht="30" customHeight="1" x14ac:dyDescent="0.3">
      <c r="A182" s="4" t="s">
        <v>618</v>
      </c>
      <c r="B182" s="4" t="s">
        <v>619</v>
      </c>
      <c r="C182" s="4" t="s">
        <v>52</v>
      </c>
      <c r="D182" s="5">
        <v>1041</v>
      </c>
      <c r="E182" s="7">
        <f>TRUNC([1]단가대비표!O260,0)</f>
        <v>1367</v>
      </c>
      <c r="F182" s="7">
        <f t="shared" si="25"/>
        <v>1423047</v>
      </c>
      <c r="G182" s="7">
        <f>TRUNC([1]단가대비표!P260,0)</f>
        <v>1422</v>
      </c>
      <c r="H182" s="7">
        <f t="shared" si="26"/>
        <v>1480302</v>
      </c>
      <c r="I182" s="7">
        <f>TRUNC([1]단가대비표!V260,0)</f>
        <v>0</v>
      </c>
      <c r="J182" s="7">
        <f t="shared" si="27"/>
        <v>0</v>
      </c>
      <c r="K182" s="7">
        <f t="shared" si="28"/>
        <v>2789</v>
      </c>
      <c r="L182" s="7">
        <f t="shared" si="28"/>
        <v>2903349</v>
      </c>
      <c r="M182" s="4" t="s">
        <v>620</v>
      </c>
      <c r="N182" s="6" t="s">
        <v>621</v>
      </c>
      <c r="O182" s="6" t="s">
        <v>55</v>
      </c>
      <c r="P182" s="6" t="s">
        <v>55</v>
      </c>
      <c r="Q182" s="6" t="s">
        <v>577</v>
      </c>
      <c r="R182" s="6" t="s">
        <v>56</v>
      </c>
      <c r="S182" s="6" t="s">
        <v>56</v>
      </c>
      <c r="T182" s="6" t="s">
        <v>57</v>
      </c>
      <c r="AR182" s="6" t="s">
        <v>55</v>
      </c>
      <c r="AS182" s="6" t="s">
        <v>55</v>
      </c>
      <c r="AU182" s="6" t="s">
        <v>622</v>
      </c>
      <c r="AV182">
        <v>2985</v>
      </c>
    </row>
    <row r="183" spans="1:48" ht="30" customHeight="1" x14ac:dyDescent="0.3">
      <c r="A183" s="4" t="s">
        <v>623</v>
      </c>
      <c r="B183" s="4" t="s">
        <v>624</v>
      </c>
      <c r="C183" s="4" t="s">
        <v>61</v>
      </c>
      <c r="D183" s="5">
        <v>263</v>
      </c>
      <c r="E183" s="7">
        <f>TRUNC([1]일위대가목록!E70,0)</f>
        <v>24766</v>
      </c>
      <c r="F183" s="7">
        <f t="shared" si="25"/>
        <v>6513458</v>
      </c>
      <c r="G183" s="7">
        <f>TRUNC([1]일위대가목록!F70,0)</f>
        <v>16802</v>
      </c>
      <c r="H183" s="7">
        <f t="shared" si="26"/>
        <v>4418926</v>
      </c>
      <c r="I183" s="7">
        <f>TRUNC([1]일위대가목록!G70,0)</f>
        <v>100</v>
      </c>
      <c r="J183" s="7">
        <f t="shared" si="27"/>
        <v>26300</v>
      </c>
      <c r="K183" s="7">
        <f t="shared" si="28"/>
        <v>41668</v>
      </c>
      <c r="L183" s="7">
        <f t="shared" si="28"/>
        <v>10958684</v>
      </c>
      <c r="M183" s="4" t="s">
        <v>625</v>
      </c>
      <c r="N183" s="6" t="s">
        <v>626</v>
      </c>
      <c r="O183" s="6" t="s">
        <v>55</v>
      </c>
      <c r="P183" s="6" t="s">
        <v>55</v>
      </c>
      <c r="Q183" s="6" t="s">
        <v>577</v>
      </c>
      <c r="R183" s="6" t="s">
        <v>57</v>
      </c>
      <c r="S183" s="6" t="s">
        <v>56</v>
      </c>
      <c r="T183" s="6" t="s">
        <v>56</v>
      </c>
      <c r="AR183" s="6" t="s">
        <v>55</v>
      </c>
      <c r="AS183" s="6" t="s">
        <v>55</v>
      </c>
      <c r="AU183" s="6" t="s">
        <v>627</v>
      </c>
      <c r="AV183">
        <v>155</v>
      </c>
    </row>
    <row r="184" spans="1:48" ht="30" customHeight="1" x14ac:dyDescent="0.3">
      <c r="A184" s="4" t="s">
        <v>628</v>
      </c>
      <c r="B184" s="4" t="s">
        <v>629</v>
      </c>
      <c r="C184" s="4" t="s">
        <v>61</v>
      </c>
      <c r="D184" s="5">
        <v>2051</v>
      </c>
      <c r="E184" s="7">
        <f>TRUNC([1]일위대가목록!E71,0)</f>
        <v>13537</v>
      </c>
      <c r="F184" s="7">
        <f t="shared" si="25"/>
        <v>27764387</v>
      </c>
      <c r="G184" s="7">
        <f>TRUNC([1]일위대가목록!F71,0)</f>
        <v>8338</v>
      </c>
      <c r="H184" s="7">
        <f t="shared" si="26"/>
        <v>17101238</v>
      </c>
      <c r="I184" s="7">
        <f>TRUNC([1]일위대가목록!G71,0)</f>
        <v>166</v>
      </c>
      <c r="J184" s="7">
        <f t="shared" si="27"/>
        <v>340466</v>
      </c>
      <c r="K184" s="7">
        <f t="shared" si="28"/>
        <v>22041</v>
      </c>
      <c r="L184" s="7">
        <f t="shared" si="28"/>
        <v>45206091</v>
      </c>
      <c r="M184" s="4" t="s">
        <v>630</v>
      </c>
      <c r="N184" s="6" t="s">
        <v>631</v>
      </c>
      <c r="O184" s="6" t="s">
        <v>55</v>
      </c>
      <c r="P184" s="6" t="s">
        <v>55</v>
      </c>
      <c r="Q184" s="6" t="s">
        <v>577</v>
      </c>
      <c r="R184" s="6" t="s">
        <v>57</v>
      </c>
      <c r="S184" s="6" t="s">
        <v>56</v>
      </c>
      <c r="T184" s="6" t="s">
        <v>56</v>
      </c>
      <c r="AR184" s="6" t="s">
        <v>55</v>
      </c>
      <c r="AS184" s="6" t="s">
        <v>55</v>
      </c>
      <c r="AU184" s="6" t="s">
        <v>632</v>
      </c>
      <c r="AV184">
        <v>3223</v>
      </c>
    </row>
    <row r="185" spans="1:48" ht="30" customHeight="1" x14ac:dyDescent="0.3">
      <c r="A185" s="4" t="s">
        <v>628</v>
      </c>
      <c r="B185" s="4" t="s">
        <v>633</v>
      </c>
      <c r="C185" s="4" t="s">
        <v>61</v>
      </c>
      <c r="D185" s="5">
        <v>1117</v>
      </c>
      <c r="E185" s="7">
        <f>TRUNC([1]일위대가목록!E72,0)</f>
        <v>20531</v>
      </c>
      <c r="F185" s="7">
        <f t="shared" si="25"/>
        <v>22933127</v>
      </c>
      <c r="G185" s="7">
        <f>TRUNC([1]일위대가목록!F72,0)</f>
        <v>8338</v>
      </c>
      <c r="H185" s="7">
        <f t="shared" si="26"/>
        <v>9313546</v>
      </c>
      <c r="I185" s="7">
        <f>TRUNC([1]일위대가목록!G72,0)</f>
        <v>166</v>
      </c>
      <c r="J185" s="7">
        <f t="shared" si="27"/>
        <v>185422</v>
      </c>
      <c r="K185" s="7">
        <f t="shared" si="28"/>
        <v>29035</v>
      </c>
      <c r="L185" s="7">
        <f t="shared" si="28"/>
        <v>32432095</v>
      </c>
      <c r="M185" s="4" t="s">
        <v>634</v>
      </c>
      <c r="N185" s="6" t="s">
        <v>635</v>
      </c>
      <c r="O185" s="6" t="s">
        <v>55</v>
      </c>
      <c r="P185" s="6" t="s">
        <v>55</v>
      </c>
      <c r="Q185" s="6" t="s">
        <v>577</v>
      </c>
      <c r="R185" s="6" t="s">
        <v>57</v>
      </c>
      <c r="S185" s="6" t="s">
        <v>56</v>
      </c>
      <c r="T185" s="6" t="s">
        <v>56</v>
      </c>
      <c r="AR185" s="6" t="s">
        <v>55</v>
      </c>
      <c r="AS185" s="6" t="s">
        <v>55</v>
      </c>
      <c r="AU185" s="6" t="s">
        <v>636</v>
      </c>
      <c r="AV185">
        <v>3224</v>
      </c>
    </row>
    <row r="186" spans="1:48" ht="30" customHeight="1" x14ac:dyDescent="0.3">
      <c r="A186" s="4" t="s">
        <v>628</v>
      </c>
      <c r="B186" s="4" t="s">
        <v>637</v>
      </c>
      <c r="C186" s="4" t="s">
        <v>61</v>
      </c>
      <c r="D186" s="5">
        <v>2682</v>
      </c>
      <c r="E186" s="7">
        <f>TRUNC([1]일위대가목록!E73,0)</f>
        <v>40546</v>
      </c>
      <c r="F186" s="7">
        <f t="shared" si="25"/>
        <v>108744372</v>
      </c>
      <c r="G186" s="7">
        <f>TRUNC([1]일위대가목록!F73,0)</f>
        <v>8338</v>
      </c>
      <c r="H186" s="7">
        <f t="shared" si="26"/>
        <v>22362516</v>
      </c>
      <c r="I186" s="7">
        <f>TRUNC([1]일위대가목록!G73,0)</f>
        <v>166</v>
      </c>
      <c r="J186" s="7">
        <f t="shared" si="27"/>
        <v>445212</v>
      </c>
      <c r="K186" s="7">
        <f t="shared" si="28"/>
        <v>49050</v>
      </c>
      <c r="L186" s="7">
        <f t="shared" si="28"/>
        <v>131552100</v>
      </c>
      <c r="M186" s="4" t="s">
        <v>638</v>
      </c>
      <c r="N186" s="6" t="s">
        <v>639</v>
      </c>
      <c r="O186" s="6" t="s">
        <v>55</v>
      </c>
      <c r="P186" s="6" t="s">
        <v>55</v>
      </c>
      <c r="Q186" s="6" t="s">
        <v>577</v>
      </c>
      <c r="R186" s="6" t="s">
        <v>57</v>
      </c>
      <c r="S186" s="6" t="s">
        <v>56</v>
      </c>
      <c r="T186" s="6" t="s">
        <v>56</v>
      </c>
      <c r="AR186" s="6" t="s">
        <v>55</v>
      </c>
      <c r="AS186" s="6" t="s">
        <v>55</v>
      </c>
      <c r="AU186" s="6" t="s">
        <v>640</v>
      </c>
      <c r="AV186">
        <v>3225</v>
      </c>
    </row>
    <row r="187" spans="1:48" ht="30" customHeight="1" x14ac:dyDescent="0.3">
      <c r="A187" s="4" t="s">
        <v>641</v>
      </c>
      <c r="B187" s="4" t="s">
        <v>642</v>
      </c>
      <c r="C187" s="4" t="s">
        <v>61</v>
      </c>
      <c r="D187" s="5">
        <v>116</v>
      </c>
      <c r="E187" s="7">
        <f>TRUNC([1]일위대가목록!E74,0)</f>
        <v>21557</v>
      </c>
      <c r="F187" s="7">
        <f t="shared" si="25"/>
        <v>2500612</v>
      </c>
      <c r="G187" s="7">
        <f>TRUNC([1]일위대가목록!F74,0)</f>
        <v>9007</v>
      </c>
      <c r="H187" s="7">
        <f t="shared" si="26"/>
        <v>1044812</v>
      </c>
      <c r="I187" s="7">
        <f>TRUNC([1]일위대가목록!G74,0)</f>
        <v>116</v>
      </c>
      <c r="J187" s="7">
        <f t="shared" si="27"/>
        <v>13456</v>
      </c>
      <c r="K187" s="7">
        <f t="shared" si="28"/>
        <v>30680</v>
      </c>
      <c r="L187" s="7">
        <f t="shared" si="28"/>
        <v>3558880</v>
      </c>
      <c r="M187" s="4" t="s">
        <v>643</v>
      </c>
      <c r="N187" s="6" t="s">
        <v>644</v>
      </c>
      <c r="O187" s="6" t="s">
        <v>55</v>
      </c>
      <c r="P187" s="6" t="s">
        <v>55</v>
      </c>
      <c r="Q187" s="6" t="s">
        <v>577</v>
      </c>
      <c r="R187" s="6" t="s">
        <v>57</v>
      </c>
      <c r="S187" s="6" t="s">
        <v>56</v>
      </c>
      <c r="T187" s="6" t="s">
        <v>56</v>
      </c>
      <c r="AR187" s="6" t="s">
        <v>55</v>
      </c>
      <c r="AS187" s="6" t="s">
        <v>55</v>
      </c>
      <c r="AU187" s="6" t="s">
        <v>645</v>
      </c>
      <c r="AV187">
        <v>3226</v>
      </c>
    </row>
    <row r="188" spans="1:48" ht="30" customHeight="1" x14ac:dyDescent="0.3">
      <c r="A188" s="4" t="s">
        <v>641</v>
      </c>
      <c r="B188" s="4" t="s">
        <v>637</v>
      </c>
      <c r="C188" s="4" t="s">
        <v>61</v>
      </c>
      <c r="D188" s="5">
        <v>1475</v>
      </c>
      <c r="E188" s="7">
        <f>TRUNC([1]일위대가목록!E75,0)</f>
        <v>38703</v>
      </c>
      <c r="F188" s="7">
        <f t="shared" si="25"/>
        <v>57086925</v>
      </c>
      <c r="G188" s="7">
        <f>TRUNC([1]일위대가목록!F75,0)</f>
        <v>3145</v>
      </c>
      <c r="H188" s="7">
        <f t="shared" si="26"/>
        <v>4638875</v>
      </c>
      <c r="I188" s="7">
        <f>TRUNC([1]일위대가목록!G75,0)</f>
        <v>116</v>
      </c>
      <c r="J188" s="7">
        <f t="shared" si="27"/>
        <v>171100</v>
      </c>
      <c r="K188" s="7">
        <f t="shared" si="28"/>
        <v>41964</v>
      </c>
      <c r="L188" s="7">
        <f t="shared" si="28"/>
        <v>61896900</v>
      </c>
      <c r="M188" s="4" t="s">
        <v>646</v>
      </c>
      <c r="N188" s="6" t="s">
        <v>647</v>
      </c>
      <c r="O188" s="6" t="s">
        <v>55</v>
      </c>
      <c r="P188" s="6" t="s">
        <v>55</v>
      </c>
      <c r="Q188" s="6" t="s">
        <v>577</v>
      </c>
      <c r="R188" s="6" t="s">
        <v>57</v>
      </c>
      <c r="S188" s="6" t="s">
        <v>56</v>
      </c>
      <c r="T188" s="6" t="s">
        <v>56</v>
      </c>
      <c r="AR188" s="6" t="s">
        <v>55</v>
      </c>
      <c r="AS188" s="6" t="s">
        <v>55</v>
      </c>
      <c r="AU188" s="6" t="s">
        <v>648</v>
      </c>
      <c r="AV188">
        <v>3227</v>
      </c>
    </row>
    <row r="189" spans="1:48" ht="30" customHeight="1" x14ac:dyDescent="0.3">
      <c r="A189" s="4" t="s">
        <v>649</v>
      </c>
      <c r="B189" s="4" t="s">
        <v>650</v>
      </c>
      <c r="C189" s="4" t="s">
        <v>61</v>
      </c>
      <c r="D189" s="5">
        <v>4285</v>
      </c>
      <c r="E189" s="7">
        <f>TRUNC([1]일위대가목록!E76,0)</f>
        <v>443</v>
      </c>
      <c r="F189" s="7">
        <f t="shared" si="25"/>
        <v>1898255</v>
      </c>
      <c r="G189" s="7">
        <f>TRUNC([1]일위대가목록!F76,0)</f>
        <v>1301</v>
      </c>
      <c r="H189" s="7">
        <f t="shared" si="26"/>
        <v>5574785</v>
      </c>
      <c r="I189" s="7">
        <f>TRUNC([1]일위대가목록!G76,0)</f>
        <v>0</v>
      </c>
      <c r="J189" s="7">
        <f t="shared" si="27"/>
        <v>0</v>
      </c>
      <c r="K189" s="7">
        <f t="shared" si="28"/>
        <v>1744</v>
      </c>
      <c r="L189" s="7">
        <f t="shared" si="28"/>
        <v>7473040</v>
      </c>
      <c r="M189" s="4" t="s">
        <v>651</v>
      </c>
      <c r="N189" s="6" t="s">
        <v>652</v>
      </c>
      <c r="O189" s="6" t="s">
        <v>55</v>
      </c>
      <c r="P189" s="6" t="s">
        <v>55</v>
      </c>
      <c r="Q189" s="6" t="s">
        <v>577</v>
      </c>
      <c r="R189" s="6" t="s">
        <v>57</v>
      </c>
      <c r="S189" s="6" t="s">
        <v>56</v>
      </c>
      <c r="T189" s="6" t="s">
        <v>56</v>
      </c>
      <c r="AR189" s="6" t="s">
        <v>55</v>
      </c>
      <c r="AS189" s="6" t="s">
        <v>55</v>
      </c>
      <c r="AU189" s="6" t="s">
        <v>653</v>
      </c>
      <c r="AV189">
        <v>172</v>
      </c>
    </row>
    <row r="190" spans="1:48" ht="30" customHeight="1" x14ac:dyDescent="0.3">
      <c r="A190" s="4" t="s">
        <v>654</v>
      </c>
      <c r="B190" s="4" t="s">
        <v>655</v>
      </c>
      <c r="C190" s="4" t="s">
        <v>61</v>
      </c>
      <c r="D190" s="5">
        <v>2788</v>
      </c>
      <c r="E190" s="7">
        <f>TRUNC([1]일위대가목록!E77,0)</f>
        <v>4000</v>
      </c>
      <c r="F190" s="7">
        <f t="shared" si="25"/>
        <v>11152000</v>
      </c>
      <c r="G190" s="7">
        <f>TRUNC([1]일위대가목록!F77,0)</f>
        <v>5500</v>
      </c>
      <c r="H190" s="7">
        <f t="shared" si="26"/>
        <v>15334000</v>
      </c>
      <c r="I190" s="7">
        <f>TRUNC([1]일위대가목록!G77,0)</f>
        <v>0</v>
      </c>
      <c r="J190" s="7">
        <f t="shared" si="27"/>
        <v>0</v>
      </c>
      <c r="K190" s="7">
        <f t="shared" si="28"/>
        <v>9500</v>
      </c>
      <c r="L190" s="7">
        <f t="shared" si="28"/>
        <v>26486000</v>
      </c>
      <c r="M190" s="4" t="s">
        <v>656</v>
      </c>
      <c r="N190" s="6" t="s">
        <v>657</v>
      </c>
      <c r="O190" s="6" t="s">
        <v>55</v>
      </c>
      <c r="P190" s="6" t="s">
        <v>55</v>
      </c>
      <c r="Q190" s="6" t="s">
        <v>577</v>
      </c>
      <c r="R190" s="6" t="s">
        <v>57</v>
      </c>
      <c r="S190" s="6" t="s">
        <v>56</v>
      </c>
      <c r="T190" s="6" t="s">
        <v>56</v>
      </c>
      <c r="AR190" s="6" t="s">
        <v>55</v>
      </c>
      <c r="AS190" s="6" t="s">
        <v>55</v>
      </c>
      <c r="AU190" s="6" t="s">
        <v>658</v>
      </c>
      <c r="AV190">
        <v>2908</v>
      </c>
    </row>
    <row r="191" spans="1:48" ht="30" customHeight="1" x14ac:dyDescent="0.3">
      <c r="A191" s="4" t="s">
        <v>659</v>
      </c>
      <c r="B191" s="4" t="s">
        <v>660</v>
      </c>
      <c r="C191" s="4" t="s">
        <v>61</v>
      </c>
      <c r="D191" s="5">
        <v>1141</v>
      </c>
      <c r="E191" s="7">
        <f>TRUNC([1]일위대가목록!E78,0)</f>
        <v>4000</v>
      </c>
      <c r="F191" s="7">
        <f t="shared" si="25"/>
        <v>4564000</v>
      </c>
      <c r="G191" s="7">
        <f>TRUNC([1]일위대가목록!F78,0)</f>
        <v>5500</v>
      </c>
      <c r="H191" s="7">
        <f t="shared" si="26"/>
        <v>6275500</v>
      </c>
      <c r="I191" s="7">
        <f>TRUNC([1]일위대가목록!G78,0)</f>
        <v>0</v>
      </c>
      <c r="J191" s="7">
        <f t="shared" si="27"/>
        <v>0</v>
      </c>
      <c r="K191" s="7">
        <f t="shared" si="28"/>
        <v>9500</v>
      </c>
      <c r="L191" s="7">
        <f t="shared" si="28"/>
        <v>10839500</v>
      </c>
      <c r="M191" s="4" t="s">
        <v>661</v>
      </c>
      <c r="N191" s="6" t="s">
        <v>662</v>
      </c>
      <c r="O191" s="6" t="s">
        <v>55</v>
      </c>
      <c r="P191" s="6" t="s">
        <v>55</v>
      </c>
      <c r="Q191" s="6" t="s">
        <v>577</v>
      </c>
      <c r="R191" s="6" t="s">
        <v>57</v>
      </c>
      <c r="S191" s="6" t="s">
        <v>56</v>
      </c>
      <c r="T191" s="6" t="s">
        <v>56</v>
      </c>
      <c r="AR191" s="6" t="s">
        <v>55</v>
      </c>
      <c r="AS191" s="6" t="s">
        <v>55</v>
      </c>
      <c r="AU191" s="6" t="s">
        <v>663</v>
      </c>
      <c r="AV191">
        <v>2909</v>
      </c>
    </row>
    <row r="192" spans="1:48" ht="30" customHeight="1" x14ac:dyDescent="0.3">
      <c r="A192" s="4" t="s">
        <v>664</v>
      </c>
      <c r="B192" s="4" t="s">
        <v>665</v>
      </c>
      <c r="C192" s="4" t="s">
        <v>269</v>
      </c>
      <c r="D192" s="5">
        <v>262</v>
      </c>
      <c r="E192" s="7">
        <f>TRUNC([1]일위대가목록!E79,0)</f>
        <v>15201</v>
      </c>
      <c r="F192" s="7">
        <f t="shared" si="25"/>
        <v>3982662</v>
      </c>
      <c r="G192" s="7">
        <f>TRUNC([1]일위대가목록!F79,0)</f>
        <v>9077</v>
      </c>
      <c r="H192" s="7">
        <f t="shared" si="26"/>
        <v>2378174</v>
      </c>
      <c r="I192" s="7">
        <f>TRUNC([1]일위대가목록!G79,0)</f>
        <v>1800</v>
      </c>
      <c r="J192" s="7">
        <f t="shared" si="27"/>
        <v>471600</v>
      </c>
      <c r="K192" s="7">
        <f t="shared" si="28"/>
        <v>26078</v>
      </c>
      <c r="L192" s="7">
        <f t="shared" si="28"/>
        <v>6832436</v>
      </c>
      <c r="M192" s="4" t="s">
        <v>666</v>
      </c>
      <c r="N192" s="6" t="s">
        <v>667</v>
      </c>
      <c r="O192" s="6" t="s">
        <v>55</v>
      </c>
      <c r="P192" s="6" t="s">
        <v>55</v>
      </c>
      <c r="Q192" s="6" t="s">
        <v>577</v>
      </c>
      <c r="R192" s="6" t="s">
        <v>57</v>
      </c>
      <c r="S192" s="6" t="s">
        <v>56</v>
      </c>
      <c r="T192" s="6" t="s">
        <v>56</v>
      </c>
      <c r="AR192" s="6" t="s">
        <v>55</v>
      </c>
      <c r="AS192" s="6" t="s">
        <v>55</v>
      </c>
      <c r="AU192" s="6" t="s">
        <v>668</v>
      </c>
      <c r="AV192">
        <v>3494</v>
      </c>
    </row>
    <row r="193" spans="1:48" ht="30" customHeight="1" x14ac:dyDescent="0.3">
      <c r="A193" s="4" t="s">
        <v>55</v>
      </c>
      <c r="B193" s="4" t="s">
        <v>55</v>
      </c>
      <c r="C193" s="4" t="s">
        <v>55</v>
      </c>
      <c r="D193" s="5"/>
      <c r="E193" s="7">
        <f>TRUNC([1]단가대비표!O286,0)</f>
        <v>0</v>
      </c>
      <c r="F193" s="7">
        <f t="shared" si="25"/>
        <v>0</v>
      </c>
      <c r="G193" s="7">
        <f>TRUNC([1]단가대비표!P286,0)</f>
        <v>0</v>
      </c>
      <c r="H193" s="7">
        <f t="shared" si="26"/>
        <v>0</v>
      </c>
      <c r="I193" s="7">
        <f>TRUNC([1]단가대비표!V286,0)</f>
        <v>0</v>
      </c>
      <c r="J193" s="7">
        <f t="shared" si="27"/>
        <v>0</v>
      </c>
      <c r="K193" s="7">
        <f t="shared" si="28"/>
        <v>0</v>
      </c>
      <c r="L193" s="7">
        <f t="shared" si="28"/>
        <v>0</v>
      </c>
      <c r="M193" s="4" t="s">
        <v>55</v>
      </c>
      <c r="N193" s="6" t="s">
        <v>669</v>
      </c>
      <c r="O193" s="6" t="s">
        <v>55</v>
      </c>
      <c r="P193" s="6" t="s">
        <v>55</v>
      </c>
      <c r="Q193" s="6" t="s">
        <v>577</v>
      </c>
      <c r="R193" s="6" t="s">
        <v>56</v>
      </c>
      <c r="S193" s="6" t="s">
        <v>56</v>
      </c>
      <c r="T193" s="6" t="s">
        <v>57</v>
      </c>
      <c r="AR193" s="6" t="s">
        <v>55</v>
      </c>
      <c r="AS193" s="6" t="s">
        <v>55</v>
      </c>
      <c r="AU193" s="6" t="s">
        <v>670</v>
      </c>
      <c r="AV193">
        <v>1182</v>
      </c>
    </row>
    <row r="194" spans="1:48" ht="30" customHeight="1" x14ac:dyDescent="0.3">
      <c r="A194" s="4" t="s">
        <v>671</v>
      </c>
      <c r="B194" s="4" t="s">
        <v>55</v>
      </c>
      <c r="C194" s="4" t="s">
        <v>55</v>
      </c>
      <c r="D194" s="5"/>
      <c r="E194" s="7">
        <f>TRUNC([1]단가대비표!O287,0)</f>
        <v>0</v>
      </c>
      <c r="F194" s="7">
        <f t="shared" si="25"/>
        <v>0</v>
      </c>
      <c r="G194" s="7">
        <f>TRUNC([1]단가대비표!P287,0)</f>
        <v>0</v>
      </c>
      <c r="H194" s="7">
        <f t="shared" si="26"/>
        <v>0</v>
      </c>
      <c r="I194" s="7">
        <f>TRUNC([1]단가대비표!V287,0)</f>
        <v>0</v>
      </c>
      <c r="J194" s="7">
        <f t="shared" si="27"/>
        <v>0</v>
      </c>
      <c r="K194" s="7">
        <f t="shared" si="28"/>
        <v>0</v>
      </c>
      <c r="L194" s="7">
        <f t="shared" si="28"/>
        <v>0</v>
      </c>
      <c r="M194" s="4" t="s">
        <v>55</v>
      </c>
      <c r="N194" s="6" t="s">
        <v>672</v>
      </c>
      <c r="O194" s="6" t="s">
        <v>55</v>
      </c>
      <c r="P194" s="6" t="s">
        <v>55</v>
      </c>
      <c r="Q194" s="6" t="s">
        <v>577</v>
      </c>
      <c r="R194" s="6" t="s">
        <v>56</v>
      </c>
      <c r="S194" s="6" t="s">
        <v>56</v>
      </c>
      <c r="T194" s="6" t="s">
        <v>57</v>
      </c>
      <c r="AR194" s="6" t="s">
        <v>55</v>
      </c>
      <c r="AS194" s="6" t="s">
        <v>55</v>
      </c>
      <c r="AU194" s="6" t="s">
        <v>673</v>
      </c>
      <c r="AV194">
        <v>1186</v>
      </c>
    </row>
    <row r="195" spans="1:48" ht="30" customHeight="1" x14ac:dyDescent="0.3">
      <c r="A195" s="4" t="s">
        <v>674</v>
      </c>
      <c r="B195" s="4" t="s">
        <v>675</v>
      </c>
      <c r="C195" s="4" t="s">
        <v>81</v>
      </c>
      <c r="D195" s="5">
        <v>23</v>
      </c>
      <c r="E195" s="7">
        <f>TRUNC([1]단가대비표!O725,0)</f>
        <v>0</v>
      </c>
      <c r="F195" s="7">
        <f t="shared" si="25"/>
        <v>0</v>
      </c>
      <c r="G195" s="7">
        <f>TRUNC([1]단가대비표!P725,0)</f>
        <v>0</v>
      </c>
      <c r="H195" s="7">
        <f t="shared" si="26"/>
        <v>0</v>
      </c>
      <c r="I195" s="7">
        <f>TRUNC([1]단가대비표!V725,0)</f>
        <v>0</v>
      </c>
      <c r="J195" s="7">
        <f t="shared" si="27"/>
        <v>0</v>
      </c>
      <c r="K195" s="7">
        <f t="shared" si="28"/>
        <v>0</v>
      </c>
      <c r="L195" s="7">
        <f t="shared" si="28"/>
        <v>0</v>
      </c>
      <c r="M195" s="4" t="s">
        <v>115</v>
      </c>
      <c r="N195" s="6" t="s">
        <v>676</v>
      </c>
      <c r="O195" s="6" t="s">
        <v>55</v>
      </c>
      <c r="P195" s="6" t="s">
        <v>55</v>
      </c>
      <c r="Q195" s="6" t="s">
        <v>577</v>
      </c>
      <c r="R195" s="6" t="s">
        <v>56</v>
      </c>
      <c r="S195" s="6" t="s">
        <v>56</v>
      </c>
      <c r="T195" s="6" t="s">
        <v>57</v>
      </c>
      <c r="AR195" s="6" t="s">
        <v>55</v>
      </c>
      <c r="AS195" s="6" t="s">
        <v>55</v>
      </c>
      <c r="AU195" s="6" t="s">
        <v>677</v>
      </c>
      <c r="AV195">
        <v>2368</v>
      </c>
    </row>
    <row r="196" spans="1:48" ht="30" customHeight="1" x14ac:dyDescent="0.3">
      <c r="A196" s="4" t="s">
        <v>55</v>
      </c>
      <c r="B196" s="4" t="s">
        <v>55</v>
      </c>
      <c r="C196" s="4" t="s">
        <v>55</v>
      </c>
      <c r="D196" s="5"/>
      <c r="E196" s="7">
        <f>TRUNC([1]단가대비표!O289,0)</f>
        <v>0</v>
      </c>
      <c r="F196" s="7">
        <f t="shared" si="25"/>
        <v>0</v>
      </c>
      <c r="G196" s="7">
        <f>TRUNC([1]단가대비표!P289,0)</f>
        <v>0</v>
      </c>
      <c r="H196" s="7">
        <f t="shared" si="26"/>
        <v>0</v>
      </c>
      <c r="I196" s="7">
        <f>TRUNC([1]단가대비표!V289,0)</f>
        <v>0</v>
      </c>
      <c r="J196" s="7">
        <f t="shared" si="27"/>
        <v>0</v>
      </c>
      <c r="K196" s="7">
        <f t="shared" si="28"/>
        <v>0</v>
      </c>
      <c r="L196" s="7">
        <f t="shared" si="28"/>
        <v>0</v>
      </c>
      <c r="M196" s="4" t="s">
        <v>55</v>
      </c>
      <c r="N196" s="6" t="s">
        <v>678</v>
      </c>
      <c r="O196" s="6" t="s">
        <v>55</v>
      </c>
      <c r="P196" s="6" t="s">
        <v>55</v>
      </c>
      <c r="Q196" s="6" t="s">
        <v>577</v>
      </c>
      <c r="R196" s="6" t="s">
        <v>56</v>
      </c>
      <c r="S196" s="6" t="s">
        <v>56</v>
      </c>
      <c r="T196" s="6" t="s">
        <v>57</v>
      </c>
      <c r="AR196" s="6" t="s">
        <v>55</v>
      </c>
      <c r="AS196" s="6" t="s">
        <v>55</v>
      </c>
      <c r="AU196" s="6" t="s">
        <v>679</v>
      </c>
      <c r="AV196">
        <v>1188</v>
      </c>
    </row>
    <row r="197" spans="1:48" ht="30" customHeight="1" x14ac:dyDescent="0.3">
      <c r="A197" s="4" t="s">
        <v>680</v>
      </c>
      <c r="B197" s="4" t="s">
        <v>55</v>
      </c>
      <c r="C197" s="4" t="s">
        <v>55</v>
      </c>
      <c r="D197" s="5"/>
      <c r="E197" s="7">
        <f>TRUNC([1]단가대비표!O290,0)</f>
        <v>0</v>
      </c>
      <c r="F197" s="7">
        <f t="shared" si="25"/>
        <v>0</v>
      </c>
      <c r="G197" s="7">
        <f>TRUNC([1]단가대비표!P290,0)</f>
        <v>0</v>
      </c>
      <c r="H197" s="7">
        <f t="shared" si="26"/>
        <v>0</v>
      </c>
      <c r="I197" s="7">
        <f>TRUNC([1]단가대비표!V290,0)</f>
        <v>0</v>
      </c>
      <c r="J197" s="7">
        <f t="shared" si="27"/>
        <v>0</v>
      </c>
      <c r="K197" s="7">
        <f t="shared" si="28"/>
        <v>0</v>
      </c>
      <c r="L197" s="7">
        <f t="shared" si="28"/>
        <v>0</v>
      </c>
      <c r="M197" s="4" t="s">
        <v>55</v>
      </c>
      <c r="N197" s="6" t="s">
        <v>681</v>
      </c>
      <c r="O197" s="6" t="s">
        <v>55</v>
      </c>
      <c r="P197" s="6" t="s">
        <v>55</v>
      </c>
      <c r="Q197" s="6" t="s">
        <v>577</v>
      </c>
      <c r="R197" s="6" t="s">
        <v>56</v>
      </c>
      <c r="S197" s="6" t="s">
        <v>56</v>
      </c>
      <c r="T197" s="6" t="s">
        <v>57</v>
      </c>
      <c r="AR197" s="6" t="s">
        <v>55</v>
      </c>
      <c r="AS197" s="6" t="s">
        <v>55</v>
      </c>
      <c r="AU197" s="6" t="s">
        <v>682</v>
      </c>
      <c r="AV197">
        <v>1192</v>
      </c>
    </row>
    <row r="198" spans="1:48" ht="30" customHeight="1" x14ac:dyDescent="0.3">
      <c r="A198" s="4" t="s">
        <v>683</v>
      </c>
      <c r="B198" s="4" t="s">
        <v>684</v>
      </c>
      <c r="C198" s="4" t="s">
        <v>61</v>
      </c>
      <c r="D198" s="5">
        <v>21.06</v>
      </c>
      <c r="E198" s="7">
        <f>TRUNC([1]단가대비표!O291,0)</f>
        <v>237846</v>
      </c>
      <c r="F198" s="7">
        <f t="shared" si="25"/>
        <v>5009036</v>
      </c>
      <c r="G198" s="7">
        <f>TRUNC([1]단가대비표!P291,0)</f>
        <v>101934</v>
      </c>
      <c r="H198" s="7">
        <f t="shared" si="26"/>
        <v>2146730</v>
      </c>
      <c r="I198" s="7">
        <f>TRUNC([1]단가대비표!V291,0)</f>
        <v>0</v>
      </c>
      <c r="J198" s="7">
        <f t="shared" si="27"/>
        <v>0</v>
      </c>
      <c r="K198" s="7">
        <f t="shared" si="28"/>
        <v>339780</v>
      </c>
      <c r="L198" s="7">
        <f t="shared" si="28"/>
        <v>7155766</v>
      </c>
      <c r="M198" s="4" t="s">
        <v>115</v>
      </c>
      <c r="N198" s="6" t="s">
        <v>685</v>
      </c>
      <c r="O198" s="6" t="s">
        <v>55</v>
      </c>
      <c r="P198" s="6" t="s">
        <v>55</v>
      </c>
      <c r="Q198" s="6" t="s">
        <v>577</v>
      </c>
      <c r="R198" s="6" t="s">
        <v>56</v>
      </c>
      <c r="S198" s="6" t="s">
        <v>56</v>
      </c>
      <c r="T198" s="6" t="s">
        <v>57</v>
      </c>
      <c r="AR198" s="6" t="s">
        <v>55</v>
      </c>
      <c r="AS198" s="6" t="s">
        <v>55</v>
      </c>
      <c r="AU198" s="6" t="s">
        <v>686</v>
      </c>
      <c r="AV198">
        <v>1193</v>
      </c>
    </row>
    <row r="199" spans="1:48" ht="30" customHeight="1" x14ac:dyDescent="0.3">
      <c r="A199" s="4" t="s">
        <v>687</v>
      </c>
      <c r="B199" s="4" t="s">
        <v>688</v>
      </c>
      <c r="C199" s="4" t="s">
        <v>61</v>
      </c>
      <c r="D199" s="5">
        <v>35.64</v>
      </c>
      <c r="E199" s="7">
        <f>TRUNC([1]단가대비표!O353,0)</f>
        <v>237846</v>
      </c>
      <c r="F199" s="7">
        <f t="shared" si="25"/>
        <v>8476831</v>
      </c>
      <c r="G199" s="7">
        <f>TRUNC([1]단가대비표!P353,0)</f>
        <v>101934</v>
      </c>
      <c r="H199" s="7">
        <f t="shared" si="26"/>
        <v>3632927</v>
      </c>
      <c r="I199" s="7">
        <f>TRUNC([1]단가대비표!V353,0)</f>
        <v>0</v>
      </c>
      <c r="J199" s="7">
        <f t="shared" si="27"/>
        <v>0</v>
      </c>
      <c r="K199" s="7">
        <f t="shared" si="28"/>
        <v>339780</v>
      </c>
      <c r="L199" s="7">
        <f t="shared" si="28"/>
        <v>12109758</v>
      </c>
      <c r="M199" s="4" t="s">
        <v>115</v>
      </c>
      <c r="N199" s="6" t="s">
        <v>689</v>
      </c>
      <c r="O199" s="6" t="s">
        <v>55</v>
      </c>
      <c r="P199" s="6" t="s">
        <v>55</v>
      </c>
      <c r="Q199" s="6" t="s">
        <v>577</v>
      </c>
      <c r="R199" s="6" t="s">
        <v>56</v>
      </c>
      <c r="S199" s="6" t="s">
        <v>56</v>
      </c>
      <c r="T199" s="6" t="s">
        <v>57</v>
      </c>
      <c r="AR199" s="6" t="s">
        <v>55</v>
      </c>
      <c r="AS199" s="6" t="s">
        <v>55</v>
      </c>
      <c r="AU199" s="6" t="s">
        <v>690</v>
      </c>
      <c r="AV199">
        <v>1306</v>
      </c>
    </row>
    <row r="200" spans="1:48" ht="30" customHeight="1" x14ac:dyDescent="0.3">
      <c r="A200" s="4" t="s">
        <v>691</v>
      </c>
      <c r="B200" s="4" t="s">
        <v>692</v>
      </c>
      <c r="C200" s="4" t="s">
        <v>61</v>
      </c>
      <c r="D200" s="5">
        <v>14.58</v>
      </c>
      <c r="E200" s="7">
        <f>TRUNC([1]단가대비표!O354,0)</f>
        <v>237846</v>
      </c>
      <c r="F200" s="7">
        <f t="shared" si="25"/>
        <v>3467794</v>
      </c>
      <c r="G200" s="7">
        <f>TRUNC([1]단가대비표!P354,0)</f>
        <v>101934</v>
      </c>
      <c r="H200" s="7">
        <f t="shared" si="26"/>
        <v>1486197</v>
      </c>
      <c r="I200" s="7">
        <f>TRUNC([1]단가대비표!V354,0)</f>
        <v>0</v>
      </c>
      <c r="J200" s="7">
        <f t="shared" si="27"/>
        <v>0</v>
      </c>
      <c r="K200" s="7">
        <f t="shared" si="28"/>
        <v>339780</v>
      </c>
      <c r="L200" s="7">
        <f t="shared" si="28"/>
        <v>4953991</v>
      </c>
      <c r="M200" s="4" t="s">
        <v>115</v>
      </c>
      <c r="N200" s="6" t="s">
        <v>693</v>
      </c>
      <c r="O200" s="6" t="s">
        <v>55</v>
      </c>
      <c r="P200" s="6" t="s">
        <v>55</v>
      </c>
      <c r="Q200" s="6" t="s">
        <v>577</v>
      </c>
      <c r="R200" s="6" t="s">
        <v>56</v>
      </c>
      <c r="S200" s="6" t="s">
        <v>56</v>
      </c>
      <c r="T200" s="6" t="s">
        <v>57</v>
      </c>
      <c r="AR200" s="6" t="s">
        <v>55</v>
      </c>
      <c r="AS200" s="6" t="s">
        <v>55</v>
      </c>
      <c r="AU200" s="6" t="s">
        <v>694</v>
      </c>
      <c r="AV200">
        <v>1307</v>
      </c>
    </row>
    <row r="201" spans="1:48" ht="30" customHeight="1" x14ac:dyDescent="0.3">
      <c r="A201" s="4" t="s">
        <v>55</v>
      </c>
      <c r="B201" s="4" t="s">
        <v>55</v>
      </c>
      <c r="C201" s="4" t="s">
        <v>55</v>
      </c>
      <c r="D201" s="5"/>
      <c r="E201" s="7">
        <f>TRUNC([1]단가대비표!O557,0)</f>
        <v>0</v>
      </c>
      <c r="F201" s="7">
        <f t="shared" si="25"/>
        <v>0</v>
      </c>
      <c r="G201" s="7">
        <f>TRUNC([1]단가대비표!P557,0)</f>
        <v>0</v>
      </c>
      <c r="H201" s="7">
        <f t="shared" si="26"/>
        <v>0</v>
      </c>
      <c r="I201" s="7">
        <f>TRUNC([1]단가대비표!V557,0)</f>
        <v>0</v>
      </c>
      <c r="J201" s="7">
        <f t="shared" si="27"/>
        <v>0</v>
      </c>
      <c r="K201" s="7">
        <f t="shared" si="28"/>
        <v>0</v>
      </c>
      <c r="L201" s="7">
        <f t="shared" si="28"/>
        <v>0</v>
      </c>
      <c r="M201" s="4" t="s">
        <v>55</v>
      </c>
      <c r="N201" s="6" t="s">
        <v>695</v>
      </c>
      <c r="O201" s="6" t="s">
        <v>55</v>
      </c>
      <c r="P201" s="6" t="s">
        <v>55</v>
      </c>
      <c r="Q201" s="6" t="s">
        <v>577</v>
      </c>
      <c r="R201" s="6" t="s">
        <v>56</v>
      </c>
      <c r="S201" s="6" t="s">
        <v>56</v>
      </c>
      <c r="T201" s="6" t="s">
        <v>57</v>
      </c>
      <c r="AR201" s="6" t="s">
        <v>55</v>
      </c>
      <c r="AS201" s="6" t="s">
        <v>55</v>
      </c>
      <c r="AU201" s="6" t="s">
        <v>696</v>
      </c>
      <c r="AV201">
        <v>1962</v>
      </c>
    </row>
    <row r="202" spans="1:48" ht="30" customHeight="1" x14ac:dyDescent="0.3">
      <c r="A202" s="4" t="s">
        <v>697</v>
      </c>
      <c r="B202" s="4" t="s">
        <v>55</v>
      </c>
      <c r="C202" s="4" t="s">
        <v>55</v>
      </c>
      <c r="D202" s="5"/>
      <c r="E202" s="7">
        <f>TRUNC([1]단가대비표!O558,0)</f>
        <v>0</v>
      </c>
      <c r="F202" s="7">
        <f t="shared" si="25"/>
        <v>0</v>
      </c>
      <c r="G202" s="7">
        <f>TRUNC([1]단가대비표!P558,0)</f>
        <v>0</v>
      </c>
      <c r="H202" s="7">
        <f t="shared" si="26"/>
        <v>0</v>
      </c>
      <c r="I202" s="7">
        <f>TRUNC([1]단가대비표!V558,0)</f>
        <v>0</v>
      </c>
      <c r="J202" s="7">
        <f t="shared" si="27"/>
        <v>0</v>
      </c>
      <c r="K202" s="7">
        <f t="shared" si="28"/>
        <v>0</v>
      </c>
      <c r="L202" s="7">
        <f t="shared" si="28"/>
        <v>0</v>
      </c>
      <c r="M202" s="4" t="s">
        <v>55</v>
      </c>
      <c r="N202" s="6" t="s">
        <v>698</v>
      </c>
      <c r="O202" s="6" t="s">
        <v>55</v>
      </c>
      <c r="P202" s="6" t="s">
        <v>55</v>
      </c>
      <c r="Q202" s="6" t="s">
        <v>577</v>
      </c>
      <c r="R202" s="6" t="s">
        <v>56</v>
      </c>
      <c r="S202" s="6" t="s">
        <v>56</v>
      </c>
      <c r="T202" s="6" t="s">
        <v>57</v>
      </c>
      <c r="AR202" s="6" t="s">
        <v>55</v>
      </c>
      <c r="AS202" s="6" t="s">
        <v>55</v>
      </c>
      <c r="AU202" s="6" t="s">
        <v>699</v>
      </c>
      <c r="AV202">
        <v>1963</v>
      </c>
    </row>
    <row r="203" spans="1:48" ht="30" customHeight="1" x14ac:dyDescent="0.3">
      <c r="A203" s="4" t="s">
        <v>700</v>
      </c>
      <c r="B203" s="4" t="s">
        <v>55</v>
      </c>
      <c r="C203" s="4" t="s">
        <v>55</v>
      </c>
      <c r="D203" s="5"/>
      <c r="E203" s="7">
        <f>TRUNC([1]단가대비표!O559,0)</f>
        <v>0</v>
      </c>
      <c r="F203" s="7">
        <f t="shared" si="25"/>
        <v>0</v>
      </c>
      <c r="G203" s="7">
        <f>TRUNC([1]단가대비표!P559,0)</f>
        <v>0</v>
      </c>
      <c r="H203" s="7">
        <f t="shared" si="26"/>
        <v>0</v>
      </c>
      <c r="I203" s="7">
        <f>TRUNC([1]단가대비표!V559,0)</f>
        <v>0</v>
      </c>
      <c r="J203" s="7">
        <f t="shared" si="27"/>
        <v>0</v>
      </c>
      <c r="K203" s="7">
        <f t="shared" si="28"/>
        <v>0</v>
      </c>
      <c r="L203" s="7">
        <f t="shared" si="28"/>
        <v>0</v>
      </c>
      <c r="M203" s="4" t="s">
        <v>55</v>
      </c>
      <c r="N203" s="6" t="s">
        <v>701</v>
      </c>
      <c r="O203" s="6" t="s">
        <v>55</v>
      </c>
      <c r="P203" s="6" t="s">
        <v>55</v>
      </c>
      <c r="Q203" s="6" t="s">
        <v>577</v>
      </c>
      <c r="R203" s="6" t="s">
        <v>56</v>
      </c>
      <c r="S203" s="6" t="s">
        <v>56</v>
      </c>
      <c r="T203" s="6" t="s">
        <v>57</v>
      </c>
      <c r="AR203" s="6" t="s">
        <v>55</v>
      </c>
      <c r="AS203" s="6" t="s">
        <v>55</v>
      </c>
      <c r="AU203" s="6" t="s">
        <v>702</v>
      </c>
      <c r="AV203">
        <v>1964</v>
      </c>
    </row>
    <row r="204" spans="1:48" ht="30" customHeight="1" x14ac:dyDescent="0.3">
      <c r="A204" s="4" t="s">
        <v>703</v>
      </c>
      <c r="B204" s="4" t="s">
        <v>55</v>
      </c>
      <c r="C204" s="4" t="s">
        <v>55</v>
      </c>
      <c r="D204" s="5"/>
      <c r="E204" s="7">
        <f>TRUNC([1]단가대비표!O560,0)</f>
        <v>0</v>
      </c>
      <c r="F204" s="7">
        <f t="shared" si="25"/>
        <v>0</v>
      </c>
      <c r="G204" s="7">
        <f>TRUNC([1]단가대비표!P560,0)</f>
        <v>0</v>
      </c>
      <c r="H204" s="7">
        <f t="shared" si="26"/>
        <v>0</v>
      </c>
      <c r="I204" s="7">
        <f>TRUNC([1]단가대비표!V560,0)</f>
        <v>0</v>
      </c>
      <c r="J204" s="7">
        <f t="shared" si="27"/>
        <v>0</v>
      </c>
      <c r="K204" s="7">
        <f t="shared" si="28"/>
        <v>0</v>
      </c>
      <c r="L204" s="7">
        <f t="shared" si="28"/>
        <v>0</v>
      </c>
      <c r="M204" s="4" t="s">
        <v>55</v>
      </c>
      <c r="N204" s="6" t="s">
        <v>704</v>
      </c>
      <c r="O204" s="6" t="s">
        <v>55</v>
      </c>
      <c r="P204" s="6" t="s">
        <v>55</v>
      </c>
      <c r="Q204" s="6" t="s">
        <v>577</v>
      </c>
      <c r="R204" s="6" t="s">
        <v>56</v>
      </c>
      <c r="S204" s="6" t="s">
        <v>56</v>
      </c>
      <c r="T204" s="6" t="s">
        <v>57</v>
      </c>
      <c r="AR204" s="6" t="s">
        <v>55</v>
      </c>
      <c r="AS204" s="6" t="s">
        <v>55</v>
      </c>
      <c r="AU204" s="6" t="s">
        <v>705</v>
      </c>
      <c r="AV204">
        <v>1968</v>
      </c>
    </row>
    <row r="205" spans="1:48" ht="30" customHeight="1" x14ac:dyDescent="0.3">
      <c r="A205" s="4" t="s">
        <v>706</v>
      </c>
      <c r="B205" s="4" t="s">
        <v>707</v>
      </c>
      <c r="C205" s="4" t="s">
        <v>61</v>
      </c>
      <c r="D205" s="5">
        <v>195</v>
      </c>
      <c r="E205" s="7">
        <f>TRUNC([1]단가대비표!O561,0)</f>
        <v>12250</v>
      </c>
      <c r="F205" s="7">
        <f t="shared" si="25"/>
        <v>2388750</v>
      </c>
      <c r="G205" s="7">
        <f>TRUNC([1]단가대비표!P561,0)</f>
        <v>7242</v>
      </c>
      <c r="H205" s="7">
        <f t="shared" si="26"/>
        <v>1412190</v>
      </c>
      <c r="I205" s="7">
        <f>TRUNC([1]단가대비표!V561,0)</f>
        <v>0</v>
      </c>
      <c r="J205" s="7">
        <f t="shared" si="27"/>
        <v>0</v>
      </c>
      <c r="K205" s="7">
        <f t="shared" ref="K205:L236" si="29">TRUNC(E205+G205+I205, 0)</f>
        <v>19492</v>
      </c>
      <c r="L205" s="7">
        <f t="shared" si="29"/>
        <v>3800940</v>
      </c>
      <c r="M205" s="4" t="s">
        <v>115</v>
      </c>
      <c r="N205" s="6" t="s">
        <v>708</v>
      </c>
      <c r="O205" s="6" t="s">
        <v>55</v>
      </c>
      <c r="P205" s="6" t="s">
        <v>55</v>
      </c>
      <c r="Q205" s="6" t="s">
        <v>577</v>
      </c>
      <c r="R205" s="6" t="s">
        <v>56</v>
      </c>
      <c r="S205" s="6" t="s">
        <v>56</v>
      </c>
      <c r="T205" s="6" t="s">
        <v>57</v>
      </c>
      <c r="AR205" s="6" t="s">
        <v>55</v>
      </c>
      <c r="AS205" s="6" t="s">
        <v>55</v>
      </c>
      <c r="AU205" s="6" t="s">
        <v>709</v>
      </c>
      <c r="AV205">
        <v>1970</v>
      </c>
    </row>
    <row r="206" spans="1:48" ht="30" customHeight="1" x14ac:dyDescent="0.3">
      <c r="A206" s="4" t="s">
        <v>710</v>
      </c>
      <c r="B206" s="4" t="s">
        <v>711</v>
      </c>
      <c r="C206" s="4" t="s">
        <v>269</v>
      </c>
      <c r="D206" s="5">
        <v>38</v>
      </c>
      <c r="E206" s="7">
        <f>TRUNC([1]단가대비표!O562,0)</f>
        <v>4053</v>
      </c>
      <c r="F206" s="7">
        <f t="shared" si="25"/>
        <v>154014</v>
      </c>
      <c r="G206" s="7">
        <f>TRUNC([1]단가대비표!P562,0)</f>
        <v>14416</v>
      </c>
      <c r="H206" s="7">
        <f t="shared" si="26"/>
        <v>547808</v>
      </c>
      <c r="I206" s="7">
        <f>TRUNC([1]단가대비표!V562,0)</f>
        <v>0</v>
      </c>
      <c r="J206" s="7">
        <f t="shared" si="27"/>
        <v>0</v>
      </c>
      <c r="K206" s="7">
        <f t="shared" si="29"/>
        <v>18469</v>
      </c>
      <c r="L206" s="7">
        <f t="shared" si="29"/>
        <v>701822</v>
      </c>
      <c r="M206" s="4" t="s">
        <v>115</v>
      </c>
      <c r="N206" s="6" t="s">
        <v>712</v>
      </c>
      <c r="O206" s="6" t="s">
        <v>55</v>
      </c>
      <c r="P206" s="6" t="s">
        <v>55</v>
      </c>
      <c r="Q206" s="6" t="s">
        <v>577</v>
      </c>
      <c r="R206" s="6" t="s">
        <v>56</v>
      </c>
      <c r="S206" s="6" t="s">
        <v>56</v>
      </c>
      <c r="T206" s="6" t="s">
        <v>57</v>
      </c>
      <c r="AR206" s="6" t="s">
        <v>55</v>
      </c>
      <c r="AS206" s="6" t="s">
        <v>55</v>
      </c>
      <c r="AU206" s="6" t="s">
        <v>713</v>
      </c>
      <c r="AV206">
        <v>1982</v>
      </c>
    </row>
    <row r="207" spans="1:48" ht="30" customHeight="1" x14ac:dyDescent="0.3">
      <c r="A207" s="4" t="s">
        <v>55</v>
      </c>
      <c r="B207" s="4" t="s">
        <v>55</v>
      </c>
      <c r="C207" s="4" t="s">
        <v>55</v>
      </c>
      <c r="D207" s="5"/>
      <c r="E207" s="7">
        <f>TRUNC([1]단가대비표!O563,0)</f>
        <v>0</v>
      </c>
      <c r="F207" s="7">
        <f t="shared" si="25"/>
        <v>0</v>
      </c>
      <c r="G207" s="7">
        <f>TRUNC([1]단가대비표!P563,0)</f>
        <v>0</v>
      </c>
      <c r="H207" s="7">
        <f t="shared" si="26"/>
        <v>0</v>
      </c>
      <c r="I207" s="7">
        <f>TRUNC([1]단가대비표!V563,0)</f>
        <v>0</v>
      </c>
      <c r="J207" s="7">
        <f t="shared" si="27"/>
        <v>0</v>
      </c>
      <c r="K207" s="7">
        <f t="shared" si="29"/>
        <v>0</v>
      </c>
      <c r="L207" s="7">
        <f t="shared" si="29"/>
        <v>0</v>
      </c>
      <c r="M207" s="4" t="s">
        <v>55</v>
      </c>
      <c r="N207" s="6" t="s">
        <v>714</v>
      </c>
      <c r="O207" s="6" t="s">
        <v>55</v>
      </c>
      <c r="P207" s="6" t="s">
        <v>55</v>
      </c>
      <c r="Q207" s="6" t="s">
        <v>577</v>
      </c>
      <c r="R207" s="6" t="s">
        <v>56</v>
      </c>
      <c r="S207" s="6" t="s">
        <v>56</v>
      </c>
      <c r="T207" s="6" t="s">
        <v>57</v>
      </c>
      <c r="AR207" s="6" t="s">
        <v>55</v>
      </c>
      <c r="AS207" s="6" t="s">
        <v>55</v>
      </c>
      <c r="AU207" s="6" t="s">
        <v>715</v>
      </c>
      <c r="AV207">
        <v>1983</v>
      </c>
    </row>
    <row r="208" spans="1:48" ht="30" customHeight="1" x14ac:dyDescent="0.3">
      <c r="A208" s="4" t="s">
        <v>716</v>
      </c>
      <c r="B208" s="4" t="s">
        <v>55</v>
      </c>
      <c r="C208" s="4" t="s">
        <v>55</v>
      </c>
      <c r="D208" s="5"/>
      <c r="E208" s="7">
        <f>TRUNC([1]단가대비표!O564,0)</f>
        <v>0</v>
      </c>
      <c r="F208" s="7">
        <f t="shared" si="25"/>
        <v>0</v>
      </c>
      <c r="G208" s="7">
        <f>TRUNC([1]단가대비표!P564,0)</f>
        <v>0</v>
      </c>
      <c r="H208" s="7">
        <f t="shared" si="26"/>
        <v>0</v>
      </c>
      <c r="I208" s="7">
        <f>TRUNC([1]단가대비표!V564,0)</f>
        <v>0</v>
      </c>
      <c r="J208" s="7">
        <f t="shared" si="27"/>
        <v>0</v>
      </c>
      <c r="K208" s="7">
        <f t="shared" si="29"/>
        <v>0</v>
      </c>
      <c r="L208" s="7">
        <f t="shared" si="29"/>
        <v>0</v>
      </c>
      <c r="M208" s="4" t="s">
        <v>55</v>
      </c>
      <c r="N208" s="6" t="s">
        <v>717</v>
      </c>
      <c r="O208" s="6" t="s">
        <v>55</v>
      </c>
      <c r="P208" s="6" t="s">
        <v>55</v>
      </c>
      <c r="Q208" s="6" t="s">
        <v>577</v>
      </c>
      <c r="R208" s="6" t="s">
        <v>56</v>
      </c>
      <c r="S208" s="6" t="s">
        <v>56</v>
      </c>
      <c r="T208" s="6" t="s">
        <v>57</v>
      </c>
      <c r="AR208" s="6" t="s">
        <v>55</v>
      </c>
      <c r="AS208" s="6" t="s">
        <v>55</v>
      </c>
      <c r="AU208" s="6" t="s">
        <v>718</v>
      </c>
      <c r="AV208">
        <v>1984</v>
      </c>
    </row>
    <row r="209" spans="1:48" ht="30" customHeight="1" x14ac:dyDescent="0.3">
      <c r="A209" s="4" t="s">
        <v>719</v>
      </c>
      <c r="B209" s="4" t="s">
        <v>720</v>
      </c>
      <c r="C209" s="4" t="s">
        <v>61</v>
      </c>
      <c r="D209" s="5">
        <v>79</v>
      </c>
      <c r="E209" s="7">
        <f>TRUNC([1]단가대비표!O565,0)</f>
        <v>80560</v>
      </c>
      <c r="F209" s="7">
        <f t="shared" si="25"/>
        <v>6364240</v>
      </c>
      <c r="G209" s="7">
        <f>TRUNC([1]단가대비표!P565,0)</f>
        <v>17321</v>
      </c>
      <c r="H209" s="7">
        <f t="shared" si="26"/>
        <v>1368359</v>
      </c>
      <c r="I209" s="7">
        <f>TRUNC([1]단가대비표!V565,0)</f>
        <v>0</v>
      </c>
      <c r="J209" s="7">
        <f t="shared" si="27"/>
        <v>0</v>
      </c>
      <c r="K209" s="7">
        <f t="shared" si="29"/>
        <v>97881</v>
      </c>
      <c r="L209" s="7">
        <f t="shared" si="29"/>
        <v>7732599</v>
      </c>
      <c r="M209" s="4" t="s">
        <v>115</v>
      </c>
      <c r="N209" s="6" t="s">
        <v>721</v>
      </c>
      <c r="O209" s="6" t="s">
        <v>55</v>
      </c>
      <c r="P209" s="6" t="s">
        <v>55</v>
      </c>
      <c r="Q209" s="6" t="s">
        <v>577</v>
      </c>
      <c r="R209" s="6" t="s">
        <v>56</v>
      </c>
      <c r="S209" s="6" t="s">
        <v>56</v>
      </c>
      <c r="T209" s="6" t="s">
        <v>57</v>
      </c>
      <c r="AR209" s="6" t="s">
        <v>55</v>
      </c>
      <c r="AS209" s="6" t="s">
        <v>55</v>
      </c>
      <c r="AU209" s="6" t="s">
        <v>722</v>
      </c>
      <c r="AV209">
        <v>1985</v>
      </c>
    </row>
    <row r="210" spans="1:48" ht="30" customHeight="1" x14ac:dyDescent="0.3">
      <c r="A210" s="4" t="s">
        <v>723</v>
      </c>
      <c r="B210" s="4" t="s">
        <v>724</v>
      </c>
      <c r="C210" s="4" t="s">
        <v>269</v>
      </c>
      <c r="D210" s="5">
        <v>47</v>
      </c>
      <c r="E210" s="7">
        <f>TRUNC([1]단가대비표!O566,0)</f>
        <v>2667</v>
      </c>
      <c r="F210" s="7">
        <f t="shared" si="25"/>
        <v>125349</v>
      </c>
      <c r="G210" s="7">
        <f>TRUNC([1]단가대비표!P566,0)</f>
        <v>14416</v>
      </c>
      <c r="H210" s="7">
        <f t="shared" si="26"/>
        <v>677552</v>
      </c>
      <c r="I210" s="7">
        <f>TRUNC([1]단가대비표!V566,0)</f>
        <v>0</v>
      </c>
      <c r="J210" s="7">
        <f t="shared" si="27"/>
        <v>0</v>
      </c>
      <c r="K210" s="7">
        <f t="shared" si="29"/>
        <v>17083</v>
      </c>
      <c r="L210" s="7">
        <f t="shared" si="29"/>
        <v>802901</v>
      </c>
      <c r="M210" s="4" t="s">
        <v>115</v>
      </c>
      <c r="N210" s="6" t="s">
        <v>725</v>
      </c>
      <c r="O210" s="6" t="s">
        <v>55</v>
      </c>
      <c r="P210" s="6" t="s">
        <v>55</v>
      </c>
      <c r="Q210" s="6" t="s">
        <v>577</v>
      </c>
      <c r="R210" s="6" t="s">
        <v>56</v>
      </c>
      <c r="S210" s="6" t="s">
        <v>56</v>
      </c>
      <c r="T210" s="6" t="s">
        <v>57</v>
      </c>
      <c r="AR210" s="6" t="s">
        <v>55</v>
      </c>
      <c r="AS210" s="6" t="s">
        <v>55</v>
      </c>
      <c r="AU210" s="6" t="s">
        <v>726</v>
      </c>
      <c r="AV210">
        <v>1986</v>
      </c>
    </row>
    <row r="211" spans="1:48" ht="30" customHeight="1" x14ac:dyDescent="0.3">
      <c r="A211" s="4" t="s">
        <v>55</v>
      </c>
      <c r="B211" s="4" t="s">
        <v>55</v>
      </c>
      <c r="C211" s="4" t="s">
        <v>55</v>
      </c>
      <c r="D211" s="5"/>
      <c r="E211" s="7">
        <f>TRUNC([1]단가대비표!O567,0)</f>
        <v>0</v>
      </c>
      <c r="F211" s="7">
        <f t="shared" si="25"/>
        <v>0</v>
      </c>
      <c r="G211" s="7">
        <f>TRUNC([1]단가대비표!P567,0)</f>
        <v>0</v>
      </c>
      <c r="H211" s="7">
        <f t="shared" si="26"/>
        <v>0</v>
      </c>
      <c r="I211" s="7">
        <f>TRUNC([1]단가대비표!V567,0)</f>
        <v>0</v>
      </c>
      <c r="J211" s="7">
        <f t="shared" si="27"/>
        <v>0</v>
      </c>
      <c r="K211" s="7">
        <f t="shared" si="29"/>
        <v>0</v>
      </c>
      <c r="L211" s="7">
        <f t="shared" si="29"/>
        <v>0</v>
      </c>
      <c r="M211" s="4" t="s">
        <v>55</v>
      </c>
      <c r="N211" s="6" t="s">
        <v>727</v>
      </c>
      <c r="O211" s="6" t="s">
        <v>55</v>
      </c>
      <c r="P211" s="6" t="s">
        <v>55</v>
      </c>
      <c r="Q211" s="6" t="s">
        <v>577</v>
      </c>
      <c r="R211" s="6" t="s">
        <v>56</v>
      </c>
      <c r="S211" s="6" t="s">
        <v>56</v>
      </c>
      <c r="T211" s="6" t="s">
        <v>57</v>
      </c>
      <c r="AR211" s="6" t="s">
        <v>55</v>
      </c>
      <c r="AS211" s="6" t="s">
        <v>55</v>
      </c>
      <c r="AU211" s="6" t="s">
        <v>728</v>
      </c>
      <c r="AV211">
        <v>1988</v>
      </c>
    </row>
    <row r="212" spans="1:48" ht="30" customHeight="1" x14ac:dyDescent="0.3">
      <c r="A212" s="4" t="s">
        <v>729</v>
      </c>
      <c r="B212" s="4" t="s">
        <v>55</v>
      </c>
      <c r="C212" s="4" t="s">
        <v>55</v>
      </c>
      <c r="D212" s="5"/>
      <c r="E212" s="7">
        <f>TRUNC([1]단가대비표!O568,0)</f>
        <v>0</v>
      </c>
      <c r="F212" s="7">
        <f t="shared" si="25"/>
        <v>0</v>
      </c>
      <c r="G212" s="7">
        <f>TRUNC([1]단가대비표!P568,0)</f>
        <v>0</v>
      </c>
      <c r="H212" s="7">
        <f t="shared" si="26"/>
        <v>0</v>
      </c>
      <c r="I212" s="7">
        <f>TRUNC([1]단가대비표!V568,0)</f>
        <v>0</v>
      </c>
      <c r="J212" s="7">
        <f t="shared" si="27"/>
        <v>0</v>
      </c>
      <c r="K212" s="7">
        <f t="shared" si="29"/>
        <v>0</v>
      </c>
      <c r="L212" s="7">
        <f t="shared" si="29"/>
        <v>0</v>
      </c>
      <c r="M212" s="4" t="s">
        <v>55</v>
      </c>
      <c r="N212" s="6" t="s">
        <v>730</v>
      </c>
      <c r="O212" s="6" t="s">
        <v>55</v>
      </c>
      <c r="P212" s="6" t="s">
        <v>55</v>
      </c>
      <c r="Q212" s="6" t="s">
        <v>577</v>
      </c>
      <c r="R212" s="6" t="s">
        <v>56</v>
      </c>
      <c r="S212" s="6" t="s">
        <v>56</v>
      </c>
      <c r="T212" s="6" t="s">
        <v>57</v>
      </c>
      <c r="AR212" s="6" t="s">
        <v>55</v>
      </c>
      <c r="AS212" s="6" t="s">
        <v>55</v>
      </c>
      <c r="AU212" s="6" t="s">
        <v>731</v>
      </c>
      <c r="AV212">
        <v>1989</v>
      </c>
    </row>
    <row r="213" spans="1:48" ht="30" customHeight="1" x14ac:dyDescent="0.3">
      <c r="A213" s="4" t="s">
        <v>732</v>
      </c>
      <c r="B213" s="4" t="s">
        <v>55</v>
      </c>
      <c r="C213" s="4" t="s">
        <v>55</v>
      </c>
      <c r="D213" s="5"/>
      <c r="E213" s="7">
        <f>TRUNC([1]단가대비표!O569,0)</f>
        <v>0</v>
      </c>
      <c r="F213" s="7">
        <f t="shared" si="25"/>
        <v>0</v>
      </c>
      <c r="G213" s="7">
        <f>TRUNC([1]단가대비표!P569,0)</f>
        <v>0</v>
      </c>
      <c r="H213" s="7">
        <f t="shared" si="26"/>
        <v>0</v>
      </c>
      <c r="I213" s="7">
        <f>TRUNC([1]단가대비표!V569,0)</f>
        <v>0</v>
      </c>
      <c r="J213" s="7">
        <f t="shared" si="27"/>
        <v>0</v>
      </c>
      <c r="K213" s="7">
        <f t="shared" si="29"/>
        <v>0</v>
      </c>
      <c r="L213" s="7">
        <f t="shared" si="29"/>
        <v>0</v>
      </c>
      <c r="M213" s="4" t="s">
        <v>55</v>
      </c>
      <c r="N213" s="6" t="s">
        <v>733</v>
      </c>
      <c r="O213" s="6" t="s">
        <v>55</v>
      </c>
      <c r="P213" s="6" t="s">
        <v>55</v>
      </c>
      <c r="Q213" s="6" t="s">
        <v>577</v>
      </c>
      <c r="R213" s="6" t="s">
        <v>56</v>
      </c>
      <c r="S213" s="6" t="s">
        <v>56</v>
      </c>
      <c r="T213" s="6" t="s">
        <v>57</v>
      </c>
      <c r="AR213" s="6" t="s">
        <v>55</v>
      </c>
      <c r="AS213" s="6" t="s">
        <v>55</v>
      </c>
      <c r="AU213" s="6" t="s">
        <v>734</v>
      </c>
      <c r="AV213">
        <v>1990</v>
      </c>
    </row>
    <row r="214" spans="1:48" ht="30" customHeight="1" x14ac:dyDescent="0.3">
      <c r="A214" s="4" t="s">
        <v>735</v>
      </c>
      <c r="B214" s="4" t="s">
        <v>736</v>
      </c>
      <c r="C214" s="4" t="s">
        <v>92</v>
      </c>
      <c r="D214" s="5">
        <v>1</v>
      </c>
      <c r="E214" s="7">
        <f>TRUNC([1]단가대비표!O570,0)</f>
        <v>1950000</v>
      </c>
      <c r="F214" s="7">
        <f t="shared" si="25"/>
        <v>1950000</v>
      </c>
      <c r="G214" s="7">
        <f>TRUNC([1]단가대비표!P570,0)</f>
        <v>0</v>
      </c>
      <c r="H214" s="7">
        <f t="shared" si="26"/>
        <v>0</v>
      </c>
      <c r="I214" s="7">
        <f>TRUNC([1]단가대비표!V570,0)</f>
        <v>0</v>
      </c>
      <c r="J214" s="7">
        <f t="shared" si="27"/>
        <v>0</v>
      </c>
      <c r="K214" s="7">
        <f t="shared" si="29"/>
        <v>1950000</v>
      </c>
      <c r="L214" s="7">
        <f t="shared" si="29"/>
        <v>1950000</v>
      </c>
      <c r="M214" s="4" t="s">
        <v>115</v>
      </c>
      <c r="N214" s="6" t="s">
        <v>737</v>
      </c>
      <c r="O214" s="6" t="s">
        <v>55</v>
      </c>
      <c r="P214" s="6" t="s">
        <v>55</v>
      </c>
      <c r="Q214" s="6" t="s">
        <v>577</v>
      </c>
      <c r="R214" s="6" t="s">
        <v>56</v>
      </c>
      <c r="S214" s="6" t="s">
        <v>56</v>
      </c>
      <c r="T214" s="6" t="s">
        <v>57</v>
      </c>
      <c r="AR214" s="6" t="s">
        <v>55</v>
      </c>
      <c r="AS214" s="6" t="s">
        <v>55</v>
      </c>
      <c r="AU214" s="6" t="s">
        <v>738</v>
      </c>
      <c r="AV214">
        <v>1991</v>
      </c>
    </row>
    <row r="215" spans="1:48" ht="30" customHeight="1" x14ac:dyDescent="0.3">
      <c r="A215" s="4" t="s">
        <v>739</v>
      </c>
      <c r="B215" s="4" t="s">
        <v>740</v>
      </c>
      <c r="C215" s="4" t="s">
        <v>92</v>
      </c>
      <c r="D215" s="5">
        <v>1</v>
      </c>
      <c r="E215" s="7">
        <f>TRUNC([1]단가대비표!O571,0)</f>
        <v>4125000</v>
      </c>
      <c r="F215" s="7">
        <f t="shared" si="25"/>
        <v>4125000</v>
      </c>
      <c r="G215" s="7">
        <f>TRUNC([1]단가대비표!P571,0)</f>
        <v>0</v>
      </c>
      <c r="H215" s="7">
        <f t="shared" si="26"/>
        <v>0</v>
      </c>
      <c r="I215" s="7">
        <f>TRUNC([1]단가대비표!V571,0)</f>
        <v>0</v>
      </c>
      <c r="J215" s="7">
        <f t="shared" si="27"/>
        <v>0</v>
      </c>
      <c r="K215" s="7">
        <f t="shared" si="29"/>
        <v>4125000</v>
      </c>
      <c r="L215" s="7">
        <f t="shared" si="29"/>
        <v>4125000</v>
      </c>
      <c r="M215" s="4" t="s">
        <v>115</v>
      </c>
      <c r="N215" s="6" t="s">
        <v>741</v>
      </c>
      <c r="O215" s="6" t="s">
        <v>55</v>
      </c>
      <c r="P215" s="6" t="s">
        <v>55</v>
      </c>
      <c r="Q215" s="6" t="s">
        <v>577</v>
      </c>
      <c r="R215" s="6" t="s">
        <v>56</v>
      </c>
      <c r="S215" s="6" t="s">
        <v>56</v>
      </c>
      <c r="T215" s="6" t="s">
        <v>57</v>
      </c>
      <c r="AR215" s="6" t="s">
        <v>55</v>
      </c>
      <c r="AS215" s="6" t="s">
        <v>55</v>
      </c>
      <c r="AU215" s="6" t="s">
        <v>742</v>
      </c>
      <c r="AV215">
        <v>1992</v>
      </c>
    </row>
    <row r="216" spans="1:48" ht="30" customHeight="1" x14ac:dyDescent="0.3">
      <c r="A216" s="4" t="s">
        <v>743</v>
      </c>
      <c r="B216" s="4" t="s">
        <v>744</v>
      </c>
      <c r="C216" s="4" t="s">
        <v>92</v>
      </c>
      <c r="D216" s="5">
        <v>1</v>
      </c>
      <c r="E216" s="7">
        <f>TRUNC([1]단가대비표!O572,0)</f>
        <v>315000</v>
      </c>
      <c r="F216" s="7">
        <f t="shared" si="25"/>
        <v>315000</v>
      </c>
      <c r="G216" s="7">
        <f>TRUNC([1]단가대비표!P572,0)</f>
        <v>0</v>
      </c>
      <c r="H216" s="7">
        <f t="shared" si="26"/>
        <v>0</v>
      </c>
      <c r="I216" s="7">
        <f>TRUNC([1]단가대비표!V572,0)</f>
        <v>0</v>
      </c>
      <c r="J216" s="7">
        <f t="shared" si="27"/>
        <v>0</v>
      </c>
      <c r="K216" s="7">
        <f t="shared" si="29"/>
        <v>315000</v>
      </c>
      <c r="L216" s="7">
        <f t="shared" si="29"/>
        <v>315000</v>
      </c>
      <c r="M216" s="4" t="s">
        <v>115</v>
      </c>
      <c r="N216" s="6" t="s">
        <v>745</v>
      </c>
      <c r="O216" s="6" t="s">
        <v>55</v>
      </c>
      <c r="P216" s="6" t="s">
        <v>55</v>
      </c>
      <c r="Q216" s="6" t="s">
        <v>577</v>
      </c>
      <c r="R216" s="6" t="s">
        <v>56</v>
      </c>
      <c r="S216" s="6" t="s">
        <v>56</v>
      </c>
      <c r="T216" s="6" t="s">
        <v>57</v>
      </c>
      <c r="AR216" s="6" t="s">
        <v>55</v>
      </c>
      <c r="AS216" s="6" t="s">
        <v>55</v>
      </c>
      <c r="AU216" s="6" t="s">
        <v>746</v>
      </c>
      <c r="AV216">
        <v>1993</v>
      </c>
    </row>
    <row r="217" spans="1:48" ht="30" customHeight="1" x14ac:dyDescent="0.3">
      <c r="A217" s="4" t="s">
        <v>747</v>
      </c>
      <c r="B217" s="4" t="s">
        <v>748</v>
      </c>
      <c r="C217" s="4" t="s">
        <v>92</v>
      </c>
      <c r="D217" s="5">
        <v>1</v>
      </c>
      <c r="E217" s="7">
        <f>TRUNC([1]단가대비표!O573,0)</f>
        <v>765000</v>
      </c>
      <c r="F217" s="7">
        <f t="shared" si="25"/>
        <v>765000</v>
      </c>
      <c r="G217" s="7">
        <f>TRUNC([1]단가대비표!P573,0)</f>
        <v>0</v>
      </c>
      <c r="H217" s="7">
        <f t="shared" si="26"/>
        <v>0</v>
      </c>
      <c r="I217" s="7">
        <f>TRUNC([1]단가대비표!V573,0)</f>
        <v>0</v>
      </c>
      <c r="J217" s="7">
        <f t="shared" si="27"/>
        <v>0</v>
      </c>
      <c r="K217" s="7">
        <f t="shared" si="29"/>
        <v>765000</v>
      </c>
      <c r="L217" s="7">
        <f t="shared" si="29"/>
        <v>765000</v>
      </c>
      <c r="M217" s="4" t="s">
        <v>115</v>
      </c>
      <c r="N217" s="6" t="s">
        <v>749</v>
      </c>
      <c r="O217" s="6" t="s">
        <v>55</v>
      </c>
      <c r="P217" s="6" t="s">
        <v>55</v>
      </c>
      <c r="Q217" s="6" t="s">
        <v>577</v>
      </c>
      <c r="R217" s="6" t="s">
        <v>56</v>
      </c>
      <c r="S217" s="6" t="s">
        <v>56</v>
      </c>
      <c r="T217" s="6" t="s">
        <v>57</v>
      </c>
      <c r="AR217" s="6" t="s">
        <v>55</v>
      </c>
      <c r="AS217" s="6" t="s">
        <v>55</v>
      </c>
      <c r="AU217" s="6" t="s">
        <v>750</v>
      </c>
      <c r="AV217">
        <v>1994</v>
      </c>
    </row>
    <row r="218" spans="1:48" ht="30" customHeight="1" x14ac:dyDescent="0.3">
      <c r="A218" s="4" t="s">
        <v>751</v>
      </c>
      <c r="B218" s="4" t="s">
        <v>752</v>
      </c>
      <c r="C218" s="4" t="s">
        <v>92</v>
      </c>
      <c r="D218" s="5">
        <v>1</v>
      </c>
      <c r="E218" s="7">
        <f>TRUNC([1]단가대비표!O574,0)</f>
        <v>1665000</v>
      </c>
      <c r="F218" s="7">
        <f t="shared" si="25"/>
        <v>1665000</v>
      </c>
      <c r="G218" s="7">
        <f>TRUNC([1]단가대비표!P574,0)</f>
        <v>0</v>
      </c>
      <c r="H218" s="7">
        <f t="shared" si="26"/>
        <v>0</v>
      </c>
      <c r="I218" s="7">
        <f>TRUNC([1]단가대비표!V574,0)</f>
        <v>0</v>
      </c>
      <c r="J218" s="7">
        <f t="shared" si="27"/>
        <v>0</v>
      </c>
      <c r="K218" s="7">
        <f t="shared" si="29"/>
        <v>1665000</v>
      </c>
      <c r="L218" s="7">
        <f t="shared" si="29"/>
        <v>1665000</v>
      </c>
      <c r="M218" s="4" t="s">
        <v>115</v>
      </c>
      <c r="N218" s="6" t="s">
        <v>753</v>
      </c>
      <c r="O218" s="6" t="s">
        <v>55</v>
      </c>
      <c r="P218" s="6" t="s">
        <v>55</v>
      </c>
      <c r="Q218" s="6" t="s">
        <v>577</v>
      </c>
      <c r="R218" s="6" t="s">
        <v>56</v>
      </c>
      <c r="S218" s="6" t="s">
        <v>56</v>
      </c>
      <c r="T218" s="6" t="s">
        <v>57</v>
      </c>
      <c r="AR218" s="6" t="s">
        <v>55</v>
      </c>
      <c r="AS218" s="6" t="s">
        <v>55</v>
      </c>
      <c r="AU218" s="6" t="s">
        <v>754</v>
      </c>
      <c r="AV218">
        <v>1995</v>
      </c>
    </row>
    <row r="219" spans="1:48" ht="30" customHeight="1" x14ac:dyDescent="0.3">
      <c r="A219" s="4" t="s">
        <v>55</v>
      </c>
      <c r="B219" s="4" t="s">
        <v>55</v>
      </c>
      <c r="C219" s="4" t="s">
        <v>55</v>
      </c>
      <c r="D219" s="5"/>
      <c r="E219" s="7">
        <f>TRUNC([1]단가대비표!O575,0)</f>
        <v>0</v>
      </c>
      <c r="F219" s="7">
        <f t="shared" si="25"/>
        <v>0</v>
      </c>
      <c r="G219" s="7">
        <f>TRUNC([1]단가대비표!P575,0)</f>
        <v>0</v>
      </c>
      <c r="H219" s="7">
        <f t="shared" si="26"/>
        <v>0</v>
      </c>
      <c r="I219" s="7">
        <f>TRUNC([1]단가대비표!V575,0)</f>
        <v>0</v>
      </c>
      <c r="J219" s="7">
        <f t="shared" si="27"/>
        <v>0</v>
      </c>
      <c r="K219" s="7">
        <f t="shared" si="29"/>
        <v>0</v>
      </c>
      <c r="L219" s="7">
        <f t="shared" si="29"/>
        <v>0</v>
      </c>
      <c r="M219" s="4" t="s">
        <v>55</v>
      </c>
      <c r="N219" s="6" t="s">
        <v>755</v>
      </c>
      <c r="O219" s="6" t="s">
        <v>55</v>
      </c>
      <c r="P219" s="6" t="s">
        <v>55</v>
      </c>
      <c r="Q219" s="6" t="s">
        <v>577</v>
      </c>
      <c r="R219" s="6" t="s">
        <v>56</v>
      </c>
      <c r="S219" s="6" t="s">
        <v>56</v>
      </c>
      <c r="T219" s="6" t="s">
        <v>57</v>
      </c>
      <c r="AR219" s="6" t="s">
        <v>55</v>
      </c>
      <c r="AS219" s="6" t="s">
        <v>55</v>
      </c>
      <c r="AU219" s="6" t="s">
        <v>756</v>
      </c>
      <c r="AV219">
        <v>2005</v>
      </c>
    </row>
    <row r="220" spans="1:48" ht="30" customHeight="1" x14ac:dyDescent="0.3">
      <c r="A220" s="4" t="s">
        <v>757</v>
      </c>
      <c r="B220" s="4" t="s">
        <v>55</v>
      </c>
      <c r="C220" s="4" t="s">
        <v>55</v>
      </c>
      <c r="D220" s="5"/>
      <c r="E220" s="7">
        <f>TRUNC([1]단가대비표!O576,0)</f>
        <v>0</v>
      </c>
      <c r="F220" s="7">
        <f t="shared" si="25"/>
        <v>0</v>
      </c>
      <c r="G220" s="7">
        <f>TRUNC([1]단가대비표!P576,0)</f>
        <v>0</v>
      </c>
      <c r="H220" s="7">
        <f t="shared" si="26"/>
        <v>0</v>
      </c>
      <c r="I220" s="7">
        <f>TRUNC([1]단가대비표!V576,0)</f>
        <v>0</v>
      </c>
      <c r="J220" s="7">
        <f t="shared" si="27"/>
        <v>0</v>
      </c>
      <c r="K220" s="7">
        <f t="shared" si="29"/>
        <v>0</v>
      </c>
      <c r="L220" s="7">
        <f t="shared" si="29"/>
        <v>0</v>
      </c>
      <c r="M220" s="4" t="s">
        <v>55</v>
      </c>
      <c r="N220" s="6" t="s">
        <v>758</v>
      </c>
      <c r="O220" s="6" t="s">
        <v>55</v>
      </c>
      <c r="P220" s="6" t="s">
        <v>55</v>
      </c>
      <c r="Q220" s="6" t="s">
        <v>577</v>
      </c>
      <c r="R220" s="6" t="s">
        <v>56</v>
      </c>
      <c r="S220" s="6" t="s">
        <v>56</v>
      </c>
      <c r="T220" s="6" t="s">
        <v>57</v>
      </c>
      <c r="AR220" s="6" t="s">
        <v>55</v>
      </c>
      <c r="AS220" s="6" t="s">
        <v>55</v>
      </c>
      <c r="AU220" s="6" t="s">
        <v>759</v>
      </c>
      <c r="AV220">
        <v>2006</v>
      </c>
    </row>
    <row r="221" spans="1:48" ht="30" customHeight="1" x14ac:dyDescent="0.3">
      <c r="A221" s="4" t="s">
        <v>760</v>
      </c>
      <c r="B221" s="4" t="s">
        <v>55</v>
      </c>
      <c r="C221" s="4" t="s">
        <v>55</v>
      </c>
      <c r="D221" s="5"/>
      <c r="E221" s="7">
        <f>TRUNC([1]단가대비표!O577,0)</f>
        <v>0</v>
      </c>
      <c r="F221" s="7">
        <f t="shared" si="25"/>
        <v>0</v>
      </c>
      <c r="G221" s="7">
        <f>TRUNC([1]단가대비표!P577,0)</f>
        <v>0</v>
      </c>
      <c r="H221" s="7">
        <f t="shared" si="26"/>
        <v>0</v>
      </c>
      <c r="I221" s="7">
        <f>TRUNC([1]단가대비표!V577,0)</f>
        <v>0</v>
      </c>
      <c r="J221" s="7">
        <f t="shared" si="27"/>
        <v>0</v>
      </c>
      <c r="K221" s="7">
        <f t="shared" si="29"/>
        <v>0</v>
      </c>
      <c r="L221" s="7">
        <f t="shared" si="29"/>
        <v>0</v>
      </c>
      <c r="M221" s="4" t="s">
        <v>55</v>
      </c>
      <c r="N221" s="6" t="s">
        <v>761</v>
      </c>
      <c r="O221" s="6" t="s">
        <v>55</v>
      </c>
      <c r="P221" s="6" t="s">
        <v>55</v>
      </c>
      <c r="Q221" s="6" t="s">
        <v>577</v>
      </c>
      <c r="R221" s="6" t="s">
        <v>56</v>
      </c>
      <c r="S221" s="6" t="s">
        <v>56</v>
      </c>
      <c r="T221" s="6" t="s">
        <v>57</v>
      </c>
      <c r="AR221" s="6" t="s">
        <v>55</v>
      </c>
      <c r="AS221" s="6" t="s">
        <v>55</v>
      </c>
      <c r="AU221" s="6" t="s">
        <v>762</v>
      </c>
      <c r="AV221">
        <v>2007</v>
      </c>
    </row>
    <row r="222" spans="1:48" ht="30" customHeight="1" x14ac:dyDescent="0.3">
      <c r="A222" s="4" t="s">
        <v>763</v>
      </c>
      <c r="B222" s="4" t="s">
        <v>764</v>
      </c>
      <c r="C222" s="4" t="s">
        <v>55</v>
      </c>
      <c r="D222" s="5"/>
      <c r="E222" s="7">
        <f>TRUNC([1]단가대비표!O578,0)</f>
        <v>0</v>
      </c>
      <c r="F222" s="7">
        <f t="shared" si="25"/>
        <v>0</v>
      </c>
      <c r="G222" s="7">
        <f>TRUNC([1]단가대비표!P578,0)</f>
        <v>0</v>
      </c>
      <c r="H222" s="7">
        <f t="shared" si="26"/>
        <v>0</v>
      </c>
      <c r="I222" s="7">
        <f>TRUNC([1]단가대비표!V578,0)</f>
        <v>0</v>
      </c>
      <c r="J222" s="7">
        <f t="shared" si="27"/>
        <v>0</v>
      </c>
      <c r="K222" s="7">
        <f t="shared" si="29"/>
        <v>0</v>
      </c>
      <c r="L222" s="7">
        <f t="shared" si="29"/>
        <v>0</v>
      </c>
      <c r="M222" s="4" t="s">
        <v>55</v>
      </c>
      <c r="N222" s="6" t="s">
        <v>765</v>
      </c>
      <c r="O222" s="6" t="s">
        <v>55</v>
      </c>
      <c r="P222" s="6" t="s">
        <v>55</v>
      </c>
      <c r="Q222" s="6" t="s">
        <v>577</v>
      </c>
      <c r="R222" s="6" t="s">
        <v>56</v>
      </c>
      <c r="S222" s="6" t="s">
        <v>56</v>
      </c>
      <c r="T222" s="6" t="s">
        <v>57</v>
      </c>
      <c r="AR222" s="6" t="s">
        <v>55</v>
      </c>
      <c r="AS222" s="6" t="s">
        <v>55</v>
      </c>
      <c r="AU222" s="6" t="s">
        <v>766</v>
      </c>
      <c r="AV222">
        <v>2008</v>
      </c>
    </row>
    <row r="223" spans="1:48" ht="30" customHeight="1" x14ac:dyDescent="0.3">
      <c r="A223" s="4" t="s">
        <v>767</v>
      </c>
      <c r="B223" s="4" t="s">
        <v>768</v>
      </c>
      <c r="C223" s="4" t="s">
        <v>81</v>
      </c>
      <c r="D223" s="5">
        <v>307</v>
      </c>
      <c r="E223" s="7">
        <f>TRUNC([1]단가대비표!O579,0)</f>
        <v>18000</v>
      </c>
      <c r="F223" s="7">
        <f t="shared" si="25"/>
        <v>5526000</v>
      </c>
      <c r="G223" s="7">
        <f>TRUNC([1]단가대비표!P579,0)</f>
        <v>0</v>
      </c>
      <c r="H223" s="7">
        <f t="shared" si="26"/>
        <v>0</v>
      </c>
      <c r="I223" s="7">
        <f>TRUNC([1]단가대비표!V579,0)</f>
        <v>0</v>
      </c>
      <c r="J223" s="7">
        <f t="shared" si="27"/>
        <v>0</v>
      </c>
      <c r="K223" s="7">
        <f t="shared" si="29"/>
        <v>18000</v>
      </c>
      <c r="L223" s="7">
        <f t="shared" si="29"/>
        <v>5526000</v>
      </c>
      <c r="M223" s="4" t="s">
        <v>115</v>
      </c>
      <c r="N223" s="6" t="s">
        <v>769</v>
      </c>
      <c r="O223" s="6" t="s">
        <v>55</v>
      </c>
      <c r="P223" s="6" t="s">
        <v>55</v>
      </c>
      <c r="Q223" s="6" t="s">
        <v>577</v>
      </c>
      <c r="R223" s="6" t="s">
        <v>56</v>
      </c>
      <c r="S223" s="6" t="s">
        <v>56</v>
      </c>
      <c r="T223" s="6" t="s">
        <v>57</v>
      </c>
      <c r="AR223" s="6" t="s">
        <v>55</v>
      </c>
      <c r="AS223" s="6" t="s">
        <v>55</v>
      </c>
      <c r="AU223" s="6" t="s">
        <v>770</v>
      </c>
      <c r="AV223">
        <v>2009</v>
      </c>
    </row>
    <row r="224" spans="1:48" ht="30" customHeight="1" x14ac:dyDescent="0.3">
      <c r="A224" s="4" t="s">
        <v>771</v>
      </c>
      <c r="B224" s="4" t="s">
        <v>772</v>
      </c>
      <c r="C224" s="4" t="s">
        <v>81</v>
      </c>
      <c r="D224" s="5">
        <v>623</v>
      </c>
      <c r="E224" s="7">
        <f>TRUNC([1]단가대비표!O580,0)</f>
        <v>8000</v>
      </c>
      <c r="F224" s="7">
        <f t="shared" si="25"/>
        <v>4984000</v>
      </c>
      <c r="G224" s="7">
        <f>TRUNC([1]단가대비표!P580,0)</f>
        <v>0</v>
      </c>
      <c r="H224" s="7">
        <f t="shared" si="26"/>
        <v>0</v>
      </c>
      <c r="I224" s="7">
        <f>TRUNC([1]단가대비표!V580,0)</f>
        <v>0</v>
      </c>
      <c r="J224" s="7">
        <f t="shared" si="27"/>
        <v>0</v>
      </c>
      <c r="K224" s="7">
        <f t="shared" si="29"/>
        <v>8000</v>
      </c>
      <c r="L224" s="7">
        <f t="shared" si="29"/>
        <v>4984000</v>
      </c>
      <c r="M224" s="4" t="s">
        <v>115</v>
      </c>
      <c r="N224" s="6" t="s">
        <v>773</v>
      </c>
      <c r="O224" s="6" t="s">
        <v>55</v>
      </c>
      <c r="P224" s="6" t="s">
        <v>55</v>
      </c>
      <c r="Q224" s="6" t="s">
        <v>577</v>
      </c>
      <c r="R224" s="6" t="s">
        <v>56</v>
      </c>
      <c r="S224" s="6" t="s">
        <v>56</v>
      </c>
      <c r="T224" s="6" t="s">
        <v>57</v>
      </c>
      <c r="AR224" s="6" t="s">
        <v>55</v>
      </c>
      <c r="AS224" s="6" t="s">
        <v>55</v>
      </c>
      <c r="AU224" s="6" t="s">
        <v>774</v>
      </c>
      <c r="AV224">
        <v>2010</v>
      </c>
    </row>
    <row r="225" spans="1:48" ht="30" customHeight="1" x14ac:dyDescent="0.3">
      <c r="A225" s="4" t="s">
        <v>775</v>
      </c>
      <c r="B225" s="4" t="s">
        <v>776</v>
      </c>
      <c r="C225" s="4" t="s">
        <v>61</v>
      </c>
      <c r="D225" s="5">
        <v>39</v>
      </c>
      <c r="E225" s="7">
        <f>TRUNC([1]단가대비표!O581,0)</f>
        <v>35000</v>
      </c>
      <c r="F225" s="7">
        <f t="shared" si="25"/>
        <v>1365000</v>
      </c>
      <c r="G225" s="7">
        <f>TRUNC([1]단가대비표!P581,0)</f>
        <v>0</v>
      </c>
      <c r="H225" s="7">
        <f t="shared" si="26"/>
        <v>0</v>
      </c>
      <c r="I225" s="7">
        <f>TRUNC([1]단가대비표!V581,0)</f>
        <v>0</v>
      </c>
      <c r="J225" s="7">
        <f t="shared" si="27"/>
        <v>0</v>
      </c>
      <c r="K225" s="7">
        <f t="shared" si="29"/>
        <v>35000</v>
      </c>
      <c r="L225" s="7">
        <f t="shared" si="29"/>
        <v>1365000</v>
      </c>
      <c r="M225" s="4" t="s">
        <v>115</v>
      </c>
      <c r="N225" s="6" t="s">
        <v>777</v>
      </c>
      <c r="O225" s="6" t="s">
        <v>55</v>
      </c>
      <c r="P225" s="6" t="s">
        <v>55</v>
      </c>
      <c r="Q225" s="6" t="s">
        <v>577</v>
      </c>
      <c r="R225" s="6" t="s">
        <v>56</v>
      </c>
      <c r="S225" s="6" t="s">
        <v>56</v>
      </c>
      <c r="T225" s="6" t="s">
        <v>57</v>
      </c>
      <c r="AR225" s="6" t="s">
        <v>55</v>
      </c>
      <c r="AS225" s="6" t="s">
        <v>55</v>
      </c>
      <c r="AU225" s="6" t="s">
        <v>778</v>
      </c>
      <c r="AV225">
        <v>2011</v>
      </c>
    </row>
    <row r="226" spans="1:48" ht="30" customHeight="1" x14ac:dyDescent="0.3">
      <c r="A226" s="4" t="s">
        <v>779</v>
      </c>
      <c r="B226" s="4" t="s">
        <v>780</v>
      </c>
      <c r="C226" s="4" t="s">
        <v>269</v>
      </c>
      <c r="D226" s="5">
        <v>158</v>
      </c>
      <c r="E226" s="7">
        <f>TRUNC([1]단가대비표!O582,0)</f>
        <v>8000</v>
      </c>
      <c r="F226" s="7">
        <f t="shared" si="25"/>
        <v>1264000</v>
      </c>
      <c r="G226" s="7">
        <f>TRUNC([1]단가대비표!P582,0)</f>
        <v>0</v>
      </c>
      <c r="H226" s="7">
        <f t="shared" si="26"/>
        <v>0</v>
      </c>
      <c r="I226" s="7">
        <f>TRUNC([1]단가대비표!V582,0)</f>
        <v>0</v>
      </c>
      <c r="J226" s="7">
        <f t="shared" si="27"/>
        <v>0</v>
      </c>
      <c r="K226" s="7">
        <f t="shared" si="29"/>
        <v>8000</v>
      </c>
      <c r="L226" s="7">
        <f t="shared" si="29"/>
        <v>1264000</v>
      </c>
      <c r="M226" s="4" t="s">
        <v>115</v>
      </c>
      <c r="N226" s="6" t="s">
        <v>781</v>
      </c>
      <c r="O226" s="6" t="s">
        <v>55</v>
      </c>
      <c r="P226" s="6" t="s">
        <v>55</v>
      </c>
      <c r="Q226" s="6" t="s">
        <v>577</v>
      </c>
      <c r="R226" s="6" t="s">
        <v>56</v>
      </c>
      <c r="S226" s="6" t="s">
        <v>56</v>
      </c>
      <c r="T226" s="6" t="s">
        <v>57</v>
      </c>
      <c r="AR226" s="6" t="s">
        <v>55</v>
      </c>
      <c r="AS226" s="6" t="s">
        <v>55</v>
      </c>
      <c r="AU226" s="6" t="s">
        <v>782</v>
      </c>
      <c r="AV226">
        <v>2012</v>
      </c>
    </row>
    <row r="227" spans="1:48" ht="30" customHeight="1" x14ac:dyDescent="0.3">
      <c r="A227" s="4" t="s">
        <v>783</v>
      </c>
      <c r="B227" s="4" t="s">
        <v>784</v>
      </c>
      <c r="C227" s="4" t="s">
        <v>120</v>
      </c>
      <c r="D227" s="5">
        <v>2</v>
      </c>
      <c r="E227" s="7">
        <f>TRUNC([1]단가대비표!O583,0)</f>
        <v>3000000</v>
      </c>
      <c r="F227" s="7">
        <f t="shared" si="25"/>
        <v>6000000</v>
      </c>
      <c r="G227" s="7">
        <f>TRUNC([1]단가대비표!P583,0)</f>
        <v>0</v>
      </c>
      <c r="H227" s="7">
        <f t="shared" si="26"/>
        <v>0</v>
      </c>
      <c r="I227" s="7">
        <f>TRUNC([1]단가대비표!V583,0)</f>
        <v>0</v>
      </c>
      <c r="J227" s="7">
        <f t="shared" si="27"/>
        <v>0</v>
      </c>
      <c r="K227" s="7">
        <f t="shared" si="29"/>
        <v>3000000</v>
      </c>
      <c r="L227" s="7">
        <f t="shared" si="29"/>
        <v>6000000</v>
      </c>
      <c r="M227" s="4" t="s">
        <v>115</v>
      </c>
      <c r="N227" s="6" t="s">
        <v>785</v>
      </c>
      <c r="O227" s="6" t="s">
        <v>55</v>
      </c>
      <c r="P227" s="6" t="s">
        <v>55</v>
      </c>
      <c r="Q227" s="6" t="s">
        <v>577</v>
      </c>
      <c r="R227" s="6" t="s">
        <v>56</v>
      </c>
      <c r="S227" s="6" t="s">
        <v>56</v>
      </c>
      <c r="T227" s="6" t="s">
        <v>57</v>
      </c>
      <c r="AR227" s="6" t="s">
        <v>55</v>
      </c>
      <c r="AS227" s="6" t="s">
        <v>55</v>
      </c>
      <c r="AU227" s="6" t="s">
        <v>786</v>
      </c>
      <c r="AV227">
        <v>2013</v>
      </c>
    </row>
    <row r="228" spans="1:48" ht="30" customHeight="1" x14ac:dyDescent="0.3">
      <c r="A228" s="4" t="s">
        <v>787</v>
      </c>
      <c r="B228" s="4" t="s">
        <v>784</v>
      </c>
      <c r="C228" s="4" t="s">
        <v>120</v>
      </c>
      <c r="D228" s="5">
        <v>2</v>
      </c>
      <c r="E228" s="7">
        <f>TRUNC([1]단가대비표!O584,0)</f>
        <v>2000000</v>
      </c>
      <c r="F228" s="7">
        <f t="shared" si="25"/>
        <v>4000000</v>
      </c>
      <c r="G228" s="7">
        <f>TRUNC([1]단가대비표!P584,0)</f>
        <v>0</v>
      </c>
      <c r="H228" s="7">
        <f t="shared" si="26"/>
        <v>0</v>
      </c>
      <c r="I228" s="7">
        <f>TRUNC([1]단가대비표!V584,0)</f>
        <v>0</v>
      </c>
      <c r="J228" s="7">
        <f t="shared" si="27"/>
        <v>0</v>
      </c>
      <c r="K228" s="7">
        <f t="shared" si="29"/>
        <v>2000000</v>
      </c>
      <c r="L228" s="7">
        <f t="shared" si="29"/>
        <v>4000000</v>
      </c>
      <c r="M228" s="4" t="s">
        <v>115</v>
      </c>
      <c r="N228" s="6" t="s">
        <v>788</v>
      </c>
      <c r="O228" s="6" t="s">
        <v>55</v>
      </c>
      <c r="P228" s="6" t="s">
        <v>55</v>
      </c>
      <c r="Q228" s="6" t="s">
        <v>577</v>
      </c>
      <c r="R228" s="6" t="s">
        <v>56</v>
      </c>
      <c r="S228" s="6" t="s">
        <v>56</v>
      </c>
      <c r="T228" s="6" t="s">
        <v>57</v>
      </c>
      <c r="AR228" s="6" t="s">
        <v>55</v>
      </c>
      <c r="AS228" s="6" t="s">
        <v>55</v>
      </c>
      <c r="AU228" s="6" t="s">
        <v>789</v>
      </c>
      <c r="AV228">
        <v>2014</v>
      </c>
    </row>
    <row r="229" spans="1:48" ht="30" customHeight="1" x14ac:dyDescent="0.3">
      <c r="A229" s="4" t="s">
        <v>790</v>
      </c>
      <c r="B229" s="4" t="s">
        <v>784</v>
      </c>
      <c r="C229" s="4" t="s">
        <v>120</v>
      </c>
      <c r="D229" s="5">
        <v>1</v>
      </c>
      <c r="E229" s="7">
        <f>TRUNC([1]단가대비표!O585,0)</f>
        <v>2500000</v>
      </c>
      <c r="F229" s="7">
        <f t="shared" si="25"/>
        <v>2500000</v>
      </c>
      <c r="G229" s="7">
        <f>TRUNC([1]단가대비표!P585,0)</f>
        <v>0</v>
      </c>
      <c r="H229" s="7">
        <f t="shared" si="26"/>
        <v>0</v>
      </c>
      <c r="I229" s="7">
        <f>TRUNC([1]단가대비표!V585,0)</f>
        <v>0</v>
      </c>
      <c r="J229" s="7">
        <f t="shared" si="27"/>
        <v>0</v>
      </c>
      <c r="K229" s="7">
        <f t="shared" si="29"/>
        <v>2500000</v>
      </c>
      <c r="L229" s="7">
        <f t="shared" si="29"/>
        <v>2500000</v>
      </c>
      <c r="M229" s="4" t="s">
        <v>115</v>
      </c>
      <c r="N229" s="6" t="s">
        <v>791</v>
      </c>
      <c r="O229" s="6" t="s">
        <v>55</v>
      </c>
      <c r="P229" s="6" t="s">
        <v>55</v>
      </c>
      <c r="Q229" s="6" t="s">
        <v>577</v>
      </c>
      <c r="R229" s="6" t="s">
        <v>56</v>
      </c>
      <c r="S229" s="6" t="s">
        <v>56</v>
      </c>
      <c r="T229" s="6" t="s">
        <v>57</v>
      </c>
      <c r="AR229" s="6" t="s">
        <v>55</v>
      </c>
      <c r="AS229" s="6" t="s">
        <v>55</v>
      </c>
      <c r="AU229" s="6" t="s">
        <v>792</v>
      </c>
      <c r="AV229">
        <v>2015</v>
      </c>
    </row>
    <row r="230" spans="1:48" ht="30" customHeight="1" x14ac:dyDescent="0.3">
      <c r="A230" s="4" t="s">
        <v>793</v>
      </c>
      <c r="B230" s="4" t="s">
        <v>794</v>
      </c>
      <c r="C230" s="4" t="s">
        <v>61</v>
      </c>
      <c r="D230" s="5">
        <v>357</v>
      </c>
      <c r="E230" s="7">
        <f>TRUNC([1]단가대비표!O586,0)</f>
        <v>0</v>
      </c>
      <c r="F230" s="7">
        <f t="shared" si="25"/>
        <v>0</v>
      </c>
      <c r="G230" s="7">
        <f>TRUNC([1]단가대비표!P586,0)</f>
        <v>0</v>
      </c>
      <c r="H230" s="7">
        <f t="shared" si="26"/>
        <v>0</v>
      </c>
      <c r="I230" s="7">
        <f>TRUNC([1]단가대비표!V586,0)</f>
        <v>0</v>
      </c>
      <c r="J230" s="7">
        <f t="shared" si="27"/>
        <v>0</v>
      </c>
      <c r="K230" s="7">
        <f t="shared" si="29"/>
        <v>0</v>
      </c>
      <c r="L230" s="7">
        <f t="shared" si="29"/>
        <v>0</v>
      </c>
      <c r="M230" s="4" t="s">
        <v>55</v>
      </c>
      <c r="N230" s="6" t="s">
        <v>795</v>
      </c>
      <c r="O230" s="6" t="s">
        <v>55</v>
      </c>
      <c r="P230" s="6" t="s">
        <v>55</v>
      </c>
      <c r="Q230" s="6" t="s">
        <v>577</v>
      </c>
      <c r="R230" s="6" t="s">
        <v>56</v>
      </c>
      <c r="S230" s="6" t="s">
        <v>56</v>
      </c>
      <c r="T230" s="6" t="s">
        <v>57</v>
      </c>
      <c r="AR230" s="6" t="s">
        <v>55</v>
      </c>
      <c r="AS230" s="6" t="s">
        <v>55</v>
      </c>
      <c r="AU230" s="6" t="s">
        <v>796</v>
      </c>
      <c r="AV230">
        <v>2016</v>
      </c>
    </row>
    <row r="231" spans="1:48" ht="30" customHeight="1" x14ac:dyDescent="0.3">
      <c r="A231" s="4" t="s">
        <v>55</v>
      </c>
      <c r="B231" s="4" t="s">
        <v>55</v>
      </c>
      <c r="C231" s="4" t="s">
        <v>55</v>
      </c>
      <c r="D231" s="5"/>
      <c r="E231" s="7">
        <f>TRUNC([1]단가대비표!O587,0)</f>
        <v>0</v>
      </c>
      <c r="F231" s="7">
        <f t="shared" si="25"/>
        <v>0</v>
      </c>
      <c r="G231" s="7">
        <f>TRUNC([1]단가대비표!P587,0)</f>
        <v>0</v>
      </c>
      <c r="H231" s="7">
        <f t="shared" si="26"/>
        <v>0</v>
      </c>
      <c r="I231" s="7">
        <f>TRUNC([1]단가대비표!V587,0)</f>
        <v>0</v>
      </c>
      <c r="J231" s="7">
        <f t="shared" si="27"/>
        <v>0</v>
      </c>
      <c r="K231" s="7">
        <f t="shared" si="29"/>
        <v>0</v>
      </c>
      <c r="L231" s="7">
        <f t="shared" si="29"/>
        <v>0</v>
      </c>
      <c r="M231" s="4" t="s">
        <v>55</v>
      </c>
      <c r="N231" s="6" t="s">
        <v>797</v>
      </c>
      <c r="O231" s="6" t="s">
        <v>55</v>
      </c>
      <c r="P231" s="6" t="s">
        <v>55</v>
      </c>
      <c r="Q231" s="6" t="s">
        <v>577</v>
      </c>
      <c r="R231" s="6" t="s">
        <v>56</v>
      </c>
      <c r="S231" s="6" t="s">
        <v>56</v>
      </c>
      <c r="T231" s="6" t="s">
        <v>57</v>
      </c>
      <c r="AR231" s="6" t="s">
        <v>55</v>
      </c>
      <c r="AS231" s="6" t="s">
        <v>55</v>
      </c>
      <c r="AU231" s="6" t="s">
        <v>798</v>
      </c>
      <c r="AV231">
        <v>2017</v>
      </c>
    </row>
    <row r="232" spans="1:48" ht="30" customHeight="1" x14ac:dyDescent="0.3">
      <c r="A232" s="4" t="s">
        <v>799</v>
      </c>
      <c r="B232" s="4" t="s">
        <v>55</v>
      </c>
      <c r="C232" s="4" t="s">
        <v>55</v>
      </c>
      <c r="D232" s="5"/>
      <c r="E232" s="7">
        <f>TRUNC([1]단가대비표!O588,0)</f>
        <v>0</v>
      </c>
      <c r="F232" s="7">
        <f t="shared" si="25"/>
        <v>0</v>
      </c>
      <c r="G232" s="7">
        <f>TRUNC([1]단가대비표!P588,0)</f>
        <v>0</v>
      </c>
      <c r="H232" s="7">
        <f t="shared" si="26"/>
        <v>0</v>
      </c>
      <c r="I232" s="7">
        <f>TRUNC([1]단가대비표!V588,0)</f>
        <v>0</v>
      </c>
      <c r="J232" s="7">
        <f t="shared" si="27"/>
        <v>0</v>
      </c>
      <c r="K232" s="7">
        <f t="shared" si="29"/>
        <v>0</v>
      </c>
      <c r="L232" s="7">
        <f t="shared" si="29"/>
        <v>0</v>
      </c>
      <c r="M232" s="4" t="s">
        <v>55</v>
      </c>
      <c r="N232" s="6" t="s">
        <v>800</v>
      </c>
      <c r="O232" s="6" t="s">
        <v>55</v>
      </c>
      <c r="P232" s="6" t="s">
        <v>55</v>
      </c>
      <c r="Q232" s="6" t="s">
        <v>577</v>
      </c>
      <c r="R232" s="6" t="s">
        <v>56</v>
      </c>
      <c r="S232" s="6" t="s">
        <v>56</v>
      </c>
      <c r="T232" s="6" t="s">
        <v>57</v>
      </c>
      <c r="AR232" s="6" t="s">
        <v>55</v>
      </c>
      <c r="AS232" s="6" t="s">
        <v>55</v>
      </c>
      <c r="AU232" s="6" t="s">
        <v>801</v>
      </c>
      <c r="AV232">
        <v>2018</v>
      </c>
    </row>
    <row r="233" spans="1:48" ht="30" customHeight="1" x14ac:dyDescent="0.3">
      <c r="A233" s="4" t="s">
        <v>802</v>
      </c>
      <c r="B233" s="4" t="s">
        <v>803</v>
      </c>
      <c r="C233" s="4" t="s">
        <v>61</v>
      </c>
      <c r="D233" s="5">
        <v>293</v>
      </c>
      <c r="E233" s="7">
        <f>TRUNC([1]단가대비표!O589,0)</f>
        <v>50000</v>
      </c>
      <c r="F233" s="7">
        <f t="shared" si="25"/>
        <v>14650000</v>
      </c>
      <c r="G233" s="7">
        <f>TRUNC([1]단가대비표!P589,0)</f>
        <v>0</v>
      </c>
      <c r="H233" s="7">
        <f t="shared" si="26"/>
        <v>0</v>
      </c>
      <c r="I233" s="7">
        <f>TRUNC([1]단가대비표!V589,0)</f>
        <v>0</v>
      </c>
      <c r="J233" s="7">
        <f t="shared" si="27"/>
        <v>0</v>
      </c>
      <c r="K233" s="7">
        <f t="shared" si="29"/>
        <v>50000</v>
      </c>
      <c r="L233" s="7">
        <f t="shared" si="29"/>
        <v>14650000</v>
      </c>
      <c r="M233" s="4" t="s">
        <v>115</v>
      </c>
      <c r="N233" s="6" t="s">
        <v>804</v>
      </c>
      <c r="O233" s="6" t="s">
        <v>55</v>
      </c>
      <c r="P233" s="6" t="s">
        <v>55</v>
      </c>
      <c r="Q233" s="6" t="s">
        <v>577</v>
      </c>
      <c r="R233" s="6" t="s">
        <v>56</v>
      </c>
      <c r="S233" s="6" t="s">
        <v>56</v>
      </c>
      <c r="T233" s="6" t="s">
        <v>57</v>
      </c>
      <c r="AR233" s="6" t="s">
        <v>55</v>
      </c>
      <c r="AS233" s="6" t="s">
        <v>55</v>
      </c>
      <c r="AU233" s="6" t="s">
        <v>805</v>
      </c>
      <c r="AV233">
        <v>2019</v>
      </c>
    </row>
    <row r="234" spans="1:48" ht="30" customHeight="1" x14ac:dyDescent="0.3">
      <c r="A234" s="4" t="s">
        <v>806</v>
      </c>
      <c r="B234" s="4" t="s">
        <v>807</v>
      </c>
      <c r="C234" s="4" t="s">
        <v>61</v>
      </c>
      <c r="D234" s="5">
        <v>179</v>
      </c>
      <c r="E234" s="7">
        <f>TRUNC([1]단가대비표!O590,0)</f>
        <v>25000</v>
      </c>
      <c r="F234" s="7">
        <f t="shared" si="25"/>
        <v>4475000</v>
      </c>
      <c r="G234" s="7">
        <f>TRUNC([1]단가대비표!P590,0)</f>
        <v>0</v>
      </c>
      <c r="H234" s="7">
        <f t="shared" si="26"/>
        <v>0</v>
      </c>
      <c r="I234" s="7">
        <f>TRUNC([1]단가대비표!V590,0)</f>
        <v>0</v>
      </c>
      <c r="J234" s="7">
        <f t="shared" si="27"/>
        <v>0</v>
      </c>
      <c r="K234" s="7">
        <f t="shared" si="29"/>
        <v>25000</v>
      </c>
      <c r="L234" s="7">
        <f t="shared" si="29"/>
        <v>4475000</v>
      </c>
      <c r="M234" s="4" t="s">
        <v>115</v>
      </c>
      <c r="N234" s="6" t="s">
        <v>808</v>
      </c>
      <c r="O234" s="6" t="s">
        <v>55</v>
      </c>
      <c r="P234" s="6" t="s">
        <v>55</v>
      </c>
      <c r="Q234" s="6" t="s">
        <v>577</v>
      </c>
      <c r="R234" s="6" t="s">
        <v>56</v>
      </c>
      <c r="S234" s="6" t="s">
        <v>56</v>
      </c>
      <c r="T234" s="6" t="s">
        <v>57</v>
      </c>
      <c r="AR234" s="6" t="s">
        <v>55</v>
      </c>
      <c r="AS234" s="6" t="s">
        <v>55</v>
      </c>
      <c r="AU234" s="6" t="s">
        <v>809</v>
      </c>
      <c r="AV234">
        <v>2020</v>
      </c>
    </row>
    <row r="235" spans="1:48" ht="30" customHeight="1" x14ac:dyDescent="0.3">
      <c r="A235" s="4" t="s">
        <v>55</v>
      </c>
      <c r="B235" s="4" t="s">
        <v>55</v>
      </c>
      <c r="C235" s="4" t="s">
        <v>55</v>
      </c>
      <c r="D235" s="5"/>
      <c r="E235" s="7">
        <f>TRUNC([1]단가대비표!O591,0)</f>
        <v>0</v>
      </c>
      <c r="F235" s="7">
        <f t="shared" si="25"/>
        <v>0</v>
      </c>
      <c r="G235" s="7">
        <f>TRUNC([1]단가대비표!P591,0)</f>
        <v>0</v>
      </c>
      <c r="H235" s="7">
        <f t="shared" si="26"/>
        <v>0</v>
      </c>
      <c r="I235" s="7">
        <f>TRUNC([1]단가대비표!V591,0)</f>
        <v>0</v>
      </c>
      <c r="J235" s="7">
        <f t="shared" si="27"/>
        <v>0</v>
      </c>
      <c r="K235" s="7">
        <f t="shared" si="29"/>
        <v>0</v>
      </c>
      <c r="L235" s="7">
        <f t="shared" si="29"/>
        <v>0</v>
      </c>
      <c r="M235" s="4" t="s">
        <v>55</v>
      </c>
      <c r="N235" s="6" t="s">
        <v>810</v>
      </c>
      <c r="O235" s="6" t="s">
        <v>55</v>
      </c>
      <c r="P235" s="6" t="s">
        <v>55</v>
      </c>
      <c r="Q235" s="6" t="s">
        <v>577</v>
      </c>
      <c r="R235" s="6" t="s">
        <v>56</v>
      </c>
      <c r="S235" s="6" t="s">
        <v>56</v>
      </c>
      <c r="T235" s="6" t="s">
        <v>57</v>
      </c>
      <c r="AR235" s="6" t="s">
        <v>55</v>
      </c>
      <c r="AS235" s="6" t="s">
        <v>55</v>
      </c>
      <c r="AU235" s="6" t="s">
        <v>811</v>
      </c>
      <c r="AV235">
        <v>2021</v>
      </c>
    </row>
    <row r="236" spans="1:48" ht="30" customHeight="1" x14ac:dyDescent="0.3">
      <c r="A236" s="4" t="s">
        <v>812</v>
      </c>
      <c r="B236" s="4" t="s">
        <v>55</v>
      </c>
      <c r="C236" s="4" t="s">
        <v>55</v>
      </c>
      <c r="D236" s="5"/>
      <c r="E236" s="7">
        <f>TRUNC([1]단가대비표!O592,0)</f>
        <v>0</v>
      </c>
      <c r="F236" s="7">
        <f t="shared" si="25"/>
        <v>0</v>
      </c>
      <c r="G236" s="7">
        <f>TRUNC([1]단가대비표!P592,0)</f>
        <v>0</v>
      </c>
      <c r="H236" s="7">
        <f t="shared" si="26"/>
        <v>0</v>
      </c>
      <c r="I236" s="7">
        <f>TRUNC([1]단가대비표!V592,0)</f>
        <v>0</v>
      </c>
      <c r="J236" s="7">
        <f t="shared" si="27"/>
        <v>0</v>
      </c>
      <c r="K236" s="7">
        <f t="shared" si="29"/>
        <v>0</v>
      </c>
      <c r="L236" s="7">
        <f t="shared" si="29"/>
        <v>0</v>
      </c>
      <c r="M236" s="4" t="s">
        <v>55</v>
      </c>
      <c r="N236" s="6" t="s">
        <v>813</v>
      </c>
      <c r="O236" s="6" t="s">
        <v>55</v>
      </c>
      <c r="P236" s="6" t="s">
        <v>55</v>
      </c>
      <c r="Q236" s="6" t="s">
        <v>577</v>
      </c>
      <c r="R236" s="6" t="s">
        <v>56</v>
      </c>
      <c r="S236" s="6" t="s">
        <v>56</v>
      </c>
      <c r="T236" s="6" t="s">
        <v>57</v>
      </c>
      <c r="AR236" s="6" t="s">
        <v>55</v>
      </c>
      <c r="AS236" s="6" t="s">
        <v>55</v>
      </c>
      <c r="AU236" s="6" t="s">
        <v>814</v>
      </c>
      <c r="AV236">
        <v>2022</v>
      </c>
    </row>
    <row r="237" spans="1:48" ht="30" customHeight="1" x14ac:dyDescent="0.3">
      <c r="A237" s="4" t="s">
        <v>815</v>
      </c>
      <c r="B237" s="4" t="s">
        <v>55</v>
      </c>
      <c r="C237" s="4" t="s">
        <v>269</v>
      </c>
      <c r="D237" s="5">
        <v>77</v>
      </c>
      <c r="E237" s="7">
        <f>TRUNC([1]단가대비표!O593,0)</f>
        <v>0</v>
      </c>
      <c r="F237" s="7">
        <f t="shared" ref="F237:F278" si="30">TRUNC(E237*D237, 0)</f>
        <v>0</v>
      </c>
      <c r="G237" s="7">
        <f>TRUNC([1]단가대비표!P593,0)</f>
        <v>55063</v>
      </c>
      <c r="H237" s="7">
        <f t="shared" ref="H237:H278" si="31">TRUNC(G237*D237, 0)</f>
        <v>4239851</v>
      </c>
      <c r="I237" s="7">
        <f>TRUNC([1]단가대비표!V593,0)</f>
        <v>0</v>
      </c>
      <c r="J237" s="7">
        <f t="shared" ref="J237:J278" si="32">TRUNC(I237*D237, 0)</f>
        <v>0</v>
      </c>
      <c r="K237" s="7">
        <f t="shared" ref="K237:L268" si="33">TRUNC(E237+G237+I237, 0)</f>
        <v>55063</v>
      </c>
      <c r="L237" s="7">
        <f t="shared" si="33"/>
        <v>4239851</v>
      </c>
      <c r="M237" s="4" t="s">
        <v>115</v>
      </c>
      <c r="N237" s="6" t="s">
        <v>816</v>
      </c>
      <c r="O237" s="6" t="s">
        <v>55</v>
      </c>
      <c r="P237" s="6" t="s">
        <v>55</v>
      </c>
      <c r="Q237" s="6" t="s">
        <v>577</v>
      </c>
      <c r="R237" s="6" t="s">
        <v>56</v>
      </c>
      <c r="S237" s="6" t="s">
        <v>56</v>
      </c>
      <c r="T237" s="6" t="s">
        <v>57</v>
      </c>
      <c r="AR237" s="6" t="s">
        <v>55</v>
      </c>
      <c r="AS237" s="6" t="s">
        <v>55</v>
      </c>
      <c r="AU237" s="6" t="s">
        <v>817</v>
      </c>
      <c r="AV237">
        <v>2023</v>
      </c>
    </row>
    <row r="238" spans="1:48" ht="30" customHeight="1" x14ac:dyDescent="0.3">
      <c r="A238" s="4" t="s">
        <v>818</v>
      </c>
      <c r="B238" s="4" t="s">
        <v>55</v>
      </c>
      <c r="C238" s="4" t="s">
        <v>269</v>
      </c>
      <c r="D238" s="5">
        <v>156</v>
      </c>
      <c r="E238" s="7">
        <f>TRUNC([1]단가대비표!O594,0)</f>
        <v>0</v>
      </c>
      <c r="F238" s="7">
        <f t="shared" si="30"/>
        <v>0</v>
      </c>
      <c r="G238" s="7">
        <f>TRUNC([1]단가대비표!P594,0)</f>
        <v>57894</v>
      </c>
      <c r="H238" s="7">
        <f t="shared" si="31"/>
        <v>9031464</v>
      </c>
      <c r="I238" s="7">
        <f>TRUNC([1]단가대비표!V594,0)</f>
        <v>0</v>
      </c>
      <c r="J238" s="7">
        <f t="shared" si="32"/>
        <v>0</v>
      </c>
      <c r="K238" s="7">
        <f t="shared" si="33"/>
        <v>57894</v>
      </c>
      <c r="L238" s="7">
        <f t="shared" si="33"/>
        <v>9031464</v>
      </c>
      <c r="M238" s="4" t="s">
        <v>115</v>
      </c>
      <c r="N238" s="6" t="s">
        <v>819</v>
      </c>
      <c r="O238" s="6" t="s">
        <v>55</v>
      </c>
      <c r="P238" s="6" t="s">
        <v>55</v>
      </c>
      <c r="Q238" s="6" t="s">
        <v>577</v>
      </c>
      <c r="R238" s="6" t="s">
        <v>56</v>
      </c>
      <c r="S238" s="6" t="s">
        <v>56</v>
      </c>
      <c r="T238" s="6" t="s">
        <v>57</v>
      </c>
      <c r="AR238" s="6" t="s">
        <v>55</v>
      </c>
      <c r="AS238" s="6" t="s">
        <v>55</v>
      </c>
      <c r="AU238" s="6" t="s">
        <v>820</v>
      </c>
      <c r="AV238">
        <v>2024</v>
      </c>
    </row>
    <row r="239" spans="1:48" ht="30" customHeight="1" x14ac:dyDescent="0.3">
      <c r="A239" s="4" t="s">
        <v>821</v>
      </c>
      <c r="B239" s="4" t="s">
        <v>55</v>
      </c>
      <c r="C239" s="4" t="s">
        <v>269</v>
      </c>
      <c r="D239" s="5">
        <v>79</v>
      </c>
      <c r="E239" s="7">
        <f>TRUNC([1]단가대비표!O595,0)</f>
        <v>0</v>
      </c>
      <c r="F239" s="7">
        <f t="shared" si="30"/>
        <v>0</v>
      </c>
      <c r="G239" s="7">
        <f>TRUNC([1]단가대비표!P595,0)</f>
        <v>71407</v>
      </c>
      <c r="H239" s="7">
        <f t="shared" si="31"/>
        <v>5641153</v>
      </c>
      <c r="I239" s="7">
        <f>TRUNC([1]단가대비표!V595,0)</f>
        <v>0</v>
      </c>
      <c r="J239" s="7">
        <f t="shared" si="32"/>
        <v>0</v>
      </c>
      <c r="K239" s="7">
        <f t="shared" si="33"/>
        <v>71407</v>
      </c>
      <c r="L239" s="7">
        <f t="shared" si="33"/>
        <v>5641153</v>
      </c>
      <c r="M239" s="4" t="s">
        <v>115</v>
      </c>
      <c r="N239" s="6" t="s">
        <v>822</v>
      </c>
      <c r="O239" s="6" t="s">
        <v>55</v>
      </c>
      <c r="P239" s="6" t="s">
        <v>55</v>
      </c>
      <c r="Q239" s="6" t="s">
        <v>577</v>
      </c>
      <c r="R239" s="6" t="s">
        <v>56</v>
      </c>
      <c r="S239" s="6" t="s">
        <v>56</v>
      </c>
      <c r="T239" s="6" t="s">
        <v>57</v>
      </c>
      <c r="AR239" s="6" t="s">
        <v>55</v>
      </c>
      <c r="AS239" s="6" t="s">
        <v>55</v>
      </c>
      <c r="AU239" s="6" t="s">
        <v>823</v>
      </c>
      <c r="AV239">
        <v>2025</v>
      </c>
    </row>
    <row r="240" spans="1:48" ht="30" customHeight="1" x14ac:dyDescent="0.3">
      <c r="A240" s="4" t="s">
        <v>824</v>
      </c>
      <c r="B240" s="4" t="s">
        <v>55</v>
      </c>
      <c r="C240" s="4" t="s">
        <v>269</v>
      </c>
      <c r="D240" s="5">
        <v>158</v>
      </c>
      <c r="E240" s="7">
        <f>TRUNC([1]단가대비표!O596,0)</f>
        <v>0</v>
      </c>
      <c r="F240" s="7">
        <f t="shared" si="30"/>
        <v>0</v>
      </c>
      <c r="G240" s="7">
        <f>TRUNC([1]단가대비표!P596,0)</f>
        <v>40358</v>
      </c>
      <c r="H240" s="7">
        <f t="shared" si="31"/>
        <v>6376564</v>
      </c>
      <c r="I240" s="7">
        <f>TRUNC([1]단가대비표!V596,0)</f>
        <v>0</v>
      </c>
      <c r="J240" s="7">
        <f t="shared" si="32"/>
        <v>0</v>
      </c>
      <c r="K240" s="7">
        <f t="shared" si="33"/>
        <v>40358</v>
      </c>
      <c r="L240" s="7">
        <f t="shared" si="33"/>
        <v>6376564</v>
      </c>
      <c r="M240" s="4" t="s">
        <v>115</v>
      </c>
      <c r="N240" s="6" t="s">
        <v>825</v>
      </c>
      <c r="O240" s="6" t="s">
        <v>55</v>
      </c>
      <c r="P240" s="6" t="s">
        <v>55</v>
      </c>
      <c r="Q240" s="6" t="s">
        <v>577</v>
      </c>
      <c r="R240" s="6" t="s">
        <v>56</v>
      </c>
      <c r="S240" s="6" t="s">
        <v>56</v>
      </c>
      <c r="T240" s="6" t="s">
        <v>57</v>
      </c>
      <c r="AR240" s="6" t="s">
        <v>55</v>
      </c>
      <c r="AS240" s="6" t="s">
        <v>55</v>
      </c>
      <c r="AU240" s="6" t="s">
        <v>826</v>
      </c>
      <c r="AV240">
        <v>2026</v>
      </c>
    </row>
    <row r="241" spans="1:48" ht="30" customHeight="1" x14ac:dyDescent="0.3">
      <c r="A241" s="4" t="s">
        <v>827</v>
      </c>
      <c r="B241" s="4" t="s">
        <v>55</v>
      </c>
      <c r="C241" s="4" t="s">
        <v>61</v>
      </c>
      <c r="D241" s="5">
        <v>293</v>
      </c>
      <c r="E241" s="7">
        <f>TRUNC([1]단가대비표!O597,0)</f>
        <v>0</v>
      </c>
      <c r="F241" s="7">
        <f t="shared" si="30"/>
        <v>0</v>
      </c>
      <c r="G241" s="7">
        <f>TRUNC([1]단가대비표!P597,0)</f>
        <v>54298</v>
      </c>
      <c r="H241" s="7">
        <f t="shared" si="31"/>
        <v>15909314</v>
      </c>
      <c r="I241" s="7">
        <f>TRUNC([1]단가대비표!V597,0)</f>
        <v>0</v>
      </c>
      <c r="J241" s="7">
        <f t="shared" si="32"/>
        <v>0</v>
      </c>
      <c r="K241" s="7">
        <f t="shared" si="33"/>
        <v>54298</v>
      </c>
      <c r="L241" s="7">
        <f t="shared" si="33"/>
        <v>15909314</v>
      </c>
      <c r="M241" s="4" t="s">
        <v>115</v>
      </c>
      <c r="N241" s="6" t="s">
        <v>828</v>
      </c>
      <c r="O241" s="6" t="s">
        <v>55</v>
      </c>
      <c r="P241" s="6" t="s">
        <v>55</v>
      </c>
      <c r="Q241" s="6" t="s">
        <v>577</v>
      </c>
      <c r="R241" s="6" t="s">
        <v>56</v>
      </c>
      <c r="S241" s="6" t="s">
        <v>56</v>
      </c>
      <c r="T241" s="6" t="s">
        <v>57</v>
      </c>
      <c r="AR241" s="6" t="s">
        <v>55</v>
      </c>
      <c r="AS241" s="6" t="s">
        <v>55</v>
      </c>
      <c r="AU241" s="6" t="s">
        <v>829</v>
      </c>
      <c r="AV241">
        <v>2027</v>
      </c>
    </row>
    <row r="242" spans="1:48" ht="30" customHeight="1" x14ac:dyDescent="0.3">
      <c r="A242" s="4" t="s">
        <v>830</v>
      </c>
      <c r="B242" s="4" t="s">
        <v>55</v>
      </c>
      <c r="C242" s="4" t="s">
        <v>61</v>
      </c>
      <c r="D242" s="5">
        <v>179</v>
      </c>
      <c r="E242" s="7">
        <f>TRUNC([1]단가대비표!O598,0)</f>
        <v>0</v>
      </c>
      <c r="F242" s="7">
        <f t="shared" si="30"/>
        <v>0</v>
      </c>
      <c r="G242" s="7">
        <f>TRUNC([1]단가대비표!P598,0)</f>
        <v>59446</v>
      </c>
      <c r="H242" s="7">
        <f t="shared" si="31"/>
        <v>10640834</v>
      </c>
      <c r="I242" s="7">
        <f>TRUNC([1]단가대비표!V598,0)</f>
        <v>0</v>
      </c>
      <c r="J242" s="7">
        <f t="shared" si="32"/>
        <v>0</v>
      </c>
      <c r="K242" s="7">
        <f t="shared" si="33"/>
        <v>59446</v>
      </c>
      <c r="L242" s="7">
        <f t="shared" si="33"/>
        <v>10640834</v>
      </c>
      <c r="M242" s="4" t="s">
        <v>115</v>
      </c>
      <c r="N242" s="6" t="s">
        <v>831</v>
      </c>
      <c r="O242" s="6" t="s">
        <v>55</v>
      </c>
      <c r="P242" s="6" t="s">
        <v>55</v>
      </c>
      <c r="Q242" s="6" t="s">
        <v>577</v>
      </c>
      <c r="R242" s="6" t="s">
        <v>56</v>
      </c>
      <c r="S242" s="6" t="s">
        <v>56</v>
      </c>
      <c r="T242" s="6" t="s">
        <v>57</v>
      </c>
      <c r="AR242" s="6" t="s">
        <v>55</v>
      </c>
      <c r="AS242" s="6" t="s">
        <v>55</v>
      </c>
      <c r="AU242" s="6" t="s">
        <v>832</v>
      </c>
      <c r="AV242">
        <v>2028</v>
      </c>
    </row>
    <row r="243" spans="1:48" ht="30" customHeight="1" x14ac:dyDescent="0.3">
      <c r="A243" s="4" t="s">
        <v>55</v>
      </c>
      <c r="B243" s="4" t="s">
        <v>55</v>
      </c>
      <c r="C243" s="4" t="s">
        <v>55</v>
      </c>
      <c r="D243" s="5"/>
      <c r="E243" s="7">
        <f>TRUNC([1]단가대비표!O599,0)</f>
        <v>0</v>
      </c>
      <c r="F243" s="7">
        <f t="shared" si="30"/>
        <v>0</v>
      </c>
      <c r="G243" s="7">
        <f>TRUNC([1]단가대비표!P599,0)</f>
        <v>0</v>
      </c>
      <c r="H243" s="7">
        <f t="shared" si="31"/>
        <v>0</v>
      </c>
      <c r="I243" s="7">
        <f>TRUNC([1]단가대비표!V599,0)</f>
        <v>0</v>
      </c>
      <c r="J243" s="7">
        <f t="shared" si="32"/>
        <v>0</v>
      </c>
      <c r="K243" s="7">
        <f t="shared" si="33"/>
        <v>0</v>
      </c>
      <c r="L243" s="7">
        <f t="shared" si="33"/>
        <v>0</v>
      </c>
      <c r="M243" s="4" t="s">
        <v>55</v>
      </c>
      <c r="N243" s="6" t="s">
        <v>833</v>
      </c>
      <c r="O243" s="6" t="s">
        <v>55</v>
      </c>
      <c r="P243" s="6" t="s">
        <v>55</v>
      </c>
      <c r="Q243" s="6" t="s">
        <v>577</v>
      </c>
      <c r="R243" s="6" t="s">
        <v>56</v>
      </c>
      <c r="S243" s="6" t="s">
        <v>56</v>
      </c>
      <c r="T243" s="6" t="s">
        <v>57</v>
      </c>
      <c r="AR243" s="6" t="s">
        <v>55</v>
      </c>
      <c r="AS243" s="6" t="s">
        <v>55</v>
      </c>
      <c r="AU243" s="6" t="s">
        <v>834</v>
      </c>
      <c r="AV243">
        <v>2029</v>
      </c>
    </row>
    <row r="244" spans="1:48" ht="30" customHeight="1" x14ac:dyDescent="0.3">
      <c r="A244" s="4" t="s">
        <v>835</v>
      </c>
      <c r="B244" s="4" t="s">
        <v>55</v>
      </c>
      <c r="C244" s="4" t="s">
        <v>55</v>
      </c>
      <c r="D244" s="5"/>
      <c r="E244" s="7">
        <f>TRUNC([1]단가대비표!O600,0)</f>
        <v>0</v>
      </c>
      <c r="F244" s="7">
        <f t="shared" si="30"/>
        <v>0</v>
      </c>
      <c r="G244" s="7">
        <f>TRUNC([1]단가대비표!P600,0)</f>
        <v>0</v>
      </c>
      <c r="H244" s="7">
        <f t="shared" si="31"/>
        <v>0</v>
      </c>
      <c r="I244" s="7">
        <f>TRUNC([1]단가대비표!V600,0)</f>
        <v>0</v>
      </c>
      <c r="J244" s="7">
        <f t="shared" si="32"/>
        <v>0</v>
      </c>
      <c r="K244" s="7">
        <f t="shared" si="33"/>
        <v>0</v>
      </c>
      <c r="L244" s="7">
        <f t="shared" si="33"/>
        <v>0</v>
      </c>
      <c r="M244" s="4" t="s">
        <v>55</v>
      </c>
      <c r="N244" s="6" t="s">
        <v>836</v>
      </c>
      <c r="O244" s="6" t="s">
        <v>55</v>
      </c>
      <c r="P244" s="6" t="s">
        <v>55</v>
      </c>
      <c r="Q244" s="6" t="s">
        <v>577</v>
      </c>
      <c r="R244" s="6" t="s">
        <v>56</v>
      </c>
      <c r="S244" s="6" t="s">
        <v>56</v>
      </c>
      <c r="T244" s="6" t="s">
        <v>57</v>
      </c>
      <c r="AR244" s="6" t="s">
        <v>55</v>
      </c>
      <c r="AS244" s="6" t="s">
        <v>55</v>
      </c>
      <c r="AU244" s="6" t="s">
        <v>837</v>
      </c>
      <c r="AV244">
        <v>2030</v>
      </c>
    </row>
    <row r="245" spans="1:48" ht="30" customHeight="1" x14ac:dyDescent="0.3">
      <c r="A245" s="4" t="s">
        <v>838</v>
      </c>
      <c r="B245" s="4" t="s">
        <v>839</v>
      </c>
      <c r="C245" s="4" t="s">
        <v>61</v>
      </c>
      <c r="D245" s="5">
        <v>279</v>
      </c>
      <c r="E245" s="7">
        <f>TRUNC([1]단가대비표!O601,0)</f>
        <v>0</v>
      </c>
      <c r="F245" s="7">
        <f t="shared" si="30"/>
        <v>0</v>
      </c>
      <c r="G245" s="7">
        <f>TRUNC([1]단가대비표!P601,0)</f>
        <v>24340</v>
      </c>
      <c r="H245" s="7">
        <f t="shared" si="31"/>
        <v>6790860</v>
      </c>
      <c r="I245" s="7">
        <f>TRUNC([1]단가대비표!V601,0)</f>
        <v>0</v>
      </c>
      <c r="J245" s="7">
        <f t="shared" si="32"/>
        <v>0</v>
      </c>
      <c r="K245" s="7">
        <f t="shared" si="33"/>
        <v>24340</v>
      </c>
      <c r="L245" s="7">
        <f t="shared" si="33"/>
        <v>6790860</v>
      </c>
      <c r="M245" s="4" t="s">
        <v>115</v>
      </c>
      <c r="N245" s="6" t="s">
        <v>840</v>
      </c>
      <c r="O245" s="6" t="s">
        <v>55</v>
      </c>
      <c r="P245" s="6" t="s">
        <v>55</v>
      </c>
      <c r="Q245" s="6" t="s">
        <v>577</v>
      </c>
      <c r="R245" s="6" t="s">
        <v>56</v>
      </c>
      <c r="S245" s="6" t="s">
        <v>56</v>
      </c>
      <c r="T245" s="6" t="s">
        <v>57</v>
      </c>
      <c r="AR245" s="6" t="s">
        <v>55</v>
      </c>
      <c r="AS245" s="6" t="s">
        <v>55</v>
      </c>
      <c r="AU245" s="6" t="s">
        <v>841</v>
      </c>
      <c r="AV245">
        <v>2031</v>
      </c>
    </row>
    <row r="246" spans="1:48" ht="30" customHeight="1" x14ac:dyDescent="0.3">
      <c r="A246" s="4" t="s">
        <v>842</v>
      </c>
      <c r="B246" s="4" t="s">
        <v>843</v>
      </c>
      <c r="C246" s="4" t="s">
        <v>61</v>
      </c>
      <c r="D246" s="5">
        <v>170</v>
      </c>
      <c r="E246" s="7">
        <f>TRUNC([1]단가대비표!O602,0)</f>
        <v>0</v>
      </c>
      <c r="F246" s="7">
        <f t="shared" si="30"/>
        <v>0</v>
      </c>
      <c r="G246" s="7">
        <f>TRUNC([1]단가대비표!P602,0)</f>
        <v>68388</v>
      </c>
      <c r="H246" s="7">
        <f t="shared" si="31"/>
        <v>11625960</v>
      </c>
      <c r="I246" s="7">
        <f>TRUNC([1]단가대비표!V602,0)</f>
        <v>0</v>
      </c>
      <c r="J246" s="7">
        <f t="shared" si="32"/>
        <v>0</v>
      </c>
      <c r="K246" s="7">
        <f t="shared" si="33"/>
        <v>68388</v>
      </c>
      <c r="L246" s="7">
        <f t="shared" si="33"/>
        <v>11625960</v>
      </c>
      <c r="M246" s="4" t="s">
        <v>115</v>
      </c>
      <c r="N246" s="6" t="s">
        <v>844</v>
      </c>
      <c r="O246" s="6" t="s">
        <v>55</v>
      </c>
      <c r="P246" s="6" t="s">
        <v>55</v>
      </c>
      <c r="Q246" s="6" t="s">
        <v>577</v>
      </c>
      <c r="R246" s="6" t="s">
        <v>56</v>
      </c>
      <c r="S246" s="6" t="s">
        <v>56</v>
      </c>
      <c r="T246" s="6" t="s">
        <v>57</v>
      </c>
      <c r="AR246" s="6" t="s">
        <v>55</v>
      </c>
      <c r="AS246" s="6" t="s">
        <v>55</v>
      </c>
      <c r="AU246" s="6" t="s">
        <v>845</v>
      </c>
      <c r="AV246">
        <v>2032</v>
      </c>
    </row>
    <row r="247" spans="1:48" ht="30" customHeight="1" x14ac:dyDescent="0.3">
      <c r="A247" s="4" t="s">
        <v>846</v>
      </c>
      <c r="B247" s="4" t="s">
        <v>55</v>
      </c>
      <c r="C247" s="4" t="s">
        <v>61</v>
      </c>
      <c r="D247" s="5">
        <v>166</v>
      </c>
      <c r="E247" s="7">
        <f>TRUNC([1]단가대비표!O603,0)</f>
        <v>0</v>
      </c>
      <c r="F247" s="7">
        <f t="shared" si="30"/>
        <v>0</v>
      </c>
      <c r="G247" s="7">
        <f>TRUNC([1]단가대비표!P603,0)</f>
        <v>10000</v>
      </c>
      <c r="H247" s="7">
        <f t="shared" si="31"/>
        <v>1660000</v>
      </c>
      <c r="I247" s="7">
        <f>TRUNC([1]단가대비표!V603,0)</f>
        <v>0</v>
      </c>
      <c r="J247" s="7">
        <f t="shared" si="32"/>
        <v>0</v>
      </c>
      <c r="K247" s="7">
        <f t="shared" si="33"/>
        <v>10000</v>
      </c>
      <c r="L247" s="7">
        <f t="shared" si="33"/>
        <v>1660000</v>
      </c>
      <c r="M247" s="4" t="s">
        <v>115</v>
      </c>
      <c r="N247" s="6" t="s">
        <v>847</v>
      </c>
      <c r="O247" s="6" t="s">
        <v>55</v>
      </c>
      <c r="P247" s="6" t="s">
        <v>55</v>
      </c>
      <c r="Q247" s="6" t="s">
        <v>577</v>
      </c>
      <c r="R247" s="6" t="s">
        <v>56</v>
      </c>
      <c r="S247" s="6" t="s">
        <v>56</v>
      </c>
      <c r="T247" s="6" t="s">
        <v>57</v>
      </c>
      <c r="AR247" s="6" t="s">
        <v>55</v>
      </c>
      <c r="AS247" s="6" t="s">
        <v>55</v>
      </c>
      <c r="AU247" s="6" t="s">
        <v>848</v>
      </c>
      <c r="AV247">
        <v>2033</v>
      </c>
    </row>
    <row r="248" spans="1:48" ht="30" customHeight="1" x14ac:dyDescent="0.3">
      <c r="A248" s="4" t="s">
        <v>55</v>
      </c>
      <c r="B248" s="4" t="s">
        <v>55</v>
      </c>
      <c r="C248" s="4" t="s">
        <v>55</v>
      </c>
      <c r="D248" s="5"/>
      <c r="E248" s="7">
        <f>TRUNC([1]단가대비표!O604,0)</f>
        <v>0</v>
      </c>
      <c r="F248" s="7">
        <f t="shared" si="30"/>
        <v>0</v>
      </c>
      <c r="G248" s="7">
        <f>TRUNC([1]단가대비표!P604,0)</f>
        <v>0</v>
      </c>
      <c r="H248" s="7">
        <f t="shared" si="31"/>
        <v>0</v>
      </c>
      <c r="I248" s="7">
        <f>TRUNC([1]단가대비표!V604,0)</f>
        <v>0</v>
      </c>
      <c r="J248" s="7">
        <f t="shared" si="32"/>
        <v>0</v>
      </c>
      <c r="K248" s="7">
        <f t="shared" si="33"/>
        <v>0</v>
      </c>
      <c r="L248" s="7">
        <f t="shared" si="33"/>
        <v>0</v>
      </c>
      <c r="M248" s="4" t="s">
        <v>55</v>
      </c>
      <c r="N248" s="6" t="s">
        <v>849</v>
      </c>
      <c r="O248" s="6" t="s">
        <v>55</v>
      </c>
      <c r="P248" s="6" t="s">
        <v>55</v>
      </c>
      <c r="Q248" s="6" t="s">
        <v>577</v>
      </c>
      <c r="R248" s="6" t="s">
        <v>56</v>
      </c>
      <c r="S248" s="6" t="s">
        <v>56</v>
      </c>
      <c r="T248" s="6" t="s">
        <v>57</v>
      </c>
      <c r="AR248" s="6" t="s">
        <v>55</v>
      </c>
      <c r="AS248" s="6" t="s">
        <v>55</v>
      </c>
      <c r="AU248" s="6" t="s">
        <v>850</v>
      </c>
      <c r="AV248">
        <v>2034</v>
      </c>
    </row>
    <row r="249" spans="1:48" ht="30" customHeight="1" x14ac:dyDescent="0.3">
      <c r="A249" s="4" t="s">
        <v>851</v>
      </c>
      <c r="B249" s="4" t="s">
        <v>55</v>
      </c>
      <c r="C249" s="4" t="s">
        <v>55</v>
      </c>
      <c r="D249" s="5"/>
      <c r="E249" s="7">
        <f>TRUNC([1]단가대비표!O605,0)</f>
        <v>0</v>
      </c>
      <c r="F249" s="7">
        <f t="shared" si="30"/>
        <v>0</v>
      </c>
      <c r="G249" s="7">
        <f>TRUNC([1]단가대비표!P605,0)</f>
        <v>0</v>
      </c>
      <c r="H249" s="7">
        <f t="shared" si="31"/>
        <v>0</v>
      </c>
      <c r="I249" s="7">
        <f>TRUNC([1]단가대비표!V605,0)</f>
        <v>0</v>
      </c>
      <c r="J249" s="7">
        <f t="shared" si="32"/>
        <v>0</v>
      </c>
      <c r="K249" s="7">
        <f t="shared" si="33"/>
        <v>0</v>
      </c>
      <c r="L249" s="7">
        <f t="shared" si="33"/>
        <v>0</v>
      </c>
      <c r="M249" s="4" t="s">
        <v>55</v>
      </c>
      <c r="N249" s="6" t="s">
        <v>852</v>
      </c>
      <c r="O249" s="6" t="s">
        <v>55</v>
      </c>
      <c r="P249" s="6" t="s">
        <v>55</v>
      </c>
      <c r="Q249" s="6" t="s">
        <v>577</v>
      </c>
      <c r="R249" s="6" t="s">
        <v>56</v>
      </c>
      <c r="S249" s="6" t="s">
        <v>56</v>
      </c>
      <c r="T249" s="6" t="s">
        <v>57</v>
      </c>
      <c r="AR249" s="6" t="s">
        <v>55</v>
      </c>
      <c r="AS249" s="6" t="s">
        <v>55</v>
      </c>
      <c r="AU249" s="6" t="s">
        <v>853</v>
      </c>
      <c r="AV249">
        <v>2035</v>
      </c>
    </row>
    <row r="250" spans="1:48" ht="30" customHeight="1" x14ac:dyDescent="0.3">
      <c r="A250" s="4" t="s">
        <v>854</v>
      </c>
      <c r="B250" s="4" t="s">
        <v>855</v>
      </c>
      <c r="C250" s="4" t="s">
        <v>856</v>
      </c>
      <c r="D250" s="5">
        <v>447</v>
      </c>
      <c r="E250" s="7">
        <f>TRUNC([1]단가대비표!O606,0)</f>
        <v>18000</v>
      </c>
      <c r="F250" s="7">
        <f t="shared" si="30"/>
        <v>8046000</v>
      </c>
      <c r="G250" s="7">
        <f>TRUNC([1]단가대비표!P606,0)</f>
        <v>0</v>
      </c>
      <c r="H250" s="7">
        <f t="shared" si="31"/>
        <v>0</v>
      </c>
      <c r="I250" s="7">
        <f>TRUNC([1]단가대비표!V606,0)</f>
        <v>0</v>
      </c>
      <c r="J250" s="7">
        <f t="shared" si="32"/>
        <v>0</v>
      </c>
      <c r="K250" s="7">
        <f t="shared" si="33"/>
        <v>18000</v>
      </c>
      <c r="L250" s="7">
        <f t="shared" si="33"/>
        <v>8046000</v>
      </c>
      <c r="M250" s="4" t="s">
        <v>115</v>
      </c>
      <c r="N250" s="6" t="s">
        <v>857</v>
      </c>
      <c r="O250" s="6" t="s">
        <v>55</v>
      </c>
      <c r="P250" s="6" t="s">
        <v>55</v>
      </c>
      <c r="Q250" s="6" t="s">
        <v>577</v>
      </c>
      <c r="R250" s="6" t="s">
        <v>56</v>
      </c>
      <c r="S250" s="6" t="s">
        <v>56</v>
      </c>
      <c r="T250" s="6" t="s">
        <v>57</v>
      </c>
      <c r="AR250" s="6" t="s">
        <v>55</v>
      </c>
      <c r="AS250" s="6" t="s">
        <v>55</v>
      </c>
      <c r="AU250" s="6" t="s">
        <v>858</v>
      </c>
      <c r="AV250">
        <v>2036</v>
      </c>
    </row>
    <row r="251" spans="1:48" ht="30" customHeight="1" x14ac:dyDescent="0.3">
      <c r="A251" s="4" t="s">
        <v>859</v>
      </c>
      <c r="B251" s="4" t="s">
        <v>855</v>
      </c>
      <c r="C251" s="4" t="s">
        <v>856</v>
      </c>
      <c r="D251" s="5">
        <v>89</v>
      </c>
      <c r="E251" s="7">
        <f>TRUNC([1]단가대비표!O607,0)</f>
        <v>6000</v>
      </c>
      <c r="F251" s="7">
        <f t="shared" si="30"/>
        <v>534000</v>
      </c>
      <c r="G251" s="7">
        <f>TRUNC([1]단가대비표!P607,0)</f>
        <v>0</v>
      </c>
      <c r="H251" s="7">
        <f t="shared" si="31"/>
        <v>0</v>
      </c>
      <c r="I251" s="7">
        <f>TRUNC([1]단가대비표!V607,0)</f>
        <v>0</v>
      </c>
      <c r="J251" s="7">
        <f t="shared" si="32"/>
        <v>0</v>
      </c>
      <c r="K251" s="7">
        <f t="shared" si="33"/>
        <v>6000</v>
      </c>
      <c r="L251" s="7">
        <f t="shared" si="33"/>
        <v>534000</v>
      </c>
      <c r="M251" s="4" t="s">
        <v>115</v>
      </c>
      <c r="N251" s="6" t="s">
        <v>860</v>
      </c>
      <c r="O251" s="6" t="s">
        <v>55</v>
      </c>
      <c r="P251" s="6" t="s">
        <v>55</v>
      </c>
      <c r="Q251" s="6" t="s">
        <v>577</v>
      </c>
      <c r="R251" s="6" t="s">
        <v>56</v>
      </c>
      <c r="S251" s="6" t="s">
        <v>56</v>
      </c>
      <c r="T251" s="6" t="s">
        <v>57</v>
      </c>
      <c r="AR251" s="6" t="s">
        <v>55</v>
      </c>
      <c r="AS251" s="6" t="s">
        <v>55</v>
      </c>
      <c r="AU251" s="6" t="s">
        <v>861</v>
      </c>
      <c r="AV251">
        <v>2037</v>
      </c>
    </row>
    <row r="252" spans="1:48" ht="30" customHeight="1" x14ac:dyDescent="0.3">
      <c r="A252" s="4" t="s">
        <v>862</v>
      </c>
      <c r="B252" s="4" t="s">
        <v>863</v>
      </c>
      <c r="C252" s="4" t="s">
        <v>864</v>
      </c>
      <c r="D252" s="5">
        <v>18</v>
      </c>
      <c r="E252" s="7">
        <f>TRUNC([1]단가대비표!O608,0)</f>
        <v>30000</v>
      </c>
      <c r="F252" s="7">
        <f t="shared" si="30"/>
        <v>540000</v>
      </c>
      <c r="G252" s="7">
        <f>TRUNC([1]단가대비표!P608,0)</f>
        <v>0</v>
      </c>
      <c r="H252" s="7">
        <f t="shared" si="31"/>
        <v>0</v>
      </c>
      <c r="I252" s="7">
        <f>TRUNC([1]단가대비표!V608,0)</f>
        <v>0</v>
      </c>
      <c r="J252" s="7">
        <f t="shared" si="32"/>
        <v>0</v>
      </c>
      <c r="K252" s="7">
        <f t="shared" si="33"/>
        <v>30000</v>
      </c>
      <c r="L252" s="7">
        <f t="shared" si="33"/>
        <v>540000</v>
      </c>
      <c r="M252" s="4" t="s">
        <v>115</v>
      </c>
      <c r="N252" s="6" t="s">
        <v>865</v>
      </c>
      <c r="O252" s="6" t="s">
        <v>55</v>
      </c>
      <c r="P252" s="6" t="s">
        <v>55</v>
      </c>
      <c r="Q252" s="6" t="s">
        <v>577</v>
      </c>
      <c r="R252" s="6" t="s">
        <v>56</v>
      </c>
      <c r="S252" s="6" t="s">
        <v>56</v>
      </c>
      <c r="T252" s="6" t="s">
        <v>57</v>
      </c>
      <c r="AR252" s="6" t="s">
        <v>55</v>
      </c>
      <c r="AS252" s="6" t="s">
        <v>55</v>
      </c>
      <c r="AU252" s="6" t="s">
        <v>866</v>
      </c>
      <c r="AV252">
        <v>2038</v>
      </c>
    </row>
    <row r="253" spans="1:48" ht="30" customHeight="1" x14ac:dyDescent="0.3">
      <c r="A253" s="4" t="s">
        <v>867</v>
      </c>
      <c r="B253" s="4" t="s">
        <v>55</v>
      </c>
      <c r="C253" s="4" t="s">
        <v>269</v>
      </c>
      <c r="D253" s="5">
        <v>106</v>
      </c>
      <c r="E253" s="7">
        <f>TRUNC([1]단가대비표!O609,0)</f>
        <v>2000</v>
      </c>
      <c r="F253" s="7">
        <f t="shared" si="30"/>
        <v>212000</v>
      </c>
      <c r="G253" s="7">
        <f>TRUNC([1]단가대비표!P609,0)</f>
        <v>0</v>
      </c>
      <c r="H253" s="7">
        <f t="shared" si="31"/>
        <v>0</v>
      </c>
      <c r="I253" s="7">
        <f>TRUNC([1]단가대비표!V609,0)</f>
        <v>0</v>
      </c>
      <c r="J253" s="7">
        <f t="shared" si="32"/>
        <v>0</v>
      </c>
      <c r="K253" s="7">
        <f t="shared" si="33"/>
        <v>2000</v>
      </c>
      <c r="L253" s="7">
        <f t="shared" si="33"/>
        <v>212000</v>
      </c>
      <c r="M253" s="4" t="s">
        <v>115</v>
      </c>
      <c r="N253" s="6" t="s">
        <v>868</v>
      </c>
      <c r="O253" s="6" t="s">
        <v>55</v>
      </c>
      <c r="P253" s="6" t="s">
        <v>55</v>
      </c>
      <c r="Q253" s="6" t="s">
        <v>577</v>
      </c>
      <c r="R253" s="6" t="s">
        <v>56</v>
      </c>
      <c r="S253" s="6" t="s">
        <v>56</v>
      </c>
      <c r="T253" s="6" t="s">
        <v>57</v>
      </c>
      <c r="AR253" s="6" t="s">
        <v>55</v>
      </c>
      <c r="AS253" s="6" t="s">
        <v>55</v>
      </c>
      <c r="AU253" s="6" t="s">
        <v>869</v>
      </c>
      <c r="AV253">
        <v>2039</v>
      </c>
    </row>
    <row r="254" spans="1:48" ht="30" customHeight="1" x14ac:dyDescent="0.3">
      <c r="A254" s="4" t="s">
        <v>870</v>
      </c>
      <c r="B254" s="4" t="s">
        <v>871</v>
      </c>
      <c r="C254" s="4" t="s">
        <v>61</v>
      </c>
      <c r="D254" s="5">
        <v>404</v>
      </c>
      <c r="E254" s="7">
        <f>TRUNC([1]단가대비표!O610,0)</f>
        <v>4000</v>
      </c>
      <c r="F254" s="7">
        <f t="shared" si="30"/>
        <v>1616000</v>
      </c>
      <c r="G254" s="7">
        <f>TRUNC([1]단가대비표!P610,0)</f>
        <v>2500</v>
      </c>
      <c r="H254" s="7">
        <f t="shared" si="31"/>
        <v>1010000</v>
      </c>
      <c r="I254" s="7">
        <f>TRUNC([1]단가대비표!V610,0)</f>
        <v>0</v>
      </c>
      <c r="J254" s="7">
        <f t="shared" si="32"/>
        <v>0</v>
      </c>
      <c r="K254" s="7">
        <f t="shared" si="33"/>
        <v>6500</v>
      </c>
      <c r="L254" s="7">
        <f t="shared" si="33"/>
        <v>2626000</v>
      </c>
      <c r="M254" s="4" t="s">
        <v>115</v>
      </c>
      <c r="N254" s="6" t="s">
        <v>872</v>
      </c>
      <c r="O254" s="6" t="s">
        <v>55</v>
      </c>
      <c r="P254" s="6" t="s">
        <v>55</v>
      </c>
      <c r="Q254" s="6" t="s">
        <v>577</v>
      </c>
      <c r="R254" s="6" t="s">
        <v>56</v>
      </c>
      <c r="S254" s="6" t="s">
        <v>56</v>
      </c>
      <c r="T254" s="6" t="s">
        <v>57</v>
      </c>
      <c r="AR254" s="6" t="s">
        <v>55</v>
      </c>
      <c r="AS254" s="6" t="s">
        <v>55</v>
      </c>
      <c r="AU254" s="6" t="s">
        <v>873</v>
      </c>
      <c r="AV254">
        <v>2040</v>
      </c>
    </row>
    <row r="255" spans="1:48" ht="30" customHeight="1" x14ac:dyDescent="0.3">
      <c r="A255" s="4" t="s">
        <v>55</v>
      </c>
      <c r="B255" s="4" t="s">
        <v>55</v>
      </c>
      <c r="C255" s="4" t="s">
        <v>55</v>
      </c>
      <c r="D255" s="5"/>
      <c r="E255" s="7">
        <f>TRUNC([1]단가대비표!O611,0)</f>
        <v>0</v>
      </c>
      <c r="F255" s="7">
        <f t="shared" si="30"/>
        <v>0</v>
      </c>
      <c r="G255" s="7">
        <f>TRUNC([1]단가대비표!P611,0)</f>
        <v>0</v>
      </c>
      <c r="H255" s="7">
        <f t="shared" si="31"/>
        <v>0</v>
      </c>
      <c r="I255" s="7">
        <f>TRUNC([1]단가대비표!V611,0)</f>
        <v>0</v>
      </c>
      <c r="J255" s="7">
        <f t="shared" si="32"/>
        <v>0</v>
      </c>
      <c r="K255" s="7">
        <f t="shared" si="33"/>
        <v>0</v>
      </c>
      <c r="L255" s="7">
        <f t="shared" si="33"/>
        <v>0</v>
      </c>
      <c r="M255" s="4" t="s">
        <v>55</v>
      </c>
      <c r="N255" s="6" t="s">
        <v>874</v>
      </c>
      <c r="O255" s="6" t="s">
        <v>55</v>
      </c>
      <c r="P255" s="6" t="s">
        <v>55</v>
      </c>
      <c r="Q255" s="6" t="s">
        <v>577</v>
      </c>
      <c r="R255" s="6" t="s">
        <v>56</v>
      </c>
      <c r="S255" s="6" t="s">
        <v>56</v>
      </c>
      <c r="T255" s="6" t="s">
        <v>57</v>
      </c>
      <c r="AR255" s="6" t="s">
        <v>55</v>
      </c>
      <c r="AS255" s="6" t="s">
        <v>55</v>
      </c>
      <c r="AU255" s="6" t="s">
        <v>875</v>
      </c>
      <c r="AV255">
        <v>2041</v>
      </c>
    </row>
    <row r="256" spans="1:48" ht="30" customHeight="1" x14ac:dyDescent="0.3">
      <c r="A256" s="4" t="s">
        <v>876</v>
      </c>
      <c r="B256" s="4" t="s">
        <v>55</v>
      </c>
      <c r="C256" s="4" t="s">
        <v>55</v>
      </c>
      <c r="D256" s="5"/>
      <c r="E256" s="7">
        <f>TRUNC([1]단가대비표!O612,0)</f>
        <v>0</v>
      </c>
      <c r="F256" s="7">
        <f t="shared" si="30"/>
        <v>0</v>
      </c>
      <c r="G256" s="7">
        <f>TRUNC([1]단가대비표!P612,0)</f>
        <v>0</v>
      </c>
      <c r="H256" s="7">
        <f t="shared" si="31"/>
        <v>0</v>
      </c>
      <c r="I256" s="7">
        <f>TRUNC([1]단가대비표!V612,0)</f>
        <v>0</v>
      </c>
      <c r="J256" s="7">
        <f t="shared" si="32"/>
        <v>0</v>
      </c>
      <c r="K256" s="7">
        <f t="shared" si="33"/>
        <v>0</v>
      </c>
      <c r="L256" s="7">
        <f t="shared" si="33"/>
        <v>0</v>
      </c>
      <c r="M256" s="4" t="s">
        <v>55</v>
      </c>
      <c r="N256" s="6" t="s">
        <v>877</v>
      </c>
      <c r="O256" s="6" t="s">
        <v>55</v>
      </c>
      <c r="P256" s="6" t="s">
        <v>55</v>
      </c>
      <c r="Q256" s="6" t="s">
        <v>577</v>
      </c>
      <c r="R256" s="6" t="s">
        <v>56</v>
      </c>
      <c r="S256" s="6" t="s">
        <v>56</v>
      </c>
      <c r="T256" s="6" t="s">
        <v>57</v>
      </c>
      <c r="AR256" s="6" t="s">
        <v>55</v>
      </c>
      <c r="AS256" s="6" t="s">
        <v>55</v>
      </c>
      <c r="AU256" s="6" t="s">
        <v>878</v>
      </c>
      <c r="AV256">
        <v>2042</v>
      </c>
    </row>
    <row r="257" spans="1:48" ht="30" customHeight="1" x14ac:dyDescent="0.3">
      <c r="A257" s="4" t="s">
        <v>879</v>
      </c>
      <c r="B257" s="4" t="s">
        <v>880</v>
      </c>
      <c r="C257" s="4" t="s">
        <v>61</v>
      </c>
      <c r="D257" s="5">
        <v>620</v>
      </c>
      <c r="E257" s="7">
        <f>TRUNC([1]단가대비표!O613,0)</f>
        <v>10261</v>
      </c>
      <c r="F257" s="7">
        <f t="shared" si="30"/>
        <v>6361820</v>
      </c>
      <c r="G257" s="7">
        <f>TRUNC([1]단가대비표!P613,0)</f>
        <v>10543</v>
      </c>
      <c r="H257" s="7">
        <f t="shared" si="31"/>
        <v>6536660</v>
      </c>
      <c r="I257" s="7">
        <f>TRUNC([1]단가대비표!V613,0)</f>
        <v>0</v>
      </c>
      <c r="J257" s="7">
        <f t="shared" si="32"/>
        <v>0</v>
      </c>
      <c r="K257" s="7">
        <f t="shared" si="33"/>
        <v>20804</v>
      </c>
      <c r="L257" s="7">
        <f t="shared" si="33"/>
        <v>12898480</v>
      </c>
      <c r="M257" s="4" t="s">
        <v>115</v>
      </c>
      <c r="N257" s="6" t="s">
        <v>881</v>
      </c>
      <c r="O257" s="6" t="s">
        <v>55</v>
      </c>
      <c r="P257" s="6" t="s">
        <v>55</v>
      </c>
      <c r="Q257" s="6" t="s">
        <v>577</v>
      </c>
      <c r="R257" s="6" t="s">
        <v>56</v>
      </c>
      <c r="S257" s="6" t="s">
        <v>56</v>
      </c>
      <c r="T257" s="6" t="s">
        <v>57</v>
      </c>
      <c r="AR257" s="6" t="s">
        <v>55</v>
      </c>
      <c r="AS257" s="6" t="s">
        <v>55</v>
      </c>
      <c r="AU257" s="6" t="s">
        <v>882</v>
      </c>
      <c r="AV257">
        <v>2043</v>
      </c>
    </row>
    <row r="258" spans="1:48" ht="30" customHeight="1" x14ac:dyDescent="0.3">
      <c r="A258" s="4" t="s">
        <v>883</v>
      </c>
      <c r="B258" s="4" t="s">
        <v>884</v>
      </c>
      <c r="C258" s="4" t="s">
        <v>61</v>
      </c>
      <c r="D258" s="5">
        <v>620</v>
      </c>
      <c r="E258" s="7">
        <f>TRUNC([1]단가대비표!O614,0)</f>
        <v>51500</v>
      </c>
      <c r="F258" s="7">
        <f t="shared" si="30"/>
        <v>31930000</v>
      </c>
      <c r="G258" s="7">
        <f>TRUNC([1]단가대비표!P614,0)</f>
        <v>12731</v>
      </c>
      <c r="H258" s="7">
        <f t="shared" si="31"/>
        <v>7893220</v>
      </c>
      <c r="I258" s="7">
        <f>TRUNC([1]단가대비표!V614,0)</f>
        <v>0</v>
      </c>
      <c r="J258" s="7">
        <f t="shared" si="32"/>
        <v>0</v>
      </c>
      <c r="K258" s="7">
        <f t="shared" si="33"/>
        <v>64231</v>
      </c>
      <c r="L258" s="7">
        <f t="shared" si="33"/>
        <v>39823220</v>
      </c>
      <c r="M258" s="4" t="s">
        <v>115</v>
      </c>
      <c r="N258" s="6" t="s">
        <v>885</v>
      </c>
      <c r="O258" s="6" t="s">
        <v>55</v>
      </c>
      <c r="P258" s="6" t="s">
        <v>55</v>
      </c>
      <c r="Q258" s="6" t="s">
        <v>577</v>
      </c>
      <c r="R258" s="6" t="s">
        <v>56</v>
      </c>
      <c r="S258" s="6" t="s">
        <v>56</v>
      </c>
      <c r="T258" s="6" t="s">
        <v>57</v>
      </c>
      <c r="AR258" s="6" t="s">
        <v>55</v>
      </c>
      <c r="AS258" s="6" t="s">
        <v>55</v>
      </c>
      <c r="AU258" s="6" t="s">
        <v>886</v>
      </c>
      <c r="AV258">
        <v>2044</v>
      </c>
    </row>
    <row r="259" spans="1:48" ht="30" customHeight="1" x14ac:dyDescent="0.3">
      <c r="A259" s="4" t="s">
        <v>887</v>
      </c>
      <c r="B259" s="4" t="s">
        <v>888</v>
      </c>
      <c r="C259" s="4" t="s">
        <v>269</v>
      </c>
      <c r="D259" s="5">
        <v>148</v>
      </c>
      <c r="E259" s="7">
        <f>TRUNC([1]단가대비표!O615,0)</f>
        <v>2169</v>
      </c>
      <c r="F259" s="7">
        <f t="shared" si="30"/>
        <v>321012</v>
      </c>
      <c r="G259" s="7">
        <f>TRUNC([1]단가대비표!P615,0)</f>
        <v>7841</v>
      </c>
      <c r="H259" s="7">
        <f t="shared" si="31"/>
        <v>1160468</v>
      </c>
      <c r="I259" s="7">
        <f>TRUNC([1]단가대비표!V615,0)</f>
        <v>0</v>
      </c>
      <c r="J259" s="7">
        <f t="shared" si="32"/>
        <v>0</v>
      </c>
      <c r="K259" s="7">
        <f t="shared" si="33"/>
        <v>10010</v>
      </c>
      <c r="L259" s="7">
        <f t="shared" si="33"/>
        <v>1481480</v>
      </c>
      <c r="M259" s="4" t="s">
        <v>115</v>
      </c>
      <c r="N259" s="6" t="s">
        <v>889</v>
      </c>
      <c r="O259" s="6" t="s">
        <v>55</v>
      </c>
      <c r="P259" s="6" t="s">
        <v>55</v>
      </c>
      <c r="Q259" s="6" t="s">
        <v>577</v>
      </c>
      <c r="R259" s="6" t="s">
        <v>56</v>
      </c>
      <c r="S259" s="6" t="s">
        <v>56</v>
      </c>
      <c r="T259" s="6" t="s">
        <v>57</v>
      </c>
      <c r="AR259" s="6" t="s">
        <v>55</v>
      </c>
      <c r="AS259" s="6" t="s">
        <v>55</v>
      </c>
      <c r="AU259" s="6" t="s">
        <v>890</v>
      </c>
      <c r="AV259">
        <v>2045</v>
      </c>
    </row>
    <row r="260" spans="1:48" ht="30" customHeight="1" x14ac:dyDescent="0.3">
      <c r="A260" s="4" t="s">
        <v>55</v>
      </c>
      <c r="B260" s="4" t="s">
        <v>55</v>
      </c>
      <c r="C260" s="4" t="s">
        <v>55</v>
      </c>
      <c r="D260" s="5"/>
      <c r="E260" s="7">
        <f>TRUNC([1]단가대비표!O737,0)</f>
        <v>0</v>
      </c>
      <c r="F260" s="7">
        <f t="shared" si="30"/>
        <v>0</v>
      </c>
      <c r="G260" s="7">
        <f>TRUNC([1]단가대비표!P737,0)</f>
        <v>0</v>
      </c>
      <c r="H260" s="7">
        <f t="shared" si="31"/>
        <v>0</v>
      </c>
      <c r="I260" s="7">
        <f>TRUNC([1]단가대비표!V737,0)</f>
        <v>0</v>
      </c>
      <c r="J260" s="7">
        <f t="shared" si="32"/>
        <v>0</v>
      </c>
      <c r="K260" s="7">
        <f t="shared" si="33"/>
        <v>0</v>
      </c>
      <c r="L260" s="7">
        <f t="shared" si="33"/>
        <v>0</v>
      </c>
      <c r="M260" s="4" t="s">
        <v>55</v>
      </c>
      <c r="N260" s="6" t="s">
        <v>891</v>
      </c>
      <c r="O260" s="6" t="s">
        <v>55</v>
      </c>
      <c r="P260" s="6" t="s">
        <v>55</v>
      </c>
      <c r="Q260" s="6" t="s">
        <v>577</v>
      </c>
      <c r="R260" s="6" t="s">
        <v>56</v>
      </c>
      <c r="S260" s="6" t="s">
        <v>56</v>
      </c>
      <c r="T260" s="6" t="s">
        <v>57</v>
      </c>
      <c r="AR260" s="6" t="s">
        <v>55</v>
      </c>
      <c r="AS260" s="6" t="s">
        <v>55</v>
      </c>
      <c r="AU260" s="6" t="s">
        <v>892</v>
      </c>
      <c r="AV260">
        <v>2399</v>
      </c>
    </row>
    <row r="261" spans="1:48" ht="30" customHeight="1" x14ac:dyDescent="0.3">
      <c r="A261" s="4" t="s">
        <v>893</v>
      </c>
      <c r="B261" s="4" t="s">
        <v>55</v>
      </c>
      <c r="C261" s="4" t="s">
        <v>55</v>
      </c>
      <c r="D261" s="5"/>
      <c r="E261" s="7">
        <f>TRUNC([1]단가대비표!O736,0)</f>
        <v>0</v>
      </c>
      <c r="F261" s="7">
        <f t="shared" si="30"/>
        <v>0</v>
      </c>
      <c r="G261" s="7">
        <f>TRUNC([1]단가대비표!P736,0)</f>
        <v>0</v>
      </c>
      <c r="H261" s="7">
        <f t="shared" si="31"/>
        <v>0</v>
      </c>
      <c r="I261" s="7">
        <f>TRUNC([1]단가대비표!V736,0)</f>
        <v>0</v>
      </c>
      <c r="J261" s="7">
        <f t="shared" si="32"/>
        <v>0</v>
      </c>
      <c r="K261" s="7">
        <f t="shared" si="33"/>
        <v>0</v>
      </c>
      <c r="L261" s="7">
        <f t="shared" si="33"/>
        <v>0</v>
      </c>
      <c r="M261" s="4" t="s">
        <v>55</v>
      </c>
      <c r="N261" s="6" t="s">
        <v>894</v>
      </c>
      <c r="O261" s="6" t="s">
        <v>55</v>
      </c>
      <c r="P261" s="6" t="s">
        <v>55</v>
      </c>
      <c r="Q261" s="6" t="s">
        <v>577</v>
      </c>
      <c r="R261" s="6" t="s">
        <v>56</v>
      </c>
      <c r="S261" s="6" t="s">
        <v>56</v>
      </c>
      <c r="T261" s="6" t="s">
        <v>57</v>
      </c>
      <c r="AR261" s="6" t="s">
        <v>55</v>
      </c>
      <c r="AS261" s="6" t="s">
        <v>55</v>
      </c>
      <c r="AU261" s="6" t="s">
        <v>895</v>
      </c>
      <c r="AV261">
        <v>2398</v>
      </c>
    </row>
    <row r="262" spans="1:48" ht="30" customHeight="1" x14ac:dyDescent="0.3">
      <c r="A262" s="4" t="s">
        <v>896</v>
      </c>
      <c r="B262" s="4" t="s">
        <v>897</v>
      </c>
      <c r="C262" s="4" t="s">
        <v>61</v>
      </c>
      <c r="D262" s="5">
        <v>1676</v>
      </c>
      <c r="E262" s="7">
        <f>TRUNC([1]일위대가목록!E80,0)</f>
        <v>7533</v>
      </c>
      <c r="F262" s="7">
        <f t="shared" si="30"/>
        <v>12625308</v>
      </c>
      <c r="G262" s="7">
        <f>TRUNC([1]일위대가목록!F80,0)</f>
        <v>13496</v>
      </c>
      <c r="H262" s="7">
        <f t="shared" si="31"/>
        <v>22619296</v>
      </c>
      <c r="I262" s="7">
        <f>TRUNC([1]일위대가목록!G80,0)</f>
        <v>0</v>
      </c>
      <c r="J262" s="7">
        <f t="shared" si="32"/>
        <v>0</v>
      </c>
      <c r="K262" s="7">
        <f t="shared" si="33"/>
        <v>21029</v>
      </c>
      <c r="L262" s="7">
        <f t="shared" si="33"/>
        <v>35244604</v>
      </c>
      <c r="M262" s="4" t="s">
        <v>898</v>
      </c>
      <c r="N262" s="6" t="s">
        <v>899</v>
      </c>
      <c r="O262" s="6" t="s">
        <v>55</v>
      </c>
      <c r="P262" s="6" t="s">
        <v>55</v>
      </c>
      <c r="Q262" s="6" t="s">
        <v>577</v>
      </c>
      <c r="R262" s="6" t="s">
        <v>57</v>
      </c>
      <c r="S262" s="6" t="s">
        <v>56</v>
      </c>
      <c r="T262" s="6" t="s">
        <v>56</v>
      </c>
      <c r="AR262" s="6" t="s">
        <v>55</v>
      </c>
      <c r="AS262" s="6" t="s">
        <v>55</v>
      </c>
      <c r="AU262" s="6" t="s">
        <v>900</v>
      </c>
      <c r="AV262">
        <v>3314</v>
      </c>
    </row>
    <row r="263" spans="1:48" ht="30" customHeight="1" x14ac:dyDescent="0.3">
      <c r="A263" s="4" t="s">
        <v>896</v>
      </c>
      <c r="B263" s="4" t="s">
        <v>901</v>
      </c>
      <c r="C263" s="4" t="s">
        <v>61</v>
      </c>
      <c r="D263" s="5">
        <v>344</v>
      </c>
      <c r="E263" s="7">
        <f>TRUNC([1]일위대가목록!E81,0)</f>
        <v>22442</v>
      </c>
      <c r="F263" s="7">
        <f t="shared" si="30"/>
        <v>7720048</v>
      </c>
      <c r="G263" s="7">
        <f>TRUNC([1]일위대가목록!F81,0)</f>
        <v>9040</v>
      </c>
      <c r="H263" s="7">
        <f t="shared" si="31"/>
        <v>3109760</v>
      </c>
      <c r="I263" s="7">
        <f>TRUNC([1]일위대가목록!G81,0)</f>
        <v>0</v>
      </c>
      <c r="J263" s="7">
        <f t="shared" si="32"/>
        <v>0</v>
      </c>
      <c r="K263" s="7">
        <f t="shared" si="33"/>
        <v>31482</v>
      </c>
      <c r="L263" s="7">
        <f t="shared" si="33"/>
        <v>10829808</v>
      </c>
      <c r="M263" s="4" t="s">
        <v>902</v>
      </c>
      <c r="N263" s="6" t="s">
        <v>903</v>
      </c>
      <c r="O263" s="6" t="s">
        <v>55</v>
      </c>
      <c r="P263" s="6" t="s">
        <v>55</v>
      </c>
      <c r="Q263" s="6" t="s">
        <v>577</v>
      </c>
      <c r="R263" s="6" t="s">
        <v>57</v>
      </c>
      <c r="S263" s="6" t="s">
        <v>56</v>
      </c>
      <c r="T263" s="6" t="s">
        <v>56</v>
      </c>
      <c r="AR263" s="6" t="s">
        <v>55</v>
      </c>
      <c r="AS263" s="6" t="s">
        <v>55</v>
      </c>
      <c r="AU263" s="6" t="s">
        <v>904</v>
      </c>
      <c r="AV263">
        <v>3315</v>
      </c>
    </row>
    <row r="264" spans="1:48" ht="30" customHeight="1" x14ac:dyDescent="0.3">
      <c r="A264" s="4" t="s">
        <v>55</v>
      </c>
      <c r="B264" s="4" t="s">
        <v>55</v>
      </c>
      <c r="C264" s="4" t="s">
        <v>55</v>
      </c>
      <c r="D264" s="5"/>
      <c r="E264" s="7">
        <f>TRUNC([1]단가대비표!O726,0)</f>
        <v>0</v>
      </c>
      <c r="F264" s="7">
        <f t="shared" si="30"/>
        <v>0</v>
      </c>
      <c r="G264" s="7">
        <f>TRUNC([1]단가대비표!P726,0)</f>
        <v>0</v>
      </c>
      <c r="H264" s="7">
        <f t="shared" si="31"/>
        <v>0</v>
      </c>
      <c r="I264" s="7">
        <f>TRUNC([1]단가대비표!V726,0)</f>
        <v>0</v>
      </c>
      <c r="J264" s="7">
        <f t="shared" si="32"/>
        <v>0</v>
      </c>
      <c r="K264" s="7">
        <f t="shared" si="33"/>
        <v>0</v>
      </c>
      <c r="L264" s="7">
        <f t="shared" si="33"/>
        <v>0</v>
      </c>
      <c r="M264" s="4" t="s">
        <v>55</v>
      </c>
      <c r="N264" s="6" t="s">
        <v>905</v>
      </c>
      <c r="O264" s="6" t="s">
        <v>55</v>
      </c>
      <c r="P264" s="6" t="s">
        <v>55</v>
      </c>
      <c r="Q264" s="6" t="s">
        <v>577</v>
      </c>
      <c r="R264" s="6" t="s">
        <v>56</v>
      </c>
      <c r="S264" s="6" t="s">
        <v>56</v>
      </c>
      <c r="T264" s="6" t="s">
        <v>57</v>
      </c>
      <c r="AR264" s="6" t="s">
        <v>55</v>
      </c>
      <c r="AS264" s="6" t="s">
        <v>55</v>
      </c>
      <c r="AU264" s="6" t="s">
        <v>906</v>
      </c>
      <c r="AV264">
        <v>2378</v>
      </c>
    </row>
    <row r="265" spans="1:48" ht="30" customHeight="1" x14ac:dyDescent="0.3">
      <c r="A265" s="4" t="s">
        <v>907</v>
      </c>
      <c r="B265" s="4" t="s">
        <v>55</v>
      </c>
      <c r="C265" s="4" t="s">
        <v>55</v>
      </c>
      <c r="D265" s="5"/>
      <c r="E265" s="7">
        <f>TRUNC([1]단가대비표!O727,0)</f>
        <v>0</v>
      </c>
      <c r="F265" s="7">
        <f t="shared" si="30"/>
        <v>0</v>
      </c>
      <c r="G265" s="7">
        <f>TRUNC([1]단가대비표!P727,0)</f>
        <v>0</v>
      </c>
      <c r="H265" s="7">
        <f t="shared" si="31"/>
        <v>0</v>
      </c>
      <c r="I265" s="7">
        <f>TRUNC([1]단가대비표!V727,0)</f>
        <v>0</v>
      </c>
      <c r="J265" s="7">
        <f t="shared" si="32"/>
        <v>0</v>
      </c>
      <c r="K265" s="7">
        <f t="shared" si="33"/>
        <v>0</v>
      </c>
      <c r="L265" s="7">
        <f t="shared" si="33"/>
        <v>0</v>
      </c>
      <c r="M265" s="4" t="s">
        <v>55</v>
      </c>
      <c r="N265" s="6" t="s">
        <v>908</v>
      </c>
      <c r="O265" s="6" t="s">
        <v>55</v>
      </c>
      <c r="P265" s="6" t="s">
        <v>55</v>
      </c>
      <c r="Q265" s="6" t="s">
        <v>577</v>
      </c>
      <c r="R265" s="6" t="s">
        <v>56</v>
      </c>
      <c r="S265" s="6" t="s">
        <v>56</v>
      </c>
      <c r="T265" s="6" t="s">
        <v>57</v>
      </c>
      <c r="AR265" s="6" t="s">
        <v>55</v>
      </c>
      <c r="AS265" s="6" t="s">
        <v>55</v>
      </c>
      <c r="AU265" s="6" t="s">
        <v>909</v>
      </c>
      <c r="AV265">
        <v>2379</v>
      </c>
    </row>
    <row r="266" spans="1:48" ht="30" customHeight="1" x14ac:dyDescent="0.3">
      <c r="A266" s="4" t="s">
        <v>910</v>
      </c>
      <c r="B266" s="4" t="s">
        <v>911</v>
      </c>
      <c r="C266" s="4" t="s">
        <v>61</v>
      </c>
      <c r="D266" s="5">
        <v>120</v>
      </c>
      <c r="E266" s="7">
        <f>TRUNC([1]단가대비표!O728,0)</f>
        <v>35121</v>
      </c>
      <c r="F266" s="7">
        <f t="shared" si="30"/>
        <v>4214520</v>
      </c>
      <c r="G266" s="7">
        <f>TRUNC([1]단가대비표!P728,0)</f>
        <v>30354</v>
      </c>
      <c r="H266" s="7">
        <f t="shared" si="31"/>
        <v>3642480</v>
      </c>
      <c r="I266" s="7">
        <f>TRUNC([1]단가대비표!V728,0)</f>
        <v>0</v>
      </c>
      <c r="J266" s="7">
        <f t="shared" si="32"/>
        <v>0</v>
      </c>
      <c r="K266" s="7">
        <f t="shared" si="33"/>
        <v>65475</v>
      </c>
      <c r="L266" s="7">
        <f t="shared" si="33"/>
        <v>7857000</v>
      </c>
      <c r="M266" s="4" t="s">
        <v>115</v>
      </c>
      <c r="N266" s="6" t="s">
        <v>912</v>
      </c>
      <c r="O266" s="6" t="s">
        <v>55</v>
      </c>
      <c r="P266" s="6" t="s">
        <v>55</v>
      </c>
      <c r="Q266" s="6" t="s">
        <v>577</v>
      </c>
      <c r="R266" s="6" t="s">
        <v>56</v>
      </c>
      <c r="S266" s="6" t="s">
        <v>56</v>
      </c>
      <c r="T266" s="6" t="s">
        <v>57</v>
      </c>
      <c r="AR266" s="6" t="s">
        <v>55</v>
      </c>
      <c r="AS266" s="6" t="s">
        <v>55</v>
      </c>
      <c r="AU266" s="6" t="s">
        <v>913</v>
      </c>
      <c r="AV266">
        <v>2381</v>
      </c>
    </row>
    <row r="267" spans="1:48" ht="30" customHeight="1" x14ac:dyDescent="0.3">
      <c r="A267" s="4" t="s">
        <v>914</v>
      </c>
      <c r="B267" s="4" t="s">
        <v>915</v>
      </c>
      <c r="C267" s="4" t="s">
        <v>61</v>
      </c>
      <c r="D267" s="5">
        <v>826</v>
      </c>
      <c r="E267" s="7">
        <f>TRUNC([1]단가대비표!O729,0)</f>
        <v>50248</v>
      </c>
      <c r="F267" s="7">
        <f t="shared" si="30"/>
        <v>41504848</v>
      </c>
      <c r="G267" s="7">
        <f>TRUNC([1]단가대비표!P729,0)</f>
        <v>33325</v>
      </c>
      <c r="H267" s="7">
        <f t="shared" si="31"/>
        <v>27526450</v>
      </c>
      <c r="I267" s="7">
        <f>TRUNC([1]단가대비표!V729,0)</f>
        <v>0</v>
      </c>
      <c r="J267" s="7">
        <f t="shared" si="32"/>
        <v>0</v>
      </c>
      <c r="K267" s="7">
        <f t="shared" si="33"/>
        <v>83573</v>
      </c>
      <c r="L267" s="7">
        <f t="shared" si="33"/>
        <v>69031298</v>
      </c>
      <c r="M267" s="4" t="s">
        <v>115</v>
      </c>
      <c r="N267" s="6" t="s">
        <v>916</v>
      </c>
      <c r="O267" s="6" t="s">
        <v>55</v>
      </c>
      <c r="P267" s="6" t="s">
        <v>55</v>
      </c>
      <c r="Q267" s="6" t="s">
        <v>577</v>
      </c>
      <c r="R267" s="6" t="s">
        <v>56</v>
      </c>
      <c r="S267" s="6" t="s">
        <v>56</v>
      </c>
      <c r="T267" s="6" t="s">
        <v>57</v>
      </c>
      <c r="AR267" s="6" t="s">
        <v>55</v>
      </c>
      <c r="AS267" s="6" t="s">
        <v>55</v>
      </c>
      <c r="AU267" s="6" t="s">
        <v>917</v>
      </c>
      <c r="AV267">
        <v>2384</v>
      </c>
    </row>
    <row r="268" spans="1:48" ht="30" customHeight="1" x14ac:dyDescent="0.3">
      <c r="A268" s="4" t="s">
        <v>918</v>
      </c>
      <c r="B268" s="4" t="s">
        <v>919</v>
      </c>
      <c r="C268" s="4" t="s">
        <v>61</v>
      </c>
      <c r="D268" s="5">
        <v>629</v>
      </c>
      <c r="E268" s="7">
        <f>TRUNC([1]단가대비표!O730,0)</f>
        <v>32927</v>
      </c>
      <c r="F268" s="7">
        <f t="shared" si="30"/>
        <v>20711083</v>
      </c>
      <c r="G268" s="7">
        <f>TRUNC([1]단가대비표!P730,0)</f>
        <v>33325</v>
      </c>
      <c r="H268" s="7">
        <f t="shared" si="31"/>
        <v>20961425</v>
      </c>
      <c r="I268" s="7">
        <f>TRUNC([1]단가대비표!V730,0)</f>
        <v>0</v>
      </c>
      <c r="J268" s="7">
        <f t="shared" si="32"/>
        <v>0</v>
      </c>
      <c r="K268" s="7">
        <f t="shared" si="33"/>
        <v>66252</v>
      </c>
      <c r="L268" s="7">
        <f t="shared" si="33"/>
        <v>41672508</v>
      </c>
      <c r="M268" s="4" t="s">
        <v>115</v>
      </c>
      <c r="N268" s="6" t="s">
        <v>920</v>
      </c>
      <c r="O268" s="6" t="s">
        <v>55</v>
      </c>
      <c r="P268" s="6" t="s">
        <v>55</v>
      </c>
      <c r="Q268" s="6" t="s">
        <v>577</v>
      </c>
      <c r="R268" s="6" t="s">
        <v>56</v>
      </c>
      <c r="S268" s="6" t="s">
        <v>56</v>
      </c>
      <c r="T268" s="6" t="s">
        <v>57</v>
      </c>
      <c r="AR268" s="6" t="s">
        <v>55</v>
      </c>
      <c r="AS268" s="6" t="s">
        <v>55</v>
      </c>
      <c r="AU268" s="6" t="s">
        <v>921</v>
      </c>
      <c r="AV268">
        <v>2385</v>
      </c>
    </row>
    <row r="269" spans="1:48" ht="30" customHeight="1" x14ac:dyDescent="0.3">
      <c r="A269" s="4" t="s">
        <v>922</v>
      </c>
      <c r="B269" s="4" t="s">
        <v>923</v>
      </c>
      <c r="C269" s="4" t="s">
        <v>61</v>
      </c>
      <c r="D269" s="5">
        <v>189</v>
      </c>
      <c r="E269" s="7">
        <f>TRUNC([1]단가대비표!O731,0)</f>
        <v>32927</v>
      </c>
      <c r="F269" s="7">
        <f t="shared" si="30"/>
        <v>6223203</v>
      </c>
      <c r="G269" s="7">
        <f>TRUNC([1]단가대비표!P731,0)</f>
        <v>33325</v>
      </c>
      <c r="H269" s="7">
        <f t="shared" si="31"/>
        <v>6298425</v>
      </c>
      <c r="I269" s="7">
        <f>TRUNC([1]단가대비표!V731,0)</f>
        <v>0</v>
      </c>
      <c r="J269" s="7">
        <f t="shared" si="32"/>
        <v>0</v>
      </c>
      <c r="K269" s="7">
        <f t="shared" ref="K269:L278" si="34">TRUNC(E269+G269+I269, 0)</f>
        <v>66252</v>
      </c>
      <c r="L269" s="7">
        <f t="shared" si="34"/>
        <v>12521628</v>
      </c>
      <c r="M269" s="4" t="s">
        <v>115</v>
      </c>
      <c r="N269" s="6" t="s">
        <v>924</v>
      </c>
      <c r="O269" s="6" t="s">
        <v>55</v>
      </c>
      <c r="P269" s="6" t="s">
        <v>55</v>
      </c>
      <c r="Q269" s="6" t="s">
        <v>577</v>
      </c>
      <c r="R269" s="6" t="s">
        <v>56</v>
      </c>
      <c r="S269" s="6" t="s">
        <v>56</v>
      </c>
      <c r="T269" s="6" t="s">
        <v>57</v>
      </c>
      <c r="AR269" s="6" t="s">
        <v>55</v>
      </c>
      <c r="AS269" s="6" t="s">
        <v>55</v>
      </c>
      <c r="AU269" s="6" t="s">
        <v>925</v>
      </c>
      <c r="AV269">
        <v>2386</v>
      </c>
    </row>
    <row r="270" spans="1:48" ht="30" customHeight="1" x14ac:dyDescent="0.3">
      <c r="A270" s="4" t="s">
        <v>926</v>
      </c>
      <c r="B270" s="4" t="s">
        <v>927</v>
      </c>
      <c r="C270" s="4" t="s">
        <v>61</v>
      </c>
      <c r="D270" s="5">
        <v>59</v>
      </c>
      <c r="E270" s="7">
        <f>TRUNC([1]단가대비표!O732,0)</f>
        <v>34984</v>
      </c>
      <c r="F270" s="7">
        <f t="shared" si="30"/>
        <v>2064056</v>
      </c>
      <c r="G270" s="7">
        <f>TRUNC([1]단가대비표!P732,0)</f>
        <v>33325</v>
      </c>
      <c r="H270" s="7">
        <f t="shared" si="31"/>
        <v>1966175</v>
      </c>
      <c r="I270" s="7">
        <f>TRUNC([1]단가대비표!V732,0)</f>
        <v>0</v>
      </c>
      <c r="J270" s="7">
        <f t="shared" si="32"/>
        <v>0</v>
      </c>
      <c r="K270" s="7">
        <f t="shared" si="34"/>
        <v>68309</v>
      </c>
      <c r="L270" s="7">
        <f t="shared" si="34"/>
        <v>4030231</v>
      </c>
      <c r="M270" s="4" t="s">
        <v>115</v>
      </c>
      <c r="N270" s="6" t="s">
        <v>928</v>
      </c>
      <c r="O270" s="6" t="s">
        <v>55</v>
      </c>
      <c r="P270" s="6" t="s">
        <v>55</v>
      </c>
      <c r="Q270" s="6" t="s">
        <v>577</v>
      </c>
      <c r="R270" s="6" t="s">
        <v>56</v>
      </c>
      <c r="S270" s="6" t="s">
        <v>56</v>
      </c>
      <c r="T270" s="6" t="s">
        <v>57</v>
      </c>
      <c r="AR270" s="6" t="s">
        <v>55</v>
      </c>
      <c r="AS270" s="6" t="s">
        <v>55</v>
      </c>
      <c r="AU270" s="6" t="s">
        <v>929</v>
      </c>
      <c r="AV270">
        <v>2387</v>
      </c>
    </row>
    <row r="271" spans="1:48" ht="30" customHeight="1" x14ac:dyDescent="0.3">
      <c r="A271" s="4" t="s">
        <v>930</v>
      </c>
      <c r="B271" s="4" t="s">
        <v>931</v>
      </c>
      <c r="C271" s="4" t="s">
        <v>61</v>
      </c>
      <c r="D271" s="5">
        <v>711</v>
      </c>
      <c r="E271" s="7">
        <f>TRUNC([1]단가대비표!O733,0)</f>
        <v>25142</v>
      </c>
      <c r="F271" s="7">
        <f t="shared" si="30"/>
        <v>17875962</v>
      </c>
      <c r="G271" s="7">
        <f>TRUNC([1]단가대비표!P733,0)</f>
        <v>30354</v>
      </c>
      <c r="H271" s="7">
        <f t="shared" si="31"/>
        <v>21581694</v>
      </c>
      <c r="I271" s="7">
        <f>TRUNC([1]단가대비표!V733,0)</f>
        <v>0</v>
      </c>
      <c r="J271" s="7">
        <f t="shared" si="32"/>
        <v>0</v>
      </c>
      <c r="K271" s="7">
        <f t="shared" si="34"/>
        <v>55496</v>
      </c>
      <c r="L271" s="7">
        <f t="shared" si="34"/>
        <v>39457656</v>
      </c>
      <c r="M271" s="4" t="s">
        <v>115</v>
      </c>
      <c r="N271" s="6" t="s">
        <v>932</v>
      </c>
      <c r="O271" s="6" t="s">
        <v>55</v>
      </c>
      <c r="P271" s="6" t="s">
        <v>55</v>
      </c>
      <c r="Q271" s="6" t="s">
        <v>577</v>
      </c>
      <c r="R271" s="6" t="s">
        <v>56</v>
      </c>
      <c r="S271" s="6" t="s">
        <v>56</v>
      </c>
      <c r="T271" s="6" t="s">
        <v>57</v>
      </c>
      <c r="AR271" s="6" t="s">
        <v>55</v>
      </c>
      <c r="AS271" s="6" t="s">
        <v>55</v>
      </c>
      <c r="AU271" s="6" t="s">
        <v>933</v>
      </c>
      <c r="AV271">
        <v>2389</v>
      </c>
    </row>
    <row r="272" spans="1:48" ht="30" customHeight="1" x14ac:dyDescent="0.3">
      <c r="A272" s="4" t="s">
        <v>934</v>
      </c>
      <c r="B272" s="4" t="s">
        <v>935</v>
      </c>
      <c r="C272" s="4" t="s">
        <v>61</v>
      </c>
      <c r="D272" s="5">
        <v>30</v>
      </c>
      <c r="E272" s="7">
        <f>TRUNC([1]단가대비표!O734,0)</f>
        <v>33596</v>
      </c>
      <c r="F272" s="7">
        <f t="shared" si="30"/>
        <v>1007880</v>
      </c>
      <c r="G272" s="7">
        <f>TRUNC([1]단가대비표!P734,0)</f>
        <v>33325</v>
      </c>
      <c r="H272" s="7">
        <f t="shared" si="31"/>
        <v>999750</v>
      </c>
      <c r="I272" s="7">
        <f>TRUNC([1]단가대비표!V734,0)</f>
        <v>0</v>
      </c>
      <c r="J272" s="7">
        <f t="shared" si="32"/>
        <v>0</v>
      </c>
      <c r="K272" s="7">
        <f t="shared" si="34"/>
        <v>66921</v>
      </c>
      <c r="L272" s="7">
        <f t="shared" si="34"/>
        <v>2007630</v>
      </c>
      <c r="M272" s="4" t="s">
        <v>115</v>
      </c>
      <c r="N272" s="6" t="s">
        <v>936</v>
      </c>
      <c r="O272" s="6" t="s">
        <v>55</v>
      </c>
      <c r="P272" s="6" t="s">
        <v>55</v>
      </c>
      <c r="Q272" s="6" t="s">
        <v>577</v>
      </c>
      <c r="R272" s="6" t="s">
        <v>56</v>
      </c>
      <c r="S272" s="6" t="s">
        <v>56</v>
      </c>
      <c r="T272" s="6" t="s">
        <v>57</v>
      </c>
      <c r="AR272" s="6" t="s">
        <v>55</v>
      </c>
      <c r="AS272" s="6" t="s">
        <v>55</v>
      </c>
      <c r="AU272" s="6" t="s">
        <v>937</v>
      </c>
      <c r="AV272">
        <v>2390</v>
      </c>
    </row>
    <row r="273" spans="1:48" ht="30" customHeight="1" x14ac:dyDescent="0.3">
      <c r="A273" s="4" t="s">
        <v>938</v>
      </c>
      <c r="B273" s="4" t="s">
        <v>939</v>
      </c>
      <c r="C273" s="4" t="s">
        <v>61</v>
      </c>
      <c r="D273" s="5">
        <v>109</v>
      </c>
      <c r="E273" s="7">
        <f>TRUNC([1]단가대비표!O735,0)</f>
        <v>17485</v>
      </c>
      <c r="F273" s="7">
        <f t="shared" si="30"/>
        <v>1905865</v>
      </c>
      <c r="G273" s="7">
        <f>TRUNC([1]단가대비표!P735,0)</f>
        <v>19361</v>
      </c>
      <c r="H273" s="7">
        <f t="shared" si="31"/>
        <v>2110349</v>
      </c>
      <c r="I273" s="7">
        <f>TRUNC([1]단가대비표!V735,0)</f>
        <v>0</v>
      </c>
      <c r="J273" s="7">
        <f t="shared" si="32"/>
        <v>0</v>
      </c>
      <c r="K273" s="7">
        <f t="shared" si="34"/>
        <v>36846</v>
      </c>
      <c r="L273" s="7">
        <f t="shared" si="34"/>
        <v>4016214</v>
      </c>
      <c r="M273" s="4" t="s">
        <v>115</v>
      </c>
      <c r="N273" s="6" t="s">
        <v>940</v>
      </c>
      <c r="O273" s="6" t="s">
        <v>55</v>
      </c>
      <c r="P273" s="6" t="s">
        <v>55</v>
      </c>
      <c r="Q273" s="6" t="s">
        <v>577</v>
      </c>
      <c r="R273" s="6" t="s">
        <v>56</v>
      </c>
      <c r="S273" s="6" t="s">
        <v>56</v>
      </c>
      <c r="T273" s="6" t="s">
        <v>57</v>
      </c>
      <c r="AR273" s="6" t="s">
        <v>55</v>
      </c>
      <c r="AS273" s="6" t="s">
        <v>55</v>
      </c>
      <c r="AU273" s="6" t="s">
        <v>941</v>
      </c>
      <c r="AV273">
        <v>2391</v>
      </c>
    </row>
    <row r="274" spans="1:48" ht="30" customHeight="1" x14ac:dyDescent="0.3">
      <c r="A274" s="4" t="s">
        <v>942</v>
      </c>
      <c r="B274" s="4" t="s">
        <v>943</v>
      </c>
      <c r="C274" s="4" t="s">
        <v>61</v>
      </c>
      <c r="D274" s="5">
        <v>297</v>
      </c>
      <c r="E274" s="7">
        <f>TRUNC([1]일위대가목록!E82,0)</f>
        <v>30456</v>
      </c>
      <c r="F274" s="7">
        <f t="shared" si="30"/>
        <v>9045432</v>
      </c>
      <c r="G274" s="7">
        <f>TRUNC([1]일위대가목록!F82,0)</f>
        <v>19783</v>
      </c>
      <c r="H274" s="7">
        <f t="shared" si="31"/>
        <v>5875551</v>
      </c>
      <c r="I274" s="7">
        <f>TRUNC([1]일위대가목록!G82,0)</f>
        <v>0</v>
      </c>
      <c r="J274" s="7">
        <f t="shared" si="32"/>
        <v>0</v>
      </c>
      <c r="K274" s="7">
        <f t="shared" si="34"/>
        <v>50239</v>
      </c>
      <c r="L274" s="7">
        <f t="shared" si="34"/>
        <v>14920983</v>
      </c>
      <c r="M274" s="4" t="s">
        <v>944</v>
      </c>
      <c r="N274" s="6" t="s">
        <v>945</v>
      </c>
      <c r="O274" s="6" t="s">
        <v>55</v>
      </c>
      <c r="P274" s="6" t="s">
        <v>55</v>
      </c>
      <c r="Q274" s="6" t="s">
        <v>577</v>
      </c>
      <c r="R274" s="6" t="s">
        <v>57</v>
      </c>
      <c r="S274" s="6" t="s">
        <v>56</v>
      </c>
      <c r="T274" s="6" t="s">
        <v>56</v>
      </c>
      <c r="AR274" s="6" t="s">
        <v>55</v>
      </c>
      <c r="AS274" s="6" t="s">
        <v>55</v>
      </c>
      <c r="AU274" s="6" t="s">
        <v>946</v>
      </c>
      <c r="AV274">
        <v>2995</v>
      </c>
    </row>
    <row r="275" spans="1:48" ht="30" customHeight="1" x14ac:dyDescent="0.3">
      <c r="A275" s="4" t="s">
        <v>55</v>
      </c>
      <c r="B275" s="4" t="s">
        <v>55</v>
      </c>
      <c r="C275" s="4" t="s">
        <v>55</v>
      </c>
      <c r="D275" s="5"/>
      <c r="E275" s="7">
        <f>TRUNC([1]단가대비표!O815,0)</f>
        <v>0</v>
      </c>
      <c r="F275" s="7">
        <f t="shared" si="30"/>
        <v>0</v>
      </c>
      <c r="G275" s="7">
        <f>TRUNC([1]단가대비표!P815,0)</f>
        <v>0</v>
      </c>
      <c r="H275" s="7">
        <f t="shared" si="31"/>
        <v>0</v>
      </c>
      <c r="I275" s="7">
        <f>TRUNC([1]단가대비표!V815,0)</f>
        <v>0</v>
      </c>
      <c r="J275" s="7">
        <f t="shared" si="32"/>
        <v>0</v>
      </c>
      <c r="K275" s="7">
        <f t="shared" si="34"/>
        <v>0</v>
      </c>
      <c r="L275" s="7">
        <f t="shared" si="34"/>
        <v>0</v>
      </c>
      <c r="M275" s="4" t="s">
        <v>55</v>
      </c>
      <c r="N275" s="6" t="s">
        <v>947</v>
      </c>
      <c r="O275" s="6" t="s">
        <v>55</v>
      </c>
      <c r="P275" s="6" t="s">
        <v>55</v>
      </c>
      <c r="Q275" s="6" t="s">
        <v>577</v>
      </c>
      <c r="R275" s="6" t="s">
        <v>56</v>
      </c>
      <c r="S275" s="6" t="s">
        <v>56</v>
      </c>
      <c r="T275" s="6" t="s">
        <v>57</v>
      </c>
      <c r="AR275" s="6" t="s">
        <v>55</v>
      </c>
      <c r="AS275" s="6" t="s">
        <v>55</v>
      </c>
      <c r="AU275" s="6" t="s">
        <v>948</v>
      </c>
      <c r="AV275">
        <v>2996</v>
      </c>
    </row>
    <row r="276" spans="1:48" ht="30" customHeight="1" x14ac:dyDescent="0.3">
      <c r="A276" s="4" t="s">
        <v>949</v>
      </c>
      <c r="B276" s="4" t="s">
        <v>55</v>
      </c>
      <c r="C276" s="4" t="s">
        <v>55</v>
      </c>
      <c r="D276" s="5"/>
      <c r="E276" s="7">
        <f>TRUNC([1]단가대비표!O816,0)</f>
        <v>0</v>
      </c>
      <c r="F276" s="7">
        <f t="shared" si="30"/>
        <v>0</v>
      </c>
      <c r="G276" s="7">
        <f>TRUNC([1]단가대비표!P816,0)</f>
        <v>0</v>
      </c>
      <c r="H276" s="7">
        <f t="shared" si="31"/>
        <v>0</v>
      </c>
      <c r="I276" s="7">
        <f>TRUNC([1]단가대비표!V816,0)</f>
        <v>0</v>
      </c>
      <c r="J276" s="7">
        <f t="shared" si="32"/>
        <v>0</v>
      </c>
      <c r="K276" s="7">
        <f t="shared" si="34"/>
        <v>0</v>
      </c>
      <c r="L276" s="7">
        <f t="shared" si="34"/>
        <v>0</v>
      </c>
      <c r="M276" s="4" t="s">
        <v>55</v>
      </c>
      <c r="N276" s="6" t="s">
        <v>950</v>
      </c>
      <c r="O276" s="6" t="s">
        <v>55</v>
      </c>
      <c r="P276" s="6" t="s">
        <v>55</v>
      </c>
      <c r="Q276" s="6" t="s">
        <v>577</v>
      </c>
      <c r="R276" s="6" t="s">
        <v>56</v>
      </c>
      <c r="S276" s="6" t="s">
        <v>56</v>
      </c>
      <c r="T276" s="6" t="s">
        <v>57</v>
      </c>
      <c r="AR276" s="6" t="s">
        <v>55</v>
      </c>
      <c r="AS276" s="6" t="s">
        <v>55</v>
      </c>
      <c r="AU276" s="6" t="s">
        <v>951</v>
      </c>
      <c r="AV276">
        <v>2997</v>
      </c>
    </row>
    <row r="277" spans="1:48" ht="30" customHeight="1" x14ac:dyDescent="0.3">
      <c r="A277" s="4" t="s">
        <v>952</v>
      </c>
      <c r="B277" s="4" t="s">
        <v>953</v>
      </c>
      <c r="C277" s="4" t="s">
        <v>61</v>
      </c>
      <c r="D277" s="5">
        <v>1668</v>
      </c>
      <c r="E277" s="7">
        <f>TRUNC([1]단가대비표!O817,0)</f>
        <v>16100</v>
      </c>
      <c r="F277" s="7">
        <f t="shared" si="30"/>
        <v>26854800</v>
      </c>
      <c r="G277" s="7">
        <f>TRUNC([1]단가대비표!P817,0)</f>
        <v>0</v>
      </c>
      <c r="H277" s="7">
        <f t="shared" si="31"/>
        <v>0</v>
      </c>
      <c r="I277" s="7">
        <f>TRUNC([1]단가대비표!V817,0)</f>
        <v>0</v>
      </c>
      <c r="J277" s="7">
        <f t="shared" si="32"/>
        <v>0</v>
      </c>
      <c r="K277" s="7">
        <f t="shared" si="34"/>
        <v>16100</v>
      </c>
      <c r="L277" s="7">
        <f t="shared" si="34"/>
        <v>26854800</v>
      </c>
      <c r="M277" s="4" t="s">
        <v>115</v>
      </c>
      <c r="N277" s="6" t="s">
        <v>954</v>
      </c>
      <c r="O277" s="6" t="s">
        <v>55</v>
      </c>
      <c r="P277" s="6" t="s">
        <v>55</v>
      </c>
      <c r="Q277" s="6" t="s">
        <v>577</v>
      </c>
      <c r="R277" s="6" t="s">
        <v>56</v>
      </c>
      <c r="S277" s="6" t="s">
        <v>56</v>
      </c>
      <c r="T277" s="6" t="s">
        <v>57</v>
      </c>
      <c r="AR277" s="6" t="s">
        <v>55</v>
      </c>
      <c r="AS277" s="6" t="s">
        <v>55</v>
      </c>
      <c r="AU277" s="6" t="s">
        <v>955</v>
      </c>
      <c r="AV277">
        <v>2998</v>
      </c>
    </row>
    <row r="278" spans="1:48" ht="30" customHeight="1" x14ac:dyDescent="0.3">
      <c r="A278" s="4" t="s">
        <v>956</v>
      </c>
      <c r="B278" s="4" t="s">
        <v>957</v>
      </c>
      <c r="C278" s="4" t="s">
        <v>61</v>
      </c>
      <c r="D278" s="5">
        <v>3395</v>
      </c>
      <c r="E278" s="7">
        <f>TRUNC([1]단가대비표!O818,0)</f>
        <v>32000</v>
      </c>
      <c r="F278" s="7">
        <f t="shared" si="30"/>
        <v>108640000</v>
      </c>
      <c r="G278" s="7">
        <f>TRUNC([1]단가대비표!P818,0)</f>
        <v>0</v>
      </c>
      <c r="H278" s="7">
        <f t="shared" si="31"/>
        <v>0</v>
      </c>
      <c r="I278" s="7">
        <f>TRUNC([1]단가대비표!V818,0)</f>
        <v>0</v>
      </c>
      <c r="J278" s="7">
        <f t="shared" si="32"/>
        <v>0</v>
      </c>
      <c r="K278" s="7">
        <f t="shared" si="34"/>
        <v>32000</v>
      </c>
      <c r="L278" s="7">
        <f t="shared" si="34"/>
        <v>108640000</v>
      </c>
      <c r="M278" s="4" t="s">
        <v>115</v>
      </c>
      <c r="N278" s="6" t="s">
        <v>958</v>
      </c>
      <c r="O278" s="6" t="s">
        <v>55</v>
      </c>
      <c r="P278" s="6" t="s">
        <v>55</v>
      </c>
      <c r="Q278" s="6" t="s">
        <v>577</v>
      </c>
      <c r="R278" s="6" t="s">
        <v>56</v>
      </c>
      <c r="S278" s="6" t="s">
        <v>56</v>
      </c>
      <c r="T278" s="6" t="s">
        <v>57</v>
      </c>
      <c r="AR278" s="6" t="s">
        <v>55</v>
      </c>
      <c r="AS278" s="6" t="s">
        <v>55</v>
      </c>
      <c r="AU278" s="6" t="s">
        <v>959</v>
      </c>
      <c r="AV278">
        <v>2999</v>
      </c>
    </row>
    <row r="279" spans="1:48" ht="30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spans="1:48" ht="30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spans="1:48" ht="30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spans="1:48" ht="30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spans="1:48" ht="30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spans="1:48" ht="30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spans="1:48" ht="30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spans="1:48" ht="30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spans="1:48" ht="30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spans="1:48" ht="30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spans="1:48" ht="30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spans="1:48" ht="30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spans="1:48" ht="30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spans="1:48" ht="30" customHeight="1" x14ac:dyDescent="0.3">
      <c r="A292" s="4" t="s">
        <v>128</v>
      </c>
      <c r="B292" s="5"/>
      <c r="C292" s="5"/>
      <c r="D292" s="5"/>
      <c r="E292" s="5"/>
      <c r="F292" s="7">
        <f>SUM(F173:F291)</f>
        <v>829786690</v>
      </c>
      <c r="G292" s="5"/>
      <c r="H292" s="7">
        <f>SUM(H173:H291)</f>
        <v>333528722</v>
      </c>
      <c r="I292" s="5"/>
      <c r="J292" s="7">
        <f>SUM(J173:J291)</f>
        <v>1868960</v>
      </c>
      <c r="K292" s="5"/>
      <c r="L292" s="7">
        <f>SUM(L173:L291)</f>
        <v>1165184372</v>
      </c>
      <c r="M292" s="5"/>
      <c r="N292" t="s">
        <v>129</v>
      </c>
    </row>
    <row r="293" spans="1:48" ht="30" customHeight="1" x14ac:dyDescent="0.3">
      <c r="A293" s="4" t="s">
        <v>960</v>
      </c>
      <c r="B293" s="4" t="s">
        <v>48</v>
      </c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Q293" s="6" t="s">
        <v>961</v>
      </c>
    </row>
    <row r="294" spans="1:48" ht="30" customHeight="1" x14ac:dyDescent="0.3">
      <c r="A294" s="4" t="s">
        <v>962</v>
      </c>
      <c r="B294" s="4" t="s">
        <v>963</v>
      </c>
      <c r="C294" s="4" t="s">
        <v>61</v>
      </c>
      <c r="D294" s="5">
        <v>4409</v>
      </c>
      <c r="E294" s="7">
        <f>TRUNC([1]단가대비표!O879,0)</f>
        <v>22083</v>
      </c>
      <c r="F294" s="7">
        <f t="shared" ref="F294:F324" si="35">TRUNC(E294*D294, 0)</f>
        <v>97363947</v>
      </c>
      <c r="G294" s="7">
        <f>TRUNC([1]단가대비표!P879,0)</f>
        <v>5001</v>
      </c>
      <c r="H294" s="7">
        <f t="shared" ref="H294:H324" si="36">TRUNC(G294*D294, 0)</f>
        <v>22049409</v>
      </c>
      <c r="I294" s="7">
        <f>TRUNC([1]단가대비표!V879,0)</f>
        <v>0</v>
      </c>
      <c r="J294" s="7">
        <f t="shared" ref="J294:J324" si="37">TRUNC(I294*D294, 0)</f>
        <v>0</v>
      </c>
      <c r="K294" s="7">
        <f t="shared" ref="K294:L324" si="38">TRUNC(E294+G294+I294, 0)</f>
        <v>27084</v>
      </c>
      <c r="L294" s="7">
        <f t="shared" si="38"/>
        <v>119413356</v>
      </c>
      <c r="M294" s="4" t="s">
        <v>115</v>
      </c>
      <c r="N294" s="6" t="s">
        <v>964</v>
      </c>
      <c r="O294" s="6" t="s">
        <v>55</v>
      </c>
      <c r="P294" s="6" t="s">
        <v>55</v>
      </c>
      <c r="Q294" s="6" t="s">
        <v>961</v>
      </c>
      <c r="R294" s="6" t="s">
        <v>56</v>
      </c>
      <c r="S294" s="6" t="s">
        <v>56</v>
      </c>
      <c r="T294" s="6" t="s">
        <v>57</v>
      </c>
      <c r="AR294" s="6" t="s">
        <v>55</v>
      </c>
      <c r="AS294" s="6" t="s">
        <v>55</v>
      </c>
      <c r="AU294" s="6" t="s">
        <v>965</v>
      </c>
      <c r="AV294">
        <v>3267</v>
      </c>
    </row>
    <row r="295" spans="1:48" ht="30" customHeight="1" x14ac:dyDescent="0.3">
      <c r="A295" s="4" t="s">
        <v>962</v>
      </c>
      <c r="B295" s="4" t="s">
        <v>966</v>
      </c>
      <c r="C295" s="4" t="s">
        <v>61</v>
      </c>
      <c r="D295" s="5">
        <v>400</v>
      </c>
      <c r="E295" s="7">
        <f>TRUNC([1]단가대비표!O880,0)</f>
        <v>19441</v>
      </c>
      <c r="F295" s="7">
        <f t="shared" si="35"/>
        <v>7776400</v>
      </c>
      <c r="G295" s="7">
        <f>TRUNC([1]단가대비표!P880,0)</f>
        <v>6669</v>
      </c>
      <c r="H295" s="7">
        <f t="shared" si="36"/>
        <v>2667600</v>
      </c>
      <c r="I295" s="7">
        <f>TRUNC([1]단가대비표!V880,0)</f>
        <v>0</v>
      </c>
      <c r="J295" s="7">
        <f t="shared" si="37"/>
        <v>0</v>
      </c>
      <c r="K295" s="7">
        <f t="shared" si="38"/>
        <v>26110</v>
      </c>
      <c r="L295" s="7">
        <f t="shared" si="38"/>
        <v>10444000</v>
      </c>
      <c r="M295" s="4" t="s">
        <v>115</v>
      </c>
      <c r="N295" s="6" t="s">
        <v>967</v>
      </c>
      <c r="O295" s="6" t="s">
        <v>55</v>
      </c>
      <c r="P295" s="6" t="s">
        <v>55</v>
      </c>
      <c r="Q295" s="6" t="s">
        <v>961</v>
      </c>
      <c r="R295" s="6" t="s">
        <v>56</v>
      </c>
      <c r="S295" s="6" t="s">
        <v>56</v>
      </c>
      <c r="T295" s="6" t="s">
        <v>57</v>
      </c>
      <c r="AR295" s="6" t="s">
        <v>55</v>
      </c>
      <c r="AS295" s="6" t="s">
        <v>55</v>
      </c>
      <c r="AU295" s="6" t="s">
        <v>968</v>
      </c>
      <c r="AV295">
        <v>3268</v>
      </c>
    </row>
    <row r="296" spans="1:48" ht="30" customHeight="1" x14ac:dyDescent="0.3">
      <c r="A296" s="4" t="s">
        <v>969</v>
      </c>
      <c r="B296" s="4" t="s">
        <v>970</v>
      </c>
      <c r="C296" s="4" t="s">
        <v>61</v>
      </c>
      <c r="D296" s="5">
        <v>109</v>
      </c>
      <c r="E296" s="7">
        <f>TRUNC([1]단가대비표!O888,0)</f>
        <v>22083</v>
      </c>
      <c r="F296" s="7">
        <f t="shared" si="35"/>
        <v>2407047</v>
      </c>
      <c r="G296" s="7">
        <f>TRUNC([1]단가대비표!P888,0)</f>
        <v>5001</v>
      </c>
      <c r="H296" s="7">
        <f t="shared" si="36"/>
        <v>545109</v>
      </c>
      <c r="I296" s="7">
        <f>TRUNC([1]단가대비표!V888,0)</f>
        <v>0</v>
      </c>
      <c r="J296" s="7">
        <f t="shared" si="37"/>
        <v>0</v>
      </c>
      <c r="K296" s="7">
        <f t="shared" si="38"/>
        <v>27084</v>
      </c>
      <c r="L296" s="7">
        <f t="shared" si="38"/>
        <v>2952156</v>
      </c>
      <c r="M296" s="4" t="s">
        <v>115</v>
      </c>
      <c r="N296" s="6" t="s">
        <v>971</v>
      </c>
      <c r="O296" s="6" t="s">
        <v>55</v>
      </c>
      <c r="P296" s="6" t="s">
        <v>55</v>
      </c>
      <c r="Q296" s="6" t="s">
        <v>961</v>
      </c>
      <c r="R296" s="6" t="s">
        <v>56</v>
      </c>
      <c r="S296" s="6" t="s">
        <v>56</v>
      </c>
      <c r="T296" s="6" t="s">
        <v>57</v>
      </c>
      <c r="AR296" s="6" t="s">
        <v>55</v>
      </c>
      <c r="AS296" s="6" t="s">
        <v>55</v>
      </c>
      <c r="AU296" s="6" t="s">
        <v>972</v>
      </c>
      <c r="AV296">
        <v>3277</v>
      </c>
    </row>
    <row r="297" spans="1:48" ht="30" customHeight="1" x14ac:dyDescent="0.3">
      <c r="A297" s="4" t="s">
        <v>973</v>
      </c>
      <c r="B297" s="4" t="s">
        <v>963</v>
      </c>
      <c r="C297" s="4" t="s">
        <v>61</v>
      </c>
      <c r="D297" s="5">
        <v>483</v>
      </c>
      <c r="E297" s="7">
        <f>TRUNC([1]단가대비표!O883,0)</f>
        <v>15995</v>
      </c>
      <c r="F297" s="7">
        <f t="shared" si="35"/>
        <v>7725585</v>
      </c>
      <c r="G297" s="7">
        <f>TRUNC([1]단가대비표!P883,0)</f>
        <v>5151</v>
      </c>
      <c r="H297" s="7">
        <f t="shared" si="36"/>
        <v>2487933</v>
      </c>
      <c r="I297" s="7">
        <f>TRUNC([1]단가대비표!V883,0)</f>
        <v>0</v>
      </c>
      <c r="J297" s="7">
        <f t="shared" si="37"/>
        <v>0</v>
      </c>
      <c r="K297" s="7">
        <f t="shared" si="38"/>
        <v>21146</v>
      </c>
      <c r="L297" s="7">
        <f t="shared" si="38"/>
        <v>10213518</v>
      </c>
      <c r="M297" s="4" t="s">
        <v>115</v>
      </c>
      <c r="N297" s="6" t="s">
        <v>974</v>
      </c>
      <c r="O297" s="6" t="s">
        <v>55</v>
      </c>
      <c r="P297" s="6" t="s">
        <v>55</v>
      </c>
      <c r="Q297" s="6" t="s">
        <v>961</v>
      </c>
      <c r="R297" s="6" t="s">
        <v>56</v>
      </c>
      <c r="S297" s="6" t="s">
        <v>56</v>
      </c>
      <c r="T297" s="6" t="s">
        <v>57</v>
      </c>
      <c r="AR297" s="6" t="s">
        <v>55</v>
      </c>
      <c r="AS297" s="6" t="s">
        <v>55</v>
      </c>
      <c r="AU297" s="6" t="s">
        <v>975</v>
      </c>
      <c r="AV297">
        <v>3272</v>
      </c>
    </row>
    <row r="298" spans="1:48" ht="30" customHeight="1" x14ac:dyDescent="0.3">
      <c r="A298" s="4" t="s">
        <v>973</v>
      </c>
      <c r="B298" s="4" t="s">
        <v>966</v>
      </c>
      <c r="C298" s="4" t="s">
        <v>61</v>
      </c>
      <c r="D298" s="5">
        <v>18</v>
      </c>
      <c r="E298" s="7">
        <f>TRUNC([1]단가대비표!O884,0)</f>
        <v>15995</v>
      </c>
      <c r="F298" s="7">
        <f t="shared" si="35"/>
        <v>287910</v>
      </c>
      <c r="G298" s="7">
        <f>TRUNC([1]단가대비표!P884,0)</f>
        <v>5151</v>
      </c>
      <c r="H298" s="7">
        <f t="shared" si="36"/>
        <v>92718</v>
      </c>
      <c r="I298" s="7">
        <f>TRUNC([1]단가대비표!V884,0)</f>
        <v>0</v>
      </c>
      <c r="J298" s="7">
        <f t="shared" si="37"/>
        <v>0</v>
      </c>
      <c r="K298" s="7">
        <f t="shared" si="38"/>
        <v>21146</v>
      </c>
      <c r="L298" s="7">
        <f t="shared" si="38"/>
        <v>380628</v>
      </c>
      <c r="M298" s="4" t="s">
        <v>115</v>
      </c>
      <c r="N298" s="6" t="s">
        <v>976</v>
      </c>
      <c r="O298" s="6" t="s">
        <v>55</v>
      </c>
      <c r="P298" s="6" t="s">
        <v>55</v>
      </c>
      <c r="Q298" s="6" t="s">
        <v>961</v>
      </c>
      <c r="R298" s="6" t="s">
        <v>56</v>
      </c>
      <c r="S298" s="6" t="s">
        <v>56</v>
      </c>
      <c r="T298" s="6" t="s">
        <v>57</v>
      </c>
      <c r="AR298" s="6" t="s">
        <v>55</v>
      </c>
      <c r="AS298" s="6" t="s">
        <v>55</v>
      </c>
      <c r="AU298" s="6" t="s">
        <v>977</v>
      </c>
      <c r="AV298">
        <v>3273</v>
      </c>
    </row>
    <row r="299" spans="1:48" ht="30" customHeight="1" x14ac:dyDescent="0.3">
      <c r="A299" s="4" t="s">
        <v>973</v>
      </c>
      <c r="B299" s="4" t="s">
        <v>970</v>
      </c>
      <c r="C299" s="4" t="s">
        <v>61</v>
      </c>
      <c r="D299" s="5">
        <v>109</v>
      </c>
      <c r="E299" s="7">
        <f>TRUNC([1]단가대비표!O885,0)</f>
        <v>15995</v>
      </c>
      <c r="F299" s="7">
        <f t="shared" si="35"/>
        <v>1743455</v>
      </c>
      <c r="G299" s="7">
        <f>TRUNC([1]단가대비표!P885,0)</f>
        <v>5151</v>
      </c>
      <c r="H299" s="7">
        <f t="shared" si="36"/>
        <v>561459</v>
      </c>
      <c r="I299" s="7">
        <f>TRUNC([1]단가대비표!V885,0)</f>
        <v>0</v>
      </c>
      <c r="J299" s="7">
        <f t="shared" si="37"/>
        <v>0</v>
      </c>
      <c r="K299" s="7">
        <f t="shared" si="38"/>
        <v>21146</v>
      </c>
      <c r="L299" s="7">
        <f t="shared" si="38"/>
        <v>2304914</v>
      </c>
      <c r="M299" s="4" t="s">
        <v>115</v>
      </c>
      <c r="N299" s="6" t="s">
        <v>978</v>
      </c>
      <c r="O299" s="6" t="s">
        <v>55</v>
      </c>
      <c r="P299" s="6" t="s">
        <v>55</v>
      </c>
      <c r="Q299" s="6" t="s">
        <v>961</v>
      </c>
      <c r="R299" s="6" t="s">
        <v>56</v>
      </c>
      <c r="S299" s="6" t="s">
        <v>56</v>
      </c>
      <c r="T299" s="6" t="s">
        <v>57</v>
      </c>
      <c r="AR299" s="6" t="s">
        <v>55</v>
      </c>
      <c r="AS299" s="6" t="s">
        <v>55</v>
      </c>
      <c r="AU299" s="6" t="s">
        <v>979</v>
      </c>
      <c r="AV299">
        <v>3274</v>
      </c>
    </row>
    <row r="300" spans="1:48" ht="30" customHeight="1" x14ac:dyDescent="0.3">
      <c r="A300" s="4" t="s">
        <v>980</v>
      </c>
      <c r="B300" s="4" t="s">
        <v>981</v>
      </c>
      <c r="C300" s="4" t="s">
        <v>61</v>
      </c>
      <c r="D300" s="5">
        <v>179</v>
      </c>
      <c r="E300" s="7">
        <f>TRUNC([1]단가대비표!O881,0)</f>
        <v>32918</v>
      </c>
      <c r="F300" s="7">
        <f t="shared" si="35"/>
        <v>5892322</v>
      </c>
      <c r="G300" s="7">
        <f>TRUNC([1]단가대비표!P881,0)</f>
        <v>7813</v>
      </c>
      <c r="H300" s="7">
        <f t="shared" si="36"/>
        <v>1398527</v>
      </c>
      <c r="I300" s="7">
        <f>TRUNC([1]단가대비표!V881,0)</f>
        <v>0</v>
      </c>
      <c r="J300" s="7">
        <f t="shared" si="37"/>
        <v>0</v>
      </c>
      <c r="K300" s="7">
        <f t="shared" si="38"/>
        <v>40731</v>
      </c>
      <c r="L300" s="7">
        <f t="shared" si="38"/>
        <v>7290849</v>
      </c>
      <c r="M300" s="4" t="s">
        <v>115</v>
      </c>
      <c r="N300" s="6" t="s">
        <v>982</v>
      </c>
      <c r="O300" s="6" t="s">
        <v>55</v>
      </c>
      <c r="P300" s="6" t="s">
        <v>55</v>
      </c>
      <c r="Q300" s="6" t="s">
        <v>961</v>
      </c>
      <c r="R300" s="6" t="s">
        <v>56</v>
      </c>
      <c r="S300" s="6" t="s">
        <v>56</v>
      </c>
      <c r="T300" s="6" t="s">
        <v>57</v>
      </c>
      <c r="AR300" s="6" t="s">
        <v>55</v>
      </c>
      <c r="AS300" s="6" t="s">
        <v>55</v>
      </c>
      <c r="AU300" s="6" t="s">
        <v>983</v>
      </c>
      <c r="AV300">
        <v>3270</v>
      </c>
    </row>
    <row r="301" spans="1:48" ht="30" customHeight="1" x14ac:dyDescent="0.3">
      <c r="A301" s="4" t="s">
        <v>980</v>
      </c>
      <c r="B301" s="4" t="s">
        <v>984</v>
      </c>
      <c r="C301" s="4" t="s">
        <v>61</v>
      </c>
      <c r="D301" s="5">
        <v>263</v>
      </c>
      <c r="E301" s="7">
        <f>TRUNC([1]단가대비표!O882,0)</f>
        <v>32918</v>
      </c>
      <c r="F301" s="7">
        <f t="shared" si="35"/>
        <v>8657434</v>
      </c>
      <c r="G301" s="7">
        <f>TRUNC([1]단가대비표!P882,0)</f>
        <v>8855</v>
      </c>
      <c r="H301" s="7">
        <f t="shared" si="36"/>
        <v>2328865</v>
      </c>
      <c r="I301" s="7">
        <f>TRUNC([1]단가대비표!V882,0)</f>
        <v>0</v>
      </c>
      <c r="J301" s="7">
        <f t="shared" si="37"/>
        <v>0</v>
      </c>
      <c r="K301" s="7">
        <f t="shared" si="38"/>
        <v>41773</v>
      </c>
      <c r="L301" s="7">
        <f t="shared" si="38"/>
        <v>10986299</v>
      </c>
      <c r="M301" s="4" t="s">
        <v>115</v>
      </c>
      <c r="N301" s="6" t="s">
        <v>985</v>
      </c>
      <c r="O301" s="6" t="s">
        <v>55</v>
      </c>
      <c r="P301" s="6" t="s">
        <v>55</v>
      </c>
      <c r="Q301" s="6" t="s">
        <v>961</v>
      </c>
      <c r="R301" s="6" t="s">
        <v>56</v>
      </c>
      <c r="S301" s="6" t="s">
        <v>56</v>
      </c>
      <c r="T301" s="6" t="s">
        <v>57</v>
      </c>
      <c r="AR301" s="6" t="s">
        <v>55</v>
      </c>
      <c r="AS301" s="6" t="s">
        <v>55</v>
      </c>
      <c r="AU301" s="6" t="s">
        <v>986</v>
      </c>
      <c r="AV301">
        <v>3271</v>
      </c>
    </row>
    <row r="302" spans="1:48" ht="30" customHeight="1" x14ac:dyDescent="0.3">
      <c r="A302" s="4" t="s">
        <v>987</v>
      </c>
      <c r="B302" s="4" t="s">
        <v>988</v>
      </c>
      <c r="C302" s="4" t="s">
        <v>61</v>
      </c>
      <c r="D302" s="5">
        <v>279</v>
      </c>
      <c r="E302" s="7">
        <f>TRUNC([1]단가대비표!O886,0)</f>
        <v>2250</v>
      </c>
      <c r="F302" s="7">
        <f t="shared" si="35"/>
        <v>627750</v>
      </c>
      <c r="G302" s="7">
        <f>TRUNC([1]단가대비표!P886,0)</f>
        <v>7836</v>
      </c>
      <c r="H302" s="7">
        <f t="shared" si="36"/>
        <v>2186244</v>
      </c>
      <c r="I302" s="7">
        <f>TRUNC([1]단가대비표!V886,0)</f>
        <v>0</v>
      </c>
      <c r="J302" s="7">
        <f t="shared" si="37"/>
        <v>0</v>
      </c>
      <c r="K302" s="7">
        <f t="shared" si="38"/>
        <v>10086</v>
      </c>
      <c r="L302" s="7">
        <f t="shared" si="38"/>
        <v>2813994</v>
      </c>
      <c r="M302" s="4" t="s">
        <v>115</v>
      </c>
      <c r="N302" s="6" t="s">
        <v>989</v>
      </c>
      <c r="O302" s="6" t="s">
        <v>55</v>
      </c>
      <c r="P302" s="6" t="s">
        <v>55</v>
      </c>
      <c r="Q302" s="6" t="s">
        <v>961</v>
      </c>
      <c r="R302" s="6" t="s">
        <v>56</v>
      </c>
      <c r="S302" s="6" t="s">
        <v>56</v>
      </c>
      <c r="T302" s="6" t="s">
        <v>57</v>
      </c>
      <c r="AR302" s="6" t="s">
        <v>55</v>
      </c>
      <c r="AS302" s="6" t="s">
        <v>55</v>
      </c>
      <c r="AU302" s="6" t="s">
        <v>990</v>
      </c>
      <c r="AV302">
        <v>3275</v>
      </c>
    </row>
    <row r="303" spans="1:48" ht="30" customHeight="1" x14ac:dyDescent="0.3">
      <c r="A303" s="4" t="s">
        <v>987</v>
      </c>
      <c r="B303" s="4" t="s">
        <v>991</v>
      </c>
      <c r="C303" s="4" t="s">
        <v>61</v>
      </c>
      <c r="D303" s="5">
        <v>1580</v>
      </c>
      <c r="E303" s="7">
        <f>TRUNC([1]단가대비표!O887,0)</f>
        <v>2250</v>
      </c>
      <c r="F303" s="7">
        <f t="shared" si="35"/>
        <v>3555000</v>
      </c>
      <c r="G303" s="7">
        <f>TRUNC([1]단가대비표!P887,0)</f>
        <v>7836</v>
      </c>
      <c r="H303" s="7">
        <f t="shared" si="36"/>
        <v>12380880</v>
      </c>
      <c r="I303" s="7">
        <f>TRUNC([1]단가대비표!V887,0)</f>
        <v>0</v>
      </c>
      <c r="J303" s="7">
        <f t="shared" si="37"/>
        <v>0</v>
      </c>
      <c r="K303" s="7">
        <f t="shared" si="38"/>
        <v>10086</v>
      </c>
      <c r="L303" s="7">
        <f t="shared" si="38"/>
        <v>15935880</v>
      </c>
      <c r="M303" s="4" t="s">
        <v>115</v>
      </c>
      <c r="N303" s="6" t="s">
        <v>992</v>
      </c>
      <c r="O303" s="6" t="s">
        <v>55</v>
      </c>
      <c r="P303" s="6" t="s">
        <v>55</v>
      </c>
      <c r="Q303" s="6" t="s">
        <v>961</v>
      </c>
      <c r="R303" s="6" t="s">
        <v>56</v>
      </c>
      <c r="S303" s="6" t="s">
        <v>56</v>
      </c>
      <c r="T303" s="6" t="s">
        <v>57</v>
      </c>
      <c r="AR303" s="6" t="s">
        <v>55</v>
      </c>
      <c r="AS303" s="6" t="s">
        <v>55</v>
      </c>
      <c r="AU303" s="6" t="s">
        <v>993</v>
      </c>
      <c r="AV303">
        <v>3276</v>
      </c>
    </row>
    <row r="304" spans="1:48" ht="30" customHeight="1" x14ac:dyDescent="0.3">
      <c r="A304" s="4" t="s">
        <v>994</v>
      </c>
      <c r="B304" s="4" t="s">
        <v>55</v>
      </c>
      <c r="C304" s="4" t="s">
        <v>55</v>
      </c>
      <c r="D304" s="5">
        <v>768</v>
      </c>
      <c r="E304" s="7">
        <f>TRUNC([1]단가대비표!O724,0)</f>
        <v>12900</v>
      </c>
      <c r="F304" s="7">
        <f t="shared" si="35"/>
        <v>9907200</v>
      </c>
      <c r="G304" s="7">
        <f>TRUNC([1]단가대비표!P724,0)</f>
        <v>12695</v>
      </c>
      <c r="H304" s="7">
        <f t="shared" si="36"/>
        <v>9749760</v>
      </c>
      <c r="I304" s="7">
        <f>TRUNC([1]단가대비표!V724,0)</f>
        <v>254</v>
      </c>
      <c r="J304" s="7">
        <f t="shared" si="37"/>
        <v>195072</v>
      </c>
      <c r="K304" s="7">
        <f t="shared" si="38"/>
        <v>25849</v>
      </c>
      <c r="L304" s="7">
        <f t="shared" si="38"/>
        <v>19852032</v>
      </c>
      <c r="M304" s="4" t="s">
        <v>115</v>
      </c>
      <c r="N304" s="6" t="s">
        <v>995</v>
      </c>
      <c r="O304" s="6" t="s">
        <v>55</v>
      </c>
      <c r="P304" s="6" t="s">
        <v>55</v>
      </c>
      <c r="Q304" s="6" t="s">
        <v>961</v>
      </c>
      <c r="R304" s="6" t="s">
        <v>56</v>
      </c>
      <c r="S304" s="6" t="s">
        <v>56</v>
      </c>
      <c r="T304" s="6" t="s">
        <v>57</v>
      </c>
      <c r="AR304" s="6" t="s">
        <v>55</v>
      </c>
      <c r="AS304" s="6" t="s">
        <v>55</v>
      </c>
      <c r="AU304" s="6" t="s">
        <v>996</v>
      </c>
      <c r="AV304">
        <v>2290</v>
      </c>
    </row>
    <row r="305" spans="1:48" ht="30" customHeight="1" x14ac:dyDescent="0.3">
      <c r="A305" s="4" t="s">
        <v>997</v>
      </c>
      <c r="B305" s="4" t="s">
        <v>998</v>
      </c>
      <c r="C305" s="4" t="s">
        <v>140</v>
      </c>
      <c r="D305" s="5">
        <v>3084</v>
      </c>
      <c r="E305" s="7">
        <f>TRUNC([1]단가대비표!O235,0)</f>
        <v>415</v>
      </c>
      <c r="F305" s="7">
        <f t="shared" si="35"/>
        <v>1279860</v>
      </c>
      <c r="G305" s="7">
        <f>TRUNC([1]단가대비표!P235,0)</f>
        <v>13399</v>
      </c>
      <c r="H305" s="7">
        <f t="shared" si="36"/>
        <v>41322516</v>
      </c>
      <c r="I305" s="7">
        <f>TRUNC([1]단가대비표!V235,0)</f>
        <v>0</v>
      </c>
      <c r="J305" s="7">
        <f t="shared" si="37"/>
        <v>0</v>
      </c>
      <c r="K305" s="7">
        <f t="shared" si="38"/>
        <v>13814</v>
      </c>
      <c r="L305" s="7">
        <f t="shared" si="38"/>
        <v>42602376</v>
      </c>
      <c r="M305" s="4" t="s">
        <v>141</v>
      </c>
      <c r="N305" s="6" t="s">
        <v>999</v>
      </c>
      <c r="O305" s="6" t="s">
        <v>55</v>
      </c>
      <c r="P305" s="6" t="s">
        <v>55</v>
      </c>
      <c r="Q305" s="6" t="s">
        <v>961</v>
      </c>
      <c r="R305" s="6" t="s">
        <v>56</v>
      </c>
      <c r="S305" s="6" t="s">
        <v>56</v>
      </c>
      <c r="T305" s="6" t="s">
        <v>57</v>
      </c>
      <c r="AR305" s="6" t="s">
        <v>55</v>
      </c>
      <c r="AS305" s="6" t="s">
        <v>55</v>
      </c>
      <c r="AU305" s="6" t="s">
        <v>1000</v>
      </c>
      <c r="AV305">
        <v>193</v>
      </c>
    </row>
    <row r="306" spans="1:48" ht="30" customHeight="1" x14ac:dyDescent="0.3">
      <c r="A306" s="4" t="s">
        <v>997</v>
      </c>
      <c r="B306" s="4" t="s">
        <v>988</v>
      </c>
      <c r="C306" s="4" t="s">
        <v>140</v>
      </c>
      <c r="D306" s="5">
        <v>710</v>
      </c>
      <c r="E306" s="7">
        <f>TRUNC([1]단가대비표!O236,0)</f>
        <v>486</v>
      </c>
      <c r="F306" s="7">
        <f t="shared" si="35"/>
        <v>345060</v>
      </c>
      <c r="G306" s="7">
        <f>TRUNC([1]단가대비표!P236,0)</f>
        <v>15684</v>
      </c>
      <c r="H306" s="7">
        <f t="shared" si="36"/>
        <v>11135640</v>
      </c>
      <c r="I306" s="7">
        <f>TRUNC([1]단가대비표!V236,0)</f>
        <v>0</v>
      </c>
      <c r="J306" s="7">
        <f t="shared" si="37"/>
        <v>0</v>
      </c>
      <c r="K306" s="7">
        <f t="shared" si="38"/>
        <v>16170</v>
      </c>
      <c r="L306" s="7">
        <f t="shared" si="38"/>
        <v>11480700</v>
      </c>
      <c r="M306" s="4" t="s">
        <v>1001</v>
      </c>
      <c r="N306" s="6" t="s">
        <v>1002</v>
      </c>
      <c r="O306" s="6" t="s">
        <v>55</v>
      </c>
      <c r="P306" s="6" t="s">
        <v>55</v>
      </c>
      <c r="Q306" s="6" t="s">
        <v>961</v>
      </c>
      <c r="R306" s="6" t="s">
        <v>56</v>
      </c>
      <c r="S306" s="6" t="s">
        <v>56</v>
      </c>
      <c r="T306" s="6" t="s">
        <v>57</v>
      </c>
      <c r="AR306" s="6" t="s">
        <v>55</v>
      </c>
      <c r="AS306" s="6" t="s">
        <v>55</v>
      </c>
      <c r="AU306" s="6" t="s">
        <v>1003</v>
      </c>
      <c r="AV306">
        <v>194</v>
      </c>
    </row>
    <row r="307" spans="1:48" ht="30" customHeight="1" x14ac:dyDescent="0.3">
      <c r="A307" s="4" t="s">
        <v>1004</v>
      </c>
      <c r="B307" s="4" t="s">
        <v>1005</v>
      </c>
      <c r="C307" s="4" t="s">
        <v>61</v>
      </c>
      <c r="D307" s="5">
        <v>5274</v>
      </c>
      <c r="E307" s="7">
        <f>TRUNC([1]일위대가목록!E83,0)</f>
        <v>4212</v>
      </c>
      <c r="F307" s="7">
        <f t="shared" si="35"/>
        <v>22214088</v>
      </c>
      <c r="G307" s="7">
        <f>TRUNC([1]일위대가목록!F83,0)</f>
        <v>3564</v>
      </c>
      <c r="H307" s="7">
        <f t="shared" si="36"/>
        <v>18796536</v>
      </c>
      <c r="I307" s="7">
        <f>TRUNC([1]일위대가목록!G83,0)</f>
        <v>0</v>
      </c>
      <c r="J307" s="7">
        <f t="shared" si="37"/>
        <v>0</v>
      </c>
      <c r="K307" s="7">
        <f t="shared" si="38"/>
        <v>7776</v>
      </c>
      <c r="L307" s="7">
        <f t="shared" si="38"/>
        <v>41010624</v>
      </c>
      <c r="M307" s="4" t="s">
        <v>1006</v>
      </c>
      <c r="N307" s="6" t="s">
        <v>1007</v>
      </c>
      <c r="O307" s="6" t="s">
        <v>55</v>
      </c>
      <c r="P307" s="6" t="s">
        <v>55</v>
      </c>
      <c r="Q307" s="6" t="s">
        <v>961</v>
      </c>
      <c r="R307" s="6" t="s">
        <v>57</v>
      </c>
      <c r="S307" s="6" t="s">
        <v>56</v>
      </c>
      <c r="T307" s="6" t="s">
        <v>56</v>
      </c>
      <c r="AR307" s="6" t="s">
        <v>55</v>
      </c>
      <c r="AS307" s="6" t="s">
        <v>55</v>
      </c>
      <c r="AU307" s="6" t="s">
        <v>1008</v>
      </c>
      <c r="AV307">
        <v>2289</v>
      </c>
    </row>
    <row r="308" spans="1:48" ht="30" customHeight="1" x14ac:dyDescent="0.3">
      <c r="A308" s="4" t="s">
        <v>1009</v>
      </c>
      <c r="B308" s="4" t="s">
        <v>1010</v>
      </c>
      <c r="C308" s="4" t="s">
        <v>61</v>
      </c>
      <c r="D308" s="5">
        <v>417</v>
      </c>
      <c r="E308" s="7">
        <f>TRUNC([1]일위대가목록!E84,0)</f>
        <v>4212</v>
      </c>
      <c r="F308" s="7">
        <f t="shared" si="35"/>
        <v>1756404</v>
      </c>
      <c r="G308" s="7">
        <f>TRUNC([1]일위대가목록!F84,0)</f>
        <v>4633</v>
      </c>
      <c r="H308" s="7">
        <f t="shared" si="36"/>
        <v>1931961</v>
      </c>
      <c r="I308" s="7">
        <f>TRUNC([1]일위대가목록!G84,0)</f>
        <v>0</v>
      </c>
      <c r="J308" s="7">
        <f t="shared" si="37"/>
        <v>0</v>
      </c>
      <c r="K308" s="7">
        <f t="shared" si="38"/>
        <v>8845</v>
      </c>
      <c r="L308" s="7">
        <f t="shared" si="38"/>
        <v>3688365</v>
      </c>
      <c r="M308" s="4" t="s">
        <v>1011</v>
      </c>
      <c r="N308" s="6" t="s">
        <v>1012</v>
      </c>
      <c r="O308" s="6" t="s">
        <v>55</v>
      </c>
      <c r="P308" s="6" t="s">
        <v>55</v>
      </c>
      <c r="Q308" s="6" t="s">
        <v>961</v>
      </c>
      <c r="R308" s="6" t="s">
        <v>57</v>
      </c>
      <c r="S308" s="6" t="s">
        <v>56</v>
      </c>
      <c r="T308" s="6" t="s">
        <v>56</v>
      </c>
      <c r="AR308" s="6" t="s">
        <v>55</v>
      </c>
      <c r="AS308" s="6" t="s">
        <v>55</v>
      </c>
      <c r="AU308" s="6" t="s">
        <v>1013</v>
      </c>
      <c r="AV308">
        <v>196</v>
      </c>
    </row>
    <row r="309" spans="1:48" ht="30" customHeight="1" x14ac:dyDescent="0.3">
      <c r="A309" s="4" t="s">
        <v>1014</v>
      </c>
      <c r="B309" s="4" t="s">
        <v>1015</v>
      </c>
      <c r="C309" s="4" t="s">
        <v>269</v>
      </c>
      <c r="D309" s="5">
        <v>2277</v>
      </c>
      <c r="E309" s="7">
        <f>TRUNC([1]일위대가목록!E85,0)</f>
        <v>1151</v>
      </c>
      <c r="F309" s="7">
        <f t="shared" si="35"/>
        <v>2620827</v>
      </c>
      <c r="G309" s="7">
        <f>TRUNC([1]일위대가목록!F85,0)</f>
        <v>7267</v>
      </c>
      <c r="H309" s="7">
        <f t="shared" si="36"/>
        <v>16546959</v>
      </c>
      <c r="I309" s="7">
        <f>TRUNC([1]일위대가목록!G85,0)</f>
        <v>60</v>
      </c>
      <c r="J309" s="7">
        <f t="shared" si="37"/>
        <v>136620</v>
      </c>
      <c r="K309" s="7">
        <f t="shared" si="38"/>
        <v>8478</v>
      </c>
      <c r="L309" s="7">
        <f t="shared" si="38"/>
        <v>19304406</v>
      </c>
      <c r="M309" s="4" t="s">
        <v>1016</v>
      </c>
      <c r="N309" s="6" t="s">
        <v>1017</v>
      </c>
      <c r="O309" s="6" t="s">
        <v>55</v>
      </c>
      <c r="P309" s="6" t="s">
        <v>55</v>
      </c>
      <c r="Q309" s="6" t="s">
        <v>961</v>
      </c>
      <c r="R309" s="6" t="s">
        <v>57</v>
      </c>
      <c r="S309" s="6" t="s">
        <v>56</v>
      </c>
      <c r="T309" s="6" t="s">
        <v>56</v>
      </c>
      <c r="AR309" s="6" t="s">
        <v>55</v>
      </c>
      <c r="AS309" s="6" t="s">
        <v>55</v>
      </c>
      <c r="AU309" s="6" t="s">
        <v>1018</v>
      </c>
      <c r="AV309">
        <v>179</v>
      </c>
    </row>
    <row r="310" spans="1:48" ht="30" customHeight="1" x14ac:dyDescent="0.3">
      <c r="A310" s="4" t="s">
        <v>1019</v>
      </c>
      <c r="B310" s="4" t="s">
        <v>1020</v>
      </c>
      <c r="C310" s="4" t="s">
        <v>269</v>
      </c>
      <c r="D310" s="5">
        <v>272</v>
      </c>
      <c r="E310" s="7">
        <f>TRUNC([1]일위대가목록!E86,0)</f>
        <v>248</v>
      </c>
      <c r="F310" s="7">
        <f t="shared" si="35"/>
        <v>67456</v>
      </c>
      <c r="G310" s="7">
        <f>TRUNC([1]일위대가목록!F86,0)</f>
        <v>3221</v>
      </c>
      <c r="H310" s="7">
        <f t="shared" si="36"/>
        <v>876112</v>
      </c>
      <c r="I310" s="7">
        <f>TRUNC([1]일위대가목록!G86,0)</f>
        <v>0</v>
      </c>
      <c r="J310" s="7">
        <f t="shared" si="37"/>
        <v>0</v>
      </c>
      <c r="K310" s="7">
        <f t="shared" si="38"/>
        <v>3469</v>
      </c>
      <c r="L310" s="7">
        <f t="shared" si="38"/>
        <v>943568</v>
      </c>
      <c r="M310" s="4" t="s">
        <v>1021</v>
      </c>
      <c r="N310" s="6" t="s">
        <v>1022</v>
      </c>
      <c r="O310" s="6" t="s">
        <v>55</v>
      </c>
      <c r="P310" s="6" t="s">
        <v>55</v>
      </c>
      <c r="Q310" s="6" t="s">
        <v>961</v>
      </c>
      <c r="R310" s="6" t="s">
        <v>57</v>
      </c>
      <c r="S310" s="6" t="s">
        <v>56</v>
      </c>
      <c r="T310" s="6" t="s">
        <v>56</v>
      </c>
      <c r="AR310" s="6" t="s">
        <v>55</v>
      </c>
      <c r="AS310" s="6" t="s">
        <v>55</v>
      </c>
      <c r="AU310" s="6" t="s">
        <v>1023</v>
      </c>
      <c r="AV310">
        <v>2588</v>
      </c>
    </row>
    <row r="311" spans="1:48" ht="30" customHeight="1" x14ac:dyDescent="0.3">
      <c r="A311" s="4" t="s">
        <v>1019</v>
      </c>
      <c r="B311" s="4" t="s">
        <v>1024</v>
      </c>
      <c r="C311" s="4" t="s">
        <v>269</v>
      </c>
      <c r="D311" s="5">
        <v>1088</v>
      </c>
      <c r="E311" s="7">
        <f>TRUNC([1]일위대가목록!E87,0)</f>
        <v>2404</v>
      </c>
      <c r="F311" s="7">
        <f t="shared" si="35"/>
        <v>2615552</v>
      </c>
      <c r="G311" s="7">
        <f>TRUNC([1]일위대가목록!F87,0)</f>
        <v>3221</v>
      </c>
      <c r="H311" s="7">
        <f t="shared" si="36"/>
        <v>3504448</v>
      </c>
      <c r="I311" s="7">
        <f>TRUNC([1]일위대가목록!G87,0)</f>
        <v>0</v>
      </c>
      <c r="J311" s="7">
        <f t="shared" si="37"/>
        <v>0</v>
      </c>
      <c r="K311" s="7">
        <f t="shared" si="38"/>
        <v>5625</v>
      </c>
      <c r="L311" s="7">
        <f t="shared" si="38"/>
        <v>6120000</v>
      </c>
      <c r="M311" s="4" t="s">
        <v>1025</v>
      </c>
      <c r="N311" s="6" t="s">
        <v>1026</v>
      </c>
      <c r="O311" s="6" t="s">
        <v>55</v>
      </c>
      <c r="P311" s="6" t="s">
        <v>55</v>
      </c>
      <c r="Q311" s="6" t="s">
        <v>961</v>
      </c>
      <c r="R311" s="6" t="s">
        <v>57</v>
      </c>
      <c r="S311" s="6" t="s">
        <v>56</v>
      </c>
      <c r="T311" s="6" t="s">
        <v>56</v>
      </c>
      <c r="AR311" s="6" t="s">
        <v>55</v>
      </c>
      <c r="AS311" s="6" t="s">
        <v>55</v>
      </c>
      <c r="AU311" s="6" t="s">
        <v>1027</v>
      </c>
      <c r="AV311">
        <v>2589</v>
      </c>
    </row>
    <row r="312" spans="1:48" ht="30" customHeight="1" x14ac:dyDescent="0.3">
      <c r="A312" s="4" t="s">
        <v>1019</v>
      </c>
      <c r="B312" s="4" t="s">
        <v>1028</v>
      </c>
      <c r="C312" s="4" t="s">
        <v>269</v>
      </c>
      <c r="D312" s="5">
        <v>11974</v>
      </c>
      <c r="E312" s="7">
        <f>TRUNC([1]일위대가목록!E88,0)</f>
        <v>767</v>
      </c>
      <c r="F312" s="7">
        <f t="shared" si="35"/>
        <v>9184058</v>
      </c>
      <c r="G312" s="7">
        <f>TRUNC([1]일위대가목록!F88,0)</f>
        <v>3221</v>
      </c>
      <c r="H312" s="7">
        <f t="shared" si="36"/>
        <v>38568254</v>
      </c>
      <c r="I312" s="7">
        <f>TRUNC([1]일위대가목록!G88,0)</f>
        <v>0</v>
      </c>
      <c r="J312" s="7">
        <f t="shared" si="37"/>
        <v>0</v>
      </c>
      <c r="K312" s="7">
        <f t="shared" si="38"/>
        <v>3988</v>
      </c>
      <c r="L312" s="7">
        <f t="shared" si="38"/>
        <v>47752312</v>
      </c>
      <c r="M312" s="4" t="s">
        <v>1029</v>
      </c>
      <c r="N312" s="6" t="s">
        <v>1030</v>
      </c>
      <c r="O312" s="6" t="s">
        <v>55</v>
      </c>
      <c r="P312" s="6" t="s">
        <v>55</v>
      </c>
      <c r="Q312" s="6" t="s">
        <v>961</v>
      </c>
      <c r="R312" s="6" t="s">
        <v>57</v>
      </c>
      <c r="S312" s="6" t="s">
        <v>56</v>
      </c>
      <c r="T312" s="6" t="s">
        <v>56</v>
      </c>
      <c r="AR312" s="6" t="s">
        <v>55</v>
      </c>
      <c r="AS312" s="6" t="s">
        <v>55</v>
      </c>
      <c r="AU312" s="6" t="s">
        <v>1031</v>
      </c>
      <c r="AV312">
        <v>2590</v>
      </c>
    </row>
    <row r="313" spans="1:48" ht="30" customHeight="1" x14ac:dyDescent="0.3">
      <c r="A313" s="4" t="s">
        <v>1032</v>
      </c>
      <c r="B313" s="4" t="s">
        <v>1033</v>
      </c>
      <c r="C313" s="4" t="s">
        <v>269</v>
      </c>
      <c r="D313" s="5">
        <v>18</v>
      </c>
      <c r="E313" s="7">
        <f>TRUNC([1]일위대가목록!E89,0)</f>
        <v>767</v>
      </c>
      <c r="F313" s="7">
        <f t="shared" si="35"/>
        <v>13806</v>
      </c>
      <c r="G313" s="7">
        <f>TRUNC([1]일위대가목록!F89,0)</f>
        <v>3221</v>
      </c>
      <c r="H313" s="7">
        <f t="shared" si="36"/>
        <v>57978</v>
      </c>
      <c r="I313" s="7">
        <f>TRUNC([1]일위대가목록!G89,0)</f>
        <v>0</v>
      </c>
      <c r="J313" s="7">
        <f t="shared" si="37"/>
        <v>0</v>
      </c>
      <c r="K313" s="7">
        <f t="shared" si="38"/>
        <v>3988</v>
      </c>
      <c r="L313" s="7">
        <f t="shared" si="38"/>
        <v>71784</v>
      </c>
      <c r="M313" s="4" t="s">
        <v>1034</v>
      </c>
      <c r="N313" s="6" t="s">
        <v>1035</v>
      </c>
      <c r="O313" s="6" t="s">
        <v>55</v>
      </c>
      <c r="P313" s="6" t="s">
        <v>55</v>
      </c>
      <c r="Q313" s="6" t="s">
        <v>961</v>
      </c>
      <c r="R313" s="6" t="s">
        <v>57</v>
      </c>
      <c r="S313" s="6" t="s">
        <v>56</v>
      </c>
      <c r="T313" s="6" t="s">
        <v>56</v>
      </c>
      <c r="AR313" s="6" t="s">
        <v>55</v>
      </c>
      <c r="AS313" s="6" t="s">
        <v>55</v>
      </c>
      <c r="AU313" s="6" t="s">
        <v>1036</v>
      </c>
      <c r="AV313">
        <v>2591</v>
      </c>
    </row>
    <row r="314" spans="1:48" ht="30" customHeight="1" x14ac:dyDescent="0.3">
      <c r="A314" s="4" t="s">
        <v>1037</v>
      </c>
      <c r="B314" s="4" t="s">
        <v>1038</v>
      </c>
      <c r="C314" s="4" t="s">
        <v>61</v>
      </c>
      <c r="D314" s="5">
        <v>123</v>
      </c>
      <c r="E314" s="7">
        <f>TRUNC([1]일위대가목록!E90,0)</f>
        <v>2946</v>
      </c>
      <c r="F314" s="7">
        <f t="shared" si="35"/>
        <v>362358</v>
      </c>
      <c r="G314" s="7">
        <f>TRUNC([1]일위대가목록!F90,0)</f>
        <v>30626</v>
      </c>
      <c r="H314" s="7">
        <f t="shared" si="36"/>
        <v>3766998</v>
      </c>
      <c r="I314" s="7">
        <f>TRUNC([1]일위대가목록!G90,0)</f>
        <v>0</v>
      </c>
      <c r="J314" s="7">
        <f t="shared" si="37"/>
        <v>0</v>
      </c>
      <c r="K314" s="7">
        <f t="shared" si="38"/>
        <v>33572</v>
      </c>
      <c r="L314" s="7">
        <f t="shared" si="38"/>
        <v>4129356</v>
      </c>
      <c r="M314" s="4" t="s">
        <v>1039</v>
      </c>
      <c r="N314" s="6" t="s">
        <v>1040</v>
      </c>
      <c r="O314" s="6" t="s">
        <v>55</v>
      </c>
      <c r="P314" s="6" t="s">
        <v>55</v>
      </c>
      <c r="Q314" s="6" t="s">
        <v>961</v>
      </c>
      <c r="R314" s="6" t="s">
        <v>57</v>
      </c>
      <c r="S314" s="6" t="s">
        <v>56</v>
      </c>
      <c r="T314" s="6" t="s">
        <v>56</v>
      </c>
      <c r="AR314" s="6" t="s">
        <v>55</v>
      </c>
      <c r="AS314" s="6" t="s">
        <v>55</v>
      </c>
      <c r="AU314" s="6" t="s">
        <v>1041</v>
      </c>
      <c r="AV314">
        <v>191</v>
      </c>
    </row>
    <row r="315" spans="1:48" ht="30" customHeight="1" x14ac:dyDescent="0.3">
      <c r="A315" s="4" t="s">
        <v>1042</v>
      </c>
      <c r="B315" s="4" t="s">
        <v>1038</v>
      </c>
      <c r="C315" s="4" t="s">
        <v>61</v>
      </c>
      <c r="D315" s="5">
        <v>111</v>
      </c>
      <c r="E315" s="7">
        <f>TRUNC([1]일위대가목록!E91,0)</f>
        <v>3227</v>
      </c>
      <c r="F315" s="7">
        <f t="shared" si="35"/>
        <v>358197</v>
      </c>
      <c r="G315" s="7">
        <f>TRUNC([1]일위대가목록!F91,0)</f>
        <v>31021</v>
      </c>
      <c r="H315" s="7">
        <f t="shared" si="36"/>
        <v>3443331</v>
      </c>
      <c r="I315" s="7">
        <f>TRUNC([1]일위대가목록!G91,0)</f>
        <v>0</v>
      </c>
      <c r="J315" s="7">
        <f t="shared" si="37"/>
        <v>0</v>
      </c>
      <c r="K315" s="7">
        <f t="shared" si="38"/>
        <v>34248</v>
      </c>
      <c r="L315" s="7">
        <f t="shared" si="38"/>
        <v>3801528</v>
      </c>
      <c r="M315" s="4" t="s">
        <v>1043</v>
      </c>
      <c r="N315" s="6" t="s">
        <v>1044</v>
      </c>
      <c r="O315" s="6" t="s">
        <v>55</v>
      </c>
      <c r="P315" s="6" t="s">
        <v>55</v>
      </c>
      <c r="Q315" s="6" t="s">
        <v>961</v>
      </c>
      <c r="R315" s="6" t="s">
        <v>57</v>
      </c>
      <c r="S315" s="6" t="s">
        <v>56</v>
      </c>
      <c r="T315" s="6" t="s">
        <v>56</v>
      </c>
      <c r="AR315" s="6" t="s">
        <v>55</v>
      </c>
      <c r="AS315" s="6" t="s">
        <v>55</v>
      </c>
      <c r="AU315" s="6" t="s">
        <v>1045</v>
      </c>
      <c r="AV315">
        <v>192</v>
      </c>
    </row>
    <row r="316" spans="1:48" ht="30" customHeight="1" x14ac:dyDescent="0.3">
      <c r="A316" s="4" t="s">
        <v>1046</v>
      </c>
      <c r="B316" s="4" t="s">
        <v>1047</v>
      </c>
      <c r="C316" s="4" t="s">
        <v>61</v>
      </c>
      <c r="D316" s="5">
        <v>403</v>
      </c>
      <c r="E316" s="7">
        <f>TRUNC([1]일위대가목록!E92,0)</f>
        <v>10850</v>
      </c>
      <c r="F316" s="7">
        <f t="shared" si="35"/>
        <v>4372550</v>
      </c>
      <c r="G316" s="7">
        <f>TRUNC([1]일위대가목록!F92,0)</f>
        <v>7090</v>
      </c>
      <c r="H316" s="7">
        <f t="shared" si="36"/>
        <v>2857270</v>
      </c>
      <c r="I316" s="7">
        <f>TRUNC([1]일위대가목록!G92,0)</f>
        <v>0</v>
      </c>
      <c r="J316" s="7">
        <f t="shared" si="37"/>
        <v>0</v>
      </c>
      <c r="K316" s="7">
        <f t="shared" si="38"/>
        <v>17940</v>
      </c>
      <c r="L316" s="7">
        <f t="shared" si="38"/>
        <v>7229820</v>
      </c>
      <c r="M316" s="4" t="s">
        <v>1048</v>
      </c>
      <c r="N316" s="6" t="s">
        <v>1049</v>
      </c>
      <c r="O316" s="6" t="s">
        <v>55</v>
      </c>
      <c r="P316" s="6" t="s">
        <v>55</v>
      </c>
      <c r="Q316" s="6" t="s">
        <v>961</v>
      </c>
      <c r="R316" s="6" t="s">
        <v>57</v>
      </c>
      <c r="S316" s="6" t="s">
        <v>56</v>
      </c>
      <c r="T316" s="6" t="s">
        <v>56</v>
      </c>
      <c r="AR316" s="6" t="s">
        <v>55</v>
      </c>
      <c r="AS316" s="6" t="s">
        <v>55</v>
      </c>
      <c r="AU316" s="6" t="s">
        <v>1050</v>
      </c>
      <c r="AV316">
        <v>200</v>
      </c>
    </row>
    <row r="317" spans="1:48" ht="30" customHeight="1" x14ac:dyDescent="0.3">
      <c r="A317" s="4" t="s">
        <v>1051</v>
      </c>
      <c r="B317" s="4" t="s">
        <v>998</v>
      </c>
      <c r="C317" s="4" t="s">
        <v>269</v>
      </c>
      <c r="D317" s="5">
        <v>1426</v>
      </c>
      <c r="E317" s="7">
        <f>TRUNC([1]일위대가목록!E93,0)</f>
        <v>4797</v>
      </c>
      <c r="F317" s="7">
        <f t="shared" si="35"/>
        <v>6840522</v>
      </c>
      <c r="G317" s="7">
        <f>TRUNC([1]일위대가목록!F93,0)</f>
        <v>1545</v>
      </c>
      <c r="H317" s="7">
        <f t="shared" si="36"/>
        <v>2203170</v>
      </c>
      <c r="I317" s="7">
        <f>TRUNC([1]일위대가목록!G93,0)</f>
        <v>0</v>
      </c>
      <c r="J317" s="7">
        <f t="shared" si="37"/>
        <v>0</v>
      </c>
      <c r="K317" s="7">
        <f t="shared" si="38"/>
        <v>6342</v>
      </c>
      <c r="L317" s="7">
        <f t="shared" si="38"/>
        <v>9043692</v>
      </c>
      <c r="M317" s="4" t="s">
        <v>1052</v>
      </c>
      <c r="N317" s="6" t="s">
        <v>1053</v>
      </c>
      <c r="O317" s="6" t="s">
        <v>55</v>
      </c>
      <c r="P317" s="6" t="s">
        <v>55</v>
      </c>
      <c r="Q317" s="6" t="s">
        <v>961</v>
      </c>
      <c r="R317" s="6" t="s">
        <v>57</v>
      </c>
      <c r="S317" s="6" t="s">
        <v>56</v>
      </c>
      <c r="T317" s="6" t="s">
        <v>56</v>
      </c>
      <c r="AR317" s="6" t="s">
        <v>55</v>
      </c>
      <c r="AS317" s="6" t="s">
        <v>55</v>
      </c>
      <c r="AU317" s="6" t="s">
        <v>1054</v>
      </c>
      <c r="AV317">
        <v>203</v>
      </c>
    </row>
    <row r="318" spans="1:48" ht="30" customHeight="1" x14ac:dyDescent="0.3">
      <c r="A318" s="4" t="s">
        <v>55</v>
      </c>
      <c r="B318" s="4" t="s">
        <v>55</v>
      </c>
      <c r="C318" s="4" t="s">
        <v>55</v>
      </c>
      <c r="D318" s="5"/>
      <c r="E318" s="7">
        <f>TRUNC([1]단가대비표!O549,0)</f>
        <v>0</v>
      </c>
      <c r="F318" s="7">
        <f t="shared" si="35"/>
        <v>0</v>
      </c>
      <c r="G318" s="7">
        <f>TRUNC([1]단가대비표!P549,0)</f>
        <v>0</v>
      </c>
      <c r="H318" s="7">
        <f t="shared" si="36"/>
        <v>0</v>
      </c>
      <c r="I318" s="7">
        <f>TRUNC([1]단가대비표!V549,0)</f>
        <v>0</v>
      </c>
      <c r="J318" s="7">
        <f t="shared" si="37"/>
        <v>0</v>
      </c>
      <c r="K318" s="7">
        <f t="shared" si="38"/>
        <v>0</v>
      </c>
      <c r="L318" s="7">
        <f t="shared" si="38"/>
        <v>0</v>
      </c>
      <c r="M318" s="4" t="s">
        <v>55</v>
      </c>
      <c r="N318" s="6" t="s">
        <v>1055</v>
      </c>
      <c r="O318" s="6" t="s">
        <v>55</v>
      </c>
      <c r="P318" s="6" t="s">
        <v>55</v>
      </c>
      <c r="Q318" s="6" t="s">
        <v>961</v>
      </c>
      <c r="R318" s="6" t="s">
        <v>56</v>
      </c>
      <c r="S318" s="6" t="s">
        <v>56</v>
      </c>
      <c r="T318" s="6" t="s">
        <v>57</v>
      </c>
      <c r="AR318" s="6" t="s">
        <v>55</v>
      </c>
      <c r="AS318" s="6" t="s">
        <v>55</v>
      </c>
      <c r="AU318" s="6" t="s">
        <v>1056</v>
      </c>
      <c r="AV318">
        <v>1924</v>
      </c>
    </row>
    <row r="319" spans="1:48" ht="30" customHeight="1" x14ac:dyDescent="0.3">
      <c r="A319" s="4" t="s">
        <v>1057</v>
      </c>
      <c r="B319" s="4" t="s">
        <v>55</v>
      </c>
      <c r="C319" s="4" t="s">
        <v>55</v>
      </c>
      <c r="D319" s="5"/>
      <c r="E319" s="7">
        <f>TRUNC([1]단가대비표!O820,0)</f>
        <v>0</v>
      </c>
      <c r="F319" s="7">
        <f t="shared" si="35"/>
        <v>0</v>
      </c>
      <c r="G319" s="7">
        <f>TRUNC([1]단가대비표!P820,0)</f>
        <v>0</v>
      </c>
      <c r="H319" s="7">
        <f t="shared" si="36"/>
        <v>0</v>
      </c>
      <c r="I319" s="7">
        <f>TRUNC([1]단가대비표!V820,0)</f>
        <v>0</v>
      </c>
      <c r="J319" s="7">
        <f t="shared" si="37"/>
        <v>0</v>
      </c>
      <c r="K319" s="7">
        <f t="shared" si="38"/>
        <v>0</v>
      </c>
      <c r="L319" s="7">
        <f t="shared" si="38"/>
        <v>0</v>
      </c>
      <c r="M319" s="4" t="s">
        <v>55</v>
      </c>
      <c r="N319" s="6" t="s">
        <v>1058</v>
      </c>
      <c r="O319" s="6" t="s">
        <v>55</v>
      </c>
      <c r="P319" s="6" t="s">
        <v>55</v>
      </c>
      <c r="Q319" s="6" t="s">
        <v>961</v>
      </c>
      <c r="R319" s="6" t="s">
        <v>56</v>
      </c>
      <c r="S319" s="6" t="s">
        <v>56</v>
      </c>
      <c r="T319" s="6" t="s">
        <v>57</v>
      </c>
      <c r="AR319" s="6" t="s">
        <v>55</v>
      </c>
      <c r="AS319" s="6" t="s">
        <v>55</v>
      </c>
      <c r="AU319" s="6" t="s">
        <v>1059</v>
      </c>
      <c r="AV319">
        <v>3001</v>
      </c>
    </row>
    <row r="320" spans="1:48" ht="30" customHeight="1" x14ac:dyDescent="0.3">
      <c r="A320" s="4" t="s">
        <v>1060</v>
      </c>
      <c r="B320" s="4" t="s">
        <v>988</v>
      </c>
      <c r="C320" s="4" t="s">
        <v>61</v>
      </c>
      <c r="D320" s="5">
        <v>130</v>
      </c>
      <c r="E320" s="7">
        <f>TRUNC([1]단가대비표!O553,0)</f>
        <v>7920</v>
      </c>
      <c r="F320" s="7">
        <f t="shared" si="35"/>
        <v>1029600</v>
      </c>
      <c r="G320" s="7">
        <f>TRUNC([1]단가대비표!P553,0)</f>
        <v>5151</v>
      </c>
      <c r="H320" s="7">
        <f t="shared" si="36"/>
        <v>669630</v>
      </c>
      <c r="I320" s="7">
        <f>TRUNC([1]단가대비표!V553,0)</f>
        <v>0</v>
      </c>
      <c r="J320" s="7">
        <f t="shared" si="37"/>
        <v>0</v>
      </c>
      <c r="K320" s="7">
        <f t="shared" si="38"/>
        <v>13071</v>
      </c>
      <c r="L320" s="7">
        <f t="shared" si="38"/>
        <v>1699230</v>
      </c>
      <c r="M320" s="4" t="s">
        <v>115</v>
      </c>
      <c r="N320" s="6" t="s">
        <v>1061</v>
      </c>
      <c r="O320" s="6" t="s">
        <v>55</v>
      </c>
      <c r="P320" s="6" t="s">
        <v>55</v>
      </c>
      <c r="Q320" s="6" t="s">
        <v>961</v>
      </c>
      <c r="R320" s="6" t="s">
        <v>56</v>
      </c>
      <c r="S320" s="6" t="s">
        <v>56</v>
      </c>
      <c r="T320" s="6" t="s">
        <v>57</v>
      </c>
      <c r="AR320" s="6" t="s">
        <v>55</v>
      </c>
      <c r="AS320" s="6" t="s">
        <v>55</v>
      </c>
      <c r="AU320" s="6" t="s">
        <v>1062</v>
      </c>
      <c r="AV320">
        <v>1949</v>
      </c>
    </row>
    <row r="321" spans="1:48" ht="30" customHeight="1" x14ac:dyDescent="0.3">
      <c r="A321" s="4" t="s">
        <v>1063</v>
      </c>
      <c r="B321" s="4" t="s">
        <v>1064</v>
      </c>
      <c r="C321" s="4" t="s">
        <v>269</v>
      </c>
      <c r="D321" s="5">
        <v>768</v>
      </c>
      <c r="E321" s="7">
        <f>TRUNC([1]단가대비표!O552,0)</f>
        <v>12900</v>
      </c>
      <c r="F321" s="7">
        <f t="shared" si="35"/>
        <v>9907200</v>
      </c>
      <c r="G321" s="7">
        <f>TRUNC([1]단가대비표!P552,0)</f>
        <v>12695</v>
      </c>
      <c r="H321" s="7">
        <f t="shared" si="36"/>
        <v>9749760</v>
      </c>
      <c r="I321" s="7">
        <f>TRUNC([1]단가대비표!V552,0)</f>
        <v>253</v>
      </c>
      <c r="J321" s="7">
        <f t="shared" si="37"/>
        <v>194304</v>
      </c>
      <c r="K321" s="7">
        <f t="shared" si="38"/>
        <v>25848</v>
      </c>
      <c r="L321" s="7">
        <f t="shared" si="38"/>
        <v>19851264</v>
      </c>
      <c r="M321" s="4" t="s">
        <v>115</v>
      </c>
      <c r="N321" s="6" t="s">
        <v>1065</v>
      </c>
      <c r="O321" s="6" t="s">
        <v>55</v>
      </c>
      <c r="P321" s="6" t="s">
        <v>55</v>
      </c>
      <c r="Q321" s="6" t="s">
        <v>961</v>
      </c>
      <c r="R321" s="6" t="s">
        <v>56</v>
      </c>
      <c r="S321" s="6" t="s">
        <v>56</v>
      </c>
      <c r="T321" s="6" t="s">
        <v>57</v>
      </c>
      <c r="AR321" s="6" t="s">
        <v>55</v>
      </c>
      <c r="AS321" s="6" t="s">
        <v>55</v>
      </c>
      <c r="AU321" s="6" t="s">
        <v>1066</v>
      </c>
      <c r="AV321">
        <v>1933</v>
      </c>
    </row>
    <row r="322" spans="1:48" ht="30" customHeight="1" x14ac:dyDescent="0.3">
      <c r="A322" s="4" t="s">
        <v>55</v>
      </c>
      <c r="B322" s="4" t="s">
        <v>55</v>
      </c>
      <c r="C322" s="4" t="s">
        <v>55</v>
      </c>
      <c r="D322" s="5"/>
      <c r="E322" s="7">
        <f>TRUNC([1]단가대비표!O819,0)</f>
        <v>0</v>
      </c>
      <c r="F322" s="7">
        <f t="shared" si="35"/>
        <v>0</v>
      </c>
      <c r="G322" s="7">
        <f>TRUNC([1]단가대비표!P819,0)</f>
        <v>0</v>
      </c>
      <c r="H322" s="7">
        <f t="shared" si="36"/>
        <v>0</v>
      </c>
      <c r="I322" s="7">
        <f>TRUNC([1]단가대비표!V819,0)</f>
        <v>0</v>
      </c>
      <c r="J322" s="7">
        <f t="shared" si="37"/>
        <v>0</v>
      </c>
      <c r="K322" s="7">
        <f t="shared" si="38"/>
        <v>0</v>
      </c>
      <c r="L322" s="7">
        <f t="shared" si="38"/>
        <v>0</v>
      </c>
      <c r="M322" s="4" t="s">
        <v>55</v>
      </c>
      <c r="N322" s="6" t="s">
        <v>1067</v>
      </c>
      <c r="O322" s="6" t="s">
        <v>55</v>
      </c>
      <c r="P322" s="6" t="s">
        <v>55</v>
      </c>
      <c r="Q322" s="6" t="s">
        <v>961</v>
      </c>
      <c r="R322" s="6" t="s">
        <v>56</v>
      </c>
      <c r="S322" s="6" t="s">
        <v>56</v>
      </c>
      <c r="T322" s="6" t="s">
        <v>57</v>
      </c>
      <c r="AR322" s="6" t="s">
        <v>55</v>
      </c>
      <c r="AS322" s="6" t="s">
        <v>55</v>
      </c>
      <c r="AU322" s="6" t="s">
        <v>1068</v>
      </c>
      <c r="AV322">
        <v>3000</v>
      </c>
    </row>
    <row r="323" spans="1:48" ht="30" customHeight="1" x14ac:dyDescent="0.3">
      <c r="A323" s="4" t="s">
        <v>1069</v>
      </c>
      <c r="B323" s="4" t="s">
        <v>55</v>
      </c>
      <c r="C323" s="4" t="s">
        <v>55</v>
      </c>
      <c r="D323" s="5"/>
      <c r="E323" s="7">
        <f>TRUNC([1]단가대비표!O550,0)</f>
        <v>0</v>
      </c>
      <c r="F323" s="7">
        <f t="shared" si="35"/>
        <v>0</v>
      </c>
      <c r="G323" s="7">
        <f>TRUNC([1]단가대비표!P550,0)</f>
        <v>0</v>
      </c>
      <c r="H323" s="7">
        <f t="shared" si="36"/>
        <v>0</v>
      </c>
      <c r="I323" s="7">
        <f>TRUNC([1]단가대비표!V550,0)</f>
        <v>0</v>
      </c>
      <c r="J323" s="7">
        <f t="shared" si="37"/>
        <v>0</v>
      </c>
      <c r="K323" s="7">
        <f t="shared" si="38"/>
        <v>0</v>
      </c>
      <c r="L323" s="7">
        <f t="shared" si="38"/>
        <v>0</v>
      </c>
      <c r="M323" s="4" t="s">
        <v>55</v>
      </c>
      <c r="N323" s="6" t="s">
        <v>1070</v>
      </c>
      <c r="O323" s="6" t="s">
        <v>55</v>
      </c>
      <c r="P323" s="6" t="s">
        <v>55</v>
      </c>
      <c r="Q323" s="6" t="s">
        <v>961</v>
      </c>
      <c r="R323" s="6" t="s">
        <v>56</v>
      </c>
      <c r="S323" s="6" t="s">
        <v>56</v>
      </c>
      <c r="T323" s="6" t="s">
        <v>57</v>
      </c>
      <c r="AR323" s="6" t="s">
        <v>55</v>
      </c>
      <c r="AS323" s="6" t="s">
        <v>55</v>
      </c>
      <c r="AU323" s="6" t="s">
        <v>1071</v>
      </c>
      <c r="AV323">
        <v>1925</v>
      </c>
    </row>
    <row r="324" spans="1:48" ht="30" customHeight="1" x14ac:dyDescent="0.3">
      <c r="A324" s="4" t="s">
        <v>1072</v>
      </c>
      <c r="B324" s="4" t="s">
        <v>1073</v>
      </c>
      <c r="C324" s="4" t="s">
        <v>61</v>
      </c>
      <c r="D324" s="5">
        <v>2674</v>
      </c>
      <c r="E324" s="7">
        <f>TRUNC([1]단가대비표!O551,0)</f>
        <v>28000</v>
      </c>
      <c r="F324" s="7">
        <f t="shared" si="35"/>
        <v>74872000</v>
      </c>
      <c r="G324" s="7">
        <f>TRUNC([1]단가대비표!P551,0)</f>
        <v>6828</v>
      </c>
      <c r="H324" s="7">
        <f t="shared" si="36"/>
        <v>18258072</v>
      </c>
      <c r="I324" s="7">
        <f>TRUNC([1]단가대비표!V551,0)</f>
        <v>672</v>
      </c>
      <c r="J324" s="7">
        <f t="shared" si="37"/>
        <v>1796928</v>
      </c>
      <c r="K324" s="7">
        <f t="shared" si="38"/>
        <v>35500</v>
      </c>
      <c r="L324" s="7">
        <f t="shared" si="38"/>
        <v>94927000</v>
      </c>
      <c r="M324" s="4" t="s">
        <v>115</v>
      </c>
      <c r="N324" s="6" t="s">
        <v>1074</v>
      </c>
      <c r="O324" s="6" t="s">
        <v>55</v>
      </c>
      <c r="P324" s="6" t="s">
        <v>55</v>
      </c>
      <c r="Q324" s="6" t="s">
        <v>961</v>
      </c>
      <c r="R324" s="6" t="s">
        <v>56</v>
      </c>
      <c r="S324" s="6" t="s">
        <v>56</v>
      </c>
      <c r="T324" s="6" t="s">
        <v>57</v>
      </c>
      <c r="AR324" s="6" t="s">
        <v>55</v>
      </c>
      <c r="AS324" s="6" t="s">
        <v>55</v>
      </c>
      <c r="AU324" s="6" t="s">
        <v>1075</v>
      </c>
      <c r="AV324">
        <v>1926</v>
      </c>
    </row>
    <row r="325" spans="1:48" ht="30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spans="1:48" ht="30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spans="1:48" ht="30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spans="1:48" ht="30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spans="1:48" ht="30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spans="1:48" ht="30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spans="1:48" ht="30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spans="1:48" ht="30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spans="1:48" ht="30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spans="1:48" ht="30" customHeight="1" x14ac:dyDescent="0.3">
      <c r="A334" s="4" t="s">
        <v>128</v>
      </c>
      <c r="B334" s="5"/>
      <c r="C334" s="5"/>
      <c r="D334" s="5"/>
      <c r="E334" s="5"/>
      <c r="F334" s="7">
        <f>SUM(F294:F333)</f>
        <v>283783588</v>
      </c>
      <c r="G334" s="5"/>
      <c r="H334" s="7">
        <f>SUM(H294:H333)</f>
        <v>230137139</v>
      </c>
      <c r="I334" s="5"/>
      <c r="J334" s="7">
        <f>SUM(J294:J333)</f>
        <v>2322924</v>
      </c>
      <c r="K334" s="5"/>
      <c r="L334" s="7">
        <f>SUM(L294:L333)</f>
        <v>516243651</v>
      </c>
      <c r="M334" s="5"/>
      <c r="N334" t="s">
        <v>129</v>
      </c>
    </row>
    <row r="335" spans="1:48" ht="30" customHeight="1" x14ac:dyDescent="0.3">
      <c r="A335" s="4" t="s">
        <v>1076</v>
      </c>
      <c r="B335" s="4" t="s">
        <v>48</v>
      </c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Q335" s="6" t="s">
        <v>1077</v>
      </c>
    </row>
    <row r="336" spans="1:48" ht="30" customHeight="1" x14ac:dyDescent="0.3">
      <c r="A336" s="4" t="s">
        <v>1078</v>
      </c>
      <c r="B336" s="4" t="s">
        <v>1079</v>
      </c>
      <c r="C336" s="4" t="s">
        <v>81</v>
      </c>
      <c r="D336" s="5">
        <v>2</v>
      </c>
      <c r="E336" s="7">
        <f>TRUNC([1]단가대비표!O169,0)</f>
        <v>50000</v>
      </c>
      <c r="F336" s="7">
        <f t="shared" ref="F336:F342" si="39">TRUNC(E336*D336, 0)</f>
        <v>100000</v>
      </c>
      <c r="G336" s="7">
        <f>TRUNC([1]단가대비표!P169,0)</f>
        <v>0</v>
      </c>
      <c r="H336" s="7">
        <f t="shared" ref="H336:H342" si="40">TRUNC(G336*D336, 0)</f>
        <v>0</v>
      </c>
      <c r="I336" s="7">
        <f>TRUNC([1]단가대비표!V169,0)</f>
        <v>0</v>
      </c>
      <c r="J336" s="7">
        <f t="shared" ref="J336:J342" si="41">TRUNC(I336*D336, 0)</f>
        <v>0</v>
      </c>
      <c r="K336" s="7">
        <f t="shared" ref="K336:L342" si="42">TRUNC(E336+G336+I336, 0)</f>
        <v>50000</v>
      </c>
      <c r="L336" s="7">
        <f t="shared" si="42"/>
        <v>100000</v>
      </c>
      <c r="M336" s="4" t="s">
        <v>55</v>
      </c>
      <c r="N336" s="6" t="s">
        <v>1080</v>
      </c>
      <c r="O336" s="6" t="s">
        <v>55</v>
      </c>
      <c r="P336" s="6" t="s">
        <v>55</v>
      </c>
      <c r="Q336" s="6" t="s">
        <v>1077</v>
      </c>
      <c r="R336" s="6" t="s">
        <v>56</v>
      </c>
      <c r="S336" s="6" t="s">
        <v>56</v>
      </c>
      <c r="T336" s="6" t="s">
        <v>57</v>
      </c>
      <c r="AR336" s="6" t="s">
        <v>55</v>
      </c>
      <c r="AS336" s="6" t="s">
        <v>55</v>
      </c>
      <c r="AU336" s="6" t="s">
        <v>1081</v>
      </c>
      <c r="AV336">
        <v>207</v>
      </c>
    </row>
    <row r="337" spans="1:48" ht="30" customHeight="1" x14ac:dyDescent="0.3">
      <c r="A337" s="4" t="s">
        <v>1082</v>
      </c>
      <c r="B337" s="4" t="s">
        <v>1083</v>
      </c>
      <c r="C337" s="4" t="s">
        <v>269</v>
      </c>
      <c r="D337" s="5">
        <v>19</v>
      </c>
      <c r="E337" s="7">
        <f>TRUNC([1]일위대가목록!E94,0)</f>
        <v>24592</v>
      </c>
      <c r="F337" s="7">
        <f t="shared" si="39"/>
        <v>467248</v>
      </c>
      <c r="G337" s="7">
        <f>TRUNC([1]일위대가목록!F94,0)</f>
        <v>16394</v>
      </c>
      <c r="H337" s="7">
        <f t="shared" si="40"/>
        <v>311486</v>
      </c>
      <c r="I337" s="7">
        <f>TRUNC([1]일위대가목록!G94,0)</f>
        <v>0</v>
      </c>
      <c r="J337" s="7">
        <f t="shared" si="41"/>
        <v>0</v>
      </c>
      <c r="K337" s="7">
        <f t="shared" si="42"/>
        <v>40986</v>
      </c>
      <c r="L337" s="7">
        <f t="shared" si="42"/>
        <v>778734</v>
      </c>
      <c r="M337" s="4" t="s">
        <v>1084</v>
      </c>
      <c r="N337" s="6" t="s">
        <v>1085</v>
      </c>
      <c r="O337" s="6" t="s">
        <v>55</v>
      </c>
      <c r="P337" s="6" t="s">
        <v>55</v>
      </c>
      <c r="Q337" s="6" t="s">
        <v>1077</v>
      </c>
      <c r="R337" s="6" t="s">
        <v>57</v>
      </c>
      <c r="S337" s="6" t="s">
        <v>56</v>
      </c>
      <c r="T337" s="6" t="s">
        <v>56</v>
      </c>
      <c r="AR337" s="6" t="s">
        <v>55</v>
      </c>
      <c r="AS337" s="6" t="s">
        <v>55</v>
      </c>
      <c r="AU337" s="6" t="s">
        <v>1086</v>
      </c>
      <c r="AV337">
        <v>2592</v>
      </c>
    </row>
    <row r="338" spans="1:48" ht="30" customHeight="1" x14ac:dyDescent="0.3">
      <c r="A338" s="4" t="s">
        <v>1082</v>
      </c>
      <c r="B338" s="4" t="s">
        <v>1087</v>
      </c>
      <c r="C338" s="4" t="s">
        <v>269</v>
      </c>
      <c r="D338" s="5">
        <v>22</v>
      </c>
      <c r="E338" s="7">
        <f>TRUNC([1]일위대가목록!E95,0)</f>
        <v>32095</v>
      </c>
      <c r="F338" s="7">
        <f t="shared" si="39"/>
        <v>706090</v>
      </c>
      <c r="G338" s="7">
        <f>TRUNC([1]일위대가목록!F95,0)</f>
        <v>20519</v>
      </c>
      <c r="H338" s="7">
        <f t="shared" si="40"/>
        <v>451418</v>
      </c>
      <c r="I338" s="7">
        <f>TRUNC([1]일위대가목록!G95,0)</f>
        <v>0</v>
      </c>
      <c r="J338" s="7">
        <f t="shared" si="41"/>
        <v>0</v>
      </c>
      <c r="K338" s="7">
        <f t="shared" si="42"/>
        <v>52614</v>
      </c>
      <c r="L338" s="7">
        <f t="shared" si="42"/>
        <v>1157508</v>
      </c>
      <c r="M338" s="4" t="s">
        <v>1088</v>
      </c>
      <c r="N338" s="6" t="s">
        <v>1089</v>
      </c>
      <c r="O338" s="6" t="s">
        <v>55</v>
      </c>
      <c r="P338" s="6" t="s">
        <v>55</v>
      </c>
      <c r="Q338" s="6" t="s">
        <v>1077</v>
      </c>
      <c r="R338" s="6" t="s">
        <v>57</v>
      </c>
      <c r="S338" s="6" t="s">
        <v>56</v>
      </c>
      <c r="T338" s="6" t="s">
        <v>56</v>
      </c>
      <c r="AR338" s="6" t="s">
        <v>55</v>
      </c>
      <c r="AS338" s="6" t="s">
        <v>55</v>
      </c>
      <c r="AU338" s="6" t="s">
        <v>1090</v>
      </c>
      <c r="AV338">
        <v>2593</v>
      </c>
    </row>
    <row r="339" spans="1:48" ht="30" customHeight="1" x14ac:dyDescent="0.3">
      <c r="A339" s="4" t="s">
        <v>1091</v>
      </c>
      <c r="B339" s="4" t="s">
        <v>1092</v>
      </c>
      <c r="C339" s="4" t="s">
        <v>81</v>
      </c>
      <c r="D339" s="5">
        <v>2</v>
      </c>
      <c r="E339" s="7">
        <f>TRUNC([1]일위대가목록!E96,0)</f>
        <v>22249</v>
      </c>
      <c r="F339" s="7">
        <f t="shared" si="39"/>
        <v>44498</v>
      </c>
      <c r="G339" s="7">
        <f>TRUNC([1]일위대가목록!F96,0)</f>
        <v>28354</v>
      </c>
      <c r="H339" s="7">
        <f t="shared" si="40"/>
        <v>56708</v>
      </c>
      <c r="I339" s="7">
        <f>TRUNC([1]일위대가목록!G96,0)</f>
        <v>1134</v>
      </c>
      <c r="J339" s="7">
        <f t="shared" si="41"/>
        <v>2268</v>
      </c>
      <c r="K339" s="7">
        <f t="shared" si="42"/>
        <v>51737</v>
      </c>
      <c r="L339" s="7">
        <f t="shared" si="42"/>
        <v>103474</v>
      </c>
      <c r="M339" s="4" t="s">
        <v>1093</v>
      </c>
      <c r="N339" s="6" t="s">
        <v>1094</v>
      </c>
      <c r="O339" s="6" t="s">
        <v>55</v>
      </c>
      <c r="P339" s="6" t="s">
        <v>55</v>
      </c>
      <c r="Q339" s="6" t="s">
        <v>1077</v>
      </c>
      <c r="R339" s="6" t="s">
        <v>57</v>
      </c>
      <c r="S339" s="6" t="s">
        <v>56</v>
      </c>
      <c r="T339" s="6" t="s">
        <v>56</v>
      </c>
      <c r="AR339" s="6" t="s">
        <v>55</v>
      </c>
      <c r="AS339" s="6" t="s">
        <v>55</v>
      </c>
      <c r="AU339" s="6" t="s">
        <v>1095</v>
      </c>
      <c r="AV339">
        <v>2083</v>
      </c>
    </row>
    <row r="340" spans="1:48" ht="30" customHeight="1" x14ac:dyDescent="0.3">
      <c r="A340" s="4" t="s">
        <v>1096</v>
      </c>
      <c r="B340" s="4" t="s">
        <v>1097</v>
      </c>
      <c r="C340" s="4" t="s">
        <v>488</v>
      </c>
      <c r="D340" s="5">
        <v>6</v>
      </c>
      <c r="E340" s="7">
        <f>TRUNC([1]일위대가목록!E97,0)</f>
        <v>27523</v>
      </c>
      <c r="F340" s="7">
        <f t="shared" si="39"/>
        <v>165138</v>
      </c>
      <c r="G340" s="7">
        <f>TRUNC([1]일위대가목록!F97,0)</f>
        <v>23444</v>
      </c>
      <c r="H340" s="7">
        <f t="shared" si="40"/>
        <v>140664</v>
      </c>
      <c r="I340" s="7">
        <f>TRUNC([1]일위대가목록!G97,0)</f>
        <v>0</v>
      </c>
      <c r="J340" s="7">
        <f t="shared" si="41"/>
        <v>0</v>
      </c>
      <c r="K340" s="7">
        <f t="shared" si="42"/>
        <v>50967</v>
      </c>
      <c r="L340" s="7">
        <f t="shared" si="42"/>
        <v>305802</v>
      </c>
      <c r="M340" s="4" t="s">
        <v>1098</v>
      </c>
      <c r="N340" s="6" t="s">
        <v>1099</v>
      </c>
      <c r="O340" s="6" t="s">
        <v>55</v>
      </c>
      <c r="P340" s="6" t="s">
        <v>55</v>
      </c>
      <c r="Q340" s="6" t="s">
        <v>1077</v>
      </c>
      <c r="R340" s="6" t="s">
        <v>57</v>
      </c>
      <c r="S340" s="6" t="s">
        <v>56</v>
      </c>
      <c r="T340" s="6" t="s">
        <v>56</v>
      </c>
      <c r="AR340" s="6" t="s">
        <v>55</v>
      </c>
      <c r="AS340" s="6" t="s">
        <v>55</v>
      </c>
      <c r="AU340" s="6" t="s">
        <v>1100</v>
      </c>
      <c r="AV340">
        <v>2594</v>
      </c>
    </row>
    <row r="341" spans="1:48" ht="30" customHeight="1" x14ac:dyDescent="0.3">
      <c r="A341" s="4" t="s">
        <v>1096</v>
      </c>
      <c r="B341" s="4" t="s">
        <v>1101</v>
      </c>
      <c r="C341" s="4" t="s">
        <v>488</v>
      </c>
      <c r="D341" s="5">
        <v>15</v>
      </c>
      <c r="E341" s="7">
        <f>TRUNC([1]일위대가목록!E98,0)</f>
        <v>28863</v>
      </c>
      <c r="F341" s="7">
        <f t="shared" si="39"/>
        <v>432945</v>
      </c>
      <c r="G341" s="7">
        <f>TRUNC([1]일위대가목록!F98,0)</f>
        <v>25594</v>
      </c>
      <c r="H341" s="7">
        <f t="shared" si="40"/>
        <v>383910</v>
      </c>
      <c r="I341" s="7">
        <f>TRUNC([1]일위대가목록!G98,0)</f>
        <v>0</v>
      </c>
      <c r="J341" s="7">
        <f t="shared" si="41"/>
        <v>0</v>
      </c>
      <c r="K341" s="7">
        <f t="shared" si="42"/>
        <v>54457</v>
      </c>
      <c r="L341" s="7">
        <f t="shared" si="42"/>
        <v>816855</v>
      </c>
      <c r="M341" s="4" t="s">
        <v>1102</v>
      </c>
      <c r="N341" s="6" t="s">
        <v>1103</v>
      </c>
      <c r="O341" s="6" t="s">
        <v>55</v>
      </c>
      <c r="P341" s="6" t="s">
        <v>55</v>
      </c>
      <c r="Q341" s="6" t="s">
        <v>1077</v>
      </c>
      <c r="R341" s="6" t="s">
        <v>57</v>
      </c>
      <c r="S341" s="6" t="s">
        <v>56</v>
      </c>
      <c r="T341" s="6" t="s">
        <v>56</v>
      </c>
      <c r="AR341" s="6" t="s">
        <v>55</v>
      </c>
      <c r="AS341" s="6" t="s">
        <v>55</v>
      </c>
      <c r="AU341" s="6" t="s">
        <v>1104</v>
      </c>
      <c r="AV341">
        <v>2595</v>
      </c>
    </row>
    <row r="342" spans="1:48" ht="30" customHeight="1" x14ac:dyDescent="0.3">
      <c r="A342" s="4" t="s">
        <v>1096</v>
      </c>
      <c r="B342" s="4" t="s">
        <v>1105</v>
      </c>
      <c r="C342" s="4" t="s">
        <v>488</v>
      </c>
      <c r="D342" s="5">
        <v>11</v>
      </c>
      <c r="E342" s="7">
        <f>TRUNC([1]일위대가목록!E99,0)</f>
        <v>136353</v>
      </c>
      <c r="F342" s="7">
        <f t="shared" si="39"/>
        <v>1499883</v>
      </c>
      <c r="G342" s="7">
        <f>TRUNC([1]일위대가목록!F99,0)</f>
        <v>41686</v>
      </c>
      <c r="H342" s="7">
        <f t="shared" si="40"/>
        <v>458546</v>
      </c>
      <c r="I342" s="7">
        <f>TRUNC([1]일위대가목록!G99,0)</f>
        <v>0</v>
      </c>
      <c r="J342" s="7">
        <f t="shared" si="41"/>
        <v>0</v>
      </c>
      <c r="K342" s="7">
        <f t="shared" si="42"/>
        <v>178039</v>
      </c>
      <c r="L342" s="7">
        <f t="shared" si="42"/>
        <v>1958429</v>
      </c>
      <c r="M342" s="4" t="s">
        <v>1106</v>
      </c>
      <c r="N342" s="6" t="s">
        <v>1107</v>
      </c>
      <c r="O342" s="6" t="s">
        <v>55</v>
      </c>
      <c r="P342" s="6" t="s">
        <v>55</v>
      </c>
      <c r="Q342" s="6" t="s">
        <v>1077</v>
      </c>
      <c r="R342" s="6" t="s">
        <v>57</v>
      </c>
      <c r="S342" s="6" t="s">
        <v>56</v>
      </c>
      <c r="T342" s="6" t="s">
        <v>56</v>
      </c>
      <c r="AR342" s="6" t="s">
        <v>55</v>
      </c>
      <c r="AS342" s="6" t="s">
        <v>55</v>
      </c>
      <c r="AU342" s="6" t="s">
        <v>1108</v>
      </c>
      <c r="AV342">
        <v>3302</v>
      </c>
    </row>
    <row r="343" spans="1:48" ht="30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spans="1:48" ht="30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spans="1:48" ht="30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spans="1:48" ht="30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spans="1:48" ht="30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spans="1:48" ht="30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spans="1:48" ht="30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spans="1:48" ht="30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spans="1:48" ht="30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spans="1:48" ht="30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spans="1:48" ht="30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spans="1:48" ht="30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spans="1:48" ht="30" customHeight="1" x14ac:dyDescent="0.3">
      <c r="A355" s="4" t="s">
        <v>128</v>
      </c>
      <c r="B355" s="5"/>
      <c r="C355" s="5"/>
      <c r="D355" s="5"/>
      <c r="E355" s="5"/>
      <c r="F355" s="7">
        <f>SUM(F336:F354)</f>
        <v>3415802</v>
      </c>
      <c r="G355" s="5"/>
      <c r="H355" s="7">
        <f>SUM(H336:H354)</f>
        <v>1802732</v>
      </c>
      <c r="I355" s="5"/>
      <c r="J355" s="7">
        <f>SUM(J336:J354)</f>
        <v>2268</v>
      </c>
      <c r="K355" s="5"/>
      <c r="L355" s="7">
        <f>SUM(L336:L354)</f>
        <v>5220802</v>
      </c>
      <c r="M355" s="5"/>
      <c r="N355" t="s">
        <v>129</v>
      </c>
    </row>
    <row r="356" spans="1:48" ht="30" customHeight="1" x14ac:dyDescent="0.3">
      <c r="A356" s="4" t="s">
        <v>1109</v>
      </c>
      <c r="B356" s="4" t="s">
        <v>48</v>
      </c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Q356" s="6" t="s">
        <v>1110</v>
      </c>
    </row>
    <row r="357" spans="1:48" ht="30" customHeight="1" x14ac:dyDescent="0.3">
      <c r="A357" s="4" t="s">
        <v>1111</v>
      </c>
      <c r="B357" s="4" t="s">
        <v>1112</v>
      </c>
      <c r="C357" s="4" t="s">
        <v>81</v>
      </c>
      <c r="D357" s="5">
        <v>309</v>
      </c>
      <c r="E357" s="7">
        <f>TRUNC([1]단가대비표!O163,0)</f>
        <v>12000</v>
      </c>
      <c r="F357" s="7">
        <f t="shared" ref="F357:F420" si="43">TRUNC(E357*D357, 0)</f>
        <v>3708000</v>
      </c>
      <c r="G357" s="7">
        <f>TRUNC([1]단가대비표!P163,0)</f>
        <v>0</v>
      </c>
      <c r="H357" s="7">
        <f t="shared" ref="H357:H420" si="44">TRUNC(G357*D357, 0)</f>
        <v>0</v>
      </c>
      <c r="I357" s="7">
        <f>TRUNC([1]단가대비표!V163,0)</f>
        <v>0</v>
      </c>
      <c r="J357" s="7">
        <f t="shared" ref="J357:J420" si="45">TRUNC(I357*D357, 0)</f>
        <v>0</v>
      </c>
      <c r="K357" s="7">
        <f t="shared" ref="K357:L388" si="46">TRUNC(E357+G357+I357, 0)</f>
        <v>12000</v>
      </c>
      <c r="L357" s="7">
        <f t="shared" si="46"/>
        <v>3708000</v>
      </c>
      <c r="M357" s="4" t="s">
        <v>55</v>
      </c>
      <c r="N357" s="6" t="s">
        <v>1113</v>
      </c>
      <c r="O357" s="6" t="s">
        <v>55</v>
      </c>
      <c r="P357" s="6" t="s">
        <v>55</v>
      </c>
      <c r="Q357" s="6" t="s">
        <v>1110</v>
      </c>
      <c r="R357" s="6" t="s">
        <v>56</v>
      </c>
      <c r="S357" s="6" t="s">
        <v>56</v>
      </c>
      <c r="T357" s="6" t="s">
        <v>57</v>
      </c>
      <c r="AR357" s="6" t="s">
        <v>55</v>
      </c>
      <c r="AS357" s="6" t="s">
        <v>55</v>
      </c>
      <c r="AU357" s="6" t="s">
        <v>1114</v>
      </c>
      <c r="AV357">
        <v>219</v>
      </c>
    </row>
    <row r="358" spans="1:48" ht="30" customHeight="1" x14ac:dyDescent="0.3">
      <c r="A358" s="4" t="s">
        <v>1115</v>
      </c>
      <c r="B358" s="4" t="s">
        <v>1116</v>
      </c>
      <c r="C358" s="4" t="s">
        <v>269</v>
      </c>
      <c r="D358" s="5">
        <v>465</v>
      </c>
      <c r="E358" s="7">
        <f>TRUNC([1]일위대가목록!E100,0)</f>
        <v>534</v>
      </c>
      <c r="F358" s="7">
        <f t="shared" si="43"/>
        <v>248310</v>
      </c>
      <c r="G358" s="7">
        <f>TRUNC([1]일위대가목록!F100,0)</f>
        <v>4096</v>
      </c>
      <c r="H358" s="7">
        <f t="shared" si="44"/>
        <v>1904640</v>
      </c>
      <c r="I358" s="7">
        <f>TRUNC([1]일위대가목록!G100,0)</f>
        <v>0</v>
      </c>
      <c r="J358" s="7">
        <f t="shared" si="45"/>
        <v>0</v>
      </c>
      <c r="K358" s="7">
        <f t="shared" si="46"/>
        <v>4630</v>
      </c>
      <c r="L358" s="7">
        <f t="shared" si="46"/>
        <v>2152950</v>
      </c>
      <c r="M358" s="4" t="s">
        <v>1117</v>
      </c>
      <c r="N358" s="6" t="s">
        <v>1118</v>
      </c>
      <c r="O358" s="6" t="s">
        <v>55</v>
      </c>
      <c r="P358" s="6" t="s">
        <v>55</v>
      </c>
      <c r="Q358" s="6" t="s">
        <v>1110</v>
      </c>
      <c r="R358" s="6" t="s">
        <v>57</v>
      </c>
      <c r="S358" s="6" t="s">
        <v>56</v>
      </c>
      <c r="T358" s="6" t="s">
        <v>56</v>
      </c>
      <c r="AR358" s="6" t="s">
        <v>55</v>
      </c>
      <c r="AS358" s="6" t="s">
        <v>55</v>
      </c>
      <c r="AU358" s="6" t="s">
        <v>1119</v>
      </c>
      <c r="AV358">
        <v>2596</v>
      </c>
    </row>
    <row r="359" spans="1:48" ht="30" customHeight="1" x14ac:dyDescent="0.3">
      <c r="A359" s="4" t="s">
        <v>1120</v>
      </c>
      <c r="B359" s="4" t="s">
        <v>1121</v>
      </c>
      <c r="C359" s="4" t="s">
        <v>269</v>
      </c>
      <c r="D359" s="5">
        <v>1013</v>
      </c>
      <c r="E359" s="7">
        <f>TRUNC([1]일위대가목록!E101,0)</f>
        <v>534</v>
      </c>
      <c r="F359" s="7">
        <f t="shared" si="43"/>
        <v>540942</v>
      </c>
      <c r="G359" s="7">
        <f>TRUNC([1]일위대가목록!F101,0)</f>
        <v>4096</v>
      </c>
      <c r="H359" s="7">
        <f t="shared" si="44"/>
        <v>4149248</v>
      </c>
      <c r="I359" s="7">
        <f>TRUNC([1]일위대가목록!G101,0)</f>
        <v>0</v>
      </c>
      <c r="J359" s="7">
        <f t="shared" si="45"/>
        <v>0</v>
      </c>
      <c r="K359" s="7">
        <f t="shared" si="46"/>
        <v>4630</v>
      </c>
      <c r="L359" s="7">
        <f t="shared" si="46"/>
        <v>4690190</v>
      </c>
      <c r="M359" s="4" t="s">
        <v>1122</v>
      </c>
      <c r="N359" s="6" t="s">
        <v>1123</v>
      </c>
      <c r="O359" s="6" t="s">
        <v>55</v>
      </c>
      <c r="P359" s="6" t="s">
        <v>55</v>
      </c>
      <c r="Q359" s="6" t="s">
        <v>1110</v>
      </c>
      <c r="R359" s="6" t="s">
        <v>57</v>
      </c>
      <c r="S359" s="6" t="s">
        <v>56</v>
      </c>
      <c r="T359" s="6" t="s">
        <v>56</v>
      </c>
      <c r="AR359" s="6" t="s">
        <v>55</v>
      </c>
      <c r="AS359" s="6" t="s">
        <v>55</v>
      </c>
      <c r="AU359" s="6" t="s">
        <v>1124</v>
      </c>
      <c r="AV359">
        <v>2597</v>
      </c>
    </row>
    <row r="360" spans="1:48" ht="30" customHeight="1" x14ac:dyDescent="0.3">
      <c r="A360" s="4" t="s">
        <v>1125</v>
      </c>
      <c r="B360" s="4" t="s">
        <v>1126</v>
      </c>
      <c r="C360" s="4" t="s">
        <v>269</v>
      </c>
      <c r="D360" s="5">
        <v>120</v>
      </c>
      <c r="E360" s="7">
        <f>TRUNC([1]일위대가목록!E102,0)</f>
        <v>1542</v>
      </c>
      <c r="F360" s="7">
        <f t="shared" si="43"/>
        <v>185040</v>
      </c>
      <c r="G360" s="7">
        <f>TRUNC([1]일위대가목록!F102,0)</f>
        <v>4096</v>
      </c>
      <c r="H360" s="7">
        <f t="shared" si="44"/>
        <v>491520</v>
      </c>
      <c r="I360" s="7">
        <f>TRUNC([1]일위대가목록!G102,0)</f>
        <v>0</v>
      </c>
      <c r="J360" s="7">
        <f t="shared" si="45"/>
        <v>0</v>
      </c>
      <c r="K360" s="7">
        <f t="shared" si="46"/>
        <v>5638</v>
      </c>
      <c r="L360" s="7">
        <f t="shared" si="46"/>
        <v>676560</v>
      </c>
      <c r="M360" s="4" t="s">
        <v>1127</v>
      </c>
      <c r="N360" s="6" t="s">
        <v>1128</v>
      </c>
      <c r="O360" s="6" t="s">
        <v>55</v>
      </c>
      <c r="P360" s="6" t="s">
        <v>55</v>
      </c>
      <c r="Q360" s="6" t="s">
        <v>1110</v>
      </c>
      <c r="R360" s="6" t="s">
        <v>57</v>
      </c>
      <c r="S360" s="6" t="s">
        <v>56</v>
      </c>
      <c r="T360" s="6" t="s">
        <v>56</v>
      </c>
      <c r="AR360" s="6" t="s">
        <v>55</v>
      </c>
      <c r="AS360" s="6" t="s">
        <v>55</v>
      </c>
      <c r="AU360" s="6" t="s">
        <v>1129</v>
      </c>
      <c r="AV360">
        <v>2598</v>
      </c>
    </row>
    <row r="361" spans="1:48" ht="30" customHeight="1" x14ac:dyDescent="0.3">
      <c r="A361" s="4" t="s">
        <v>1130</v>
      </c>
      <c r="B361" s="4" t="s">
        <v>1131</v>
      </c>
      <c r="C361" s="4" t="s">
        <v>269</v>
      </c>
      <c r="D361" s="5">
        <v>355</v>
      </c>
      <c r="E361" s="7">
        <f>TRUNC([1]일위대가목록!E103,0)</f>
        <v>5406</v>
      </c>
      <c r="F361" s="7">
        <f t="shared" si="43"/>
        <v>1919130</v>
      </c>
      <c r="G361" s="7">
        <f>TRUNC([1]일위대가목록!F103,0)</f>
        <v>16634</v>
      </c>
      <c r="H361" s="7">
        <f t="shared" si="44"/>
        <v>5905070</v>
      </c>
      <c r="I361" s="7">
        <f>TRUNC([1]일위대가목록!G103,0)</f>
        <v>770</v>
      </c>
      <c r="J361" s="7">
        <f t="shared" si="45"/>
        <v>273350</v>
      </c>
      <c r="K361" s="7">
        <f t="shared" si="46"/>
        <v>22810</v>
      </c>
      <c r="L361" s="7">
        <f t="shared" si="46"/>
        <v>8097550</v>
      </c>
      <c r="M361" s="4" t="s">
        <v>1132</v>
      </c>
      <c r="N361" s="6" t="s">
        <v>1133</v>
      </c>
      <c r="O361" s="6" t="s">
        <v>55</v>
      </c>
      <c r="P361" s="6" t="s">
        <v>55</v>
      </c>
      <c r="Q361" s="6" t="s">
        <v>1110</v>
      </c>
      <c r="R361" s="6" t="s">
        <v>57</v>
      </c>
      <c r="S361" s="6" t="s">
        <v>56</v>
      </c>
      <c r="T361" s="6" t="s">
        <v>56</v>
      </c>
      <c r="AR361" s="6" t="s">
        <v>55</v>
      </c>
      <c r="AS361" s="6" t="s">
        <v>55</v>
      </c>
      <c r="AU361" s="6" t="s">
        <v>1134</v>
      </c>
      <c r="AV361">
        <v>2085</v>
      </c>
    </row>
    <row r="362" spans="1:48" ht="30" customHeight="1" x14ac:dyDescent="0.3">
      <c r="A362" s="4" t="s">
        <v>1135</v>
      </c>
      <c r="B362" s="4" t="s">
        <v>1136</v>
      </c>
      <c r="C362" s="4" t="s">
        <v>125</v>
      </c>
      <c r="D362" s="5">
        <v>2</v>
      </c>
      <c r="E362" s="7">
        <f>TRUNC([1]일위대가목록!E104,0)</f>
        <v>50964</v>
      </c>
      <c r="F362" s="7">
        <f t="shared" si="43"/>
        <v>101928</v>
      </c>
      <c r="G362" s="7">
        <f>TRUNC([1]일위대가목록!F104,0)</f>
        <v>55914</v>
      </c>
      <c r="H362" s="7">
        <f t="shared" si="44"/>
        <v>111828</v>
      </c>
      <c r="I362" s="7">
        <f>TRUNC([1]일위대가목록!G104,0)</f>
        <v>2235</v>
      </c>
      <c r="J362" s="7">
        <f t="shared" si="45"/>
        <v>4470</v>
      </c>
      <c r="K362" s="7">
        <f t="shared" si="46"/>
        <v>109113</v>
      </c>
      <c r="L362" s="7">
        <f t="shared" si="46"/>
        <v>218226</v>
      </c>
      <c r="M362" s="4" t="s">
        <v>1137</v>
      </c>
      <c r="N362" s="6" t="s">
        <v>1138</v>
      </c>
      <c r="O362" s="6" t="s">
        <v>55</v>
      </c>
      <c r="P362" s="6" t="s">
        <v>55</v>
      </c>
      <c r="Q362" s="6" t="s">
        <v>1110</v>
      </c>
      <c r="R362" s="6" t="s">
        <v>57</v>
      </c>
      <c r="S362" s="6" t="s">
        <v>56</v>
      </c>
      <c r="T362" s="6" t="s">
        <v>56</v>
      </c>
      <c r="AR362" s="6" t="s">
        <v>55</v>
      </c>
      <c r="AS362" s="6" t="s">
        <v>55</v>
      </c>
      <c r="AU362" s="6" t="s">
        <v>1139</v>
      </c>
      <c r="AV362">
        <v>2086</v>
      </c>
    </row>
    <row r="363" spans="1:48" ht="30" customHeight="1" x14ac:dyDescent="0.3">
      <c r="A363" s="4" t="s">
        <v>1140</v>
      </c>
      <c r="B363" s="4" t="s">
        <v>1141</v>
      </c>
      <c r="C363" s="4" t="s">
        <v>125</v>
      </c>
      <c r="D363" s="5">
        <v>2</v>
      </c>
      <c r="E363" s="7">
        <f>TRUNC([1]일위대가목록!E105,0)</f>
        <v>194202</v>
      </c>
      <c r="F363" s="7">
        <f t="shared" si="43"/>
        <v>388404</v>
      </c>
      <c r="G363" s="7">
        <f>TRUNC([1]일위대가목록!F105,0)</f>
        <v>213108</v>
      </c>
      <c r="H363" s="7">
        <f t="shared" si="44"/>
        <v>426216</v>
      </c>
      <c r="I363" s="7">
        <f>TRUNC([1]일위대가목록!G105,0)</f>
        <v>8520</v>
      </c>
      <c r="J363" s="7">
        <f t="shared" si="45"/>
        <v>17040</v>
      </c>
      <c r="K363" s="7">
        <f t="shared" si="46"/>
        <v>415830</v>
      </c>
      <c r="L363" s="7">
        <f t="shared" si="46"/>
        <v>831660</v>
      </c>
      <c r="M363" s="4" t="s">
        <v>1142</v>
      </c>
      <c r="N363" s="6" t="s">
        <v>1143</v>
      </c>
      <c r="O363" s="6" t="s">
        <v>55</v>
      </c>
      <c r="P363" s="6" t="s">
        <v>55</v>
      </c>
      <c r="Q363" s="6" t="s">
        <v>1110</v>
      </c>
      <c r="R363" s="6" t="s">
        <v>57</v>
      </c>
      <c r="S363" s="6" t="s">
        <v>56</v>
      </c>
      <c r="T363" s="6" t="s">
        <v>56</v>
      </c>
      <c r="AR363" s="6" t="s">
        <v>55</v>
      </c>
      <c r="AS363" s="6" t="s">
        <v>55</v>
      </c>
      <c r="AU363" s="6" t="s">
        <v>1144</v>
      </c>
      <c r="AV363">
        <v>2087</v>
      </c>
    </row>
    <row r="364" spans="1:48" ht="30" customHeight="1" x14ac:dyDescent="0.3">
      <c r="A364" s="4" t="s">
        <v>1145</v>
      </c>
      <c r="B364" s="4" t="s">
        <v>1146</v>
      </c>
      <c r="C364" s="4" t="s">
        <v>52</v>
      </c>
      <c r="D364" s="5">
        <v>295</v>
      </c>
      <c r="E364" s="7">
        <f>TRUNC([1]단가대비표!O239,0)</f>
        <v>2608</v>
      </c>
      <c r="F364" s="7">
        <f t="shared" si="43"/>
        <v>769360</v>
      </c>
      <c r="G364" s="7">
        <f>TRUNC([1]단가대비표!P239,0)</f>
        <v>7421</v>
      </c>
      <c r="H364" s="7">
        <f t="shared" si="44"/>
        <v>2189195</v>
      </c>
      <c r="I364" s="7">
        <f>TRUNC([1]단가대비표!V239,0)</f>
        <v>0</v>
      </c>
      <c r="J364" s="7">
        <f t="shared" si="45"/>
        <v>0</v>
      </c>
      <c r="K364" s="7">
        <f t="shared" si="46"/>
        <v>10029</v>
      </c>
      <c r="L364" s="7">
        <f t="shared" si="46"/>
        <v>2958555</v>
      </c>
      <c r="M364" s="4" t="s">
        <v>1147</v>
      </c>
      <c r="N364" s="6" t="s">
        <v>1148</v>
      </c>
      <c r="O364" s="6" t="s">
        <v>55</v>
      </c>
      <c r="P364" s="6" t="s">
        <v>55</v>
      </c>
      <c r="Q364" s="6" t="s">
        <v>1110</v>
      </c>
      <c r="R364" s="6" t="s">
        <v>56</v>
      </c>
      <c r="S364" s="6" t="s">
        <v>56</v>
      </c>
      <c r="T364" s="6" t="s">
        <v>57</v>
      </c>
      <c r="AR364" s="6" t="s">
        <v>55</v>
      </c>
      <c r="AS364" s="6" t="s">
        <v>55</v>
      </c>
      <c r="AU364" s="6" t="s">
        <v>1149</v>
      </c>
      <c r="AV364">
        <v>237</v>
      </c>
    </row>
    <row r="365" spans="1:48" ht="30" customHeight="1" x14ac:dyDescent="0.3">
      <c r="A365" s="4" t="s">
        <v>1150</v>
      </c>
      <c r="B365" s="4" t="s">
        <v>1151</v>
      </c>
      <c r="C365" s="4" t="s">
        <v>269</v>
      </c>
      <c r="D365" s="5">
        <v>8</v>
      </c>
      <c r="E365" s="7">
        <f>TRUNC([1]일위대가목록!E106,0)</f>
        <v>26971</v>
      </c>
      <c r="F365" s="7">
        <f t="shared" si="43"/>
        <v>215768</v>
      </c>
      <c r="G365" s="7">
        <f>TRUNC([1]일위대가목록!F106,0)</f>
        <v>84234</v>
      </c>
      <c r="H365" s="7">
        <f t="shared" si="44"/>
        <v>673872</v>
      </c>
      <c r="I365" s="7">
        <f>TRUNC([1]일위대가목록!G106,0)</f>
        <v>3850</v>
      </c>
      <c r="J365" s="7">
        <f t="shared" si="45"/>
        <v>30800</v>
      </c>
      <c r="K365" s="7">
        <f t="shared" si="46"/>
        <v>115055</v>
      </c>
      <c r="L365" s="7">
        <f t="shared" si="46"/>
        <v>920440</v>
      </c>
      <c r="M365" s="4" t="s">
        <v>1152</v>
      </c>
      <c r="N365" s="6" t="s">
        <v>1153</v>
      </c>
      <c r="O365" s="6" t="s">
        <v>55</v>
      </c>
      <c r="P365" s="6" t="s">
        <v>55</v>
      </c>
      <c r="Q365" s="6" t="s">
        <v>1110</v>
      </c>
      <c r="R365" s="6" t="s">
        <v>57</v>
      </c>
      <c r="S365" s="6" t="s">
        <v>56</v>
      </c>
      <c r="T365" s="6" t="s">
        <v>56</v>
      </c>
      <c r="AR365" s="6" t="s">
        <v>55</v>
      </c>
      <c r="AS365" s="6" t="s">
        <v>55</v>
      </c>
      <c r="AU365" s="6" t="s">
        <v>1154</v>
      </c>
      <c r="AV365">
        <v>2091</v>
      </c>
    </row>
    <row r="366" spans="1:48" ht="30" customHeight="1" x14ac:dyDescent="0.3">
      <c r="A366" s="4" t="s">
        <v>1150</v>
      </c>
      <c r="B366" s="4" t="s">
        <v>1155</v>
      </c>
      <c r="C366" s="4" t="s">
        <v>269</v>
      </c>
      <c r="D366" s="5">
        <v>2</v>
      </c>
      <c r="E366" s="7">
        <f>TRUNC([1]일위대가목록!E107,0)</f>
        <v>26971</v>
      </c>
      <c r="F366" s="7">
        <f t="shared" si="43"/>
        <v>53942</v>
      </c>
      <c r="G366" s="7">
        <f>TRUNC([1]일위대가목록!F107,0)</f>
        <v>84234</v>
      </c>
      <c r="H366" s="7">
        <f t="shared" si="44"/>
        <v>168468</v>
      </c>
      <c r="I366" s="7">
        <f>TRUNC([1]일위대가목록!G107,0)</f>
        <v>3850</v>
      </c>
      <c r="J366" s="7">
        <f t="shared" si="45"/>
        <v>7700</v>
      </c>
      <c r="K366" s="7">
        <f t="shared" si="46"/>
        <v>115055</v>
      </c>
      <c r="L366" s="7">
        <f t="shared" si="46"/>
        <v>230110</v>
      </c>
      <c r="M366" s="4" t="s">
        <v>1156</v>
      </c>
      <c r="N366" s="6" t="s">
        <v>1157</v>
      </c>
      <c r="O366" s="6" t="s">
        <v>55</v>
      </c>
      <c r="P366" s="6" t="s">
        <v>55</v>
      </c>
      <c r="Q366" s="6" t="s">
        <v>1110</v>
      </c>
      <c r="R366" s="6" t="s">
        <v>57</v>
      </c>
      <c r="S366" s="6" t="s">
        <v>56</v>
      </c>
      <c r="T366" s="6" t="s">
        <v>56</v>
      </c>
      <c r="AR366" s="6" t="s">
        <v>55</v>
      </c>
      <c r="AS366" s="6" t="s">
        <v>55</v>
      </c>
      <c r="AU366" s="6" t="s">
        <v>1158</v>
      </c>
      <c r="AV366">
        <v>3228</v>
      </c>
    </row>
    <row r="367" spans="1:48" ht="30" customHeight="1" x14ac:dyDescent="0.3">
      <c r="A367" s="4" t="s">
        <v>1159</v>
      </c>
      <c r="B367" s="4" t="s">
        <v>1160</v>
      </c>
      <c r="C367" s="4" t="s">
        <v>269</v>
      </c>
      <c r="D367" s="5">
        <v>263</v>
      </c>
      <c r="E367" s="7">
        <f>TRUNC([1]일위대가목록!E108,0)</f>
        <v>2608</v>
      </c>
      <c r="F367" s="7">
        <f t="shared" si="43"/>
        <v>685904</v>
      </c>
      <c r="G367" s="7">
        <f>TRUNC([1]일위대가목록!F108,0)</f>
        <v>7421</v>
      </c>
      <c r="H367" s="7">
        <f t="shared" si="44"/>
        <v>1951723</v>
      </c>
      <c r="I367" s="7">
        <f>TRUNC([1]일위대가목록!G108,0)</f>
        <v>0</v>
      </c>
      <c r="J367" s="7">
        <f t="shared" si="45"/>
        <v>0</v>
      </c>
      <c r="K367" s="7">
        <f t="shared" si="46"/>
        <v>10029</v>
      </c>
      <c r="L367" s="7">
        <f t="shared" si="46"/>
        <v>2637627</v>
      </c>
      <c r="M367" s="4" t="s">
        <v>1161</v>
      </c>
      <c r="N367" s="6" t="s">
        <v>1162</v>
      </c>
      <c r="O367" s="6" t="s">
        <v>55</v>
      </c>
      <c r="P367" s="6" t="s">
        <v>55</v>
      </c>
      <c r="Q367" s="6" t="s">
        <v>1110</v>
      </c>
      <c r="R367" s="6" t="s">
        <v>57</v>
      </c>
      <c r="S367" s="6" t="s">
        <v>56</v>
      </c>
      <c r="T367" s="6" t="s">
        <v>56</v>
      </c>
      <c r="AR367" s="6" t="s">
        <v>55</v>
      </c>
      <c r="AS367" s="6" t="s">
        <v>55</v>
      </c>
      <c r="AU367" s="6" t="s">
        <v>1163</v>
      </c>
      <c r="AV367">
        <v>3233</v>
      </c>
    </row>
    <row r="368" spans="1:48" ht="30" customHeight="1" x14ac:dyDescent="0.3">
      <c r="A368" s="4" t="s">
        <v>1164</v>
      </c>
      <c r="B368" s="4" t="s">
        <v>1165</v>
      </c>
      <c r="C368" s="4" t="s">
        <v>269</v>
      </c>
      <c r="D368" s="5">
        <v>76</v>
      </c>
      <c r="E368" s="7">
        <f>TRUNC([1]일위대가목록!E109,0)</f>
        <v>26971</v>
      </c>
      <c r="F368" s="7">
        <f t="shared" si="43"/>
        <v>2049796</v>
      </c>
      <c r="G368" s="7">
        <f>TRUNC([1]일위대가목록!F109,0)</f>
        <v>84234</v>
      </c>
      <c r="H368" s="7">
        <f t="shared" si="44"/>
        <v>6401784</v>
      </c>
      <c r="I368" s="7">
        <f>TRUNC([1]일위대가목록!G109,0)</f>
        <v>3850</v>
      </c>
      <c r="J368" s="7">
        <f t="shared" si="45"/>
        <v>292600</v>
      </c>
      <c r="K368" s="7">
        <f t="shared" si="46"/>
        <v>115055</v>
      </c>
      <c r="L368" s="7">
        <f t="shared" si="46"/>
        <v>8744180</v>
      </c>
      <c r="M368" s="4" t="s">
        <v>1166</v>
      </c>
      <c r="N368" s="6" t="s">
        <v>1167</v>
      </c>
      <c r="O368" s="6" t="s">
        <v>55</v>
      </c>
      <c r="P368" s="6" t="s">
        <v>55</v>
      </c>
      <c r="Q368" s="6" t="s">
        <v>1110</v>
      </c>
      <c r="R368" s="6" t="s">
        <v>57</v>
      </c>
      <c r="S368" s="6" t="s">
        <v>56</v>
      </c>
      <c r="T368" s="6" t="s">
        <v>56</v>
      </c>
      <c r="AR368" s="6" t="s">
        <v>55</v>
      </c>
      <c r="AS368" s="6" t="s">
        <v>55</v>
      </c>
      <c r="AU368" s="6" t="s">
        <v>1168</v>
      </c>
      <c r="AV368">
        <v>3229</v>
      </c>
    </row>
    <row r="369" spans="1:48" ht="30" customHeight="1" x14ac:dyDescent="0.3">
      <c r="A369" s="4" t="s">
        <v>1169</v>
      </c>
      <c r="B369" s="4" t="s">
        <v>1170</v>
      </c>
      <c r="C369" s="4" t="s">
        <v>269</v>
      </c>
      <c r="D369" s="5">
        <v>35</v>
      </c>
      <c r="E369" s="7">
        <f>TRUNC([1]일위대가목록!E110,0)</f>
        <v>26971</v>
      </c>
      <c r="F369" s="7">
        <f t="shared" si="43"/>
        <v>943985</v>
      </c>
      <c r="G369" s="7">
        <f>TRUNC([1]일위대가목록!F110,0)</f>
        <v>84234</v>
      </c>
      <c r="H369" s="7">
        <f t="shared" si="44"/>
        <v>2948190</v>
      </c>
      <c r="I369" s="7">
        <f>TRUNC([1]일위대가목록!G110,0)</f>
        <v>3850</v>
      </c>
      <c r="J369" s="7">
        <f t="shared" si="45"/>
        <v>134750</v>
      </c>
      <c r="K369" s="7">
        <f t="shared" si="46"/>
        <v>115055</v>
      </c>
      <c r="L369" s="7">
        <f t="shared" si="46"/>
        <v>4026925</v>
      </c>
      <c r="M369" s="4" t="s">
        <v>1171</v>
      </c>
      <c r="N369" s="6" t="s">
        <v>1172</v>
      </c>
      <c r="O369" s="6" t="s">
        <v>55</v>
      </c>
      <c r="P369" s="6" t="s">
        <v>55</v>
      </c>
      <c r="Q369" s="6" t="s">
        <v>1110</v>
      </c>
      <c r="R369" s="6" t="s">
        <v>57</v>
      </c>
      <c r="S369" s="6" t="s">
        <v>56</v>
      </c>
      <c r="T369" s="6" t="s">
        <v>56</v>
      </c>
      <c r="AR369" s="6" t="s">
        <v>55</v>
      </c>
      <c r="AS369" s="6" t="s">
        <v>55</v>
      </c>
      <c r="AU369" s="6" t="s">
        <v>1173</v>
      </c>
      <c r="AV369">
        <v>3230</v>
      </c>
    </row>
    <row r="370" spans="1:48" ht="30" customHeight="1" x14ac:dyDescent="0.3">
      <c r="A370" s="4" t="s">
        <v>1169</v>
      </c>
      <c r="B370" s="4" t="s">
        <v>1174</v>
      </c>
      <c r="C370" s="4" t="s">
        <v>269</v>
      </c>
      <c r="D370" s="5">
        <v>46</v>
      </c>
      <c r="E370" s="7">
        <f>TRUNC([1]일위대가목록!E111,0)</f>
        <v>26971</v>
      </c>
      <c r="F370" s="7">
        <f t="shared" si="43"/>
        <v>1240666</v>
      </c>
      <c r="G370" s="7">
        <f>TRUNC([1]일위대가목록!F111,0)</f>
        <v>84234</v>
      </c>
      <c r="H370" s="7">
        <f t="shared" si="44"/>
        <v>3874764</v>
      </c>
      <c r="I370" s="7">
        <f>TRUNC([1]일위대가목록!G111,0)</f>
        <v>3850</v>
      </c>
      <c r="J370" s="7">
        <f t="shared" si="45"/>
        <v>177100</v>
      </c>
      <c r="K370" s="7">
        <f t="shared" si="46"/>
        <v>115055</v>
      </c>
      <c r="L370" s="7">
        <f t="shared" si="46"/>
        <v>5292530</v>
      </c>
      <c r="M370" s="4" t="s">
        <v>1175</v>
      </c>
      <c r="N370" s="6" t="s">
        <v>1176</v>
      </c>
      <c r="O370" s="6" t="s">
        <v>55</v>
      </c>
      <c r="P370" s="6" t="s">
        <v>55</v>
      </c>
      <c r="Q370" s="6" t="s">
        <v>1110</v>
      </c>
      <c r="R370" s="6" t="s">
        <v>57</v>
      </c>
      <c r="S370" s="6" t="s">
        <v>56</v>
      </c>
      <c r="T370" s="6" t="s">
        <v>56</v>
      </c>
      <c r="AR370" s="6" t="s">
        <v>55</v>
      </c>
      <c r="AS370" s="6" t="s">
        <v>55</v>
      </c>
      <c r="AU370" s="6" t="s">
        <v>1177</v>
      </c>
      <c r="AV370">
        <v>3231</v>
      </c>
    </row>
    <row r="371" spans="1:48" ht="30" customHeight="1" x14ac:dyDescent="0.3">
      <c r="A371" s="4" t="s">
        <v>1178</v>
      </c>
      <c r="B371" s="4" t="s">
        <v>55</v>
      </c>
      <c r="C371" s="4" t="s">
        <v>269</v>
      </c>
      <c r="D371" s="5">
        <v>194</v>
      </c>
      <c r="E371" s="7">
        <f>TRUNC([1]일위대가목록!E112,0)</f>
        <v>26971</v>
      </c>
      <c r="F371" s="7">
        <f t="shared" si="43"/>
        <v>5232374</v>
      </c>
      <c r="G371" s="7">
        <f>TRUNC([1]일위대가목록!F112,0)</f>
        <v>84234</v>
      </c>
      <c r="H371" s="7">
        <f t="shared" si="44"/>
        <v>16341396</v>
      </c>
      <c r="I371" s="7">
        <f>TRUNC([1]일위대가목록!G112,0)</f>
        <v>3850</v>
      </c>
      <c r="J371" s="7">
        <f t="shared" si="45"/>
        <v>746900</v>
      </c>
      <c r="K371" s="7">
        <f t="shared" si="46"/>
        <v>115055</v>
      </c>
      <c r="L371" s="7">
        <f t="shared" si="46"/>
        <v>22320670</v>
      </c>
      <c r="M371" s="4" t="s">
        <v>1179</v>
      </c>
      <c r="N371" s="6" t="s">
        <v>1180</v>
      </c>
      <c r="O371" s="6" t="s">
        <v>55</v>
      </c>
      <c r="P371" s="6" t="s">
        <v>55</v>
      </c>
      <c r="Q371" s="6" t="s">
        <v>1110</v>
      </c>
      <c r="R371" s="6" t="s">
        <v>57</v>
      </c>
      <c r="S371" s="6" t="s">
        <v>56</v>
      </c>
      <c r="T371" s="6" t="s">
        <v>56</v>
      </c>
      <c r="AR371" s="6" t="s">
        <v>55</v>
      </c>
      <c r="AS371" s="6" t="s">
        <v>55</v>
      </c>
      <c r="AU371" s="6" t="s">
        <v>1181</v>
      </c>
      <c r="AV371">
        <v>3232</v>
      </c>
    </row>
    <row r="372" spans="1:48" ht="30" customHeight="1" x14ac:dyDescent="0.3">
      <c r="A372" s="4" t="s">
        <v>1182</v>
      </c>
      <c r="B372" s="4" t="s">
        <v>1183</v>
      </c>
      <c r="C372" s="4" t="s">
        <v>125</v>
      </c>
      <c r="D372" s="5">
        <v>129.55000000000001</v>
      </c>
      <c r="E372" s="7">
        <f>TRUNC([1]일위대가목록!E113,0)</f>
        <v>11404</v>
      </c>
      <c r="F372" s="7">
        <f t="shared" si="43"/>
        <v>1477388</v>
      </c>
      <c r="G372" s="7">
        <f>TRUNC([1]일위대가목록!F113,0)</f>
        <v>13622</v>
      </c>
      <c r="H372" s="7">
        <f t="shared" si="44"/>
        <v>1764730</v>
      </c>
      <c r="I372" s="7">
        <f>TRUNC([1]일위대가목록!G113,0)</f>
        <v>544</v>
      </c>
      <c r="J372" s="7">
        <f t="shared" si="45"/>
        <v>70475</v>
      </c>
      <c r="K372" s="7">
        <f t="shared" si="46"/>
        <v>25570</v>
      </c>
      <c r="L372" s="7">
        <f t="shared" si="46"/>
        <v>3312593</v>
      </c>
      <c r="M372" s="4" t="s">
        <v>1184</v>
      </c>
      <c r="N372" s="6" t="s">
        <v>1185</v>
      </c>
      <c r="O372" s="6" t="s">
        <v>55</v>
      </c>
      <c r="P372" s="6" t="s">
        <v>55</v>
      </c>
      <c r="Q372" s="6" t="s">
        <v>1110</v>
      </c>
      <c r="R372" s="6" t="s">
        <v>57</v>
      </c>
      <c r="S372" s="6" t="s">
        <v>56</v>
      </c>
      <c r="T372" s="6" t="s">
        <v>56</v>
      </c>
      <c r="AR372" s="6" t="s">
        <v>55</v>
      </c>
      <c r="AS372" s="6" t="s">
        <v>55</v>
      </c>
      <c r="AU372" s="6" t="s">
        <v>1186</v>
      </c>
      <c r="AV372">
        <v>244</v>
      </c>
    </row>
    <row r="373" spans="1:48" ht="30" customHeight="1" x14ac:dyDescent="0.3">
      <c r="A373" s="4" t="s">
        <v>1187</v>
      </c>
      <c r="B373" s="4" t="s">
        <v>1188</v>
      </c>
      <c r="C373" s="4" t="s">
        <v>61</v>
      </c>
      <c r="D373" s="5">
        <v>443</v>
      </c>
      <c r="E373" s="7">
        <f>TRUNC([1]일위대가목록!E114,0)</f>
        <v>34070</v>
      </c>
      <c r="F373" s="7">
        <f t="shared" si="43"/>
        <v>15093010</v>
      </c>
      <c r="G373" s="7">
        <f>TRUNC([1]일위대가목록!F114,0)</f>
        <v>15614</v>
      </c>
      <c r="H373" s="7">
        <f t="shared" si="44"/>
        <v>6917002</v>
      </c>
      <c r="I373" s="7">
        <f>TRUNC([1]일위대가목록!G114,0)</f>
        <v>439</v>
      </c>
      <c r="J373" s="7">
        <f t="shared" si="45"/>
        <v>194477</v>
      </c>
      <c r="K373" s="7">
        <f t="shared" si="46"/>
        <v>50123</v>
      </c>
      <c r="L373" s="7">
        <f t="shared" si="46"/>
        <v>22204489</v>
      </c>
      <c r="M373" s="4" t="s">
        <v>1189</v>
      </c>
      <c r="N373" s="6" t="s">
        <v>1190</v>
      </c>
      <c r="O373" s="6" t="s">
        <v>55</v>
      </c>
      <c r="P373" s="6" t="s">
        <v>55</v>
      </c>
      <c r="Q373" s="6" t="s">
        <v>1110</v>
      </c>
      <c r="R373" s="6" t="s">
        <v>57</v>
      </c>
      <c r="S373" s="6" t="s">
        <v>56</v>
      </c>
      <c r="T373" s="6" t="s">
        <v>56</v>
      </c>
      <c r="AR373" s="6" t="s">
        <v>55</v>
      </c>
      <c r="AS373" s="6" t="s">
        <v>55</v>
      </c>
      <c r="AU373" s="6" t="s">
        <v>1191</v>
      </c>
      <c r="AV373">
        <v>2093</v>
      </c>
    </row>
    <row r="374" spans="1:48" ht="30" customHeight="1" x14ac:dyDescent="0.3">
      <c r="A374" s="4" t="s">
        <v>1192</v>
      </c>
      <c r="B374" s="4" t="s">
        <v>55</v>
      </c>
      <c r="C374" s="4" t="s">
        <v>125</v>
      </c>
      <c r="D374" s="5">
        <v>8</v>
      </c>
      <c r="E374" s="7">
        <f>TRUNC([1]일위대가목록!E115,0)</f>
        <v>200000</v>
      </c>
      <c r="F374" s="7">
        <f t="shared" si="43"/>
        <v>1600000</v>
      </c>
      <c r="G374" s="7">
        <f>TRUNC([1]일위대가목록!F115,0)</f>
        <v>0</v>
      </c>
      <c r="H374" s="7">
        <f t="shared" si="44"/>
        <v>0</v>
      </c>
      <c r="I374" s="7">
        <f>TRUNC([1]일위대가목록!G115,0)</f>
        <v>0</v>
      </c>
      <c r="J374" s="7">
        <f t="shared" si="45"/>
        <v>0</v>
      </c>
      <c r="K374" s="7">
        <f t="shared" si="46"/>
        <v>200000</v>
      </c>
      <c r="L374" s="7">
        <f t="shared" si="46"/>
        <v>1600000</v>
      </c>
      <c r="M374" s="4" t="s">
        <v>1193</v>
      </c>
      <c r="N374" s="6" t="s">
        <v>1194</v>
      </c>
      <c r="O374" s="6" t="s">
        <v>55</v>
      </c>
      <c r="P374" s="6" t="s">
        <v>55</v>
      </c>
      <c r="Q374" s="6" t="s">
        <v>1110</v>
      </c>
      <c r="R374" s="6" t="s">
        <v>57</v>
      </c>
      <c r="S374" s="6" t="s">
        <v>56</v>
      </c>
      <c r="T374" s="6" t="s">
        <v>56</v>
      </c>
      <c r="AR374" s="6" t="s">
        <v>55</v>
      </c>
      <c r="AS374" s="6" t="s">
        <v>55</v>
      </c>
      <c r="AU374" s="6" t="s">
        <v>1195</v>
      </c>
      <c r="AV374">
        <v>2094</v>
      </c>
    </row>
    <row r="375" spans="1:48" ht="30" customHeight="1" x14ac:dyDescent="0.3">
      <c r="A375" s="4" t="s">
        <v>1196</v>
      </c>
      <c r="B375" s="4" t="s">
        <v>1197</v>
      </c>
      <c r="C375" s="4" t="s">
        <v>269</v>
      </c>
      <c r="D375" s="5">
        <v>379</v>
      </c>
      <c r="E375" s="7">
        <f>TRUNC([1]일위대가목록!E116,0)</f>
        <v>8181</v>
      </c>
      <c r="F375" s="7">
        <f t="shared" si="43"/>
        <v>3100599</v>
      </c>
      <c r="G375" s="7">
        <f>TRUNC([1]일위대가목록!F116,0)</f>
        <v>17976</v>
      </c>
      <c r="H375" s="7">
        <f t="shared" si="44"/>
        <v>6812904</v>
      </c>
      <c r="I375" s="7">
        <f>TRUNC([1]일위대가목록!G116,0)</f>
        <v>834</v>
      </c>
      <c r="J375" s="7">
        <f t="shared" si="45"/>
        <v>316086</v>
      </c>
      <c r="K375" s="7">
        <f t="shared" si="46"/>
        <v>26991</v>
      </c>
      <c r="L375" s="7">
        <f t="shared" si="46"/>
        <v>10229589</v>
      </c>
      <c r="M375" s="4" t="s">
        <v>1198</v>
      </c>
      <c r="N375" s="6" t="s">
        <v>1199</v>
      </c>
      <c r="O375" s="6" t="s">
        <v>55</v>
      </c>
      <c r="P375" s="6" t="s">
        <v>55</v>
      </c>
      <c r="Q375" s="6" t="s">
        <v>1110</v>
      </c>
      <c r="R375" s="6" t="s">
        <v>57</v>
      </c>
      <c r="S375" s="6" t="s">
        <v>56</v>
      </c>
      <c r="T375" s="6" t="s">
        <v>56</v>
      </c>
      <c r="AR375" s="6" t="s">
        <v>55</v>
      </c>
      <c r="AS375" s="6" t="s">
        <v>55</v>
      </c>
      <c r="AU375" s="6" t="s">
        <v>1200</v>
      </c>
      <c r="AV375">
        <v>2096</v>
      </c>
    </row>
    <row r="376" spans="1:48" ht="30" customHeight="1" x14ac:dyDescent="0.3">
      <c r="A376" s="4" t="s">
        <v>1201</v>
      </c>
      <c r="B376" s="4" t="s">
        <v>1202</v>
      </c>
      <c r="C376" s="4" t="s">
        <v>269</v>
      </c>
      <c r="D376" s="5">
        <v>340</v>
      </c>
      <c r="E376" s="7">
        <f>TRUNC([1]일위대가목록!E117,0)</f>
        <v>6697</v>
      </c>
      <c r="F376" s="7">
        <f t="shared" si="43"/>
        <v>2276980</v>
      </c>
      <c r="G376" s="7">
        <f>TRUNC([1]일위대가목록!F117,0)</f>
        <v>27225</v>
      </c>
      <c r="H376" s="7">
        <f t="shared" si="44"/>
        <v>9256500</v>
      </c>
      <c r="I376" s="7">
        <f>TRUNC([1]일위대가목록!G117,0)</f>
        <v>1045</v>
      </c>
      <c r="J376" s="7">
        <f t="shared" si="45"/>
        <v>355300</v>
      </c>
      <c r="K376" s="7">
        <f t="shared" si="46"/>
        <v>34967</v>
      </c>
      <c r="L376" s="7">
        <f t="shared" si="46"/>
        <v>11888780</v>
      </c>
      <c r="M376" s="4" t="s">
        <v>1203</v>
      </c>
      <c r="N376" s="6" t="s">
        <v>1204</v>
      </c>
      <c r="O376" s="6" t="s">
        <v>55</v>
      </c>
      <c r="P376" s="6" t="s">
        <v>55</v>
      </c>
      <c r="Q376" s="6" t="s">
        <v>1110</v>
      </c>
      <c r="R376" s="6" t="s">
        <v>57</v>
      </c>
      <c r="S376" s="6" t="s">
        <v>56</v>
      </c>
      <c r="T376" s="6" t="s">
        <v>56</v>
      </c>
      <c r="AR376" s="6" t="s">
        <v>55</v>
      </c>
      <c r="AS376" s="6" t="s">
        <v>55</v>
      </c>
      <c r="AU376" s="6" t="s">
        <v>1205</v>
      </c>
      <c r="AV376">
        <v>252</v>
      </c>
    </row>
    <row r="377" spans="1:48" ht="30" customHeight="1" x14ac:dyDescent="0.3">
      <c r="A377" s="4" t="s">
        <v>1206</v>
      </c>
      <c r="B377" s="4" t="s">
        <v>1207</v>
      </c>
      <c r="C377" s="4" t="s">
        <v>269</v>
      </c>
      <c r="D377" s="5">
        <v>2065</v>
      </c>
      <c r="E377" s="7">
        <f>TRUNC([1]일위대가목록!E118,0)</f>
        <v>2864</v>
      </c>
      <c r="F377" s="7">
        <f t="shared" si="43"/>
        <v>5914160</v>
      </c>
      <c r="G377" s="7">
        <f>TRUNC([1]일위대가목록!F118,0)</f>
        <v>8010</v>
      </c>
      <c r="H377" s="7">
        <f t="shared" si="44"/>
        <v>16540650</v>
      </c>
      <c r="I377" s="7">
        <f>TRUNC([1]일위대가목록!G118,0)</f>
        <v>320</v>
      </c>
      <c r="J377" s="7">
        <f t="shared" si="45"/>
        <v>660800</v>
      </c>
      <c r="K377" s="7">
        <f t="shared" si="46"/>
        <v>11194</v>
      </c>
      <c r="L377" s="7">
        <f t="shared" si="46"/>
        <v>23115610</v>
      </c>
      <c r="M377" s="4" t="s">
        <v>1208</v>
      </c>
      <c r="N377" s="6" t="s">
        <v>1209</v>
      </c>
      <c r="O377" s="6" t="s">
        <v>55</v>
      </c>
      <c r="P377" s="6" t="s">
        <v>55</v>
      </c>
      <c r="Q377" s="6" t="s">
        <v>1110</v>
      </c>
      <c r="R377" s="6" t="s">
        <v>57</v>
      </c>
      <c r="S377" s="6" t="s">
        <v>56</v>
      </c>
      <c r="T377" s="6" t="s">
        <v>56</v>
      </c>
      <c r="AR377" s="6" t="s">
        <v>55</v>
      </c>
      <c r="AS377" s="6" t="s">
        <v>55</v>
      </c>
      <c r="AU377" s="6" t="s">
        <v>1210</v>
      </c>
      <c r="AV377">
        <v>253</v>
      </c>
    </row>
    <row r="378" spans="1:48" ht="30" customHeight="1" x14ac:dyDescent="0.3">
      <c r="A378" s="4" t="s">
        <v>55</v>
      </c>
      <c r="B378" s="4" t="s">
        <v>55</v>
      </c>
      <c r="C378" s="4" t="s">
        <v>55</v>
      </c>
      <c r="D378" s="5"/>
      <c r="E378" s="7">
        <f>TRUNC([1]단가대비표!O325,0)</f>
        <v>0</v>
      </c>
      <c r="F378" s="7">
        <f t="shared" si="43"/>
        <v>0</v>
      </c>
      <c r="G378" s="7">
        <f>TRUNC([1]단가대비표!P325,0)</f>
        <v>0</v>
      </c>
      <c r="H378" s="7">
        <f t="shared" si="44"/>
        <v>0</v>
      </c>
      <c r="I378" s="7">
        <f>TRUNC([1]단가대비표!V325,0)</f>
        <v>0</v>
      </c>
      <c r="J378" s="7">
        <f t="shared" si="45"/>
        <v>0</v>
      </c>
      <c r="K378" s="7">
        <f t="shared" si="46"/>
        <v>0</v>
      </c>
      <c r="L378" s="7">
        <f t="shared" si="46"/>
        <v>0</v>
      </c>
      <c r="M378" s="4" t="s">
        <v>55</v>
      </c>
      <c r="N378" s="6" t="s">
        <v>1211</v>
      </c>
      <c r="O378" s="6" t="s">
        <v>55</v>
      </c>
      <c r="P378" s="6" t="s">
        <v>55</v>
      </c>
      <c r="Q378" s="6" t="s">
        <v>1110</v>
      </c>
      <c r="R378" s="6" t="s">
        <v>56</v>
      </c>
      <c r="S378" s="6" t="s">
        <v>56</v>
      </c>
      <c r="T378" s="6" t="s">
        <v>57</v>
      </c>
      <c r="AR378" s="6" t="s">
        <v>55</v>
      </c>
      <c r="AS378" s="6" t="s">
        <v>55</v>
      </c>
      <c r="AU378" s="6" t="s">
        <v>1212</v>
      </c>
      <c r="AV378">
        <v>1236</v>
      </c>
    </row>
    <row r="379" spans="1:48" ht="30" customHeight="1" x14ac:dyDescent="0.3">
      <c r="A379" s="4" t="s">
        <v>1213</v>
      </c>
      <c r="B379" s="4" t="s">
        <v>55</v>
      </c>
      <c r="C379" s="4" t="s">
        <v>55</v>
      </c>
      <c r="D379" s="5"/>
      <c r="E379" s="7">
        <f>TRUNC([1]단가대비표!O341,0)</f>
        <v>0</v>
      </c>
      <c r="F379" s="7">
        <f t="shared" si="43"/>
        <v>0</v>
      </c>
      <c r="G379" s="7">
        <f>TRUNC([1]단가대비표!P341,0)</f>
        <v>0</v>
      </c>
      <c r="H379" s="7">
        <f t="shared" si="44"/>
        <v>0</v>
      </c>
      <c r="I379" s="7">
        <f>TRUNC([1]단가대비표!V341,0)</f>
        <v>0</v>
      </c>
      <c r="J379" s="7">
        <f t="shared" si="45"/>
        <v>0</v>
      </c>
      <c r="K379" s="7">
        <f t="shared" si="46"/>
        <v>0</v>
      </c>
      <c r="L379" s="7">
        <f t="shared" si="46"/>
        <v>0</v>
      </c>
      <c r="M379" s="4" t="s">
        <v>55</v>
      </c>
      <c r="N379" s="6" t="s">
        <v>1214</v>
      </c>
      <c r="O379" s="6" t="s">
        <v>55</v>
      </c>
      <c r="P379" s="6" t="s">
        <v>55</v>
      </c>
      <c r="Q379" s="6" t="s">
        <v>1110</v>
      </c>
      <c r="R379" s="6" t="s">
        <v>56</v>
      </c>
      <c r="S379" s="6" t="s">
        <v>56</v>
      </c>
      <c r="T379" s="6" t="s">
        <v>57</v>
      </c>
      <c r="AR379" s="6" t="s">
        <v>55</v>
      </c>
      <c r="AS379" s="6" t="s">
        <v>55</v>
      </c>
      <c r="AU379" s="6" t="s">
        <v>1215</v>
      </c>
      <c r="AV379">
        <v>1261</v>
      </c>
    </row>
    <row r="380" spans="1:48" ht="30" customHeight="1" x14ac:dyDescent="0.3">
      <c r="A380" s="4" t="s">
        <v>1216</v>
      </c>
      <c r="B380" s="4" t="s">
        <v>1217</v>
      </c>
      <c r="C380" s="4" t="s">
        <v>81</v>
      </c>
      <c r="D380" s="5">
        <v>4</v>
      </c>
      <c r="E380" s="7">
        <f>TRUNC([1]단가대비표!O342,0)</f>
        <v>2700000</v>
      </c>
      <c r="F380" s="7">
        <f t="shared" si="43"/>
        <v>10800000</v>
      </c>
      <c r="G380" s="7">
        <f>TRUNC([1]단가대비표!P342,0)</f>
        <v>0</v>
      </c>
      <c r="H380" s="7">
        <f t="shared" si="44"/>
        <v>0</v>
      </c>
      <c r="I380" s="7">
        <f>TRUNC([1]단가대비표!V342,0)</f>
        <v>0</v>
      </c>
      <c r="J380" s="7">
        <f t="shared" si="45"/>
        <v>0</v>
      </c>
      <c r="K380" s="7">
        <f t="shared" si="46"/>
        <v>2700000</v>
      </c>
      <c r="L380" s="7">
        <f t="shared" si="46"/>
        <v>10800000</v>
      </c>
      <c r="M380" s="4" t="s">
        <v>115</v>
      </c>
      <c r="N380" s="6" t="s">
        <v>1218</v>
      </c>
      <c r="O380" s="6" t="s">
        <v>55</v>
      </c>
      <c r="P380" s="6" t="s">
        <v>55</v>
      </c>
      <c r="Q380" s="6" t="s">
        <v>1110</v>
      </c>
      <c r="R380" s="6" t="s">
        <v>56</v>
      </c>
      <c r="S380" s="6" t="s">
        <v>56</v>
      </c>
      <c r="T380" s="6" t="s">
        <v>57</v>
      </c>
      <c r="AR380" s="6" t="s">
        <v>55</v>
      </c>
      <c r="AS380" s="6" t="s">
        <v>55</v>
      </c>
      <c r="AU380" s="6" t="s">
        <v>1219</v>
      </c>
      <c r="AV380">
        <v>1262</v>
      </c>
    </row>
    <row r="381" spans="1:48" ht="30" customHeight="1" x14ac:dyDescent="0.3">
      <c r="A381" s="4" t="s">
        <v>1220</v>
      </c>
      <c r="B381" s="4" t="s">
        <v>1221</v>
      </c>
      <c r="C381" s="4" t="s">
        <v>81</v>
      </c>
      <c r="D381" s="5">
        <v>1</v>
      </c>
      <c r="E381" s="7">
        <f>TRUNC([1]단가대비표!O343,0)</f>
        <v>1250000</v>
      </c>
      <c r="F381" s="7">
        <f t="shared" si="43"/>
        <v>1250000</v>
      </c>
      <c r="G381" s="7">
        <f>TRUNC([1]단가대비표!P343,0)</f>
        <v>0</v>
      </c>
      <c r="H381" s="7">
        <f t="shared" si="44"/>
        <v>0</v>
      </c>
      <c r="I381" s="7">
        <f>TRUNC([1]단가대비표!V343,0)</f>
        <v>0</v>
      </c>
      <c r="J381" s="7">
        <f t="shared" si="45"/>
        <v>0</v>
      </c>
      <c r="K381" s="7">
        <f t="shared" si="46"/>
        <v>1250000</v>
      </c>
      <c r="L381" s="7">
        <f t="shared" si="46"/>
        <v>1250000</v>
      </c>
      <c r="M381" s="4" t="s">
        <v>115</v>
      </c>
      <c r="N381" s="6" t="s">
        <v>1222</v>
      </c>
      <c r="O381" s="6" t="s">
        <v>55</v>
      </c>
      <c r="P381" s="6" t="s">
        <v>55</v>
      </c>
      <c r="Q381" s="6" t="s">
        <v>1110</v>
      </c>
      <c r="R381" s="6" t="s">
        <v>56</v>
      </c>
      <c r="S381" s="6" t="s">
        <v>56</v>
      </c>
      <c r="T381" s="6" t="s">
        <v>57</v>
      </c>
      <c r="AR381" s="6" t="s">
        <v>55</v>
      </c>
      <c r="AS381" s="6" t="s">
        <v>55</v>
      </c>
      <c r="AU381" s="6" t="s">
        <v>1223</v>
      </c>
      <c r="AV381">
        <v>1263</v>
      </c>
    </row>
    <row r="382" spans="1:48" ht="30" customHeight="1" x14ac:dyDescent="0.3">
      <c r="A382" s="4" t="s">
        <v>55</v>
      </c>
      <c r="B382" s="4" t="s">
        <v>55</v>
      </c>
      <c r="C382" s="4" t="s">
        <v>55</v>
      </c>
      <c r="D382" s="5"/>
      <c r="E382" s="7">
        <f>TRUNC([1]단가대비표!O344,0)</f>
        <v>0</v>
      </c>
      <c r="F382" s="7">
        <f t="shared" si="43"/>
        <v>0</v>
      </c>
      <c r="G382" s="7">
        <f>TRUNC([1]단가대비표!P344,0)</f>
        <v>0</v>
      </c>
      <c r="H382" s="7">
        <f t="shared" si="44"/>
        <v>0</v>
      </c>
      <c r="I382" s="7">
        <f>TRUNC([1]단가대비표!V344,0)</f>
        <v>0</v>
      </c>
      <c r="J382" s="7">
        <f t="shared" si="45"/>
        <v>0</v>
      </c>
      <c r="K382" s="7">
        <f t="shared" si="46"/>
        <v>0</v>
      </c>
      <c r="L382" s="7">
        <f t="shared" si="46"/>
        <v>0</v>
      </c>
      <c r="M382" s="4" t="s">
        <v>55</v>
      </c>
      <c r="N382" s="6" t="s">
        <v>1224</v>
      </c>
      <c r="O382" s="6" t="s">
        <v>55</v>
      </c>
      <c r="P382" s="6" t="s">
        <v>55</v>
      </c>
      <c r="Q382" s="6" t="s">
        <v>1110</v>
      </c>
      <c r="R382" s="6" t="s">
        <v>56</v>
      </c>
      <c r="S382" s="6" t="s">
        <v>56</v>
      </c>
      <c r="T382" s="6" t="s">
        <v>57</v>
      </c>
      <c r="AR382" s="6" t="s">
        <v>55</v>
      </c>
      <c r="AS382" s="6" t="s">
        <v>55</v>
      </c>
      <c r="AU382" s="6" t="s">
        <v>1225</v>
      </c>
      <c r="AV382">
        <v>1264</v>
      </c>
    </row>
    <row r="383" spans="1:48" ht="30" customHeight="1" x14ac:dyDescent="0.3">
      <c r="A383" s="4" t="s">
        <v>1226</v>
      </c>
      <c r="B383" s="4" t="s">
        <v>55</v>
      </c>
      <c r="C383" s="4" t="s">
        <v>55</v>
      </c>
      <c r="D383" s="5"/>
      <c r="E383" s="7">
        <f>TRUNC([1]단가대비표!O345,0)</f>
        <v>0</v>
      </c>
      <c r="F383" s="7">
        <f t="shared" si="43"/>
        <v>0</v>
      </c>
      <c r="G383" s="7">
        <f>TRUNC([1]단가대비표!P345,0)</f>
        <v>0</v>
      </c>
      <c r="H383" s="7">
        <f t="shared" si="44"/>
        <v>0</v>
      </c>
      <c r="I383" s="7">
        <f>TRUNC([1]단가대비표!V345,0)</f>
        <v>0</v>
      </c>
      <c r="J383" s="7">
        <f t="shared" si="45"/>
        <v>0</v>
      </c>
      <c r="K383" s="7">
        <f t="shared" si="46"/>
        <v>0</v>
      </c>
      <c r="L383" s="7">
        <f t="shared" si="46"/>
        <v>0</v>
      </c>
      <c r="M383" s="4" t="s">
        <v>55</v>
      </c>
      <c r="N383" s="6" t="s">
        <v>1227</v>
      </c>
      <c r="O383" s="6" t="s">
        <v>55</v>
      </c>
      <c r="P383" s="6" t="s">
        <v>55</v>
      </c>
      <c r="Q383" s="6" t="s">
        <v>1110</v>
      </c>
      <c r="R383" s="6" t="s">
        <v>56</v>
      </c>
      <c r="S383" s="6" t="s">
        <v>56</v>
      </c>
      <c r="T383" s="6" t="s">
        <v>57</v>
      </c>
      <c r="AR383" s="6" t="s">
        <v>55</v>
      </c>
      <c r="AS383" s="6" t="s">
        <v>55</v>
      </c>
      <c r="AU383" s="6" t="s">
        <v>1228</v>
      </c>
      <c r="AV383">
        <v>1298</v>
      </c>
    </row>
    <row r="384" spans="1:48" ht="30" customHeight="1" x14ac:dyDescent="0.3">
      <c r="A384" s="4" t="s">
        <v>1229</v>
      </c>
      <c r="B384" s="4" t="s">
        <v>55</v>
      </c>
      <c r="C384" s="4" t="s">
        <v>55</v>
      </c>
      <c r="D384" s="5"/>
      <c r="E384" s="7">
        <f>TRUNC([1]단가대비표!O346,0)</f>
        <v>0</v>
      </c>
      <c r="F384" s="7">
        <f t="shared" si="43"/>
        <v>0</v>
      </c>
      <c r="G384" s="7">
        <f>TRUNC([1]단가대비표!P346,0)</f>
        <v>0</v>
      </c>
      <c r="H384" s="7">
        <f t="shared" si="44"/>
        <v>0</v>
      </c>
      <c r="I384" s="7">
        <f>TRUNC([1]단가대비표!V346,0)</f>
        <v>0</v>
      </c>
      <c r="J384" s="7">
        <f t="shared" si="45"/>
        <v>0</v>
      </c>
      <c r="K384" s="7">
        <f t="shared" si="46"/>
        <v>0</v>
      </c>
      <c r="L384" s="7">
        <f t="shared" si="46"/>
        <v>0</v>
      </c>
      <c r="M384" s="4" t="s">
        <v>55</v>
      </c>
      <c r="N384" s="6" t="s">
        <v>1230</v>
      </c>
      <c r="O384" s="6" t="s">
        <v>55</v>
      </c>
      <c r="P384" s="6" t="s">
        <v>55</v>
      </c>
      <c r="Q384" s="6" t="s">
        <v>1110</v>
      </c>
      <c r="R384" s="6" t="s">
        <v>56</v>
      </c>
      <c r="S384" s="6" t="s">
        <v>56</v>
      </c>
      <c r="T384" s="6" t="s">
        <v>57</v>
      </c>
      <c r="AR384" s="6" t="s">
        <v>55</v>
      </c>
      <c r="AS384" s="6" t="s">
        <v>55</v>
      </c>
      <c r="AU384" s="6" t="s">
        <v>1231</v>
      </c>
      <c r="AV384">
        <v>1299</v>
      </c>
    </row>
    <row r="385" spans="1:48" ht="30" customHeight="1" x14ac:dyDescent="0.3">
      <c r="A385" s="4" t="s">
        <v>1232</v>
      </c>
      <c r="B385" s="4" t="s">
        <v>1233</v>
      </c>
      <c r="C385" s="4" t="s">
        <v>140</v>
      </c>
      <c r="D385" s="5">
        <v>2606</v>
      </c>
      <c r="E385" s="7">
        <f>TRUNC([1]단가대비표!O347,0)</f>
        <v>112450</v>
      </c>
      <c r="F385" s="7">
        <f t="shared" si="43"/>
        <v>293044700</v>
      </c>
      <c r="G385" s="7">
        <f>TRUNC([1]단가대비표!P347,0)</f>
        <v>68950</v>
      </c>
      <c r="H385" s="7">
        <f t="shared" si="44"/>
        <v>179683700</v>
      </c>
      <c r="I385" s="7">
        <f>TRUNC([1]단가대비표!V347,0)</f>
        <v>2000</v>
      </c>
      <c r="J385" s="7">
        <f t="shared" si="45"/>
        <v>5212000</v>
      </c>
      <c r="K385" s="7">
        <f t="shared" si="46"/>
        <v>183400</v>
      </c>
      <c r="L385" s="7">
        <f t="shared" si="46"/>
        <v>477940400</v>
      </c>
      <c r="M385" s="4" t="s">
        <v>115</v>
      </c>
      <c r="N385" s="6" t="s">
        <v>1234</v>
      </c>
      <c r="O385" s="6" t="s">
        <v>55</v>
      </c>
      <c r="P385" s="6" t="s">
        <v>55</v>
      </c>
      <c r="Q385" s="6" t="s">
        <v>1110</v>
      </c>
      <c r="R385" s="6" t="s">
        <v>56</v>
      </c>
      <c r="S385" s="6" t="s">
        <v>56</v>
      </c>
      <c r="T385" s="6" t="s">
        <v>57</v>
      </c>
      <c r="AR385" s="6" t="s">
        <v>55</v>
      </c>
      <c r="AS385" s="6" t="s">
        <v>55</v>
      </c>
      <c r="AU385" s="6" t="s">
        <v>1235</v>
      </c>
      <c r="AV385">
        <v>1300</v>
      </c>
    </row>
    <row r="386" spans="1:48" ht="30" customHeight="1" x14ac:dyDescent="0.3">
      <c r="A386" s="4" t="s">
        <v>1236</v>
      </c>
      <c r="B386" s="4" t="s">
        <v>1237</v>
      </c>
      <c r="C386" s="4" t="s">
        <v>140</v>
      </c>
      <c r="D386" s="5">
        <v>25</v>
      </c>
      <c r="E386" s="7">
        <f>TRUNC([1]단가대비표!O348,0)</f>
        <v>58120</v>
      </c>
      <c r="F386" s="7">
        <f t="shared" si="43"/>
        <v>1453000</v>
      </c>
      <c r="G386" s="7">
        <f>TRUNC([1]단가대비표!P348,0)</f>
        <v>39900</v>
      </c>
      <c r="H386" s="7">
        <f t="shared" si="44"/>
        <v>997500</v>
      </c>
      <c r="I386" s="7">
        <f>TRUNC([1]단가대비표!V348,0)</f>
        <v>2500</v>
      </c>
      <c r="J386" s="7">
        <f t="shared" si="45"/>
        <v>62500</v>
      </c>
      <c r="K386" s="7">
        <f t="shared" si="46"/>
        <v>100520</v>
      </c>
      <c r="L386" s="7">
        <f t="shared" si="46"/>
        <v>2513000</v>
      </c>
      <c r="M386" s="4" t="s">
        <v>115</v>
      </c>
      <c r="N386" s="6" t="s">
        <v>1238</v>
      </c>
      <c r="O386" s="6" t="s">
        <v>55</v>
      </c>
      <c r="P386" s="6" t="s">
        <v>55</v>
      </c>
      <c r="Q386" s="6" t="s">
        <v>1110</v>
      </c>
      <c r="R386" s="6" t="s">
        <v>56</v>
      </c>
      <c r="S386" s="6" t="s">
        <v>56</v>
      </c>
      <c r="T386" s="6" t="s">
        <v>57</v>
      </c>
      <c r="AR386" s="6" t="s">
        <v>55</v>
      </c>
      <c r="AS386" s="6" t="s">
        <v>55</v>
      </c>
      <c r="AU386" s="6" t="s">
        <v>1239</v>
      </c>
      <c r="AV386">
        <v>3412</v>
      </c>
    </row>
    <row r="387" spans="1:48" ht="30" customHeight="1" x14ac:dyDescent="0.3">
      <c r="A387" s="4" t="s">
        <v>1240</v>
      </c>
      <c r="B387" s="4" t="s">
        <v>1241</v>
      </c>
      <c r="C387" s="4" t="s">
        <v>52</v>
      </c>
      <c r="D387" s="5">
        <v>982</v>
      </c>
      <c r="E387" s="7">
        <f>TRUNC([1]단가대비표!O349,0)</f>
        <v>21000</v>
      </c>
      <c r="F387" s="7">
        <f t="shared" si="43"/>
        <v>20622000</v>
      </c>
      <c r="G387" s="7">
        <f>TRUNC([1]단가대비표!P349,0)</f>
        <v>23000</v>
      </c>
      <c r="H387" s="7">
        <f t="shared" si="44"/>
        <v>22586000</v>
      </c>
      <c r="I387" s="7">
        <f>TRUNC([1]단가대비표!V349,0)</f>
        <v>1000</v>
      </c>
      <c r="J387" s="7">
        <f t="shared" si="45"/>
        <v>982000</v>
      </c>
      <c r="K387" s="7">
        <f t="shared" si="46"/>
        <v>45000</v>
      </c>
      <c r="L387" s="7">
        <f t="shared" si="46"/>
        <v>44190000</v>
      </c>
      <c r="M387" s="4" t="s">
        <v>115</v>
      </c>
      <c r="N387" s="6" t="s">
        <v>1242</v>
      </c>
      <c r="O387" s="6" t="s">
        <v>55</v>
      </c>
      <c r="P387" s="6" t="s">
        <v>55</v>
      </c>
      <c r="Q387" s="6" t="s">
        <v>1110</v>
      </c>
      <c r="R387" s="6" t="s">
        <v>56</v>
      </c>
      <c r="S387" s="6" t="s">
        <v>56</v>
      </c>
      <c r="T387" s="6" t="s">
        <v>57</v>
      </c>
      <c r="AR387" s="6" t="s">
        <v>55</v>
      </c>
      <c r="AS387" s="6" t="s">
        <v>55</v>
      </c>
      <c r="AU387" s="6" t="s">
        <v>1243</v>
      </c>
      <c r="AV387">
        <v>3413</v>
      </c>
    </row>
    <row r="388" spans="1:48" ht="30" customHeight="1" x14ac:dyDescent="0.3">
      <c r="A388" s="4" t="s">
        <v>1244</v>
      </c>
      <c r="B388" s="4" t="s">
        <v>1237</v>
      </c>
      <c r="C388" s="4" t="s">
        <v>140</v>
      </c>
      <c r="D388" s="5">
        <v>196</v>
      </c>
      <c r="E388" s="7">
        <f>TRUNC([1]단가대비표!O350,0)</f>
        <v>58120</v>
      </c>
      <c r="F388" s="7">
        <f t="shared" si="43"/>
        <v>11391520</v>
      </c>
      <c r="G388" s="7">
        <f>TRUNC([1]단가대비표!P350,0)</f>
        <v>39900</v>
      </c>
      <c r="H388" s="7">
        <f t="shared" si="44"/>
        <v>7820400</v>
      </c>
      <c r="I388" s="7">
        <f>TRUNC([1]단가대비표!V350,0)</f>
        <v>2500</v>
      </c>
      <c r="J388" s="7">
        <f t="shared" si="45"/>
        <v>490000</v>
      </c>
      <c r="K388" s="7">
        <f t="shared" si="46"/>
        <v>100520</v>
      </c>
      <c r="L388" s="7">
        <f t="shared" si="46"/>
        <v>19701920</v>
      </c>
      <c r="M388" s="4" t="s">
        <v>115</v>
      </c>
      <c r="N388" s="6" t="s">
        <v>1245</v>
      </c>
      <c r="O388" s="6" t="s">
        <v>55</v>
      </c>
      <c r="P388" s="6" t="s">
        <v>55</v>
      </c>
      <c r="Q388" s="6" t="s">
        <v>1110</v>
      </c>
      <c r="R388" s="6" t="s">
        <v>56</v>
      </c>
      <c r="S388" s="6" t="s">
        <v>56</v>
      </c>
      <c r="T388" s="6" t="s">
        <v>57</v>
      </c>
      <c r="AR388" s="6" t="s">
        <v>55</v>
      </c>
      <c r="AS388" s="6" t="s">
        <v>55</v>
      </c>
      <c r="AU388" s="6" t="s">
        <v>1246</v>
      </c>
      <c r="AV388">
        <v>3414</v>
      </c>
    </row>
    <row r="389" spans="1:48" ht="30" customHeight="1" x14ac:dyDescent="0.3">
      <c r="A389" s="4" t="s">
        <v>55</v>
      </c>
      <c r="B389" s="4" t="s">
        <v>55</v>
      </c>
      <c r="C389" s="4" t="s">
        <v>55</v>
      </c>
      <c r="D389" s="5"/>
      <c r="E389" s="7">
        <f>TRUNC([1]단가대비표!O351,0)</f>
        <v>0</v>
      </c>
      <c r="F389" s="7">
        <f t="shared" si="43"/>
        <v>0</v>
      </c>
      <c r="G389" s="7">
        <f>TRUNC([1]단가대비표!P351,0)</f>
        <v>0</v>
      </c>
      <c r="H389" s="7">
        <f t="shared" si="44"/>
        <v>0</v>
      </c>
      <c r="I389" s="7">
        <f>TRUNC([1]단가대비표!V351,0)</f>
        <v>0</v>
      </c>
      <c r="J389" s="7">
        <f t="shared" si="45"/>
        <v>0</v>
      </c>
      <c r="K389" s="7">
        <f t="shared" ref="K389:L420" si="47">TRUNC(E389+G389+I389, 0)</f>
        <v>0</v>
      </c>
      <c r="L389" s="7">
        <f t="shared" si="47"/>
        <v>0</v>
      </c>
      <c r="M389" s="4" t="s">
        <v>55</v>
      </c>
      <c r="N389" s="6" t="s">
        <v>1247</v>
      </c>
      <c r="O389" s="6" t="s">
        <v>55</v>
      </c>
      <c r="P389" s="6" t="s">
        <v>55</v>
      </c>
      <c r="Q389" s="6" t="s">
        <v>1110</v>
      </c>
      <c r="R389" s="6" t="s">
        <v>56</v>
      </c>
      <c r="S389" s="6" t="s">
        <v>56</v>
      </c>
      <c r="T389" s="6" t="s">
        <v>57</v>
      </c>
      <c r="AR389" s="6" t="s">
        <v>55</v>
      </c>
      <c r="AS389" s="6" t="s">
        <v>55</v>
      </c>
      <c r="AU389" s="6" t="s">
        <v>1248</v>
      </c>
      <c r="AV389">
        <v>1304</v>
      </c>
    </row>
    <row r="390" spans="1:48" ht="30" customHeight="1" x14ac:dyDescent="0.3">
      <c r="A390" s="4" t="s">
        <v>1249</v>
      </c>
      <c r="B390" s="4" t="s">
        <v>55</v>
      </c>
      <c r="C390" s="4" t="s">
        <v>55</v>
      </c>
      <c r="D390" s="5"/>
      <c r="E390" s="7">
        <f>TRUNC([1]단가대비표!O352,0)</f>
        <v>0</v>
      </c>
      <c r="F390" s="7">
        <f t="shared" si="43"/>
        <v>0</v>
      </c>
      <c r="G390" s="7">
        <f>TRUNC([1]단가대비표!P352,0)</f>
        <v>0</v>
      </c>
      <c r="H390" s="7">
        <f t="shared" si="44"/>
        <v>0</v>
      </c>
      <c r="I390" s="7">
        <f>TRUNC([1]단가대비표!V352,0)</f>
        <v>0</v>
      </c>
      <c r="J390" s="7">
        <f t="shared" si="45"/>
        <v>0</v>
      </c>
      <c r="K390" s="7">
        <f t="shared" si="47"/>
        <v>0</v>
      </c>
      <c r="L390" s="7">
        <f t="shared" si="47"/>
        <v>0</v>
      </c>
      <c r="M390" s="4" t="s">
        <v>55</v>
      </c>
      <c r="N390" s="6" t="s">
        <v>1250</v>
      </c>
      <c r="O390" s="6" t="s">
        <v>55</v>
      </c>
      <c r="P390" s="6" t="s">
        <v>55</v>
      </c>
      <c r="Q390" s="6" t="s">
        <v>1110</v>
      </c>
      <c r="R390" s="6" t="s">
        <v>56</v>
      </c>
      <c r="S390" s="6" t="s">
        <v>56</v>
      </c>
      <c r="T390" s="6" t="s">
        <v>57</v>
      </c>
      <c r="AR390" s="6" t="s">
        <v>55</v>
      </c>
      <c r="AS390" s="6" t="s">
        <v>55</v>
      </c>
      <c r="AU390" s="6" t="s">
        <v>1251</v>
      </c>
      <c r="AV390">
        <v>1305</v>
      </c>
    </row>
    <row r="391" spans="1:48" ht="30" customHeight="1" x14ac:dyDescent="0.3">
      <c r="A391" s="4" t="s">
        <v>1232</v>
      </c>
      <c r="B391" s="4" t="s">
        <v>1233</v>
      </c>
      <c r="C391" s="4" t="s">
        <v>140</v>
      </c>
      <c r="D391" s="5">
        <v>1038</v>
      </c>
      <c r="E391" s="7">
        <f>TRUNC([1]단가대비표!O355,0)</f>
        <v>112450</v>
      </c>
      <c r="F391" s="7">
        <f t="shared" si="43"/>
        <v>116723100</v>
      </c>
      <c r="G391" s="7">
        <f>TRUNC([1]단가대비표!P355,0)</f>
        <v>68950</v>
      </c>
      <c r="H391" s="7">
        <f t="shared" si="44"/>
        <v>71570100</v>
      </c>
      <c r="I391" s="7">
        <f>TRUNC([1]단가대비표!V355,0)</f>
        <v>2000</v>
      </c>
      <c r="J391" s="7">
        <f t="shared" si="45"/>
        <v>2076000</v>
      </c>
      <c r="K391" s="7">
        <f t="shared" si="47"/>
        <v>183400</v>
      </c>
      <c r="L391" s="7">
        <f t="shared" si="47"/>
        <v>190369200</v>
      </c>
      <c r="M391" s="4" t="s">
        <v>115</v>
      </c>
      <c r="N391" s="6" t="s">
        <v>1252</v>
      </c>
      <c r="O391" s="6" t="s">
        <v>55</v>
      </c>
      <c r="P391" s="6" t="s">
        <v>55</v>
      </c>
      <c r="Q391" s="6" t="s">
        <v>1110</v>
      </c>
      <c r="R391" s="6" t="s">
        <v>56</v>
      </c>
      <c r="S391" s="6" t="s">
        <v>56</v>
      </c>
      <c r="T391" s="6" t="s">
        <v>57</v>
      </c>
      <c r="AR391" s="6" t="s">
        <v>55</v>
      </c>
      <c r="AS391" s="6" t="s">
        <v>55</v>
      </c>
      <c r="AU391" s="6" t="s">
        <v>1253</v>
      </c>
      <c r="AV391">
        <v>1309</v>
      </c>
    </row>
    <row r="392" spans="1:48" ht="30" customHeight="1" x14ac:dyDescent="0.3">
      <c r="A392" s="4" t="s">
        <v>1254</v>
      </c>
      <c r="B392" s="4" t="s">
        <v>1237</v>
      </c>
      <c r="C392" s="4" t="s">
        <v>140</v>
      </c>
      <c r="D392" s="5">
        <v>580</v>
      </c>
      <c r="E392" s="7">
        <f>TRUNC([1]단가대비표!O356,0)</f>
        <v>58120</v>
      </c>
      <c r="F392" s="7">
        <f t="shared" si="43"/>
        <v>33709600</v>
      </c>
      <c r="G392" s="7">
        <f>TRUNC([1]단가대비표!P356,0)</f>
        <v>39900</v>
      </c>
      <c r="H392" s="7">
        <f t="shared" si="44"/>
        <v>23142000</v>
      </c>
      <c r="I392" s="7">
        <f>TRUNC([1]단가대비표!V356,0)</f>
        <v>2500</v>
      </c>
      <c r="J392" s="7">
        <f t="shared" si="45"/>
        <v>1450000</v>
      </c>
      <c r="K392" s="7">
        <f t="shared" si="47"/>
        <v>100520</v>
      </c>
      <c r="L392" s="7">
        <f t="shared" si="47"/>
        <v>58301600</v>
      </c>
      <c r="M392" s="4" t="s">
        <v>115</v>
      </c>
      <c r="N392" s="6" t="s">
        <v>1255</v>
      </c>
      <c r="O392" s="6" t="s">
        <v>55</v>
      </c>
      <c r="P392" s="6" t="s">
        <v>55</v>
      </c>
      <c r="Q392" s="6" t="s">
        <v>1110</v>
      </c>
      <c r="R392" s="6" t="s">
        <v>56</v>
      </c>
      <c r="S392" s="6" t="s">
        <v>56</v>
      </c>
      <c r="T392" s="6" t="s">
        <v>57</v>
      </c>
      <c r="AR392" s="6" t="s">
        <v>55</v>
      </c>
      <c r="AS392" s="6" t="s">
        <v>55</v>
      </c>
      <c r="AU392" s="6" t="s">
        <v>1256</v>
      </c>
      <c r="AV392">
        <v>3415</v>
      </c>
    </row>
    <row r="393" spans="1:48" ht="30" customHeight="1" x14ac:dyDescent="0.3">
      <c r="A393" s="4" t="s">
        <v>1240</v>
      </c>
      <c r="B393" s="4" t="s">
        <v>1241</v>
      </c>
      <c r="C393" s="4" t="s">
        <v>52</v>
      </c>
      <c r="D393" s="5">
        <v>410</v>
      </c>
      <c r="E393" s="7">
        <f>TRUNC([1]단가대비표!O357,0)</f>
        <v>21000</v>
      </c>
      <c r="F393" s="7">
        <f t="shared" si="43"/>
        <v>8610000</v>
      </c>
      <c r="G393" s="7">
        <f>TRUNC([1]단가대비표!P357,0)</f>
        <v>23000</v>
      </c>
      <c r="H393" s="7">
        <f t="shared" si="44"/>
        <v>9430000</v>
      </c>
      <c r="I393" s="7">
        <f>TRUNC([1]단가대비표!V357,0)</f>
        <v>1000</v>
      </c>
      <c r="J393" s="7">
        <f t="shared" si="45"/>
        <v>410000</v>
      </c>
      <c r="K393" s="7">
        <f t="shared" si="47"/>
        <v>45000</v>
      </c>
      <c r="L393" s="7">
        <f t="shared" si="47"/>
        <v>18450000</v>
      </c>
      <c r="M393" s="4" t="s">
        <v>115</v>
      </c>
      <c r="N393" s="6" t="s">
        <v>1257</v>
      </c>
      <c r="O393" s="6" t="s">
        <v>55</v>
      </c>
      <c r="P393" s="6" t="s">
        <v>55</v>
      </c>
      <c r="Q393" s="6" t="s">
        <v>1110</v>
      </c>
      <c r="R393" s="6" t="s">
        <v>56</v>
      </c>
      <c r="S393" s="6" t="s">
        <v>56</v>
      </c>
      <c r="T393" s="6" t="s">
        <v>57</v>
      </c>
      <c r="AR393" s="6" t="s">
        <v>55</v>
      </c>
      <c r="AS393" s="6" t="s">
        <v>55</v>
      </c>
      <c r="AU393" s="6" t="s">
        <v>1258</v>
      </c>
      <c r="AV393">
        <v>3416</v>
      </c>
    </row>
    <row r="394" spans="1:48" ht="30" customHeight="1" x14ac:dyDescent="0.3">
      <c r="A394" s="4" t="s">
        <v>1244</v>
      </c>
      <c r="B394" s="4" t="s">
        <v>1237</v>
      </c>
      <c r="C394" s="4" t="s">
        <v>140</v>
      </c>
      <c r="D394" s="5">
        <v>479</v>
      </c>
      <c r="E394" s="7">
        <f>TRUNC([1]단가대비표!O358,0)</f>
        <v>58120</v>
      </c>
      <c r="F394" s="7">
        <f t="shared" si="43"/>
        <v>27839480</v>
      </c>
      <c r="G394" s="7">
        <f>TRUNC([1]단가대비표!P358,0)</f>
        <v>39900</v>
      </c>
      <c r="H394" s="7">
        <f t="shared" si="44"/>
        <v>19112100</v>
      </c>
      <c r="I394" s="7">
        <f>TRUNC([1]단가대비표!V358,0)</f>
        <v>2500</v>
      </c>
      <c r="J394" s="7">
        <f t="shared" si="45"/>
        <v>1197500</v>
      </c>
      <c r="K394" s="7">
        <f t="shared" si="47"/>
        <v>100520</v>
      </c>
      <c r="L394" s="7">
        <f t="shared" si="47"/>
        <v>48149080</v>
      </c>
      <c r="M394" s="4" t="s">
        <v>115</v>
      </c>
      <c r="N394" s="6" t="s">
        <v>1259</v>
      </c>
      <c r="O394" s="6" t="s">
        <v>55</v>
      </c>
      <c r="P394" s="6" t="s">
        <v>55</v>
      </c>
      <c r="Q394" s="6" t="s">
        <v>1110</v>
      </c>
      <c r="R394" s="6" t="s">
        <v>56</v>
      </c>
      <c r="S394" s="6" t="s">
        <v>56</v>
      </c>
      <c r="T394" s="6" t="s">
        <v>57</v>
      </c>
      <c r="AR394" s="6" t="s">
        <v>55</v>
      </c>
      <c r="AS394" s="6" t="s">
        <v>55</v>
      </c>
      <c r="AU394" s="6" t="s">
        <v>1260</v>
      </c>
      <c r="AV394">
        <v>3417</v>
      </c>
    </row>
    <row r="395" spans="1:48" ht="30" customHeight="1" x14ac:dyDescent="0.3">
      <c r="A395" s="4" t="s">
        <v>55</v>
      </c>
      <c r="B395" s="4" t="s">
        <v>55</v>
      </c>
      <c r="C395" s="4" t="s">
        <v>55</v>
      </c>
      <c r="D395" s="5"/>
      <c r="E395" s="7">
        <f>TRUNC([1]단가대비표!O368,0)</f>
        <v>0</v>
      </c>
      <c r="F395" s="7">
        <f t="shared" si="43"/>
        <v>0</v>
      </c>
      <c r="G395" s="7">
        <f>TRUNC([1]단가대비표!P368,0)</f>
        <v>0</v>
      </c>
      <c r="H395" s="7">
        <f t="shared" si="44"/>
        <v>0</v>
      </c>
      <c r="I395" s="7">
        <f>TRUNC([1]단가대비표!V368,0)</f>
        <v>0</v>
      </c>
      <c r="J395" s="7">
        <f t="shared" si="45"/>
        <v>0</v>
      </c>
      <c r="K395" s="7">
        <f t="shared" si="47"/>
        <v>0</v>
      </c>
      <c r="L395" s="7">
        <f t="shared" si="47"/>
        <v>0</v>
      </c>
      <c r="M395" s="4" t="s">
        <v>55</v>
      </c>
      <c r="N395" s="6" t="s">
        <v>1261</v>
      </c>
      <c r="O395" s="6" t="s">
        <v>55</v>
      </c>
      <c r="P395" s="6" t="s">
        <v>55</v>
      </c>
      <c r="Q395" s="6" t="s">
        <v>1110</v>
      </c>
      <c r="R395" s="6" t="s">
        <v>56</v>
      </c>
      <c r="S395" s="6" t="s">
        <v>56</v>
      </c>
      <c r="T395" s="6" t="s">
        <v>57</v>
      </c>
      <c r="AR395" s="6" t="s">
        <v>55</v>
      </c>
      <c r="AS395" s="6" t="s">
        <v>55</v>
      </c>
      <c r="AU395" s="6" t="s">
        <v>1262</v>
      </c>
      <c r="AV395">
        <v>1325</v>
      </c>
    </row>
    <row r="396" spans="1:48" ht="30" customHeight="1" x14ac:dyDescent="0.3">
      <c r="A396" s="4" t="s">
        <v>1263</v>
      </c>
      <c r="B396" s="4" t="s">
        <v>55</v>
      </c>
      <c r="C396" s="4" t="s">
        <v>55</v>
      </c>
      <c r="D396" s="5"/>
      <c r="E396" s="7">
        <f>TRUNC([1]단가대비표!O369,0)</f>
        <v>0</v>
      </c>
      <c r="F396" s="7">
        <f t="shared" si="43"/>
        <v>0</v>
      </c>
      <c r="G396" s="7">
        <f>TRUNC([1]단가대비표!P369,0)</f>
        <v>0</v>
      </c>
      <c r="H396" s="7">
        <f t="shared" si="44"/>
        <v>0</v>
      </c>
      <c r="I396" s="7">
        <f>TRUNC([1]단가대비표!V369,0)</f>
        <v>0</v>
      </c>
      <c r="J396" s="7">
        <f t="shared" si="45"/>
        <v>0</v>
      </c>
      <c r="K396" s="7">
        <f t="shared" si="47"/>
        <v>0</v>
      </c>
      <c r="L396" s="7">
        <f t="shared" si="47"/>
        <v>0</v>
      </c>
      <c r="M396" s="4" t="s">
        <v>55</v>
      </c>
      <c r="N396" s="6" t="s">
        <v>1264</v>
      </c>
      <c r="O396" s="6" t="s">
        <v>55</v>
      </c>
      <c r="P396" s="6" t="s">
        <v>55</v>
      </c>
      <c r="Q396" s="6" t="s">
        <v>1110</v>
      </c>
      <c r="R396" s="6" t="s">
        <v>56</v>
      </c>
      <c r="S396" s="6" t="s">
        <v>56</v>
      </c>
      <c r="T396" s="6" t="s">
        <v>57</v>
      </c>
      <c r="AR396" s="6" t="s">
        <v>55</v>
      </c>
      <c r="AS396" s="6" t="s">
        <v>55</v>
      </c>
      <c r="AU396" s="6" t="s">
        <v>1265</v>
      </c>
      <c r="AV396">
        <v>1326</v>
      </c>
    </row>
    <row r="397" spans="1:48" ht="30" customHeight="1" x14ac:dyDescent="0.3">
      <c r="A397" s="4" t="s">
        <v>1232</v>
      </c>
      <c r="B397" s="4" t="s">
        <v>1233</v>
      </c>
      <c r="C397" s="4" t="s">
        <v>140</v>
      </c>
      <c r="D397" s="5">
        <v>96</v>
      </c>
      <c r="E397" s="7">
        <f>TRUNC([1]단가대비표!O370,0)</f>
        <v>112450</v>
      </c>
      <c r="F397" s="7">
        <f t="shared" si="43"/>
        <v>10795200</v>
      </c>
      <c r="G397" s="7">
        <f>TRUNC([1]단가대비표!P370,0)</f>
        <v>68950</v>
      </c>
      <c r="H397" s="7">
        <f t="shared" si="44"/>
        <v>6619200</v>
      </c>
      <c r="I397" s="7">
        <f>TRUNC([1]단가대비표!V370,0)</f>
        <v>2000</v>
      </c>
      <c r="J397" s="7">
        <f t="shared" si="45"/>
        <v>192000</v>
      </c>
      <c r="K397" s="7">
        <f t="shared" si="47"/>
        <v>183400</v>
      </c>
      <c r="L397" s="7">
        <f t="shared" si="47"/>
        <v>17606400</v>
      </c>
      <c r="M397" s="4" t="s">
        <v>115</v>
      </c>
      <c r="N397" s="6" t="s">
        <v>1266</v>
      </c>
      <c r="O397" s="6" t="s">
        <v>55</v>
      </c>
      <c r="P397" s="6" t="s">
        <v>55</v>
      </c>
      <c r="Q397" s="6" t="s">
        <v>1110</v>
      </c>
      <c r="R397" s="6" t="s">
        <v>56</v>
      </c>
      <c r="S397" s="6" t="s">
        <v>56</v>
      </c>
      <c r="T397" s="6" t="s">
        <v>57</v>
      </c>
      <c r="AR397" s="6" t="s">
        <v>55</v>
      </c>
      <c r="AS397" s="6" t="s">
        <v>55</v>
      </c>
      <c r="AU397" s="6" t="s">
        <v>1267</v>
      </c>
      <c r="AV397">
        <v>1327</v>
      </c>
    </row>
    <row r="398" spans="1:48" ht="30" customHeight="1" x14ac:dyDescent="0.3">
      <c r="A398" s="4" t="s">
        <v>1268</v>
      </c>
      <c r="B398" s="4" t="s">
        <v>1237</v>
      </c>
      <c r="C398" s="4" t="s">
        <v>140</v>
      </c>
      <c r="D398" s="5">
        <v>302</v>
      </c>
      <c r="E398" s="7">
        <f>TRUNC([1]단가대비표!O371,0)</f>
        <v>58120</v>
      </c>
      <c r="F398" s="7">
        <f t="shared" si="43"/>
        <v>17552240</v>
      </c>
      <c r="G398" s="7">
        <f>TRUNC([1]단가대비표!P371,0)</f>
        <v>39900</v>
      </c>
      <c r="H398" s="7">
        <f t="shared" si="44"/>
        <v>12049800</v>
      </c>
      <c r="I398" s="7">
        <f>TRUNC([1]단가대비표!V371,0)</f>
        <v>2500</v>
      </c>
      <c r="J398" s="7">
        <f t="shared" si="45"/>
        <v>755000</v>
      </c>
      <c r="K398" s="7">
        <f t="shared" si="47"/>
        <v>100520</v>
      </c>
      <c r="L398" s="7">
        <f t="shared" si="47"/>
        <v>30357040</v>
      </c>
      <c r="M398" s="4" t="s">
        <v>115</v>
      </c>
      <c r="N398" s="6" t="s">
        <v>1269</v>
      </c>
      <c r="O398" s="6" t="s">
        <v>55</v>
      </c>
      <c r="P398" s="6" t="s">
        <v>55</v>
      </c>
      <c r="Q398" s="6" t="s">
        <v>1110</v>
      </c>
      <c r="R398" s="6" t="s">
        <v>56</v>
      </c>
      <c r="S398" s="6" t="s">
        <v>56</v>
      </c>
      <c r="T398" s="6" t="s">
        <v>57</v>
      </c>
      <c r="AR398" s="6" t="s">
        <v>55</v>
      </c>
      <c r="AS398" s="6" t="s">
        <v>55</v>
      </c>
      <c r="AU398" s="6" t="s">
        <v>1270</v>
      </c>
      <c r="AV398">
        <v>3418</v>
      </c>
    </row>
    <row r="399" spans="1:48" ht="30" customHeight="1" x14ac:dyDescent="0.3">
      <c r="A399" s="4" t="s">
        <v>1271</v>
      </c>
      <c r="B399" s="4" t="s">
        <v>1272</v>
      </c>
      <c r="C399" s="4" t="s">
        <v>140</v>
      </c>
      <c r="D399" s="5">
        <v>43</v>
      </c>
      <c r="E399" s="7">
        <f>TRUNC([1]단가대비표!O372,0)</f>
        <v>66940</v>
      </c>
      <c r="F399" s="7">
        <f t="shared" si="43"/>
        <v>2878420</v>
      </c>
      <c r="G399" s="7">
        <f>TRUNC([1]단가대비표!P372,0)</f>
        <v>41900</v>
      </c>
      <c r="H399" s="7">
        <f t="shared" si="44"/>
        <v>1801700</v>
      </c>
      <c r="I399" s="7">
        <f>TRUNC([1]단가대비표!V372,0)</f>
        <v>2500</v>
      </c>
      <c r="J399" s="7">
        <f t="shared" si="45"/>
        <v>107500</v>
      </c>
      <c r="K399" s="7">
        <f t="shared" si="47"/>
        <v>111340</v>
      </c>
      <c r="L399" s="7">
        <f t="shared" si="47"/>
        <v>4787620</v>
      </c>
      <c r="M399" s="4" t="s">
        <v>115</v>
      </c>
      <c r="N399" s="6" t="s">
        <v>1273</v>
      </c>
      <c r="O399" s="6" t="s">
        <v>55</v>
      </c>
      <c r="P399" s="6" t="s">
        <v>55</v>
      </c>
      <c r="Q399" s="6" t="s">
        <v>1110</v>
      </c>
      <c r="R399" s="6" t="s">
        <v>56</v>
      </c>
      <c r="S399" s="6" t="s">
        <v>56</v>
      </c>
      <c r="T399" s="6" t="s">
        <v>57</v>
      </c>
      <c r="AR399" s="6" t="s">
        <v>55</v>
      </c>
      <c r="AS399" s="6" t="s">
        <v>55</v>
      </c>
      <c r="AU399" s="6" t="s">
        <v>1274</v>
      </c>
      <c r="AV399">
        <v>3419</v>
      </c>
    </row>
    <row r="400" spans="1:48" ht="30" customHeight="1" x14ac:dyDescent="0.3">
      <c r="A400" s="4" t="s">
        <v>1275</v>
      </c>
      <c r="B400" s="4" t="s">
        <v>1237</v>
      </c>
      <c r="C400" s="4" t="s">
        <v>140</v>
      </c>
      <c r="D400" s="5">
        <v>81</v>
      </c>
      <c r="E400" s="7">
        <f>TRUNC([1]단가대비표!O373,0)</f>
        <v>58120</v>
      </c>
      <c r="F400" s="7">
        <f t="shared" si="43"/>
        <v>4707720</v>
      </c>
      <c r="G400" s="7">
        <f>TRUNC([1]단가대비표!P373,0)</f>
        <v>39900</v>
      </c>
      <c r="H400" s="7">
        <f t="shared" si="44"/>
        <v>3231900</v>
      </c>
      <c r="I400" s="7">
        <f>TRUNC([1]단가대비표!V373,0)</f>
        <v>2500</v>
      </c>
      <c r="J400" s="7">
        <f t="shared" si="45"/>
        <v>202500</v>
      </c>
      <c r="K400" s="7">
        <f t="shared" si="47"/>
        <v>100520</v>
      </c>
      <c r="L400" s="7">
        <f t="shared" si="47"/>
        <v>8142120</v>
      </c>
      <c r="M400" s="4" t="s">
        <v>115</v>
      </c>
      <c r="N400" s="6" t="s">
        <v>1276</v>
      </c>
      <c r="O400" s="6" t="s">
        <v>55</v>
      </c>
      <c r="P400" s="6" t="s">
        <v>55</v>
      </c>
      <c r="Q400" s="6" t="s">
        <v>1110</v>
      </c>
      <c r="R400" s="6" t="s">
        <v>56</v>
      </c>
      <c r="S400" s="6" t="s">
        <v>56</v>
      </c>
      <c r="T400" s="6" t="s">
        <v>57</v>
      </c>
      <c r="AR400" s="6" t="s">
        <v>55</v>
      </c>
      <c r="AS400" s="6" t="s">
        <v>55</v>
      </c>
      <c r="AU400" s="6" t="s">
        <v>1277</v>
      </c>
      <c r="AV400">
        <v>3420</v>
      </c>
    </row>
    <row r="401" spans="1:48" ht="30" customHeight="1" x14ac:dyDescent="0.3">
      <c r="A401" s="4" t="s">
        <v>1240</v>
      </c>
      <c r="B401" s="4" t="s">
        <v>1241</v>
      </c>
      <c r="C401" s="4" t="s">
        <v>52</v>
      </c>
      <c r="D401" s="5">
        <v>7</v>
      </c>
      <c r="E401" s="7">
        <f>TRUNC([1]단가대비표!O374,0)</f>
        <v>21000</v>
      </c>
      <c r="F401" s="7">
        <f t="shared" si="43"/>
        <v>147000</v>
      </c>
      <c r="G401" s="7">
        <f>TRUNC([1]단가대비표!P374,0)</f>
        <v>23000</v>
      </c>
      <c r="H401" s="7">
        <f t="shared" si="44"/>
        <v>161000</v>
      </c>
      <c r="I401" s="7">
        <f>TRUNC([1]단가대비표!V374,0)</f>
        <v>1000</v>
      </c>
      <c r="J401" s="7">
        <f t="shared" si="45"/>
        <v>7000</v>
      </c>
      <c r="K401" s="7">
        <f t="shared" si="47"/>
        <v>45000</v>
      </c>
      <c r="L401" s="7">
        <f t="shared" si="47"/>
        <v>315000</v>
      </c>
      <c r="M401" s="4" t="s">
        <v>115</v>
      </c>
      <c r="N401" s="6" t="s">
        <v>1278</v>
      </c>
      <c r="O401" s="6" t="s">
        <v>55</v>
      </c>
      <c r="P401" s="6" t="s">
        <v>55</v>
      </c>
      <c r="Q401" s="6" t="s">
        <v>1110</v>
      </c>
      <c r="R401" s="6" t="s">
        <v>56</v>
      </c>
      <c r="S401" s="6" t="s">
        <v>56</v>
      </c>
      <c r="T401" s="6" t="s">
        <v>57</v>
      </c>
      <c r="AR401" s="6" t="s">
        <v>55</v>
      </c>
      <c r="AS401" s="6" t="s">
        <v>55</v>
      </c>
      <c r="AU401" s="6" t="s">
        <v>1279</v>
      </c>
      <c r="AV401">
        <v>3421</v>
      </c>
    </row>
    <row r="402" spans="1:48" ht="30" customHeight="1" x14ac:dyDescent="0.3">
      <c r="A402" s="4" t="s">
        <v>55</v>
      </c>
      <c r="B402" s="4" t="s">
        <v>55</v>
      </c>
      <c r="C402" s="4" t="s">
        <v>55</v>
      </c>
      <c r="D402" s="5"/>
      <c r="E402" s="7">
        <f>TRUNC([1]단가대비표!O535,0)</f>
        <v>0</v>
      </c>
      <c r="F402" s="7">
        <f t="shared" si="43"/>
        <v>0</v>
      </c>
      <c r="G402" s="7">
        <f>TRUNC([1]단가대비표!P535,0)</f>
        <v>0</v>
      </c>
      <c r="H402" s="7">
        <f t="shared" si="44"/>
        <v>0</v>
      </c>
      <c r="I402" s="7">
        <f>TRUNC([1]단가대비표!V535,0)</f>
        <v>0</v>
      </c>
      <c r="J402" s="7">
        <f t="shared" si="45"/>
        <v>0</v>
      </c>
      <c r="K402" s="7">
        <f t="shared" si="47"/>
        <v>0</v>
      </c>
      <c r="L402" s="7">
        <f t="shared" si="47"/>
        <v>0</v>
      </c>
      <c r="M402" s="4" t="s">
        <v>55</v>
      </c>
      <c r="N402" s="6" t="s">
        <v>1280</v>
      </c>
      <c r="O402" s="6" t="s">
        <v>55</v>
      </c>
      <c r="P402" s="6" t="s">
        <v>55</v>
      </c>
      <c r="Q402" s="6" t="s">
        <v>1110</v>
      </c>
      <c r="R402" s="6" t="s">
        <v>56</v>
      </c>
      <c r="S402" s="6" t="s">
        <v>56</v>
      </c>
      <c r="T402" s="6" t="s">
        <v>57</v>
      </c>
      <c r="AR402" s="6" t="s">
        <v>55</v>
      </c>
      <c r="AS402" s="6" t="s">
        <v>55</v>
      </c>
      <c r="AU402" s="6" t="s">
        <v>1281</v>
      </c>
      <c r="AV402">
        <v>1887</v>
      </c>
    </row>
    <row r="403" spans="1:48" ht="30" customHeight="1" x14ac:dyDescent="0.3">
      <c r="A403" s="4" t="s">
        <v>1282</v>
      </c>
      <c r="B403" s="4" t="s">
        <v>55</v>
      </c>
      <c r="C403" s="4" t="s">
        <v>55</v>
      </c>
      <c r="D403" s="5"/>
      <c r="E403" s="7">
        <f>TRUNC([1]단가대비표!O536,0)</f>
        <v>0</v>
      </c>
      <c r="F403" s="7">
        <f t="shared" si="43"/>
        <v>0</v>
      </c>
      <c r="G403" s="7">
        <f>TRUNC([1]단가대비표!P536,0)</f>
        <v>0</v>
      </c>
      <c r="H403" s="7">
        <f t="shared" si="44"/>
        <v>0</v>
      </c>
      <c r="I403" s="7">
        <f>TRUNC([1]단가대비표!V536,0)</f>
        <v>0</v>
      </c>
      <c r="J403" s="7">
        <f t="shared" si="45"/>
        <v>0</v>
      </c>
      <c r="K403" s="7">
        <f t="shared" si="47"/>
        <v>0</v>
      </c>
      <c r="L403" s="7">
        <f t="shared" si="47"/>
        <v>0</v>
      </c>
      <c r="M403" s="4" t="s">
        <v>55</v>
      </c>
      <c r="N403" s="6" t="s">
        <v>1283</v>
      </c>
      <c r="O403" s="6" t="s">
        <v>55</v>
      </c>
      <c r="P403" s="6" t="s">
        <v>55</v>
      </c>
      <c r="Q403" s="6" t="s">
        <v>1110</v>
      </c>
      <c r="R403" s="6" t="s">
        <v>56</v>
      </c>
      <c r="S403" s="6" t="s">
        <v>56</v>
      </c>
      <c r="T403" s="6" t="s">
        <v>57</v>
      </c>
      <c r="AR403" s="6" t="s">
        <v>55</v>
      </c>
      <c r="AS403" s="6" t="s">
        <v>55</v>
      </c>
      <c r="AU403" s="6" t="s">
        <v>1284</v>
      </c>
      <c r="AV403">
        <v>1888</v>
      </c>
    </row>
    <row r="404" spans="1:48" ht="30" customHeight="1" x14ac:dyDescent="0.3">
      <c r="A404" s="4" t="s">
        <v>1285</v>
      </c>
      <c r="B404" s="4" t="s">
        <v>1286</v>
      </c>
      <c r="C404" s="4" t="s">
        <v>61</v>
      </c>
      <c r="D404" s="5">
        <v>396.5</v>
      </c>
      <c r="E404" s="7">
        <f>TRUNC([1]단가대비표!O537,0)</f>
        <v>20500</v>
      </c>
      <c r="F404" s="7">
        <f t="shared" si="43"/>
        <v>8128250</v>
      </c>
      <c r="G404" s="7">
        <f>TRUNC([1]단가대비표!P537,0)</f>
        <v>0</v>
      </c>
      <c r="H404" s="7">
        <f t="shared" si="44"/>
        <v>0</v>
      </c>
      <c r="I404" s="7">
        <f>TRUNC([1]단가대비표!V537,0)</f>
        <v>0</v>
      </c>
      <c r="J404" s="7">
        <f t="shared" si="45"/>
        <v>0</v>
      </c>
      <c r="K404" s="7">
        <f t="shared" si="47"/>
        <v>20500</v>
      </c>
      <c r="L404" s="7">
        <f t="shared" si="47"/>
        <v>8128250</v>
      </c>
      <c r="M404" s="4" t="s">
        <v>115</v>
      </c>
      <c r="N404" s="6" t="s">
        <v>1287</v>
      </c>
      <c r="O404" s="6" t="s">
        <v>55</v>
      </c>
      <c r="P404" s="6" t="s">
        <v>55</v>
      </c>
      <c r="Q404" s="6" t="s">
        <v>1110</v>
      </c>
      <c r="R404" s="6" t="s">
        <v>56</v>
      </c>
      <c r="S404" s="6" t="s">
        <v>56</v>
      </c>
      <c r="T404" s="6" t="s">
        <v>57</v>
      </c>
      <c r="AR404" s="6" t="s">
        <v>55</v>
      </c>
      <c r="AS404" s="6" t="s">
        <v>55</v>
      </c>
      <c r="AU404" s="6" t="s">
        <v>1288</v>
      </c>
      <c r="AV404">
        <v>1889</v>
      </c>
    </row>
    <row r="405" spans="1:48" ht="30" customHeight="1" x14ac:dyDescent="0.3">
      <c r="A405" s="4" t="s">
        <v>1289</v>
      </c>
      <c r="B405" s="4" t="s">
        <v>1286</v>
      </c>
      <c r="C405" s="4" t="s">
        <v>61</v>
      </c>
      <c r="D405" s="5">
        <v>325.39</v>
      </c>
      <c r="E405" s="7">
        <f>TRUNC([1]단가대비표!O538,0)</f>
        <v>22500</v>
      </c>
      <c r="F405" s="7">
        <f t="shared" si="43"/>
        <v>7321275</v>
      </c>
      <c r="G405" s="7">
        <f>TRUNC([1]단가대비표!P538,0)</f>
        <v>0</v>
      </c>
      <c r="H405" s="7">
        <f t="shared" si="44"/>
        <v>0</v>
      </c>
      <c r="I405" s="7">
        <f>TRUNC([1]단가대비표!V538,0)</f>
        <v>0</v>
      </c>
      <c r="J405" s="7">
        <f t="shared" si="45"/>
        <v>0</v>
      </c>
      <c r="K405" s="7">
        <f t="shared" si="47"/>
        <v>22500</v>
      </c>
      <c r="L405" s="7">
        <f t="shared" si="47"/>
        <v>7321275</v>
      </c>
      <c r="M405" s="4" t="s">
        <v>115</v>
      </c>
      <c r="N405" s="6" t="s">
        <v>1290</v>
      </c>
      <c r="O405" s="6" t="s">
        <v>55</v>
      </c>
      <c r="P405" s="6" t="s">
        <v>55</v>
      </c>
      <c r="Q405" s="6" t="s">
        <v>1110</v>
      </c>
      <c r="R405" s="6" t="s">
        <v>56</v>
      </c>
      <c r="S405" s="6" t="s">
        <v>56</v>
      </c>
      <c r="T405" s="6" t="s">
        <v>57</v>
      </c>
      <c r="AR405" s="6" t="s">
        <v>55</v>
      </c>
      <c r="AS405" s="6" t="s">
        <v>55</v>
      </c>
      <c r="AU405" s="6" t="s">
        <v>1291</v>
      </c>
      <c r="AV405">
        <v>1891</v>
      </c>
    </row>
    <row r="406" spans="1:48" ht="30" customHeight="1" x14ac:dyDescent="0.3">
      <c r="A406" s="4" t="s">
        <v>1292</v>
      </c>
      <c r="B406" s="4" t="s">
        <v>1286</v>
      </c>
      <c r="C406" s="4" t="s">
        <v>61</v>
      </c>
      <c r="D406" s="5">
        <v>375.8</v>
      </c>
      <c r="E406" s="7">
        <f>TRUNC([1]단가대비표!O539,0)</f>
        <v>26000</v>
      </c>
      <c r="F406" s="7">
        <f t="shared" si="43"/>
        <v>9770800</v>
      </c>
      <c r="G406" s="7">
        <f>TRUNC([1]단가대비표!P539,0)</f>
        <v>0</v>
      </c>
      <c r="H406" s="7">
        <f t="shared" si="44"/>
        <v>0</v>
      </c>
      <c r="I406" s="7">
        <f>TRUNC([1]단가대비표!V539,0)</f>
        <v>0</v>
      </c>
      <c r="J406" s="7">
        <f t="shared" si="45"/>
        <v>0</v>
      </c>
      <c r="K406" s="7">
        <f t="shared" si="47"/>
        <v>26000</v>
      </c>
      <c r="L406" s="7">
        <f t="shared" si="47"/>
        <v>9770800</v>
      </c>
      <c r="M406" s="4" t="s">
        <v>115</v>
      </c>
      <c r="N406" s="6" t="s">
        <v>1293</v>
      </c>
      <c r="O406" s="6" t="s">
        <v>55</v>
      </c>
      <c r="P406" s="6" t="s">
        <v>55</v>
      </c>
      <c r="Q406" s="6" t="s">
        <v>1110</v>
      </c>
      <c r="R406" s="6" t="s">
        <v>56</v>
      </c>
      <c r="S406" s="6" t="s">
        <v>56</v>
      </c>
      <c r="T406" s="6" t="s">
        <v>57</v>
      </c>
      <c r="AR406" s="6" t="s">
        <v>55</v>
      </c>
      <c r="AS406" s="6" t="s">
        <v>55</v>
      </c>
      <c r="AU406" s="6" t="s">
        <v>1294</v>
      </c>
      <c r="AV406">
        <v>1893</v>
      </c>
    </row>
    <row r="407" spans="1:48" ht="30" customHeight="1" x14ac:dyDescent="0.3">
      <c r="A407" s="4" t="s">
        <v>1295</v>
      </c>
      <c r="B407" s="4" t="s">
        <v>1286</v>
      </c>
      <c r="C407" s="4" t="s">
        <v>61</v>
      </c>
      <c r="D407" s="5">
        <v>117.27</v>
      </c>
      <c r="E407" s="7">
        <f>TRUNC([1]단가대비표!O540,0)</f>
        <v>26000</v>
      </c>
      <c r="F407" s="7">
        <f t="shared" si="43"/>
        <v>3049020</v>
      </c>
      <c r="G407" s="7">
        <f>TRUNC([1]단가대비표!P540,0)</f>
        <v>0</v>
      </c>
      <c r="H407" s="7">
        <f t="shared" si="44"/>
        <v>0</v>
      </c>
      <c r="I407" s="7">
        <f>TRUNC([1]단가대비표!V540,0)</f>
        <v>0</v>
      </c>
      <c r="J407" s="7">
        <f t="shared" si="45"/>
        <v>0</v>
      </c>
      <c r="K407" s="7">
        <f t="shared" si="47"/>
        <v>26000</v>
      </c>
      <c r="L407" s="7">
        <f t="shared" si="47"/>
        <v>3049020</v>
      </c>
      <c r="M407" s="4" t="s">
        <v>115</v>
      </c>
      <c r="N407" s="6" t="s">
        <v>1296</v>
      </c>
      <c r="O407" s="6" t="s">
        <v>55</v>
      </c>
      <c r="P407" s="6" t="s">
        <v>55</v>
      </c>
      <c r="Q407" s="6" t="s">
        <v>1110</v>
      </c>
      <c r="R407" s="6" t="s">
        <v>56</v>
      </c>
      <c r="S407" s="6" t="s">
        <v>56</v>
      </c>
      <c r="T407" s="6" t="s">
        <v>57</v>
      </c>
      <c r="AR407" s="6" t="s">
        <v>55</v>
      </c>
      <c r="AS407" s="6" t="s">
        <v>55</v>
      </c>
      <c r="AU407" s="6" t="s">
        <v>1297</v>
      </c>
      <c r="AV407">
        <v>1895</v>
      </c>
    </row>
    <row r="408" spans="1:48" ht="30" customHeight="1" x14ac:dyDescent="0.3">
      <c r="A408" s="4" t="s">
        <v>1298</v>
      </c>
      <c r="B408" s="4" t="s">
        <v>1299</v>
      </c>
      <c r="C408" s="4" t="s">
        <v>61</v>
      </c>
      <c r="D408" s="5">
        <v>313.04000000000002</v>
      </c>
      <c r="E408" s="7">
        <f>TRUNC([1]단가대비표!O541,0)</f>
        <v>26500</v>
      </c>
      <c r="F408" s="7">
        <f t="shared" si="43"/>
        <v>8295560</v>
      </c>
      <c r="G408" s="7">
        <f>TRUNC([1]단가대비표!P541,0)</f>
        <v>0</v>
      </c>
      <c r="H408" s="7">
        <f t="shared" si="44"/>
        <v>0</v>
      </c>
      <c r="I408" s="7">
        <f>TRUNC([1]단가대비표!V541,0)</f>
        <v>0</v>
      </c>
      <c r="J408" s="7">
        <f t="shared" si="45"/>
        <v>0</v>
      </c>
      <c r="K408" s="7">
        <f t="shared" si="47"/>
        <v>26500</v>
      </c>
      <c r="L408" s="7">
        <f t="shared" si="47"/>
        <v>8295560</v>
      </c>
      <c r="M408" s="4" t="s">
        <v>115</v>
      </c>
      <c r="N408" s="6" t="s">
        <v>1300</v>
      </c>
      <c r="O408" s="6" t="s">
        <v>55</v>
      </c>
      <c r="P408" s="6" t="s">
        <v>55</v>
      </c>
      <c r="Q408" s="6" t="s">
        <v>1110</v>
      </c>
      <c r="R408" s="6" t="s">
        <v>56</v>
      </c>
      <c r="S408" s="6" t="s">
        <v>56</v>
      </c>
      <c r="T408" s="6" t="s">
        <v>57</v>
      </c>
      <c r="AR408" s="6" t="s">
        <v>55</v>
      </c>
      <c r="AS408" s="6" t="s">
        <v>55</v>
      </c>
      <c r="AU408" s="6" t="s">
        <v>1301</v>
      </c>
      <c r="AV408">
        <v>1897</v>
      </c>
    </row>
    <row r="409" spans="1:48" ht="30" customHeight="1" x14ac:dyDescent="0.3">
      <c r="A409" s="4" t="s">
        <v>1302</v>
      </c>
      <c r="B409" s="4" t="s">
        <v>1299</v>
      </c>
      <c r="C409" s="4" t="s">
        <v>61</v>
      </c>
      <c r="D409" s="5">
        <v>1807.52</v>
      </c>
      <c r="E409" s="7">
        <f>TRUNC([1]단가대비표!O542,0)</f>
        <v>28500</v>
      </c>
      <c r="F409" s="7">
        <f t="shared" si="43"/>
        <v>51514320</v>
      </c>
      <c r="G409" s="7">
        <f>TRUNC([1]단가대비표!P542,0)</f>
        <v>0</v>
      </c>
      <c r="H409" s="7">
        <f t="shared" si="44"/>
        <v>0</v>
      </c>
      <c r="I409" s="7">
        <f>TRUNC([1]단가대비표!V542,0)</f>
        <v>0</v>
      </c>
      <c r="J409" s="7">
        <f t="shared" si="45"/>
        <v>0</v>
      </c>
      <c r="K409" s="7">
        <f t="shared" si="47"/>
        <v>28500</v>
      </c>
      <c r="L409" s="7">
        <f t="shared" si="47"/>
        <v>51514320</v>
      </c>
      <c r="M409" s="4" t="s">
        <v>115</v>
      </c>
      <c r="N409" s="6" t="s">
        <v>1303</v>
      </c>
      <c r="O409" s="6" t="s">
        <v>55</v>
      </c>
      <c r="P409" s="6" t="s">
        <v>55</v>
      </c>
      <c r="Q409" s="6" t="s">
        <v>1110</v>
      </c>
      <c r="R409" s="6" t="s">
        <v>56</v>
      </c>
      <c r="S409" s="6" t="s">
        <v>56</v>
      </c>
      <c r="T409" s="6" t="s">
        <v>57</v>
      </c>
      <c r="AR409" s="6" t="s">
        <v>55</v>
      </c>
      <c r="AS409" s="6" t="s">
        <v>55</v>
      </c>
      <c r="AU409" s="6" t="s">
        <v>1304</v>
      </c>
      <c r="AV409">
        <v>1899</v>
      </c>
    </row>
    <row r="410" spans="1:48" ht="30" customHeight="1" x14ac:dyDescent="0.3">
      <c r="A410" s="4" t="s">
        <v>1305</v>
      </c>
      <c r="B410" s="4" t="s">
        <v>1299</v>
      </c>
      <c r="C410" s="4" t="s">
        <v>61</v>
      </c>
      <c r="D410" s="5">
        <v>960.96</v>
      </c>
      <c r="E410" s="7">
        <f>TRUNC([1]단가대비표!O543,0)</f>
        <v>32000</v>
      </c>
      <c r="F410" s="7">
        <f t="shared" si="43"/>
        <v>30750720</v>
      </c>
      <c r="G410" s="7">
        <f>TRUNC([1]단가대비표!P543,0)</f>
        <v>0</v>
      </c>
      <c r="H410" s="7">
        <f t="shared" si="44"/>
        <v>0</v>
      </c>
      <c r="I410" s="7">
        <f>TRUNC([1]단가대비표!V543,0)</f>
        <v>0</v>
      </c>
      <c r="J410" s="7">
        <f t="shared" si="45"/>
        <v>0</v>
      </c>
      <c r="K410" s="7">
        <f t="shared" si="47"/>
        <v>32000</v>
      </c>
      <c r="L410" s="7">
        <f t="shared" si="47"/>
        <v>30750720</v>
      </c>
      <c r="M410" s="4" t="s">
        <v>115</v>
      </c>
      <c r="N410" s="6" t="s">
        <v>1306</v>
      </c>
      <c r="O410" s="6" t="s">
        <v>55</v>
      </c>
      <c r="P410" s="6" t="s">
        <v>55</v>
      </c>
      <c r="Q410" s="6" t="s">
        <v>1110</v>
      </c>
      <c r="R410" s="6" t="s">
        <v>56</v>
      </c>
      <c r="S410" s="6" t="s">
        <v>56</v>
      </c>
      <c r="T410" s="6" t="s">
        <v>57</v>
      </c>
      <c r="AR410" s="6" t="s">
        <v>55</v>
      </c>
      <c r="AS410" s="6" t="s">
        <v>55</v>
      </c>
      <c r="AU410" s="6" t="s">
        <v>1307</v>
      </c>
      <c r="AV410">
        <v>1901</v>
      </c>
    </row>
    <row r="411" spans="1:48" ht="30" customHeight="1" x14ac:dyDescent="0.3">
      <c r="A411" s="4" t="s">
        <v>1308</v>
      </c>
      <c r="B411" s="4" t="s">
        <v>1309</v>
      </c>
      <c r="C411" s="4" t="s">
        <v>61</v>
      </c>
      <c r="D411" s="5">
        <v>3911.4</v>
      </c>
      <c r="E411" s="7">
        <f>TRUNC([1]단가대비표!O544,0)</f>
        <v>26500</v>
      </c>
      <c r="F411" s="7">
        <f t="shared" si="43"/>
        <v>103652100</v>
      </c>
      <c r="G411" s="7">
        <f>TRUNC([1]단가대비표!P544,0)</f>
        <v>0</v>
      </c>
      <c r="H411" s="7">
        <f t="shared" si="44"/>
        <v>0</v>
      </c>
      <c r="I411" s="7">
        <f>TRUNC([1]단가대비표!V544,0)</f>
        <v>0</v>
      </c>
      <c r="J411" s="7">
        <f t="shared" si="45"/>
        <v>0</v>
      </c>
      <c r="K411" s="7">
        <f t="shared" si="47"/>
        <v>26500</v>
      </c>
      <c r="L411" s="7">
        <f t="shared" si="47"/>
        <v>103652100</v>
      </c>
      <c r="M411" s="4" t="s">
        <v>115</v>
      </c>
      <c r="N411" s="6" t="s">
        <v>1310</v>
      </c>
      <c r="O411" s="6" t="s">
        <v>55</v>
      </c>
      <c r="P411" s="6" t="s">
        <v>55</v>
      </c>
      <c r="Q411" s="6" t="s">
        <v>1110</v>
      </c>
      <c r="R411" s="6" t="s">
        <v>56</v>
      </c>
      <c r="S411" s="6" t="s">
        <v>56</v>
      </c>
      <c r="T411" s="6" t="s">
        <v>57</v>
      </c>
      <c r="AR411" s="6" t="s">
        <v>55</v>
      </c>
      <c r="AS411" s="6" t="s">
        <v>55</v>
      </c>
      <c r="AU411" s="6" t="s">
        <v>1311</v>
      </c>
      <c r="AV411">
        <v>1903</v>
      </c>
    </row>
    <row r="412" spans="1:48" ht="30" customHeight="1" x14ac:dyDescent="0.3">
      <c r="A412" s="4" t="s">
        <v>1312</v>
      </c>
      <c r="B412" s="4" t="s">
        <v>1309</v>
      </c>
      <c r="C412" s="4" t="s">
        <v>61</v>
      </c>
      <c r="D412" s="5">
        <v>2122.9299999999998</v>
      </c>
      <c r="E412" s="7">
        <f>TRUNC([1]단가대비표!O545,0)</f>
        <v>28500</v>
      </c>
      <c r="F412" s="7">
        <f t="shared" si="43"/>
        <v>60503505</v>
      </c>
      <c r="G412" s="7">
        <f>TRUNC([1]단가대비표!P545,0)</f>
        <v>0</v>
      </c>
      <c r="H412" s="7">
        <f t="shared" si="44"/>
        <v>0</v>
      </c>
      <c r="I412" s="7">
        <f>TRUNC([1]단가대비표!V545,0)</f>
        <v>0</v>
      </c>
      <c r="J412" s="7">
        <f t="shared" si="45"/>
        <v>0</v>
      </c>
      <c r="K412" s="7">
        <f t="shared" si="47"/>
        <v>28500</v>
      </c>
      <c r="L412" s="7">
        <f t="shared" si="47"/>
        <v>60503505</v>
      </c>
      <c r="M412" s="4" t="s">
        <v>115</v>
      </c>
      <c r="N412" s="6" t="s">
        <v>1313</v>
      </c>
      <c r="O412" s="6" t="s">
        <v>55</v>
      </c>
      <c r="P412" s="6" t="s">
        <v>55</v>
      </c>
      <c r="Q412" s="6" t="s">
        <v>1110</v>
      </c>
      <c r="R412" s="6" t="s">
        <v>56</v>
      </c>
      <c r="S412" s="6" t="s">
        <v>56</v>
      </c>
      <c r="T412" s="6" t="s">
        <v>57</v>
      </c>
      <c r="AR412" s="6" t="s">
        <v>55</v>
      </c>
      <c r="AS412" s="6" t="s">
        <v>55</v>
      </c>
      <c r="AU412" s="6" t="s">
        <v>1314</v>
      </c>
      <c r="AV412">
        <v>1905</v>
      </c>
    </row>
    <row r="413" spans="1:48" ht="30" customHeight="1" x14ac:dyDescent="0.3">
      <c r="A413" s="4" t="s">
        <v>1315</v>
      </c>
      <c r="B413" s="4" t="s">
        <v>1316</v>
      </c>
      <c r="C413" s="4" t="s">
        <v>269</v>
      </c>
      <c r="D413" s="5">
        <v>5302.16</v>
      </c>
      <c r="E413" s="7">
        <f>TRUNC([1]단가대비표!O546,0)</f>
        <v>4500</v>
      </c>
      <c r="F413" s="7">
        <f t="shared" si="43"/>
        <v>23859720</v>
      </c>
      <c r="G413" s="7">
        <f>TRUNC([1]단가대비표!P546,0)</f>
        <v>0</v>
      </c>
      <c r="H413" s="7">
        <f t="shared" si="44"/>
        <v>0</v>
      </c>
      <c r="I413" s="7">
        <f>TRUNC([1]단가대비표!V546,0)</f>
        <v>0</v>
      </c>
      <c r="J413" s="7">
        <f t="shared" si="45"/>
        <v>0</v>
      </c>
      <c r="K413" s="7">
        <f t="shared" si="47"/>
        <v>4500</v>
      </c>
      <c r="L413" s="7">
        <f t="shared" si="47"/>
        <v>23859720</v>
      </c>
      <c r="M413" s="4" t="s">
        <v>115</v>
      </c>
      <c r="N413" s="6" t="s">
        <v>1317</v>
      </c>
      <c r="O413" s="6" t="s">
        <v>55</v>
      </c>
      <c r="P413" s="6" t="s">
        <v>55</v>
      </c>
      <c r="Q413" s="6" t="s">
        <v>1110</v>
      </c>
      <c r="R413" s="6" t="s">
        <v>56</v>
      </c>
      <c r="S413" s="6" t="s">
        <v>56</v>
      </c>
      <c r="T413" s="6" t="s">
        <v>57</v>
      </c>
      <c r="AR413" s="6" t="s">
        <v>55</v>
      </c>
      <c r="AS413" s="6" t="s">
        <v>55</v>
      </c>
      <c r="AU413" s="6" t="s">
        <v>1318</v>
      </c>
      <c r="AV413">
        <v>1907</v>
      </c>
    </row>
    <row r="414" spans="1:48" ht="30" customHeight="1" x14ac:dyDescent="0.3">
      <c r="A414" s="4" t="s">
        <v>55</v>
      </c>
      <c r="B414" s="4" t="s">
        <v>55</v>
      </c>
      <c r="C414" s="4" t="s">
        <v>55</v>
      </c>
      <c r="D414" s="5"/>
      <c r="E414" s="7">
        <f>TRUNC([1]단가대비표!O547,0)</f>
        <v>0</v>
      </c>
      <c r="F414" s="7">
        <f t="shared" si="43"/>
        <v>0</v>
      </c>
      <c r="G414" s="7">
        <f>TRUNC([1]단가대비표!P547,0)</f>
        <v>0</v>
      </c>
      <c r="H414" s="7">
        <f t="shared" si="44"/>
        <v>0</v>
      </c>
      <c r="I414" s="7">
        <f>TRUNC([1]단가대비표!V547,0)</f>
        <v>0</v>
      </c>
      <c r="J414" s="7">
        <f t="shared" si="45"/>
        <v>0</v>
      </c>
      <c r="K414" s="7">
        <f t="shared" si="47"/>
        <v>0</v>
      </c>
      <c r="L414" s="7">
        <f t="shared" si="47"/>
        <v>0</v>
      </c>
      <c r="M414" s="4" t="s">
        <v>55</v>
      </c>
      <c r="N414" s="6" t="s">
        <v>1319</v>
      </c>
      <c r="O414" s="6" t="s">
        <v>55</v>
      </c>
      <c r="P414" s="6" t="s">
        <v>55</v>
      </c>
      <c r="Q414" s="6" t="s">
        <v>1110</v>
      </c>
      <c r="R414" s="6" t="s">
        <v>56</v>
      </c>
      <c r="S414" s="6" t="s">
        <v>56</v>
      </c>
      <c r="T414" s="6" t="s">
        <v>57</v>
      </c>
      <c r="AR414" s="6" t="s">
        <v>55</v>
      </c>
      <c r="AS414" s="6" t="s">
        <v>55</v>
      </c>
      <c r="AU414" s="6" t="s">
        <v>1320</v>
      </c>
      <c r="AV414">
        <v>1908</v>
      </c>
    </row>
    <row r="415" spans="1:48" ht="30" customHeight="1" x14ac:dyDescent="0.3">
      <c r="A415" s="4" t="s">
        <v>1321</v>
      </c>
      <c r="B415" s="4" t="s">
        <v>55</v>
      </c>
      <c r="C415" s="4" t="s">
        <v>55</v>
      </c>
      <c r="D415" s="5"/>
      <c r="E415" s="7">
        <f>TRUNC([1]단가대비표!O821,0)</f>
        <v>0</v>
      </c>
      <c r="F415" s="7">
        <f t="shared" si="43"/>
        <v>0</v>
      </c>
      <c r="G415" s="7">
        <f>TRUNC([1]단가대비표!P821,0)</f>
        <v>0</v>
      </c>
      <c r="H415" s="7">
        <f t="shared" si="44"/>
        <v>0</v>
      </c>
      <c r="I415" s="7">
        <f>TRUNC([1]단가대비표!V821,0)</f>
        <v>0</v>
      </c>
      <c r="J415" s="7">
        <f t="shared" si="45"/>
        <v>0</v>
      </c>
      <c r="K415" s="7">
        <f t="shared" si="47"/>
        <v>0</v>
      </c>
      <c r="L415" s="7">
        <f t="shared" si="47"/>
        <v>0</v>
      </c>
      <c r="M415" s="4" t="s">
        <v>55</v>
      </c>
      <c r="N415" s="6" t="s">
        <v>1322</v>
      </c>
      <c r="O415" s="6" t="s">
        <v>55</v>
      </c>
      <c r="P415" s="6" t="s">
        <v>55</v>
      </c>
      <c r="Q415" s="6" t="s">
        <v>1110</v>
      </c>
      <c r="R415" s="6" t="s">
        <v>56</v>
      </c>
      <c r="S415" s="6" t="s">
        <v>56</v>
      </c>
      <c r="T415" s="6" t="s">
        <v>57</v>
      </c>
      <c r="AR415" s="6" t="s">
        <v>55</v>
      </c>
      <c r="AS415" s="6" t="s">
        <v>55</v>
      </c>
      <c r="AU415" s="6" t="s">
        <v>1323</v>
      </c>
      <c r="AV415">
        <v>3003</v>
      </c>
    </row>
    <row r="416" spans="1:48" ht="30" customHeight="1" x14ac:dyDescent="0.3">
      <c r="A416" s="4" t="s">
        <v>1324</v>
      </c>
      <c r="B416" s="4" t="s">
        <v>1325</v>
      </c>
      <c r="C416" s="4" t="s">
        <v>269</v>
      </c>
      <c r="D416" s="5">
        <v>27</v>
      </c>
      <c r="E416" s="7">
        <f>TRUNC([1]단가대비표!O822,0)</f>
        <v>72410</v>
      </c>
      <c r="F416" s="7">
        <f t="shared" si="43"/>
        <v>1955070</v>
      </c>
      <c r="G416" s="7">
        <f>TRUNC([1]단가대비표!P822,0)</f>
        <v>0</v>
      </c>
      <c r="H416" s="7">
        <f t="shared" si="44"/>
        <v>0</v>
      </c>
      <c r="I416" s="7">
        <f>TRUNC([1]단가대비표!V822,0)</f>
        <v>0</v>
      </c>
      <c r="J416" s="7">
        <f t="shared" si="45"/>
        <v>0</v>
      </c>
      <c r="K416" s="7">
        <f t="shared" si="47"/>
        <v>72410</v>
      </c>
      <c r="L416" s="7">
        <f t="shared" si="47"/>
        <v>1955070</v>
      </c>
      <c r="M416" s="4" t="s">
        <v>115</v>
      </c>
      <c r="N416" s="6" t="s">
        <v>1326</v>
      </c>
      <c r="O416" s="6" t="s">
        <v>55</v>
      </c>
      <c r="P416" s="6" t="s">
        <v>55</v>
      </c>
      <c r="Q416" s="6" t="s">
        <v>1110</v>
      </c>
      <c r="R416" s="6" t="s">
        <v>56</v>
      </c>
      <c r="S416" s="6" t="s">
        <v>56</v>
      </c>
      <c r="T416" s="6" t="s">
        <v>57</v>
      </c>
      <c r="AR416" s="6" t="s">
        <v>55</v>
      </c>
      <c r="AS416" s="6" t="s">
        <v>55</v>
      </c>
      <c r="AU416" s="6" t="s">
        <v>1327</v>
      </c>
      <c r="AV416">
        <v>3004</v>
      </c>
    </row>
    <row r="417" spans="1:48" ht="30" customHeight="1" x14ac:dyDescent="0.3">
      <c r="A417" s="4" t="s">
        <v>1328</v>
      </c>
      <c r="B417" s="4" t="s">
        <v>1329</v>
      </c>
      <c r="C417" s="4" t="s">
        <v>269</v>
      </c>
      <c r="D417" s="5">
        <v>23</v>
      </c>
      <c r="E417" s="7">
        <f>TRUNC([1]단가대비표!O823,0)</f>
        <v>11960</v>
      </c>
      <c r="F417" s="7">
        <f t="shared" si="43"/>
        <v>275080</v>
      </c>
      <c r="G417" s="7">
        <f>TRUNC([1]단가대비표!P823,0)</f>
        <v>0</v>
      </c>
      <c r="H417" s="7">
        <f t="shared" si="44"/>
        <v>0</v>
      </c>
      <c r="I417" s="7">
        <f>TRUNC([1]단가대비표!V823,0)</f>
        <v>0</v>
      </c>
      <c r="J417" s="7">
        <f t="shared" si="45"/>
        <v>0</v>
      </c>
      <c r="K417" s="7">
        <f t="shared" si="47"/>
        <v>11960</v>
      </c>
      <c r="L417" s="7">
        <f t="shared" si="47"/>
        <v>275080</v>
      </c>
      <c r="M417" s="4" t="s">
        <v>115</v>
      </c>
      <c r="N417" s="6" t="s">
        <v>1330</v>
      </c>
      <c r="O417" s="6" t="s">
        <v>55</v>
      </c>
      <c r="P417" s="6" t="s">
        <v>55</v>
      </c>
      <c r="Q417" s="6" t="s">
        <v>1110</v>
      </c>
      <c r="R417" s="6" t="s">
        <v>56</v>
      </c>
      <c r="S417" s="6" t="s">
        <v>56</v>
      </c>
      <c r="T417" s="6" t="s">
        <v>57</v>
      </c>
      <c r="AR417" s="6" t="s">
        <v>55</v>
      </c>
      <c r="AS417" s="6" t="s">
        <v>55</v>
      </c>
      <c r="AU417" s="6" t="s">
        <v>1331</v>
      </c>
      <c r="AV417">
        <v>3005</v>
      </c>
    </row>
    <row r="418" spans="1:48" ht="30" customHeight="1" x14ac:dyDescent="0.3">
      <c r="A418" s="4" t="s">
        <v>55</v>
      </c>
      <c r="B418" s="4" t="s">
        <v>55</v>
      </c>
      <c r="C418" s="4" t="s">
        <v>55</v>
      </c>
      <c r="D418" s="5"/>
      <c r="E418" s="7">
        <f>TRUNC([1]단가대비표!O892,0)</f>
        <v>0</v>
      </c>
      <c r="F418" s="7">
        <f t="shared" si="43"/>
        <v>0</v>
      </c>
      <c r="G418" s="7">
        <f>TRUNC([1]단가대비표!P892,0)</f>
        <v>0</v>
      </c>
      <c r="H418" s="7">
        <f t="shared" si="44"/>
        <v>0</v>
      </c>
      <c r="I418" s="7">
        <f>TRUNC([1]단가대비표!V892,0)</f>
        <v>0</v>
      </c>
      <c r="J418" s="7">
        <f t="shared" si="45"/>
        <v>0</v>
      </c>
      <c r="K418" s="7">
        <f t="shared" si="47"/>
        <v>0</v>
      </c>
      <c r="L418" s="7">
        <f t="shared" si="47"/>
        <v>0</v>
      </c>
      <c r="M418" s="4" t="s">
        <v>55</v>
      </c>
      <c r="N418" s="6" t="s">
        <v>1332</v>
      </c>
      <c r="O418" s="6" t="s">
        <v>55</v>
      </c>
      <c r="P418" s="6" t="s">
        <v>55</v>
      </c>
      <c r="Q418" s="6" t="s">
        <v>1110</v>
      </c>
      <c r="R418" s="6" t="s">
        <v>56</v>
      </c>
      <c r="S418" s="6" t="s">
        <v>56</v>
      </c>
      <c r="T418" s="6" t="s">
        <v>57</v>
      </c>
      <c r="AR418" s="6" t="s">
        <v>55</v>
      </c>
      <c r="AS418" s="6" t="s">
        <v>55</v>
      </c>
      <c r="AU418" s="6" t="s">
        <v>1333</v>
      </c>
      <c r="AV418">
        <v>3422</v>
      </c>
    </row>
    <row r="419" spans="1:48" ht="30" customHeight="1" x14ac:dyDescent="0.3">
      <c r="A419" s="4" t="s">
        <v>1334</v>
      </c>
      <c r="B419" s="4" t="s">
        <v>55</v>
      </c>
      <c r="C419" s="4" t="s">
        <v>55</v>
      </c>
      <c r="D419" s="5"/>
      <c r="E419" s="7">
        <f>TRUNC([1]단가대비표!O292,0)</f>
        <v>0</v>
      </c>
      <c r="F419" s="7">
        <f t="shared" si="43"/>
        <v>0</v>
      </c>
      <c r="G419" s="7">
        <f>TRUNC([1]단가대비표!P292,0)</f>
        <v>0</v>
      </c>
      <c r="H419" s="7">
        <f t="shared" si="44"/>
        <v>0</v>
      </c>
      <c r="I419" s="7">
        <f>TRUNC([1]단가대비표!V292,0)</f>
        <v>0</v>
      </c>
      <c r="J419" s="7">
        <f t="shared" si="45"/>
        <v>0</v>
      </c>
      <c r="K419" s="7">
        <f t="shared" si="47"/>
        <v>0</v>
      </c>
      <c r="L419" s="7">
        <f t="shared" si="47"/>
        <v>0</v>
      </c>
      <c r="M419" s="4" t="s">
        <v>55</v>
      </c>
      <c r="N419" s="6" t="s">
        <v>1335</v>
      </c>
      <c r="O419" s="6" t="s">
        <v>55</v>
      </c>
      <c r="P419" s="6" t="s">
        <v>55</v>
      </c>
      <c r="Q419" s="6" t="s">
        <v>1110</v>
      </c>
      <c r="R419" s="6" t="s">
        <v>56</v>
      </c>
      <c r="S419" s="6" t="s">
        <v>56</v>
      </c>
      <c r="T419" s="6" t="s">
        <v>57</v>
      </c>
      <c r="AR419" s="6" t="s">
        <v>55</v>
      </c>
      <c r="AS419" s="6" t="s">
        <v>55</v>
      </c>
      <c r="AU419" s="6" t="s">
        <v>1336</v>
      </c>
      <c r="AV419">
        <v>3424</v>
      </c>
    </row>
    <row r="420" spans="1:48" ht="30" customHeight="1" x14ac:dyDescent="0.3">
      <c r="A420" s="4" t="s">
        <v>1337</v>
      </c>
      <c r="B420" s="4" t="s">
        <v>1338</v>
      </c>
      <c r="C420" s="4" t="s">
        <v>61</v>
      </c>
      <c r="D420" s="5">
        <v>248</v>
      </c>
      <c r="E420" s="7">
        <f>TRUNC([1]단가대비표!O293,0)</f>
        <v>19000</v>
      </c>
      <c r="F420" s="7">
        <f t="shared" si="43"/>
        <v>4712000</v>
      </c>
      <c r="G420" s="7">
        <f>TRUNC([1]단가대비표!P293,0)</f>
        <v>0</v>
      </c>
      <c r="H420" s="7">
        <f t="shared" si="44"/>
        <v>0</v>
      </c>
      <c r="I420" s="7">
        <f>TRUNC([1]단가대비표!V293,0)</f>
        <v>0</v>
      </c>
      <c r="J420" s="7">
        <f t="shared" si="45"/>
        <v>0</v>
      </c>
      <c r="K420" s="7">
        <f t="shared" si="47"/>
        <v>19000</v>
      </c>
      <c r="L420" s="7">
        <f t="shared" si="47"/>
        <v>4712000</v>
      </c>
      <c r="M420" s="4" t="s">
        <v>115</v>
      </c>
      <c r="N420" s="6" t="s">
        <v>1339</v>
      </c>
      <c r="O420" s="6" t="s">
        <v>55</v>
      </c>
      <c r="P420" s="6" t="s">
        <v>55</v>
      </c>
      <c r="Q420" s="6" t="s">
        <v>1110</v>
      </c>
      <c r="R420" s="6" t="s">
        <v>56</v>
      </c>
      <c r="S420" s="6" t="s">
        <v>56</v>
      </c>
      <c r="T420" s="6" t="s">
        <v>57</v>
      </c>
      <c r="AR420" s="6" t="s">
        <v>55</v>
      </c>
      <c r="AS420" s="6" t="s">
        <v>55</v>
      </c>
      <c r="AU420" s="6" t="s">
        <v>1340</v>
      </c>
      <c r="AV420">
        <v>3425</v>
      </c>
    </row>
    <row r="421" spans="1:48" ht="30" customHeight="1" x14ac:dyDescent="0.3">
      <c r="A421" s="4" t="s">
        <v>1341</v>
      </c>
      <c r="B421" s="4" t="s">
        <v>1342</v>
      </c>
      <c r="C421" s="4" t="s">
        <v>81</v>
      </c>
      <c r="D421" s="5">
        <v>59</v>
      </c>
      <c r="E421" s="7">
        <f>TRUNC([1]단가대비표!O294,0)</f>
        <v>293300</v>
      </c>
      <c r="F421" s="7">
        <f t="shared" ref="F421:F451" si="48">TRUNC(E421*D421, 0)</f>
        <v>17304700</v>
      </c>
      <c r="G421" s="7">
        <f>TRUNC([1]단가대비표!P294,0)</f>
        <v>0</v>
      </c>
      <c r="H421" s="7">
        <f t="shared" ref="H421:H451" si="49">TRUNC(G421*D421, 0)</f>
        <v>0</v>
      </c>
      <c r="I421" s="7">
        <f>TRUNC([1]단가대비표!V294,0)</f>
        <v>0</v>
      </c>
      <c r="J421" s="7">
        <f t="shared" ref="J421:J451" si="50">TRUNC(I421*D421, 0)</f>
        <v>0</v>
      </c>
      <c r="K421" s="7">
        <f t="shared" ref="K421:L451" si="51">TRUNC(E421+G421+I421, 0)</f>
        <v>293300</v>
      </c>
      <c r="L421" s="7">
        <f t="shared" si="51"/>
        <v>17304700</v>
      </c>
      <c r="M421" s="4" t="s">
        <v>115</v>
      </c>
      <c r="N421" s="6" t="s">
        <v>1343</v>
      </c>
      <c r="O421" s="6" t="s">
        <v>55</v>
      </c>
      <c r="P421" s="6" t="s">
        <v>55</v>
      </c>
      <c r="Q421" s="6" t="s">
        <v>1110</v>
      </c>
      <c r="R421" s="6" t="s">
        <v>56</v>
      </c>
      <c r="S421" s="6" t="s">
        <v>56</v>
      </c>
      <c r="T421" s="6" t="s">
        <v>57</v>
      </c>
      <c r="AR421" s="6" t="s">
        <v>55</v>
      </c>
      <c r="AS421" s="6" t="s">
        <v>55</v>
      </c>
      <c r="AU421" s="6" t="s">
        <v>1344</v>
      </c>
      <c r="AV421">
        <v>3426</v>
      </c>
    </row>
    <row r="422" spans="1:48" ht="30" customHeight="1" x14ac:dyDescent="0.3">
      <c r="A422" s="4" t="s">
        <v>1345</v>
      </c>
      <c r="B422" s="4" t="s">
        <v>1346</v>
      </c>
      <c r="C422" s="4" t="s">
        <v>120</v>
      </c>
      <c r="D422" s="5">
        <v>59</v>
      </c>
      <c r="E422" s="7">
        <f>TRUNC([1]단가대비표!O295,0)</f>
        <v>30300</v>
      </c>
      <c r="F422" s="7">
        <f t="shared" si="48"/>
        <v>1787700</v>
      </c>
      <c r="G422" s="7">
        <f>TRUNC([1]단가대비표!P295,0)</f>
        <v>0</v>
      </c>
      <c r="H422" s="7">
        <f t="shared" si="49"/>
        <v>0</v>
      </c>
      <c r="I422" s="7">
        <f>TRUNC([1]단가대비표!V295,0)</f>
        <v>0</v>
      </c>
      <c r="J422" s="7">
        <f t="shared" si="50"/>
        <v>0</v>
      </c>
      <c r="K422" s="7">
        <f t="shared" si="51"/>
        <v>30300</v>
      </c>
      <c r="L422" s="7">
        <f t="shared" si="51"/>
        <v>1787700</v>
      </c>
      <c r="M422" s="4" t="s">
        <v>115</v>
      </c>
      <c r="N422" s="6" t="s">
        <v>1347</v>
      </c>
      <c r="O422" s="6" t="s">
        <v>55</v>
      </c>
      <c r="P422" s="6" t="s">
        <v>55</v>
      </c>
      <c r="Q422" s="6" t="s">
        <v>1110</v>
      </c>
      <c r="R422" s="6" t="s">
        <v>56</v>
      </c>
      <c r="S422" s="6" t="s">
        <v>56</v>
      </c>
      <c r="T422" s="6" t="s">
        <v>57</v>
      </c>
      <c r="AR422" s="6" t="s">
        <v>55</v>
      </c>
      <c r="AS422" s="6" t="s">
        <v>55</v>
      </c>
      <c r="AU422" s="6" t="s">
        <v>1348</v>
      </c>
      <c r="AV422">
        <v>3427</v>
      </c>
    </row>
    <row r="423" spans="1:48" ht="30" customHeight="1" x14ac:dyDescent="0.3">
      <c r="A423" s="4" t="s">
        <v>1349</v>
      </c>
      <c r="B423" s="4" t="s">
        <v>55</v>
      </c>
      <c r="C423" s="4" t="s">
        <v>81</v>
      </c>
      <c r="D423" s="5">
        <v>16</v>
      </c>
      <c r="E423" s="7">
        <f>TRUNC([1]단가대비표!O296,0)</f>
        <v>65800</v>
      </c>
      <c r="F423" s="7">
        <f t="shared" si="48"/>
        <v>1052800</v>
      </c>
      <c r="G423" s="7">
        <f>TRUNC([1]단가대비표!P296,0)</f>
        <v>0</v>
      </c>
      <c r="H423" s="7">
        <f t="shared" si="49"/>
        <v>0</v>
      </c>
      <c r="I423" s="7">
        <f>TRUNC([1]단가대비표!V296,0)</f>
        <v>0</v>
      </c>
      <c r="J423" s="7">
        <f t="shared" si="50"/>
        <v>0</v>
      </c>
      <c r="K423" s="7">
        <f t="shared" si="51"/>
        <v>65800</v>
      </c>
      <c r="L423" s="7">
        <f t="shared" si="51"/>
        <v>1052800</v>
      </c>
      <c r="M423" s="4" t="s">
        <v>115</v>
      </c>
      <c r="N423" s="6" t="s">
        <v>1350</v>
      </c>
      <c r="O423" s="6" t="s">
        <v>55</v>
      </c>
      <c r="P423" s="6" t="s">
        <v>55</v>
      </c>
      <c r="Q423" s="6" t="s">
        <v>1110</v>
      </c>
      <c r="R423" s="6" t="s">
        <v>56</v>
      </c>
      <c r="S423" s="6" t="s">
        <v>56</v>
      </c>
      <c r="T423" s="6" t="s">
        <v>57</v>
      </c>
      <c r="AR423" s="6" t="s">
        <v>55</v>
      </c>
      <c r="AS423" s="6" t="s">
        <v>55</v>
      </c>
      <c r="AU423" s="6" t="s">
        <v>1351</v>
      </c>
      <c r="AV423">
        <v>3428</v>
      </c>
    </row>
    <row r="424" spans="1:48" ht="30" customHeight="1" x14ac:dyDescent="0.3">
      <c r="A424" s="4" t="s">
        <v>1352</v>
      </c>
      <c r="B424" s="4" t="s">
        <v>55</v>
      </c>
      <c r="C424" s="4" t="s">
        <v>269</v>
      </c>
      <c r="D424" s="5">
        <v>79</v>
      </c>
      <c r="E424" s="7">
        <f>TRUNC([1]단가대비표!O297,0)</f>
        <v>17200</v>
      </c>
      <c r="F424" s="7">
        <f t="shared" si="48"/>
        <v>1358800</v>
      </c>
      <c r="G424" s="7">
        <f>TRUNC([1]단가대비표!P297,0)</f>
        <v>0</v>
      </c>
      <c r="H424" s="7">
        <f t="shared" si="49"/>
        <v>0</v>
      </c>
      <c r="I424" s="7">
        <f>TRUNC([1]단가대비표!V297,0)</f>
        <v>0</v>
      </c>
      <c r="J424" s="7">
        <f t="shared" si="50"/>
        <v>0</v>
      </c>
      <c r="K424" s="7">
        <f t="shared" si="51"/>
        <v>17200</v>
      </c>
      <c r="L424" s="7">
        <f t="shared" si="51"/>
        <v>1358800</v>
      </c>
      <c r="M424" s="4" t="s">
        <v>115</v>
      </c>
      <c r="N424" s="6" t="s">
        <v>1353</v>
      </c>
      <c r="O424" s="6" t="s">
        <v>55</v>
      </c>
      <c r="P424" s="6" t="s">
        <v>55</v>
      </c>
      <c r="Q424" s="6" t="s">
        <v>1110</v>
      </c>
      <c r="R424" s="6" t="s">
        <v>56</v>
      </c>
      <c r="S424" s="6" t="s">
        <v>56</v>
      </c>
      <c r="T424" s="6" t="s">
        <v>57</v>
      </c>
      <c r="AR424" s="6" t="s">
        <v>55</v>
      </c>
      <c r="AS424" s="6" t="s">
        <v>55</v>
      </c>
      <c r="AU424" s="6" t="s">
        <v>1354</v>
      </c>
      <c r="AV424">
        <v>3429</v>
      </c>
    </row>
    <row r="425" spans="1:48" ht="30" customHeight="1" x14ac:dyDescent="0.3">
      <c r="A425" s="4" t="s">
        <v>1355</v>
      </c>
      <c r="B425" s="4" t="s">
        <v>55</v>
      </c>
      <c r="C425" s="4" t="s">
        <v>269</v>
      </c>
      <c r="D425" s="5">
        <v>79</v>
      </c>
      <c r="E425" s="7">
        <f>TRUNC([1]단가대비표!O298,0)</f>
        <v>12800</v>
      </c>
      <c r="F425" s="7">
        <f t="shared" si="48"/>
        <v>1011200</v>
      </c>
      <c r="G425" s="7">
        <f>TRUNC([1]단가대비표!P298,0)</f>
        <v>0</v>
      </c>
      <c r="H425" s="7">
        <f t="shared" si="49"/>
        <v>0</v>
      </c>
      <c r="I425" s="7">
        <f>TRUNC([1]단가대비표!V298,0)</f>
        <v>0</v>
      </c>
      <c r="J425" s="7">
        <f t="shared" si="50"/>
        <v>0</v>
      </c>
      <c r="K425" s="7">
        <f t="shared" si="51"/>
        <v>12800</v>
      </c>
      <c r="L425" s="7">
        <f t="shared" si="51"/>
        <v>1011200</v>
      </c>
      <c r="M425" s="4" t="s">
        <v>115</v>
      </c>
      <c r="N425" s="6" t="s">
        <v>1356</v>
      </c>
      <c r="O425" s="6" t="s">
        <v>55</v>
      </c>
      <c r="P425" s="6" t="s">
        <v>55</v>
      </c>
      <c r="Q425" s="6" t="s">
        <v>1110</v>
      </c>
      <c r="R425" s="6" t="s">
        <v>56</v>
      </c>
      <c r="S425" s="6" t="s">
        <v>56</v>
      </c>
      <c r="T425" s="6" t="s">
        <v>57</v>
      </c>
      <c r="AR425" s="6" t="s">
        <v>55</v>
      </c>
      <c r="AS425" s="6" t="s">
        <v>55</v>
      </c>
      <c r="AU425" s="6" t="s">
        <v>1357</v>
      </c>
      <c r="AV425">
        <v>3430</v>
      </c>
    </row>
    <row r="426" spans="1:48" ht="30" customHeight="1" x14ac:dyDescent="0.3">
      <c r="A426" s="4" t="s">
        <v>1358</v>
      </c>
      <c r="B426" s="4" t="s">
        <v>55</v>
      </c>
      <c r="C426" s="4" t="s">
        <v>120</v>
      </c>
      <c r="D426" s="5">
        <v>22</v>
      </c>
      <c r="E426" s="7">
        <f>TRUNC([1]단가대비표!O299,0)</f>
        <v>0</v>
      </c>
      <c r="F426" s="7">
        <f t="shared" si="48"/>
        <v>0</v>
      </c>
      <c r="G426" s="7">
        <f>TRUNC([1]단가대비표!P299,0)</f>
        <v>80500</v>
      </c>
      <c r="H426" s="7">
        <f t="shared" si="49"/>
        <v>1771000</v>
      </c>
      <c r="I426" s="7">
        <f>TRUNC([1]단가대비표!V299,0)</f>
        <v>0</v>
      </c>
      <c r="J426" s="7">
        <f t="shared" si="50"/>
        <v>0</v>
      </c>
      <c r="K426" s="7">
        <f t="shared" si="51"/>
        <v>80500</v>
      </c>
      <c r="L426" s="7">
        <f t="shared" si="51"/>
        <v>1771000</v>
      </c>
      <c r="M426" s="4" t="s">
        <v>115</v>
      </c>
      <c r="N426" s="6" t="s">
        <v>1359</v>
      </c>
      <c r="O426" s="6" t="s">
        <v>55</v>
      </c>
      <c r="P426" s="6" t="s">
        <v>55</v>
      </c>
      <c r="Q426" s="6" t="s">
        <v>1110</v>
      </c>
      <c r="R426" s="6" t="s">
        <v>56</v>
      </c>
      <c r="S426" s="6" t="s">
        <v>56</v>
      </c>
      <c r="T426" s="6" t="s">
        <v>57</v>
      </c>
      <c r="AR426" s="6" t="s">
        <v>55</v>
      </c>
      <c r="AS426" s="6" t="s">
        <v>55</v>
      </c>
      <c r="AU426" s="6" t="s">
        <v>1360</v>
      </c>
      <c r="AV426">
        <v>3431</v>
      </c>
    </row>
    <row r="427" spans="1:48" ht="30" customHeight="1" x14ac:dyDescent="0.3">
      <c r="A427" s="4" t="s">
        <v>1361</v>
      </c>
      <c r="B427" s="4" t="s">
        <v>55</v>
      </c>
      <c r="C427" s="4" t="s">
        <v>120</v>
      </c>
      <c r="D427" s="5">
        <v>37</v>
      </c>
      <c r="E427" s="7">
        <f>TRUNC([1]단가대비표!O300,0)</f>
        <v>0</v>
      </c>
      <c r="F427" s="7">
        <f t="shared" si="48"/>
        <v>0</v>
      </c>
      <c r="G427" s="7">
        <f>TRUNC([1]단가대비표!P300,0)</f>
        <v>128800</v>
      </c>
      <c r="H427" s="7">
        <f t="shared" si="49"/>
        <v>4765600</v>
      </c>
      <c r="I427" s="7">
        <f>TRUNC([1]단가대비표!V300,0)</f>
        <v>0</v>
      </c>
      <c r="J427" s="7">
        <f t="shared" si="50"/>
        <v>0</v>
      </c>
      <c r="K427" s="7">
        <f t="shared" si="51"/>
        <v>128800</v>
      </c>
      <c r="L427" s="7">
        <f t="shared" si="51"/>
        <v>4765600</v>
      </c>
      <c r="M427" s="4" t="s">
        <v>115</v>
      </c>
      <c r="N427" s="6" t="s">
        <v>1362</v>
      </c>
      <c r="O427" s="6" t="s">
        <v>55</v>
      </c>
      <c r="P427" s="6" t="s">
        <v>55</v>
      </c>
      <c r="Q427" s="6" t="s">
        <v>1110</v>
      </c>
      <c r="R427" s="6" t="s">
        <v>56</v>
      </c>
      <c r="S427" s="6" t="s">
        <v>56</v>
      </c>
      <c r="T427" s="6" t="s">
        <v>57</v>
      </c>
      <c r="AR427" s="6" t="s">
        <v>55</v>
      </c>
      <c r="AS427" s="6" t="s">
        <v>55</v>
      </c>
      <c r="AU427" s="6" t="s">
        <v>1363</v>
      </c>
      <c r="AV427">
        <v>3432</v>
      </c>
    </row>
    <row r="428" spans="1:48" ht="30" customHeight="1" x14ac:dyDescent="0.3">
      <c r="A428" s="4" t="s">
        <v>1364</v>
      </c>
      <c r="B428" s="4" t="s">
        <v>55</v>
      </c>
      <c r="C428" s="4" t="s">
        <v>61</v>
      </c>
      <c r="D428" s="5">
        <v>248</v>
      </c>
      <c r="E428" s="7">
        <f>TRUNC([1]단가대비표!O301,0)</f>
        <v>0</v>
      </c>
      <c r="F428" s="7">
        <f t="shared" si="48"/>
        <v>0</v>
      </c>
      <c r="G428" s="7">
        <f>TRUNC([1]단가대비표!P301,0)</f>
        <v>4000</v>
      </c>
      <c r="H428" s="7">
        <f t="shared" si="49"/>
        <v>992000</v>
      </c>
      <c r="I428" s="7">
        <f>TRUNC([1]단가대비표!V301,0)</f>
        <v>0</v>
      </c>
      <c r="J428" s="7">
        <f t="shared" si="50"/>
        <v>0</v>
      </c>
      <c r="K428" s="7">
        <f t="shared" si="51"/>
        <v>4000</v>
      </c>
      <c r="L428" s="7">
        <f t="shared" si="51"/>
        <v>992000</v>
      </c>
      <c r="M428" s="4" t="s">
        <v>115</v>
      </c>
      <c r="N428" s="6" t="s">
        <v>1365</v>
      </c>
      <c r="O428" s="6" t="s">
        <v>55</v>
      </c>
      <c r="P428" s="6" t="s">
        <v>55</v>
      </c>
      <c r="Q428" s="6" t="s">
        <v>1110</v>
      </c>
      <c r="R428" s="6" t="s">
        <v>56</v>
      </c>
      <c r="S428" s="6" t="s">
        <v>56</v>
      </c>
      <c r="T428" s="6" t="s">
        <v>57</v>
      </c>
      <c r="AR428" s="6" t="s">
        <v>55</v>
      </c>
      <c r="AS428" s="6" t="s">
        <v>55</v>
      </c>
      <c r="AU428" s="6" t="s">
        <v>1366</v>
      </c>
      <c r="AV428">
        <v>3433</v>
      </c>
    </row>
    <row r="429" spans="1:48" ht="30" customHeight="1" x14ac:dyDescent="0.3">
      <c r="A429" s="4" t="s">
        <v>1367</v>
      </c>
      <c r="B429" s="4" t="s">
        <v>55</v>
      </c>
      <c r="C429" s="4" t="s">
        <v>81</v>
      </c>
      <c r="D429" s="5">
        <v>59</v>
      </c>
      <c r="E429" s="7">
        <f>TRUNC([1]단가대비표!O302,0)</f>
        <v>0</v>
      </c>
      <c r="F429" s="7">
        <f t="shared" si="48"/>
        <v>0</v>
      </c>
      <c r="G429" s="7">
        <f>TRUNC([1]단가대비표!P302,0)</f>
        <v>16000</v>
      </c>
      <c r="H429" s="7">
        <f t="shared" si="49"/>
        <v>944000</v>
      </c>
      <c r="I429" s="7">
        <f>TRUNC([1]단가대비표!V302,0)</f>
        <v>0</v>
      </c>
      <c r="J429" s="7">
        <f t="shared" si="50"/>
        <v>0</v>
      </c>
      <c r="K429" s="7">
        <f t="shared" si="51"/>
        <v>16000</v>
      </c>
      <c r="L429" s="7">
        <f t="shared" si="51"/>
        <v>944000</v>
      </c>
      <c r="M429" s="4" t="s">
        <v>115</v>
      </c>
      <c r="N429" s="6" t="s">
        <v>1368</v>
      </c>
      <c r="O429" s="6" t="s">
        <v>55</v>
      </c>
      <c r="P429" s="6" t="s">
        <v>55</v>
      </c>
      <c r="Q429" s="6" t="s">
        <v>1110</v>
      </c>
      <c r="R429" s="6" t="s">
        <v>56</v>
      </c>
      <c r="S429" s="6" t="s">
        <v>56</v>
      </c>
      <c r="T429" s="6" t="s">
        <v>57</v>
      </c>
      <c r="AR429" s="6" t="s">
        <v>55</v>
      </c>
      <c r="AS429" s="6" t="s">
        <v>55</v>
      </c>
      <c r="AU429" s="6" t="s">
        <v>1369</v>
      </c>
      <c r="AV429">
        <v>3434</v>
      </c>
    </row>
    <row r="430" spans="1:48" ht="30" customHeight="1" x14ac:dyDescent="0.3">
      <c r="A430" s="4" t="s">
        <v>1370</v>
      </c>
      <c r="B430" s="4" t="s">
        <v>55</v>
      </c>
      <c r="C430" s="4" t="s">
        <v>92</v>
      </c>
      <c r="D430" s="5">
        <v>1</v>
      </c>
      <c r="E430" s="7">
        <f>TRUNC([1]단가대비표!O303,0)</f>
        <v>1699000</v>
      </c>
      <c r="F430" s="7">
        <f t="shared" si="48"/>
        <v>1699000</v>
      </c>
      <c r="G430" s="7">
        <f>TRUNC([1]단가대비표!P303,0)</f>
        <v>3965000</v>
      </c>
      <c r="H430" s="7">
        <f t="shared" si="49"/>
        <v>3965000</v>
      </c>
      <c r="I430" s="7">
        <f>TRUNC([1]단가대비표!V303,0)</f>
        <v>0</v>
      </c>
      <c r="J430" s="7">
        <f t="shared" si="50"/>
        <v>0</v>
      </c>
      <c r="K430" s="7">
        <f t="shared" si="51"/>
        <v>5664000</v>
      </c>
      <c r="L430" s="7">
        <f t="shared" si="51"/>
        <v>5664000</v>
      </c>
      <c r="M430" s="4" t="s">
        <v>115</v>
      </c>
      <c r="N430" s="6" t="s">
        <v>1371</v>
      </c>
      <c r="O430" s="6" t="s">
        <v>55</v>
      </c>
      <c r="P430" s="6" t="s">
        <v>55</v>
      </c>
      <c r="Q430" s="6" t="s">
        <v>1110</v>
      </c>
      <c r="R430" s="6" t="s">
        <v>56</v>
      </c>
      <c r="S430" s="6" t="s">
        <v>56</v>
      </c>
      <c r="T430" s="6" t="s">
        <v>57</v>
      </c>
      <c r="AR430" s="6" t="s">
        <v>55</v>
      </c>
      <c r="AS430" s="6" t="s">
        <v>55</v>
      </c>
      <c r="AU430" s="6" t="s">
        <v>1372</v>
      </c>
      <c r="AV430">
        <v>3435</v>
      </c>
    </row>
    <row r="431" spans="1:48" ht="30" customHeight="1" x14ac:dyDescent="0.3">
      <c r="A431" s="4" t="s">
        <v>55</v>
      </c>
      <c r="B431" s="4" t="s">
        <v>55</v>
      </c>
      <c r="C431" s="4" t="s">
        <v>55</v>
      </c>
      <c r="D431" s="5"/>
      <c r="E431" s="7">
        <f>TRUNC([1]단가대비표!O304,0)</f>
        <v>0</v>
      </c>
      <c r="F431" s="7">
        <f t="shared" si="48"/>
        <v>0</v>
      </c>
      <c r="G431" s="7">
        <f>TRUNC([1]단가대비표!P304,0)</f>
        <v>0</v>
      </c>
      <c r="H431" s="7">
        <f t="shared" si="49"/>
        <v>0</v>
      </c>
      <c r="I431" s="7">
        <f>TRUNC([1]단가대비표!V304,0)</f>
        <v>0</v>
      </c>
      <c r="J431" s="7">
        <f t="shared" si="50"/>
        <v>0</v>
      </c>
      <c r="K431" s="7">
        <f t="shared" si="51"/>
        <v>0</v>
      </c>
      <c r="L431" s="7">
        <f t="shared" si="51"/>
        <v>0</v>
      </c>
      <c r="M431" s="4" t="s">
        <v>55</v>
      </c>
      <c r="N431" s="6" t="s">
        <v>1373</v>
      </c>
      <c r="O431" s="6" t="s">
        <v>55</v>
      </c>
      <c r="P431" s="6" t="s">
        <v>55</v>
      </c>
      <c r="Q431" s="6" t="s">
        <v>1110</v>
      </c>
      <c r="R431" s="6" t="s">
        <v>56</v>
      </c>
      <c r="S431" s="6" t="s">
        <v>56</v>
      </c>
      <c r="T431" s="6" t="s">
        <v>57</v>
      </c>
      <c r="AR431" s="6" t="s">
        <v>55</v>
      </c>
      <c r="AS431" s="6" t="s">
        <v>55</v>
      </c>
      <c r="AU431" s="6" t="s">
        <v>1374</v>
      </c>
      <c r="AV431">
        <v>3436</v>
      </c>
    </row>
    <row r="432" spans="1:48" ht="30" customHeight="1" x14ac:dyDescent="0.3">
      <c r="A432" s="4" t="s">
        <v>1375</v>
      </c>
      <c r="B432" s="4" t="s">
        <v>55</v>
      </c>
      <c r="C432" s="4" t="s">
        <v>55</v>
      </c>
      <c r="D432" s="5"/>
      <c r="E432" s="7">
        <f>TRUNC([1]단가대비표!O305,0)</f>
        <v>0</v>
      </c>
      <c r="F432" s="7">
        <f t="shared" si="48"/>
        <v>0</v>
      </c>
      <c r="G432" s="7">
        <f>TRUNC([1]단가대비표!P305,0)</f>
        <v>0</v>
      </c>
      <c r="H432" s="7">
        <f t="shared" si="49"/>
        <v>0</v>
      </c>
      <c r="I432" s="7">
        <f>TRUNC([1]단가대비표!V305,0)</f>
        <v>0</v>
      </c>
      <c r="J432" s="7">
        <f t="shared" si="50"/>
        <v>0</v>
      </c>
      <c r="K432" s="7">
        <f t="shared" si="51"/>
        <v>0</v>
      </c>
      <c r="L432" s="7">
        <f t="shared" si="51"/>
        <v>0</v>
      </c>
      <c r="M432" s="4" t="s">
        <v>55</v>
      </c>
      <c r="N432" s="6" t="s">
        <v>1376</v>
      </c>
      <c r="O432" s="6" t="s">
        <v>55</v>
      </c>
      <c r="P432" s="6" t="s">
        <v>55</v>
      </c>
      <c r="Q432" s="6" t="s">
        <v>1110</v>
      </c>
      <c r="R432" s="6" t="s">
        <v>56</v>
      </c>
      <c r="S432" s="6" t="s">
        <v>56</v>
      </c>
      <c r="T432" s="6" t="s">
        <v>57</v>
      </c>
      <c r="AR432" s="6" t="s">
        <v>55</v>
      </c>
      <c r="AS432" s="6" t="s">
        <v>55</v>
      </c>
      <c r="AU432" s="6" t="s">
        <v>1377</v>
      </c>
      <c r="AV432">
        <v>3437</v>
      </c>
    </row>
    <row r="433" spans="1:48" ht="30" customHeight="1" x14ac:dyDescent="0.3">
      <c r="A433" s="4" t="s">
        <v>1378</v>
      </c>
      <c r="B433" s="4" t="s">
        <v>1379</v>
      </c>
      <c r="C433" s="4" t="s">
        <v>61</v>
      </c>
      <c r="D433" s="5">
        <v>202</v>
      </c>
      <c r="E433" s="7">
        <f>TRUNC([1]단가대비표!O306,0)</f>
        <v>10000</v>
      </c>
      <c r="F433" s="7">
        <f t="shared" si="48"/>
        <v>2020000</v>
      </c>
      <c r="G433" s="7">
        <f>TRUNC([1]단가대비표!P306,0)</f>
        <v>0</v>
      </c>
      <c r="H433" s="7">
        <f t="shared" si="49"/>
        <v>0</v>
      </c>
      <c r="I433" s="7">
        <f>TRUNC([1]단가대비표!V306,0)</f>
        <v>0</v>
      </c>
      <c r="J433" s="7">
        <f t="shared" si="50"/>
        <v>0</v>
      </c>
      <c r="K433" s="7">
        <f t="shared" si="51"/>
        <v>10000</v>
      </c>
      <c r="L433" s="7">
        <f t="shared" si="51"/>
        <v>2020000</v>
      </c>
      <c r="M433" s="4" t="s">
        <v>115</v>
      </c>
      <c r="N433" s="6" t="s">
        <v>1380</v>
      </c>
      <c r="O433" s="6" t="s">
        <v>55</v>
      </c>
      <c r="P433" s="6" t="s">
        <v>55</v>
      </c>
      <c r="Q433" s="6" t="s">
        <v>1110</v>
      </c>
      <c r="R433" s="6" t="s">
        <v>56</v>
      </c>
      <c r="S433" s="6" t="s">
        <v>56</v>
      </c>
      <c r="T433" s="6" t="s">
        <v>57</v>
      </c>
      <c r="AR433" s="6" t="s">
        <v>55</v>
      </c>
      <c r="AS433" s="6" t="s">
        <v>55</v>
      </c>
      <c r="AU433" s="6" t="s">
        <v>1381</v>
      </c>
      <c r="AV433">
        <v>3438</v>
      </c>
    </row>
    <row r="434" spans="1:48" ht="30" customHeight="1" x14ac:dyDescent="0.3">
      <c r="A434" s="4" t="s">
        <v>1341</v>
      </c>
      <c r="B434" s="4" t="s">
        <v>1342</v>
      </c>
      <c r="C434" s="4" t="s">
        <v>81</v>
      </c>
      <c r="D434" s="5">
        <v>37</v>
      </c>
      <c r="E434" s="7">
        <f>TRUNC([1]단가대비표!O307,0)</f>
        <v>293300</v>
      </c>
      <c r="F434" s="7">
        <f t="shared" si="48"/>
        <v>10852100</v>
      </c>
      <c r="G434" s="7">
        <f>TRUNC([1]단가대비표!P307,0)</f>
        <v>0</v>
      </c>
      <c r="H434" s="7">
        <f t="shared" si="49"/>
        <v>0</v>
      </c>
      <c r="I434" s="7">
        <f>TRUNC([1]단가대비표!V307,0)</f>
        <v>0</v>
      </c>
      <c r="J434" s="7">
        <f t="shared" si="50"/>
        <v>0</v>
      </c>
      <c r="K434" s="7">
        <f t="shared" si="51"/>
        <v>293300</v>
      </c>
      <c r="L434" s="7">
        <f t="shared" si="51"/>
        <v>10852100</v>
      </c>
      <c r="M434" s="4" t="s">
        <v>115</v>
      </c>
      <c r="N434" s="6" t="s">
        <v>1382</v>
      </c>
      <c r="O434" s="6" t="s">
        <v>55</v>
      </c>
      <c r="P434" s="6" t="s">
        <v>55</v>
      </c>
      <c r="Q434" s="6" t="s">
        <v>1110</v>
      </c>
      <c r="R434" s="6" t="s">
        <v>56</v>
      </c>
      <c r="S434" s="6" t="s">
        <v>56</v>
      </c>
      <c r="T434" s="6" t="s">
        <v>57</v>
      </c>
      <c r="AR434" s="6" t="s">
        <v>55</v>
      </c>
      <c r="AS434" s="6" t="s">
        <v>55</v>
      </c>
      <c r="AU434" s="6" t="s">
        <v>1383</v>
      </c>
      <c r="AV434">
        <v>3439</v>
      </c>
    </row>
    <row r="435" spans="1:48" ht="30" customHeight="1" x14ac:dyDescent="0.3">
      <c r="A435" s="4" t="s">
        <v>1345</v>
      </c>
      <c r="B435" s="4" t="s">
        <v>1346</v>
      </c>
      <c r="C435" s="4" t="s">
        <v>120</v>
      </c>
      <c r="D435" s="5">
        <v>37</v>
      </c>
      <c r="E435" s="7">
        <f>TRUNC([1]단가대비표!O308,0)</f>
        <v>30300</v>
      </c>
      <c r="F435" s="7">
        <f t="shared" si="48"/>
        <v>1121100</v>
      </c>
      <c r="G435" s="7">
        <f>TRUNC([1]단가대비표!P308,0)</f>
        <v>0</v>
      </c>
      <c r="H435" s="7">
        <f t="shared" si="49"/>
        <v>0</v>
      </c>
      <c r="I435" s="7">
        <f>TRUNC([1]단가대비표!V308,0)</f>
        <v>0</v>
      </c>
      <c r="J435" s="7">
        <f t="shared" si="50"/>
        <v>0</v>
      </c>
      <c r="K435" s="7">
        <f t="shared" si="51"/>
        <v>30300</v>
      </c>
      <c r="L435" s="7">
        <f t="shared" si="51"/>
        <v>1121100</v>
      </c>
      <c r="M435" s="4" t="s">
        <v>115</v>
      </c>
      <c r="N435" s="6" t="s">
        <v>1384</v>
      </c>
      <c r="O435" s="6" t="s">
        <v>55</v>
      </c>
      <c r="P435" s="6" t="s">
        <v>55</v>
      </c>
      <c r="Q435" s="6" t="s">
        <v>1110</v>
      </c>
      <c r="R435" s="6" t="s">
        <v>56</v>
      </c>
      <c r="S435" s="6" t="s">
        <v>56</v>
      </c>
      <c r="T435" s="6" t="s">
        <v>57</v>
      </c>
      <c r="AR435" s="6" t="s">
        <v>55</v>
      </c>
      <c r="AS435" s="6" t="s">
        <v>55</v>
      </c>
      <c r="AU435" s="6" t="s">
        <v>1385</v>
      </c>
      <c r="AV435">
        <v>3440</v>
      </c>
    </row>
    <row r="436" spans="1:48" ht="30" customHeight="1" x14ac:dyDescent="0.3">
      <c r="A436" s="4" t="s">
        <v>1349</v>
      </c>
      <c r="B436" s="4" t="s">
        <v>55</v>
      </c>
      <c r="C436" s="4" t="s">
        <v>81</v>
      </c>
      <c r="D436" s="5">
        <v>10</v>
      </c>
      <c r="E436" s="7">
        <f>TRUNC([1]단가대비표!O309,0)</f>
        <v>65800</v>
      </c>
      <c r="F436" s="7">
        <f t="shared" si="48"/>
        <v>658000</v>
      </c>
      <c r="G436" s="7">
        <f>TRUNC([1]단가대비표!P309,0)</f>
        <v>0</v>
      </c>
      <c r="H436" s="7">
        <f t="shared" si="49"/>
        <v>0</v>
      </c>
      <c r="I436" s="7">
        <f>TRUNC([1]단가대비표!V309,0)</f>
        <v>0</v>
      </c>
      <c r="J436" s="7">
        <f t="shared" si="50"/>
        <v>0</v>
      </c>
      <c r="K436" s="7">
        <f t="shared" si="51"/>
        <v>65800</v>
      </c>
      <c r="L436" s="7">
        <f t="shared" si="51"/>
        <v>658000</v>
      </c>
      <c r="M436" s="4" t="s">
        <v>115</v>
      </c>
      <c r="N436" s="6" t="s">
        <v>1386</v>
      </c>
      <c r="O436" s="6" t="s">
        <v>55</v>
      </c>
      <c r="P436" s="6" t="s">
        <v>55</v>
      </c>
      <c r="Q436" s="6" t="s">
        <v>1110</v>
      </c>
      <c r="R436" s="6" t="s">
        <v>56</v>
      </c>
      <c r="S436" s="6" t="s">
        <v>56</v>
      </c>
      <c r="T436" s="6" t="s">
        <v>57</v>
      </c>
      <c r="AR436" s="6" t="s">
        <v>55</v>
      </c>
      <c r="AS436" s="6" t="s">
        <v>55</v>
      </c>
      <c r="AU436" s="6" t="s">
        <v>1387</v>
      </c>
      <c r="AV436">
        <v>3441</v>
      </c>
    </row>
    <row r="437" spans="1:48" ht="30" customHeight="1" x14ac:dyDescent="0.3">
      <c r="A437" s="4" t="s">
        <v>1352</v>
      </c>
      <c r="B437" s="4" t="s">
        <v>55</v>
      </c>
      <c r="C437" s="4" t="s">
        <v>269</v>
      </c>
      <c r="D437" s="5">
        <v>59</v>
      </c>
      <c r="E437" s="7">
        <f>TRUNC([1]단가대비표!O310,0)</f>
        <v>17200</v>
      </c>
      <c r="F437" s="7">
        <f t="shared" si="48"/>
        <v>1014800</v>
      </c>
      <c r="G437" s="7">
        <f>TRUNC([1]단가대비표!P310,0)</f>
        <v>0</v>
      </c>
      <c r="H437" s="7">
        <f t="shared" si="49"/>
        <v>0</v>
      </c>
      <c r="I437" s="7">
        <f>TRUNC([1]단가대비표!V310,0)</f>
        <v>0</v>
      </c>
      <c r="J437" s="7">
        <f t="shared" si="50"/>
        <v>0</v>
      </c>
      <c r="K437" s="7">
        <f t="shared" si="51"/>
        <v>17200</v>
      </c>
      <c r="L437" s="7">
        <f t="shared" si="51"/>
        <v>1014800</v>
      </c>
      <c r="M437" s="4" t="s">
        <v>115</v>
      </c>
      <c r="N437" s="6" t="s">
        <v>1388</v>
      </c>
      <c r="O437" s="6" t="s">
        <v>55</v>
      </c>
      <c r="P437" s="6" t="s">
        <v>55</v>
      </c>
      <c r="Q437" s="6" t="s">
        <v>1110</v>
      </c>
      <c r="R437" s="6" t="s">
        <v>56</v>
      </c>
      <c r="S437" s="6" t="s">
        <v>56</v>
      </c>
      <c r="T437" s="6" t="s">
        <v>57</v>
      </c>
      <c r="AR437" s="6" t="s">
        <v>55</v>
      </c>
      <c r="AS437" s="6" t="s">
        <v>55</v>
      </c>
      <c r="AU437" s="6" t="s">
        <v>1389</v>
      </c>
      <c r="AV437">
        <v>3442</v>
      </c>
    </row>
    <row r="438" spans="1:48" ht="30" customHeight="1" x14ac:dyDescent="0.3">
      <c r="A438" s="4" t="s">
        <v>1355</v>
      </c>
      <c r="B438" s="4" t="s">
        <v>55</v>
      </c>
      <c r="C438" s="4" t="s">
        <v>269</v>
      </c>
      <c r="D438" s="5">
        <v>59</v>
      </c>
      <c r="E438" s="7">
        <f>TRUNC([1]단가대비표!O311,0)</f>
        <v>12800</v>
      </c>
      <c r="F438" s="7">
        <f t="shared" si="48"/>
        <v>755200</v>
      </c>
      <c r="G438" s="7">
        <f>TRUNC([1]단가대비표!P311,0)</f>
        <v>0</v>
      </c>
      <c r="H438" s="7">
        <f t="shared" si="49"/>
        <v>0</v>
      </c>
      <c r="I438" s="7">
        <f>TRUNC([1]단가대비표!V311,0)</f>
        <v>0</v>
      </c>
      <c r="J438" s="7">
        <f t="shared" si="50"/>
        <v>0</v>
      </c>
      <c r="K438" s="7">
        <f t="shared" si="51"/>
        <v>12800</v>
      </c>
      <c r="L438" s="7">
        <f t="shared" si="51"/>
        <v>755200</v>
      </c>
      <c r="M438" s="4" t="s">
        <v>115</v>
      </c>
      <c r="N438" s="6" t="s">
        <v>1390</v>
      </c>
      <c r="O438" s="6" t="s">
        <v>55</v>
      </c>
      <c r="P438" s="6" t="s">
        <v>55</v>
      </c>
      <c r="Q438" s="6" t="s">
        <v>1110</v>
      </c>
      <c r="R438" s="6" t="s">
        <v>56</v>
      </c>
      <c r="S438" s="6" t="s">
        <v>56</v>
      </c>
      <c r="T438" s="6" t="s">
        <v>57</v>
      </c>
      <c r="AR438" s="6" t="s">
        <v>55</v>
      </c>
      <c r="AS438" s="6" t="s">
        <v>55</v>
      </c>
      <c r="AU438" s="6" t="s">
        <v>1391</v>
      </c>
      <c r="AV438">
        <v>3443</v>
      </c>
    </row>
    <row r="439" spans="1:48" ht="30" customHeight="1" x14ac:dyDescent="0.3">
      <c r="A439" s="4" t="s">
        <v>1392</v>
      </c>
      <c r="B439" s="4" t="s">
        <v>55</v>
      </c>
      <c r="C439" s="4" t="s">
        <v>269</v>
      </c>
      <c r="D439" s="5">
        <v>239</v>
      </c>
      <c r="E439" s="7">
        <f>TRUNC([1]단가대비표!O312,0)</f>
        <v>6500</v>
      </c>
      <c r="F439" s="7">
        <f t="shared" si="48"/>
        <v>1553500</v>
      </c>
      <c r="G439" s="7">
        <f>TRUNC([1]단가대비표!P312,0)</f>
        <v>0</v>
      </c>
      <c r="H439" s="7">
        <f t="shared" si="49"/>
        <v>0</v>
      </c>
      <c r="I439" s="7">
        <f>TRUNC([1]단가대비표!V312,0)</f>
        <v>0</v>
      </c>
      <c r="J439" s="7">
        <f t="shared" si="50"/>
        <v>0</v>
      </c>
      <c r="K439" s="7">
        <f t="shared" si="51"/>
        <v>6500</v>
      </c>
      <c r="L439" s="7">
        <f t="shared" si="51"/>
        <v>1553500</v>
      </c>
      <c r="M439" s="4" t="s">
        <v>115</v>
      </c>
      <c r="N439" s="6" t="s">
        <v>1393</v>
      </c>
      <c r="O439" s="6" t="s">
        <v>55</v>
      </c>
      <c r="P439" s="6" t="s">
        <v>55</v>
      </c>
      <c r="Q439" s="6" t="s">
        <v>1110</v>
      </c>
      <c r="R439" s="6" t="s">
        <v>56</v>
      </c>
      <c r="S439" s="6" t="s">
        <v>56</v>
      </c>
      <c r="T439" s="6" t="s">
        <v>57</v>
      </c>
      <c r="AR439" s="6" t="s">
        <v>55</v>
      </c>
      <c r="AS439" s="6" t="s">
        <v>55</v>
      </c>
      <c r="AU439" s="6" t="s">
        <v>1394</v>
      </c>
      <c r="AV439">
        <v>3444</v>
      </c>
    </row>
    <row r="440" spans="1:48" ht="30" customHeight="1" x14ac:dyDescent="0.3">
      <c r="A440" s="4" t="s">
        <v>1395</v>
      </c>
      <c r="B440" s="4" t="s">
        <v>55</v>
      </c>
      <c r="C440" s="4" t="s">
        <v>120</v>
      </c>
      <c r="D440" s="5">
        <v>21</v>
      </c>
      <c r="E440" s="7">
        <f>TRUNC([1]단가대비표!O313,0)</f>
        <v>0</v>
      </c>
      <c r="F440" s="7">
        <f t="shared" si="48"/>
        <v>0</v>
      </c>
      <c r="G440" s="7">
        <f>TRUNC([1]단가대비표!P313,0)</f>
        <v>80500</v>
      </c>
      <c r="H440" s="7">
        <f t="shared" si="49"/>
        <v>1690500</v>
      </c>
      <c r="I440" s="7">
        <f>TRUNC([1]단가대비표!V313,0)</f>
        <v>0</v>
      </c>
      <c r="J440" s="7">
        <f t="shared" si="50"/>
        <v>0</v>
      </c>
      <c r="K440" s="7">
        <f t="shared" si="51"/>
        <v>80500</v>
      </c>
      <c r="L440" s="7">
        <f t="shared" si="51"/>
        <v>1690500</v>
      </c>
      <c r="M440" s="4" t="s">
        <v>115</v>
      </c>
      <c r="N440" s="6" t="s">
        <v>1396</v>
      </c>
      <c r="O440" s="6" t="s">
        <v>55</v>
      </c>
      <c r="P440" s="6" t="s">
        <v>55</v>
      </c>
      <c r="Q440" s="6" t="s">
        <v>1110</v>
      </c>
      <c r="R440" s="6" t="s">
        <v>56</v>
      </c>
      <c r="S440" s="6" t="s">
        <v>56</v>
      </c>
      <c r="T440" s="6" t="s">
        <v>57</v>
      </c>
      <c r="AR440" s="6" t="s">
        <v>55</v>
      </c>
      <c r="AS440" s="6" t="s">
        <v>55</v>
      </c>
      <c r="AU440" s="6" t="s">
        <v>1397</v>
      </c>
      <c r="AV440">
        <v>3445</v>
      </c>
    </row>
    <row r="441" spans="1:48" ht="30" customHeight="1" x14ac:dyDescent="0.3">
      <c r="A441" s="4" t="s">
        <v>1398</v>
      </c>
      <c r="B441" s="4" t="s">
        <v>55</v>
      </c>
      <c r="C441" s="4" t="s">
        <v>120</v>
      </c>
      <c r="D441" s="5">
        <v>16</v>
      </c>
      <c r="E441" s="7">
        <f>TRUNC([1]단가대비표!O314,0)</f>
        <v>0</v>
      </c>
      <c r="F441" s="7">
        <f t="shared" si="48"/>
        <v>0</v>
      </c>
      <c r="G441" s="7">
        <f>TRUNC([1]단가대비표!P314,0)</f>
        <v>128800</v>
      </c>
      <c r="H441" s="7">
        <f t="shared" si="49"/>
        <v>2060800</v>
      </c>
      <c r="I441" s="7">
        <f>TRUNC([1]단가대비표!V314,0)</f>
        <v>0</v>
      </c>
      <c r="J441" s="7">
        <f t="shared" si="50"/>
        <v>0</v>
      </c>
      <c r="K441" s="7">
        <f t="shared" si="51"/>
        <v>128800</v>
      </c>
      <c r="L441" s="7">
        <f t="shared" si="51"/>
        <v>2060800</v>
      </c>
      <c r="M441" s="4" t="s">
        <v>115</v>
      </c>
      <c r="N441" s="6" t="s">
        <v>1399</v>
      </c>
      <c r="O441" s="6" t="s">
        <v>55</v>
      </c>
      <c r="P441" s="6" t="s">
        <v>55</v>
      </c>
      <c r="Q441" s="6" t="s">
        <v>1110</v>
      </c>
      <c r="R441" s="6" t="s">
        <v>56</v>
      </c>
      <c r="S441" s="6" t="s">
        <v>56</v>
      </c>
      <c r="T441" s="6" t="s">
        <v>57</v>
      </c>
      <c r="AR441" s="6" t="s">
        <v>55</v>
      </c>
      <c r="AS441" s="6" t="s">
        <v>55</v>
      </c>
      <c r="AU441" s="6" t="s">
        <v>1400</v>
      </c>
      <c r="AV441">
        <v>3446</v>
      </c>
    </row>
    <row r="442" spans="1:48" ht="30" customHeight="1" x14ac:dyDescent="0.3">
      <c r="A442" s="4" t="s">
        <v>1401</v>
      </c>
      <c r="B442" s="4" t="s">
        <v>55</v>
      </c>
      <c r="C442" s="4" t="s">
        <v>269</v>
      </c>
      <c r="D442" s="5">
        <v>239</v>
      </c>
      <c r="E442" s="7">
        <f>TRUNC([1]단가대비표!O315,0)</f>
        <v>0</v>
      </c>
      <c r="F442" s="7">
        <f t="shared" si="48"/>
        <v>0</v>
      </c>
      <c r="G442" s="7">
        <f>TRUNC([1]단가대비표!P315,0)</f>
        <v>3700</v>
      </c>
      <c r="H442" s="7">
        <f t="shared" si="49"/>
        <v>884300</v>
      </c>
      <c r="I442" s="7">
        <f>TRUNC([1]단가대비표!V315,0)</f>
        <v>0</v>
      </c>
      <c r="J442" s="7">
        <f t="shared" si="50"/>
        <v>0</v>
      </c>
      <c r="K442" s="7">
        <f t="shared" si="51"/>
        <v>3700</v>
      </c>
      <c r="L442" s="7">
        <f t="shared" si="51"/>
        <v>884300</v>
      </c>
      <c r="M442" s="4" t="s">
        <v>115</v>
      </c>
      <c r="N442" s="6" t="s">
        <v>1402</v>
      </c>
      <c r="O442" s="6" t="s">
        <v>55</v>
      </c>
      <c r="P442" s="6" t="s">
        <v>55</v>
      </c>
      <c r="Q442" s="6" t="s">
        <v>1110</v>
      </c>
      <c r="R442" s="6" t="s">
        <v>56</v>
      </c>
      <c r="S442" s="6" t="s">
        <v>56</v>
      </c>
      <c r="T442" s="6" t="s">
        <v>57</v>
      </c>
      <c r="AR442" s="6" t="s">
        <v>55</v>
      </c>
      <c r="AS442" s="6" t="s">
        <v>55</v>
      </c>
      <c r="AU442" s="6" t="s">
        <v>1403</v>
      </c>
      <c r="AV442">
        <v>3447</v>
      </c>
    </row>
    <row r="443" spans="1:48" ht="30" customHeight="1" x14ac:dyDescent="0.3">
      <c r="A443" s="4" t="s">
        <v>1364</v>
      </c>
      <c r="B443" s="4" t="s">
        <v>55</v>
      </c>
      <c r="C443" s="4" t="s">
        <v>269</v>
      </c>
      <c r="D443" s="5">
        <v>202</v>
      </c>
      <c r="E443" s="7">
        <f>TRUNC([1]단가대비표!O316,0)</f>
        <v>0</v>
      </c>
      <c r="F443" s="7">
        <f t="shared" si="48"/>
        <v>0</v>
      </c>
      <c r="G443" s="7">
        <f>TRUNC([1]단가대비표!P316,0)</f>
        <v>4000</v>
      </c>
      <c r="H443" s="7">
        <f t="shared" si="49"/>
        <v>808000</v>
      </c>
      <c r="I443" s="7">
        <f>TRUNC([1]단가대비표!V316,0)</f>
        <v>0</v>
      </c>
      <c r="J443" s="7">
        <f t="shared" si="50"/>
        <v>0</v>
      </c>
      <c r="K443" s="7">
        <f t="shared" si="51"/>
        <v>4000</v>
      </c>
      <c r="L443" s="7">
        <f t="shared" si="51"/>
        <v>808000</v>
      </c>
      <c r="M443" s="4" t="s">
        <v>115</v>
      </c>
      <c r="N443" s="6" t="s">
        <v>1404</v>
      </c>
      <c r="O443" s="6" t="s">
        <v>55</v>
      </c>
      <c r="P443" s="6" t="s">
        <v>55</v>
      </c>
      <c r="Q443" s="6" t="s">
        <v>1110</v>
      </c>
      <c r="R443" s="6" t="s">
        <v>56</v>
      </c>
      <c r="S443" s="6" t="s">
        <v>56</v>
      </c>
      <c r="T443" s="6" t="s">
        <v>57</v>
      </c>
      <c r="AR443" s="6" t="s">
        <v>55</v>
      </c>
      <c r="AS443" s="6" t="s">
        <v>55</v>
      </c>
      <c r="AU443" s="6" t="s">
        <v>1405</v>
      </c>
      <c r="AV443">
        <v>3448</v>
      </c>
    </row>
    <row r="444" spans="1:48" ht="30" customHeight="1" x14ac:dyDescent="0.3">
      <c r="A444" s="4" t="s">
        <v>1367</v>
      </c>
      <c r="B444" s="4" t="s">
        <v>55</v>
      </c>
      <c r="C444" s="4" t="s">
        <v>81</v>
      </c>
      <c r="D444" s="5">
        <v>37</v>
      </c>
      <c r="E444" s="7">
        <f>TRUNC([1]단가대비표!O317,0)</f>
        <v>0</v>
      </c>
      <c r="F444" s="7">
        <f t="shared" si="48"/>
        <v>0</v>
      </c>
      <c r="G444" s="7">
        <f>TRUNC([1]단가대비표!P317,0)</f>
        <v>16000</v>
      </c>
      <c r="H444" s="7">
        <f t="shared" si="49"/>
        <v>592000</v>
      </c>
      <c r="I444" s="7">
        <f>TRUNC([1]단가대비표!V317,0)</f>
        <v>0</v>
      </c>
      <c r="J444" s="7">
        <f t="shared" si="50"/>
        <v>0</v>
      </c>
      <c r="K444" s="7">
        <f t="shared" si="51"/>
        <v>16000</v>
      </c>
      <c r="L444" s="7">
        <f t="shared" si="51"/>
        <v>592000</v>
      </c>
      <c r="M444" s="4" t="s">
        <v>115</v>
      </c>
      <c r="N444" s="6" t="s">
        <v>1406</v>
      </c>
      <c r="O444" s="6" t="s">
        <v>55</v>
      </c>
      <c r="P444" s="6" t="s">
        <v>55</v>
      </c>
      <c r="Q444" s="6" t="s">
        <v>1110</v>
      </c>
      <c r="R444" s="6" t="s">
        <v>56</v>
      </c>
      <c r="S444" s="6" t="s">
        <v>56</v>
      </c>
      <c r="T444" s="6" t="s">
        <v>57</v>
      </c>
      <c r="AR444" s="6" t="s">
        <v>55</v>
      </c>
      <c r="AS444" s="6" t="s">
        <v>55</v>
      </c>
      <c r="AU444" s="6" t="s">
        <v>1407</v>
      </c>
      <c r="AV444">
        <v>3449</v>
      </c>
    </row>
    <row r="445" spans="1:48" ht="30" customHeight="1" x14ac:dyDescent="0.3">
      <c r="A445" s="4" t="s">
        <v>1370</v>
      </c>
      <c r="B445" s="4" t="s">
        <v>55</v>
      </c>
      <c r="C445" s="4" t="s">
        <v>92</v>
      </c>
      <c r="D445" s="5">
        <v>1</v>
      </c>
      <c r="E445" s="7">
        <f>TRUNC([1]단가대비표!O318,0)</f>
        <v>1066000</v>
      </c>
      <c r="F445" s="7">
        <f t="shared" si="48"/>
        <v>1066000</v>
      </c>
      <c r="G445" s="7">
        <f>TRUNC([1]단가대비표!P318,0)</f>
        <v>2486000</v>
      </c>
      <c r="H445" s="7">
        <f t="shared" si="49"/>
        <v>2486000</v>
      </c>
      <c r="I445" s="7">
        <f>TRUNC([1]단가대비표!V318,0)</f>
        <v>0</v>
      </c>
      <c r="J445" s="7">
        <f t="shared" si="50"/>
        <v>0</v>
      </c>
      <c r="K445" s="7">
        <f t="shared" si="51"/>
        <v>3552000</v>
      </c>
      <c r="L445" s="7">
        <f t="shared" si="51"/>
        <v>3552000</v>
      </c>
      <c r="M445" s="4" t="s">
        <v>115</v>
      </c>
      <c r="N445" s="6" t="s">
        <v>1408</v>
      </c>
      <c r="O445" s="6" t="s">
        <v>55</v>
      </c>
      <c r="P445" s="6" t="s">
        <v>55</v>
      </c>
      <c r="Q445" s="6" t="s">
        <v>1110</v>
      </c>
      <c r="R445" s="6" t="s">
        <v>56</v>
      </c>
      <c r="S445" s="6" t="s">
        <v>56</v>
      </c>
      <c r="T445" s="6" t="s">
        <v>57</v>
      </c>
      <c r="AR445" s="6" t="s">
        <v>55</v>
      </c>
      <c r="AS445" s="6" t="s">
        <v>55</v>
      </c>
      <c r="AU445" s="6" t="s">
        <v>1409</v>
      </c>
      <c r="AV445">
        <v>3450</v>
      </c>
    </row>
    <row r="446" spans="1:48" ht="30" customHeight="1" x14ac:dyDescent="0.3">
      <c r="A446" s="4" t="s">
        <v>55</v>
      </c>
      <c r="B446" s="4" t="s">
        <v>55</v>
      </c>
      <c r="C446" s="4" t="s">
        <v>55</v>
      </c>
      <c r="D446" s="5"/>
      <c r="E446" s="7">
        <f>TRUNC([1]단가대비표!O319,0)</f>
        <v>0</v>
      </c>
      <c r="F446" s="7">
        <f t="shared" si="48"/>
        <v>0</v>
      </c>
      <c r="G446" s="7">
        <f>TRUNC([1]단가대비표!P319,0)</f>
        <v>0</v>
      </c>
      <c r="H446" s="7">
        <f t="shared" si="49"/>
        <v>0</v>
      </c>
      <c r="I446" s="7">
        <f>TRUNC([1]단가대비표!V319,0)</f>
        <v>0</v>
      </c>
      <c r="J446" s="7">
        <f t="shared" si="50"/>
        <v>0</v>
      </c>
      <c r="K446" s="7">
        <f t="shared" si="51"/>
        <v>0</v>
      </c>
      <c r="L446" s="7">
        <f t="shared" si="51"/>
        <v>0</v>
      </c>
      <c r="M446" s="4" t="s">
        <v>55</v>
      </c>
      <c r="N446" s="6" t="s">
        <v>1410</v>
      </c>
      <c r="O446" s="6" t="s">
        <v>55</v>
      </c>
      <c r="P446" s="6" t="s">
        <v>55</v>
      </c>
      <c r="Q446" s="6" t="s">
        <v>1110</v>
      </c>
      <c r="R446" s="6" t="s">
        <v>56</v>
      </c>
      <c r="S446" s="6" t="s">
        <v>56</v>
      </c>
      <c r="T446" s="6" t="s">
        <v>57</v>
      </c>
      <c r="AR446" s="6" t="s">
        <v>55</v>
      </c>
      <c r="AS446" s="6" t="s">
        <v>55</v>
      </c>
      <c r="AU446" s="6" t="s">
        <v>1411</v>
      </c>
      <c r="AV446">
        <v>3451</v>
      </c>
    </row>
    <row r="447" spans="1:48" ht="30" customHeight="1" x14ac:dyDescent="0.3">
      <c r="A447" s="4" t="s">
        <v>1412</v>
      </c>
      <c r="B447" s="4" t="s">
        <v>55</v>
      </c>
      <c r="C447" s="4" t="s">
        <v>55</v>
      </c>
      <c r="D447" s="5"/>
      <c r="E447" s="7">
        <f>TRUNC([1]단가대비표!O320,0)</f>
        <v>0</v>
      </c>
      <c r="F447" s="7">
        <f t="shared" si="48"/>
        <v>0</v>
      </c>
      <c r="G447" s="7">
        <f>TRUNC([1]단가대비표!P320,0)</f>
        <v>0</v>
      </c>
      <c r="H447" s="7">
        <f t="shared" si="49"/>
        <v>0</v>
      </c>
      <c r="I447" s="7">
        <f>TRUNC([1]단가대비표!V320,0)</f>
        <v>0</v>
      </c>
      <c r="J447" s="7">
        <f t="shared" si="50"/>
        <v>0</v>
      </c>
      <c r="K447" s="7">
        <f t="shared" si="51"/>
        <v>0</v>
      </c>
      <c r="L447" s="7">
        <f t="shared" si="51"/>
        <v>0</v>
      </c>
      <c r="M447" s="4" t="s">
        <v>55</v>
      </c>
      <c r="N447" s="6" t="s">
        <v>1413</v>
      </c>
      <c r="O447" s="6" t="s">
        <v>55</v>
      </c>
      <c r="P447" s="6" t="s">
        <v>55</v>
      </c>
      <c r="Q447" s="6" t="s">
        <v>1110</v>
      </c>
      <c r="R447" s="6" t="s">
        <v>56</v>
      </c>
      <c r="S447" s="6" t="s">
        <v>56</v>
      </c>
      <c r="T447" s="6" t="s">
        <v>57</v>
      </c>
      <c r="AR447" s="6" t="s">
        <v>55</v>
      </c>
      <c r="AS447" s="6" t="s">
        <v>55</v>
      </c>
      <c r="AU447" s="6" t="s">
        <v>1414</v>
      </c>
      <c r="AV447">
        <v>3452</v>
      </c>
    </row>
    <row r="448" spans="1:48" ht="30" customHeight="1" x14ac:dyDescent="0.3">
      <c r="A448" s="4" t="s">
        <v>1337</v>
      </c>
      <c r="B448" s="4" t="s">
        <v>1415</v>
      </c>
      <c r="C448" s="4" t="s">
        <v>61</v>
      </c>
      <c r="D448" s="5">
        <v>572</v>
      </c>
      <c r="E448" s="7">
        <f>TRUNC([1]단가대비표!O321,0)</f>
        <v>15100</v>
      </c>
      <c r="F448" s="7">
        <f t="shared" si="48"/>
        <v>8637200</v>
      </c>
      <c r="G448" s="7">
        <f>TRUNC([1]단가대비표!P321,0)</f>
        <v>0</v>
      </c>
      <c r="H448" s="7">
        <f t="shared" si="49"/>
        <v>0</v>
      </c>
      <c r="I448" s="7">
        <f>TRUNC([1]단가대비표!V321,0)</f>
        <v>0</v>
      </c>
      <c r="J448" s="7">
        <f t="shared" si="50"/>
        <v>0</v>
      </c>
      <c r="K448" s="7">
        <f t="shared" si="51"/>
        <v>15100</v>
      </c>
      <c r="L448" s="7">
        <f t="shared" si="51"/>
        <v>8637200</v>
      </c>
      <c r="M448" s="4" t="s">
        <v>115</v>
      </c>
      <c r="N448" s="6" t="s">
        <v>1416</v>
      </c>
      <c r="O448" s="6" t="s">
        <v>55</v>
      </c>
      <c r="P448" s="6" t="s">
        <v>55</v>
      </c>
      <c r="Q448" s="6" t="s">
        <v>1110</v>
      </c>
      <c r="R448" s="6" t="s">
        <v>56</v>
      </c>
      <c r="S448" s="6" t="s">
        <v>56</v>
      </c>
      <c r="T448" s="6" t="s">
        <v>57</v>
      </c>
      <c r="AR448" s="6" t="s">
        <v>55</v>
      </c>
      <c r="AS448" s="6" t="s">
        <v>55</v>
      </c>
      <c r="AU448" s="6" t="s">
        <v>1417</v>
      </c>
      <c r="AV448">
        <v>3453</v>
      </c>
    </row>
    <row r="449" spans="1:48" ht="30" customHeight="1" x14ac:dyDescent="0.3">
      <c r="A449" s="4" t="s">
        <v>1418</v>
      </c>
      <c r="B449" s="4" t="s">
        <v>55</v>
      </c>
      <c r="C449" s="4" t="s">
        <v>120</v>
      </c>
      <c r="D449" s="5">
        <v>147</v>
      </c>
      <c r="E449" s="7">
        <f>TRUNC([1]단가대비표!O322,0)</f>
        <v>20300</v>
      </c>
      <c r="F449" s="7">
        <f t="shared" si="48"/>
        <v>2984100</v>
      </c>
      <c r="G449" s="7">
        <f>TRUNC([1]단가대비표!P322,0)</f>
        <v>0</v>
      </c>
      <c r="H449" s="7">
        <f t="shared" si="49"/>
        <v>0</v>
      </c>
      <c r="I449" s="7">
        <f>TRUNC([1]단가대비표!V322,0)</f>
        <v>0</v>
      </c>
      <c r="J449" s="7">
        <f t="shared" si="50"/>
        <v>0</v>
      </c>
      <c r="K449" s="7">
        <f t="shared" si="51"/>
        <v>20300</v>
      </c>
      <c r="L449" s="7">
        <f t="shared" si="51"/>
        <v>2984100</v>
      </c>
      <c r="M449" s="4" t="s">
        <v>115</v>
      </c>
      <c r="N449" s="6" t="s">
        <v>1419</v>
      </c>
      <c r="O449" s="6" t="s">
        <v>55</v>
      </c>
      <c r="P449" s="6" t="s">
        <v>55</v>
      </c>
      <c r="Q449" s="6" t="s">
        <v>1110</v>
      </c>
      <c r="R449" s="6" t="s">
        <v>56</v>
      </c>
      <c r="S449" s="6" t="s">
        <v>56</v>
      </c>
      <c r="T449" s="6" t="s">
        <v>57</v>
      </c>
      <c r="AR449" s="6" t="s">
        <v>55</v>
      </c>
      <c r="AS449" s="6" t="s">
        <v>55</v>
      </c>
      <c r="AU449" s="6" t="s">
        <v>1420</v>
      </c>
      <c r="AV449">
        <v>3454</v>
      </c>
    </row>
    <row r="450" spans="1:48" ht="30" customHeight="1" x14ac:dyDescent="0.3">
      <c r="A450" s="4" t="s">
        <v>1421</v>
      </c>
      <c r="B450" s="4" t="s">
        <v>55</v>
      </c>
      <c r="C450" s="4" t="s">
        <v>61</v>
      </c>
      <c r="D450" s="5">
        <v>572</v>
      </c>
      <c r="E450" s="7">
        <f>TRUNC([1]단가대비표!O323,0)</f>
        <v>0</v>
      </c>
      <c r="F450" s="7">
        <f t="shared" si="48"/>
        <v>0</v>
      </c>
      <c r="G450" s="7">
        <f>TRUNC([1]단가대비표!P323,0)</f>
        <v>3200</v>
      </c>
      <c r="H450" s="7">
        <f t="shared" si="49"/>
        <v>1830400</v>
      </c>
      <c r="I450" s="7">
        <f>TRUNC([1]단가대비표!V323,0)</f>
        <v>0</v>
      </c>
      <c r="J450" s="7">
        <f t="shared" si="50"/>
        <v>0</v>
      </c>
      <c r="K450" s="7">
        <f t="shared" si="51"/>
        <v>3200</v>
      </c>
      <c r="L450" s="7">
        <f t="shared" si="51"/>
        <v>1830400</v>
      </c>
      <c r="M450" s="4" t="s">
        <v>115</v>
      </c>
      <c r="N450" s="6" t="s">
        <v>1422</v>
      </c>
      <c r="O450" s="6" t="s">
        <v>55</v>
      </c>
      <c r="P450" s="6" t="s">
        <v>55</v>
      </c>
      <c r="Q450" s="6" t="s">
        <v>1110</v>
      </c>
      <c r="R450" s="6" t="s">
        <v>56</v>
      </c>
      <c r="S450" s="6" t="s">
        <v>56</v>
      </c>
      <c r="T450" s="6" t="s">
        <v>57</v>
      </c>
      <c r="AR450" s="6" t="s">
        <v>55</v>
      </c>
      <c r="AS450" s="6" t="s">
        <v>55</v>
      </c>
      <c r="AU450" s="6" t="s">
        <v>1423</v>
      </c>
      <c r="AV450">
        <v>3455</v>
      </c>
    </row>
    <row r="451" spans="1:48" ht="30" customHeight="1" x14ac:dyDescent="0.3">
      <c r="A451" s="4" t="s">
        <v>1424</v>
      </c>
      <c r="B451" s="4" t="s">
        <v>55</v>
      </c>
      <c r="C451" s="4" t="s">
        <v>61</v>
      </c>
      <c r="D451" s="5">
        <v>572</v>
      </c>
      <c r="E451" s="7">
        <f>TRUNC([1]단가대비표!O324,0)</f>
        <v>0</v>
      </c>
      <c r="F451" s="7">
        <f t="shared" si="48"/>
        <v>0</v>
      </c>
      <c r="G451" s="7">
        <f>TRUNC([1]단가대비표!P324,0)</f>
        <v>3400</v>
      </c>
      <c r="H451" s="7">
        <f t="shared" si="49"/>
        <v>1944800</v>
      </c>
      <c r="I451" s="7">
        <f>TRUNC([1]단가대비표!V324,0)</f>
        <v>0</v>
      </c>
      <c r="J451" s="7">
        <f t="shared" si="50"/>
        <v>0</v>
      </c>
      <c r="K451" s="7">
        <f t="shared" si="51"/>
        <v>3400</v>
      </c>
      <c r="L451" s="7">
        <f t="shared" si="51"/>
        <v>1944800</v>
      </c>
      <c r="M451" s="4" t="s">
        <v>115</v>
      </c>
      <c r="N451" s="6" t="s">
        <v>1425</v>
      </c>
      <c r="O451" s="6" t="s">
        <v>55</v>
      </c>
      <c r="P451" s="6" t="s">
        <v>55</v>
      </c>
      <c r="Q451" s="6" t="s">
        <v>1110</v>
      </c>
      <c r="R451" s="6" t="s">
        <v>56</v>
      </c>
      <c r="S451" s="6" t="s">
        <v>56</v>
      </c>
      <c r="T451" s="6" t="s">
        <v>57</v>
      </c>
      <c r="AR451" s="6" t="s">
        <v>55</v>
      </c>
      <c r="AS451" s="6" t="s">
        <v>55</v>
      </c>
      <c r="AU451" s="6" t="s">
        <v>1426</v>
      </c>
      <c r="AV451">
        <v>3456</v>
      </c>
    </row>
    <row r="452" spans="1:48" ht="30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spans="1:48" ht="30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spans="1:48" ht="30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spans="1:48" ht="30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spans="1:48" ht="30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spans="1:48" ht="30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spans="1:48" ht="30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spans="1:48" ht="30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spans="1:48" ht="30" customHeight="1" x14ac:dyDescent="0.3">
      <c r="A460" s="4" t="s">
        <v>128</v>
      </c>
      <c r="B460" s="5"/>
      <c r="C460" s="5"/>
      <c r="D460" s="5"/>
      <c r="E460" s="5"/>
      <c r="F460" s="7">
        <f>SUM(F357:F459)</f>
        <v>977933286</v>
      </c>
      <c r="G460" s="5"/>
      <c r="H460" s="7">
        <f>SUM(H357:H459)</f>
        <v>471769500</v>
      </c>
      <c r="I460" s="5"/>
      <c r="J460" s="7">
        <f>SUM(J357:J459)</f>
        <v>16425848</v>
      </c>
      <c r="K460" s="5"/>
      <c r="L460" s="7">
        <f>SUM(L357:L459)</f>
        <v>1466128634</v>
      </c>
      <c r="M460" s="5"/>
      <c r="N460" t="s">
        <v>129</v>
      </c>
    </row>
    <row r="461" spans="1:48" ht="30" customHeight="1" x14ac:dyDescent="0.3">
      <c r="A461" s="4" t="s">
        <v>1427</v>
      </c>
      <c r="B461" s="4" t="s">
        <v>48</v>
      </c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Q461" s="6" t="s">
        <v>1428</v>
      </c>
    </row>
    <row r="462" spans="1:48" ht="30" customHeight="1" x14ac:dyDescent="0.3">
      <c r="A462" s="4" t="s">
        <v>528</v>
      </c>
      <c r="B462" s="4" t="s">
        <v>1429</v>
      </c>
      <c r="C462" s="4" t="s">
        <v>61</v>
      </c>
      <c r="D462" s="5">
        <v>1288</v>
      </c>
      <c r="E462" s="7">
        <f>TRUNC([1]일위대가목록!E119,0)</f>
        <v>257</v>
      </c>
      <c r="F462" s="7">
        <f t="shared" ref="F462:F487" si="52">TRUNC(E462*D462, 0)</f>
        <v>331016</v>
      </c>
      <c r="G462" s="7">
        <f>TRUNC([1]일위대가목록!F119,0)</f>
        <v>13480</v>
      </c>
      <c r="H462" s="7">
        <f t="shared" ref="H462:H487" si="53">TRUNC(G462*D462, 0)</f>
        <v>17362240</v>
      </c>
      <c r="I462" s="7">
        <f>TRUNC([1]일위대가목록!G119,0)</f>
        <v>0</v>
      </c>
      <c r="J462" s="7">
        <f t="shared" ref="J462:J487" si="54">TRUNC(I462*D462, 0)</f>
        <v>0</v>
      </c>
      <c r="K462" s="7">
        <f t="shared" ref="K462:L487" si="55">TRUNC(E462+G462+I462, 0)</f>
        <v>13737</v>
      </c>
      <c r="L462" s="7">
        <f t="shared" si="55"/>
        <v>17693256</v>
      </c>
      <c r="M462" s="4" t="s">
        <v>1430</v>
      </c>
      <c r="N462" s="6" t="s">
        <v>1431</v>
      </c>
      <c r="O462" s="6" t="s">
        <v>55</v>
      </c>
      <c r="P462" s="6" t="s">
        <v>55</v>
      </c>
      <c r="Q462" s="6" t="s">
        <v>1428</v>
      </c>
      <c r="R462" s="6" t="s">
        <v>57</v>
      </c>
      <c r="S462" s="6" t="s">
        <v>56</v>
      </c>
      <c r="T462" s="6" t="s">
        <v>56</v>
      </c>
      <c r="AR462" s="6" t="s">
        <v>55</v>
      </c>
      <c r="AS462" s="6" t="s">
        <v>55</v>
      </c>
      <c r="AU462" s="6" t="s">
        <v>1432</v>
      </c>
      <c r="AV462">
        <v>2602</v>
      </c>
    </row>
    <row r="463" spans="1:48" ht="30" customHeight="1" x14ac:dyDescent="0.3">
      <c r="A463" s="4" t="s">
        <v>528</v>
      </c>
      <c r="B463" s="4" t="s">
        <v>1433</v>
      </c>
      <c r="C463" s="4" t="s">
        <v>61</v>
      </c>
      <c r="D463" s="5">
        <v>7762</v>
      </c>
      <c r="E463" s="7">
        <f>TRUNC([1]일위대가목록!E120,0)</f>
        <v>364</v>
      </c>
      <c r="F463" s="7">
        <f t="shared" si="52"/>
        <v>2825368</v>
      </c>
      <c r="G463" s="7">
        <f>TRUNC([1]일위대가목록!F120,0)</f>
        <v>18953</v>
      </c>
      <c r="H463" s="7">
        <f t="shared" si="53"/>
        <v>147113186</v>
      </c>
      <c r="I463" s="7">
        <f>TRUNC([1]일위대가목록!G120,0)</f>
        <v>0</v>
      </c>
      <c r="J463" s="7">
        <f t="shared" si="54"/>
        <v>0</v>
      </c>
      <c r="K463" s="7">
        <f t="shared" si="55"/>
        <v>19317</v>
      </c>
      <c r="L463" s="7">
        <f t="shared" si="55"/>
        <v>149938554</v>
      </c>
      <c r="M463" s="4" t="s">
        <v>1434</v>
      </c>
      <c r="N463" s="6" t="s">
        <v>1435</v>
      </c>
      <c r="O463" s="6" t="s">
        <v>55</v>
      </c>
      <c r="P463" s="6" t="s">
        <v>55</v>
      </c>
      <c r="Q463" s="6" t="s">
        <v>1428</v>
      </c>
      <c r="R463" s="6" t="s">
        <v>57</v>
      </c>
      <c r="S463" s="6" t="s">
        <v>56</v>
      </c>
      <c r="T463" s="6" t="s">
        <v>56</v>
      </c>
      <c r="AR463" s="6" t="s">
        <v>55</v>
      </c>
      <c r="AS463" s="6" t="s">
        <v>55</v>
      </c>
      <c r="AU463" s="6" t="s">
        <v>1436</v>
      </c>
      <c r="AV463">
        <v>2603</v>
      </c>
    </row>
    <row r="464" spans="1:48" ht="30" customHeight="1" x14ac:dyDescent="0.3">
      <c r="A464" s="4" t="s">
        <v>528</v>
      </c>
      <c r="B464" s="4" t="s">
        <v>1437</v>
      </c>
      <c r="C464" s="4" t="s">
        <v>61</v>
      </c>
      <c r="D464" s="5">
        <v>77</v>
      </c>
      <c r="E464" s="7">
        <f>TRUNC([1]일위대가목록!E121,0)</f>
        <v>538</v>
      </c>
      <c r="F464" s="7">
        <f t="shared" si="52"/>
        <v>41426</v>
      </c>
      <c r="G464" s="7">
        <f>TRUNC([1]일위대가목록!F121,0)</f>
        <v>28188</v>
      </c>
      <c r="H464" s="7">
        <f t="shared" si="53"/>
        <v>2170476</v>
      </c>
      <c r="I464" s="7">
        <f>TRUNC([1]일위대가목록!G121,0)</f>
        <v>0</v>
      </c>
      <c r="J464" s="7">
        <f t="shared" si="54"/>
        <v>0</v>
      </c>
      <c r="K464" s="7">
        <f t="shared" si="55"/>
        <v>28726</v>
      </c>
      <c r="L464" s="7">
        <f t="shared" si="55"/>
        <v>2211902</v>
      </c>
      <c r="M464" s="4" t="s">
        <v>1438</v>
      </c>
      <c r="N464" s="6" t="s">
        <v>1439</v>
      </c>
      <c r="O464" s="6" t="s">
        <v>55</v>
      </c>
      <c r="P464" s="6" t="s">
        <v>55</v>
      </c>
      <c r="Q464" s="6" t="s">
        <v>1428</v>
      </c>
      <c r="R464" s="6" t="s">
        <v>57</v>
      </c>
      <c r="S464" s="6" t="s">
        <v>56</v>
      </c>
      <c r="T464" s="6" t="s">
        <v>56</v>
      </c>
      <c r="AR464" s="6" t="s">
        <v>55</v>
      </c>
      <c r="AS464" s="6" t="s">
        <v>55</v>
      </c>
      <c r="AU464" s="6" t="s">
        <v>1440</v>
      </c>
      <c r="AV464">
        <v>2605</v>
      </c>
    </row>
    <row r="465" spans="1:48" ht="30" customHeight="1" x14ac:dyDescent="0.3">
      <c r="A465" s="4" t="s">
        <v>1441</v>
      </c>
      <c r="B465" s="4" t="s">
        <v>55</v>
      </c>
      <c r="C465" s="4" t="s">
        <v>269</v>
      </c>
      <c r="D465" s="5">
        <v>18</v>
      </c>
      <c r="E465" s="7">
        <f>TRUNC([1]일위대가목록!E122,0)</f>
        <v>67</v>
      </c>
      <c r="F465" s="7">
        <f t="shared" si="52"/>
        <v>1206</v>
      </c>
      <c r="G465" s="7">
        <f>TRUNC([1]일위대가목록!F122,0)</f>
        <v>3236</v>
      </c>
      <c r="H465" s="7">
        <f t="shared" si="53"/>
        <v>58248</v>
      </c>
      <c r="I465" s="7">
        <f>TRUNC([1]일위대가목록!G122,0)</f>
        <v>0</v>
      </c>
      <c r="J465" s="7">
        <f t="shared" si="54"/>
        <v>0</v>
      </c>
      <c r="K465" s="7">
        <f t="shared" si="55"/>
        <v>3303</v>
      </c>
      <c r="L465" s="7">
        <f t="shared" si="55"/>
        <v>59454</v>
      </c>
      <c r="M465" s="4" t="s">
        <v>1442</v>
      </c>
      <c r="N465" s="6" t="s">
        <v>1443</v>
      </c>
      <c r="O465" s="6" t="s">
        <v>55</v>
      </c>
      <c r="P465" s="6" t="s">
        <v>55</v>
      </c>
      <c r="Q465" s="6" t="s">
        <v>1428</v>
      </c>
      <c r="R465" s="6" t="s">
        <v>57</v>
      </c>
      <c r="S465" s="6" t="s">
        <v>56</v>
      </c>
      <c r="T465" s="6" t="s">
        <v>56</v>
      </c>
      <c r="AR465" s="6" t="s">
        <v>55</v>
      </c>
      <c r="AS465" s="6" t="s">
        <v>55</v>
      </c>
      <c r="AU465" s="6" t="s">
        <v>1444</v>
      </c>
      <c r="AV465">
        <v>2606</v>
      </c>
    </row>
    <row r="466" spans="1:48" ht="30" customHeight="1" x14ac:dyDescent="0.3">
      <c r="A466" s="4" t="s">
        <v>528</v>
      </c>
      <c r="B466" s="4" t="s">
        <v>1445</v>
      </c>
      <c r="C466" s="4" t="s">
        <v>61</v>
      </c>
      <c r="D466" s="5">
        <v>513</v>
      </c>
      <c r="E466" s="7">
        <f>TRUNC([1]일위대가목록!E123,0)</f>
        <v>0</v>
      </c>
      <c r="F466" s="7">
        <f t="shared" si="52"/>
        <v>0</v>
      </c>
      <c r="G466" s="7">
        <f>TRUNC([1]일위대가목록!F123,0)</f>
        <v>14538</v>
      </c>
      <c r="H466" s="7">
        <f t="shared" si="53"/>
        <v>7457994</v>
      </c>
      <c r="I466" s="7">
        <f>TRUNC([1]일위대가목록!G123,0)</f>
        <v>214</v>
      </c>
      <c r="J466" s="7">
        <f t="shared" si="54"/>
        <v>109782</v>
      </c>
      <c r="K466" s="7">
        <f t="shared" si="55"/>
        <v>14752</v>
      </c>
      <c r="L466" s="7">
        <f t="shared" si="55"/>
        <v>7567776</v>
      </c>
      <c r="M466" s="4" t="s">
        <v>1446</v>
      </c>
      <c r="N466" s="6" t="s">
        <v>1447</v>
      </c>
      <c r="O466" s="6" t="s">
        <v>55</v>
      </c>
      <c r="P466" s="6" t="s">
        <v>55</v>
      </c>
      <c r="Q466" s="6" t="s">
        <v>1428</v>
      </c>
      <c r="R466" s="6" t="s">
        <v>57</v>
      </c>
      <c r="S466" s="6" t="s">
        <v>56</v>
      </c>
      <c r="T466" s="6" t="s">
        <v>56</v>
      </c>
      <c r="AR466" s="6" t="s">
        <v>55</v>
      </c>
      <c r="AS466" s="6" t="s">
        <v>55</v>
      </c>
      <c r="AU466" s="6" t="s">
        <v>1448</v>
      </c>
      <c r="AV466">
        <v>263</v>
      </c>
    </row>
    <row r="467" spans="1:48" ht="30" customHeight="1" x14ac:dyDescent="0.3">
      <c r="A467" s="4" t="s">
        <v>528</v>
      </c>
      <c r="B467" s="4" t="s">
        <v>541</v>
      </c>
      <c r="C467" s="4" t="s">
        <v>61</v>
      </c>
      <c r="D467" s="5">
        <v>496</v>
      </c>
      <c r="E467" s="7">
        <f>TRUNC([1]일위대가목록!E58,0)</f>
        <v>0</v>
      </c>
      <c r="F467" s="7">
        <f t="shared" si="52"/>
        <v>0</v>
      </c>
      <c r="G467" s="7">
        <f>TRUNC([1]일위대가목록!F58,0)</f>
        <v>14849</v>
      </c>
      <c r="H467" s="7">
        <f t="shared" si="53"/>
        <v>7365104</v>
      </c>
      <c r="I467" s="7">
        <f>TRUNC([1]일위대가목록!G58,0)</f>
        <v>214</v>
      </c>
      <c r="J467" s="7">
        <f t="shared" si="54"/>
        <v>106144</v>
      </c>
      <c r="K467" s="7">
        <f t="shared" si="55"/>
        <v>15063</v>
      </c>
      <c r="L467" s="7">
        <f t="shared" si="55"/>
        <v>7471248</v>
      </c>
      <c r="M467" s="4" t="s">
        <v>542</v>
      </c>
      <c r="N467" s="6" t="s">
        <v>543</v>
      </c>
      <c r="O467" s="6" t="s">
        <v>55</v>
      </c>
      <c r="P467" s="6" t="s">
        <v>55</v>
      </c>
      <c r="Q467" s="6" t="s">
        <v>1428</v>
      </c>
      <c r="R467" s="6" t="s">
        <v>57</v>
      </c>
      <c r="S467" s="6" t="s">
        <v>56</v>
      </c>
      <c r="T467" s="6" t="s">
        <v>56</v>
      </c>
      <c r="AR467" s="6" t="s">
        <v>55</v>
      </c>
      <c r="AS467" s="6" t="s">
        <v>55</v>
      </c>
      <c r="AU467" s="6" t="s">
        <v>1449</v>
      </c>
      <c r="AV467">
        <v>264</v>
      </c>
    </row>
    <row r="468" spans="1:48" ht="30" customHeight="1" x14ac:dyDescent="0.3">
      <c r="A468" s="4" t="s">
        <v>528</v>
      </c>
      <c r="B468" s="4" t="s">
        <v>1450</v>
      </c>
      <c r="C468" s="4" t="s">
        <v>61</v>
      </c>
      <c r="D468" s="5">
        <v>151</v>
      </c>
      <c r="E468" s="7">
        <f>TRUNC([1]일위대가목록!E124,0)</f>
        <v>0</v>
      </c>
      <c r="F468" s="7">
        <f t="shared" si="52"/>
        <v>0</v>
      </c>
      <c r="G468" s="7">
        <f>TRUNC([1]일위대가목록!F124,0)</f>
        <v>16249</v>
      </c>
      <c r="H468" s="7">
        <f t="shared" si="53"/>
        <v>2453599</v>
      </c>
      <c r="I468" s="7">
        <f>TRUNC([1]일위대가목록!G124,0)</f>
        <v>214</v>
      </c>
      <c r="J468" s="7">
        <f t="shared" si="54"/>
        <v>32314</v>
      </c>
      <c r="K468" s="7">
        <f t="shared" si="55"/>
        <v>16463</v>
      </c>
      <c r="L468" s="7">
        <f t="shared" si="55"/>
        <v>2485913</v>
      </c>
      <c r="M468" s="4" t="s">
        <v>1451</v>
      </c>
      <c r="N468" s="6" t="s">
        <v>1452</v>
      </c>
      <c r="O468" s="6" t="s">
        <v>55</v>
      </c>
      <c r="P468" s="6" t="s">
        <v>55</v>
      </c>
      <c r="Q468" s="6" t="s">
        <v>1428</v>
      </c>
      <c r="R468" s="6" t="s">
        <v>57</v>
      </c>
      <c r="S468" s="6" t="s">
        <v>56</v>
      </c>
      <c r="T468" s="6" t="s">
        <v>56</v>
      </c>
      <c r="AR468" s="6" t="s">
        <v>55</v>
      </c>
      <c r="AS468" s="6" t="s">
        <v>55</v>
      </c>
      <c r="AU468" s="6" t="s">
        <v>1453</v>
      </c>
      <c r="AV468">
        <v>265</v>
      </c>
    </row>
    <row r="469" spans="1:48" ht="30" customHeight="1" x14ac:dyDescent="0.3">
      <c r="A469" s="4" t="s">
        <v>528</v>
      </c>
      <c r="B469" s="4" t="s">
        <v>553</v>
      </c>
      <c r="C469" s="4" t="s">
        <v>61</v>
      </c>
      <c r="D469" s="5">
        <v>70</v>
      </c>
      <c r="E469" s="7">
        <f>TRUNC([1]일위대가목록!E61,0)</f>
        <v>0</v>
      </c>
      <c r="F469" s="7">
        <f t="shared" si="52"/>
        <v>0</v>
      </c>
      <c r="G469" s="7">
        <f>TRUNC([1]일위대가목록!F61,0)</f>
        <v>15886</v>
      </c>
      <c r="H469" s="7">
        <f t="shared" si="53"/>
        <v>1112020</v>
      </c>
      <c r="I469" s="7">
        <f>TRUNC([1]일위대가목록!G61,0)</f>
        <v>214</v>
      </c>
      <c r="J469" s="7">
        <f t="shared" si="54"/>
        <v>14980</v>
      </c>
      <c r="K469" s="7">
        <f t="shared" si="55"/>
        <v>16100</v>
      </c>
      <c r="L469" s="7">
        <f t="shared" si="55"/>
        <v>1127000</v>
      </c>
      <c r="M469" s="4" t="s">
        <v>554</v>
      </c>
      <c r="N469" s="6" t="s">
        <v>555</v>
      </c>
      <c r="O469" s="6" t="s">
        <v>55</v>
      </c>
      <c r="P469" s="6" t="s">
        <v>55</v>
      </c>
      <c r="Q469" s="6" t="s">
        <v>1428</v>
      </c>
      <c r="R469" s="6" t="s">
        <v>57</v>
      </c>
      <c r="S469" s="6" t="s">
        <v>56</v>
      </c>
      <c r="T469" s="6" t="s">
        <v>56</v>
      </c>
      <c r="AR469" s="6" t="s">
        <v>55</v>
      </c>
      <c r="AS469" s="6" t="s">
        <v>55</v>
      </c>
      <c r="AU469" s="6" t="s">
        <v>1454</v>
      </c>
      <c r="AV469">
        <v>266</v>
      </c>
    </row>
    <row r="470" spans="1:48" ht="30" customHeight="1" x14ac:dyDescent="0.3">
      <c r="A470" s="4" t="s">
        <v>528</v>
      </c>
      <c r="B470" s="4" t="s">
        <v>1455</v>
      </c>
      <c r="C470" s="4" t="s">
        <v>61</v>
      </c>
      <c r="D470" s="5">
        <v>388</v>
      </c>
      <c r="E470" s="7">
        <f>TRUNC([1]일위대가목록!E125,0)</f>
        <v>0</v>
      </c>
      <c r="F470" s="7">
        <f t="shared" si="52"/>
        <v>0</v>
      </c>
      <c r="G470" s="7">
        <f>TRUNC([1]일위대가목록!F125,0)</f>
        <v>16093</v>
      </c>
      <c r="H470" s="7">
        <f t="shared" si="53"/>
        <v>6244084</v>
      </c>
      <c r="I470" s="7">
        <f>TRUNC([1]일위대가목록!G125,0)</f>
        <v>214</v>
      </c>
      <c r="J470" s="7">
        <f t="shared" si="54"/>
        <v>83032</v>
      </c>
      <c r="K470" s="7">
        <f t="shared" si="55"/>
        <v>16307</v>
      </c>
      <c r="L470" s="7">
        <f t="shared" si="55"/>
        <v>6327116</v>
      </c>
      <c r="M470" s="4" t="s">
        <v>1456</v>
      </c>
      <c r="N470" s="6" t="s">
        <v>1457</v>
      </c>
      <c r="O470" s="6" t="s">
        <v>55</v>
      </c>
      <c r="P470" s="6" t="s">
        <v>55</v>
      </c>
      <c r="Q470" s="6" t="s">
        <v>1428</v>
      </c>
      <c r="R470" s="6" t="s">
        <v>57</v>
      </c>
      <c r="S470" s="6" t="s">
        <v>56</v>
      </c>
      <c r="T470" s="6" t="s">
        <v>56</v>
      </c>
      <c r="AR470" s="6" t="s">
        <v>55</v>
      </c>
      <c r="AS470" s="6" t="s">
        <v>55</v>
      </c>
      <c r="AU470" s="6" t="s">
        <v>1458</v>
      </c>
      <c r="AV470">
        <v>267</v>
      </c>
    </row>
    <row r="471" spans="1:48" ht="30" customHeight="1" x14ac:dyDescent="0.3">
      <c r="A471" s="4" t="s">
        <v>528</v>
      </c>
      <c r="B471" s="4" t="s">
        <v>1459</v>
      </c>
      <c r="C471" s="4" t="s">
        <v>61</v>
      </c>
      <c r="D471" s="5">
        <v>1465</v>
      </c>
      <c r="E471" s="7">
        <f>TRUNC([1]일위대가목록!E126,0)</f>
        <v>0</v>
      </c>
      <c r="F471" s="7">
        <f t="shared" si="52"/>
        <v>0</v>
      </c>
      <c r="G471" s="7">
        <f>TRUNC([1]일위대가목록!F126,0)</f>
        <v>16611</v>
      </c>
      <c r="H471" s="7">
        <f t="shared" si="53"/>
        <v>24335115</v>
      </c>
      <c r="I471" s="7">
        <f>TRUNC([1]일위대가목록!G126,0)</f>
        <v>214</v>
      </c>
      <c r="J471" s="7">
        <f t="shared" si="54"/>
        <v>313510</v>
      </c>
      <c r="K471" s="7">
        <f t="shared" si="55"/>
        <v>16825</v>
      </c>
      <c r="L471" s="7">
        <f t="shared" si="55"/>
        <v>24648625</v>
      </c>
      <c r="M471" s="4" t="s">
        <v>1460</v>
      </c>
      <c r="N471" s="6" t="s">
        <v>1461</v>
      </c>
      <c r="O471" s="6" t="s">
        <v>55</v>
      </c>
      <c r="P471" s="6" t="s">
        <v>55</v>
      </c>
      <c r="Q471" s="6" t="s">
        <v>1428</v>
      </c>
      <c r="R471" s="6" t="s">
        <v>57</v>
      </c>
      <c r="S471" s="6" t="s">
        <v>56</v>
      </c>
      <c r="T471" s="6" t="s">
        <v>56</v>
      </c>
      <c r="AR471" s="6" t="s">
        <v>55</v>
      </c>
      <c r="AS471" s="6" t="s">
        <v>55</v>
      </c>
      <c r="AU471" s="6" t="s">
        <v>1462</v>
      </c>
      <c r="AV471">
        <v>268</v>
      </c>
    </row>
    <row r="472" spans="1:48" ht="30" customHeight="1" x14ac:dyDescent="0.3">
      <c r="A472" s="4" t="s">
        <v>528</v>
      </c>
      <c r="B472" s="4" t="s">
        <v>1463</v>
      </c>
      <c r="C472" s="4" t="s">
        <v>61</v>
      </c>
      <c r="D472" s="5">
        <v>114</v>
      </c>
      <c r="E472" s="7">
        <f>TRUNC([1]일위대가목록!E127,0)</f>
        <v>0</v>
      </c>
      <c r="F472" s="7">
        <f t="shared" si="52"/>
        <v>0</v>
      </c>
      <c r="G472" s="7">
        <f>TRUNC([1]일위대가목록!F127,0)</f>
        <v>16922</v>
      </c>
      <c r="H472" s="7">
        <f t="shared" si="53"/>
        <v>1929108</v>
      </c>
      <c r="I472" s="7">
        <f>TRUNC([1]일위대가목록!G127,0)</f>
        <v>214</v>
      </c>
      <c r="J472" s="7">
        <f t="shared" si="54"/>
        <v>24396</v>
      </c>
      <c r="K472" s="7">
        <f t="shared" si="55"/>
        <v>17136</v>
      </c>
      <c r="L472" s="7">
        <f t="shared" si="55"/>
        <v>1953504</v>
      </c>
      <c r="M472" s="4" t="s">
        <v>1464</v>
      </c>
      <c r="N472" s="6" t="s">
        <v>1465</v>
      </c>
      <c r="O472" s="6" t="s">
        <v>55</v>
      </c>
      <c r="P472" s="6" t="s">
        <v>55</v>
      </c>
      <c r="Q472" s="6" t="s">
        <v>1428</v>
      </c>
      <c r="R472" s="6" t="s">
        <v>57</v>
      </c>
      <c r="S472" s="6" t="s">
        <v>56</v>
      </c>
      <c r="T472" s="6" t="s">
        <v>56</v>
      </c>
      <c r="AR472" s="6" t="s">
        <v>55</v>
      </c>
      <c r="AS472" s="6" t="s">
        <v>55</v>
      </c>
      <c r="AU472" s="6" t="s">
        <v>1466</v>
      </c>
      <c r="AV472">
        <v>269</v>
      </c>
    </row>
    <row r="473" spans="1:48" ht="30" customHeight="1" x14ac:dyDescent="0.3">
      <c r="A473" s="4" t="s">
        <v>528</v>
      </c>
      <c r="B473" s="4" t="s">
        <v>1467</v>
      </c>
      <c r="C473" s="4" t="s">
        <v>61</v>
      </c>
      <c r="D473" s="5">
        <v>1049</v>
      </c>
      <c r="E473" s="7">
        <f>TRUNC([1]일위대가목록!E128,0)</f>
        <v>0</v>
      </c>
      <c r="F473" s="7">
        <f t="shared" si="52"/>
        <v>0</v>
      </c>
      <c r="G473" s="7">
        <f>TRUNC([1]일위대가목록!F128,0)</f>
        <v>22935</v>
      </c>
      <c r="H473" s="7">
        <f t="shared" si="53"/>
        <v>24058815</v>
      </c>
      <c r="I473" s="7">
        <f>TRUNC([1]일위대가목록!G128,0)</f>
        <v>214</v>
      </c>
      <c r="J473" s="7">
        <f t="shared" si="54"/>
        <v>224486</v>
      </c>
      <c r="K473" s="7">
        <f t="shared" si="55"/>
        <v>23149</v>
      </c>
      <c r="L473" s="7">
        <f t="shared" si="55"/>
        <v>24283301</v>
      </c>
      <c r="M473" s="4" t="s">
        <v>1468</v>
      </c>
      <c r="N473" s="6" t="s">
        <v>1469</v>
      </c>
      <c r="O473" s="6" t="s">
        <v>55</v>
      </c>
      <c r="P473" s="6" t="s">
        <v>55</v>
      </c>
      <c r="Q473" s="6" t="s">
        <v>1428</v>
      </c>
      <c r="R473" s="6" t="s">
        <v>57</v>
      </c>
      <c r="S473" s="6" t="s">
        <v>56</v>
      </c>
      <c r="T473" s="6" t="s">
        <v>56</v>
      </c>
      <c r="AR473" s="6" t="s">
        <v>55</v>
      </c>
      <c r="AS473" s="6" t="s">
        <v>55</v>
      </c>
      <c r="AU473" s="6" t="s">
        <v>1470</v>
      </c>
      <c r="AV473">
        <v>270</v>
      </c>
    </row>
    <row r="474" spans="1:48" ht="30" customHeight="1" x14ac:dyDescent="0.3">
      <c r="A474" s="4" t="s">
        <v>528</v>
      </c>
      <c r="B474" s="4" t="s">
        <v>1471</v>
      </c>
      <c r="C474" s="4" t="s">
        <v>61</v>
      </c>
      <c r="D474" s="5">
        <v>47</v>
      </c>
      <c r="E474" s="7">
        <f>TRUNC([1]일위대가목록!E129,0)</f>
        <v>0</v>
      </c>
      <c r="F474" s="7">
        <f t="shared" si="52"/>
        <v>0</v>
      </c>
      <c r="G474" s="7">
        <f>TRUNC([1]일위대가목록!F129,0)</f>
        <v>27081</v>
      </c>
      <c r="H474" s="7">
        <f t="shared" si="53"/>
        <v>1272807</v>
      </c>
      <c r="I474" s="7">
        <f>TRUNC([1]일위대가목록!G129,0)</f>
        <v>214</v>
      </c>
      <c r="J474" s="7">
        <f t="shared" si="54"/>
        <v>10058</v>
      </c>
      <c r="K474" s="7">
        <f t="shared" si="55"/>
        <v>27295</v>
      </c>
      <c r="L474" s="7">
        <f t="shared" si="55"/>
        <v>1282865</v>
      </c>
      <c r="M474" s="4" t="s">
        <v>1472</v>
      </c>
      <c r="N474" s="6" t="s">
        <v>1473</v>
      </c>
      <c r="O474" s="6" t="s">
        <v>55</v>
      </c>
      <c r="P474" s="6" t="s">
        <v>55</v>
      </c>
      <c r="Q474" s="6" t="s">
        <v>1428</v>
      </c>
      <c r="R474" s="6" t="s">
        <v>57</v>
      </c>
      <c r="S474" s="6" t="s">
        <v>56</v>
      </c>
      <c r="T474" s="6" t="s">
        <v>56</v>
      </c>
      <c r="AR474" s="6" t="s">
        <v>55</v>
      </c>
      <c r="AS474" s="6" t="s">
        <v>55</v>
      </c>
      <c r="AU474" s="6" t="s">
        <v>1474</v>
      </c>
      <c r="AV474">
        <v>271</v>
      </c>
    </row>
    <row r="475" spans="1:48" ht="30" customHeight="1" x14ac:dyDescent="0.3">
      <c r="A475" s="4" t="s">
        <v>1475</v>
      </c>
      <c r="B475" s="4" t="s">
        <v>1476</v>
      </c>
      <c r="C475" s="4" t="s">
        <v>61</v>
      </c>
      <c r="D475" s="5">
        <v>213</v>
      </c>
      <c r="E475" s="7">
        <f>TRUNC([1]일위대가목록!E130,0)</f>
        <v>0</v>
      </c>
      <c r="F475" s="7">
        <f t="shared" si="52"/>
        <v>0</v>
      </c>
      <c r="G475" s="7">
        <f>TRUNC([1]일위대가목록!F130,0)</f>
        <v>2094</v>
      </c>
      <c r="H475" s="7">
        <f t="shared" si="53"/>
        <v>446022</v>
      </c>
      <c r="I475" s="7">
        <f>TRUNC([1]일위대가목록!G130,0)</f>
        <v>62</v>
      </c>
      <c r="J475" s="7">
        <f t="shared" si="54"/>
        <v>13206</v>
      </c>
      <c r="K475" s="7">
        <f t="shared" si="55"/>
        <v>2156</v>
      </c>
      <c r="L475" s="7">
        <f t="shared" si="55"/>
        <v>459228</v>
      </c>
      <c r="M475" s="4" t="s">
        <v>1477</v>
      </c>
      <c r="N475" s="6" t="s">
        <v>1478</v>
      </c>
      <c r="O475" s="6" t="s">
        <v>55</v>
      </c>
      <c r="P475" s="6" t="s">
        <v>55</v>
      </c>
      <c r="Q475" s="6" t="s">
        <v>1428</v>
      </c>
      <c r="R475" s="6" t="s">
        <v>57</v>
      </c>
      <c r="S475" s="6" t="s">
        <v>56</v>
      </c>
      <c r="T475" s="6" t="s">
        <v>56</v>
      </c>
      <c r="AR475" s="6" t="s">
        <v>55</v>
      </c>
      <c r="AS475" s="6" t="s">
        <v>55</v>
      </c>
      <c r="AU475" s="6" t="s">
        <v>1479</v>
      </c>
      <c r="AV475">
        <v>2097</v>
      </c>
    </row>
    <row r="476" spans="1:48" ht="30" customHeight="1" x14ac:dyDescent="0.3">
      <c r="A476" s="4" t="s">
        <v>1475</v>
      </c>
      <c r="B476" s="4" t="s">
        <v>1480</v>
      </c>
      <c r="C476" s="4" t="s">
        <v>61</v>
      </c>
      <c r="D476" s="5">
        <v>82</v>
      </c>
      <c r="E476" s="7">
        <f>TRUNC([1]일위대가목록!E131,0)</f>
        <v>0</v>
      </c>
      <c r="F476" s="7">
        <f t="shared" si="52"/>
        <v>0</v>
      </c>
      <c r="G476" s="7">
        <f>TRUNC([1]일위대가목록!F131,0)</f>
        <v>2513</v>
      </c>
      <c r="H476" s="7">
        <f t="shared" si="53"/>
        <v>206066</v>
      </c>
      <c r="I476" s="7">
        <f>TRUNC([1]일위대가목록!G131,0)</f>
        <v>62</v>
      </c>
      <c r="J476" s="7">
        <f t="shared" si="54"/>
        <v>5084</v>
      </c>
      <c r="K476" s="7">
        <f t="shared" si="55"/>
        <v>2575</v>
      </c>
      <c r="L476" s="7">
        <f t="shared" si="55"/>
        <v>211150</v>
      </c>
      <c r="M476" s="4" t="s">
        <v>1481</v>
      </c>
      <c r="N476" s="6" t="s">
        <v>1482</v>
      </c>
      <c r="O476" s="6" t="s">
        <v>55</v>
      </c>
      <c r="P476" s="6" t="s">
        <v>55</v>
      </c>
      <c r="Q476" s="6" t="s">
        <v>1428</v>
      </c>
      <c r="R476" s="6" t="s">
        <v>57</v>
      </c>
      <c r="S476" s="6" t="s">
        <v>56</v>
      </c>
      <c r="T476" s="6" t="s">
        <v>56</v>
      </c>
      <c r="AR476" s="6" t="s">
        <v>55</v>
      </c>
      <c r="AS476" s="6" t="s">
        <v>55</v>
      </c>
      <c r="AU476" s="6" t="s">
        <v>1483</v>
      </c>
      <c r="AV476">
        <v>2098</v>
      </c>
    </row>
    <row r="477" spans="1:48" ht="30" customHeight="1" x14ac:dyDescent="0.3">
      <c r="A477" s="4" t="s">
        <v>1475</v>
      </c>
      <c r="B477" s="4" t="s">
        <v>1484</v>
      </c>
      <c r="C477" s="4" t="s">
        <v>61</v>
      </c>
      <c r="D477" s="5">
        <v>3836</v>
      </c>
      <c r="E477" s="7">
        <f>TRUNC([1]일위대가목록!E132,0)</f>
        <v>481</v>
      </c>
      <c r="F477" s="7">
        <f t="shared" si="52"/>
        <v>1845116</v>
      </c>
      <c r="G477" s="7">
        <f>TRUNC([1]일위대가목록!F132,0)</f>
        <v>2094</v>
      </c>
      <c r="H477" s="7">
        <f t="shared" si="53"/>
        <v>8032584</v>
      </c>
      <c r="I477" s="7">
        <f>TRUNC([1]일위대가목록!G132,0)</f>
        <v>0</v>
      </c>
      <c r="J477" s="7">
        <f t="shared" si="54"/>
        <v>0</v>
      </c>
      <c r="K477" s="7">
        <f t="shared" si="55"/>
        <v>2575</v>
      </c>
      <c r="L477" s="7">
        <f t="shared" si="55"/>
        <v>9877700</v>
      </c>
      <c r="M477" s="4" t="s">
        <v>1485</v>
      </c>
      <c r="N477" s="6" t="s">
        <v>1486</v>
      </c>
      <c r="O477" s="6" t="s">
        <v>55</v>
      </c>
      <c r="P477" s="6" t="s">
        <v>55</v>
      </c>
      <c r="Q477" s="6" t="s">
        <v>1428</v>
      </c>
      <c r="R477" s="6" t="s">
        <v>57</v>
      </c>
      <c r="S477" s="6" t="s">
        <v>56</v>
      </c>
      <c r="T477" s="6" t="s">
        <v>56</v>
      </c>
      <c r="AR477" s="6" t="s">
        <v>55</v>
      </c>
      <c r="AS477" s="6" t="s">
        <v>55</v>
      </c>
      <c r="AU477" s="6" t="s">
        <v>1487</v>
      </c>
      <c r="AV477">
        <v>274</v>
      </c>
    </row>
    <row r="478" spans="1:48" ht="30" customHeight="1" x14ac:dyDescent="0.3">
      <c r="A478" s="4" t="s">
        <v>1475</v>
      </c>
      <c r="B478" s="4" t="s">
        <v>1488</v>
      </c>
      <c r="C478" s="4" t="s">
        <v>61</v>
      </c>
      <c r="D478" s="5">
        <v>7526</v>
      </c>
      <c r="E478" s="7">
        <f>TRUNC([1]일위대가목록!E133,0)</f>
        <v>62</v>
      </c>
      <c r="F478" s="7">
        <f t="shared" si="52"/>
        <v>466612</v>
      </c>
      <c r="G478" s="7">
        <f>TRUNC([1]일위대가목록!F133,0)</f>
        <v>2094</v>
      </c>
      <c r="H478" s="7">
        <f t="shared" si="53"/>
        <v>15759444</v>
      </c>
      <c r="I478" s="7">
        <f>TRUNC([1]일위대가목록!G133,0)</f>
        <v>0</v>
      </c>
      <c r="J478" s="7">
        <f t="shared" si="54"/>
        <v>0</v>
      </c>
      <c r="K478" s="7">
        <f t="shared" si="55"/>
        <v>2156</v>
      </c>
      <c r="L478" s="7">
        <f t="shared" si="55"/>
        <v>16226056</v>
      </c>
      <c r="M478" s="4" t="s">
        <v>1489</v>
      </c>
      <c r="N478" s="6" t="s">
        <v>1490</v>
      </c>
      <c r="O478" s="6" t="s">
        <v>55</v>
      </c>
      <c r="P478" s="6" t="s">
        <v>55</v>
      </c>
      <c r="Q478" s="6" t="s">
        <v>1428</v>
      </c>
      <c r="R478" s="6" t="s">
        <v>57</v>
      </c>
      <c r="S478" s="6" t="s">
        <v>56</v>
      </c>
      <c r="T478" s="6" t="s">
        <v>56</v>
      </c>
      <c r="AR478" s="6" t="s">
        <v>55</v>
      </c>
      <c r="AS478" s="6" t="s">
        <v>55</v>
      </c>
      <c r="AU478" s="6" t="s">
        <v>1491</v>
      </c>
      <c r="AV478">
        <v>275</v>
      </c>
    </row>
    <row r="479" spans="1:48" ht="30" customHeight="1" x14ac:dyDescent="0.3">
      <c r="A479" s="4" t="s">
        <v>1492</v>
      </c>
      <c r="B479" s="4" t="s">
        <v>1493</v>
      </c>
      <c r="C479" s="4" t="s">
        <v>61</v>
      </c>
      <c r="D479" s="5">
        <v>8904</v>
      </c>
      <c r="E479" s="7">
        <f>TRUNC([1]일위대가목록!E134,0)</f>
        <v>0</v>
      </c>
      <c r="F479" s="7">
        <f t="shared" si="52"/>
        <v>0</v>
      </c>
      <c r="G479" s="7">
        <f>TRUNC([1]일위대가목록!F134,0)</f>
        <v>826</v>
      </c>
      <c r="H479" s="7">
        <f t="shared" si="53"/>
        <v>7354704</v>
      </c>
      <c r="I479" s="7">
        <f>TRUNC([1]일위대가목록!G134,0)</f>
        <v>0</v>
      </c>
      <c r="J479" s="7">
        <f t="shared" si="54"/>
        <v>0</v>
      </c>
      <c r="K479" s="7">
        <f t="shared" si="55"/>
        <v>826</v>
      </c>
      <c r="L479" s="7">
        <f t="shared" si="55"/>
        <v>7354704</v>
      </c>
      <c r="M479" s="4" t="s">
        <v>1494</v>
      </c>
      <c r="N479" s="6" t="s">
        <v>1495</v>
      </c>
      <c r="O479" s="6" t="s">
        <v>55</v>
      </c>
      <c r="P479" s="6" t="s">
        <v>55</v>
      </c>
      <c r="Q479" s="6" t="s">
        <v>1428</v>
      </c>
      <c r="R479" s="6" t="s">
        <v>57</v>
      </c>
      <c r="S479" s="6" t="s">
        <v>56</v>
      </c>
      <c r="T479" s="6" t="s">
        <v>56</v>
      </c>
      <c r="AR479" s="6" t="s">
        <v>55</v>
      </c>
      <c r="AS479" s="6" t="s">
        <v>55</v>
      </c>
      <c r="AU479" s="6" t="s">
        <v>1496</v>
      </c>
      <c r="AV479">
        <v>2609</v>
      </c>
    </row>
    <row r="480" spans="1:48" ht="30" customHeight="1" x14ac:dyDescent="0.3">
      <c r="A480" s="4" t="s">
        <v>1497</v>
      </c>
      <c r="B480" s="4" t="s">
        <v>1493</v>
      </c>
      <c r="C480" s="4" t="s">
        <v>61</v>
      </c>
      <c r="D480" s="5">
        <v>3027</v>
      </c>
      <c r="E480" s="7">
        <f>TRUNC([1]일위대가목록!E135,0)</f>
        <v>60</v>
      </c>
      <c r="F480" s="7">
        <f t="shared" si="52"/>
        <v>181620</v>
      </c>
      <c r="G480" s="7">
        <f>TRUNC([1]일위대가목록!F135,0)</f>
        <v>599</v>
      </c>
      <c r="H480" s="7">
        <f t="shared" si="53"/>
        <v>1813173</v>
      </c>
      <c r="I480" s="7">
        <f>TRUNC([1]일위대가목록!G135,0)</f>
        <v>0</v>
      </c>
      <c r="J480" s="7">
        <f t="shared" si="54"/>
        <v>0</v>
      </c>
      <c r="K480" s="7">
        <f t="shared" si="55"/>
        <v>659</v>
      </c>
      <c r="L480" s="7">
        <f t="shared" si="55"/>
        <v>1994793</v>
      </c>
      <c r="M480" s="4" t="s">
        <v>1498</v>
      </c>
      <c r="N480" s="6" t="s">
        <v>1499</v>
      </c>
      <c r="O480" s="6" t="s">
        <v>55</v>
      </c>
      <c r="P480" s="6" t="s">
        <v>55</v>
      </c>
      <c r="Q480" s="6" t="s">
        <v>1428</v>
      </c>
      <c r="R480" s="6" t="s">
        <v>57</v>
      </c>
      <c r="S480" s="6" t="s">
        <v>56</v>
      </c>
      <c r="T480" s="6" t="s">
        <v>56</v>
      </c>
      <c r="AR480" s="6" t="s">
        <v>55</v>
      </c>
      <c r="AS480" s="6" t="s">
        <v>55</v>
      </c>
      <c r="AU480" s="6" t="s">
        <v>1500</v>
      </c>
      <c r="AV480">
        <v>2610</v>
      </c>
    </row>
    <row r="481" spans="1:48" ht="30" customHeight="1" x14ac:dyDescent="0.3">
      <c r="A481" s="4" t="s">
        <v>1501</v>
      </c>
      <c r="B481" s="4" t="s">
        <v>1502</v>
      </c>
      <c r="C481" s="4" t="s">
        <v>61</v>
      </c>
      <c r="D481" s="5">
        <v>15</v>
      </c>
      <c r="E481" s="7">
        <f>TRUNC([1]일위대가목록!E136,0)</f>
        <v>17210</v>
      </c>
      <c r="F481" s="7">
        <f t="shared" si="52"/>
        <v>258150</v>
      </c>
      <c r="G481" s="7">
        <f>TRUNC([1]일위대가목록!F136,0)</f>
        <v>17669</v>
      </c>
      <c r="H481" s="7">
        <f t="shared" si="53"/>
        <v>265035</v>
      </c>
      <c r="I481" s="7">
        <f>TRUNC([1]일위대가목록!G136,0)</f>
        <v>797</v>
      </c>
      <c r="J481" s="7">
        <f t="shared" si="54"/>
        <v>11955</v>
      </c>
      <c r="K481" s="7">
        <f t="shared" si="55"/>
        <v>35676</v>
      </c>
      <c r="L481" s="7">
        <f t="shared" si="55"/>
        <v>535140</v>
      </c>
      <c r="M481" s="4" t="s">
        <v>1503</v>
      </c>
      <c r="N481" s="6" t="s">
        <v>1504</v>
      </c>
      <c r="O481" s="6" t="s">
        <v>55</v>
      </c>
      <c r="P481" s="6" t="s">
        <v>55</v>
      </c>
      <c r="Q481" s="6" t="s">
        <v>1428</v>
      </c>
      <c r="R481" s="6" t="s">
        <v>57</v>
      </c>
      <c r="S481" s="6" t="s">
        <v>56</v>
      </c>
      <c r="T481" s="6" t="s">
        <v>56</v>
      </c>
      <c r="AR481" s="6" t="s">
        <v>55</v>
      </c>
      <c r="AS481" s="6" t="s">
        <v>55</v>
      </c>
      <c r="AU481" s="6" t="s">
        <v>1505</v>
      </c>
      <c r="AV481">
        <v>278</v>
      </c>
    </row>
    <row r="482" spans="1:48" ht="30" customHeight="1" x14ac:dyDescent="0.3">
      <c r="A482" s="4" t="s">
        <v>1501</v>
      </c>
      <c r="B482" s="4" t="s">
        <v>1506</v>
      </c>
      <c r="C482" s="4" t="s">
        <v>61</v>
      </c>
      <c r="D482" s="5">
        <v>9</v>
      </c>
      <c r="E482" s="7">
        <f>TRUNC([1]일위대가목록!E137,0)</f>
        <v>17381</v>
      </c>
      <c r="F482" s="7">
        <f t="shared" si="52"/>
        <v>156429</v>
      </c>
      <c r="G482" s="7">
        <f>TRUNC([1]일위대가목록!F137,0)</f>
        <v>17863</v>
      </c>
      <c r="H482" s="7">
        <f t="shared" si="53"/>
        <v>160767</v>
      </c>
      <c r="I482" s="7">
        <f>TRUNC([1]일위대가목록!G137,0)</f>
        <v>957</v>
      </c>
      <c r="J482" s="7">
        <f t="shared" si="54"/>
        <v>8613</v>
      </c>
      <c r="K482" s="7">
        <f t="shared" si="55"/>
        <v>36201</v>
      </c>
      <c r="L482" s="7">
        <f t="shared" si="55"/>
        <v>325809</v>
      </c>
      <c r="M482" s="4" t="s">
        <v>1507</v>
      </c>
      <c r="N482" s="6" t="s">
        <v>1508</v>
      </c>
      <c r="O482" s="6" t="s">
        <v>55</v>
      </c>
      <c r="P482" s="6" t="s">
        <v>55</v>
      </c>
      <c r="Q482" s="6" t="s">
        <v>1428</v>
      </c>
      <c r="R482" s="6" t="s">
        <v>57</v>
      </c>
      <c r="S482" s="6" t="s">
        <v>56</v>
      </c>
      <c r="T482" s="6" t="s">
        <v>56</v>
      </c>
      <c r="AR482" s="6" t="s">
        <v>55</v>
      </c>
      <c r="AS482" s="6" t="s">
        <v>55</v>
      </c>
      <c r="AU482" s="6" t="s">
        <v>1509</v>
      </c>
      <c r="AV482">
        <v>279</v>
      </c>
    </row>
    <row r="483" spans="1:48" ht="30" customHeight="1" x14ac:dyDescent="0.3">
      <c r="A483" s="4" t="s">
        <v>1501</v>
      </c>
      <c r="B483" s="4" t="s">
        <v>1510</v>
      </c>
      <c r="C483" s="4" t="s">
        <v>61</v>
      </c>
      <c r="D483" s="5">
        <v>7</v>
      </c>
      <c r="E483" s="7">
        <f>TRUNC([1]일위대가목록!E138,0)</f>
        <v>14196</v>
      </c>
      <c r="F483" s="7">
        <f t="shared" si="52"/>
        <v>99372</v>
      </c>
      <c r="G483" s="7">
        <f>TRUNC([1]일위대가목록!F138,0)</f>
        <v>17284</v>
      </c>
      <c r="H483" s="7">
        <f t="shared" si="53"/>
        <v>120988</v>
      </c>
      <c r="I483" s="7">
        <f>TRUNC([1]일위대가목록!G138,0)</f>
        <v>797</v>
      </c>
      <c r="J483" s="7">
        <f t="shared" si="54"/>
        <v>5579</v>
      </c>
      <c r="K483" s="7">
        <f t="shared" si="55"/>
        <v>32277</v>
      </c>
      <c r="L483" s="7">
        <f t="shared" si="55"/>
        <v>225939</v>
      </c>
      <c r="M483" s="4" t="s">
        <v>1511</v>
      </c>
      <c r="N483" s="6" t="s">
        <v>1512</v>
      </c>
      <c r="O483" s="6" t="s">
        <v>55</v>
      </c>
      <c r="P483" s="6" t="s">
        <v>55</v>
      </c>
      <c r="Q483" s="6" t="s">
        <v>1428</v>
      </c>
      <c r="R483" s="6" t="s">
        <v>57</v>
      </c>
      <c r="S483" s="6" t="s">
        <v>56</v>
      </c>
      <c r="T483" s="6" t="s">
        <v>56</v>
      </c>
      <c r="AR483" s="6" t="s">
        <v>55</v>
      </c>
      <c r="AS483" s="6" t="s">
        <v>55</v>
      </c>
      <c r="AU483" s="6" t="s">
        <v>1513</v>
      </c>
      <c r="AV483">
        <v>280</v>
      </c>
    </row>
    <row r="484" spans="1:48" ht="30" customHeight="1" x14ac:dyDescent="0.3">
      <c r="A484" s="4" t="s">
        <v>1501</v>
      </c>
      <c r="B484" s="4" t="s">
        <v>1514</v>
      </c>
      <c r="C484" s="4" t="s">
        <v>61</v>
      </c>
      <c r="D484" s="5">
        <v>38</v>
      </c>
      <c r="E484" s="7">
        <f>TRUNC([1]일위대가목록!E139,0)</f>
        <v>13910</v>
      </c>
      <c r="F484" s="7">
        <f t="shared" si="52"/>
        <v>528580</v>
      </c>
      <c r="G484" s="7">
        <f>TRUNC([1]일위대가목록!F139,0)</f>
        <v>16960</v>
      </c>
      <c r="H484" s="7">
        <f t="shared" si="53"/>
        <v>644480</v>
      </c>
      <c r="I484" s="7">
        <f>TRUNC([1]일위대가목록!G139,0)</f>
        <v>532</v>
      </c>
      <c r="J484" s="7">
        <f t="shared" si="54"/>
        <v>20216</v>
      </c>
      <c r="K484" s="7">
        <f t="shared" si="55"/>
        <v>31402</v>
      </c>
      <c r="L484" s="7">
        <f t="shared" si="55"/>
        <v>1193276</v>
      </c>
      <c r="M484" s="4" t="s">
        <v>1515</v>
      </c>
      <c r="N484" s="6" t="s">
        <v>1516</v>
      </c>
      <c r="O484" s="6" t="s">
        <v>55</v>
      </c>
      <c r="P484" s="6" t="s">
        <v>55</v>
      </c>
      <c r="Q484" s="6" t="s">
        <v>1428</v>
      </c>
      <c r="R484" s="6" t="s">
        <v>57</v>
      </c>
      <c r="S484" s="6" t="s">
        <v>56</v>
      </c>
      <c r="T484" s="6" t="s">
        <v>56</v>
      </c>
      <c r="AR484" s="6" t="s">
        <v>55</v>
      </c>
      <c r="AS484" s="6" t="s">
        <v>55</v>
      </c>
      <c r="AU484" s="6" t="s">
        <v>1517</v>
      </c>
      <c r="AV484">
        <v>3014</v>
      </c>
    </row>
    <row r="485" spans="1:48" ht="30" customHeight="1" x14ac:dyDescent="0.3">
      <c r="A485" s="4" t="s">
        <v>1518</v>
      </c>
      <c r="B485" s="4" t="s">
        <v>55</v>
      </c>
      <c r="C485" s="4" t="s">
        <v>1519</v>
      </c>
      <c r="D485" s="5">
        <v>1.728</v>
      </c>
      <c r="E485" s="7">
        <f>TRUNC([1]일위대가목록!E140,0)</f>
        <v>0</v>
      </c>
      <c r="F485" s="7">
        <f t="shared" si="52"/>
        <v>0</v>
      </c>
      <c r="G485" s="7">
        <f>TRUNC([1]일위대가목록!F140,0)</f>
        <v>41559</v>
      </c>
      <c r="H485" s="7">
        <f t="shared" si="53"/>
        <v>71813</v>
      </c>
      <c r="I485" s="7">
        <f>TRUNC([1]일위대가목록!G140,0)</f>
        <v>831</v>
      </c>
      <c r="J485" s="7">
        <f t="shared" si="54"/>
        <v>1435</v>
      </c>
      <c r="K485" s="7">
        <f t="shared" si="55"/>
        <v>42390</v>
      </c>
      <c r="L485" s="7">
        <f t="shared" si="55"/>
        <v>73248</v>
      </c>
      <c r="M485" s="4" t="s">
        <v>1520</v>
      </c>
      <c r="N485" s="6" t="s">
        <v>1521</v>
      </c>
      <c r="O485" s="6" t="s">
        <v>55</v>
      </c>
      <c r="P485" s="6" t="s">
        <v>55</v>
      </c>
      <c r="Q485" s="6" t="s">
        <v>1428</v>
      </c>
      <c r="R485" s="6" t="s">
        <v>57</v>
      </c>
      <c r="S485" s="6" t="s">
        <v>56</v>
      </c>
      <c r="T485" s="6" t="s">
        <v>56</v>
      </c>
      <c r="AR485" s="6" t="s">
        <v>55</v>
      </c>
      <c r="AS485" s="6" t="s">
        <v>55</v>
      </c>
      <c r="AU485" s="6" t="s">
        <v>1522</v>
      </c>
      <c r="AV485">
        <v>281</v>
      </c>
    </row>
    <row r="486" spans="1:48" ht="30" customHeight="1" x14ac:dyDescent="0.3">
      <c r="A486" s="4" t="s">
        <v>1518</v>
      </c>
      <c r="B486" s="4" t="s">
        <v>55</v>
      </c>
      <c r="C486" s="4" t="s">
        <v>269</v>
      </c>
      <c r="D486" s="5">
        <v>1035</v>
      </c>
      <c r="E486" s="7">
        <f>TRUNC([1]일위대가목록!E141,0)</f>
        <v>67</v>
      </c>
      <c r="F486" s="7">
        <f t="shared" si="52"/>
        <v>69345</v>
      </c>
      <c r="G486" s="7">
        <f>TRUNC([1]일위대가목록!F141,0)</f>
        <v>3236</v>
      </c>
      <c r="H486" s="7">
        <f t="shared" si="53"/>
        <v>3349260</v>
      </c>
      <c r="I486" s="7">
        <f>TRUNC([1]일위대가목록!G141,0)</f>
        <v>0</v>
      </c>
      <c r="J486" s="7">
        <f t="shared" si="54"/>
        <v>0</v>
      </c>
      <c r="K486" s="7">
        <f t="shared" si="55"/>
        <v>3303</v>
      </c>
      <c r="L486" s="7">
        <f t="shared" si="55"/>
        <v>3418605</v>
      </c>
      <c r="M486" s="4" t="s">
        <v>1523</v>
      </c>
      <c r="N486" s="6" t="s">
        <v>1524</v>
      </c>
      <c r="O486" s="6" t="s">
        <v>55</v>
      </c>
      <c r="P486" s="6" t="s">
        <v>55</v>
      </c>
      <c r="Q486" s="6" t="s">
        <v>1428</v>
      </c>
      <c r="R486" s="6" t="s">
        <v>57</v>
      </c>
      <c r="S486" s="6" t="s">
        <v>56</v>
      </c>
      <c r="T486" s="6" t="s">
        <v>56</v>
      </c>
      <c r="AR486" s="6" t="s">
        <v>55</v>
      </c>
      <c r="AS486" s="6" t="s">
        <v>55</v>
      </c>
      <c r="AU486" s="6" t="s">
        <v>1525</v>
      </c>
      <c r="AV486">
        <v>2607</v>
      </c>
    </row>
    <row r="487" spans="1:48" ht="30" customHeight="1" x14ac:dyDescent="0.3">
      <c r="A487" s="4" t="s">
        <v>1526</v>
      </c>
      <c r="B487" s="4" t="s">
        <v>55</v>
      </c>
      <c r="C487" s="4" t="s">
        <v>269</v>
      </c>
      <c r="D487" s="5">
        <v>5027</v>
      </c>
      <c r="E487" s="7">
        <f>TRUNC([1]일위대가목록!E142,0)</f>
        <v>42</v>
      </c>
      <c r="F487" s="7">
        <f t="shared" si="52"/>
        <v>211134</v>
      </c>
      <c r="G487" s="7">
        <f>TRUNC([1]일위대가목록!F142,0)</f>
        <v>2009</v>
      </c>
      <c r="H487" s="7">
        <f t="shared" si="53"/>
        <v>10099243</v>
      </c>
      <c r="I487" s="7">
        <f>TRUNC([1]일위대가목록!G142,0)</f>
        <v>0</v>
      </c>
      <c r="J487" s="7">
        <f t="shared" si="54"/>
        <v>0</v>
      </c>
      <c r="K487" s="7">
        <f t="shared" si="55"/>
        <v>2051</v>
      </c>
      <c r="L487" s="7">
        <f t="shared" si="55"/>
        <v>10310377</v>
      </c>
      <c r="M487" s="4" t="s">
        <v>1527</v>
      </c>
      <c r="N487" s="6" t="s">
        <v>1528</v>
      </c>
      <c r="O487" s="6" t="s">
        <v>55</v>
      </c>
      <c r="P487" s="6" t="s">
        <v>55</v>
      </c>
      <c r="Q487" s="6" t="s">
        <v>1428</v>
      </c>
      <c r="R487" s="6" t="s">
        <v>57</v>
      </c>
      <c r="S487" s="6" t="s">
        <v>56</v>
      </c>
      <c r="T487" s="6" t="s">
        <v>56</v>
      </c>
      <c r="AR487" s="6" t="s">
        <v>55</v>
      </c>
      <c r="AS487" s="6" t="s">
        <v>55</v>
      </c>
      <c r="AU487" s="6" t="s">
        <v>1529</v>
      </c>
      <c r="AV487">
        <v>2608</v>
      </c>
    </row>
    <row r="488" spans="1:48" ht="30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spans="1:48" ht="30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spans="1:48" ht="30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spans="1:48" ht="30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spans="1:48" ht="30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spans="1:48" ht="30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spans="1:48" ht="30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spans="1:48" ht="30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spans="1:48" ht="30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spans="1:48" ht="30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spans="1:48" ht="30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spans="1:48" ht="30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spans="1:48" ht="30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spans="1:48" ht="30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spans="1:48" ht="30" customHeight="1" x14ac:dyDescent="0.3">
      <c r="A502" s="4" t="s">
        <v>128</v>
      </c>
      <c r="B502" s="5"/>
      <c r="C502" s="5"/>
      <c r="D502" s="5"/>
      <c r="E502" s="5"/>
      <c r="F502" s="7">
        <f>SUM(F462:F501)</f>
        <v>7015374</v>
      </c>
      <c r="G502" s="5"/>
      <c r="H502" s="7">
        <f>SUM(H462:H501)</f>
        <v>291256375</v>
      </c>
      <c r="I502" s="5"/>
      <c r="J502" s="7">
        <f>SUM(J462:J501)</f>
        <v>984790</v>
      </c>
      <c r="K502" s="5"/>
      <c r="L502" s="7">
        <f>SUM(L462:L501)</f>
        <v>299256539</v>
      </c>
      <c r="M502" s="5"/>
      <c r="N502" t="s">
        <v>129</v>
      </c>
    </row>
    <row r="503" spans="1:48" ht="30" customHeight="1" x14ac:dyDescent="0.3">
      <c r="A503" s="4" t="s">
        <v>1530</v>
      </c>
      <c r="B503" s="4" t="s">
        <v>48</v>
      </c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Q503" s="6" t="s">
        <v>1531</v>
      </c>
    </row>
    <row r="504" spans="1:48" ht="30" customHeight="1" x14ac:dyDescent="0.3">
      <c r="A504" s="4" t="s">
        <v>1532</v>
      </c>
      <c r="B504" s="4" t="s">
        <v>1533</v>
      </c>
      <c r="C504" s="4" t="s">
        <v>125</v>
      </c>
      <c r="D504" s="5">
        <v>67</v>
      </c>
      <c r="E504" s="7">
        <f>TRUNC([1]단가대비표!O781,0)</f>
        <v>234208</v>
      </c>
      <c r="F504" s="7">
        <f t="shared" ref="F504:F567" si="56">TRUNC(E504*D504, 0)</f>
        <v>15691936</v>
      </c>
      <c r="G504" s="7">
        <f>TRUNC([1]단가대비표!P781,0)</f>
        <v>0</v>
      </c>
      <c r="H504" s="7">
        <f t="shared" ref="H504:H567" si="57">TRUNC(G504*D504, 0)</f>
        <v>0</v>
      </c>
      <c r="I504" s="7">
        <f>TRUNC([1]단가대비표!V781,0)</f>
        <v>0</v>
      </c>
      <c r="J504" s="7">
        <f t="shared" ref="J504:J567" si="58">TRUNC(I504*D504, 0)</f>
        <v>0</v>
      </c>
      <c r="K504" s="7">
        <f t="shared" ref="K504:L535" si="59">TRUNC(E504+G504+I504, 0)</f>
        <v>234208</v>
      </c>
      <c r="L504" s="7">
        <f t="shared" si="59"/>
        <v>15691936</v>
      </c>
      <c r="M504" s="4" t="s">
        <v>55</v>
      </c>
      <c r="N504" s="6" t="s">
        <v>1534</v>
      </c>
      <c r="O504" s="6" t="s">
        <v>55</v>
      </c>
      <c r="P504" s="6" t="s">
        <v>55</v>
      </c>
      <c r="Q504" s="6" t="s">
        <v>1531</v>
      </c>
      <c r="R504" s="6" t="s">
        <v>56</v>
      </c>
      <c r="S504" s="6" t="s">
        <v>56</v>
      </c>
      <c r="T504" s="6" t="s">
        <v>57</v>
      </c>
      <c r="AR504" s="6" t="s">
        <v>55</v>
      </c>
      <c r="AS504" s="6" t="s">
        <v>55</v>
      </c>
      <c r="AU504" s="6" t="s">
        <v>1535</v>
      </c>
      <c r="AV504">
        <v>2848</v>
      </c>
    </row>
    <row r="505" spans="1:48" ht="30" customHeight="1" x14ac:dyDescent="0.3">
      <c r="A505" s="4" t="s">
        <v>1532</v>
      </c>
      <c r="B505" s="4" t="s">
        <v>1536</v>
      </c>
      <c r="C505" s="4" t="s">
        <v>125</v>
      </c>
      <c r="D505" s="5">
        <v>12</v>
      </c>
      <c r="E505" s="7">
        <f>TRUNC([1]단가대비표!O782,0)</f>
        <v>224786</v>
      </c>
      <c r="F505" s="7">
        <f t="shared" si="56"/>
        <v>2697432</v>
      </c>
      <c r="G505" s="7">
        <f>TRUNC([1]단가대비표!P782,0)</f>
        <v>0</v>
      </c>
      <c r="H505" s="7">
        <f t="shared" si="57"/>
        <v>0</v>
      </c>
      <c r="I505" s="7">
        <f>TRUNC([1]단가대비표!V782,0)</f>
        <v>0</v>
      </c>
      <c r="J505" s="7">
        <f t="shared" si="58"/>
        <v>0</v>
      </c>
      <c r="K505" s="7">
        <f t="shared" si="59"/>
        <v>224786</v>
      </c>
      <c r="L505" s="7">
        <f t="shared" si="59"/>
        <v>2697432</v>
      </c>
      <c r="M505" s="4" t="s">
        <v>55</v>
      </c>
      <c r="N505" s="6" t="s">
        <v>1537</v>
      </c>
      <c r="O505" s="6" t="s">
        <v>55</v>
      </c>
      <c r="P505" s="6" t="s">
        <v>55</v>
      </c>
      <c r="Q505" s="6" t="s">
        <v>1531</v>
      </c>
      <c r="R505" s="6" t="s">
        <v>56</v>
      </c>
      <c r="S505" s="6" t="s">
        <v>56</v>
      </c>
      <c r="T505" s="6" t="s">
        <v>57</v>
      </c>
      <c r="AR505" s="6" t="s">
        <v>55</v>
      </c>
      <c r="AS505" s="6" t="s">
        <v>55</v>
      </c>
      <c r="AU505" s="6" t="s">
        <v>1538</v>
      </c>
      <c r="AV505">
        <v>2849</v>
      </c>
    </row>
    <row r="506" spans="1:48" ht="30" customHeight="1" x14ac:dyDescent="0.3">
      <c r="A506" s="4" t="s">
        <v>1532</v>
      </c>
      <c r="B506" s="4" t="s">
        <v>1539</v>
      </c>
      <c r="C506" s="4" t="s">
        <v>125</v>
      </c>
      <c r="D506" s="5">
        <v>2</v>
      </c>
      <c r="E506" s="7">
        <f>TRUNC([1]단가대비표!O783,0)</f>
        <v>219677</v>
      </c>
      <c r="F506" s="7">
        <f t="shared" si="56"/>
        <v>439354</v>
      </c>
      <c r="G506" s="7">
        <f>TRUNC([1]단가대비표!P783,0)</f>
        <v>0</v>
      </c>
      <c r="H506" s="7">
        <f t="shared" si="57"/>
        <v>0</v>
      </c>
      <c r="I506" s="7">
        <f>TRUNC([1]단가대비표!V783,0)</f>
        <v>0</v>
      </c>
      <c r="J506" s="7">
        <f t="shared" si="58"/>
        <v>0</v>
      </c>
      <c r="K506" s="7">
        <f t="shared" si="59"/>
        <v>219677</v>
      </c>
      <c r="L506" s="7">
        <f t="shared" si="59"/>
        <v>439354</v>
      </c>
      <c r="M506" s="4" t="s">
        <v>55</v>
      </c>
      <c r="N506" s="6" t="s">
        <v>1540</v>
      </c>
      <c r="O506" s="6" t="s">
        <v>55</v>
      </c>
      <c r="P506" s="6" t="s">
        <v>55</v>
      </c>
      <c r="Q506" s="6" t="s">
        <v>1531</v>
      </c>
      <c r="R506" s="6" t="s">
        <v>56</v>
      </c>
      <c r="S506" s="6" t="s">
        <v>56</v>
      </c>
      <c r="T506" s="6" t="s">
        <v>57</v>
      </c>
      <c r="AR506" s="6" t="s">
        <v>55</v>
      </c>
      <c r="AS506" s="6" t="s">
        <v>55</v>
      </c>
      <c r="AU506" s="6" t="s">
        <v>1541</v>
      </c>
      <c r="AV506">
        <v>2850</v>
      </c>
    </row>
    <row r="507" spans="1:48" ht="30" customHeight="1" x14ac:dyDescent="0.3">
      <c r="A507" s="4" t="s">
        <v>1542</v>
      </c>
      <c r="B507" s="4" t="s">
        <v>1543</v>
      </c>
      <c r="C507" s="4" t="s">
        <v>61</v>
      </c>
      <c r="D507" s="5">
        <v>2</v>
      </c>
      <c r="E507" s="7">
        <f>TRUNC([1]단가대비표!O137,0)</f>
        <v>31244</v>
      </c>
      <c r="F507" s="7">
        <f t="shared" si="56"/>
        <v>62488</v>
      </c>
      <c r="G507" s="7">
        <f>TRUNC([1]단가대비표!P137,0)</f>
        <v>0</v>
      </c>
      <c r="H507" s="7">
        <f t="shared" si="57"/>
        <v>0</v>
      </c>
      <c r="I507" s="7">
        <f>TRUNC([1]단가대비표!V137,0)</f>
        <v>0</v>
      </c>
      <c r="J507" s="7">
        <f t="shared" si="58"/>
        <v>0</v>
      </c>
      <c r="K507" s="7">
        <f t="shared" si="59"/>
        <v>31244</v>
      </c>
      <c r="L507" s="7">
        <f t="shared" si="59"/>
        <v>62488</v>
      </c>
      <c r="M507" s="4" t="s">
        <v>55</v>
      </c>
      <c r="N507" s="6" t="s">
        <v>1544</v>
      </c>
      <c r="O507" s="6" t="s">
        <v>55</v>
      </c>
      <c r="P507" s="6" t="s">
        <v>55</v>
      </c>
      <c r="Q507" s="6" t="s">
        <v>1531</v>
      </c>
      <c r="R507" s="6" t="s">
        <v>56</v>
      </c>
      <c r="S507" s="6" t="s">
        <v>56</v>
      </c>
      <c r="T507" s="6" t="s">
        <v>57</v>
      </c>
      <c r="AR507" s="6" t="s">
        <v>55</v>
      </c>
      <c r="AS507" s="6" t="s">
        <v>55</v>
      </c>
      <c r="AU507" s="6" t="s">
        <v>1545</v>
      </c>
      <c r="AV507">
        <v>291</v>
      </c>
    </row>
    <row r="508" spans="1:48" ht="30" customHeight="1" x14ac:dyDescent="0.3">
      <c r="A508" s="4" t="s">
        <v>1546</v>
      </c>
      <c r="B508" s="4" t="s">
        <v>1547</v>
      </c>
      <c r="C508" s="4" t="s">
        <v>81</v>
      </c>
      <c r="D508" s="5">
        <v>1</v>
      </c>
      <c r="E508" s="7">
        <f>TRUNC([1]단가대비표!O794,0)</f>
        <v>7050000</v>
      </c>
      <c r="F508" s="7">
        <f t="shared" si="56"/>
        <v>7050000</v>
      </c>
      <c r="G508" s="7">
        <f>TRUNC([1]단가대비표!P794,0)</f>
        <v>0</v>
      </c>
      <c r="H508" s="7">
        <f t="shared" si="57"/>
        <v>0</v>
      </c>
      <c r="I508" s="7">
        <f>TRUNC([1]단가대비표!V794,0)</f>
        <v>0</v>
      </c>
      <c r="J508" s="7">
        <f t="shared" si="58"/>
        <v>0</v>
      </c>
      <c r="K508" s="7">
        <f t="shared" si="59"/>
        <v>7050000</v>
      </c>
      <c r="L508" s="7">
        <f t="shared" si="59"/>
        <v>7050000</v>
      </c>
      <c r="M508" s="4" t="s">
        <v>55</v>
      </c>
      <c r="N508" s="6" t="s">
        <v>1548</v>
      </c>
      <c r="O508" s="6" t="s">
        <v>55</v>
      </c>
      <c r="P508" s="6" t="s">
        <v>55</v>
      </c>
      <c r="Q508" s="6" t="s">
        <v>1531</v>
      </c>
      <c r="R508" s="6" t="s">
        <v>56</v>
      </c>
      <c r="S508" s="6" t="s">
        <v>56</v>
      </c>
      <c r="T508" s="6" t="s">
        <v>57</v>
      </c>
      <c r="AR508" s="6" t="s">
        <v>55</v>
      </c>
      <c r="AS508" s="6" t="s">
        <v>55</v>
      </c>
      <c r="AU508" s="6" t="s">
        <v>1549</v>
      </c>
      <c r="AV508">
        <v>2910</v>
      </c>
    </row>
    <row r="509" spans="1:48" ht="30" customHeight="1" x14ac:dyDescent="0.3">
      <c r="A509" s="4" t="s">
        <v>1550</v>
      </c>
      <c r="B509" s="4" t="s">
        <v>1551</v>
      </c>
      <c r="C509" s="4" t="s">
        <v>81</v>
      </c>
      <c r="D509" s="5">
        <v>5</v>
      </c>
      <c r="E509" s="7">
        <f>TRUNC([1]단가대비표!O701,0)</f>
        <v>853000</v>
      </c>
      <c r="F509" s="7">
        <f t="shared" si="56"/>
        <v>4265000</v>
      </c>
      <c r="G509" s="7">
        <f>TRUNC([1]단가대비표!P701,0)</f>
        <v>0</v>
      </c>
      <c r="H509" s="7">
        <f t="shared" si="57"/>
        <v>0</v>
      </c>
      <c r="I509" s="7">
        <f>TRUNC([1]단가대비표!V701,0)</f>
        <v>0</v>
      </c>
      <c r="J509" s="7">
        <f t="shared" si="58"/>
        <v>0</v>
      </c>
      <c r="K509" s="7">
        <f t="shared" si="59"/>
        <v>853000</v>
      </c>
      <c r="L509" s="7">
        <f t="shared" si="59"/>
        <v>4265000</v>
      </c>
      <c r="M509" s="4" t="s">
        <v>55</v>
      </c>
      <c r="N509" s="6" t="s">
        <v>1552</v>
      </c>
      <c r="O509" s="6" t="s">
        <v>55</v>
      </c>
      <c r="P509" s="6" t="s">
        <v>55</v>
      </c>
      <c r="Q509" s="6" t="s">
        <v>1531</v>
      </c>
      <c r="R509" s="6" t="s">
        <v>56</v>
      </c>
      <c r="S509" s="6" t="s">
        <v>56</v>
      </c>
      <c r="T509" s="6" t="s">
        <v>57</v>
      </c>
      <c r="AR509" s="6" t="s">
        <v>55</v>
      </c>
      <c r="AS509" s="6" t="s">
        <v>55</v>
      </c>
      <c r="AU509" s="6" t="s">
        <v>1553</v>
      </c>
      <c r="AV509">
        <v>2227</v>
      </c>
    </row>
    <row r="510" spans="1:48" ht="30" customHeight="1" x14ac:dyDescent="0.3">
      <c r="A510" s="4" t="s">
        <v>1554</v>
      </c>
      <c r="B510" s="4" t="s">
        <v>1555</v>
      </c>
      <c r="C510" s="4" t="s">
        <v>81</v>
      </c>
      <c r="D510" s="5">
        <v>86</v>
      </c>
      <c r="E510" s="7">
        <f>TRUNC([1]단가대비표!O700,0)</f>
        <v>454000</v>
      </c>
      <c r="F510" s="7">
        <f t="shared" si="56"/>
        <v>39044000</v>
      </c>
      <c r="G510" s="7">
        <f>TRUNC([1]단가대비표!P700,0)</f>
        <v>0</v>
      </c>
      <c r="H510" s="7">
        <f t="shared" si="57"/>
        <v>0</v>
      </c>
      <c r="I510" s="7">
        <f>TRUNC([1]단가대비표!V700,0)</f>
        <v>0</v>
      </c>
      <c r="J510" s="7">
        <f t="shared" si="58"/>
        <v>0</v>
      </c>
      <c r="K510" s="7">
        <f t="shared" si="59"/>
        <v>454000</v>
      </c>
      <c r="L510" s="7">
        <f t="shared" si="59"/>
        <v>39044000</v>
      </c>
      <c r="M510" s="4" t="s">
        <v>55</v>
      </c>
      <c r="N510" s="6" t="s">
        <v>1556</v>
      </c>
      <c r="O510" s="6" t="s">
        <v>55</v>
      </c>
      <c r="P510" s="6" t="s">
        <v>55</v>
      </c>
      <c r="Q510" s="6" t="s">
        <v>1531</v>
      </c>
      <c r="R510" s="6" t="s">
        <v>56</v>
      </c>
      <c r="S510" s="6" t="s">
        <v>56</v>
      </c>
      <c r="T510" s="6" t="s">
        <v>57</v>
      </c>
      <c r="AR510" s="6" t="s">
        <v>55</v>
      </c>
      <c r="AS510" s="6" t="s">
        <v>55</v>
      </c>
      <c r="AU510" s="6" t="s">
        <v>1557</v>
      </c>
      <c r="AV510">
        <v>2226</v>
      </c>
    </row>
    <row r="511" spans="1:48" ht="30" customHeight="1" x14ac:dyDescent="0.3">
      <c r="A511" s="4" t="s">
        <v>1558</v>
      </c>
      <c r="B511" s="4" t="s">
        <v>1559</v>
      </c>
      <c r="C511" s="4" t="s">
        <v>81</v>
      </c>
      <c r="D511" s="5">
        <v>37</v>
      </c>
      <c r="E511" s="7">
        <f>TRUNC([1]단가대비표!O702,0)</f>
        <v>390000</v>
      </c>
      <c r="F511" s="7">
        <f t="shared" si="56"/>
        <v>14430000</v>
      </c>
      <c r="G511" s="7">
        <f>TRUNC([1]단가대비표!P702,0)</f>
        <v>0</v>
      </c>
      <c r="H511" s="7">
        <f t="shared" si="57"/>
        <v>0</v>
      </c>
      <c r="I511" s="7">
        <f>TRUNC([1]단가대비표!V702,0)</f>
        <v>0</v>
      </c>
      <c r="J511" s="7">
        <f t="shared" si="58"/>
        <v>0</v>
      </c>
      <c r="K511" s="7">
        <f t="shared" si="59"/>
        <v>390000</v>
      </c>
      <c r="L511" s="7">
        <f t="shared" si="59"/>
        <v>14430000</v>
      </c>
      <c r="M511" s="4" t="s">
        <v>55</v>
      </c>
      <c r="N511" s="6" t="s">
        <v>1560</v>
      </c>
      <c r="O511" s="6" t="s">
        <v>55</v>
      </c>
      <c r="P511" s="6" t="s">
        <v>55</v>
      </c>
      <c r="Q511" s="6" t="s">
        <v>1531</v>
      </c>
      <c r="R511" s="6" t="s">
        <v>56</v>
      </c>
      <c r="S511" s="6" t="s">
        <v>56</v>
      </c>
      <c r="T511" s="6" t="s">
        <v>57</v>
      </c>
      <c r="AR511" s="6" t="s">
        <v>55</v>
      </c>
      <c r="AS511" s="6" t="s">
        <v>55</v>
      </c>
      <c r="AU511" s="6" t="s">
        <v>1561</v>
      </c>
      <c r="AV511">
        <v>2228</v>
      </c>
    </row>
    <row r="512" spans="1:48" ht="30" customHeight="1" x14ac:dyDescent="0.3">
      <c r="A512" s="4" t="s">
        <v>1562</v>
      </c>
      <c r="B512" s="4" t="s">
        <v>1559</v>
      </c>
      <c r="C512" s="4" t="s">
        <v>81</v>
      </c>
      <c r="D512" s="5">
        <v>10</v>
      </c>
      <c r="E512" s="7">
        <f>TRUNC([1]단가대비표!O899,0)</f>
        <v>390000</v>
      </c>
      <c r="F512" s="7">
        <f t="shared" si="56"/>
        <v>3900000</v>
      </c>
      <c r="G512" s="7">
        <f>TRUNC([1]단가대비표!P899,0)</f>
        <v>0</v>
      </c>
      <c r="H512" s="7">
        <f t="shared" si="57"/>
        <v>0</v>
      </c>
      <c r="I512" s="7">
        <f>TRUNC([1]단가대비표!V899,0)</f>
        <v>0</v>
      </c>
      <c r="J512" s="7">
        <f t="shared" si="58"/>
        <v>0</v>
      </c>
      <c r="K512" s="7">
        <f t="shared" si="59"/>
        <v>390000</v>
      </c>
      <c r="L512" s="7">
        <f t="shared" si="59"/>
        <v>3900000</v>
      </c>
      <c r="M512" s="4" t="s">
        <v>55</v>
      </c>
      <c r="N512" s="6" t="s">
        <v>1563</v>
      </c>
      <c r="O512" s="6" t="s">
        <v>55</v>
      </c>
      <c r="P512" s="6" t="s">
        <v>55</v>
      </c>
      <c r="Q512" s="6" t="s">
        <v>1531</v>
      </c>
      <c r="R512" s="6" t="s">
        <v>56</v>
      </c>
      <c r="S512" s="6" t="s">
        <v>56</v>
      </c>
      <c r="T512" s="6" t="s">
        <v>57</v>
      </c>
      <c r="AR512" s="6" t="s">
        <v>55</v>
      </c>
      <c r="AS512" s="6" t="s">
        <v>55</v>
      </c>
      <c r="AU512" s="6" t="s">
        <v>1564</v>
      </c>
      <c r="AV512">
        <v>3484</v>
      </c>
    </row>
    <row r="513" spans="1:48" ht="30" customHeight="1" x14ac:dyDescent="0.3">
      <c r="A513" s="4" t="s">
        <v>1565</v>
      </c>
      <c r="B513" s="4" t="s">
        <v>1566</v>
      </c>
      <c r="C513" s="4" t="s">
        <v>81</v>
      </c>
      <c r="D513" s="5">
        <v>1</v>
      </c>
      <c r="E513" s="7">
        <f>TRUNC([1]일위대가목록!E143,0)</f>
        <v>183713</v>
      </c>
      <c r="F513" s="7">
        <f t="shared" si="56"/>
        <v>183713</v>
      </c>
      <c r="G513" s="7">
        <f>TRUNC([1]일위대가목록!F143,0)</f>
        <v>118421</v>
      </c>
      <c r="H513" s="7">
        <f t="shared" si="57"/>
        <v>118421</v>
      </c>
      <c r="I513" s="7">
        <f>TRUNC([1]일위대가목록!G143,0)</f>
        <v>3552</v>
      </c>
      <c r="J513" s="7">
        <f t="shared" si="58"/>
        <v>3552</v>
      </c>
      <c r="K513" s="7">
        <f t="shared" si="59"/>
        <v>305686</v>
      </c>
      <c r="L513" s="7">
        <f t="shared" si="59"/>
        <v>305686</v>
      </c>
      <c r="M513" s="4" t="s">
        <v>1567</v>
      </c>
      <c r="N513" s="6" t="s">
        <v>1568</v>
      </c>
      <c r="O513" s="6" t="s">
        <v>55</v>
      </c>
      <c r="P513" s="6" t="s">
        <v>55</v>
      </c>
      <c r="Q513" s="6" t="s">
        <v>1531</v>
      </c>
      <c r="R513" s="6" t="s">
        <v>57</v>
      </c>
      <c r="S513" s="6" t="s">
        <v>56</v>
      </c>
      <c r="T513" s="6" t="s">
        <v>56</v>
      </c>
      <c r="AR513" s="6" t="s">
        <v>55</v>
      </c>
      <c r="AS513" s="6" t="s">
        <v>55</v>
      </c>
      <c r="AU513" s="6" t="s">
        <v>1569</v>
      </c>
      <c r="AV513">
        <v>2842</v>
      </c>
    </row>
    <row r="514" spans="1:48" ht="30" customHeight="1" x14ac:dyDescent="0.3">
      <c r="A514" s="4" t="s">
        <v>1570</v>
      </c>
      <c r="B514" s="4" t="s">
        <v>1571</v>
      </c>
      <c r="C514" s="4" t="s">
        <v>81</v>
      </c>
      <c r="D514" s="5">
        <v>67</v>
      </c>
      <c r="E514" s="7">
        <f>TRUNC([1]일위대가목록!E144,0)</f>
        <v>373532</v>
      </c>
      <c r="F514" s="7">
        <f t="shared" si="56"/>
        <v>25026644</v>
      </c>
      <c r="G514" s="7">
        <f>TRUNC([1]일위대가목록!F144,0)</f>
        <v>148759</v>
      </c>
      <c r="H514" s="7">
        <f t="shared" si="57"/>
        <v>9966853</v>
      </c>
      <c r="I514" s="7">
        <f>TRUNC([1]일위대가목록!G144,0)</f>
        <v>0</v>
      </c>
      <c r="J514" s="7">
        <f t="shared" si="58"/>
        <v>0</v>
      </c>
      <c r="K514" s="7">
        <f t="shared" si="59"/>
        <v>522291</v>
      </c>
      <c r="L514" s="7">
        <f t="shared" si="59"/>
        <v>34993497</v>
      </c>
      <c r="M514" s="4" t="s">
        <v>1572</v>
      </c>
      <c r="N514" s="6" t="s">
        <v>1573</v>
      </c>
      <c r="O514" s="6" t="s">
        <v>55</v>
      </c>
      <c r="P514" s="6" t="s">
        <v>55</v>
      </c>
      <c r="Q514" s="6" t="s">
        <v>1531</v>
      </c>
      <c r="R514" s="6" t="s">
        <v>57</v>
      </c>
      <c r="S514" s="6" t="s">
        <v>56</v>
      </c>
      <c r="T514" s="6" t="s">
        <v>56</v>
      </c>
      <c r="AR514" s="6" t="s">
        <v>55</v>
      </c>
      <c r="AS514" s="6" t="s">
        <v>55</v>
      </c>
      <c r="AU514" s="6" t="s">
        <v>1574</v>
      </c>
      <c r="AV514">
        <v>374</v>
      </c>
    </row>
    <row r="515" spans="1:48" ht="30" customHeight="1" x14ac:dyDescent="0.3">
      <c r="A515" s="4" t="s">
        <v>1575</v>
      </c>
      <c r="B515" s="4" t="s">
        <v>1576</v>
      </c>
      <c r="C515" s="4" t="s">
        <v>81</v>
      </c>
      <c r="D515" s="5">
        <v>1</v>
      </c>
      <c r="E515" s="7">
        <f>TRUNC([1]단가대비표!O744,0)</f>
        <v>980000</v>
      </c>
      <c r="F515" s="7">
        <f t="shared" si="56"/>
        <v>980000</v>
      </c>
      <c r="G515" s="7">
        <f>TRUNC([1]단가대비표!P744,0)</f>
        <v>0</v>
      </c>
      <c r="H515" s="7">
        <f t="shared" si="57"/>
        <v>0</v>
      </c>
      <c r="I515" s="7">
        <f>TRUNC([1]단가대비표!V744,0)</f>
        <v>0</v>
      </c>
      <c r="J515" s="7">
        <f t="shared" si="58"/>
        <v>0</v>
      </c>
      <c r="K515" s="7">
        <f t="shared" si="59"/>
        <v>980000</v>
      </c>
      <c r="L515" s="7">
        <f t="shared" si="59"/>
        <v>980000</v>
      </c>
      <c r="M515" s="4" t="s">
        <v>55</v>
      </c>
      <c r="N515" s="6" t="s">
        <v>1577</v>
      </c>
      <c r="O515" s="6" t="s">
        <v>55</v>
      </c>
      <c r="P515" s="6" t="s">
        <v>55</v>
      </c>
      <c r="Q515" s="6" t="s">
        <v>1531</v>
      </c>
      <c r="R515" s="6" t="s">
        <v>56</v>
      </c>
      <c r="S515" s="6" t="s">
        <v>56</v>
      </c>
      <c r="T515" s="6" t="s">
        <v>57</v>
      </c>
      <c r="AR515" s="6" t="s">
        <v>55</v>
      </c>
      <c r="AS515" s="6" t="s">
        <v>55</v>
      </c>
      <c r="AU515" s="6" t="s">
        <v>1578</v>
      </c>
      <c r="AV515">
        <v>2402</v>
      </c>
    </row>
    <row r="516" spans="1:48" ht="30" customHeight="1" x14ac:dyDescent="0.3">
      <c r="A516" s="4" t="s">
        <v>1579</v>
      </c>
      <c r="B516" s="4" t="s">
        <v>1580</v>
      </c>
      <c r="C516" s="4" t="s">
        <v>81</v>
      </c>
      <c r="D516" s="5">
        <v>67</v>
      </c>
      <c r="E516" s="7">
        <f>TRUNC([1]일위대가목록!E145,0)</f>
        <v>208152</v>
      </c>
      <c r="F516" s="7">
        <f t="shared" si="56"/>
        <v>13946184</v>
      </c>
      <c r="G516" s="7">
        <f>TRUNC([1]일위대가목록!F145,0)</f>
        <v>67097</v>
      </c>
      <c r="H516" s="7">
        <f t="shared" si="57"/>
        <v>4495499</v>
      </c>
      <c r="I516" s="7">
        <f>TRUNC([1]일위대가목록!G145,0)</f>
        <v>1341</v>
      </c>
      <c r="J516" s="7">
        <f t="shared" si="58"/>
        <v>89847</v>
      </c>
      <c r="K516" s="7">
        <f t="shared" si="59"/>
        <v>276590</v>
      </c>
      <c r="L516" s="7">
        <f t="shared" si="59"/>
        <v>18531530</v>
      </c>
      <c r="M516" s="4" t="s">
        <v>1581</v>
      </c>
      <c r="N516" s="6" t="s">
        <v>1582</v>
      </c>
      <c r="O516" s="6" t="s">
        <v>55</v>
      </c>
      <c r="P516" s="6" t="s">
        <v>55</v>
      </c>
      <c r="Q516" s="6" t="s">
        <v>1531</v>
      </c>
      <c r="R516" s="6" t="s">
        <v>57</v>
      </c>
      <c r="S516" s="6" t="s">
        <v>56</v>
      </c>
      <c r="T516" s="6" t="s">
        <v>56</v>
      </c>
      <c r="AR516" s="6" t="s">
        <v>55</v>
      </c>
      <c r="AS516" s="6" t="s">
        <v>55</v>
      </c>
      <c r="AU516" s="6" t="s">
        <v>1583</v>
      </c>
      <c r="AV516">
        <v>383</v>
      </c>
    </row>
    <row r="517" spans="1:48" ht="30" customHeight="1" x14ac:dyDescent="0.3">
      <c r="A517" s="4" t="s">
        <v>1584</v>
      </c>
      <c r="B517" s="4" t="s">
        <v>1555</v>
      </c>
      <c r="C517" s="4" t="s">
        <v>81</v>
      </c>
      <c r="D517" s="5">
        <v>2</v>
      </c>
      <c r="E517" s="7">
        <f>TRUNC([1]일위대가목록!E146,0)</f>
        <v>286209</v>
      </c>
      <c r="F517" s="7">
        <f t="shared" si="56"/>
        <v>572418</v>
      </c>
      <c r="G517" s="7">
        <f>TRUNC([1]일위대가목록!F146,0)</f>
        <v>67097</v>
      </c>
      <c r="H517" s="7">
        <f t="shared" si="57"/>
        <v>134194</v>
      </c>
      <c r="I517" s="7">
        <f>TRUNC([1]일위대가목록!G146,0)</f>
        <v>1341</v>
      </c>
      <c r="J517" s="7">
        <f t="shared" si="58"/>
        <v>2682</v>
      </c>
      <c r="K517" s="7">
        <f t="shared" si="59"/>
        <v>354647</v>
      </c>
      <c r="L517" s="7">
        <f t="shared" si="59"/>
        <v>709294</v>
      </c>
      <c r="M517" s="4" t="s">
        <v>1585</v>
      </c>
      <c r="N517" s="6" t="s">
        <v>1586</v>
      </c>
      <c r="O517" s="6" t="s">
        <v>55</v>
      </c>
      <c r="P517" s="6" t="s">
        <v>55</v>
      </c>
      <c r="Q517" s="6" t="s">
        <v>1531</v>
      </c>
      <c r="R517" s="6" t="s">
        <v>57</v>
      </c>
      <c r="S517" s="6" t="s">
        <v>56</v>
      </c>
      <c r="T517" s="6" t="s">
        <v>56</v>
      </c>
      <c r="AR517" s="6" t="s">
        <v>55</v>
      </c>
      <c r="AS517" s="6" t="s">
        <v>55</v>
      </c>
      <c r="AU517" s="6" t="s">
        <v>1587</v>
      </c>
      <c r="AV517">
        <v>384</v>
      </c>
    </row>
    <row r="518" spans="1:48" ht="30" customHeight="1" x14ac:dyDescent="0.3">
      <c r="A518" s="4" t="s">
        <v>1588</v>
      </c>
      <c r="B518" s="4" t="s">
        <v>1555</v>
      </c>
      <c r="C518" s="4" t="s">
        <v>81</v>
      </c>
      <c r="D518" s="5">
        <v>13</v>
      </c>
      <c r="E518" s="7">
        <f>TRUNC([1]일위대가목록!E147,0)</f>
        <v>318888</v>
      </c>
      <c r="F518" s="7">
        <f t="shared" si="56"/>
        <v>4145544</v>
      </c>
      <c r="G518" s="7">
        <f>TRUNC([1]일위대가목록!F147,0)</f>
        <v>153585</v>
      </c>
      <c r="H518" s="7">
        <f t="shared" si="57"/>
        <v>1996605</v>
      </c>
      <c r="I518" s="7">
        <f>TRUNC([1]일위대가목록!G147,0)</f>
        <v>4607</v>
      </c>
      <c r="J518" s="7">
        <f t="shared" si="58"/>
        <v>59891</v>
      </c>
      <c r="K518" s="7">
        <f t="shared" si="59"/>
        <v>477080</v>
      </c>
      <c r="L518" s="7">
        <f t="shared" si="59"/>
        <v>6202040</v>
      </c>
      <c r="M518" s="4" t="s">
        <v>1589</v>
      </c>
      <c r="N518" s="6" t="s">
        <v>1590</v>
      </c>
      <c r="O518" s="6" t="s">
        <v>55</v>
      </c>
      <c r="P518" s="6" t="s">
        <v>55</v>
      </c>
      <c r="Q518" s="6" t="s">
        <v>1531</v>
      </c>
      <c r="R518" s="6" t="s">
        <v>57</v>
      </c>
      <c r="S518" s="6" t="s">
        <v>56</v>
      </c>
      <c r="T518" s="6" t="s">
        <v>56</v>
      </c>
      <c r="AR518" s="6" t="s">
        <v>55</v>
      </c>
      <c r="AS518" s="6" t="s">
        <v>55</v>
      </c>
      <c r="AU518" s="6" t="s">
        <v>1591</v>
      </c>
      <c r="AV518">
        <v>388</v>
      </c>
    </row>
    <row r="519" spans="1:48" ht="30" customHeight="1" x14ac:dyDescent="0.3">
      <c r="A519" s="4" t="s">
        <v>1592</v>
      </c>
      <c r="B519" s="4" t="s">
        <v>1555</v>
      </c>
      <c r="C519" s="4" t="s">
        <v>81</v>
      </c>
      <c r="D519" s="5">
        <v>1</v>
      </c>
      <c r="E519" s="7">
        <f>TRUNC([1]일위대가목록!E148,0)</f>
        <v>318888</v>
      </c>
      <c r="F519" s="7">
        <f t="shared" si="56"/>
        <v>318888</v>
      </c>
      <c r="G519" s="7">
        <f>TRUNC([1]일위대가목록!F148,0)</f>
        <v>153585</v>
      </c>
      <c r="H519" s="7">
        <f t="shared" si="57"/>
        <v>153585</v>
      </c>
      <c r="I519" s="7">
        <f>TRUNC([1]일위대가목록!G148,0)</f>
        <v>4607</v>
      </c>
      <c r="J519" s="7">
        <f t="shared" si="58"/>
        <v>4607</v>
      </c>
      <c r="K519" s="7">
        <f t="shared" si="59"/>
        <v>477080</v>
      </c>
      <c r="L519" s="7">
        <f t="shared" si="59"/>
        <v>477080</v>
      </c>
      <c r="M519" s="4" t="s">
        <v>1593</v>
      </c>
      <c r="N519" s="6" t="s">
        <v>1594</v>
      </c>
      <c r="O519" s="6" t="s">
        <v>55</v>
      </c>
      <c r="P519" s="6" t="s">
        <v>55</v>
      </c>
      <c r="Q519" s="6" t="s">
        <v>1531</v>
      </c>
      <c r="R519" s="6" t="s">
        <v>57</v>
      </c>
      <c r="S519" s="6" t="s">
        <v>56</v>
      </c>
      <c r="T519" s="6" t="s">
        <v>56</v>
      </c>
      <c r="AR519" s="6" t="s">
        <v>55</v>
      </c>
      <c r="AS519" s="6" t="s">
        <v>55</v>
      </c>
      <c r="AU519" s="6" t="s">
        <v>1595</v>
      </c>
      <c r="AV519">
        <v>3303</v>
      </c>
    </row>
    <row r="520" spans="1:48" ht="30" customHeight="1" x14ac:dyDescent="0.3">
      <c r="A520" s="4" t="s">
        <v>1596</v>
      </c>
      <c r="B520" s="4" t="s">
        <v>1551</v>
      </c>
      <c r="C520" s="4" t="s">
        <v>81</v>
      </c>
      <c r="D520" s="5">
        <v>8</v>
      </c>
      <c r="E520" s="7">
        <f>TRUNC([1]일위대가목록!E149,0)</f>
        <v>637777</v>
      </c>
      <c r="F520" s="7">
        <f t="shared" si="56"/>
        <v>5102216</v>
      </c>
      <c r="G520" s="7">
        <f>TRUNC([1]일위대가목록!F149,0)</f>
        <v>153585</v>
      </c>
      <c r="H520" s="7">
        <f t="shared" si="57"/>
        <v>1228680</v>
      </c>
      <c r="I520" s="7">
        <f>TRUNC([1]일위대가목록!G149,0)</f>
        <v>4607</v>
      </c>
      <c r="J520" s="7">
        <f t="shared" si="58"/>
        <v>36856</v>
      </c>
      <c r="K520" s="7">
        <f t="shared" si="59"/>
        <v>795969</v>
      </c>
      <c r="L520" s="7">
        <f t="shared" si="59"/>
        <v>6367752</v>
      </c>
      <c r="M520" s="4" t="s">
        <v>1597</v>
      </c>
      <c r="N520" s="6" t="s">
        <v>1598</v>
      </c>
      <c r="O520" s="6" t="s">
        <v>55</v>
      </c>
      <c r="P520" s="6" t="s">
        <v>55</v>
      </c>
      <c r="Q520" s="6" t="s">
        <v>1531</v>
      </c>
      <c r="R520" s="6" t="s">
        <v>57</v>
      </c>
      <c r="S520" s="6" t="s">
        <v>56</v>
      </c>
      <c r="T520" s="6" t="s">
        <v>56</v>
      </c>
      <c r="AR520" s="6" t="s">
        <v>55</v>
      </c>
      <c r="AS520" s="6" t="s">
        <v>55</v>
      </c>
      <c r="AU520" s="6" t="s">
        <v>1599</v>
      </c>
      <c r="AV520">
        <v>389</v>
      </c>
    </row>
    <row r="521" spans="1:48" ht="30" customHeight="1" x14ac:dyDescent="0.3">
      <c r="A521" s="4" t="s">
        <v>1600</v>
      </c>
      <c r="B521" s="4" t="s">
        <v>1551</v>
      </c>
      <c r="C521" s="4" t="s">
        <v>81</v>
      </c>
      <c r="D521" s="5">
        <v>2</v>
      </c>
      <c r="E521" s="7">
        <f>TRUNC([1]일위대가목록!E150,0)</f>
        <v>637777</v>
      </c>
      <c r="F521" s="7">
        <f t="shared" si="56"/>
        <v>1275554</v>
      </c>
      <c r="G521" s="7">
        <f>TRUNC([1]일위대가목록!F150,0)</f>
        <v>153585</v>
      </c>
      <c r="H521" s="7">
        <f t="shared" si="57"/>
        <v>307170</v>
      </c>
      <c r="I521" s="7">
        <f>TRUNC([1]일위대가목록!G150,0)</f>
        <v>4607</v>
      </c>
      <c r="J521" s="7">
        <f t="shared" si="58"/>
        <v>9214</v>
      </c>
      <c r="K521" s="7">
        <f t="shared" si="59"/>
        <v>795969</v>
      </c>
      <c r="L521" s="7">
        <f t="shared" si="59"/>
        <v>1591938</v>
      </c>
      <c r="M521" s="4" t="s">
        <v>1601</v>
      </c>
      <c r="N521" s="6" t="s">
        <v>1602</v>
      </c>
      <c r="O521" s="6" t="s">
        <v>55</v>
      </c>
      <c r="P521" s="6" t="s">
        <v>55</v>
      </c>
      <c r="Q521" s="6" t="s">
        <v>1531</v>
      </c>
      <c r="R521" s="6" t="s">
        <v>57</v>
      </c>
      <c r="S521" s="6" t="s">
        <v>56</v>
      </c>
      <c r="T521" s="6" t="s">
        <v>56</v>
      </c>
      <c r="AR521" s="6" t="s">
        <v>55</v>
      </c>
      <c r="AS521" s="6" t="s">
        <v>55</v>
      </c>
      <c r="AU521" s="6" t="s">
        <v>1603</v>
      </c>
      <c r="AV521">
        <v>390</v>
      </c>
    </row>
    <row r="522" spans="1:48" ht="30" customHeight="1" x14ac:dyDescent="0.3">
      <c r="A522" s="4" t="s">
        <v>1604</v>
      </c>
      <c r="B522" s="4" t="s">
        <v>1605</v>
      </c>
      <c r="C522" s="4" t="s">
        <v>81</v>
      </c>
      <c r="D522" s="5">
        <v>1</v>
      </c>
      <c r="E522" s="7">
        <f>TRUNC([1]일위대가목록!E151,0)</f>
        <v>434848</v>
      </c>
      <c r="F522" s="7">
        <f t="shared" si="56"/>
        <v>434848</v>
      </c>
      <c r="G522" s="7">
        <f>TRUNC([1]일위대가목록!F151,0)</f>
        <v>153585</v>
      </c>
      <c r="H522" s="7">
        <f t="shared" si="57"/>
        <v>153585</v>
      </c>
      <c r="I522" s="7">
        <f>TRUNC([1]일위대가목록!G151,0)</f>
        <v>4607</v>
      </c>
      <c r="J522" s="7">
        <f t="shared" si="58"/>
        <v>4607</v>
      </c>
      <c r="K522" s="7">
        <f t="shared" si="59"/>
        <v>593040</v>
      </c>
      <c r="L522" s="7">
        <f t="shared" si="59"/>
        <v>593040</v>
      </c>
      <c r="M522" s="4" t="s">
        <v>1606</v>
      </c>
      <c r="N522" s="6" t="s">
        <v>1607</v>
      </c>
      <c r="O522" s="6" t="s">
        <v>55</v>
      </c>
      <c r="P522" s="6" t="s">
        <v>55</v>
      </c>
      <c r="Q522" s="6" t="s">
        <v>1531</v>
      </c>
      <c r="R522" s="6" t="s">
        <v>57</v>
      </c>
      <c r="S522" s="6" t="s">
        <v>56</v>
      </c>
      <c r="T522" s="6" t="s">
        <v>56</v>
      </c>
      <c r="AR522" s="6" t="s">
        <v>55</v>
      </c>
      <c r="AS522" s="6" t="s">
        <v>55</v>
      </c>
      <c r="AU522" s="6" t="s">
        <v>1608</v>
      </c>
      <c r="AV522">
        <v>391</v>
      </c>
    </row>
    <row r="523" spans="1:48" ht="30" customHeight="1" x14ac:dyDescent="0.3">
      <c r="A523" s="4" t="s">
        <v>1609</v>
      </c>
      <c r="B523" s="4" t="s">
        <v>1610</v>
      </c>
      <c r="C523" s="4" t="s">
        <v>81</v>
      </c>
      <c r="D523" s="5">
        <v>1</v>
      </c>
      <c r="E523" s="7">
        <f>TRUNC([1]일위대가목록!E152,0)</f>
        <v>217424</v>
      </c>
      <c r="F523" s="7">
        <f t="shared" si="56"/>
        <v>217424</v>
      </c>
      <c r="G523" s="7">
        <f>TRUNC([1]일위대가목록!F152,0)</f>
        <v>153585</v>
      </c>
      <c r="H523" s="7">
        <f t="shared" si="57"/>
        <v>153585</v>
      </c>
      <c r="I523" s="7">
        <f>TRUNC([1]일위대가목록!G152,0)</f>
        <v>4607</v>
      </c>
      <c r="J523" s="7">
        <f t="shared" si="58"/>
        <v>4607</v>
      </c>
      <c r="K523" s="7">
        <f t="shared" si="59"/>
        <v>375616</v>
      </c>
      <c r="L523" s="7">
        <f t="shared" si="59"/>
        <v>375616</v>
      </c>
      <c r="M523" s="4" t="s">
        <v>1611</v>
      </c>
      <c r="N523" s="6" t="s">
        <v>1612</v>
      </c>
      <c r="O523" s="6" t="s">
        <v>55</v>
      </c>
      <c r="P523" s="6" t="s">
        <v>55</v>
      </c>
      <c r="Q523" s="6" t="s">
        <v>1531</v>
      </c>
      <c r="R523" s="6" t="s">
        <v>57</v>
      </c>
      <c r="S523" s="6" t="s">
        <v>56</v>
      </c>
      <c r="T523" s="6" t="s">
        <v>56</v>
      </c>
      <c r="AR523" s="6" t="s">
        <v>55</v>
      </c>
      <c r="AS523" s="6" t="s">
        <v>55</v>
      </c>
      <c r="AU523" s="6" t="s">
        <v>1613</v>
      </c>
      <c r="AV523">
        <v>3304</v>
      </c>
    </row>
    <row r="524" spans="1:48" ht="30" customHeight="1" x14ac:dyDescent="0.3">
      <c r="A524" s="4" t="s">
        <v>1614</v>
      </c>
      <c r="B524" s="4" t="s">
        <v>1576</v>
      </c>
      <c r="C524" s="4" t="s">
        <v>81</v>
      </c>
      <c r="D524" s="5">
        <v>1</v>
      </c>
      <c r="E524" s="7">
        <f>TRUNC([1]일위대가목록!E153,0)</f>
        <v>745453</v>
      </c>
      <c r="F524" s="7">
        <f t="shared" si="56"/>
        <v>745453</v>
      </c>
      <c r="G524" s="7">
        <f>TRUNC([1]일위대가목록!F153,0)</f>
        <v>153585</v>
      </c>
      <c r="H524" s="7">
        <f t="shared" si="57"/>
        <v>153585</v>
      </c>
      <c r="I524" s="7">
        <f>TRUNC([1]일위대가목록!G153,0)</f>
        <v>4607</v>
      </c>
      <c r="J524" s="7">
        <f t="shared" si="58"/>
        <v>4607</v>
      </c>
      <c r="K524" s="7">
        <f t="shared" si="59"/>
        <v>903645</v>
      </c>
      <c r="L524" s="7">
        <f t="shared" si="59"/>
        <v>903645</v>
      </c>
      <c r="M524" s="4" t="s">
        <v>1615</v>
      </c>
      <c r="N524" s="6" t="s">
        <v>1616</v>
      </c>
      <c r="O524" s="6" t="s">
        <v>55</v>
      </c>
      <c r="P524" s="6" t="s">
        <v>55</v>
      </c>
      <c r="Q524" s="6" t="s">
        <v>1531</v>
      </c>
      <c r="R524" s="6" t="s">
        <v>57</v>
      </c>
      <c r="S524" s="6" t="s">
        <v>56</v>
      </c>
      <c r="T524" s="6" t="s">
        <v>56</v>
      </c>
      <c r="AR524" s="6" t="s">
        <v>55</v>
      </c>
      <c r="AS524" s="6" t="s">
        <v>55</v>
      </c>
      <c r="AU524" s="6" t="s">
        <v>1617</v>
      </c>
      <c r="AV524">
        <v>3305</v>
      </c>
    </row>
    <row r="525" spans="1:48" ht="30" customHeight="1" x14ac:dyDescent="0.3">
      <c r="A525" s="4" t="s">
        <v>1618</v>
      </c>
      <c r="B525" s="4" t="s">
        <v>1555</v>
      </c>
      <c r="C525" s="4" t="s">
        <v>81</v>
      </c>
      <c r="D525" s="5">
        <v>13</v>
      </c>
      <c r="E525" s="7">
        <f>TRUNC([1]일위대가목록!E154,0)</f>
        <v>314228</v>
      </c>
      <c r="F525" s="7">
        <f t="shared" si="56"/>
        <v>4084964</v>
      </c>
      <c r="G525" s="7">
        <f>TRUNC([1]일위대가목록!F154,0)</f>
        <v>125089</v>
      </c>
      <c r="H525" s="7">
        <f t="shared" si="57"/>
        <v>1626157</v>
      </c>
      <c r="I525" s="7">
        <f>TRUNC([1]일위대가목록!G154,0)</f>
        <v>0</v>
      </c>
      <c r="J525" s="7">
        <f t="shared" si="58"/>
        <v>0</v>
      </c>
      <c r="K525" s="7">
        <f t="shared" si="59"/>
        <v>439317</v>
      </c>
      <c r="L525" s="7">
        <f t="shared" si="59"/>
        <v>5711121</v>
      </c>
      <c r="M525" s="4" t="s">
        <v>1619</v>
      </c>
      <c r="N525" s="6" t="s">
        <v>1620</v>
      </c>
      <c r="O525" s="6" t="s">
        <v>55</v>
      </c>
      <c r="P525" s="6" t="s">
        <v>55</v>
      </c>
      <c r="Q525" s="6" t="s">
        <v>1531</v>
      </c>
      <c r="R525" s="6" t="s">
        <v>57</v>
      </c>
      <c r="S525" s="6" t="s">
        <v>56</v>
      </c>
      <c r="T525" s="6" t="s">
        <v>56</v>
      </c>
      <c r="AR525" s="6" t="s">
        <v>55</v>
      </c>
      <c r="AS525" s="6" t="s">
        <v>55</v>
      </c>
      <c r="AU525" s="6" t="s">
        <v>1621</v>
      </c>
      <c r="AV525">
        <v>392</v>
      </c>
    </row>
    <row r="526" spans="1:48" ht="30" customHeight="1" x14ac:dyDescent="0.3">
      <c r="A526" s="4" t="s">
        <v>1622</v>
      </c>
      <c r="B526" s="4" t="s">
        <v>1555</v>
      </c>
      <c r="C526" s="4" t="s">
        <v>81</v>
      </c>
      <c r="D526" s="5">
        <v>29</v>
      </c>
      <c r="E526" s="7">
        <f>TRUNC([1]일위대가목록!E155,0)</f>
        <v>314228</v>
      </c>
      <c r="F526" s="7">
        <f t="shared" si="56"/>
        <v>9112612</v>
      </c>
      <c r="G526" s="7">
        <f>TRUNC([1]일위대가목록!F155,0)</f>
        <v>125089</v>
      </c>
      <c r="H526" s="7">
        <f t="shared" si="57"/>
        <v>3627581</v>
      </c>
      <c r="I526" s="7">
        <f>TRUNC([1]일위대가목록!G155,0)</f>
        <v>0</v>
      </c>
      <c r="J526" s="7">
        <f t="shared" si="58"/>
        <v>0</v>
      </c>
      <c r="K526" s="7">
        <f t="shared" si="59"/>
        <v>439317</v>
      </c>
      <c r="L526" s="7">
        <f t="shared" si="59"/>
        <v>12740193</v>
      </c>
      <c r="M526" s="4" t="s">
        <v>1623</v>
      </c>
      <c r="N526" s="6" t="s">
        <v>1624</v>
      </c>
      <c r="O526" s="6" t="s">
        <v>55</v>
      </c>
      <c r="P526" s="6" t="s">
        <v>55</v>
      </c>
      <c r="Q526" s="6" t="s">
        <v>1531</v>
      </c>
      <c r="R526" s="6" t="s">
        <v>57</v>
      </c>
      <c r="S526" s="6" t="s">
        <v>56</v>
      </c>
      <c r="T526" s="6" t="s">
        <v>56</v>
      </c>
      <c r="AR526" s="6" t="s">
        <v>55</v>
      </c>
      <c r="AS526" s="6" t="s">
        <v>55</v>
      </c>
      <c r="AU526" s="6" t="s">
        <v>1625</v>
      </c>
      <c r="AV526">
        <v>393</v>
      </c>
    </row>
    <row r="527" spans="1:48" ht="30" customHeight="1" x14ac:dyDescent="0.3">
      <c r="A527" s="4" t="s">
        <v>1626</v>
      </c>
      <c r="B527" s="4" t="s">
        <v>1551</v>
      </c>
      <c r="C527" s="4" t="s">
        <v>81</v>
      </c>
      <c r="D527" s="5">
        <v>2</v>
      </c>
      <c r="E527" s="7">
        <f>TRUNC([1]일위대가목록!E156,0)</f>
        <v>425222</v>
      </c>
      <c r="F527" s="7">
        <f t="shared" si="56"/>
        <v>850444</v>
      </c>
      <c r="G527" s="7">
        <f>TRUNC([1]일위대가목록!F156,0)</f>
        <v>169745</v>
      </c>
      <c r="H527" s="7">
        <f t="shared" si="57"/>
        <v>339490</v>
      </c>
      <c r="I527" s="7">
        <f>TRUNC([1]일위대가목록!G156,0)</f>
        <v>0</v>
      </c>
      <c r="J527" s="7">
        <f t="shared" si="58"/>
        <v>0</v>
      </c>
      <c r="K527" s="7">
        <f t="shared" si="59"/>
        <v>594967</v>
      </c>
      <c r="L527" s="7">
        <f t="shared" si="59"/>
        <v>1189934</v>
      </c>
      <c r="M527" s="4" t="s">
        <v>1627</v>
      </c>
      <c r="N527" s="6" t="s">
        <v>1628</v>
      </c>
      <c r="O527" s="6" t="s">
        <v>55</v>
      </c>
      <c r="P527" s="6" t="s">
        <v>55</v>
      </c>
      <c r="Q527" s="6" t="s">
        <v>1531</v>
      </c>
      <c r="R527" s="6" t="s">
        <v>57</v>
      </c>
      <c r="S527" s="6" t="s">
        <v>56</v>
      </c>
      <c r="T527" s="6" t="s">
        <v>56</v>
      </c>
      <c r="AR527" s="6" t="s">
        <v>55</v>
      </c>
      <c r="AS527" s="6" t="s">
        <v>55</v>
      </c>
      <c r="AU527" s="6" t="s">
        <v>1629</v>
      </c>
      <c r="AV527">
        <v>394</v>
      </c>
    </row>
    <row r="528" spans="1:48" ht="30" customHeight="1" x14ac:dyDescent="0.3">
      <c r="A528" s="4" t="s">
        <v>1630</v>
      </c>
      <c r="B528" s="4" t="s">
        <v>1631</v>
      </c>
      <c r="C528" s="4" t="s">
        <v>81</v>
      </c>
      <c r="D528" s="5">
        <v>1</v>
      </c>
      <c r="E528" s="7">
        <f>TRUNC([1]일위대가목록!E157,0)</f>
        <v>1208560</v>
      </c>
      <c r="F528" s="7">
        <f t="shared" si="56"/>
        <v>1208560</v>
      </c>
      <c r="G528" s="7">
        <f>TRUNC([1]일위대가목록!F157,0)</f>
        <v>484329</v>
      </c>
      <c r="H528" s="7">
        <f t="shared" si="57"/>
        <v>484329</v>
      </c>
      <c r="I528" s="7">
        <f>TRUNC([1]일위대가목록!G157,0)</f>
        <v>0</v>
      </c>
      <c r="J528" s="7">
        <f t="shared" si="58"/>
        <v>0</v>
      </c>
      <c r="K528" s="7">
        <f t="shared" si="59"/>
        <v>1692889</v>
      </c>
      <c r="L528" s="7">
        <f t="shared" si="59"/>
        <v>1692889</v>
      </c>
      <c r="M528" s="4" t="s">
        <v>1632</v>
      </c>
      <c r="N528" s="6" t="s">
        <v>1633</v>
      </c>
      <c r="O528" s="6" t="s">
        <v>55</v>
      </c>
      <c r="P528" s="6" t="s">
        <v>55</v>
      </c>
      <c r="Q528" s="6" t="s">
        <v>1531</v>
      </c>
      <c r="R528" s="6" t="s">
        <v>57</v>
      </c>
      <c r="S528" s="6" t="s">
        <v>56</v>
      </c>
      <c r="T528" s="6" t="s">
        <v>56</v>
      </c>
      <c r="AR528" s="6" t="s">
        <v>55</v>
      </c>
      <c r="AS528" s="6" t="s">
        <v>55</v>
      </c>
      <c r="AU528" s="6" t="s">
        <v>1634</v>
      </c>
      <c r="AV528">
        <v>3306</v>
      </c>
    </row>
    <row r="529" spans="1:48" ht="30" customHeight="1" x14ac:dyDescent="0.3">
      <c r="A529" s="4" t="s">
        <v>1635</v>
      </c>
      <c r="B529" s="4" t="s">
        <v>1551</v>
      </c>
      <c r="C529" s="4" t="s">
        <v>81</v>
      </c>
      <c r="D529" s="5">
        <v>3</v>
      </c>
      <c r="E529" s="7">
        <f>TRUNC([1]일위대가목록!E158,0)</f>
        <v>425222</v>
      </c>
      <c r="F529" s="7">
        <f t="shared" si="56"/>
        <v>1275666</v>
      </c>
      <c r="G529" s="7">
        <f>TRUNC([1]일위대가목록!F158,0)</f>
        <v>169745</v>
      </c>
      <c r="H529" s="7">
        <f t="shared" si="57"/>
        <v>509235</v>
      </c>
      <c r="I529" s="7">
        <f>TRUNC([1]일위대가목록!G158,0)</f>
        <v>0</v>
      </c>
      <c r="J529" s="7">
        <f t="shared" si="58"/>
        <v>0</v>
      </c>
      <c r="K529" s="7">
        <f t="shared" si="59"/>
        <v>594967</v>
      </c>
      <c r="L529" s="7">
        <f t="shared" si="59"/>
        <v>1784901</v>
      </c>
      <c r="M529" s="4" t="s">
        <v>1636</v>
      </c>
      <c r="N529" s="6" t="s">
        <v>1637</v>
      </c>
      <c r="O529" s="6" t="s">
        <v>55</v>
      </c>
      <c r="P529" s="6" t="s">
        <v>55</v>
      </c>
      <c r="Q529" s="6" t="s">
        <v>1531</v>
      </c>
      <c r="R529" s="6" t="s">
        <v>57</v>
      </c>
      <c r="S529" s="6" t="s">
        <v>56</v>
      </c>
      <c r="T529" s="6" t="s">
        <v>56</v>
      </c>
      <c r="AR529" s="6" t="s">
        <v>55</v>
      </c>
      <c r="AS529" s="6" t="s">
        <v>55</v>
      </c>
      <c r="AU529" s="6" t="s">
        <v>1638</v>
      </c>
      <c r="AV529">
        <v>395</v>
      </c>
    </row>
    <row r="530" spans="1:48" ht="30" customHeight="1" x14ac:dyDescent="0.3">
      <c r="A530" s="4" t="s">
        <v>1639</v>
      </c>
      <c r="B530" s="4" t="s">
        <v>1640</v>
      </c>
      <c r="C530" s="4" t="s">
        <v>81</v>
      </c>
      <c r="D530" s="5">
        <v>1</v>
      </c>
      <c r="E530" s="7">
        <f>TRUNC([1]일위대가목록!E159,0)</f>
        <v>372295</v>
      </c>
      <c r="F530" s="7">
        <f t="shared" si="56"/>
        <v>372295</v>
      </c>
      <c r="G530" s="7">
        <f>TRUNC([1]일위대가목록!F159,0)</f>
        <v>148071</v>
      </c>
      <c r="H530" s="7">
        <f t="shared" si="57"/>
        <v>148071</v>
      </c>
      <c r="I530" s="7">
        <f>TRUNC([1]일위대가목록!G159,0)</f>
        <v>0</v>
      </c>
      <c r="J530" s="7">
        <f t="shared" si="58"/>
        <v>0</v>
      </c>
      <c r="K530" s="7">
        <f t="shared" si="59"/>
        <v>520366</v>
      </c>
      <c r="L530" s="7">
        <f t="shared" si="59"/>
        <v>520366</v>
      </c>
      <c r="M530" s="4" t="s">
        <v>1641</v>
      </c>
      <c r="N530" s="6" t="s">
        <v>1642</v>
      </c>
      <c r="O530" s="6" t="s">
        <v>55</v>
      </c>
      <c r="P530" s="6" t="s">
        <v>55</v>
      </c>
      <c r="Q530" s="6" t="s">
        <v>1531</v>
      </c>
      <c r="R530" s="6" t="s">
        <v>57</v>
      </c>
      <c r="S530" s="6" t="s">
        <v>56</v>
      </c>
      <c r="T530" s="6" t="s">
        <v>56</v>
      </c>
      <c r="AR530" s="6" t="s">
        <v>55</v>
      </c>
      <c r="AS530" s="6" t="s">
        <v>55</v>
      </c>
      <c r="AU530" s="6" t="s">
        <v>1643</v>
      </c>
      <c r="AV530">
        <v>397</v>
      </c>
    </row>
    <row r="531" spans="1:48" ht="30" customHeight="1" x14ac:dyDescent="0.3">
      <c r="A531" s="4" t="s">
        <v>1644</v>
      </c>
      <c r="B531" s="4" t="s">
        <v>1645</v>
      </c>
      <c r="C531" s="4" t="s">
        <v>81</v>
      </c>
      <c r="D531" s="5">
        <v>1</v>
      </c>
      <c r="E531" s="7">
        <f>TRUNC([1]일위대가목록!E160,0)</f>
        <v>2373824</v>
      </c>
      <c r="F531" s="7">
        <f t="shared" si="56"/>
        <v>2373824</v>
      </c>
      <c r="G531" s="7">
        <f>TRUNC([1]일위대가목록!F160,0)</f>
        <v>1001341</v>
      </c>
      <c r="H531" s="7">
        <f t="shared" si="57"/>
        <v>1001341</v>
      </c>
      <c r="I531" s="7">
        <f>TRUNC([1]일위대가목록!G160,0)</f>
        <v>0</v>
      </c>
      <c r="J531" s="7">
        <f t="shared" si="58"/>
        <v>0</v>
      </c>
      <c r="K531" s="7">
        <f t="shared" si="59"/>
        <v>3375165</v>
      </c>
      <c r="L531" s="7">
        <f t="shared" si="59"/>
        <v>3375165</v>
      </c>
      <c r="M531" s="4" t="s">
        <v>1646</v>
      </c>
      <c r="N531" s="6" t="s">
        <v>1647</v>
      </c>
      <c r="O531" s="6" t="s">
        <v>55</v>
      </c>
      <c r="P531" s="6" t="s">
        <v>55</v>
      </c>
      <c r="Q531" s="6" t="s">
        <v>1531</v>
      </c>
      <c r="R531" s="6" t="s">
        <v>57</v>
      </c>
      <c r="S531" s="6" t="s">
        <v>56</v>
      </c>
      <c r="T531" s="6" t="s">
        <v>56</v>
      </c>
      <c r="AR531" s="6" t="s">
        <v>55</v>
      </c>
      <c r="AS531" s="6" t="s">
        <v>55</v>
      </c>
      <c r="AU531" s="6" t="s">
        <v>1648</v>
      </c>
      <c r="AV531">
        <v>398</v>
      </c>
    </row>
    <row r="532" spans="1:48" ht="30" customHeight="1" x14ac:dyDescent="0.3">
      <c r="A532" s="4" t="s">
        <v>1649</v>
      </c>
      <c r="B532" s="4" t="s">
        <v>1650</v>
      </c>
      <c r="C532" s="4" t="s">
        <v>81</v>
      </c>
      <c r="D532" s="5">
        <v>1</v>
      </c>
      <c r="E532" s="7">
        <f>TRUNC([1]일위대가목록!E161,0)</f>
        <v>1467505</v>
      </c>
      <c r="F532" s="7">
        <f t="shared" si="56"/>
        <v>1467505</v>
      </c>
      <c r="G532" s="7">
        <f>TRUNC([1]일위대가목록!F161,0)</f>
        <v>616260</v>
      </c>
      <c r="H532" s="7">
        <f t="shared" si="57"/>
        <v>616260</v>
      </c>
      <c r="I532" s="7">
        <f>TRUNC([1]일위대가목록!G161,0)</f>
        <v>0</v>
      </c>
      <c r="J532" s="7">
        <f t="shared" si="58"/>
        <v>0</v>
      </c>
      <c r="K532" s="7">
        <f t="shared" si="59"/>
        <v>2083765</v>
      </c>
      <c r="L532" s="7">
        <f t="shared" si="59"/>
        <v>2083765</v>
      </c>
      <c r="M532" s="4" t="s">
        <v>1651</v>
      </c>
      <c r="N532" s="6" t="s">
        <v>1652</v>
      </c>
      <c r="O532" s="6" t="s">
        <v>55</v>
      </c>
      <c r="P532" s="6" t="s">
        <v>55</v>
      </c>
      <c r="Q532" s="6" t="s">
        <v>1531</v>
      </c>
      <c r="R532" s="6" t="s">
        <v>57</v>
      </c>
      <c r="S532" s="6" t="s">
        <v>56</v>
      </c>
      <c r="T532" s="6" t="s">
        <v>56</v>
      </c>
      <c r="AR532" s="6" t="s">
        <v>55</v>
      </c>
      <c r="AS532" s="6" t="s">
        <v>55</v>
      </c>
      <c r="AU532" s="6" t="s">
        <v>1653</v>
      </c>
      <c r="AV532">
        <v>399</v>
      </c>
    </row>
    <row r="533" spans="1:48" ht="30" customHeight="1" x14ac:dyDescent="0.3">
      <c r="A533" s="4" t="s">
        <v>1654</v>
      </c>
      <c r="B533" s="4" t="s">
        <v>1655</v>
      </c>
      <c r="C533" s="4" t="s">
        <v>81</v>
      </c>
      <c r="D533" s="5">
        <v>1</v>
      </c>
      <c r="E533" s="7">
        <f>TRUNC([1]일위대가목록!E162,0)</f>
        <v>990311</v>
      </c>
      <c r="F533" s="7">
        <f t="shared" si="56"/>
        <v>990311</v>
      </c>
      <c r="G533" s="7">
        <f>TRUNC([1]일위대가목록!F162,0)</f>
        <v>412004</v>
      </c>
      <c r="H533" s="7">
        <f t="shared" si="57"/>
        <v>412004</v>
      </c>
      <c r="I533" s="7">
        <f>TRUNC([1]일위대가목록!G162,0)</f>
        <v>0</v>
      </c>
      <c r="J533" s="7">
        <f t="shared" si="58"/>
        <v>0</v>
      </c>
      <c r="K533" s="7">
        <f t="shared" si="59"/>
        <v>1402315</v>
      </c>
      <c r="L533" s="7">
        <f t="shared" si="59"/>
        <v>1402315</v>
      </c>
      <c r="M533" s="4" t="s">
        <v>1656</v>
      </c>
      <c r="N533" s="6" t="s">
        <v>1657</v>
      </c>
      <c r="O533" s="6" t="s">
        <v>55</v>
      </c>
      <c r="P533" s="6" t="s">
        <v>55</v>
      </c>
      <c r="Q533" s="6" t="s">
        <v>1531</v>
      </c>
      <c r="R533" s="6" t="s">
        <v>57</v>
      </c>
      <c r="S533" s="6" t="s">
        <v>56</v>
      </c>
      <c r="T533" s="6" t="s">
        <v>56</v>
      </c>
      <c r="AR533" s="6" t="s">
        <v>55</v>
      </c>
      <c r="AS533" s="6" t="s">
        <v>55</v>
      </c>
      <c r="AU533" s="6" t="s">
        <v>1658</v>
      </c>
      <c r="AV533">
        <v>400</v>
      </c>
    </row>
    <row r="534" spans="1:48" ht="30" customHeight="1" x14ac:dyDescent="0.3">
      <c r="A534" s="4" t="s">
        <v>1659</v>
      </c>
      <c r="B534" s="4" t="s">
        <v>1660</v>
      </c>
      <c r="C534" s="4" t="s">
        <v>81</v>
      </c>
      <c r="D534" s="5">
        <v>1</v>
      </c>
      <c r="E534" s="7">
        <f>TRUNC([1]일위대가목록!E163,0)</f>
        <v>2228933</v>
      </c>
      <c r="F534" s="7">
        <f t="shared" si="56"/>
        <v>2228933</v>
      </c>
      <c r="G534" s="7">
        <f>TRUNC([1]일위대가목록!F163,0)</f>
        <v>936355</v>
      </c>
      <c r="H534" s="7">
        <f t="shared" si="57"/>
        <v>936355</v>
      </c>
      <c r="I534" s="7">
        <f>TRUNC([1]일위대가목록!G163,0)</f>
        <v>0</v>
      </c>
      <c r="J534" s="7">
        <f t="shared" si="58"/>
        <v>0</v>
      </c>
      <c r="K534" s="7">
        <f t="shared" si="59"/>
        <v>3165288</v>
      </c>
      <c r="L534" s="7">
        <f t="shared" si="59"/>
        <v>3165288</v>
      </c>
      <c r="M534" s="4" t="s">
        <v>1661</v>
      </c>
      <c r="N534" s="6" t="s">
        <v>1662</v>
      </c>
      <c r="O534" s="6" t="s">
        <v>55</v>
      </c>
      <c r="P534" s="6" t="s">
        <v>55</v>
      </c>
      <c r="Q534" s="6" t="s">
        <v>1531</v>
      </c>
      <c r="R534" s="6" t="s">
        <v>57</v>
      </c>
      <c r="S534" s="6" t="s">
        <v>56</v>
      </c>
      <c r="T534" s="6" t="s">
        <v>56</v>
      </c>
      <c r="AR534" s="6" t="s">
        <v>55</v>
      </c>
      <c r="AS534" s="6" t="s">
        <v>55</v>
      </c>
      <c r="AU534" s="6" t="s">
        <v>1663</v>
      </c>
      <c r="AV534">
        <v>401</v>
      </c>
    </row>
    <row r="535" spans="1:48" ht="30" customHeight="1" x14ac:dyDescent="0.3">
      <c r="A535" s="4" t="s">
        <v>1664</v>
      </c>
      <c r="B535" s="4" t="s">
        <v>1665</v>
      </c>
      <c r="C535" s="4" t="s">
        <v>81</v>
      </c>
      <c r="D535" s="5">
        <v>1</v>
      </c>
      <c r="E535" s="7">
        <f>TRUNC([1]일위대가목록!E164,0)</f>
        <v>2626986</v>
      </c>
      <c r="F535" s="7">
        <f t="shared" si="56"/>
        <v>2626986</v>
      </c>
      <c r="G535" s="7">
        <f>TRUNC([1]일위대가목록!F164,0)</f>
        <v>1104603</v>
      </c>
      <c r="H535" s="7">
        <f t="shared" si="57"/>
        <v>1104603</v>
      </c>
      <c r="I535" s="7">
        <f>TRUNC([1]일위대가목록!G164,0)</f>
        <v>0</v>
      </c>
      <c r="J535" s="7">
        <f t="shared" si="58"/>
        <v>0</v>
      </c>
      <c r="K535" s="7">
        <f t="shared" si="59"/>
        <v>3731589</v>
      </c>
      <c r="L535" s="7">
        <f t="shared" si="59"/>
        <v>3731589</v>
      </c>
      <c r="M535" s="4" t="s">
        <v>1666</v>
      </c>
      <c r="N535" s="6" t="s">
        <v>1667</v>
      </c>
      <c r="O535" s="6" t="s">
        <v>55</v>
      </c>
      <c r="P535" s="6" t="s">
        <v>55</v>
      </c>
      <c r="Q535" s="6" t="s">
        <v>1531</v>
      </c>
      <c r="R535" s="6" t="s">
        <v>57</v>
      </c>
      <c r="S535" s="6" t="s">
        <v>56</v>
      </c>
      <c r="T535" s="6" t="s">
        <v>56</v>
      </c>
      <c r="AR535" s="6" t="s">
        <v>55</v>
      </c>
      <c r="AS535" s="6" t="s">
        <v>55</v>
      </c>
      <c r="AU535" s="6" t="s">
        <v>1668</v>
      </c>
      <c r="AV535">
        <v>402</v>
      </c>
    </row>
    <row r="536" spans="1:48" ht="30" customHeight="1" x14ac:dyDescent="0.3">
      <c r="A536" s="4" t="s">
        <v>1669</v>
      </c>
      <c r="B536" s="4" t="s">
        <v>1670</v>
      </c>
      <c r="C536" s="4" t="s">
        <v>81</v>
      </c>
      <c r="D536" s="5">
        <v>1</v>
      </c>
      <c r="E536" s="7">
        <f>TRUNC([1]일위대가목록!E165,0)</f>
        <v>1805022</v>
      </c>
      <c r="F536" s="7">
        <f t="shared" si="56"/>
        <v>1805022</v>
      </c>
      <c r="G536" s="7">
        <f>TRUNC([1]일위대가목록!F165,0)</f>
        <v>757017</v>
      </c>
      <c r="H536" s="7">
        <f t="shared" si="57"/>
        <v>757017</v>
      </c>
      <c r="I536" s="7">
        <f>TRUNC([1]일위대가목록!G165,0)</f>
        <v>0</v>
      </c>
      <c r="J536" s="7">
        <f t="shared" si="58"/>
        <v>0</v>
      </c>
      <c r="K536" s="7">
        <f t="shared" ref="K536:L567" si="60">TRUNC(E536+G536+I536, 0)</f>
        <v>2562039</v>
      </c>
      <c r="L536" s="7">
        <f t="shared" si="60"/>
        <v>2562039</v>
      </c>
      <c r="M536" s="4" t="s">
        <v>1671</v>
      </c>
      <c r="N536" s="6" t="s">
        <v>1672</v>
      </c>
      <c r="O536" s="6" t="s">
        <v>55</v>
      </c>
      <c r="P536" s="6" t="s">
        <v>55</v>
      </c>
      <c r="Q536" s="6" t="s">
        <v>1531</v>
      </c>
      <c r="R536" s="6" t="s">
        <v>57</v>
      </c>
      <c r="S536" s="6" t="s">
        <v>56</v>
      </c>
      <c r="T536" s="6" t="s">
        <v>56</v>
      </c>
      <c r="AR536" s="6" t="s">
        <v>55</v>
      </c>
      <c r="AS536" s="6" t="s">
        <v>55</v>
      </c>
      <c r="AU536" s="6" t="s">
        <v>1673</v>
      </c>
      <c r="AV536">
        <v>403</v>
      </c>
    </row>
    <row r="537" spans="1:48" ht="30" customHeight="1" x14ac:dyDescent="0.3">
      <c r="A537" s="4" t="s">
        <v>1674</v>
      </c>
      <c r="B537" s="4" t="s">
        <v>1675</v>
      </c>
      <c r="C537" s="4" t="s">
        <v>81</v>
      </c>
      <c r="D537" s="5">
        <v>1</v>
      </c>
      <c r="E537" s="7">
        <f>TRUNC([1]일위대가목록!E166,0)</f>
        <v>2308990</v>
      </c>
      <c r="F537" s="7">
        <f t="shared" si="56"/>
        <v>2308990</v>
      </c>
      <c r="G537" s="7">
        <f>TRUNC([1]일위대가목록!F166,0)</f>
        <v>988791</v>
      </c>
      <c r="H537" s="7">
        <f t="shared" si="57"/>
        <v>988791</v>
      </c>
      <c r="I537" s="7">
        <f>TRUNC([1]일위대가목록!G166,0)</f>
        <v>0</v>
      </c>
      <c r="J537" s="7">
        <f t="shared" si="58"/>
        <v>0</v>
      </c>
      <c r="K537" s="7">
        <f t="shared" si="60"/>
        <v>3297781</v>
      </c>
      <c r="L537" s="7">
        <f t="shared" si="60"/>
        <v>3297781</v>
      </c>
      <c r="M537" s="4" t="s">
        <v>1676</v>
      </c>
      <c r="N537" s="6" t="s">
        <v>1677</v>
      </c>
      <c r="O537" s="6" t="s">
        <v>55</v>
      </c>
      <c r="P537" s="6" t="s">
        <v>55</v>
      </c>
      <c r="Q537" s="6" t="s">
        <v>1531</v>
      </c>
      <c r="R537" s="6" t="s">
        <v>57</v>
      </c>
      <c r="S537" s="6" t="s">
        <v>56</v>
      </c>
      <c r="T537" s="6" t="s">
        <v>56</v>
      </c>
      <c r="AR537" s="6" t="s">
        <v>55</v>
      </c>
      <c r="AS537" s="6" t="s">
        <v>55</v>
      </c>
      <c r="AU537" s="6" t="s">
        <v>1678</v>
      </c>
      <c r="AV537">
        <v>404</v>
      </c>
    </row>
    <row r="538" spans="1:48" ht="30" customHeight="1" x14ac:dyDescent="0.3">
      <c r="A538" s="4" t="s">
        <v>1679</v>
      </c>
      <c r="B538" s="4" t="s">
        <v>1680</v>
      </c>
      <c r="C538" s="4" t="s">
        <v>81</v>
      </c>
      <c r="D538" s="5">
        <v>2</v>
      </c>
      <c r="E538" s="7">
        <f>TRUNC([1]일위대가목록!E167,0)</f>
        <v>1817198</v>
      </c>
      <c r="F538" s="7">
        <f t="shared" si="56"/>
        <v>3634396</v>
      </c>
      <c r="G538" s="7">
        <f>TRUNC([1]일위대가목록!F167,0)</f>
        <v>764417</v>
      </c>
      <c r="H538" s="7">
        <f t="shared" si="57"/>
        <v>1528834</v>
      </c>
      <c r="I538" s="7">
        <f>TRUNC([1]일위대가목록!G167,0)</f>
        <v>0</v>
      </c>
      <c r="J538" s="7">
        <f t="shared" si="58"/>
        <v>0</v>
      </c>
      <c r="K538" s="7">
        <f t="shared" si="60"/>
        <v>2581615</v>
      </c>
      <c r="L538" s="7">
        <f t="shared" si="60"/>
        <v>5163230</v>
      </c>
      <c r="M538" s="4" t="s">
        <v>1681</v>
      </c>
      <c r="N538" s="6" t="s">
        <v>1682</v>
      </c>
      <c r="O538" s="6" t="s">
        <v>55</v>
      </c>
      <c r="P538" s="6" t="s">
        <v>55</v>
      </c>
      <c r="Q538" s="6" t="s">
        <v>1531</v>
      </c>
      <c r="R538" s="6" t="s">
        <v>57</v>
      </c>
      <c r="S538" s="6" t="s">
        <v>56</v>
      </c>
      <c r="T538" s="6" t="s">
        <v>56</v>
      </c>
      <c r="AR538" s="6" t="s">
        <v>55</v>
      </c>
      <c r="AS538" s="6" t="s">
        <v>55</v>
      </c>
      <c r="AU538" s="6" t="s">
        <v>1683</v>
      </c>
      <c r="AV538">
        <v>405</v>
      </c>
    </row>
    <row r="539" spans="1:48" ht="30" customHeight="1" x14ac:dyDescent="0.3">
      <c r="A539" s="4" t="s">
        <v>1684</v>
      </c>
      <c r="B539" s="4" t="s">
        <v>1685</v>
      </c>
      <c r="C539" s="4" t="s">
        <v>81</v>
      </c>
      <c r="D539" s="5">
        <v>2</v>
      </c>
      <c r="E539" s="7">
        <f>TRUNC([1]일위대가목록!E168,0)</f>
        <v>2727795</v>
      </c>
      <c r="F539" s="7">
        <f t="shared" si="56"/>
        <v>5455590</v>
      </c>
      <c r="G539" s="7">
        <f>TRUNC([1]일위대가목록!F168,0)</f>
        <v>1154420</v>
      </c>
      <c r="H539" s="7">
        <f t="shared" si="57"/>
        <v>2308840</v>
      </c>
      <c r="I539" s="7">
        <f>TRUNC([1]일위대가목록!G168,0)</f>
        <v>0</v>
      </c>
      <c r="J539" s="7">
        <f t="shared" si="58"/>
        <v>0</v>
      </c>
      <c r="K539" s="7">
        <f t="shared" si="60"/>
        <v>3882215</v>
      </c>
      <c r="L539" s="7">
        <f t="shared" si="60"/>
        <v>7764430</v>
      </c>
      <c r="M539" s="4" t="s">
        <v>1686</v>
      </c>
      <c r="N539" s="6" t="s">
        <v>1687</v>
      </c>
      <c r="O539" s="6" t="s">
        <v>55</v>
      </c>
      <c r="P539" s="6" t="s">
        <v>55</v>
      </c>
      <c r="Q539" s="6" t="s">
        <v>1531</v>
      </c>
      <c r="R539" s="6" t="s">
        <v>57</v>
      </c>
      <c r="S539" s="6" t="s">
        <v>56</v>
      </c>
      <c r="T539" s="6" t="s">
        <v>56</v>
      </c>
      <c r="AR539" s="6" t="s">
        <v>55</v>
      </c>
      <c r="AS539" s="6" t="s">
        <v>55</v>
      </c>
      <c r="AU539" s="6" t="s">
        <v>1688</v>
      </c>
      <c r="AV539">
        <v>406</v>
      </c>
    </row>
    <row r="540" spans="1:48" ht="30" customHeight="1" x14ac:dyDescent="0.3">
      <c r="A540" s="4" t="s">
        <v>1689</v>
      </c>
      <c r="B540" s="4" t="s">
        <v>1690</v>
      </c>
      <c r="C540" s="4" t="s">
        <v>81</v>
      </c>
      <c r="D540" s="5">
        <v>1</v>
      </c>
      <c r="E540" s="7">
        <f>TRUNC([1]일위대가목록!E169,0)</f>
        <v>1554623</v>
      </c>
      <c r="F540" s="7">
        <f t="shared" si="56"/>
        <v>1554623</v>
      </c>
      <c r="G540" s="7">
        <f>TRUNC([1]일위대가목록!F169,0)</f>
        <v>643464</v>
      </c>
      <c r="H540" s="7">
        <f t="shared" si="57"/>
        <v>643464</v>
      </c>
      <c r="I540" s="7">
        <f>TRUNC([1]일위대가목록!G169,0)</f>
        <v>0</v>
      </c>
      <c r="J540" s="7">
        <f t="shared" si="58"/>
        <v>0</v>
      </c>
      <c r="K540" s="7">
        <f t="shared" si="60"/>
        <v>2198087</v>
      </c>
      <c r="L540" s="7">
        <f t="shared" si="60"/>
        <v>2198087</v>
      </c>
      <c r="M540" s="4" t="s">
        <v>1691</v>
      </c>
      <c r="N540" s="6" t="s">
        <v>1692</v>
      </c>
      <c r="O540" s="6" t="s">
        <v>55</v>
      </c>
      <c r="P540" s="6" t="s">
        <v>55</v>
      </c>
      <c r="Q540" s="6" t="s">
        <v>1531</v>
      </c>
      <c r="R540" s="6" t="s">
        <v>57</v>
      </c>
      <c r="S540" s="6" t="s">
        <v>56</v>
      </c>
      <c r="T540" s="6" t="s">
        <v>56</v>
      </c>
      <c r="AR540" s="6" t="s">
        <v>55</v>
      </c>
      <c r="AS540" s="6" t="s">
        <v>55</v>
      </c>
      <c r="AU540" s="6" t="s">
        <v>1693</v>
      </c>
      <c r="AV540">
        <v>407</v>
      </c>
    </row>
    <row r="541" spans="1:48" ht="30" customHeight="1" x14ac:dyDescent="0.3">
      <c r="A541" s="4" t="s">
        <v>1694</v>
      </c>
      <c r="B541" s="4" t="s">
        <v>1695</v>
      </c>
      <c r="C541" s="4" t="s">
        <v>81</v>
      </c>
      <c r="D541" s="5">
        <v>1</v>
      </c>
      <c r="E541" s="7">
        <f>TRUNC([1]일위대가목록!E170,0)</f>
        <v>2227104</v>
      </c>
      <c r="F541" s="7">
        <f t="shared" si="56"/>
        <v>2227104</v>
      </c>
      <c r="G541" s="7">
        <f>TRUNC([1]일위대가목록!F170,0)</f>
        <v>926385</v>
      </c>
      <c r="H541" s="7">
        <f t="shared" si="57"/>
        <v>926385</v>
      </c>
      <c r="I541" s="7">
        <f>TRUNC([1]일위대가목록!G170,0)</f>
        <v>0</v>
      </c>
      <c r="J541" s="7">
        <f t="shared" si="58"/>
        <v>0</v>
      </c>
      <c r="K541" s="7">
        <f t="shared" si="60"/>
        <v>3153489</v>
      </c>
      <c r="L541" s="7">
        <f t="shared" si="60"/>
        <v>3153489</v>
      </c>
      <c r="M541" s="4" t="s">
        <v>1696</v>
      </c>
      <c r="N541" s="6" t="s">
        <v>1697</v>
      </c>
      <c r="O541" s="6" t="s">
        <v>55</v>
      </c>
      <c r="P541" s="6" t="s">
        <v>55</v>
      </c>
      <c r="Q541" s="6" t="s">
        <v>1531</v>
      </c>
      <c r="R541" s="6" t="s">
        <v>57</v>
      </c>
      <c r="S541" s="6" t="s">
        <v>56</v>
      </c>
      <c r="T541" s="6" t="s">
        <v>56</v>
      </c>
      <c r="AR541" s="6" t="s">
        <v>55</v>
      </c>
      <c r="AS541" s="6" t="s">
        <v>55</v>
      </c>
      <c r="AU541" s="6" t="s">
        <v>1698</v>
      </c>
      <c r="AV541">
        <v>408</v>
      </c>
    </row>
    <row r="542" spans="1:48" ht="30" customHeight="1" x14ac:dyDescent="0.3">
      <c r="A542" s="4" t="s">
        <v>1699</v>
      </c>
      <c r="B542" s="4" t="s">
        <v>1700</v>
      </c>
      <c r="C542" s="4" t="s">
        <v>81</v>
      </c>
      <c r="D542" s="5">
        <v>1</v>
      </c>
      <c r="E542" s="7">
        <f>TRUNC([1]일위대가목록!E171,0)</f>
        <v>599835</v>
      </c>
      <c r="F542" s="7">
        <f t="shared" si="56"/>
        <v>599835</v>
      </c>
      <c r="G542" s="7">
        <f>TRUNC([1]일위대가목록!F171,0)</f>
        <v>238918</v>
      </c>
      <c r="H542" s="7">
        <f t="shared" si="57"/>
        <v>238918</v>
      </c>
      <c r="I542" s="7">
        <f>TRUNC([1]일위대가목록!G171,0)</f>
        <v>0</v>
      </c>
      <c r="J542" s="7">
        <f t="shared" si="58"/>
        <v>0</v>
      </c>
      <c r="K542" s="7">
        <f t="shared" si="60"/>
        <v>838753</v>
      </c>
      <c r="L542" s="7">
        <f t="shared" si="60"/>
        <v>838753</v>
      </c>
      <c r="M542" s="4" t="s">
        <v>1701</v>
      </c>
      <c r="N542" s="6" t="s">
        <v>1702</v>
      </c>
      <c r="O542" s="6" t="s">
        <v>55</v>
      </c>
      <c r="P542" s="6" t="s">
        <v>55</v>
      </c>
      <c r="Q542" s="6" t="s">
        <v>1531</v>
      </c>
      <c r="R542" s="6" t="s">
        <v>57</v>
      </c>
      <c r="S542" s="6" t="s">
        <v>56</v>
      </c>
      <c r="T542" s="6" t="s">
        <v>56</v>
      </c>
      <c r="AR542" s="6" t="s">
        <v>55</v>
      </c>
      <c r="AS542" s="6" t="s">
        <v>55</v>
      </c>
      <c r="AU542" s="6" t="s">
        <v>1703</v>
      </c>
      <c r="AV542">
        <v>410</v>
      </c>
    </row>
    <row r="543" spans="1:48" ht="30" customHeight="1" x14ac:dyDescent="0.3">
      <c r="A543" s="4" t="s">
        <v>1704</v>
      </c>
      <c r="B543" s="4" t="s">
        <v>1705</v>
      </c>
      <c r="C543" s="4" t="s">
        <v>81</v>
      </c>
      <c r="D543" s="5">
        <v>1</v>
      </c>
      <c r="E543" s="7">
        <f>TRUNC([1]일위대가목록!E172,0)</f>
        <v>209422</v>
      </c>
      <c r="F543" s="7">
        <f t="shared" si="56"/>
        <v>209422</v>
      </c>
      <c r="G543" s="7">
        <f>TRUNC([1]일위대가목록!F172,0)</f>
        <v>83875</v>
      </c>
      <c r="H543" s="7">
        <f t="shared" si="57"/>
        <v>83875</v>
      </c>
      <c r="I543" s="7">
        <f>TRUNC([1]일위대가목록!G172,0)</f>
        <v>0</v>
      </c>
      <c r="J543" s="7">
        <f t="shared" si="58"/>
        <v>0</v>
      </c>
      <c r="K543" s="7">
        <f t="shared" si="60"/>
        <v>293297</v>
      </c>
      <c r="L543" s="7">
        <f t="shared" si="60"/>
        <v>293297</v>
      </c>
      <c r="M543" s="4" t="s">
        <v>1706</v>
      </c>
      <c r="N543" s="6" t="s">
        <v>1707</v>
      </c>
      <c r="O543" s="6" t="s">
        <v>55</v>
      </c>
      <c r="P543" s="6" t="s">
        <v>55</v>
      </c>
      <c r="Q543" s="6" t="s">
        <v>1531</v>
      </c>
      <c r="R543" s="6" t="s">
        <v>57</v>
      </c>
      <c r="S543" s="6" t="s">
        <v>56</v>
      </c>
      <c r="T543" s="6" t="s">
        <v>56</v>
      </c>
      <c r="AR543" s="6" t="s">
        <v>55</v>
      </c>
      <c r="AS543" s="6" t="s">
        <v>55</v>
      </c>
      <c r="AU543" s="6" t="s">
        <v>1708</v>
      </c>
      <c r="AV543">
        <v>411</v>
      </c>
    </row>
    <row r="544" spans="1:48" ht="30" customHeight="1" x14ac:dyDescent="0.3">
      <c r="A544" s="4" t="s">
        <v>1709</v>
      </c>
      <c r="B544" s="4" t="s">
        <v>1710</v>
      </c>
      <c r="C544" s="4" t="s">
        <v>81</v>
      </c>
      <c r="D544" s="5">
        <v>1</v>
      </c>
      <c r="E544" s="7">
        <f>TRUNC([1]일위대가목록!E173,0)</f>
        <v>179151</v>
      </c>
      <c r="F544" s="7">
        <f t="shared" si="56"/>
        <v>179151</v>
      </c>
      <c r="G544" s="7">
        <f>TRUNC([1]일위대가목록!F173,0)</f>
        <v>71696</v>
      </c>
      <c r="H544" s="7">
        <f t="shared" si="57"/>
        <v>71696</v>
      </c>
      <c r="I544" s="7">
        <f>TRUNC([1]일위대가목록!G173,0)</f>
        <v>0</v>
      </c>
      <c r="J544" s="7">
        <f t="shared" si="58"/>
        <v>0</v>
      </c>
      <c r="K544" s="7">
        <f t="shared" si="60"/>
        <v>250847</v>
      </c>
      <c r="L544" s="7">
        <f t="shared" si="60"/>
        <v>250847</v>
      </c>
      <c r="M544" s="4" t="s">
        <v>1711</v>
      </c>
      <c r="N544" s="6" t="s">
        <v>1712</v>
      </c>
      <c r="O544" s="6" t="s">
        <v>55</v>
      </c>
      <c r="P544" s="6" t="s">
        <v>55</v>
      </c>
      <c r="Q544" s="6" t="s">
        <v>1531</v>
      </c>
      <c r="R544" s="6" t="s">
        <v>57</v>
      </c>
      <c r="S544" s="6" t="s">
        <v>56</v>
      </c>
      <c r="T544" s="6" t="s">
        <v>56</v>
      </c>
      <c r="AR544" s="6" t="s">
        <v>55</v>
      </c>
      <c r="AS544" s="6" t="s">
        <v>55</v>
      </c>
      <c r="AU544" s="6" t="s">
        <v>1713</v>
      </c>
      <c r="AV544">
        <v>412</v>
      </c>
    </row>
    <row r="545" spans="1:48" ht="30" customHeight="1" x14ac:dyDescent="0.3">
      <c r="A545" s="4" t="s">
        <v>1714</v>
      </c>
      <c r="B545" s="4" t="s">
        <v>1715</v>
      </c>
      <c r="C545" s="4" t="s">
        <v>61</v>
      </c>
      <c r="D545" s="5">
        <v>2</v>
      </c>
      <c r="E545" s="7">
        <f>TRUNC([1]일위대가목록!E174,0)</f>
        <v>0</v>
      </c>
      <c r="F545" s="7">
        <f t="shared" si="56"/>
        <v>0</v>
      </c>
      <c r="G545" s="7">
        <f>TRUNC([1]일위대가목록!F174,0)</f>
        <v>24699</v>
      </c>
      <c r="H545" s="7">
        <f t="shared" si="57"/>
        <v>49398</v>
      </c>
      <c r="I545" s="7">
        <f>TRUNC([1]일위대가목록!G174,0)</f>
        <v>0</v>
      </c>
      <c r="J545" s="7">
        <f t="shared" si="58"/>
        <v>0</v>
      </c>
      <c r="K545" s="7">
        <f t="shared" si="60"/>
        <v>24699</v>
      </c>
      <c r="L545" s="7">
        <f t="shared" si="60"/>
        <v>49398</v>
      </c>
      <c r="M545" s="4" t="s">
        <v>1716</v>
      </c>
      <c r="N545" s="6" t="s">
        <v>1717</v>
      </c>
      <c r="O545" s="6" t="s">
        <v>55</v>
      </c>
      <c r="P545" s="6" t="s">
        <v>55</v>
      </c>
      <c r="Q545" s="6" t="s">
        <v>1531</v>
      </c>
      <c r="R545" s="6" t="s">
        <v>57</v>
      </c>
      <c r="S545" s="6" t="s">
        <v>56</v>
      </c>
      <c r="T545" s="6" t="s">
        <v>56</v>
      </c>
      <c r="AR545" s="6" t="s">
        <v>55</v>
      </c>
      <c r="AS545" s="6" t="s">
        <v>55</v>
      </c>
      <c r="AU545" s="6" t="s">
        <v>1718</v>
      </c>
      <c r="AV545">
        <v>416</v>
      </c>
    </row>
    <row r="546" spans="1:48" ht="30" customHeight="1" x14ac:dyDescent="0.3">
      <c r="A546" s="4" t="s">
        <v>55</v>
      </c>
      <c r="B546" s="4" t="s">
        <v>55</v>
      </c>
      <c r="C546" s="4" t="s">
        <v>55</v>
      </c>
      <c r="D546" s="5"/>
      <c r="E546" s="7">
        <f>TRUNC([1]단가대비표!O375,0)</f>
        <v>0</v>
      </c>
      <c r="F546" s="7">
        <f t="shared" si="56"/>
        <v>0</v>
      </c>
      <c r="G546" s="7">
        <f>TRUNC([1]단가대비표!P375,0)</f>
        <v>0</v>
      </c>
      <c r="H546" s="7">
        <f t="shared" si="57"/>
        <v>0</v>
      </c>
      <c r="I546" s="7">
        <f>TRUNC([1]단가대비표!V375,0)</f>
        <v>0</v>
      </c>
      <c r="J546" s="7">
        <f t="shared" si="58"/>
        <v>0</v>
      </c>
      <c r="K546" s="7">
        <f t="shared" si="60"/>
        <v>0</v>
      </c>
      <c r="L546" s="7">
        <f t="shared" si="60"/>
        <v>0</v>
      </c>
      <c r="M546" s="4" t="s">
        <v>55</v>
      </c>
      <c r="N546" s="6" t="s">
        <v>1719</v>
      </c>
      <c r="O546" s="6" t="s">
        <v>55</v>
      </c>
      <c r="P546" s="6" t="s">
        <v>55</v>
      </c>
      <c r="Q546" s="6" t="s">
        <v>1531</v>
      </c>
      <c r="R546" s="6" t="s">
        <v>56</v>
      </c>
      <c r="S546" s="6" t="s">
        <v>56</v>
      </c>
      <c r="T546" s="6" t="s">
        <v>57</v>
      </c>
      <c r="AR546" s="6" t="s">
        <v>55</v>
      </c>
      <c r="AS546" s="6" t="s">
        <v>55</v>
      </c>
      <c r="AU546" s="6" t="s">
        <v>1720</v>
      </c>
      <c r="AV546">
        <v>1333</v>
      </c>
    </row>
    <row r="547" spans="1:48" ht="30" customHeight="1" x14ac:dyDescent="0.3">
      <c r="A547" s="4" t="s">
        <v>1721</v>
      </c>
      <c r="B547" s="4" t="s">
        <v>55</v>
      </c>
      <c r="C547" s="4" t="s">
        <v>55</v>
      </c>
      <c r="D547" s="5"/>
      <c r="E547" s="7">
        <f>TRUNC([1]단가대비표!O376,0)</f>
        <v>0</v>
      </c>
      <c r="F547" s="7">
        <f t="shared" si="56"/>
        <v>0</v>
      </c>
      <c r="G547" s="7">
        <f>TRUNC([1]단가대비표!P376,0)</f>
        <v>0</v>
      </c>
      <c r="H547" s="7">
        <f t="shared" si="57"/>
        <v>0</v>
      </c>
      <c r="I547" s="7">
        <f>TRUNC([1]단가대비표!V376,0)</f>
        <v>0</v>
      </c>
      <c r="J547" s="7">
        <f t="shared" si="58"/>
        <v>0</v>
      </c>
      <c r="K547" s="7">
        <f t="shared" si="60"/>
        <v>0</v>
      </c>
      <c r="L547" s="7">
        <f t="shared" si="60"/>
        <v>0</v>
      </c>
      <c r="M547" s="4" t="s">
        <v>55</v>
      </c>
      <c r="N547" s="6" t="s">
        <v>1722</v>
      </c>
      <c r="O547" s="6" t="s">
        <v>55</v>
      </c>
      <c r="P547" s="6" t="s">
        <v>55</v>
      </c>
      <c r="Q547" s="6" t="s">
        <v>1531</v>
      </c>
      <c r="R547" s="6" t="s">
        <v>56</v>
      </c>
      <c r="S547" s="6" t="s">
        <v>56</v>
      </c>
      <c r="T547" s="6" t="s">
        <v>57</v>
      </c>
      <c r="AR547" s="6" t="s">
        <v>55</v>
      </c>
      <c r="AS547" s="6" t="s">
        <v>55</v>
      </c>
      <c r="AU547" s="6" t="s">
        <v>1723</v>
      </c>
      <c r="AV547">
        <v>1334</v>
      </c>
    </row>
    <row r="548" spans="1:48" ht="30" customHeight="1" x14ac:dyDescent="0.3">
      <c r="A548" s="4" t="s">
        <v>1724</v>
      </c>
      <c r="B548" s="4" t="s">
        <v>1725</v>
      </c>
      <c r="C548" s="4" t="s">
        <v>1726</v>
      </c>
      <c r="D548" s="5">
        <v>207</v>
      </c>
      <c r="E548" s="7">
        <f>TRUNC([1]단가대비표!O377,0)</f>
        <v>7500</v>
      </c>
      <c r="F548" s="7">
        <f t="shared" si="56"/>
        <v>1552500</v>
      </c>
      <c r="G548" s="7">
        <f>TRUNC([1]단가대비표!P377,0)</f>
        <v>0</v>
      </c>
      <c r="H548" s="7">
        <f t="shared" si="57"/>
        <v>0</v>
      </c>
      <c r="I548" s="7">
        <f>TRUNC([1]단가대비표!V377,0)</f>
        <v>0</v>
      </c>
      <c r="J548" s="7">
        <f t="shared" si="58"/>
        <v>0</v>
      </c>
      <c r="K548" s="7">
        <f t="shared" si="60"/>
        <v>7500</v>
      </c>
      <c r="L548" s="7">
        <f t="shared" si="60"/>
        <v>1552500</v>
      </c>
      <c r="M548" s="4" t="s">
        <v>115</v>
      </c>
      <c r="N548" s="6" t="s">
        <v>1727</v>
      </c>
      <c r="O548" s="6" t="s">
        <v>55</v>
      </c>
      <c r="P548" s="6" t="s">
        <v>55</v>
      </c>
      <c r="Q548" s="6" t="s">
        <v>1531</v>
      </c>
      <c r="R548" s="6" t="s">
        <v>56</v>
      </c>
      <c r="S548" s="6" t="s">
        <v>56</v>
      </c>
      <c r="T548" s="6" t="s">
        <v>57</v>
      </c>
      <c r="AR548" s="6" t="s">
        <v>55</v>
      </c>
      <c r="AS548" s="6" t="s">
        <v>55</v>
      </c>
      <c r="AU548" s="6" t="s">
        <v>1728</v>
      </c>
      <c r="AV548">
        <v>1337</v>
      </c>
    </row>
    <row r="549" spans="1:48" ht="30" customHeight="1" x14ac:dyDescent="0.3">
      <c r="A549" s="4" t="s">
        <v>1729</v>
      </c>
      <c r="B549" s="4" t="s">
        <v>1730</v>
      </c>
      <c r="C549" s="4" t="s">
        <v>1726</v>
      </c>
      <c r="D549" s="5">
        <v>129</v>
      </c>
      <c r="E549" s="7">
        <f>TRUNC([1]단가대비표!O378,0)</f>
        <v>8500</v>
      </c>
      <c r="F549" s="7">
        <f t="shared" si="56"/>
        <v>1096500</v>
      </c>
      <c r="G549" s="7">
        <f>TRUNC([1]단가대비표!P378,0)</f>
        <v>0</v>
      </c>
      <c r="H549" s="7">
        <f t="shared" si="57"/>
        <v>0</v>
      </c>
      <c r="I549" s="7">
        <f>TRUNC([1]단가대비표!V378,0)</f>
        <v>0</v>
      </c>
      <c r="J549" s="7">
        <f t="shared" si="58"/>
        <v>0</v>
      </c>
      <c r="K549" s="7">
        <f t="shared" si="60"/>
        <v>8500</v>
      </c>
      <c r="L549" s="7">
        <f t="shared" si="60"/>
        <v>1096500</v>
      </c>
      <c r="M549" s="4" t="s">
        <v>115</v>
      </c>
      <c r="N549" s="6" t="s">
        <v>1731</v>
      </c>
      <c r="O549" s="6" t="s">
        <v>55</v>
      </c>
      <c r="P549" s="6" t="s">
        <v>55</v>
      </c>
      <c r="Q549" s="6" t="s">
        <v>1531</v>
      </c>
      <c r="R549" s="6" t="s">
        <v>56</v>
      </c>
      <c r="S549" s="6" t="s">
        <v>56</v>
      </c>
      <c r="T549" s="6" t="s">
        <v>57</v>
      </c>
      <c r="AR549" s="6" t="s">
        <v>55</v>
      </c>
      <c r="AS549" s="6" t="s">
        <v>55</v>
      </c>
      <c r="AU549" s="6" t="s">
        <v>1732</v>
      </c>
      <c r="AV549">
        <v>1338</v>
      </c>
    </row>
    <row r="550" spans="1:48" ht="30" customHeight="1" x14ac:dyDescent="0.3">
      <c r="A550" s="4" t="s">
        <v>1733</v>
      </c>
      <c r="B550" s="4" t="s">
        <v>1734</v>
      </c>
      <c r="C550" s="4" t="s">
        <v>1726</v>
      </c>
      <c r="D550" s="5">
        <v>381</v>
      </c>
      <c r="E550" s="7">
        <f>TRUNC([1]단가대비표!O379,0)</f>
        <v>9500</v>
      </c>
      <c r="F550" s="7">
        <f t="shared" si="56"/>
        <v>3619500</v>
      </c>
      <c r="G550" s="7">
        <f>TRUNC([1]단가대비표!P379,0)</f>
        <v>0</v>
      </c>
      <c r="H550" s="7">
        <f t="shared" si="57"/>
        <v>0</v>
      </c>
      <c r="I550" s="7">
        <f>TRUNC([1]단가대비표!V379,0)</f>
        <v>0</v>
      </c>
      <c r="J550" s="7">
        <f t="shared" si="58"/>
        <v>0</v>
      </c>
      <c r="K550" s="7">
        <f t="shared" si="60"/>
        <v>9500</v>
      </c>
      <c r="L550" s="7">
        <f t="shared" si="60"/>
        <v>3619500</v>
      </c>
      <c r="M550" s="4" t="s">
        <v>115</v>
      </c>
      <c r="N550" s="6" t="s">
        <v>1735</v>
      </c>
      <c r="O550" s="6" t="s">
        <v>55</v>
      </c>
      <c r="P550" s="6" t="s">
        <v>55</v>
      </c>
      <c r="Q550" s="6" t="s">
        <v>1531</v>
      </c>
      <c r="R550" s="6" t="s">
        <v>56</v>
      </c>
      <c r="S550" s="6" t="s">
        <v>56</v>
      </c>
      <c r="T550" s="6" t="s">
        <v>57</v>
      </c>
      <c r="AR550" s="6" t="s">
        <v>55</v>
      </c>
      <c r="AS550" s="6" t="s">
        <v>55</v>
      </c>
      <c r="AU550" s="6" t="s">
        <v>1736</v>
      </c>
      <c r="AV550">
        <v>1339</v>
      </c>
    </row>
    <row r="551" spans="1:48" ht="30" customHeight="1" x14ac:dyDescent="0.3">
      <c r="A551" s="4" t="s">
        <v>1737</v>
      </c>
      <c r="B551" s="4" t="s">
        <v>1738</v>
      </c>
      <c r="C551" s="4" t="s">
        <v>1726</v>
      </c>
      <c r="D551" s="5">
        <v>28</v>
      </c>
      <c r="E551" s="7">
        <f>TRUNC([1]단가대비표!O380,0)</f>
        <v>9500</v>
      </c>
      <c r="F551" s="7">
        <f t="shared" si="56"/>
        <v>266000</v>
      </c>
      <c r="G551" s="7">
        <f>TRUNC([1]단가대비표!P380,0)</f>
        <v>0</v>
      </c>
      <c r="H551" s="7">
        <f t="shared" si="57"/>
        <v>0</v>
      </c>
      <c r="I551" s="7">
        <f>TRUNC([1]단가대비표!V380,0)</f>
        <v>0</v>
      </c>
      <c r="J551" s="7">
        <f t="shared" si="58"/>
        <v>0</v>
      </c>
      <c r="K551" s="7">
        <f t="shared" si="60"/>
        <v>9500</v>
      </c>
      <c r="L551" s="7">
        <f t="shared" si="60"/>
        <v>266000</v>
      </c>
      <c r="M551" s="4" t="s">
        <v>115</v>
      </c>
      <c r="N551" s="6" t="s">
        <v>1739</v>
      </c>
      <c r="O551" s="6" t="s">
        <v>55</v>
      </c>
      <c r="P551" s="6" t="s">
        <v>55</v>
      </c>
      <c r="Q551" s="6" t="s">
        <v>1531</v>
      </c>
      <c r="R551" s="6" t="s">
        <v>56</v>
      </c>
      <c r="S551" s="6" t="s">
        <v>56</v>
      </c>
      <c r="T551" s="6" t="s">
        <v>57</v>
      </c>
      <c r="AR551" s="6" t="s">
        <v>55</v>
      </c>
      <c r="AS551" s="6" t="s">
        <v>55</v>
      </c>
      <c r="AU551" s="6" t="s">
        <v>1740</v>
      </c>
      <c r="AV551">
        <v>1340</v>
      </c>
    </row>
    <row r="552" spans="1:48" ht="30" customHeight="1" x14ac:dyDescent="0.3">
      <c r="A552" s="4" t="s">
        <v>1741</v>
      </c>
      <c r="B552" s="4" t="s">
        <v>1742</v>
      </c>
      <c r="C552" s="4" t="s">
        <v>1726</v>
      </c>
      <c r="D552" s="5">
        <v>62</v>
      </c>
      <c r="E552" s="7">
        <f>TRUNC([1]단가대비표!O381,0)</f>
        <v>23000</v>
      </c>
      <c r="F552" s="7">
        <f t="shared" si="56"/>
        <v>1426000</v>
      </c>
      <c r="G552" s="7">
        <f>TRUNC([1]단가대비표!P381,0)</f>
        <v>0</v>
      </c>
      <c r="H552" s="7">
        <f t="shared" si="57"/>
        <v>0</v>
      </c>
      <c r="I552" s="7">
        <f>TRUNC([1]단가대비표!V381,0)</f>
        <v>0</v>
      </c>
      <c r="J552" s="7">
        <f t="shared" si="58"/>
        <v>0</v>
      </c>
      <c r="K552" s="7">
        <f t="shared" si="60"/>
        <v>23000</v>
      </c>
      <c r="L552" s="7">
        <f t="shared" si="60"/>
        <v>1426000</v>
      </c>
      <c r="M552" s="4" t="s">
        <v>115</v>
      </c>
      <c r="N552" s="6" t="s">
        <v>1743</v>
      </c>
      <c r="O552" s="6" t="s">
        <v>55</v>
      </c>
      <c r="P552" s="6" t="s">
        <v>55</v>
      </c>
      <c r="Q552" s="6" t="s">
        <v>1531</v>
      </c>
      <c r="R552" s="6" t="s">
        <v>56</v>
      </c>
      <c r="S552" s="6" t="s">
        <v>56</v>
      </c>
      <c r="T552" s="6" t="s">
        <v>57</v>
      </c>
      <c r="AR552" s="6" t="s">
        <v>55</v>
      </c>
      <c r="AS552" s="6" t="s">
        <v>55</v>
      </c>
      <c r="AU552" s="6" t="s">
        <v>1744</v>
      </c>
      <c r="AV552">
        <v>1341</v>
      </c>
    </row>
    <row r="553" spans="1:48" ht="30" customHeight="1" x14ac:dyDescent="0.3">
      <c r="A553" s="4" t="s">
        <v>1745</v>
      </c>
      <c r="B553" s="4" t="s">
        <v>1746</v>
      </c>
      <c r="C553" s="4" t="s">
        <v>1726</v>
      </c>
      <c r="D553" s="5">
        <v>50</v>
      </c>
      <c r="E553" s="7">
        <f>TRUNC([1]단가대비표!O382,0)</f>
        <v>76000</v>
      </c>
      <c r="F553" s="7">
        <f t="shared" si="56"/>
        <v>3800000</v>
      </c>
      <c r="G553" s="7">
        <f>TRUNC([1]단가대비표!P382,0)</f>
        <v>0</v>
      </c>
      <c r="H553" s="7">
        <f t="shared" si="57"/>
        <v>0</v>
      </c>
      <c r="I553" s="7">
        <f>TRUNC([1]단가대비표!V382,0)</f>
        <v>0</v>
      </c>
      <c r="J553" s="7">
        <f t="shared" si="58"/>
        <v>0</v>
      </c>
      <c r="K553" s="7">
        <f t="shared" si="60"/>
        <v>76000</v>
      </c>
      <c r="L553" s="7">
        <f t="shared" si="60"/>
        <v>3800000</v>
      </c>
      <c r="M553" s="4" t="s">
        <v>115</v>
      </c>
      <c r="N553" s="6" t="s">
        <v>1747</v>
      </c>
      <c r="O553" s="6" t="s">
        <v>55</v>
      </c>
      <c r="P553" s="6" t="s">
        <v>55</v>
      </c>
      <c r="Q553" s="6" t="s">
        <v>1531</v>
      </c>
      <c r="R553" s="6" t="s">
        <v>56</v>
      </c>
      <c r="S553" s="6" t="s">
        <v>56</v>
      </c>
      <c r="T553" s="6" t="s">
        <v>57</v>
      </c>
      <c r="AR553" s="6" t="s">
        <v>55</v>
      </c>
      <c r="AS553" s="6" t="s">
        <v>55</v>
      </c>
      <c r="AU553" s="6" t="s">
        <v>1748</v>
      </c>
      <c r="AV553">
        <v>1342</v>
      </c>
    </row>
    <row r="554" spans="1:48" ht="30" customHeight="1" x14ac:dyDescent="0.3">
      <c r="A554" s="4" t="s">
        <v>1745</v>
      </c>
      <c r="B554" s="4" t="s">
        <v>1749</v>
      </c>
      <c r="C554" s="4" t="s">
        <v>1726</v>
      </c>
      <c r="D554" s="5">
        <v>66</v>
      </c>
      <c r="E554" s="7">
        <f>TRUNC([1]단가대비표!O383,0)</f>
        <v>20000</v>
      </c>
      <c r="F554" s="7">
        <f t="shared" si="56"/>
        <v>1320000</v>
      </c>
      <c r="G554" s="7">
        <f>TRUNC([1]단가대비표!P383,0)</f>
        <v>0</v>
      </c>
      <c r="H554" s="7">
        <f t="shared" si="57"/>
        <v>0</v>
      </c>
      <c r="I554" s="7">
        <f>TRUNC([1]단가대비표!V383,0)</f>
        <v>0</v>
      </c>
      <c r="J554" s="7">
        <f t="shared" si="58"/>
        <v>0</v>
      </c>
      <c r="K554" s="7">
        <f t="shared" si="60"/>
        <v>20000</v>
      </c>
      <c r="L554" s="7">
        <f t="shared" si="60"/>
        <v>1320000</v>
      </c>
      <c r="M554" s="4" t="s">
        <v>115</v>
      </c>
      <c r="N554" s="6" t="s">
        <v>1750</v>
      </c>
      <c r="O554" s="6" t="s">
        <v>55</v>
      </c>
      <c r="P554" s="6" t="s">
        <v>55</v>
      </c>
      <c r="Q554" s="6" t="s">
        <v>1531</v>
      </c>
      <c r="R554" s="6" t="s">
        <v>56</v>
      </c>
      <c r="S554" s="6" t="s">
        <v>56</v>
      </c>
      <c r="T554" s="6" t="s">
        <v>57</v>
      </c>
      <c r="AR554" s="6" t="s">
        <v>55</v>
      </c>
      <c r="AS554" s="6" t="s">
        <v>55</v>
      </c>
      <c r="AU554" s="6" t="s">
        <v>1751</v>
      </c>
      <c r="AV554">
        <v>1343</v>
      </c>
    </row>
    <row r="555" spans="1:48" ht="30" customHeight="1" x14ac:dyDescent="0.3">
      <c r="A555" s="4" t="s">
        <v>1745</v>
      </c>
      <c r="B555" s="4" t="s">
        <v>1752</v>
      </c>
      <c r="C555" s="4" t="s">
        <v>1726</v>
      </c>
      <c r="D555" s="5">
        <v>30</v>
      </c>
      <c r="E555" s="7">
        <f>TRUNC([1]단가대비표!O384,0)</f>
        <v>135000</v>
      </c>
      <c r="F555" s="7">
        <f t="shared" si="56"/>
        <v>4050000</v>
      </c>
      <c r="G555" s="7">
        <f>TRUNC([1]단가대비표!P384,0)</f>
        <v>0</v>
      </c>
      <c r="H555" s="7">
        <f t="shared" si="57"/>
        <v>0</v>
      </c>
      <c r="I555" s="7">
        <f>TRUNC([1]단가대비표!V384,0)</f>
        <v>0</v>
      </c>
      <c r="J555" s="7">
        <f t="shared" si="58"/>
        <v>0</v>
      </c>
      <c r="K555" s="7">
        <f t="shared" si="60"/>
        <v>135000</v>
      </c>
      <c r="L555" s="7">
        <f t="shared" si="60"/>
        <v>4050000</v>
      </c>
      <c r="M555" s="4" t="s">
        <v>115</v>
      </c>
      <c r="N555" s="6" t="s">
        <v>1753</v>
      </c>
      <c r="O555" s="6" t="s">
        <v>55</v>
      </c>
      <c r="P555" s="6" t="s">
        <v>55</v>
      </c>
      <c r="Q555" s="6" t="s">
        <v>1531</v>
      </c>
      <c r="R555" s="6" t="s">
        <v>56</v>
      </c>
      <c r="S555" s="6" t="s">
        <v>56</v>
      </c>
      <c r="T555" s="6" t="s">
        <v>57</v>
      </c>
      <c r="AR555" s="6" t="s">
        <v>55</v>
      </c>
      <c r="AS555" s="6" t="s">
        <v>55</v>
      </c>
      <c r="AU555" s="6" t="s">
        <v>1754</v>
      </c>
      <c r="AV555">
        <v>1344</v>
      </c>
    </row>
    <row r="556" spans="1:48" ht="30" customHeight="1" x14ac:dyDescent="0.3">
      <c r="A556" s="4" t="s">
        <v>1755</v>
      </c>
      <c r="B556" s="4" t="s">
        <v>1756</v>
      </c>
      <c r="C556" s="4" t="s">
        <v>1726</v>
      </c>
      <c r="D556" s="5">
        <v>5</v>
      </c>
      <c r="E556" s="7">
        <f>TRUNC([1]단가대비표!O385,0)</f>
        <v>42000</v>
      </c>
      <c r="F556" s="7">
        <f t="shared" si="56"/>
        <v>210000</v>
      </c>
      <c r="G556" s="7">
        <f>TRUNC([1]단가대비표!P385,0)</f>
        <v>0</v>
      </c>
      <c r="H556" s="7">
        <f t="shared" si="57"/>
        <v>0</v>
      </c>
      <c r="I556" s="7">
        <f>TRUNC([1]단가대비표!V385,0)</f>
        <v>0</v>
      </c>
      <c r="J556" s="7">
        <f t="shared" si="58"/>
        <v>0</v>
      </c>
      <c r="K556" s="7">
        <f t="shared" si="60"/>
        <v>42000</v>
      </c>
      <c r="L556" s="7">
        <f t="shared" si="60"/>
        <v>210000</v>
      </c>
      <c r="M556" s="4" t="s">
        <v>115</v>
      </c>
      <c r="N556" s="6" t="s">
        <v>1757</v>
      </c>
      <c r="O556" s="6" t="s">
        <v>55</v>
      </c>
      <c r="P556" s="6" t="s">
        <v>55</v>
      </c>
      <c r="Q556" s="6" t="s">
        <v>1531</v>
      </c>
      <c r="R556" s="6" t="s">
        <v>56</v>
      </c>
      <c r="S556" s="6" t="s">
        <v>56</v>
      </c>
      <c r="T556" s="6" t="s">
        <v>57</v>
      </c>
      <c r="AR556" s="6" t="s">
        <v>55</v>
      </c>
      <c r="AS556" s="6" t="s">
        <v>55</v>
      </c>
      <c r="AU556" s="6" t="s">
        <v>1758</v>
      </c>
      <c r="AV556">
        <v>1345</v>
      </c>
    </row>
    <row r="557" spans="1:48" ht="30" customHeight="1" x14ac:dyDescent="0.3">
      <c r="A557" s="4" t="s">
        <v>1759</v>
      </c>
      <c r="B557" s="4" t="s">
        <v>1760</v>
      </c>
      <c r="C557" s="4" t="s">
        <v>1726</v>
      </c>
      <c r="D557" s="5">
        <v>82</v>
      </c>
      <c r="E557" s="7">
        <f>TRUNC([1]단가대비표!O386,0)</f>
        <v>7500</v>
      </c>
      <c r="F557" s="7">
        <f t="shared" si="56"/>
        <v>615000</v>
      </c>
      <c r="G557" s="7">
        <f>TRUNC([1]단가대비표!P386,0)</f>
        <v>0</v>
      </c>
      <c r="H557" s="7">
        <f t="shared" si="57"/>
        <v>0</v>
      </c>
      <c r="I557" s="7">
        <f>TRUNC([1]단가대비표!V386,0)</f>
        <v>0</v>
      </c>
      <c r="J557" s="7">
        <f t="shared" si="58"/>
        <v>0</v>
      </c>
      <c r="K557" s="7">
        <f t="shared" si="60"/>
        <v>7500</v>
      </c>
      <c r="L557" s="7">
        <f t="shared" si="60"/>
        <v>615000</v>
      </c>
      <c r="M557" s="4" t="s">
        <v>115</v>
      </c>
      <c r="N557" s="6" t="s">
        <v>1761</v>
      </c>
      <c r="O557" s="6" t="s">
        <v>55</v>
      </c>
      <c r="P557" s="6" t="s">
        <v>55</v>
      </c>
      <c r="Q557" s="6" t="s">
        <v>1531</v>
      </c>
      <c r="R557" s="6" t="s">
        <v>56</v>
      </c>
      <c r="S557" s="6" t="s">
        <v>56</v>
      </c>
      <c r="T557" s="6" t="s">
        <v>57</v>
      </c>
      <c r="AR557" s="6" t="s">
        <v>55</v>
      </c>
      <c r="AS557" s="6" t="s">
        <v>55</v>
      </c>
      <c r="AU557" s="6" t="s">
        <v>1762</v>
      </c>
      <c r="AV557">
        <v>1346</v>
      </c>
    </row>
    <row r="558" spans="1:48" ht="30" customHeight="1" x14ac:dyDescent="0.3">
      <c r="A558" s="4" t="s">
        <v>1763</v>
      </c>
      <c r="B558" s="4" t="s">
        <v>1764</v>
      </c>
      <c r="C558" s="4" t="s">
        <v>1726</v>
      </c>
      <c r="D558" s="5">
        <v>69</v>
      </c>
      <c r="E558" s="7">
        <f>TRUNC([1]단가대비표!O387,0)</f>
        <v>7500</v>
      </c>
      <c r="F558" s="7">
        <f t="shared" si="56"/>
        <v>517500</v>
      </c>
      <c r="G558" s="7">
        <f>TRUNC([1]단가대비표!P387,0)</f>
        <v>0</v>
      </c>
      <c r="H558" s="7">
        <f t="shared" si="57"/>
        <v>0</v>
      </c>
      <c r="I558" s="7">
        <f>TRUNC([1]단가대비표!V387,0)</f>
        <v>0</v>
      </c>
      <c r="J558" s="7">
        <f t="shared" si="58"/>
        <v>0</v>
      </c>
      <c r="K558" s="7">
        <f t="shared" si="60"/>
        <v>7500</v>
      </c>
      <c r="L558" s="7">
        <f t="shared" si="60"/>
        <v>517500</v>
      </c>
      <c r="M558" s="4" t="s">
        <v>115</v>
      </c>
      <c r="N558" s="6" t="s">
        <v>1765</v>
      </c>
      <c r="O558" s="6" t="s">
        <v>55</v>
      </c>
      <c r="P558" s="6" t="s">
        <v>55</v>
      </c>
      <c r="Q558" s="6" t="s">
        <v>1531</v>
      </c>
      <c r="R558" s="6" t="s">
        <v>56</v>
      </c>
      <c r="S558" s="6" t="s">
        <v>56</v>
      </c>
      <c r="T558" s="6" t="s">
        <v>57</v>
      </c>
      <c r="AR558" s="6" t="s">
        <v>55</v>
      </c>
      <c r="AS558" s="6" t="s">
        <v>55</v>
      </c>
      <c r="AU558" s="6" t="s">
        <v>1766</v>
      </c>
      <c r="AV558">
        <v>1348</v>
      </c>
    </row>
    <row r="559" spans="1:48" ht="30" customHeight="1" x14ac:dyDescent="0.3">
      <c r="A559" s="4" t="s">
        <v>1767</v>
      </c>
      <c r="B559" s="4" t="s">
        <v>1768</v>
      </c>
      <c r="C559" s="4" t="s">
        <v>1726</v>
      </c>
      <c r="D559" s="5">
        <v>175</v>
      </c>
      <c r="E559" s="7">
        <f>TRUNC([1]단가대비표!O388,0)</f>
        <v>7500</v>
      </c>
      <c r="F559" s="7">
        <f t="shared" si="56"/>
        <v>1312500</v>
      </c>
      <c r="G559" s="7">
        <f>TRUNC([1]단가대비표!P388,0)</f>
        <v>0</v>
      </c>
      <c r="H559" s="7">
        <f t="shared" si="57"/>
        <v>0</v>
      </c>
      <c r="I559" s="7">
        <f>TRUNC([1]단가대비표!V388,0)</f>
        <v>0</v>
      </c>
      <c r="J559" s="7">
        <f t="shared" si="58"/>
        <v>0</v>
      </c>
      <c r="K559" s="7">
        <f t="shared" si="60"/>
        <v>7500</v>
      </c>
      <c r="L559" s="7">
        <f t="shared" si="60"/>
        <v>1312500</v>
      </c>
      <c r="M559" s="4" t="s">
        <v>115</v>
      </c>
      <c r="N559" s="6" t="s">
        <v>1769</v>
      </c>
      <c r="O559" s="6" t="s">
        <v>55</v>
      </c>
      <c r="P559" s="6" t="s">
        <v>55</v>
      </c>
      <c r="Q559" s="6" t="s">
        <v>1531</v>
      </c>
      <c r="R559" s="6" t="s">
        <v>56</v>
      </c>
      <c r="S559" s="6" t="s">
        <v>56</v>
      </c>
      <c r="T559" s="6" t="s">
        <v>57</v>
      </c>
      <c r="AR559" s="6" t="s">
        <v>55</v>
      </c>
      <c r="AS559" s="6" t="s">
        <v>55</v>
      </c>
      <c r="AU559" s="6" t="s">
        <v>1770</v>
      </c>
      <c r="AV559">
        <v>1349</v>
      </c>
    </row>
    <row r="560" spans="1:48" ht="30" customHeight="1" x14ac:dyDescent="0.3">
      <c r="A560" s="4" t="s">
        <v>1771</v>
      </c>
      <c r="B560" s="4" t="s">
        <v>1772</v>
      </c>
      <c r="C560" s="4" t="s">
        <v>1726</v>
      </c>
      <c r="D560" s="5">
        <v>66</v>
      </c>
      <c r="E560" s="7">
        <f>TRUNC([1]단가대비표!O389,0)</f>
        <v>13000</v>
      </c>
      <c r="F560" s="7">
        <f t="shared" si="56"/>
        <v>858000</v>
      </c>
      <c r="G560" s="7">
        <f>TRUNC([1]단가대비표!P389,0)</f>
        <v>0</v>
      </c>
      <c r="H560" s="7">
        <f t="shared" si="57"/>
        <v>0</v>
      </c>
      <c r="I560" s="7">
        <f>TRUNC([1]단가대비표!V389,0)</f>
        <v>0</v>
      </c>
      <c r="J560" s="7">
        <f t="shared" si="58"/>
        <v>0</v>
      </c>
      <c r="K560" s="7">
        <f t="shared" si="60"/>
        <v>13000</v>
      </c>
      <c r="L560" s="7">
        <f t="shared" si="60"/>
        <v>858000</v>
      </c>
      <c r="M560" s="4" t="s">
        <v>115</v>
      </c>
      <c r="N560" s="6" t="s">
        <v>1773</v>
      </c>
      <c r="O560" s="6" t="s">
        <v>55</v>
      </c>
      <c r="P560" s="6" t="s">
        <v>55</v>
      </c>
      <c r="Q560" s="6" t="s">
        <v>1531</v>
      </c>
      <c r="R560" s="6" t="s">
        <v>56</v>
      </c>
      <c r="S560" s="6" t="s">
        <v>56</v>
      </c>
      <c r="T560" s="6" t="s">
        <v>57</v>
      </c>
      <c r="AR560" s="6" t="s">
        <v>55</v>
      </c>
      <c r="AS560" s="6" t="s">
        <v>55</v>
      </c>
      <c r="AU560" s="6" t="s">
        <v>1774</v>
      </c>
      <c r="AV560">
        <v>1351</v>
      </c>
    </row>
    <row r="561" spans="1:48" ht="30" customHeight="1" x14ac:dyDescent="0.3">
      <c r="A561" s="4" t="s">
        <v>1775</v>
      </c>
      <c r="B561" s="4" t="s">
        <v>1776</v>
      </c>
      <c r="C561" s="4" t="s">
        <v>1726</v>
      </c>
      <c r="D561" s="5">
        <v>2</v>
      </c>
      <c r="E561" s="7">
        <f>TRUNC([1]단가대비표!O390,0)</f>
        <v>15000</v>
      </c>
      <c r="F561" s="7">
        <f t="shared" si="56"/>
        <v>30000</v>
      </c>
      <c r="G561" s="7">
        <f>TRUNC([1]단가대비표!P390,0)</f>
        <v>0</v>
      </c>
      <c r="H561" s="7">
        <f t="shared" si="57"/>
        <v>0</v>
      </c>
      <c r="I561" s="7">
        <f>TRUNC([1]단가대비표!V390,0)</f>
        <v>0</v>
      </c>
      <c r="J561" s="7">
        <f t="shared" si="58"/>
        <v>0</v>
      </c>
      <c r="K561" s="7">
        <f t="shared" si="60"/>
        <v>15000</v>
      </c>
      <c r="L561" s="7">
        <f t="shared" si="60"/>
        <v>30000</v>
      </c>
      <c r="M561" s="4" t="s">
        <v>115</v>
      </c>
      <c r="N561" s="6" t="s">
        <v>1777</v>
      </c>
      <c r="O561" s="6" t="s">
        <v>55</v>
      </c>
      <c r="P561" s="6" t="s">
        <v>55</v>
      </c>
      <c r="Q561" s="6" t="s">
        <v>1531</v>
      </c>
      <c r="R561" s="6" t="s">
        <v>56</v>
      </c>
      <c r="S561" s="6" t="s">
        <v>56</v>
      </c>
      <c r="T561" s="6" t="s">
        <v>57</v>
      </c>
      <c r="AR561" s="6" t="s">
        <v>55</v>
      </c>
      <c r="AS561" s="6" t="s">
        <v>55</v>
      </c>
      <c r="AU561" s="6" t="s">
        <v>1778</v>
      </c>
      <c r="AV561">
        <v>1352</v>
      </c>
    </row>
    <row r="562" spans="1:48" ht="30" customHeight="1" x14ac:dyDescent="0.3">
      <c r="A562" s="4" t="s">
        <v>1779</v>
      </c>
      <c r="B562" s="4" t="s">
        <v>1780</v>
      </c>
      <c r="C562" s="4" t="s">
        <v>1726</v>
      </c>
      <c r="D562" s="5">
        <v>82</v>
      </c>
      <c r="E562" s="7">
        <f>TRUNC([1]단가대비표!O391,0)</f>
        <v>62000</v>
      </c>
      <c r="F562" s="7">
        <f t="shared" si="56"/>
        <v>5084000</v>
      </c>
      <c r="G562" s="7">
        <f>TRUNC([1]단가대비표!P391,0)</f>
        <v>0</v>
      </c>
      <c r="H562" s="7">
        <f t="shared" si="57"/>
        <v>0</v>
      </c>
      <c r="I562" s="7">
        <f>TRUNC([1]단가대비표!V391,0)</f>
        <v>0</v>
      </c>
      <c r="J562" s="7">
        <f t="shared" si="58"/>
        <v>0</v>
      </c>
      <c r="K562" s="7">
        <f t="shared" si="60"/>
        <v>62000</v>
      </c>
      <c r="L562" s="7">
        <f t="shared" si="60"/>
        <v>5084000</v>
      </c>
      <c r="M562" s="4" t="s">
        <v>115</v>
      </c>
      <c r="N562" s="6" t="s">
        <v>1781</v>
      </c>
      <c r="O562" s="6" t="s">
        <v>55</v>
      </c>
      <c r="P562" s="6" t="s">
        <v>55</v>
      </c>
      <c r="Q562" s="6" t="s">
        <v>1531</v>
      </c>
      <c r="R562" s="6" t="s">
        <v>56</v>
      </c>
      <c r="S562" s="6" t="s">
        <v>56</v>
      </c>
      <c r="T562" s="6" t="s">
        <v>57</v>
      </c>
      <c r="AR562" s="6" t="s">
        <v>55</v>
      </c>
      <c r="AS562" s="6" t="s">
        <v>55</v>
      </c>
      <c r="AU562" s="6" t="s">
        <v>1782</v>
      </c>
      <c r="AV562">
        <v>1353</v>
      </c>
    </row>
    <row r="563" spans="1:48" ht="30" customHeight="1" x14ac:dyDescent="0.3">
      <c r="A563" s="4" t="s">
        <v>1783</v>
      </c>
      <c r="B563" s="4" t="s">
        <v>1784</v>
      </c>
      <c r="C563" s="4" t="s">
        <v>1726</v>
      </c>
      <c r="D563" s="5">
        <v>44</v>
      </c>
      <c r="E563" s="7">
        <f>TRUNC([1]단가대비표!O392,0)</f>
        <v>66000</v>
      </c>
      <c r="F563" s="7">
        <f t="shared" si="56"/>
        <v>2904000</v>
      </c>
      <c r="G563" s="7">
        <f>TRUNC([1]단가대비표!P392,0)</f>
        <v>0</v>
      </c>
      <c r="H563" s="7">
        <f t="shared" si="57"/>
        <v>0</v>
      </c>
      <c r="I563" s="7">
        <f>TRUNC([1]단가대비표!V392,0)</f>
        <v>0</v>
      </c>
      <c r="J563" s="7">
        <f t="shared" si="58"/>
        <v>0</v>
      </c>
      <c r="K563" s="7">
        <f t="shared" si="60"/>
        <v>66000</v>
      </c>
      <c r="L563" s="7">
        <f t="shared" si="60"/>
        <v>2904000</v>
      </c>
      <c r="M563" s="4" t="s">
        <v>115</v>
      </c>
      <c r="N563" s="6" t="s">
        <v>1785</v>
      </c>
      <c r="O563" s="6" t="s">
        <v>55</v>
      </c>
      <c r="P563" s="6" t="s">
        <v>55</v>
      </c>
      <c r="Q563" s="6" t="s">
        <v>1531</v>
      </c>
      <c r="R563" s="6" t="s">
        <v>56</v>
      </c>
      <c r="S563" s="6" t="s">
        <v>56</v>
      </c>
      <c r="T563" s="6" t="s">
        <v>57</v>
      </c>
      <c r="AR563" s="6" t="s">
        <v>55</v>
      </c>
      <c r="AS563" s="6" t="s">
        <v>55</v>
      </c>
      <c r="AU563" s="6" t="s">
        <v>1786</v>
      </c>
      <c r="AV563">
        <v>1356</v>
      </c>
    </row>
    <row r="564" spans="1:48" ht="30" customHeight="1" x14ac:dyDescent="0.3">
      <c r="A564" s="4" t="s">
        <v>1787</v>
      </c>
      <c r="B564" s="4" t="s">
        <v>1788</v>
      </c>
      <c r="C564" s="4" t="s">
        <v>1726</v>
      </c>
      <c r="D564" s="5">
        <v>4</v>
      </c>
      <c r="E564" s="7">
        <f>TRUNC([1]단가대비표!O393,0)</f>
        <v>38000</v>
      </c>
      <c r="F564" s="7">
        <f t="shared" si="56"/>
        <v>152000</v>
      </c>
      <c r="G564" s="7">
        <f>TRUNC([1]단가대비표!P393,0)</f>
        <v>0</v>
      </c>
      <c r="H564" s="7">
        <f t="shared" si="57"/>
        <v>0</v>
      </c>
      <c r="I564" s="7">
        <f>TRUNC([1]단가대비표!V393,0)</f>
        <v>0</v>
      </c>
      <c r="J564" s="7">
        <f t="shared" si="58"/>
        <v>0</v>
      </c>
      <c r="K564" s="7">
        <f t="shared" si="60"/>
        <v>38000</v>
      </c>
      <c r="L564" s="7">
        <f t="shared" si="60"/>
        <v>152000</v>
      </c>
      <c r="M564" s="4" t="s">
        <v>115</v>
      </c>
      <c r="N564" s="6" t="s">
        <v>1789</v>
      </c>
      <c r="O564" s="6" t="s">
        <v>55</v>
      </c>
      <c r="P564" s="6" t="s">
        <v>55</v>
      </c>
      <c r="Q564" s="6" t="s">
        <v>1531</v>
      </c>
      <c r="R564" s="6" t="s">
        <v>56</v>
      </c>
      <c r="S564" s="6" t="s">
        <v>56</v>
      </c>
      <c r="T564" s="6" t="s">
        <v>57</v>
      </c>
      <c r="AR564" s="6" t="s">
        <v>55</v>
      </c>
      <c r="AS564" s="6" t="s">
        <v>55</v>
      </c>
      <c r="AU564" s="6" t="s">
        <v>1790</v>
      </c>
      <c r="AV564">
        <v>1358</v>
      </c>
    </row>
    <row r="565" spans="1:48" ht="30" customHeight="1" x14ac:dyDescent="0.3">
      <c r="A565" s="4" t="s">
        <v>1791</v>
      </c>
      <c r="B565" s="4" t="s">
        <v>1792</v>
      </c>
      <c r="C565" s="4" t="s">
        <v>1726</v>
      </c>
      <c r="D565" s="5">
        <v>69</v>
      </c>
      <c r="E565" s="7">
        <f>TRUNC([1]단가대비표!O394,0)</f>
        <v>33000</v>
      </c>
      <c r="F565" s="7">
        <f t="shared" si="56"/>
        <v>2277000</v>
      </c>
      <c r="G565" s="7">
        <f>TRUNC([1]단가대비표!P394,0)</f>
        <v>0</v>
      </c>
      <c r="H565" s="7">
        <f t="shared" si="57"/>
        <v>0</v>
      </c>
      <c r="I565" s="7">
        <f>TRUNC([1]단가대비표!V394,0)</f>
        <v>0</v>
      </c>
      <c r="J565" s="7">
        <f t="shared" si="58"/>
        <v>0</v>
      </c>
      <c r="K565" s="7">
        <f t="shared" si="60"/>
        <v>33000</v>
      </c>
      <c r="L565" s="7">
        <f t="shared" si="60"/>
        <v>2277000</v>
      </c>
      <c r="M565" s="4" t="s">
        <v>115</v>
      </c>
      <c r="N565" s="6" t="s">
        <v>1793</v>
      </c>
      <c r="O565" s="6" t="s">
        <v>55</v>
      </c>
      <c r="P565" s="6" t="s">
        <v>55</v>
      </c>
      <c r="Q565" s="6" t="s">
        <v>1531</v>
      </c>
      <c r="R565" s="6" t="s">
        <v>56</v>
      </c>
      <c r="S565" s="6" t="s">
        <v>56</v>
      </c>
      <c r="T565" s="6" t="s">
        <v>57</v>
      </c>
      <c r="AR565" s="6" t="s">
        <v>55</v>
      </c>
      <c r="AS565" s="6" t="s">
        <v>55</v>
      </c>
      <c r="AU565" s="6" t="s">
        <v>1794</v>
      </c>
      <c r="AV565">
        <v>1359</v>
      </c>
    </row>
    <row r="566" spans="1:48" ht="30" customHeight="1" x14ac:dyDescent="0.3">
      <c r="A566" s="4" t="s">
        <v>1795</v>
      </c>
      <c r="B566" s="4" t="s">
        <v>1796</v>
      </c>
      <c r="C566" s="4" t="s">
        <v>1726</v>
      </c>
      <c r="D566" s="5">
        <v>48</v>
      </c>
      <c r="E566" s="7">
        <f>TRUNC([1]단가대비표!O395,0)</f>
        <v>55000</v>
      </c>
      <c r="F566" s="7">
        <f t="shared" si="56"/>
        <v>2640000</v>
      </c>
      <c r="G566" s="7">
        <f>TRUNC([1]단가대비표!P395,0)</f>
        <v>0</v>
      </c>
      <c r="H566" s="7">
        <f t="shared" si="57"/>
        <v>0</v>
      </c>
      <c r="I566" s="7">
        <f>TRUNC([1]단가대비표!V395,0)</f>
        <v>0</v>
      </c>
      <c r="J566" s="7">
        <f t="shared" si="58"/>
        <v>0</v>
      </c>
      <c r="K566" s="7">
        <f t="shared" si="60"/>
        <v>55000</v>
      </c>
      <c r="L566" s="7">
        <f t="shared" si="60"/>
        <v>2640000</v>
      </c>
      <c r="M566" s="4" t="s">
        <v>115</v>
      </c>
      <c r="N566" s="6" t="s">
        <v>1797</v>
      </c>
      <c r="O566" s="6" t="s">
        <v>55</v>
      </c>
      <c r="P566" s="6" t="s">
        <v>55</v>
      </c>
      <c r="Q566" s="6" t="s">
        <v>1531</v>
      </c>
      <c r="R566" s="6" t="s">
        <v>56</v>
      </c>
      <c r="S566" s="6" t="s">
        <v>56</v>
      </c>
      <c r="T566" s="6" t="s">
        <v>57</v>
      </c>
      <c r="AR566" s="6" t="s">
        <v>55</v>
      </c>
      <c r="AS566" s="6" t="s">
        <v>55</v>
      </c>
      <c r="AU566" s="6" t="s">
        <v>1798</v>
      </c>
      <c r="AV566">
        <v>1360</v>
      </c>
    </row>
    <row r="567" spans="1:48" ht="30" customHeight="1" x14ac:dyDescent="0.3">
      <c r="A567" s="4" t="s">
        <v>1799</v>
      </c>
      <c r="B567" s="4" t="s">
        <v>1800</v>
      </c>
      <c r="C567" s="4" t="s">
        <v>1726</v>
      </c>
      <c r="D567" s="5">
        <v>5</v>
      </c>
      <c r="E567" s="7">
        <f>TRUNC([1]단가대비표!O396,0)</f>
        <v>115000</v>
      </c>
      <c r="F567" s="7">
        <f t="shared" si="56"/>
        <v>575000</v>
      </c>
      <c r="G567" s="7">
        <f>TRUNC([1]단가대비표!P396,0)</f>
        <v>0</v>
      </c>
      <c r="H567" s="7">
        <f t="shared" si="57"/>
        <v>0</v>
      </c>
      <c r="I567" s="7">
        <f>TRUNC([1]단가대비표!V396,0)</f>
        <v>0</v>
      </c>
      <c r="J567" s="7">
        <f t="shared" si="58"/>
        <v>0</v>
      </c>
      <c r="K567" s="7">
        <f t="shared" si="60"/>
        <v>115000</v>
      </c>
      <c r="L567" s="7">
        <f t="shared" si="60"/>
        <v>575000</v>
      </c>
      <c r="M567" s="4" t="s">
        <v>115</v>
      </c>
      <c r="N567" s="6" t="s">
        <v>1801</v>
      </c>
      <c r="O567" s="6" t="s">
        <v>55</v>
      </c>
      <c r="P567" s="6" t="s">
        <v>55</v>
      </c>
      <c r="Q567" s="6" t="s">
        <v>1531</v>
      </c>
      <c r="R567" s="6" t="s">
        <v>56</v>
      </c>
      <c r="S567" s="6" t="s">
        <v>56</v>
      </c>
      <c r="T567" s="6" t="s">
        <v>57</v>
      </c>
      <c r="AR567" s="6" t="s">
        <v>55</v>
      </c>
      <c r="AS567" s="6" t="s">
        <v>55</v>
      </c>
      <c r="AU567" s="6" t="s">
        <v>1802</v>
      </c>
      <c r="AV567">
        <v>1361</v>
      </c>
    </row>
    <row r="568" spans="1:48" ht="30" customHeight="1" x14ac:dyDescent="0.3">
      <c r="A568" s="4" t="s">
        <v>1803</v>
      </c>
      <c r="B568" s="4" t="s">
        <v>1804</v>
      </c>
      <c r="C568" s="4" t="s">
        <v>1726</v>
      </c>
      <c r="D568" s="5">
        <v>5</v>
      </c>
      <c r="E568" s="7">
        <f>TRUNC([1]단가대비표!O397,0)</f>
        <v>28000</v>
      </c>
      <c r="F568" s="7">
        <f t="shared" ref="F568:F630" si="61">TRUNC(E568*D568, 0)</f>
        <v>140000</v>
      </c>
      <c r="G568" s="7">
        <f>TRUNC([1]단가대비표!P397,0)</f>
        <v>0</v>
      </c>
      <c r="H568" s="7">
        <f t="shared" ref="H568:H630" si="62">TRUNC(G568*D568, 0)</f>
        <v>0</v>
      </c>
      <c r="I568" s="7">
        <f>TRUNC([1]단가대비표!V397,0)</f>
        <v>0</v>
      </c>
      <c r="J568" s="7">
        <f t="shared" ref="J568:J630" si="63">TRUNC(I568*D568, 0)</f>
        <v>0</v>
      </c>
      <c r="K568" s="7">
        <f t="shared" ref="K568:L599" si="64">TRUNC(E568+G568+I568, 0)</f>
        <v>28000</v>
      </c>
      <c r="L568" s="7">
        <f t="shared" si="64"/>
        <v>140000</v>
      </c>
      <c r="M568" s="4" t="s">
        <v>115</v>
      </c>
      <c r="N568" s="6" t="s">
        <v>1805</v>
      </c>
      <c r="O568" s="6" t="s">
        <v>55</v>
      </c>
      <c r="P568" s="6" t="s">
        <v>55</v>
      </c>
      <c r="Q568" s="6" t="s">
        <v>1531</v>
      </c>
      <c r="R568" s="6" t="s">
        <v>56</v>
      </c>
      <c r="S568" s="6" t="s">
        <v>56</v>
      </c>
      <c r="T568" s="6" t="s">
        <v>57</v>
      </c>
      <c r="AR568" s="6" t="s">
        <v>55</v>
      </c>
      <c r="AS568" s="6" t="s">
        <v>55</v>
      </c>
      <c r="AU568" s="6" t="s">
        <v>1806</v>
      </c>
      <c r="AV568">
        <v>1362</v>
      </c>
    </row>
    <row r="569" spans="1:48" ht="30" customHeight="1" x14ac:dyDescent="0.3">
      <c r="A569" s="4" t="s">
        <v>1807</v>
      </c>
      <c r="B569" s="4" t="s">
        <v>1808</v>
      </c>
      <c r="C569" s="4" t="s">
        <v>1726</v>
      </c>
      <c r="D569" s="5">
        <v>112</v>
      </c>
      <c r="E569" s="7">
        <f>TRUNC([1]단가대비표!O398,0)</f>
        <v>90000</v>
      </c>
      <c r="F569" s="7">
        <f t="shared" si="61"/>
        <v>10080000</v>
      </c>
      <c r="G569" s="7">
        <f>TRUNC([1]단가대비표!P398,0)</f>
        <v>0</v>
      </c>
      <c r="H569" s="7">
        <f t="shared" si="62"/>
        <v>0</v>
      </c>
      <c r="I569" s="7">
        <f>TRUNC([1]단가대비표!V398,0)</f>
        <v>0</v>
      </c>
      <c r="J569" s="7">
        <f t="shared" si="63"/>
        <v>0</v>
      </c>
      <c r="K569" s="7">
        <f t="shared" si="64"/>
        <v>90000</v>
      </c>
      <c r="L569" s="7">
        <f t="shared" si="64"/>
        <v>10080000</v>
      </c>
      <c r="M569" s="4" t="s">
        <v>115</v>
      </c>
      <c r="N569" s="6" t="s">
        <v>1809</v>
      </c>
      <c r="O569" s="6" t="s">
        <v>55</v>
      </c>
      <c r="P569" s="6" t="s">
        <v>55</v>
      </c>
      <c r="Q569" s="6" t="s">
        <v>1531</v>
      </c>
      <c r="R569" s="6" t="s">
        <v>56</v>
      </c>
      <c r="S569" s="6" t="s">
        <v>56</v>
      </c>
      <c r="T569" s="6" t="s">
        <v>57</v>
      </c>
      <c r="AR569" s="6" t="s">
        <v>55</v>
      </c>
      <c r="AS569" s="6" t="s">
        <v>55</v>
      </c>
      <c r="AU569" s="6" t="s">
        <v>1810</v>
      </c>
      <c r="AV569">
        <v>1363</v>
      </c>
    </row>
    <row r="570" spans="1:48" ht="30" customHeight="1" x14ac:dyDescent="0.3">
      <c r="A570" s="4" t="s">
        <v>1811</v>
      </c>
      <c r="B570" s="4" t="s">
        <v>1812</v>
      </c>
      <c r="C570" s="4" t="s">
        <v>1726</v>
      </c>
      <c r="D570" s="5">
        <v>15</v>
      </c>
      <c r="E570" s="7">
        <f>TRUNC([1]단가대비표!O399,0)</f>
        <v>76000</v>
      </c>
      <c r="F570" s="7">
        <f t="shared" si="61"/>
        <v>1140000</v>
      </c>
      <c r="G570" s="7">
        <f>TRUNC([1]단가대비표!P399,0)</f>
        <v>0</v>
      </c>
      <c r="H570" s="7">
        <f t="shared" si="62"/>
        <v>0</v>
      </c>
      <c r="I570" s="7">
        <f>TRUNC([1]단가대비표!V399,0)</f>
        <v>0</v>
      </c>
      <c r="J570" s="7">
        <f t="shared" si="63"/>
        <v>0</v>
      </c>
      <c r="K570" s="7">
        <f t="shared" si="64"/>
        <v>76000</v>
      </c>
      <c r="L570" s="7">
        <f t="shared" si="64"/>
        <v>1140000</v>
      </c>
      <c r="M570" s="4" t="s">
        <v>115</v>
      </c>
      <c r="N570" s="6" t="s">
        <v>1813</v>
      </c>
      <c r="O570" s="6" t="s">
        <v>55</v>
      </c>
      <c r="P570" s="6" t="s">
        <v>55</v>
      </c>
      <c r="Q570" s="6" t="s">
        <v>1531</v>
      </c>
      <c r="R570" s="6" t="s">
        <v>56</v>
      </c>
      <c r="S570" s="6" t="s">
        <v>56</v>
      </c>
      <c r="T570" s="6" t="s">
        <v>57</v>
      </c>
      <c r="AR570" s="6" t="s">
        <v>55</v>
      </c>
      <c r="AS570" s="6" t="s">
        <v>55</v>
      </c>
      <c r="AU570" s="6" t="s">
        <v>1814</v>
      </c>
      <c r="AV570">
        <v>1365</v>
      </c>
    </row>
    <row r="571" spans="1:48" ht="30" customHeight="1" x14ac:dyDescent="0.3">
      <c r="A571" s="4" t="s">
        <v>1815</v>
      </c>
      <c r="B571" s="4" t="s">
        <v>1816</v>
      </c>
      <c r="C571" s="4" t="s">
        <v>1726</v>
      </c>
      <c r="D571" s="5">
        <v>6</v>
      </c>
      <c r="E571" s="7">
        <f>TRUNC([1]단가대비표!O400,0)</f>
        <v>123000</v>
      </c>
      <c r="F571" s="7">
        <f t="shared" si="61"/>
        <v>738000</v>
      </c>
      <c r="G571" s="7">
        <f>TRUNC([1]단가대비표!P400,0)</f>
        <v>0</v>
      </c>
      <c r="H571" s="7">
        <f t="shared" si="62"/>
        <v>0</v>
      </c>
      <c r="I571" s="7">
        <f>TRUNC([1]단가대비표!V400,0)</f>
        <v>0</v>
      </c>
      <c r="J571" s="7">
        <f t="shared" si="63"/>
        <v>0</v>
      </c>
      <c r="K571" s="7">
        <f t="shared" si="64"/>
        <v>123000</v>
      </c>
      <c r="L571" s="7">
        <f t="shared" si="64"/>
        <v>738000</v>
      </c>
      <c r="M571" s="4" t="s">
        <v>115</v>
      </c>
      <c r="N571" s="6" t="s">
        <v>1817</v>
      </c>
      <c r="O571" s="6" t="s">
        <v>55</v>
      </c>
      <c r="P571" s="6" t="s">
        <v>55</v>
      </c>
      <c r="Q571" s="6" t="s">
        <v>1531</v>
      </c>
      <c r="R571" s="6" t="s">
        <v>56</v>
      </c>
      <c r="S571" s="6" t="s">
        <v>56</v>
      </c>
      <c r="T571" s="6" t="s">
        <v>57</v>
      </c>
      <c r="AR571" s="6" t="s">
        <v>55</v>
      </c>
      <c r="AS571" s="6" t="s">
        <v>55</v>
      </c>
      <c r="AU571" s="6" t="s">
        <v>1818</v>
      </c>
      <c r="AV571">
        <v>1366</v>
      </c>
    </row>
    <row r="572" spans="1:48" ht="30" customHeight="1" x14ac:dyDescent="0.3">
      <c r="A572" s="4" t="s">
        <v>1819</v>
      </c>
      <c r="B572" s="4" t="s">
        <v>1820</v>
      </c>
      <c r="C572" s="4" t="s">
        <v>1726</v>
      </c>
      <c r="D572" s="5">
        <v>2</v>
      </c>
      <c r="E572" s="7">
        <f>TRUNC([1]단가대비표!O401,0)</f>
        <v>95000</v>
      </c>
      <c r="F572" s="7">
        <f t="shared" si="61"/>
        <v>190000</v>
      </c>
      <c r="G572" s="7">
        <f>TRUNC([1]단가대비표!P401,0)</f>
        <v>0</v>
      </c>
      <c r="H572" s="7">
        <f t="shared" si="62"/>
        <v>0</v>
      </c>
      <c r="I572" s="7">
        <f>TRUNC([1]단가대비표!V401,0)</f>
        <v>0</v>
      </c>
      <c r="J572" s="7">
        <f t="shared" si="63"/>
        <v>0</v>
      </c>
      <c r="K572" s="7">
        <f t="shared" si="64"/>
        <v>95000</v>
      </c>
      <c r="L572" s="7">
        <f t="shared" si="64"/>
        <v>190000</v>
      </c>
      <c r="M572" s="4" t="s">
        <v>115</v>
      </c>
      <c r="N572" s="6" t="s">
        <v>1821</v>
      </c>
      <c r="O572" s="6" t="s">
        <v>55</v>
      </c>
      <c r="P572" s="6" t="s">
        <v>55</v>
      </c>
      <c r="Q572" s="6" t="s">
        <v>1531</v>
      </c>
      <c r="R572" s="6" t="s">
        <v>56</v>
      </c>
      <c r="S572" s="6" t="s">
        <v>56</v>
      </c>
      <c r="T572" s="6" t="s">
        <v>57</v>
      </c>
      <c r="AR572" s="6" t="s">
        <v>55</v>
      </c>
      <c r="AS572" s="6" t="s">
        <v>55</v>
      </c>
      <c r="AU572" s="6" t="s">
        <v>1822</v>
      </c>
      <c r="AV572">
        <v>1367</v>
      </c>
    </row>
    <row r="573" spans="1:48" ht="30" customHeight="1" x14ac:dyDescent="0.3">
      <c r="A573" s="4" t="s">
        <v>1823</v>
      </c>
      <c r="B573" s="4" t="s">
        <v>1824</v>
      </c>
      <c r="C573" s="4" t="s">
        <v>1726</v>
      </c>
      <c r="D573" s="5">
        <v>18</v>
      </c>
      <c r="E573" s="7">
        <f>TRUNC([1]단가대비표!O402,0)</f>
        <v>123000</v>
      </c>
      <c r="F573" s="7">
        <f t="shared" si="61"/>
        <v>2214000</v>
      </c>
      <c r="G573" s="7">
        <f>TRUNC([1]단가대비표!P402,0)</f>
        <v>0</v>
      </c>
      <c r="H573" s="7">
        <f t="shared" si="62"/>
        <v>0</v>
      </c>
      <c r="I573" s="7">
        <f>TRUNC([1]단가대비표!V402,0)</f>
        <v>0</v>
      </c>
      <c r="J573" s="7">
        <f t="shared" si="63"/>
        <v>0</v>
      </c>
      <c r="K573" s="7">
        <f t="shared" si="64"/>
        <v>123000</v>
      </c>
      <c r="L573" s="7">
        <f t="shared" si="64"/>
        <v>2214000</v>
      </c>
      <c r="M573" s="4" t="s">
        <v>115</v>
      </c>
      <c r="N573" s="6" t="s">
        <v>1825</v>
      </c>
      <c r="O573" s="6" t="s">
        <v>55</v>
      </c>
      <c r="P573" s="6" t="s">
        <v>55</v>
      </c>
      <c r="Q573" s="6" t="s">
        <v>1531</v>
      </c>
      <c r="R573" s="6" t="s">
        <v>56</v>
      </c>
      <c r="S573" s="6" t="s">
        <v>56</v>
      </c>
      <c r="T573" s="6" t="s">
        <v>57</v>
      </c>
      <c r="AR573" s="6" t="s">
        <v>55</v>
      </c>
      <c r="AS573" s="6" t="s">
        <v>55</v>
      </c>
      <c r="AU573" s="6" t="s">
        <v>1826</v>
      </c>
      <c r="AV573">
        <v>1368</v>
      </c>
    </row>
    <row r="574" spans="1:48" ht="30" customHeight="1" x14ac:dyDescent="0.3">
      <c r="A574" s="4" t="s">
        <v>1827</v>
      </c>
      <c r="B574" s="4" t="s">
        <v>1828</v>
      </c>
      <c r="C574" s="4" t="s">
        <v>1726</v>
      </c>
      <c r="D574" s="5">
        <v>12</v>
      </c>
      <c r="E574" s="7">
        <f>TRUNC([1]단가대비표!O403,0)</f>
        <v>95000</v>
      </c>
      <c r="F574" s="7">
        <f t="shared" si="61"/>
        <v>1140000</v>
      </c>
      <c r="G574" s="7">
        <f>TRUNC([1]단가대비표!P403,0)</f>
        <v>0</v>
      </c>
      <c r="H574" s="7">
        <f t="shared" si="62"/>
        <v>0</v>
      </c>
      <c r="I574" s="7">
        <f>TRUNC([1]단가대비표!V403,0)</f>
        <v>0</v>
      </c>
      <c r="J574" s="7">
        <f t="shared" si="63"/>
        <v>0</v>
      </c>
      <c r="K574" s="7">
        <f t="shared" si="64"/>
        <v>95000</v>
      </c>
      <c r="L574" s="7">
        <f t="shared" si="64"/>
        <v>1140000</v>
      </c>
      <c r="M574" s="4" t="s">
        <v>115</v>
      </c>
      <c r="N574" s="6" t="s">
        <v>1829</v>
      </c>
      <c r="O574" s="6" t="s">
        <v>55</v>
      </c>
      <c r="P574" s="6" t="s">
        <v>55</v>
      </c>
      <c r="Q574" s="6" t="s">
        <v>1531</v>
      </c>
      <c r="R574" s="6" t="s">
        <v>56</v>
      </c>
      <c r="S574" s="6" t="s">
        <v>56</v>
      </c>
      <c r="T574" s="6" t="s">
        <v>57</v>
      </c>
      <c r="AR574" s="6" t="s">
        <v>55</v>
      </c>
      <c r="AS574" s="6" t="s">
        <v>55</v>
      </c>
      <c r="AU574" s="6" t="s">
        <v>1830</v>
      </c>
      <c r="AV574">
        <v>1369</v>
      </c>
    </row>
    <row r="575" spans="1:48" ht="30" customHeight="1" x14ac:dyDescent="0.3">
      <c r="A575" s="4" t="s">
        <v>1831</v>
      </c>
      <c r="B575" s="4" t="s">
        <v>1832</v>
      </c>
      <c r="C575" s="4" t="s">
        <v>1726</v>
      </c>
      <c r="D575" s="5">
        <v>53</v>
      </c>
      <c r="E575" s="7">
        <f>TRUNC([1]단가대비표!O404,0)</f>
        <v>27000</v>
      </c>
      <c r="F575" s="7">
        <f t="shared" si="61"/>
        <v>1431000</v>
      </c>
      <c r="G575" s="7">
        <f>TRUNC([1]단가대비표!P404,0)</f>
        <v>0</v>
      </c>
      <c r="H575" s="7">
        <f t="shared" si="62"/>
        <v>0</v>
      </c>
      <c r="I575" s="7">
        <f>TRUNC([1]단가대비표!V404,0)</f>
        <v>0</v>
      </c>
      <c r="J575" s="7">
        <f t="shared" si="63"/>
        <v>0</v>
      </c>
      <c r="K575" s="7">
        <f t="shared" si="64"/>
        <v>27000</v>
      </c>
      <c r="L575" s="7">
        <f t="shared" si="64"/>
        <v>1431000</v>
      </c>
      <c r="M575" s="4" t="s">
        <v>115</v>
      </c>
      <c r="N575" s="6" t="s">
        <v>1833</v>
      </c>
      <c r="O575" s="6" t="s">
        <v>55</v>
      </c>
      <c r="P575" s="6" t="s">
        <v>55</v>
      </c>
      <c r="Q575" s="6" t="s">
        <v>1531</v>
      </c>
      <c r="R575" s="6" t="s">
        <v>56</v>
      </c>
      <c r="S575" s="6" t="s">
        <v>56</v>
      </c>
      <c r="T575" s="6" t="s">
        <v>57</v>
      </c>
      <c r="AR575" s="6" t="s">
        <v>55</v>
      </c>
      <c r="AS575" s="6" t="s">
        <v>55</v>
      </c>
      <c r="AU575" s="6" t="s">
        <v>1834</v>
      </c>
      <c r="AV575">
        <v>1370</v>
      </c>
    </row>
    <row r="576" spans="1:48" ht="30" customHeight="1" x14ac:dyDescent="0.3">
      <c r="A576" s="4" t="s">
        <v>1835</v>
      </c>
      <c r="B576" s="4" t="s">
        <v>1836</v>
      </c>
      <c r="C576" s="4" t="s">
        <v>1837</v>
      </c>
      <c r="D576" s="5">
        <v>40</v>
      </c>
      <c r="E576" s="7">
        <f>TRUNC([1]단가대비표!O405,0)</f>
        <v>118000</v>
      </c>
      <c r="F576" s="7">
        <f t="shared" si="61"/>
        <v>4720000</v>
      </c>
      <c r="G576" s="7">
        <f>TRUNC([1]단가대비표!P405,0)</f>
        <v>0</v>
      </c>
      <c r="H576" s="7">
        <f t="shared" si="62"/>
        <v>0</v>
      </c>
      <c r="I576" s="7">
        <f>TRUNC([1]단가대비표!V405,0)</f>
        <v>0</v>
      </c>
      <c r="J576" s="7">
        <f t="shared" si="63"/>
        <v>0</v>
      </c>
      <c r="K576" s="7">
        <f t="shared" si="64"/>
        <v>118000</v>
      </c>
      <c r="L576" s="7">
        <f t="shared" si="64"/>
        <v>4720000</v>
      </c>
      <c r="M576" s="4" t="s">
        <v>115</v>
      </c>
      <c r="N576" s="6" t="s">
        <v>1838</v>
      </c>
      <c r="O576" s="6" t="s">
        <v>55</v>
      </c>
      <c r="P576" s="6" t="s">
        <v>55</v>
      </c>
      <c r="Q576" s="6" t="s">
        <v>1531</v>
      </c>
      <c r="R576" s="6" t="s">
        <v>56</v>
      </c>
      <c r="S576" s="6" t="s">
        <v>56</v>
      </c>
      <c r="T576" s="6" t="s">
        <v>57</v>
      </c>
      <c r="AR576" s="6" t="s">
        <v>55</v>
      </c>
      <c r="AS576" s="6" t="s">
        <v>55</v>
      </c>
      <c r="AU576" s="6" t="s">
        <v>1839</v>
      </c>
      <c r="AV576">
        <v>1371</v>
      </c>
    </row>
    <row r="577" spans="1:48" ht="30" customHeight="1" x14ac:dyDescent="0.3">
      <c r="A577" s="4" t="s">
        <v>1840</v>
      </c>
      <c r="B577" s="4" t="s">
        <v>1841</v>
      </c>
      <c r="C577" s="4" t="s">
        <v>1837</v>
      </c>
      <c r="D577" s="5">
        <v>82</v>
      </c>
      <c r="E577" s="7">
        <f>TRUNC([1]단가대비표!O406,0)</f>
        <v>100000</v>
      </c>
      <c r="F577" s="7">
        <f t="shared" si="61"/>
        <v>8200000</v>
      </c>
      <c r="G577" s="7">
        <f>TRUNC([1]단가대비표!P406,0)</f>
        <v>0</v>
      </c>
      <c r="H577" s="7">
        <f t="shared" si="62"/>
        <v>0</v>
      </c>
      <c r="I577" s="7">
        <f>TRUNC([1]단가대비표!V406,0)</f>
        <v>0</v>
      </c>
      <c r="J577" s="7">
        <f t="shared" si="63"/>
        <v>0</v>
      </c>
      <c r="K577" s="7">
        <f t="shared" si="64"/>
        <v>100000</v>
      </c>
      <c r="L577" s="7">
        <f t="shared" si="64"/>
        <v>8200000</v>
      </c>
      <c r="M577" s="4" t="s">
        <v>115</v>
      </c>
      <c r="N577" s="6" t="s">
        <v>1842</v>
      </c>
      <c r="O577" s="6" t="s">
        <v>55</v>
      </c>
      <c r="P577" s="6" t="s">
        <v>55</v>
      </c>
      <c r="Q577" s="6" t="s">
        <v>1531</v>
      </c>
      <c r="R577" s="6" t="s">
        <v>56</v>
      </c>
      <c r="S577" s="6" t="s">
        <v>56</v>
      </c>
      <c r="T577" s="6" t="s">
        <v>57</v>
      </c>
      <c r="AR577" s="6" t="s">
        <v>55</v>
      </c>
      <c r="AS577" s="6" t="s">
        <v>55</v>
      </c>
      <c r="AU577" s="6" t="s">
        <v>1843</v>
      </c>
      <c r="AV577">
        <v>1373</v>
      </c>
    </row>
    <row r="578" spans="1:48" ht="30" customHeight="1" x14ac:dyDescent="0.3">
      <c r="A578" s="4" t="s">
        <v>1844</v>
      </c>
      <c r="B578" s="4" t="s">
        <v>1845</v>
      </c>
      <c r="C578" s="4" t="s">
        <v>1837</v>
      </c>
      <c r="D578" s="5">
        <v>10</v>
      </c>
      <c r="E578" s="7">
        <f>TRUNC([1]단가대비표!O407,0)</f>
        <v>170000</v>
      </c>
      <c r="F578" s="7">
        <f t="shared" si="61"/>
        <v>1700000</v>
      </c>
      <c r="G578" s="7">
        <f>TRUNC([1]단가대비표!P407,0)</f>
        <v>0</v>
      </c>
      <c r="H578" s="7">
        <f t="shared" si="62"/>
        <v>0</v>
      </c>
      <c r="I578" s="7">
        <f>TRUNC([1]단가대비표!V407,0)</f>
        <v>0</v>
      </c>
      <c r="J578" s="7">
        <f t="shared" si="63"/>
        <v>0</v>
      </c>
      <c r="K578" s="7">
        <f t="shared" si="64"/>
        <v>170000</v>
      </c>
      <c r="L578" s="7">
        <f t="shared" si="64"/>
        <v>1700000</v>
      </c>
      <c r="M578" s="4" t="s">
        <v>115</v>
      </c>
      <c r="N578" s="6" t="s">
        <v>1846</v>
      </c>
      <c r="O578" s="6" t="s">
        <v>55</v>
      </c>
      <c r="P578" s="6" t="s">
        <v>55</v>
      </c>
      <c r="Q578" s="6" t="s">
        <v>1531</v>
      </c>
      <c r="R578" s="6" t="s">
        <v>56</v>
      </c>
      <c r="S578" s="6" t="s">
        <v>56</v>
      </c>
      <c r="T578" s="6" t="s">
        <v>57</v>
      </c>
      <c r="AR578" s="6" t="s">
        <v>55</v>
      </c>
      <c r="AS578" s="6" t="s">
        <v>55</v>
      </c>
      <c r="AU578" s="6" t="s">
        <v>1847</v>
      </c>
      <c r="AV578">
        <v>1374</v>
      </c>
    </row>
    <row r="579" spans="1:48" ht="30" customHeight="1" x14ac:dyDescent="0.3">
      <c r="A579" s="4" t="s">
        <v>1848</v>
      </c>
      <c r="B579" s="4" t="s">
        <v>1849</v>
      </c>
      <c r="C579" s="4" t="s">
        <v>1726</v>
      </c>
      <c r="D579" s="5">
        <v>67</v>
      </c>
      <c r="E579" s="7">
        <f>TRUNC([1]단가대비표!O408,0)</f>
        <v>33000</v>
      </c>
      <c r="F579" s="7">
        <f t="shared" si="61"/>
        <v>2211000</v>
      </c>
      <c r="G579" s="7">
        <f>TRUNC([1]단가대비표!P408,0)</f>
        <v>0</v>
      </c>
      <c r="H579" s="7">
        <f t="shared" si="62"/>
        <v>0</v>
      </c>
      <c r="I579" s="7">
        <f>TRUNC([1]단가대비표!V408,0)</f>
        <v>0</v>
      </c>
      <c r="J579" s="7">
        <f t="shared" si="63"/>
        <v>0</v>
      </c>
      <c r="K579" s="7">
        <f t="shared" si="64"/>
        <v>33000</v>
      </c>
      <c r="L579" s="7">
        <f t="shared" si="64"/>
        <v>2211000</v>
      </c>
      <c r="M579" s="4" t="s">
        <v>115</v>
      </c>
      <c r="N579" s="6" t="s">
        <v>1850</v>
      </c>
      <c r="O579" s="6" t="s">
        <v>55</v>
      </c>
      <c r="P579" s="6" t="s">
        <v>55</v>
      </c>
      <c r="Q579" s="6" t="s">
        <v>1531</v>
      </c>
      <c r="R579" s="6" t="s">
        <v>56</v>
      </c>
      <c r="S579" s="6" t="s">
        <v>56</v>
      </c>
      <c r="T579" s="6" t="s">
        <v>57</v>
      </c>
      <c r="AR579" s="6" t="s">
        <v>55</v>
      </c>
      <c r="AS579" s="6" t="s">
        <v>55</v>
      </c>
      <c r="AU579" s="6" t="s">
        <v>1851</v>
      </c>
      <c r="AV579">
        <v>1375</v>
      </c>
    </row>
    <row r="580" spans="1:48" ht="30" customHeight="1" x14ac:dyDescent="0.3">
      <c r="A580" s="4" t="s">
        <v>1852</v>
      </c>
      <c r="B580" s="4" t="s">
        <v>1853</v>
      </c>
      <c r="C580" s="4" t="s">
        <v>1726</v>
      </c>
      <c r="D580" s="5">
        <v>201</v>
      </c>
      <c r="E580" s="7">
        <f>TRUNC([1]단가대비표!O409,0)</f>
        <v>38000</v>
      </c>
      <c r="F580" s="7">
        <f t="shared" si="61"/>
        <v>7638000</v>
      </c>
      <c r="G580" s="7">
        <f>TRUNC([1]단가대비표!P409,0)</f>
        <v>0</v>
      </c>
      <c r="H580" s="7">
        <f t="shared" si="62"/>
        <v>0</v>
      </c>
      <c r="I580" s="7">
        <f>TRUNC([1]단가대비표!V409,0)</f>
        <v>0</v>
      </c>
      <c r="J580" s="7">
        <f t="shared" si="63"/>
        <v>0</v>
      </c>
      <c r="K580" s="7">
        <f t="shared" si="64"/>
        <v>38000</v>
      </c>
      <c r="L580" s="7">
        <f t="shared" si="64"/>
        <v>7638000</v>
      </c>
      <c r="M580" s="4" t="s">
        <v>115</v>
      </c>
      <c r="N580" s="6" t="s">
        <v>1854</v>
      </c>
      <c r="O580" s="6" t="s">
        <v>55</v>
      </c>
      <c r="P580" s="6" t="s">
        <v>55</v>
      </c>
      <c r="Q580" s="6" t="s">
        <v>1531</v>
      </c>
      <c r="R580" s="6" t="s">
        <v>56</v>
      </c>
      <c r="S580" s="6" t="s">
        <v>56</v>
      </c>
      <c r="T580" s="6" t="s">
        <v>57</v>
      </c>
      <c r="AR580" s="6" t="s">
        <v>55</v>
      </c>
      <c r="AS580" s="6" t="s">
        <v>55</v>
      </c>
      <c r="AU580" s="6" t="s">
        <v>1855</v>
      </c>
      <c r="AV580">
        <v>1376</v>
      </c>
    </row>
    <row r="581" spans="1:48" ht="30" customHeight="1" x14ac:dyDescent="0.3">
      <c r="A581" s="4" t="s">
        <v>1856</v>
      </c>
      <c r="B581" s="4" t="s">
        <v>1857</v>
      </c>
      <c r="C581" s="4" t="s">
        <v>1726</v>
      </c>
      <c r="D581" s="5">
        <v>1</v>
      </c>
      <c r="E581" s="7">
        <f>TRUNC([1]단가대비표!O410,0)</f>
        <v>650000</v>
      </c>
      <c r="F581" s="7">
        <f t="shared" si="61"/>
        <v>650000</v>
      </c>
      <c r="G581" s="7">
        <f>TRUNC([1]단가대비표!P410,0)</f>
        <v>0</v>
      </c>
      <c r="H581" s="7">
        <f t="shared" si="62"/>
        <v>0</v>
      </c>
      <c r="I581" s="7">
        <f>TRUNC([1]단가대비표!V410,0)</f>
        <v>0</v>
      </c>
      <c r="J581" s="7">
        <f t="shared" si="63"/>
        <v>0</v>
      </c>
      <c r="K581" s="7">
        <f t="shared" si="64"/>
        <v>650000</v>
      </c>
      <c r="L581" s="7">
        <f t="shared" si="64"/>
        <v>650000</v>
      </c>
      <c r="M581" s="4" t="s">
        <v>115</v>
      </c>
      <c r="N581" s="6" t="s">
        <v>1858</v>
      </c>
      <c r="O581" s="6" t="s">
        <v>55</v>
      </c>
      <c r="P581" s="6" t="s">
        <v>55</v>
      </c>
      <c r="Q581" s="6" t="s">
        <v>1531</v>
      </c>
      <c r="R581" s="6" t="s">
        <v>56</v>
      </c>
      <c r="S581" s="6" t="s">
        <v>56</v>
      </c>
      <c r="T581" s="6" t="s">
        <v>57</v>
      </c>
      <c r="AR581" s="6" t="s">
        <v>55</v>
      </c>
      <c r="AS581" s="6" t="s">
        <v>55</v>
      </c>
      <c r="AU581" s="6" t="s">
        <v>1859</v>
      </c>
      <c r="AV581">
        <v>1377</v>
      </c>
    </row>
    <row r="582" spans="1:48" ht="30" customHeight="1" x14ac:dyDescent="0.3">
      <c r="A582" s="4" t="s">
        <v>55</v>
      </c>
      <c r="B582" s="4" t="s">
        <v>55</v>
      </c>
      <c r="C582" s="4" t="s">
        <v>55</v>
      </c>
      <c r="D582" s="5"/>
      <c r="E582" s="7">
        <f>TRUNC([1]단가대비표!O496,0)</f>
        <v>0</v>
      </c>
      <c r="F582" s="7">
        <f t="shared" si="61"/>
        <v>0</v>
      </c>
      <c r="G582" s="7">
        <f>TRUNC([1]단가대비표!P496,0)</f>
        <v>0</v>
      </c>
      <c r="H582" s="7">
        <f t="shared" si="62"/>
        <v>0</v>
      </c>
      <c r="I582" s="7">
        <f>TRUNC([1]단가대비표!V496,0)</f>
        <v>0</v>
      </c>
      <c r="J582" s="7">
        <f t="shared" si="63"/>
        <v>0</v>
      </c>
      <c r="K582" s="7">
        <f t="shared" si="64"/>
        <v>0</v>
      </c>
      <c r="L582" s="7">
        <f t="shared" si="64"/>
        <v>0</v>
      </c>
      <c r="M582" s="4" t="s">
        <v>55</v>
      </c>
      <c r="N582" s="6" t="s">
        <v>1860</v>
      </c>
      <c r="O582" s="6" t="s">
        <v>55</v>
      </c>
      <c r="P582" s="6" t="s">
        <v>55</v>
      </c>
      <c r="Q582" s="6" t="s">
        <v>1531</v>
      </c>
      <c r="R582" s="6" t="s">
        <v>56</v>
      </c>
      <c r="S582" s="6" t="s">
        <v>56</v>
      </c>
      <c r="T582" s="6" t="s">
        <v>57</v>
      </c>
      <c r="AR582" s="6" t="s">
        <v>55</v>
      </c>
      <c r="AS582" s="6" t="s">
        <v>55</v>
      </c>
      <c r="AU582" s="6" t="s">
        <v>1861</v>
      </c>
      <c r="AV582">
        <v>1717</v>
      </c>
    </row>
    <row r="583" spans="1:48" ht="30" customHeight="1" x14ac:dyDescent="0.3">
      <c r="A583" s="4" t="s">
        <v>1862</v>
      </c>
      <c r="B583" s="4" t="s">
        <v>55</v>
      </c>
      <c r="C583" s="4" t="s">
        <v>55</v>
      </c>
      <c r="D583" s="5"/>
      <c r="E583" s="7">
        <f>TRUNC([1]단가대비표!O497,0)</f>
        <v>0</v>
      </c>
      <c r="F583" s="7">
        <f t="shared" si="61"/>
        <v>0</v>
      </c>
      <c r="G583" s="7">
        <f>TRUNC([1]단가대비표!P497,0)</f>
        <v>0</v>
      </c>
      <c r="H583" s="7">
        <f t="shared" si="62"/>
        <v>0</v>
      </c>
      <c r="I583" s="7">
        <f>TRUNC([1]단가대비표!V497,0)</f>
        <v>0</v>
      </c>
      <c r="J583" s="7">
        <f t="shared" si="63"/>
        <v>0</v>
      </c>
      <c r="K583" s="7">
        <f t="shared" si="64"/>
        <v>0</v>
      </c>
      <c r="L583" s="7">
        <f t="shared" si="64"/>
        <v>0</v>
      </c>
      <c r="M583" s="4" t="s">
        <v>55</v>
      </c>
      <c r="N583" s="6" t="s">
        <v>1863</v>
      </c>
      <c r="O583" s="6" t="s">
        <v>55</v>
      </c>
      <c r="P583" s="6" t="s">
        <v>55</v>
      </c>
      <c r="Q583" s="6" t="s">
        <v>1531</v>
      </c>
      <c r="R583" s="6" t="s">
        <v>56</v>
      </c>
      <c r="S583" s="6" t="s">
        <v>56</v>
      </c>
      <c r="T583" s="6" t="s">
        <v>57</v>
      </c>
      <c r="AR583" s="6" t="s">
        <v>55</v>
      </c>
      <c r="AS583" s="6" t="s">
        <v>55</v>
      </c>
      <c r="AU583" s="6" t="s">
        <v>1864</v>
      </c>
      <c r="AV583">
        <v>1718</v>
      </c>
    </row>
    <row r="584" spans="1:48" ht="30" customHeight="1" x14ac:dyDescent="0.3">
      <c r="A584" s="4" t="s">
        <v>1865</v>
      </c>
      <c r="B584" s="4" t="s">
        <v>1866</v>
      </c>
      <c r="C584" s="4" t="s">
        <v>81</v>
      </c>
      <c r="D584" s="5">
        <v>1</v>
      </c>
      <c r="E584" s="7">
        <f>TRUNC([1]단가대비표!O498,0)</f>
        <v>6528440</v>
      </c>
      <c r="F584" s="7">
        <f t="shared" si="61"/>
        <v>6528440</v>
      </c>
      <c r="G584" s="7">
        <f>TRUNC([1]단가대비표!P498,0)</f>
        <v>0</v>
      </c>
      <c r="H584" s="7">
        <f t="shared" si="62"/>
        <v>0</v>
      </c>
      <c r="I584" s="7">
        <f>TRUNC([1]단가대비표!V498,0)</f>
        <v>0</v>
      </c>
      <c r="J584" s="7">
        <f t="shared" si="63"/>
        <v>0</v>
      </c>
      <c r="K584" s="7">
        <f t="shared" si="64"/>
        <v>6528440</v>
      </c>
      <c r="L584" s="7">
        <f t="shared" si="64"/>
        <v>6528440</v>
      </c>
      <c r="M584" s="4" t="s">
        <v>115</v>
      </c>
      <c r="N584" s="6" t="s">
        <v>1867</v>
      </c>
      <c r="O584" s="6" t="s">
        <v>55</v>
      </c>
      <c r="P584" s="6" t="s">
        <v>55</v>
      </c>
      <c r="Q584" s="6" t="s">
        <v>1531</v>
      </c>
      <c r="R584" s="6" t="s">
        <v>56</v>
      </c>
      <c r="S584" s="6" t="s">
        <v>56</v>
      </c>
      <c r="T584" s="6" t="s">
        <v>57</v>
      </c>
      <c r="AR584" s="6" t="s">
        <v>55</v>
      </c>
      <c r="AS584" s="6" t="s">
        <v>55</v>
      </c>
      <c r="AU584" s="6" t="s">
        <v>1868</v>
      </c>
      <c r="AV584">
        <v>1720</v>
      </c>
    </row>
    <row r="585" spans="1:48" ht="30" customHeight="1" x14ac:dyDescent="0.3">
      <c r="A585" s="4" t="s">
        <v>1869</v>
      </c>
      <c r="B585" s="4" t="s">
        <v>1870</v>
      </c>
      <c r="C585" s="4" t="s">
        <v>81</v>
      </c>
      <c r="D585" s="5">
        <v>1</v>
      </c>
      <c r="E585" s="7">
        <f>TRUNC([1]단가대비표!O499,0)</f>
        <v>4792310</v>
      </c>
      <c r="F585" s="7">
        <f t="shared" si="61"/>
        <v>4792310</v>
      </c>
      <c r="G585" s="7">
        <f>TRUNC([1]단가대비표!P499,0)</f>
        <v>0</v>
      </c>
      <c r="H585" s="7">
        <f t="shared" si="62"/>
        <v>0</v>
      </c>
      <c r="I585" s="7">
        <f>TRUNC([1]단가대비표!V499,0)</f>
        <v>0</v>
      </c>
      <c r="J585" s="7">
        <f t="shared" si="63"/>
        <v>0</v>
      </c>
      <c r="K585" s="7">
        <f t="shared" si="64"/>
        <v>4792310</v>
      </c>
      <c r="L585" s="7">
        <f t="shared" si="64"/>
        <v>4792310</v>
      </c>
      <c r="M585" s="4" t="s">
        <v>115</v>
      </c>
      <c r="N585" s="6" t="s">
        <v>1871</v>
      </c>
      <c r="O585" s="6" t="s">
        <v>55</v>
      </c>
      <c r="P585" s="6" t="s">
        <v>55</v>
      </c>
      <c r="Q585" s="6" t="s">
        <v>1531</v>
      </c>
      <c r="R585" s="6" t="s">
        <v>56</v>
      </c>
      <c r="S585" s="6" t="s">
        <v>56</v>
      </c>
      <c r="T585" s="6" t="s">
        <v>57</v>
      </c>
      <c r="AR585" s="6" t="s">
        <v>55</v>
      </c>
      <c r="AS585" s="6" t="s">
        <v>55</v>
      </c>
      <c r="AU585" s="6" t="s">
        <v>1872</v>
      </c>
      <c r="AV585">
        <v>1721</v>
      </c>
    </row>
    <row r="586" spans="1:48" ht="30" customHeight="1" x14ac:dyDescent="0.3">
      <c r="A586" s="4" t="s">
        <v>1873</v>
      </c>
      <c r="B586" s="4" t="s">
        <v>1874</v>
      </c>
      <c r="C586" s="4" t="s">
        <v>81</v>
      </c>
      <c r="D586" s="5">
        <v>1</v>
      </c>
      <c r="E586" s="7">
        <f>TRUNC([1]단가대비표!O500,0)</f>
        <v>5634410</v>
      </c>
      <c r="F586" s="7">
        <f t="shared" si="61"/>
        <v>5634410</v>
      </c>
      <c r="G586" s="7">
        <f>TRUNC([1]단가대비표!P500,0)</f>
        <v>0</v>
      </c>
      <c r="H586" s="7">
        <f t="shared" si="62"/>
        <v>0</v>
      </c>
      <c r="I586" s="7">
        <f>TRUNC([1]단가대비표!V500,0)</f>
        <v>0</v>
      </c>
      <c r="J586" s="7">
        <f t="shared" si="63"/>
        <v>0</v>
      </c>
      <c r="K586" s="7">
        <f t="shared" si="64"/>
        <v>5634410</v>
      </c>
      <c r="L586" s="7">
        <f t="shared" si="64"/>
        <v>5634410</v>
      </c>
      <c r="M586" s="4" t="s">
        <v>115</v>
      </c>
      <c r="N586" s="6" t="s">
        <v>1875</v>
      </c>
      <c r="O586" s="6" t="s">
        <v>55</v>
      </c>
      <c r="P586" s="6" t="s">
        <v>55</v>
      </c>
      <c r="Q586" s="6" t="s">
        <v>1531</v>
      </c>
      <c r="R586" s="6" t="s">
        <v>56</v>
      </c>
      <c r="S586" s="6" t="s">
        <v>56</v>
      </c>
      <c r="T586" s="6" t="s">
        <v>57</v>
      </c>
      <c r="AR586" s="6" t="s">
        <v>55</v>
      </c>
      <c r="AS586" s="6" t="s">
        <v>55</v>
      </c>
      <c r="AU586" s="6" t="s">
        <v>1876</v>
      </c>
      <c r="AV586">
        <v>1722</v>
      </c>
    </row>
    <row r="587" spans="1:48" ht="30" customHeight="1" x14ac:dyDescent="0.3">
      <c r="A587" s="4" t="s">
        <v>1877</v>
      </c>
      <c r="B587" s="4" t="s">
        <v>1878</v>
      </c>
      <c r="C587" s="4" t="s">
        <v>81</v>
      </c>
      <c r="D587" s="5">
        <v>1</v>
      </c>
      <c r="E587" s="7">
        <f>TRUNC([1]단가대비표!O501,0)</f>
        <v>8986730</v>
      </c>
      <c r="F587" s="7">
        <f t="shared" si="61"/>
        <v>8986730</v>
      </c>
      <c r="G587" s="7">
        <f>TRUNC([1]단가대비표!P501,0)</f>
        <v>0</v>
      </c>
      <c r="H587" s="7">
        <f t="shared" si="62"/>
        <v>0</v>
      </c>
      <c r="I587" s="7">
        <f>TRUNC([1]단가대비표!V501,0)</f>
        <v>0</v>
      </c>
      <c r="J587" s="7">
        <f t="shared" si="63"/>
        <v>0</v>
      </c>
      <c r="K587" s="7">
        <f t="shared" si="64"/>
        <v>8986730</v>
      </c>
      <c r="L587" s="7">
        <f t="shared" si="64"/>
        <v>8986730</v>
      </c>
      <c r="M587" s="4" t="s">
        <v>115</v>
      </c>
      <c r="N587" s="6" t="s">
        <v>1879</v>
      </c>
      <c r="O587" s="6" t="s">
        <v>55</v>
      </c>
      <c r="P587" s="6" t="s">
        <v>55</v>
      </c>
      <c r="Q587" s="6" t="s">
        <v>1531</v>
      </c>
      <c r="R587" s="6" t="s">
        <v>56</v>
      </c>
      <c r="S587" s="6" t="s">
        <v>56</v>
      </c>
      <c r="T587" s="6" t="s">
        <v>57</v>
      </c>
      <c r="AR587" s="6" t="s">
        <v>55</v>
      </c>
      <c r="AS587" s="6" t="s">
        <v>55</v>
      </c>
      <c r="AU587" s="6" t="s">
        <v>1880</v>
      </c>
      <c r="AV587">
        <v>1723</v>
      </c>
    </row>
    <row r="588" spans="1:48" ht="30" customHeight="1" x14ac:dyDescent="0.3">
      <c r="A588" s="4" t="s">
        <v>1881</v>
      </c>
      <c r="B588" s="4" t="s">
        <v>1882</v>
      </c>
      <c r="C588" s="4" t="s">
        <v>81</v>
      </c>
      <c r="D588" s="5">
        <v>1</v>
      </c>
      <c r="E588" s="7">
        <f>TRUNC([1]단가대비표!O502,0)</f>
        <v>8261210</v>
      </c>
      <c r="F588" s="7">
        <f t="shared" si="61"/>
        <v>8261210</v>
      </c>
      <c r="G588" s="7">
        <f>TRUNC([1]단가대비표!P502,0)</f>
        <v>0</v>
      </c>
      <c r="H588" s="7">
        <f t="shared" si="62"/>
        <v>0</v>
      </c>
      <c r="I588" s="7">
        <f>TRUNC([1]단가대비표!V502,0)</f>
        <v>0</v>
      </c>
      <c r="J588" s="7">
        <f t="shared" si="63"/>
        <v>0</v>
      </c>
      <c r="K588" s="7">
        <f t="shared" si="64"/>
        <v>8261210</v>
      </c>
      <c r="L588" s="7">
        <f t="shared" si="64"/>
        <v>8261210</v>
      </c>
      <c r="M588" s="4" t="s">
        <v>115</v>
      </c>
      <c r="N588" s="6" t="s">
        <v>1883</v>
      </c>
      <c r="O588" s="6" t="s">
        <v>55</v>
      </c>
      <c r="P588" s="6" t="s">
        <v>55</v>
      </c>
      <c r="Q588" s="6" t="s">
        <v>1531</v>
      </c>
      <c r="R588" s="6" t="s">
        <v>56</v>
      </c>
      <c r="S588" s="6" t="s">
        <v>56</v>
      </c>
      <c r="T588" s="6" t="s">
        <v>57</v>
      </c>
      <c r="AR588" s="6" t="s">
        <v>55</v>
      </c>
      <c r="AS588" s="6" t="s">
        <v>55</v>
      </c>
      <c r="AU588" s="6" t="s">
        <v>1884</v>
      </c>
      <c r="AV588">
        <v>1724</v>
      </c>
    </row>
    <row r="589" spans="1:48" ht="30" customHeight="1" x14ac:dyDescent="0.3">
      <c r="A589" s="4" t="s">
        <v>1885</v>
      </c>
      <c r="B589" s="4" t="s">
        <v>1886</v>
      </c>
      <c r="C589" s="4" t="s">
        <v>81</v>
      </c>
      <c r="D589" s="5">
        <v>2</v>
      </c>
      <c r="E589" s="7">
        <f>TRUNC([1]단가대비표!O503,0)</f>
        <v>854900</v>
      </c>
      <c r="F589" s="7">
        <f t="shared" si="61"/>
        <v>1709800</v>
      </c>
      <c r="G589" s="7">
        <f>TRUNC([1]단가대비표!P503,0)</f>
        <v>0</v>
      </c>
      <c r="H589" s="7">
        <f t="shared" si="62"/>
        <v>0</v>
      </c>
      <c r="I589" s="7">
        <f>TRUNC([1]단가대비표!V503,0)</f>
        <v>0</v>
      </c>
      <c r="J589" s="7">
        <f t="shared" si="63"/>
        <v>0</v>
      </c>
      <c r="K589" s="7">
        <f t="shared" si="64"/>
        <v>854900</v>
      </c>
      <c r="L589" s="7">
        <f t="shared" si="64"/>
        <v>1709800</v>
      </c>
      <c r="M589" s="4" t="s">
        <v>115</v>
      </c>
      <c r="N589" s="6" t="s">
        <v>1887</v>
      </c>
      <c r="O589" s="6" t="s">
        <v>55</v>
      </c>
      <c r="P589" s="6" t="s">
        <v>55</v>
      </c>
      <c r="Q589" s="6" t="s">
        <v>1531</v>
      </c>
      <c r="R589" s="6" t="s">
        <v>56</v>
      </c>
      <c r="S589" s="6" t="s">
        <v>56</v>
      </c>
      <c r="T589" s="6" t="s">
        <v>57</v>
      </c>
      <c r="AR589" s="6" t="s">
        <v>55</v>
      </c>
      <c r="AS589" s="6" t="s">
        <v>55</v>
      </c>
      <c r="AU589" s="6" t="s">
        <v>1888</v>
      </c>
      <c r="AV589">
        <v>1725</v>
      </c>
    </row>
    <row r="590" spans="1:48" ht="30" customHeight="1" x14ac:dyDescent="0.3">
      <c r="A590" s="4" t="s">
        <v>1889</v>
      </c>
      <c r="B590" s="4" t="s">
        <v>1890</v>
      </c>
      <c r="C590" s="4" t="s">
        <v>1891</v>
      </c>
      <c r="D590" s="5">
        <v>19</v>
      </c>
      <c r="E590" s="7">
        <f>TRUNC([1]단가대비표!O508,0)</f>
        <v>10000</v>
      </c>
      <c r="F590" s="7">
        <f t="shared" si="61"/>
        <v>190000</v>
      </c>
      <c r="G590" s="7">
        <f>TRUNC([1]단가대비표!P508,0)</f>
        <v>0</v>
      </c>
      <c r="H590" s="7">
        <f t="shared" si="62"/>
        <v>0</v>
      </c>
      <c r="I590" s="7">
        <f>TRUNC([1]단가대비표!V508,0)</f>
        <v>0</v>
      </c>
      <c r="J590" s="7">
        <f t="shared" si="63"/>
        <v>0</v>
      </c>
      <c r="K590" s="7">
        <f t="shared" si="64"/>
        <v>10000</v>
      </c>
      <c r="L590" s="7">
        <f t="shared" si="64"/>
        <v>190000</v>
      </c>
      <c r="M590" s="4" t="s">
        <v>115</v>
      </c>
      <c r="N590" s="6" t="s">
        <v>1892</v>
      </c>
      <c r="O590" s="6" t="s">
        <v>55</v>
      </c>
      <c r="P590" s="6" t="s">
        <v>55</v>
      </c>
      <c r="Q590" s="6" t="s">
        <v>1531</v>
      </c>
      <c r="R590" s="6" t="s">
        <v>56</v>
      </c>
      <c r="S590" s="6" t="s">
        <v>56</v>
      </c>
      <c r="T590" s="6" t="s">
        <v>57</v>
      </c>
      <c r="AR590" s="6" t="s">
        <v>55</v>
      </c>
      <c r="AS590" s="6" t="s">
        <v>55</v>
      </c>
      <c r="AU590" s="6" t="s">
        <v>1893</v>
      </c>
      <c r="AV590">
        <v>1844</v>
      </c>
    </row>
    <row r="591" spans="1:48" ht="30" customHeight="1" x14ac:dyDescent="0.3">
      <c r="A591" s="4" t="s">
        <v>1894</v>
      </c>
      <c r="B591" s="4" t="s">
        <v>1895</v>
      </c>
      <c r="C591" s="4" t="s">
        <v>81</v>
      </c>
      <c r="D591" s="5">
        <v>2</v>
      </c>
      <c r="E591" s="7">
        <f>TRUNC([1]단가대비표!O509,0)</f>
        <v>758000</v>
      </c>
      <c r="F591" s="7">
        <f t="shared" si="61"/>
        <v>1516000</v>
      </c>
      <c r="G591" s="7">
        <f>TRUNC([1]단가대비표!P509,0)</f>
        <v>0</v>
      </c>
      <c r="H591" s="7">
        <f t="shared" si="62"/>
        <v>0</v>
      </c>
      <c r="I591" s="7">
        <f>TRUNC([1]단가대비표!V509,0)</f>
        <v>0</v>
      </c>
      <c r="J591" s="7">
        <f t="shared" si="63"/>
        <v>0</v>
      </c>
      <c r="K591" s="7">
        <f t="shared" si="64"/>
        <v>758000</v>
      </c>
      <c r="L591" s="7">
        <f t="shared" si="64"/>
        <v>1516000</v>
      </c>
      <c r="M591" s="4" t="s">
        <v>115</v>
      </c>
      <c r="N591" s="6" t="s">
        <v>1896</v>
      </c>
      <c r="O591" s="6" t="s">
        <v>55</v>
      </c>
      <c r="P591" s="6" t="s">
        <v>55</v>
      </c>
      <c r="Q591" s="6" t="s">
        <v>1531</v>
      </c>
      <c r="R591" s="6" t="s">
        <v>56</v>
      </c>
      <c r="S591" s="6" t="s">
        <v>56</v>
      </c>
      <c r="T591" s="6" t="s">
        <v>57</v>
      </c>
      <c r="AR591" s="6" t="s">
        <v>55</v>
      </c>
      <c r="AS591" s="6" t="s">
        <v>55</v>
      </c>
      <c r="AU591" s="6" t="s">
        <v>1897</v>
      </c>
      <c r="AV591">
        <v>1845</v>
      </c>
    </row>
    <row r="592" spans="1:48" ht="30" customHeight="1" x14ac:dyDescent="0.3">
      <c r="A592" s="4" t="s">
        <v>1894</v>
      </c>
      <c r="B592" s="4" t="s">
        <v>1898</v>
      </c>
      <c r="C592" s="4" t="s">
        <v>81</v>
      </c>
      <c r="D592" s="5">
        <v>3</v>
      </c>
      <c r="E592" s="7">
        <f>TRUNC([1]단가대비표!O510,0)</f>
        <v>758000</v>
      </c>
      <c r="F592" s="7">
        <f t="shared" si="61"/>
        <v>2274000</v>
      </c>
      <c r="G592" s="7">
        <f>TRUNC([1]단가대비표!P510,0)</f>
        <v>0</v>
      </c>
      <c r="H592" s="7">
        <f t="shared" si="62"/>
        <v>0</v>
      </c>
      <c r="I592" s="7">
        <f>TRUNC([1]단가대비표!V510,0)</f>
        <v>0</v>
      </c>
      <c r="J592" s="7">
        <f t="shared" si="63"/>
        <v>0</v>
      </c>
      <c r="K592" s="7">
        <f t="shared" si="64"/>
        <v>758000</v>
      </c>
      <c r="L592" s="7">
        <f t="shared" si="64"/>
        <v>2274000</v>
      </c>
      <c r="M592" s="4" t="s">
        <v>115</v>
      </c>
      <c r="N592" s="6" t="s">
        <v>1899</v>
      </c>
      <c r="O592" s="6" t="s">
        <v>55</v>
      </c>
      <c r="P592" s="6" t="s">
        <v>55</v>
      </c>
      <c r="Q592" s="6" t="s">
        <v>1531</v>
      </c>
      <c r="R592" s="6" t="s">
        <v>56</v>
      </c>
      <c r="S592" s="6" t="s">
        <v>56</v>
      </c>
      <c r="T592" s="6" t="s">
        <v>57</v>
      </c>
      <c r="AR592" s="6" t="s">
        <v>55</v>
      </c>
      <c r="AS592" s="6" t="s">
        <v>55</v>
      </c>
      <c r="AU592" s="6" t="s">
        <v>1900</v>
      </c>
      <c r="AV592">
        <v>1846</v>
      </c>
    </row>
    <row r="593" spans="1:48" ht="30" customHeight="1" x14ac:dyDescent="0.3">
      <c r="A593" s="4" t="s">
        <v>1894</v>
      </c>
      <c r="B593" s="4" t="s">
        <v>1901</v>
      </c>
      <c r="C593" s="4" t="s">
        <v>81</v>
      </c>
      <c r="D593" s="5">
        <v>2</v>
      </c>
      <c r="E593" s="7">
        <f>TRUNC([1]단가대비표!O511,0)</f>
        <v>758000</v>
      </c>
      <c r="F593" s="7">
        <f t="shared" si="61"/>
        <v>1516000</v>
      </c>
      <c r="G593" s="7">
        <f>TRUNC([1]단가대비표!P511,0)</f>
        <v>0</v>
      </c>
      <c r="H593" s="7">
        <f t="shared" si="62"/>
        <v>0</v>
      </c>
      <c r="I593" s="7">
        <f>TRUNC([1]단가대비표!V511,0)</f>
        <v>0</v>
      </c>
      <c r="J593" s="7">
        <f t="shared" si="63"/>
        <v>0</v>
      </c>
      <c r="K593" s="7">
        <f t="shared" si="64"/>
        <v>758000</v>
      </c>
      <c r="L593" s="7">
        <f t="shared" si="64"/>
        <v>1516000</v>
      </c>
      <c r="M593" s="4" t="s">
        <v>115</v>
      </c>
      <c r="N593" s="6" t="s">
        <v>1902</v>
      </c>
      <c r="O593" s="6" t="s">
        <v>55</v>
      </c>
      <c r="P593" s="6" t="s">
        <v>55</v>
      </c>
      <c r="Q593" s="6" t="s">
        <v>1531</v>
      </c>
      <c r="R593" s="6" t="s">
        <v>56</v>
      </c>
      <c r="S593" s="6" t="s">
        <v>56</v>
      </c>
      <c r="T593" s="6" t="s">
        <v>57</v>
      </c>
      <c r="AR593" s="6" t="s">
        <v>55</v>
      </c>
      <c r="AS593" s="6" t="s">
        <v>55</v>
      </c>
      <c r="AU593" s="6" t="s">
        <v>1903</v>
      </c>
      <c r="AV593">
        <v>1847</v>
      </c>
    </row>
    <row r="594" spans="1:48" ht="30" customHeight="1" x14ac:dyDescent="0.3">
      <c r="A594" s="4" t="s">
        <v>1904</v>
      </c>
      <c r="B594" s="4" t="s">
        <v>1905</v>
      </c>
      <c r="C594" s="4" t="s">
        <v>81</v>
      </c>
      <c r="D594" s="5">
        <v>2</v>
      </c>
      <c r="E594" s="7">
        <f>TRUNC([1]단가대비표!O824,0)</f>
        <v>1500000</v>
      </c>
      <c r="F594" s="7">
        <f t="shared" si="61"/>
        <v>3000000</v>
      </c>
      <c r="G594" s="7">
        <f>TRUNC([1]단가대비표!P824,0)</f>
        <v>0</v>
      </c>
      <c r="H594" s="7">
        <f t="shared" si="62"/>
        <v>0</v>
      </c>
      <c r="I594" s="7">
        <f>TRUNC([1]단가대비표!V824,0)</f>
        <v>0</v>
      </c>
      <c r="J594" s="7">
        <f t="shared" si="63"/>
        <v>0</v>
      </c>
      <c r="K594" s="7">
        <f t="shared" si="64"/>
        <v>1500000</v>
      </c>
      <c r="L594" s="7">
        <f t="shared" si="64"/>
        <v>3000000</v>
      </c>
      <c r="M594" s="4" t="s">
        <v>115</v>
      </c>
      <c r="N594" s="6" t="s">
        <v>1906</v>
      </c>
      <c r="O594" s="6" t="s">
        <v>55</v>
      </c>
      <c r="P594" s="6" t="s">
        <v>55</v>
      </c>
      <c r="Q594" s="6" t="s">
        <v>1531</v>
      </c>
      <c r="R594" s="6" t="s">
        <v>56</v>
      </c>
      <c r="S594" s="6" t="s">
        <v>56</v>
      </c>
      <c r="T594" s="6" t="s">
        <v>57</v>
      </c>
      <c r="AR594" s="6" t="s">
        <v>55</v>
      </c>
      <c r="AS594" s="6" t="s">
        <v>55</v>
      </c>
      <c r="AU594" s="6" t="s">
        <v>1907</v>
      </c>
      <c r="AV594">
        <v>3015</v>
      </c>
    </row>
    <row r="595" spans="1:48" ht="30" customHeight="1" x14ac:dyDescent="0.3">
      <c r="A595" s="4" t="s">
        <v>1904</v>
      </c>
      <c r="B595" s="4" t="s">
        <v>1908</v>
      </c>
      <c r="C595" s="4" t="s">
        <v>81</v>
      </c>
      <c r="D595" s="5">
        <v>3</v>
      </c>
      <c r="E595" s="7">
        <f>TRUNC([1]단가대비표!O825,0)</f>
        <v>1200000</v>
      </c>
      <c r="F595" s="7">
        <f t="shared" si="61"/>
        <v>3600000</v>
      </c>
      <c r="G595" s="7">
        <f>TRUNC([1]단가대비표!P825,0)</f>
        <v>0</v>
      </c>
      <c r="H595" s="7">
        <f t="shared" si="62"/>
        <v>0</v>
      </c>
      <c r="I595" s="7">
        <f>TRUNC([1]단가대비표!V825,0)</f>
        <v>0</v>
      </c>
      <c r="J595" s="7">
        <f t="shared" si="63"/>
        <v>0</v>
      </c>
      <c r="K595" s="7">
        <f t="shared" si="64"/>
        <v>1200000</v>
      </c>
      <c r="L595" s="7">
        <f t="shared" si="64"/>
        <v>3600000</v>
      </c>
      <c r="M595" s="4" t="s">
        <v>115</v>
      </c>
      <c r="N595" s="6" t="s">
        <v>1909</v>
      </c>
      <c r="O595" s="6" t="s">
        <v>55</v>
      </c>
      <c r="P595" s="6" t="s">
        <v>55</v>
      </c>
      <c r="Q595" s="6" t="s">
        <v>1531</v>
      </c>
      <c r="R595" s="6" t="s">
        <v>56</v>
      </c>
      <c r="S595" s="6" t="s">
        <v>56</v>
      </c>
      <c r="T595" s="6" t="s">
        <v>57</v>
      </c>
      <c r="AR595" s="6" t="s">
        <v>55</v>
      </c>
      <c r="AS595" s="6" t="s">
        <v>55</v>
      </c>
      <c r="AU595" s="6" t="s">
        <v>1910</v>
      </c>
      <c r="AV595">
        <v>3016</v>
      </c>
    </row>
    <row r="596" spans="1:48" ht="30" customHeight="1" x14ac:dyDescent="0.3">
      <c r="A596" s="4" t="s">
        <v>1911</v>
      </c>
      <c r="B596" s="4" t="s">
        <v>1912</v>
      </c>
      <c r="C596" s="4" t="s">
        <v>81</v>
      </c>
      <c r="D596" s="5">
        <v>12</v>
      </c>
      <c r="E596" s="7">
        <f>TRUNC([1]단가대비표!O826,0)</f>
        <v>800000</v>
      </c>
      <c r="F596" s="7">
        <f t="shared" si="61"/>
        <v>9600000</v>
      </c>
      <c r="G596" s="7">
        <f>TRUNC([1]단가대비표!P826,0)</f>
        <v>0</v>
      </c>
      <c r="H596" s="7">
        <f t="shared" si="62"/>
        <v>0</v>
      </c>
      <c r="I596" s="7">
        <f>TRUNC([1]단가대비표!V826,0)</f>
        <v>0</v>
      </c>
      <c r="J596" s="7">
        <f t="shared" si="63"/>
        <v>0</v>
      </c>
      <c r="K596" s="7">
        <f t="shared" si="64"/>
        <v>800000</v>
      </c>
      <c r="L596" s="7">
        <f t="shared" si="64"/>
        <v>9600000</v>
      </c>
      <c r="M596" s="4" t="s">
        <v>115</v>
      </c>
      <c r="N596" s="6" t="s">
        <v>1913</v>
      </c>
      <c r="O596" s="6" t="s">
        <v>55</v>
      </c>
      <c r="P596" s="6" t="s">
        <v>55</v>
      </c>
      <c r="Q596" s="6" t="s">
        <v>1531</v>
      </c>
      <c r="R596" s="6" t="s">
        <v>56</v>
      </c>
      <c r="S596" s="6" t="s">
        <v>56</v>
      </c>
      <c r="T596" s="6" t="s">
        <v>57</v>
      </c>
      <c r="AR596" s="6" t="s">
        <v>55</v>
      </c>
      <c r="AS596" s="6" t="s">
        <v>55</v>
      </c>
      <c r="AU596" s="6" t="s">
        <v>1914</v>
      </c>
      <c r="AV596">
        <v>3017</v>
      </c>
    </row>
    <row r="597" spans="1:48" ht="30" customHeight="1" x14ac:dyDescent="0.3">
      <c r="A597" s="4" t="s">
        <v>1911</v>
      </c>
      <c r="B597" s="4" t="s">
        <v>1915</v>
      </c>
      <c r="C597" s="4" t="s">
        <v>81</v>
      </c>
      <c r="D597" s="5">
        <v>2</v>
      </c>
      <c r="E597" s="7">
        <f>TRUNC([1]단가대비표!O827,0)</f>
        <v>728000</v>
      </c>
      <c r="F597" s="7">
        <f t="shared" si="61"/>
        <v>1456000</v>
      </c>
      <c r="G597" s="7">
        <f>TRUNC([1]단가대비표!P827,0)</f>
        <v>0</v>
      </c>
      <c r="H597" s="7">
        <f t="shared" si="62"/>
        <v>0</v>
      </c>
      <c r="I597" s="7">
        <f>TRUNC([1]단가대비표!V827,0)</f>
        <v>0</v>
      </c>
      <c r="J597" s="7">
        <f t="shared" si="63"/>
        <v>0</v>
      </c>
      <c r="K597" s="7">
        <f t="shared" si="64"/>
        <v>728000</v>
      </c>
      <c r="L597" s="7">
        <f t="shared" si="64"/>
        <v>1456000</v>
      </c>
      <c r="M597" s="4" t="s">
        <v>115</v>
      </c>
      <c r="N597" s="6" t="s">
        <v>1916</v>
      </c>
      <c r="O597" s="6" t="s">
        <v>55</v>
      </c>
      <c r="P597" s="6" t="s">
        <v>55</v>
      </c>
      <c r="Q597" s="6" t="s">
        <v>1531</v>
      </c>
      <c r="R597" s="6" t="s">
        <v>56</v>
      </c>
      <c r="S597" s="6" t="s">
        <v>56</v>
      </c>
      <c r="T597" s="6" t="s">
        <v>57</v>
      </c>
      <c r="AR597" s="6" t="s">
        <v>55</v>
      </c>
      <c r="AS597" s="6" t="s">
        <v>55</v>
      </c>
      <c r="AU597" s="6" t="s">
        <v>1917</v>
      </c>
      <c r="AV597">
        <v>3018</v>
      </c>
    </row>
    <row r="598" spans="1:48" ht="30" customHeight="1" x14ac:dyDescent="0.3">
      <c r="A598" s="4" t="s">
        <v>1911</v>
      </c>
      <c r="B598" s="4" t="s">
        <v>1918</v>
      </c>
      <c r="C598" s="4" t="s">
        <v>81</v>
      </c>
      <c r="D598" s="5">
        <v>1</v>
      </c>
      <c r="E598" s="7">
        <f>TRUNC([1]단가대비표!O828,0)</f>
        <v>728000</v>
      </c>
      <c r="F598" s="7">
        <f t="shared" si="61"/>
        <v>728000</v>
      </c>
      <c r="G598" s="7">
        <f>TRUNC([1]단가대비표!P828,0)</f>
        <v>0</v>
      </c>
      <c r="H598" s="7">
        <f t="shared" si="62"/>
        <v>0</v>
      </c>
      <c r="I598" s="7">
        <f>TRUNC([1]단가대비표!V828,0)</f>
        <v>0</v>
      </c>
      <c r="J598" s="7">
        <f t="shared" si="63"/>
        <v>0</v>
      </c>
      <c r="K598" s="7">
        <f t="shared" si="64"/>
        <v>728000</v>
      </c>
      <c r="L598" s="7">
        <f t="shared" si="64"/>
        <v>728000</v>
      </c>
      <c r="M598" s="4" t="s">
        <v>115</v>
      </c>
      <c r="N598" s="6" t="s">
        <v>1919</v>
      </c>
      <c r="O598" s="6" t="s">
        <v>55</v>
      </c>
      <c r="P598" s="6" t="s">
        <v>55</v>
      </c>
      <c r="Q598" s="6" t="s">
        <v>1531</v>
      </c>
      <c r="R598" s="6" t="s">
        <v>56</v>
      </c>
      <c r="S598" s="6" t="s">
        <v>56</v>
      </c>
      <c r="T598" s="6" t="s">
        <v>57</v>
      </c>
      <c r="AR598" s="6" t="s">
        <v>55</v>
      </c>
      <c r="AS598" s="6" t="s">
        <v>55</v>
      </c>
      <c r="AU598" s="6" t="s">
        <v>1920</v>
      </c>
      <c r="AV598">
        <v>3019</v>
      </c>
    </row>
    <row r="599" spans="1:48" ht="30" customHeight="1" x14ac:dyDescent="0.3">
      <c r="A599" s="4" t="s">
        <v>1911</v>
      </c>
      <c r="B599" s="4" t="s">
        <v>1921</v>
      </c>
      <c r="C599" s="4" t="s">
        <v>81</v>
      </c>
      <c r="D599" s="5">
        <v>4</v>
      </c>
      <c r="E599" s="7">
        <f>TRUNC([1]단가대비표!O829,0)</f>
        <v>800000</v>
      </c>
      <c r="F599" s="7">
        <f t="shared" si="61"/>
        <v>3200000</v>
      </c>
      <c r="G599" s="7">
        <f>TRUNC([1]단가대비표!P829,0)</f>
        <v>0</v>
      </c>
      <c r="H599" s="7">
        <f t="shared" si="62"/>
        <v>0</v>
      </c>
      <c r="I599" s="7">
        <f>TRUNC([1]단가대비표!V829,0)</f>
        <v>0</v>
      </c>
      <c r="J599" s="7">
        <f t="shared" si="63"/>
        <v>0</v>
      </c>
      <c r="K599" s="7">
        <f t="shared" si="64"/>
        <v>800000</v>
      </c>
      <c r="L599" s="7">
        <f t="shared" si="64"/>
        <v>3200000</v>
      </c>
      <c r="M599" s="4" t="s">
        <v>115</v>
      </c>
      <c r="N599" s="6" t="s">
        <v>1922</v>
      </c>
      <c r="O599" s="6" t="s">
        <v>55</v>
      </c>
      <c r="P599" s="6" t="s">
        <v>55</v>
      </c>
      <c r="Q599" s="6" t="s">
        <v>1531</v>
      </c>
      <c r="R599" s="6" t="s">
        <v>56</v>
      </c>
      <c r="S599" s="6" t="s">
        <v>56</v>
      </c>
      <c r="T599" s="6" t="s">
        <v>57</v>
      </c>
      <c r="AR599" s="6" t="s">
        <v>55</v>
      </c>
      <c r="AS599" s="6" t="s">
        <v>55</v>
      </c>
      <c r="AU599" s="6" t="s">
        <v>1923</v>
      </c>
      <c r="AV599">
        <v>3021</v>
      </c>
    </row>
    <row r="600" spans="1:48" ht="30" customHeight="1" x14ac:dyDescent="0.3">
      <c r="A600" s="4" t="s">
        <v>1924</v>
      </c>
      <c r="B600" s="4" t="s">
        <v>1925</v>
      </c>
      <c r="C600" s="4" t="s">
        <v>1891</v>
      </c>
      <c r="D600" s="5">
        <v>19</v>
      </c>
      <c r="E600" s="7">
        <f>TRUNC([1]단가대비표!O830,0)</f>
        <v>73000</v>
      </c>
      <c r="F600" s="7">
        <f t="shared" si="61"/>
        <v>1387000</v>
      </c>
      <c r="G600" s="7">
        <f>TRUNC([1]단가대비표!P830,0)</f>
        <v>0</v>
      </c>
      <c r="H600" s="7">
        <f t="shared" si="62"/>
        <v>0</v>
      </c>
      <c r="I600" s="7">
        <f>TRUNC([1]단가대비표!V830,0)</f>
        <v>0</v>
      </c>
      <c r="J600" s="7">
        <f t="shared" si="63"/>
        <v>0</v>
      </c>
      <c r="K600" s="7">
        <f t="shared" ref="K600:L630" si="65">TRUNC(E600+G600+I600, 0)</f>
        <v>73000</v>
      </c>
      <c r="L600" s="7">
        <f t="shared" si="65"/>
        <v>1387000</v>
      </c>
      <c r="M600" s="4" t="s">
        <v>115</v>
      </c>
      <c r="N600" s="6" t="s">
        <v>1926</v>
      </c>
      <c r="O600" s="6" t="s">
        <v>55</v>
      </c>
      <c r="P600" s="6" t="s">
        <v>55</v>
      </c>
      <c r="Q600" s="6" t="s">
        <v>1531</v>
      </c>
      <c r="R600" s="6" t="s">
        <v>56</v>
      </c>
      <c r="S600" s="6" t="s">
        <v>56</v>
      </c>
      <c r="T600" s="6" t="s">
        <v>57</v>
      </c>
      <c r="AR600" s="6" t="s">
        <v>55</v>
      </c>
      <c r="AS600" s="6" t="s">
        <v>55</v>
      </c>
      <c r="AU600" s="6" t="s">
        <v>1927</v>
      </c>
      <c r="AV600">
        <v>3022</v>
      </c>
    </row>
    <row r="601" spans="1:48" ht="30" customHeight="1" x14ac:dyDescent="0.3">
      <c r="A601" s="4" t="s">
        <v>1928</v>
      </c>
      <c r="B601" s="4" t="s">
        <v>1929</v>
      </c>
      <c r="C601" s="4" t="s">
        <v>81</v>
      </c>
      <c r="D601" s="5">
        <v>19</v>
      </c>
      <c r="E601" s="7">
        <f>TRUNC([1]단가대비표!O831,0)</f>
        <v>100000</v>
      </c>
      <c r="F601" s="7">
        <f t="shared" si="61"/>
        <v>1900000</v>
      </c>
      <c r="G601" s="7">
        <f>TRUNC([1]단가대비표!P831,0)</f>
        <v>0</v>
      </c>
      <c r="H601" s="7">
        <f t="shared" si="62"/>
        <v>0</v>
      </c>
      <c r="I601" s="7">
        <f>TRUNC([1]단가대비표!V831,0)</f>
        <v>0</v>
      </c>
      <c r="J601" s="7">
        <f t="shared" si="63"/>
        <v>0</v>
      </c>
      <c r="K601" s="7">
        <f t="shared" si="65"/>
        <v>100000</v>
      </c>
      <c r="L601" s="7">
        <f t="shared" si="65"/>
        <v>1900000</v>
      </c>
      <c r="M601" s="4" t="s">
        <v>115</v>
      </c>
      <c r="N601" s="6" t="s">
        <v>1930</v>
      </c>
      <c r="O601" s="6" t="s">
        <v>55</v>
      </c>
      <c r="P601" s="6" t="s">
        <v>55</v>
      </c>
      <c r="Q601" s="6" t="s">
        <v>1531</v>
      </c>
      <c r="R601" s="6" t="s">
        <v>56</v>
      </c>
      <c r="S601" s="6" t="s">
        <v>56</v>
      </c>
      <c r="T601" s="6" t="s">
        <v>57</v>
      </c>
      <c r="AR601" s="6" t="s">
        <v>55</v>
      </c>
      <c r="AS601" s="6" t="s">
        <v>55</v>
      </c>
      <c r="AU601" s="6" t="s">
        <v>1931</v>
      </c>
      <c r="AV601">
        <v>3023</v>
      </c>
    </row>
    <row r="602" spans="1:48" ht="30" customHeight="1" x14ac:dyDescent="0.3">
      <c r="A602" s="4" t="s">
        <v>1932</v>
      </c>
      <c r="B602" s="4" t="s">
        <v>55</v>
      </c>
      <c r="C602" s="4" t="s">
        <v>81</v>
      </c>
      <c r="D602" s="5">
        <v>26</v>
      </c>
      <c r="E602" s="7">
        <f>TRUNC([1]단가대비표!O868,0)</f>
        <v>25000</v>
      </c>
      <c r="F602" s="7">
        <f t="shared" si="61"/>
        <v>650000</v>
      </c>
      <c r="G602" s="7">
        <f>TRUNC([1]단가대비표!P868,0)</f>
        <v>0</v>
      </c>
      <c r="H602" s="7">
        <f t="shared" si="62"/>
        <v>0</v>
      </c>
      <c r="I602" s="7">
        <f>TRUNC([1]단가대비표!V868,0)</f>
        <v>0</v>
      </c>
      <c r="J602" s="7">
        <f t="shared" si="63"/>
        <v>0</v>
      </c>
      <c r="K602" s="7">
        <f t="shared" si="65"/>
        <v>25000</v>
      </c>
      <c r="L602" s="7">
        <f t="shared" si="65"/>
        <v>650000</v>
      </c>
      <c r="M602" s="4" t="s">
        <v>115</v>
      </c>
      <c r="N602" s="6" t="s">
        <v>1933</v>
      </c>
      <c r="O602" s="6" t="s">
        <v>55</v>
      </c>
      <c r="P602" s="6" t="s">
        <v>55</v>
      </c>
      <c r="Q602" s="6" t="s">
        <v>1531</v>
      </c>
      <c r="R602" s="6" t="s">
        <v>56</v>
      </c>
      <c r="S602" s="6" t="s">
        <v>56</v>
      </c>
      <c r="T602" s="6" t="s">
        <v>57</v>
      </c>
      <c r="AR602" s="6" t="s">
        <v>55</v>
      </c>
      <c r="AS602" s="6" t="s">
        <v>55</v>
      </c>
      <c r="AU602" s="6" t="s">
        <v>1934</v>
      </c>
      <c r="AV602">
        <v>3234</v>
      </c>
    </row>
    <row r="603" spans="1:48" ht="30" customHeight="1" x14ac:dyDescent="0.3">
      <c r="A603" s="4" t="s">
        <v>55</v>
      </c>
      <c r="B603" s="4" t="s">
        <v>55</v>
      </c>
      <c r="C603" s="4" t="s">
        <v>55</v>
      </c>
      <c r="D603" s="5"/>
      <c r="E603" s="7">
        <f>TRUNC([1]단가대비표!O832,0)</f>
        <v>0</v>
      </c>
      <c r="F603" s="7">
        <f t="shared" si="61"/>
        <v>0</v>
      </c>
      <c r="G603" s="7">
        <f>TRUNC([1]단가대비표!P832,0)</f>
        <v>0</v>
      </c>
      <c r="H603" s="7">
        <f t="shared" si="62"/>
        <v>0</v>
      </c>
      <c r="I603" s="7">
        <f>TRUNC([1]단가대비표!V832,0)</f>
        <v>0</v>
      </c>
      <c r="J603" s="7">
        <f t="shared" si="63"/>
        <v>0</v>
      </c>
      <c r="K603" s="7">
        <f t="shared" si="65"/>
        <v>0</v>
      </c>
      <c r="L603" s="7">
        <f t="shared" si="65"/>
        <v>0</v>
      </c>
      <c r="M603" s="4" t="s">
        <v>55</v>
      </c>
      <c r="N603" s="6" t="s">
        <v>1935</v>
      </c>
      <c r="O603" s="6" t="s">
        <v>55</v>
      </c>
      <c r="P603" s="6" t="s">
        <v>55</v>
      </c>
      <c r="Q603" s="6" t="s">
        <v>1531</v>
      </c>
      <c r="R603" s="6" t="s">
        <v>56</v>
      </c>
      <c r="S603" s="6" t="s">
        <v>56</v>
      </c>
      <c r="T603" s="6" t="s">
        <v>57</v>
      </c>
      <c r="AR603" s="6" t="s">
        <v>55</v>
      </c>
      <c r="AS603" s="6" t="s">
        <v>55</v>
      </c>
      <c r="AU603" s="6" t="s">
        <v>1936</v>
      </c>
      <c r="AV603">
        <v>3027</v>
      </c>
    </row>
    <row r="604" spans="1:48" ht="30" customHeight="1" x14ac:dyDescent="0.3">
      <c r="A604" s="4" t="s">
        <v>1937</v>
      </c>
      <c r="B604" s="4" t="s">
        <v>55</v>
      </c>
      <c r="C604" s="4" t="s">
        <v>55</v>
      </c>
      <c r="D604" s="5"/>
      <c r="E604" s="7">
        <f>TRUNC([1]단가대비표!O512,0)</f>
        <v>0</v>
      </c>
      <c r="F604" s="7">
        <f t="shared" si="61"/>
        <v>0</v>
      </c>
      <c r="G604" s="7">
        <f>TRUNC([1]단가대비표!P512,0)</f>
        <v>0</v>
      </c>
      <c r="H604" s="7">
        <f t="shared" si="62"/>
        <v>0</v>
      </c>
      <c r="I604" s="7">
        <f>TRUNC([1]단가대비표!V512,0)</f>
        <v>0</v>
      </c>
      <c r="J604" s="7">
        <f t="shared" si="63"/>
        <v>0</v>
      </c>
      <c r="K604" s="7">
        <f t="shared" si="65"/>
        <v>0</v>
      </c>
      <c r="L604" s="7">
        <f t="shared" si="65"/>
        <v>0</v>
      </c>
      <c r="M604" s="4" t="s">
        <v>55</v>
      </c>
      <c r="N604" s="6" t="s">
        <v>1938</v>
      </c>
      <c r="O604" s="6" t="s">
        <v>55</v>
      </c>
      <c r="P604" s="6" t="s">
        <v>55</v>
      </c>
      <c r="Q604" s="6" t="s">
        <v>1531</v>
      </c>
      <c r="R604" s="6" t="s">
        <v>56</v>
      </c>
      <c r="S604" s="6" t="s">
        <v>56</v>
      </c>
      <c r="T604" s="6" t="s">
        <v>57</v>
      </c>
      <c r="AR604" s="6" t="s">
        <v>55</v>
      </c>
      <c r="AS604" s="6" t="s">
        <v>55</v>
      </c>
      <c r="AU604" s="6" t="s">
        <v>1939</v>
      </c>
      <c r="AV604">
        <v>1848</v>
      </c>
    </row>
    <row r="605" spans="1:48" ht="30" customHeight="1" x14ac:dyDescent="0.3">
      <c r="A605" s="4" t="s">
        <v>1940</v>
      </c>
      <c r="B605" s="4" t="s">
        <v>1941</v>
      </c>
      <c r="C605" s="4" t="s">
        <v>120</v>
      </c>
      <c r="D605" s="5">
        <v>1</v>
      </c>
      <c r="E605" s="7">
        <f>TRUNC([1]단가대비표!O513,0)</f>
        <v>599000</v>
      </c>
      <c r="F605" s="7">
        <f t="shared" si="61"/>
        <v>599000</v>
      </c>
      <c r="G605" s="7">
        <f>TRUNC([1]단가대비표!P513,0)</f>
        <v>0</v>
      </c>
      <c r="H605" s="7">
        <f t="shared" si="62"/>
        <v>0</v>
      </c>
      <c r="I605" s="7">
        <f>TRUNC([1]단가대비표!V513,0)</f>
        <v>0</v>
      </c>
      <c r="J605" s="7">
        <f t="shared" si="63"/>
        <v>0</v>
      </c>
      <c r="K605" s="7">
        <f t="shared" si="65"/>
        <v>599000</v>
      </c>
      <c r="L605" s="7">
        <f t="shared" si="65"/>
        <v>599000</v>
      </c>
      <c r="M605" s="4" t="s">
        <v>115</v>
      </c>
      <c r="N605" s="6" t="s">
        <v>1942</v>
      </c>
      <c r="O605" s="6" t="s">
        <v>55</v>
      </c>
      <c r="P605" s="6" t="s">
        <v>55</v>
      </c>
      <c r="Q605" s="6" t="s">
        <v>1531</v>
      </c>
      <c r="R605" s="6" t="s">
        <v>56</v>
      </c>
      <c r="S605" s="6" t="s">
        <v>56</v>
      </c>
      <c r="T605" s="6" t="s">
        <v>57</v>
      </c>
      <c r="AR605" s="6" t="s">
        <v>55</v>
      </c>
      <c r="AS605" s="6" t="s">
        <v>55</v>
      </c>
      <c r="AU605" s="6" t="s">
        <v>1943</v>
      </c>
      <c r="AV605">
        <v>1853</v>
      </c>
    </row>
    <row r="606" spans="1:48" ht="30" customHeight="1" x14ac:dyDescent="0.3">
      <c r="A606" s="4" t="s">
        <v>55</v>
      </c>
      <c r="B606" s="4" t="s">
        <v>55</v>
      </c>
      <c r="C606" s="4" t="s">
        <v>55</v>
      </c>
      <c r="D606" s="5"/>
      <c r="E606" s="7">
        <f>TRUNC([1]단가대비표!O514,0)</f>
        <v>0</v>
      </c>
      <c r="F606" s="7">
        <f t="shared" si="61"/>
        <v>0</v>
      </c>
      <c r="G606" s="7">
        <f>TRUNC([1]단가대비표!P514,0)</f>
        <v>0</v>
      </c>
      <c r="H606" s="7">
        <f t="shared" si="62"/>
        <v>0</v>
      </c>
      <c r="I606" s="7">
        <f>TRUNC([1]단가대비표!V514,0)</f>
        <v>0</v>
      </c>
      <c r="J606" s="7">
        <f t="shared" si="63"/>
        <v>0</v>
      </c>
      <c r="K606" s="7">
        <f t="shared" si="65"/>
        <v>0</v>
      </c>
      <c r="L606" s="7">
        <f t="shared" si="65"/>
        <v>0</v>
      </c>
      <c r="M606" s="4" t="s">
        <v>55</v>
      </c>
      <c r="N606" s="6" t="s">
        <v>1944</v>
      </c>
      <c r="O606" s="6" t="s">
        <v>55</v>
      </c>
      <c r="P606" s="6" t="s">
        <v>55</v>
      </c>
      <c r="Q606" s="6" t="s">
        <v>1531</v>
      </c>
      <c r="R606" s="6" t="s">
        <v>56</v>
      </c>
      <c r="S606" s="6" t="s">
        <v>56</v>
      </c>
      <c r="T606" s="6" t="s">
        <v>57</v>
      </c>
      <c r="AR606" s="6" t="s">
        <v>55</v>
      </c>
      <c r="AS606" s="6" t="s">
        <v>55</v>
      </c>
      <c r="AU606" s="6" t="s">
        <v>1945</v>
      </c>
      <c r="AV606">
        <v>1854</v>
      </c>
    </row>
    <row r="607" spans="1:48" ht="30" customHeight="1" x14ac:dyDescent="0.3">
      <c r="A607" s="4" t="s">
        <v>1946</v>
      </c>
      <c r="B607" s="4" t="s">
        <v>55</v>
      </c>
      <c r="C607" s="4" t="s">
        <v>55</v>
      </c>
      <c r="D607" s="5"/>
      <c r="E607" s="7">
        <f>TRUNC([1]단가대비표!O515,0)</f>
        <v>0</v>
      </c>
      <c r="F607" s="7">
        <f t="shared" si="61"/>
        <v>0</v>
      </c>
      <c r="G607" s="7">
        <f>TRUNC([1]단가대비표!P515,0)</f>
        <v>0</v>
      </c>
      <c r="H607" s="7">
        <f t="shared" si="62"/>
        <v>0</v>
      </c>
      <c r="I607" s="7">
        <f>TRUNC([1]단가대비표!V515,0)</f>
        <v>0</v>
      </c>
      <c r="J607" s="7">
        <f t="shared" si="63"/>
        <v>0</v>
      </c>
      <c r="K607" s="7">
        <f t="shared" si="65"/>
        <v>0</v>
      </c>
      <c r="L607" s="7">
        <f t="shared" si="65"/>
        <v>0</v>
      </c>
      <c r="M607" s="4" t="s">
        <v>55</v>
      </c>
      <c r="N607" s="6" t="s">
        <v>1947</v>
      </c>
      <c r="O607" s="6" t="s">
        <v>55</v>
      </c>
      <c r="P607" s="6" t="s">
        <v>55</v>
      </c>
      <c r="Q607" s="6" t="s">
        <v>1531</v>
      </c>
      <c r="R607" s="6" t="s">
        <v>56</v>
      </c>
      <c r="S607" s="6" t="s">
        <v>56</v>
      </c>
      <c r="T607" s="6" t="s">
        <v>57</v>
      </c>
      <c r="AR607" s="6" t="s">
        <v>55</v>
      </c>
      <c r="AS607" s="6" t="s">
        <v>55</v>
      </c>
      <c r="AU607" s="6" t="s">
        <v>1948</v>
      </c>
      <c r="AV607">
        <v>1855</v>
      </c>
    </row>
    <row r="608" spans="1:48" ht="30" customHeight="1" x14ac:dyDescent="0.3">
      <c r="A608" s="4" t="s">
        <v>1949</v>
      </c>
      <c r="B608" s="4" t="s">
        <v>1950</v>
      </c>
      <c r="C608" s="4" t="s">
        <v>488</v>
      </c>
      <c r="D608" s="5">
        <v>1</v>
      </c>
      <c r="E608" s="7">
        <f>TRUNC([1]단가대비표!O516,0)</f>
        <v>4027800</v>
      </c>
      <c r="F608" s="7">
        <f t="shared" si="61"/>
        <v>4027800</v>
      </c>
      <c r="G608" s="7">
        <f>TRUNC([1]단가대비표!P516,0)</f>
        <v>1726200</v>
      </c>
      <c r="H608" s="7">
        <f t="shared" si="62"/>
        <v>1726200</v>
      </c>
      <c r="I608" s="7">
        <f>TRUNC([1]단가대비표!V516,0)</f>
        <v>0</v>
      </c>
      <c r="J608" s="7">
        <f t="shared" si="63"/>
        <v>0</v>
      </c>
      <c r="K608" s="7">
        <f t="shared" si="65"/>
        <v>5754000</v>
      </c>
      <c r="L608" s="7">
        <f t="shared" si="65"/>
        <v>5754000</v>
      </c>
      <c r="M608" s="4" t="s">
        <v>115</v>
      </c>
      <c r="N608" s="6" t="s">
        <v>1951</v>
      </c>
      <c r="O608" s="6" t="s">
        <v>55</v>
      </c>
      <c r="P608" s="6" t="s">
        <v>55</v>
      </c>
      <c r="Q608" s="6" t="s">
        <v>1531</v>
      </c>
      <c r="R608" s="6" t="s">
        <v>56</v>
      </c>
      <c r="S608" s="6" t="s">
        <v>56</v>
      </c>
      <c r="T608" s="6" t="s">
        <v>57</v>
      </c>
      <c r="AR608" s="6" t="s">
        <v>55</v>
      </c>
      <c r="AS608" s="6" t="s">
        <v>55</v>
      </c>
      <c r="AU608" s="6" t="s">
        <v>1952</v>
      </c>
      <c r="AV608">
        <v>1856</v>
      </c>
    </row>
    <row r="609" spans="1:48" ht="30" customHeight="1" x14ac:dyDescent="0.3">
      <c r="A609" s="4" t="s">
        <v>1953</v>
      </c>
      <c r="B609" s="4" t="s">
        <v>55</v>
      </c>
      <c r="C609" s="4" t="s">
        <v>92</v>
      </c>
      <c r="D609" s="5">
        <v>1</v>
      </c>
      <c r="E609" s="7">
        <f>TRUNC([1]단가대비표!O878,0)</f>
        <v>0</v>
      </c>
      <c r="F609" s="7">
        <f t="shared" si="61"/>
        <v>0</v>
      </c>
      <c r="G609" s="7">
        <f>TRUNC([1]단가대비표!P878,0)</f>
        <v>0</v>
      </c>
      <c r="H609" s="7">
        <f t="shared" si="62"/>
        <v>0</v>
      </c>
      <c r="I609" s="7">
        <f>TRUNC([1]단가대비표!V878,0)</f>
        <v>0</v>
      </c>
      <c r="J609" s="7">
        <f t="shared" si="63"/>
        <v>0</v>
      </c>
      <c r="K609" s="7">
        <f t="shared" si="65"/>
        <v>0</v>
      </c>
      <c r="L609" s="7">
        <f t="shared" si="65"/>
        <v>0</v>
      </c>
      <c r="M609" s="4" t="s">
        <v>115</v>
      </c>
      <c r="N609" s="6" t="s">
        <v>1954</v>
      </c>
      <c r="O609" s="6" t="s">
        <v>55</v>
      </c>
      <c r="P609" s="6" t="s">
        <v>55</v>
      </c>
      <c r="Q609" s="6" t="s">
        <v>1531</v>
      </c>
      <c r="R609" s="6" t="s">
        <v>56</v>
      </c>
      <c r="S609" s="6" t="s">
        <v>56</v>
      </c>
      <c r="T609" s="6" t="s">
        <v>57</v>
      </c>
      <c r="AR609" s="6" t="s">
        <v>55</v>
      </c>
      <c r="AS609" s="6" t="s">
        <v>55</v>
      </c>
      <c r="AU609" s="6" t="s">
        <v>1955</v>
      </c>
      <c r="AV609">
        <v>3266</v>
      </c>
    </row>
    <row r="610" spans="1:48" ht="30" customHeight="1" x14ac:dyDescent="0.3">
      <c r="A610" s="4" t="s">
        <v>55</v>
      </c>
      <c r="B610" s="4" t="s">
        <v>55</v>
      </c>
      <c r="C610" s="4" t="s">
        <v>55</v>
      </c>
      <c r="D610" s="5"/>
      <c r="E610" s="7">
        <f>TRUNC([1]단가대비표!O517,0)</f>
        <v>0</v>
      </c>
      <c r="F610" s="7">
        <f t="shared" si="61"/>
        <v>0</v>
      </c>
      <c r="G610" s="7">
        <f>TRUNC([1]단가대비표!P517,0)</f>
        <v>0</v>
      </c>
      <c r="H610" s="7">
        <f t="shared" si="62"/>
        <v>0</v>
      </c>
      <c r="I610" s="7">
        <f>TRUNC([1]단가대비표!V517,0)</f>
        <v>0</v>
      </c>
      <c r="J610" s="7">
        <f t="shared" si="63"/>
        <v>0</v>
      </c>
      <c r="K610" s="7">
        <f t="shared" si="65"/>
        <v>0</v>
      </c>
      <c r="L610" s="7">
        <f t="shared" si="65"/>
        <v>0</v>
      </c>
      <c r="M610" s="4" t="s">
        <v>55</v>
      </c>
      <c r="N610" s="6" t="s">
        <v>1956</v>
      </c>
      <c r="O610" s="6" t="s">
        <v>55</v>
      </c>
      <c r="P610" s="6" t="s">
        <v>55</v>
      </c>
      <c r="Q610" s="6" t="s">
        <v>1531</v>
      </c>
      <c r="R610" s="6" t="s">
        <v>56</v>
      </c>
      <c r="S610" s="6" t="s">
        <v>56</v>
      </c>
      <c r="T610" s="6" t="s">
        <v>57</v>
      </c>
      <c r="AR610" s="6" t="s">
        <v>55</v>
      </c>
      <c r="AS610" s="6" t="s">
        <v>55</v>
      </c>
      <c r="AU610" s="6" t="s">
        <v>1957</v>
      </c>
      <c r="AV610">
        <v>1857</v>
      </c>
    </row>
    <row r="611" spans="1:48" ht="30" customHeight="1" x14ac:dyDescent="0.3">
      <c r="A611" s="4" t="s">
        <v>1958</v>
      </c>
      <c r="B611" s="4" t="s">
        <v>55</v>
      </c>
      <c r="C611" s="4" t="s">
        <v>55</v>
      </c>
      <c r="D611" s="5"/>
      <c r="E611" s="7">
        <f>TRUNC([1]단가대비표!O518,0)</f>
        <v>0</v>
      </c>
      <c r="F611" s="7">
        <f t="shared" si="61"/>
        <v>0</v>
      </c>
      <c r="G611" s="7">
        <f>TRUNC([1]단가대비표!P518,0)</f>
        <v>0</v>
      </c>
      <c r="H611" s="7">
        <f t="shared" si="62"/>
        <v>0</v>
      </c>
      <c r="I611" s="7">
        <f>TRUNC([1]단가대비표!V518,0)</f>
        <v>0</v>
      </c>
      <c r="J611" s="7">
        <f t="shared" si="63"/>
        <v>0</v>
      </c>
      <c r="K611" s="7">
        <f t="shared" si="65"/>
        <v>0</v>
      </c>
      <c r="L611" s="7">
        <f t="shared" si="65"/>
        <v>0</v>
      </c>
      <c r="M611" s="4" t="s">
        <v>55</v>
      </c>
      <c r="N611" s="6" t="s">
        <v>1959</v>
      </c>
      <c r="O611" s="6" t="s">
        <v>55</v>
      </c>
      <c r="P611" s="6" t="s">
        <v>55</v>
      </c>
      <c r="Q611" s="6" t="s">
        <v>1531</v>
      </c>
      <c r="R611" s="6" t="s">
        <v>56</v>
      </c>
      <c r="S611" s="6" t="s">
        <v>56</v>
      </c>
      <c r="T611" s="6" t="s">
        <v>57</v>
      </c>
      <c r="AR611" s="6" t="s">
        <v>55</v>
      </c>
      <c r="AS611" s="6" t="s">
        <v>55</v>
      </c>
      <c r="AU611" s="6" t="s">
        <v>1960</v>
      </c>
      <c r="AV611">
        <v>1858</v>
      </c>
    </row>
    <row r="612" spans="1:48" ht="30" customHeight="1" x14ac:dyDescent="0.3">
      <c r="A612" s="4" t="s">
        <v>1961</v>
      </c>
      <c r="B612" s="4" t="s">
        <v>1962</v>
      </c>
      <c r="C612" s="4" t="s">
        <v>120</v>
      </c>
      <c r="D612" s="5">
        <v>6</v>
      </c>
      <c r="E612" s="7">
        <f>TRUNC([1]단가대비표!O519,0)</f>
        <v>1050000</v>
      </c>
      <c r="F612" s="7">
        <f t="shared" si="61"/>
        <v>6300000</v>
      </c>
      <c r="G612" s="7">
        <f>TRUNC([1]단가대비표!P519,0)</f>
        <v>0</v>
      </c>
      <c r="H612" s="7">
        <f t="shared" si="62"/>
        <v>0</v>
      </c>
      <c r="I612" s="7">
        <f>TRUNC([1]단가대비표!V519,0)</f>
        <v>0</v>
      </c>
      <c r="J612" s="7">
        <f t="shared" si="63"/>
        <v>0</v>
      </c>
      <c r="K612" s="7">
        <f t="shared" si="65"/>
        <v>1050000</v>
      </c>
      <c r="L612" s="7">
        <f t="shared" si="65"/>
        <v>6300000</v>
      </c>
      <c r="M612" s="4" t="s">
        <v>115</v>
      </c>
      <c r="N612" s="6" t="s">
        <v>1963</v>
      </c>
      <c r="O612" s="6" t="s">
        <v>55</v>
      </c>
      <c r="P612" s="6" t="s">
        <v>55</v>
      </c>
      <c r="Q612" s="6" t="s">
        <v>1531</v>
      </c>
      <c r="R612" s="6" t="s">
        <v>56</v>
      </c>
      <c r="S612" s="6" t="s">
        <v>56</v>
      </c>
      <c r="T612" s="6" t="s">
        <v>57</v>
      </c>
      <c r="AR612" s="6" t="s">
        <v>55</v>
      </c>
      <c r="AS612" s="6" t="s">
        <v>55</v>
      </c>
      <c r="AU612" s="6" t="s">
        <v>1964</v>
      </c>
      <c r="AV612">
        <v>1859</v>
      </c>
    </row>
    <row r="613" spans="1:48" ht="30" customHeight="1" x14ac:dyDescent="0.3">
      <c r="A613" s="4" t="s">
        <v>1965</v>
      </c>
      <c r="B613" s="4" t="s">
        <v>1966</v>
      </c>
      <c r="C613" s="4" t="s">
        <v>120</v>
      </c>
      <c r="D613" s="5">
        <v>12</v>
      </c>
      <c r="E613" s="7">
        <f>TRUNC([1]단가대비표!O520,0)</f>
        <v>2200000</v>
      </c>
      <c r="F613" s="7">
        <f t="shared" si="61"/>
        <v>26400000</v>
      </c>
      <c r="G613" s="7">
        <f>TRUNC([1]단가대비표!P520,0)</f>
        <v>0</v>
      </c>
      <c r="H613" s="7">
        <f t="shared" si="62"/>
        <v>0</v>
      </c>
      <c r="I613" s="7">
        <f>TRUNC([1]단가대비표!V520,0)</f>
        <v>0</v>
      </c>
      <c r="J613" s="7">
        <f t="shared" si="63"/>
        <v>0</v>
      </c>
      <c r="K613" s="7">
        <f t="shared" si="65"/>
        <v>2200000</v>
      </c>
      <c r="L613" s="7">
        <f t="shared" si="65"/>
        <v>26400000</v>
      </c>
      <c r="M613" s="4" t="s">
        <v>115</v>
      </c>
      <c r="N613" s="6" t="s">
        <v>1967</v>
      </c>
      <c r="O613" s="6" t="s">
        <v>55</v>
      </c>
      <c r="P613" s="6" t="s">
        <v>55</v>
      </c>
      <c r="Q613" s="6" t="s">
        <v>1531</v>
      </c>
      <c r="R613" s="6" t="s">
        <v>56</v>
      </c>
      <c r="S613" s="6" t="s">
        <v>56</v>
      </c>
      <c r="T613" s="6" t="s">
        <v>57</v>
      </c>
      <c r="AR613" s="6" t="s">
        <v>55</v>
      </c>
      <c r="AS613" s="6" t="s">
        <v>55</v>
      </c>
      <c r="AU613" s="6" t="s">
        <v>1968</v>
      </c>
      <c r="AV613">
        <v>1860</v>
      </c>
    </row>
    <row r="614" spans="1:48" ht="30" customHeight="1" x14ac:dyDescent="0.3">
      <c r="A614" s="4" t="s">
        <v>1969</v>
      </c>
      <c r="B614" s="4" t="s">
        <v>1970</v>
      </c>
      <c r="C614" s="4" t="s">
        <v>120</v>
      </c>
      <c r="D614" s="5">
        <v>3</v>
      </c>
      <c r="E614" s="7">
        <f>TRUNC([1]단가대비표!O521,0)</f>
        <v>2400000</v>
      </c>
      <c r="F614" s="7">
        <f t="shared" si="61"/>
        <v>7200000</v>
      </c>
      <c r="G614" s="7">
        <f>TRUNC([1]단가대비표!P521,0)</f>
        <v>0</v>
      </c>
      <c r="H614" s="7">
        <f t="shared" si="62"/>
        <v>0</v>
      </c>
      <c r="I614" s="7">
        <f>TRUNC([1]단가대비표!V521,0)</f>
        <v>0</v>
      </c>
      <c r="J614" s="7">
        <f t="shared" si="63"/>
        <v>0</v>
      </c>
      <c r="K614" s="7">
        <f t="shared" si="65"/>
        <v>2400000</v>
      </c>
      <c r="L614" s="7">
        <f t="shared" si="65"/>
        <v>7200000</v>
      </c>
      <c r="M614" s="4" t="s">
        <v>115</v>
      </c>
      <c r="N614" s="6" t="s">
        <v>1971</v>
      </c>
      <c r="O614" s="6" t="s">
        <v>55</v>
      </c>
      <c r="P614" s="6" t="s">
        <v>55</v>
      </c>
      <c r="Q614" s="6" t="s">
        <v>1531</v>
      </c>
      <c r="R614" s="6" t="s">
        <v>56</v>
      </c>
      <c r="S614" s="6" t="s">
        <v>56</v>
      </c>
      <c r="T614" s="6" t="s">
        <v>57</v>
      </c>
      <c r="AR614" s="6" t="s">
        <v>55</v>
      </c>
      <c r="AS614" s="6" t="s">
        <v>55</v>
      </c>
      <c r="AU614" s="6" t="s">
        <v>1972</v>
      </c>
      <c r="AV614">
        <v>1861</v>
      </c>
    </row>
    <row r="615" spans="1:48" ht="30" customHeight="1" x14ac:dyDescent="0.3">
      <c r="A615" s="4" t="s">
        <v>55</v>
      </c>
      <c r="B615" s="4" t="s">
        <v>55</v>
      </c>
      <c r="C615" s="4" t="s">
        <v>55</v>
      </c>
      <c r="D615" s="5"/>
      <c r="E615" s="7">
        <f>TRUNC([1]단가대비표!O522,0)</f>
        <v>0</v>
      </c>
      <c r="F615" s="7">
        <f t="shared" si="61"/>
        <v>0</v>
      </c>
      <c r="G615" s="7">
        <f>TRUNC([1]단가대비표!P522,0)</f>
        <v>0</v>
      </c>
      <c r="H615" s="7">
        <f t="shared" si="62"/>
        <v>0</v>
      </c>
      <c r="I615" s="7">
        <f>TRUNC([1]단가대비표!V522,0)</f>
        <v>0</v>
      </c>
      <c r="J615" s="7">
        <f t="shared" si="63"/>
        <v>0</v>
      </c>
      <c r="K615" s="7">
        <f t="shared" si="65"/>
        <v>0</v>
      </c>
      <c r="L615" s="7">
        <f t="shared" si="65"/>
        <v>0</v>
      </c>
      <c r="M615" s="4" t="s">
        <v>55</v>
      </c>
      <c r="N615" s="6" t="s">
        <v>1973</v>
      </c>
      <c r="O615" s="6" t="s">
        <v>55</v>
      </c>
      <c r="P615" s="6" t="s">
        <v>55</v>
      </c>
      <c r="Q615" s="6" t="s">
        <v>1531</v>
      </c>
      <c r="R615" s="6" t="s">
        <v>56</v>
      </c>
      <c r="S615" s="6" t="s">
        <v>56</v>
      </c>
      <c r="T615" s="6" t="s">
        <v>57</v>
      </c>
      <c r="AR615" s="6" t="s">
        <v>55</v>
      </c>
      <c r="AS615" s="6" t="s">
        <v>55</v>
      </c>
      <c r="AU615" s="6" t="s">
        <v>1974</v>
      </c>
      <c r="AV615">
        <v>1862</v>
      </c>
    </row>
    <row r="616" spans="1:48" ht="30" customHeight="1" x14ac:dyDescent="0.3">
      <c r="A616" s="4" t="s">
        <v>1975</v>
      </c>
      <c r="B616" s="4" t="s">
        <v>55</v>
      </c>
      <c r="C616" s="4" t="s">
        <v>55</v>
      </c>
      <c r="D616" s="5"/>
      <c r="E616" s="7">
        <f>TRUNC([1]단가대비표!O523,0)</f>
        <v>0</v>
      </c>
      <c r="F616" s="7">
        <f t="shared" si="61"/>
        <v>0</v>
      </c>
      <c r="G616" s="7">
        <f>TRUNC([1]단가대비표!P523,0)</f>
        <v>0</v>
      </c>
      <c r="H616" s="7">
        <f t="shared" si="62"/>
        <v>0</v>
      </c>
      <c r="I616" s="7">
        <f>TRUNC([1]단가대비표!V523,0)</f>
        <v>0</v>
      </c>
      <c r="J616" s="7">
        <f t="shared" si="63"/>
        <v>0</v>
      </c>
      <c r="K616" s="7">
        <f t="shared" si="65"/>
        <v>0</v>
      </c>
      <c r="L616" s="7">
        <f t="shared" si="65"/>
        <v>0</v>
      </c>
      <c r="M616" s="4" t="s">
        <v>55</v>
      </c>
      <c r="N616" s="6" t="s">
        <v>1976</v>
      </c>
      <c r="O616" s="6" t="s">
        <v>55</v>
      </c>
      <c r="P616" s="6" t="s">
        <v>55</v>
      </c>
      <c r="Q616" s="6" t="s">
        <v>1531</v>
      </c>
      <c r="R616" s="6" t="s">
        <v>56</v>
      </c>
      <c r="S616" s="6" t="s">
        <v>56</v>
      </c>
      <c r="T616" s="6" t="s">
        <v>57</v>
      </c>
      <c r="AR616" s="6" t="s">
        <v>55</v>
      </c>
      <c r="AS616" s="6" t="s">
        <v>55</v>
      </c>
      <c r="AU616" s="6" t="s">
        <v>1977</v>
      </c>
      <c r="AV616">
        <v>1863</v>
      </c>
    </row>
    <row r="617" spans="1:48" ht="30" customHeight="1" x14ac:dyDescent="0.3">
      <c r="A617" s="4" t="s">
        <v>1978</v>
      </c>
      <c r="B617" s="4" t="s">
        <v>1979</v>
      </c>
      <c r="C617" s="4" t="s">
        <v>81</v>
      </c>
      <c r="D617" s="5">
        <v>1</v>
      </c>
      <c r="E617" s="7">
        <f>TRUNC([1]단가대비표!O524,0)</f>
        <v>2414000</v>
      </c>
      <c r="F617" s="7">
        <f t="shared" si="61"/>
        <v>2414000</v>
      </c>
      <c r="G617" s="7">
        <f>TRUNC([1]단가대비표!P524,0)</f>
        <v>0</v>
      </c>
      <c r="H617" s="7">
        <f t="shared" si="62"/>
        <v>0</v>
      </c>
      <c r="I617" s="7">
        <f>TRUNC([1]단가대비표!V524,0)</f>
        <v>0</v>
      </c>
      <c r="J617" s="7">
        <f t="shared" si="63"/>
        <v>0</v>
      </c>
      <c r="K617" s="7">
        <f t="shared" si="65"/>
        <v>2414000</v>
      </c>
      <c r="L617" s="7">
        <f t="shared" si="65"/>
        <v>2414000</v>
      </c>
      <c r="M617" s="4" t="s">
        <v>115</v>
      </c>
      <c r="N617" s="6" t="s">
        <v>1980</v>
      </c>
      <c r="O617" s="6" t="s">
        <v>55</v>
      </c>
      <c r="P617" s="6" t="s">
        <v>55</v>
      </c>
      <c r="Q617" s="6" t="s">
        <v>1531</v>
      </c>
      <c r="R617" s="6" t="s">
        <v>56</v>
      </c>
      <c r="S617" s="6" t="s">
        <v>56</v>
      </c>
      <c r="T617" s="6" t="s">
        <v>57</v>
      </c>
      <c r="AR617" s="6" t="s">
        <v>55</v>
      </c>
      <c r="AS617" s="6" t="s">
        <v>55</v>
      </c>
      <c r="AU617" s="6" t="s">
        <v>1981</v>
      </c>
      <c r="AV617">
        <v>1864</v>
      </c>
    </row>
    <row r="618" spans="1:48" ht="30" customHeight="1" x14ac:dyDescent="0.3">
      <c r="A618" s="4" t="s">
        <v>1982</v>
      </c>
      <c r="B618" s="4" t="s">
        <v>1983</v>
      </c>
      <c r="C618" s="4" t="s">
        <v>81</v>
      </c>
      <c r="D618" s="5">
        <v>1</v>
      </c>
      <c r="E618" s="7">
        <f>TRUNC([1]단가대비표!O525,0)</f>
        <v>3018000</v>
      </c>
      <c r="F618" s="7">
        <f t="shared" si="61"/>
        <v>3018000</v>
      </c>
      <c r="G618" s="7">
        <f>TRUNC([1]단가대비표!P525,0)</f>
        <v>0</v>
      </c>
      <c r="H618" s="7">
        <f t="shared" si="62"/>
        <v>0</v>
      </c>
      <c r="I618" s="7">
        <f>TRUNC([1]단가대비표!V525,0)</f>
        <v>0</v>
      </c>
      <c r="J618" s="7">
        <f t="shared" si="63"/>
        <v>0</v>
      </c>
      <c r="K618" s="7">
        <f t="shared" si="65"/>
        <v>3018000</v>
      </c>
      <c r="L618" s="7">
        <f t="shared" si="65"/>
        <v>3018000</v>
      </c>
      <c r="M618" s="4" t="s">
        <v>115</v>
      </c>
      <c r="N618" s="6" t="s">
        <v>1984</v>
      </c>
      <c r="O618" s="6" t="s">
        <v>55</v>
      </c>
      <c r="P618" s="6" t="s">
        <v>55</v>
      </c>
      <c r="Q618" s="6" t="s">
        <v>1531</v>
      </c>
      <c r="R618" s="6" t="s">
        <v>56</v>
      </c>
      <c r="S618" s="6" t="s">
        <v>56</v>
      </c>
      <c r="T618" s="6" t="s">
        <v>57</v>
      </c>
      <c r="AR618" s="6" t="s">
        <v>55</v>
      </c>
      <c r="AS618" s="6" t="s">
        <v>55</v>
      </c>
      <c r="AU618" s="6" t="s">
        <v>1985</v>
      </c>
      <c r="AV618">
        <v>1865</v>
      </c>
    </row>
    <row r="619" spans="1:48" ht="30" customHeight="1" x14ac:dyDescent="0.3">
      <c r="A619" s="4" t="s">
        <v>1986</v>
      </c>
      <c r="B619" s="4" t="s">
        <v>1987</v>
      </c>
      <c r="C619" s="4" t="s">
        <v>81</v>
      </c>
      <c r="D619" s="5">
        <v>1</v>
      </c>
      <c r="E619" s="7">
        <f>TRUNC([1]단가대비표!O526,0)</f>
        <v>3663000</v>
      </c>
      <c r="F619" s="7">
        <f t="shared" si="61"/>
        <v>3663000</v>
      </c>
      <c r="G619" s="7">
        <f>TRUNC([1]단가대비표!P526,0)</f>
        <v>0</v>
      </c>
      <c r="H619" s="7">
        <f t="shared" si="62"/>
        <v>0</v>
      </c>
      <c r="I619" s="7">
        <f>TRUNC([1]단가대비표!V526,0)</f>
        <v>0</v>
      </c>
      <c r="J619" s="7">
        <f t="shared" si="63"/>
        <v>0</v>
      </c>
      <c r="K619" s="7">
        <f t="shared" si="65"/>
        <v>3663000</v>
      </c>
      <c r="L619" s="7">
        <f t="shared" si="65"/>
        <v>3663000</v>
      </c>
      <c r="M619" s="4" t="s">
        <v>115</v>
      </c>
      <c r="N619" s="6" t="s">
        <v>1988</v>
      </c>
      <c r="O619" s="6" t="s">
        <v>55</v>
      </c>
      <c r="P619" s="6" t="s">
        <v>55</v>
      </c>
      <c r="Q619" s="6" t="s">
        <v>1531</v>
      </c>
      <c r="R619" s="6" t="s">
        <v>56</v>
      </c>
      <c r="S619" s="6" t="s">
        <v>56</v>
      </c>
      <c r="T619" s="6" t="s">
        <v>57</v>
      </c>
      <c r="AR619" s="6" t="s">
        <v>55</v>
      </c>
      <c r="AS619" s="6" t="s">
        <v>55</v>
      </c>
      <c r="AU619" s="6" t="s">
        <v>1989</v>
      </c>
      <c r="AV619">
        <v>1866</v>
      </c>
    </row>
    <row r="620" spans="1:48" ht="30" customHeight="1" x14ac:dyDescent="0.3">
      <c r="A620" s="4" t="s">
        <v>1990</v>
      </c>
      <c r="B620" s="4" t="s">
        <v>1991</v>
      </c>
      <c r="C620" s="4" t="s">
        <v>81</v>
      </c>
      <c r="D620" s="5">
        <v>1</v>
      </c>
      <c r="E620" s="7">
        <f>TRUNC([1]단가대비표!O527,0)</f>
        <v>4559000</v>
      </c>
      <c r="F620" s="7">
        <f t="shared" si="61"/>
        <v>4559000</v>
      </c>
      <c r="G620" s="7">
        <f>TRUNC([1]단가대비표!P527,0)</f>
        <v>0</v>
      </c>
      <c r="H620" s="7">
        <f t="shared" si="62"/>
        <v>0</v>
      </c>
      <c r="I620" s="7">
        <f>TRUNC([1]단가대비표!V527,0)</f>
        <v>0</v>
      </c>
      <c r="J620" s="7">
        <f t="shared" si="63"/>
        <v>0</v>
      </c>
      <c r="K620" s="7">
        <f t="shared" si="65"/>
        <v>4559000</v>
      </c>
      <c r="L620" s="7">
        <f t="shared" si="65"/>
        <v>4559000</v>
      </c>
      <c r="M620" s="4" t="s">
        <v>115</v>
      </c>
      <c r="N620" s="6" t="s">
        <v>1992</v>
      </c>
      <c r="O620" s="6" t="s">
        <v>55</v>
      </c>
      <c r="P620" s="6" t="s">
        <v>55</v>
      </c>
      <c r="Q620" s="6" t="s">
        <v>1531</v>
      </c>
      <c r="R620" s="6" t="s">
        <v>56</v>
      </c>
      <c r="S620" s="6" t="s">
        <v>56</v>
      </c>
      <c r="T620" s="6" t="s">
        <v>57</v>
      </c>
      <c r="AR620" s="6" t="s">
        <v>55</v>
      </c>
      <c r="AS620" s="6" t="s">
        <v>55</v>
      </c>
      <c r="AU620" s="6" t="s">
        <v>1993</v>
      </c>
      <c r="AV620">
        <v>1867</v>
      </c>
    </row>
    <row r="621" spans="1:48" ht="30" customHeight="1" x14ac:dyDescent="0.3">
      <c r="A621" s="4" t="s">
        <v>1994</v>
      </c>
      <c r="B621" s="4" t="s">
        <v>1995</v>
      </c>
      <c r="C621" s="4" t="s">
        <v>81</v>
      </c>
      <c r="D621" s="5">
        <v>6</v>
      </c>
      <c r="E621" s="7">
        <f>TRUNC([1]단가대비표!O528,0)</f>
        <v>4421000</v>
      </c>
      <c r="F621" s="7">
        <f t="shared" si="61"/>
        <v>26526000</v>
      </c>
      <c r="G621" s="7">
        <f>TRUNC([1]단가대비표!P528,0)</f>
        <v>0</v>
      </c>
      <c r="H621" s="7">
        <f t="shared" si="62"/>
        <v>0</v>
      </c>
      <c r="I621" s="7">
        <f>TRUNC([1]단가대비표!V528,0)</f>
        <v>0</v>
      </c>
      <c r="J621" s="7">
        <f t="shared" si="63"/>
        <v>0</v>
      </c>
      <c r="K621" s="7">
        <f t="shared" si="65"/>
        <v>4421000</v>
      </c>
      <c r="L621" s="7">
        <f t="shared" si="65"/>
        <v>26526000</v>
      </c>
      <c r="M621" s="4" t="s">
        <v>115</v>
      </c>
      <c r="N621" s="6" t="s">
        <v>1996</v>
      </c>
      <c r="O621" s="6" t="s">
        <v>55</v>
      </c>
      <c r="P621" s="6" t="s">
        <v>55</v>
      </c>
      <c r="Q621" s="6" t="s">
        <v>1531</v>
      </c>
      <c r="R621" s="6" t="s">
        <v>56</v>
      </c>
      <c r="S621" s="6" t="s">
        <v>56</v>
      </c>
      <c r="T621" s="6" t="s">
        <v>57</v>
      </c>
      <c r="AR621" s="6" t="s">
        <v>55</v>
      </c>
      <c r="AS621" s="6" t="s">
        <v>55</v>
      </c>
      <c r="AU621" s="6" t="s">
        <v>1997</v>
      </c>
      <c r="AV621">
        <v>1868</v>
      </c>
    </row>
    <row r="622" spans="1:48" ht="30" customHeight="1" x14ac:dyDescent="0.3">
      <c r="A622" s="4" t="s">
        <v>1998</v>
      </c>
      <c r="B622" s="4" t="s">
        <v>1999</v>
      </c>
      <c r="C622" s="4" t="s">
        <v>81</v>
      </c>
      <c r="D622" s="5">
        <v>3</v>
      </c>
      <c r="E622" s="7">
        <f>TRUNC([1]단가대비표!O529,0)</f>
        <v>4351000</v>
      </c>
      <c r="F622" s="7">
        <f t="shared" si="61"/>
        <v>13053000</v>
      </c>
      <c r="G622" s="7">
        <f>TRUNC([1]단가대비표!P529,0)</f>
        <v>0</v>
      </c>
      <c r="H622" s="7">
        <f t="shared" si="62"/>
        <v>0</v>
      </c>
      <c r="I622" s="7">
        <f>TRUNC([1]단가대비표!V529,0)</f>
        <v>0</v>
      </c>
      <c r="J622" s="7">
        <f t="shared" si="63"/>
        <v>0</v>
      </c>
      <c r="K622" s="7">
        <f t="shared" si="65"/>
        <v>4351000</v>
      </c>
      <c r="L622" s="7">
        <f t="shared" si="65"/>
        <v>13053000</v>
      </c>
      <c r="M622" s="4" t="s">
        <v>115</v>
      </c>
      <c r="N622" s="6" t="s">
        <v>2000</v>
      </c>
      <c r="O622" s="6" t="s">
        <v>55</v>
      </c>
      <c r="P622" s="6" t="s">
        <v>55</v>
      </c>
      <c r="Q622" s="6" t="s">
        <v>1531</v>
      </c>
      <c r="R622" s="6" t="s">
        <v>56</v>
      </c>
      <c r="S622" s="6" t="s">
        <v>56</v>
      </c>
      <c r="T622" s="6" t="s">
        <v>57</v>
      </c>
      <c r="AR622" s="6" t="s">
        <v>55</v>
      </c>
      <c r="AS622" s="6" t="s">
        <v>55</v>
      </c>
      <c r="AU622" s="6" t="s">
        <v>2001</v>
      </c>
      <c r="AV622">
        <v>1869</v>
      </c>
    </row>
    <row r="623" spans="1:48" ht="30" customHeight="1" x14ac:dyDescent="0.3">
      <c r="A623" s="4" t="s">
        <v>2002</v>
      </c>
      <c r="B623" s="4" t="s">
        <v>2003</v>
      </c>
      <c r="C623" s="4" t="s">
        <v>81</v>
      </c>
      <c r="D623" s="5">
        <v>1</v>
      </c>
      <c r="E623" s="7">
        <f>TRUNC([1]단가대비표!O906,0)</f>
        <v>4611000</v>
      </c>
      <c r="F623" s="7">
        <f t="shared" si="61"/>
        <v>4611000</v>
      </c>
      <c r="G623" s="7">
        <f>TRUNC([1]단가대비표!P906,0)</f>
        <v>0</v>
      </c>
      <c r="H623" s="7">
        <f t="shared" si="62"/>
        <v>0</v>
      </c>
      <c r="I623" s="7">
        <f>TRUNC([1]단가대비표!V906,0)</f>
        <v>0</v>
      </c>
      <c r="J623" s="7">
        <f t="shared" si="63"/>
        <v>0</v>
      </c>
      <c r="K623" s="7">
        <f t="shared" si="65"/>
        <v>4611000</v>
      </c>
      <c r="L623" s="7">
        <f t="shared" si="65"/>
        <v>4611000</v>
      </c>
      <c r="M623" s="4" t="s">
        <v>115</v>
      </c>
      <c r="N623" s="6" t="s">
        <v>2004</v>
      </c>
      <c r="O623" s="6" t="s">
        <v>55</v>
      </c>
      <c r="P623" s="6" t="s">
        <v>55</v>
      </c>
      <c r="Q623" s="6" t="s">
        <v>1531</v>
      </c>
      <c r="R623" s="6" t="s">
        <v>56</v>
      </c>
      <c r="S623" s="6" t="s">
        <v>56</v>
      </c>
      <c r="T623" s="6" t="s">
        <v>57</v>
      </c>
      <c r="AR623" s="6" t="s">
        <v>55</v>
      </c>
      <c r="AS623" s="6" t="s">
        <v>55</v>
      </c>
      <c r="AU623" s="6" t="s">
        <v>2005</v>
      </c>
      <c r="AV623">
        <v>3491</v>
      </c>
    </row>
    <row r="624" spans="1:48" ht="30" customHeight="1" x14ac:dyDescent="0.3">
      <c r="A624" s="4" t="s">
        <v>2006</v>
      </c>
      <c r="B624" s="4" t="s">
        <v>2007</v>
      </c>
      <c r="C624" s="4" t="s">
        <v>81</v>
      </c>
      <c r="D624" s="5">
        <v>1</v>
      </c>
      <c r="E624" s="7">
        <f>TRUNC([1]단가대비표!O907,0)</f>
        <v>4666000</v>
      </c>
      <c r="F624" s="7">
        <f t="shared" si="61"/>
        <v>4666000</v>
      </c>
      <c r="G624" s="7">
        <f>TRUNC([1]단가대비표!P907,0)</f>
        <v>0</v>
      </c>
      <c r="H624" s="7">
        <f t="shared" si="62"/>
        <v>0</v>
      </c>
      <c r="I624" s="7">
        <f>TRUNC([1]단가대비표!V907,0)</f>
        <v>0</v>
      </c>
      <c r="J624" s="7">
        <f t="shared" si="63"/>
        <v>0</v>
      </c>
      <c r="K624" s="7">
        <f t="shared" si="65"/>
        <v>4666000</v>
      </c>
      <c r="L624" s="7">
        <f t="shared" si="65"/>
        <v>4666000</v>
      </c>
      <c r="M624" s="4" t="s">
        <v>115</v>
      </c>
      <c r="N624" s="6" t="s">
        <v>2008</v>
      </c>
      <c r="O624" s="6" t="s">
        <v>55</v>
      </c>
      <c r="P624" s="6" t="s">
        <v>55</v>
      </c>
      <c r="Q624" s="6" t="s">
        <v>1531</v>
      </c>
      <c r="R624" s="6" t="s">
        <v>56</v>
      </c>
      <c r="S624" s="6" t="s">
        <v>56</v>
      </c>
      <c r="T624" s="6" t="s">
        <v>57</v>
      </c>
      <c r="AR624" s="6" t="s">
        <v>55</v>
      </c>
      <c r="AS624" s="6" t="s">
        <v>55</v>
      </c>
      <c r="AU624" s="6" t="s">
        <v>2009</v>
      </c>
      <c r="AV624">
        <v>3492</v>
      </c>
    </row>
    <row r="625" spans="1:48" ht="30" customHeight="1" x14ac:dyDescent="0.3">
      <c r="A625" s="4" t="s">
        <v>55</v>
      </c>
      <c r="B625" s="4" t="s">
        <v>55</v>
      </c>
      <c r="C625" s="4" t="s">
        <v>55</v>
      </c>
      <c r="D625" s="5"/>
      <c r="E625" s="7">
        <f>TRUNC([1]단가대비표!O908,0)</f>
        <v>0</v>
      </c>
      <c r="F625" s="7">
        <f t="shared" si="61"/>
        <v>0</v>
      </c>
      <c r="G625" s="7">
        <f>TRUNC([1]단가대비표!P908,0)</f>
        <v>0</v>
      </c>
      <c r="H625" s="7">
        <f t="shared" si="62"/>
        <v>0</v>
      </c>
      <c r="I625" s="7">
        <f>TRUNC([1]단가대비표!V908,0)</f>
        <v>0</v>
      </c>
      <c r="J625" s="7">
        <f t="shared" si="63"/>
        <v>0</v>
      </c>
      <c r="K625" s="7">
        <f t="shared" si="65"/>
        <v>0</v>
      </c>
      <c r="L625" s="7">
        <f t="shared" si="65"/>
        <v>0</v>
      </c>
      <c r="M625" s="4" t="s">
        <v>55</v>
      </c>
      <c r="N625" s="6" t="s">
        <v>2010</v>
      </c>
      <c r="O625" s="6" t="s">
        <v>55</v>
      </c>
      <c r="P625" s="6" t="s">
        <v>55</v>
      </c>
      <c r="Q625" s="6" t="s">
        <v>1531</v>
      </c>
      <c r="R625" s="6" t="s">
        <v>56</v>
      </c>
      <c r="S625" s="6" t="s">
        <v>56</v>
      </c>
      <c r="T625" s="6" t="s">
        <v>57</v>
      </c>
      <c r="AR625" s="6" t="s">
        <v>55</v>
      </c>
      <c r="AS625" s="6" t="s">
        <v>55</v>
      </c>
      <c r="AU625" s="6" t="s">
        <v>2011</v>
      </c>
      <c r="AV625">
        <v>3493</v>
      </c>
    </row>
    <row r="626" spans="1:48" ht="30" customHeight="1" x14ac:dyDescent="0.3">
      <c r="A626" s="4" t="s">
        <v>55</v>
      </c>
      <c r="B626" s="4" t="s">
        <v>55</v>
      </c>
      <c r="C626" s="4" t="s">
        <v>55</v>
      </c>
      <c r="D626" s="5"/>
      <c r="E626" s="7">
        <f>TRUNC([1]단가대비표!O530,0)</f>
        <v>0</v>
      </c>
      <c r="F626" s="7">
        <f t="shared" si="61"/>
        <v>0</v>
      </c>
      <c r="G626" s="7">
        <f>TRUNC([1]단가대비표!P530,0)</f>
        <v>0</v>
      </c>
      <c r="H626" s="7">
        <f t="shared" si="62"/>
        <v>0</v>
      </c>
      <c r="I626" s="7">
        <f>TRUNC([1]단가대비표!V530,0)</f>
        <v>0</v>
      </c>
      <c r="J626" s="7">
        <f t="shared" si="63"/>
        <v>0</v>
      </c>
      <c r="K626" s="7">
        <f t="shared" si="65"/>
        <v>0</v>
      </c>
      <c r="L626" s="7">
        <f t="shared" si="65"/>
        <v>0</v>
      </c>
      <c r="M626" s="4" t="s">
        <v>55</v>
      </c>
      <c r="N626" s="6" t="s">
        <v>2012</v>
      </c>
      <c r="O626" s="6" t="s">
        <v>55</v>
      </c>
      <c r="P626" s="6" t="s">
        <v>55</v>
      </c>
      <c r="Q626" s="6" t="s">
        <v>1531</v>
      </c>
      <c r="R626" s="6" t="s">
        <v>56</v>
      </c>
      <c r="S626" s="6" t="s">
        <v>56</v>
      </c>
      <c r="T626" s="6" t="s">
        <v>57</v>
      </c>
      <c r="AR626" s="6" t="s">
        <v>55</v>
      </c>
      <c r="AS626" s="6" t="s">
        <v>55</v>
      </c>
      <c r="AU626" s="6" t="s">
        <v>2013</v>
      </c>
      <c r="AV626">
        <v>1870</v>
      </c>
    </row>
    <row r="627" spans="1:48" ht="30" customHeight="1" x14ac:dyDescent="0.3">
      <c r="A627" s="4" t="s">
        <v>2014</v>
      </c>
      <c r="B627" s="4" t="s">
        <v>55</v>
      </c>
      <c r="C627" s="4" t="s">
        <v>55</v>
      </c>
      <c r="D627" s="5"/>
      <c r="E627" s="7">
        <f>TRUNC([1]단가대비표!O531,0)</f>
        <v>0</v>
      </c>
      <c r="F627" s="7">
        <f t="shared" si="61"/>
        <v>0</v>
      </c>
      <c r="G627" s="7">
        <f>TRUNC([1]단가대비표!P531,0)</f>
        <v>0</v>
      </c>
      <c r="H627" s="7">
        <f t="shared" si="62"/>
        <v>0</v>
      </c>
      <c r="I627" s="7">
        <f>TRUNC([1]단가대비표!V531,0)</f>
        <v>0</v>
      </c>
      <c r="J627" s="7">
        <f t="shared" si="63"/>
        <v>0</v>
      </c>
      <c r="K627" s="7">
        <f t="shared" si="65"/>
        <v>0</v>
      </c>
      <c r="L627" s="7">
        <f t="shared" si="65"/>
        <v>0</v>
      </c>
      <c r="M627" s="4" t="s">
        <v>55</v>
      </c>
      <c r="N627" s="6" t="s">
        <v>2015</v>
      </c>
      <c r="O627" s="6" t="s">
        <v>55</v>
      </c>
      <c r="P627" s="6" t="s">
        <v>55</v>
      </c>
      <c r="Q627" s="6" t="s">
        <v>1531</v>
      </c>
      <c r="R627" s="6" t="s">
        <v>56</v>
      </c>
      <c r="S627" s="6" t="s">
        <v>56</v>
      </c>
      <c r="T627" s="6" t="s">
        <v>57</v>
      </c>
      <c r="AR627" s="6" t="s">
        <v>55</v>
      </c>
      <c r="AS627" s="6" t="s">
        <v>55</v>
      </c>
      <c r="AU627" s="6" t="s">
        <v>2016</v>
      </c>
      <c r="AV627">
        <v>1878</v>
      </c>
    </row>
    <row r="628" spans="1:48" ht="30" customHeight="1" x14ac:dyDescent="0.3">
      <c r="A628" s="4" t="s">
        <v>2017</v>
      </c>
      <c r="B628" s="4" t="s">
        <v>2018</v>
      </c>
      <c r="C628" s="4" t="s">
        <v>120</v>
      </c>
      <c r="D628" s="5">
        <v>1</v>
      </c>
      <c r="E628" s="7">
        <f>TRUNC([1]단가대비표!O532,0)</f>
        <v>4125000</v>
      </c>
      <c r="F628" s="7">
        <f t="shared" si="61"/>
        <v>4125000</v>
      </c>
      <c r="G628" s="7">
        <f>TRUNC([1]단가대비표!P532,0)</f>
        <v>1210000</v>
      </c>
      <c r="H628" s="7">
        <f t="shared" si="62"/>
        <v>1210000</v>
      </c>
      <c r="I628" s="7">
        <f>TRUNC([1]단가대비표!V532,0)</f>
        <v>165000</v>
      </c>
      <c r="J628" s="7">
        <f t="shared" si="63"/>
        <v>165000</v>
      </c>
      <c r="K628" s="7">
        <f t="shared" si="65"/>
        <v>5500000</v>
      </c>
      <c r="L628" s="7">
        <f t="shared" si="65"/>
        <v>5500000</v>
      </c>
      <c r="M628" s="4" t="s">
        <v>115</v>
      </c>
      <c r="N628" s="6" t="s">
        <v>2019</v>
      </c>
      <c r="O628" s="6" t="s">
        <v>55</v>
      </c>
      <c r="P628" s="6" t="s">
        <v>55</v>
      </c>
      <c r="Q628" s="6" t="s">
        <v>1531</v>
      </c>
      <c r="R628" s="6" t="s">
        <v>56</v>
      </c>
      <c r="S628" s="6" t="s">
        <v>56</v>
      </c>
      <c r="T628" s="6" t="s">
        <v>57</v>
      </c>
      <c r="AR628" s="6" t="s">
        <v>55</v>
      </c>
      <c r="AS628" s="6" t="s">
        <v>55</v>
      </c>
      <c r="AU628" s="6" t="s">
        <v>2020</v>
      </c>
      <c r="AV628">
        <v>1879</v>
      </c>
    </row>
    <row r="629" spans="1:48" ht="30" customHeight="1" x14ac:dyDescent="0.3">
      <c r="A629" s="4" t="s">
        <v>2021</v>
      </c>
      <c r="B629" s="4" t="s">
        <v>2022</v>
      </c>
      <c r="C629" s="4" t="s">
        <v>120</v>
      </c>
      <c r="D629" s="5">
        <v>1</v>
      </c>
      <c r="E629" s="7">
        <f>TRUNC([1]단가대비표!O533,0)</f>
        <v>3975000</v>
      </c>
      <c r="F629" s="7">
        <f t="shared" si="61"/>
        <v>3975000</v>
      </c>
      <c r="G629" s="7">
        <f>TRUNC([1]단가대비표!P533,0)</f>
        <v>1166000</v>
      </c>
      <c r="H629" s="7">
        <f t="shared" si="62"/>
        <v>1166000</v>
      </c>
      <c r="I629" s="7">
        <f>TRUNC([1]단가대비표!V533,0)</f>
        <v>159000</v>
      </c>
      <c r="J629" s="7">
        <f t="shared" si="63"/>
        <v>159000</v>
      </c>
      <c r="K629" s="7">
        <f t="shared" si="65"/>
        <v>5300000</v>
      </c>
      <c r="L629" s="7">
        <f t="shared" si="65"/>
        <v>5300000</v>
      </c>
      <c r="M629" s="4" t="s">
        <v>115</v>
      </c>
      <c r="N629" s="6" t="s">
        <v>2023</v>
      </c>
      <c r="O629" s="6" t="s">
        <v>55</v>
      </c>
      <c r="P629" s="6" t="s">
        <v>55</v>
      </c>
      <c r="Q629" s="6" t="s">
        <v>1531</v>
      </c>
      <c r="R629" s="6" t="s">
        <v>56</v>
      </c>
      <c r="S629" s="6" t="s">
        <v>56</v>
      </c>
      <c r="T629" s="6" t="s">
        <v>57</v>
      </c>
      <c r="AR629" s="6" t="s">
        <v>55</v>
      </c>
      <c r="AS629" s="6" t="s">
        <v>55</v>
      </c>
      <c r="AU629" s="6" t="s">
        <v>2024</v>
      </c>
      <c r="AV629">
        <v>1880</v>
      </c>
    </row>
    <row r="630" spans="1:48" ht="30" customHeight="1" x14ac:dyDescent="0.3">
      <c r="A630" s="4" t="s">
        <v>2025</v>
      </c>
      <c r="B630" s="4" t="s">
        <v>2026</v>
      </c>
      <c r="C630" s="4" t="s">
        <v>120</v>
      </c>
      <c r="D630" s="5">
        <v>10</v>
      </c>
      <c r="E630" s="7">
        <f>TRUNC([1]단가대비표!O534,0)</f>
        <v>2025000</v>
      </c>
      <c r="F630" s="7">
        <f t="shared" si="61"/>
        <v>20250000</v>
      </c>
      <c r="G630" s="7">
        <f>TRUNC([1]단가대비표!P534,0)</f>
        <v>594000</v>
      </c>
      <c r="H630" s="7">
        <f t="shared" si="62"/>
        <v>5940000</v>
      </c>
      <c r="I630" s="7">
        <f>TRUNC([1]단가대비표!V534,0)</f>
        <v>81000</v>
      </c>
      <c r="J630" s="7">
        <f t="shared" si="63"/>
        <v>810000</v>
      </c>
      <c r="K630" s="7">
        <f t="shared" si="65"/>
        <v>2700000</v>
      </c>
      <c r="L630" s="7">
        <f t="shared" si="65"/>
        <v>27000000</v>
      </c>
      <c r="M630" s="4" t="s">
        <v>115</v>
      </c>
      <c r="N630" s="6" t="s">
        <v>2027</v>
      </c>
      <c r="O630" s="6" t="s">
        <v>55</v>
      </c>
      <c r="P630" s="6" t="s">
        <v>55</v>
      </c>
      <c r="Q630" s="6" t="s">
        <v>1531</v>
      </c>
      <c r="R630" s="6" t="s">
        <v>56</v>
      </c>
      <c r="S630" s="6" t="s">
        <v>56</v>
      </c>
      <c r="T630" s="6" t="s">
        <v>57</v>
      </c>
      <c r="AR630" s="6" t="s">
        <v>55</v>
      </c>
      <c r="AS630" s="6" t="s">
        <v>55</v>
      </c>
      <c r="AU630" s="6" t="s">
        <v>2028</v>
      </c>
      <c r="AV630">
        <v>1881</v>
      </c>
    </row>
    <row r="631" spans="1:48" ht="30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 spans="1:48" ht="30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 spans="1:48" ht="30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 spans="1:48" ht="30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 spans="1:48" ht="30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spans="1:48" ht="30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 spans="1:48" ht="30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spans="1:48" ht="30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 spans="1:48" ht="30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spans="1:48" ht="30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 spans="1:48" ht="30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 spans="1:48" ht="30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 spans="1:48" ht="30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 spans="1:48" ht="30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 spans="1:48" ht="30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 spans="1:48" ht="30" customHeight="1" x14ac:dyDescent="0.3">
      <c r="A646" s="4" t="s">
        <v>128</v>
      </c>
      <c r="B646" s="5"/>
      <c r="C646" s="5"/>
      <c r="D646" s="5"/>
      <c r="E646" s="5"/>
      <c r="F646" s="7">
        <f>SUM(F504:F645)</f>
        <v>463909529</v>
      </c>
      <c r="G646" s="5"/>
      <c r="H646" s="7">
        <f>SUM(H504:H645)</f>
        <v>47306606</v>
      </c>
      <c r="I646" s="5"/>
      <c r="J646" s="7">
        <f>SUM(J504:J645)</f>
        <v>1354470</v>
      </c>
      <c r="K646" s="5"/>
      <c r="L646" s="7">
        <f>SUM(L504:L645)</f>
        <v>512570605</v>
      </c>
      <c r="M646" s="5"/>
      <c r="N646" t="s">
        <v>129</v>
      </c>
    </row>
    <row r="647" spans="1:48" ht="30" customHeight="1" x14ac:dyDescent="0.3">
      <c r="A647" s="4" t="s">
        <v>2029</v>
      </c>
      <c r="B647" s="4" t="s">
        <v>48</v>
      </c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Q647" s="6" t="s">
        <v>2030</v>
      </c>
    </row>
    <row r="648" spans="1:48" ht="30" customHeight="1" x14ac:dyDescent="0.3">
      <c r="A648" s="4" t="s">
        <v>1532</v>
      </c>
      <c r="B648" s="4" t="s">
        <v>2031</v>
      </c>
      <c r="C648" s="4" t="s">
        <v>125</v>
      </c>
      <c r="D648" s="5">
        <v>62</v>
      </c>
      <c r="E648" s="7">
        <f>TRUNC([1]단가대비표!O133,0)</f>
        <v>280982</v>
      </c>
      <c r="F648" s="7">
        <f t="shared" ref="F648:F668" si="66">TRUNC(E648*D648, 0)</f>
        <v>17420884</v>
      </c>
      <c r="G648" s="7">
        <f>TRUNC([1]단가대비표!P133,0)</f>
        <v>0</v>
      </c>
      <c r="H648" s="7">
        <f t="shared" ref="H648:H668" si="67">TRUNC(G648*D648, 0)</f>
        <v>0</v>
      </c>
      <c r="I648" s="7">
        <f>TRUNC([1]단가대비표!V133,0)</f>
        <v>0</v>
      </c>
      <c r="J648" s="7">
        <f t="shared" ref="J648:J668" si="68">TRUNC(I648*D648, 0)</f>
        <v>0</v>
      </c>
      <c r="K648" s="7">
        <f t="shared" ref="K648:L668" si="69">TRUNC(E648+G648+I648, 0)</f>
        <v>280982</v>
      </c>
      <c r="L648" s="7">
        <f t="shared" si="69"/>
        <v>17420884</v>
      </c>
      <c r="M648" s="4" t="s">
        <v>55</v>
      </c>
      <c r="N648" s="6" t="s">
        <v>2032</v>
      </c>
      <c r="O648" s="6" t="s">
        <v>55</v>
      </c>
      <c r="P648" s="6" t="s">
        <v>55</v>
      </c>
      <c r="Q648" s="6" t="s">
        <v>2030</v>
      </c>
      <c r="R648" s="6" t="s">
        <v>56</v>
      </c>
      <c r="S648" s="6" t="s">
        <v>56</v>
      </c>
      <c r="T648" s="6" t="s">
        <v>57</v>
      </c>
      <c r="AR648" s="6" t="s">
        <v>55</v>
      </c>
      <c r="AS648" s="6" t="s">
        <v>55</v>
      </c>
      <c r="AU648" s="6" t="s">
        <v>2033</v>
      </c>
      <c r="AV648">
        <v>419</v>
      </c>
    </row>
    <row r="649" spans="1:48" ht="30" customHeight="1" x14ac:dyDescent="0.3">
      <c r="A649" s="4" t="s">
        <v>1532</v>
      </c>
      <c r="B649" s="4" t="s">
        <v>2034</v>
      </c>
      <c r="C649" s="4" t="s">
        <v>125</v>
      </c>
      <c r="D649" s="5">
        <v>4</v>
      </c>
      <c r="E649" s="7">
        <f>TRUNC([1]단가대비표!O784,0)</f>
        <v>306525</v>
      </c>
      <c r="F649" s="7">
        <f t="shared" si="66"/>
        <v>1226100</v>
      </c>
      <c r="G649" s="7">
        <f>TRUNC([1]단가대비표!P784,0)</f>
        <v>0</v>
      </c>
      <c r="H649" s="7">
        <f t="shared" si="67"/>
        <v>0</v>
      </c>
      <c r="I649" s="7">
        <f>TRUNC([1]단가대비표!V784,0)</f>
        <v>0</v>
      </c>
      <c r="J649" s="7">
        <f t="shared" si="68"/>
        <v>0</v>
      </c>
      <c r="K649" s="7">
        <f t="shared" si="69"/>
        <v>306525</v>
      </c>
      <c r="L649" s="7">
        <f t="shared" si="69"/>
        <v>1226100</v>
      </c>
      <c r="M649" s="4" t="s">
        <v>55</v>
      </c>
      <c r="N649" s="6" t="s">
        <v>2035</v>
      </c>
      <c r="O649" s="6" t="s">
        <v>55</v>
      </c>
      <c r="P649" s="6" t="s">
        <v>55</v>
      </c>
      <c r="Q649" s="6" t="s">
        <v>2030</v>
      </c>
      <c r="R649" s="6" t="s">
        <v>56</v>
      </c>
      <c r="S649" s="6" t="s">
        <v>56</v>
      </c>
      <c r="T649" s="6" t="s">
        <v>57</v>
      </c>
      <c r="AR649" s="6" t="s">
        <v>55</v>
      </c>
      <c r="AS649" s="6" t="s">
        <v>55</v>
      </c>
      <c r="AU649" s="6" t="s">
        <v>2036</v>
      </c>
      <c r="AV649">
        <v>2886</v>
      </c>
    </row>
    <row r="650" spans="1:48" ht="30" customHeight="1" x14ac:dyDescent="0.3">
      <c r="A650" s="4" t="s">
        <v>1532</v>
      </c>
      <c r="B650" s="4" t="s">
        <v>2037</v>
      </c>
      <c r="C650" s="4" t="s">
        <v>125</v>
      </c>
      <c r="D650" s="5">
        <v>16</v>
      </c>
      <c r="E650" s="7">
        <f>TRUNC([1]단가대비표!O134,0)</f>
        <v>353235</v>
      </c>
      <c r="F650" s="7">
        <f t="shared" si="66"/>
        <v>5651760</v>
      </c>
      <c r="G650" s="7">
        <f>TRUNC([1]단가대비표!P134,0)</f>
        <v>0</v>
      </c>
      <c r="H650" s="7">
        <f t="shared" si="67"/>
        <v>0</v>
      </c>
      <c r="I650" s="7">
        <f>TRUNC([1]단가대비표!V134,0)</f>
        <v>0</v>
      </c>
      <c r="J650" s="7">
        <f t="shared" si="68"/>
        <v>0</v>
      </c>
      <c r="K650" s="7">
        <f t="shared" si="69"/>
        <v>353235</v>
      </c>
      <c r="L650" s="7">
        <f t="shared" si="69"/>
        <v>5651760</v>
      </c>
      <c r="M650" s="4" t="s">
        <v>55</v>
      </c>
      <c r="N650" s="6" t="s">
        <v>2038</v>
      </c>
      <c r="O650" s="6" t="s">
        <v>55</v>
      </c>
      <c r="P650" s="6" t="s">
        <v>55</v>
      </c>
      <c r="Q650" s="6" t="s">
        <v>2030</v>
      </c>
      <c r="R650" s="6" t="s">
        <v>56</v>
      </c>
      <c r="S650" s="6" t="s">
        <v>56</v>
      </c>
      <c r="T650" s="6" t="s">
        <v>57</v>
      </c>
      <c r="AR650" s="6" t="s">
        <v>55</v>
      </c>
      <c r="AS650" s="6" t="s">
        <v>55</v>
      </c>
      <c r="AU650" s="6" t="s">
        <v>2039</v>
      </c>
      <c r="AV650">
        <v>421</v>
      </c>
    </row>
    <row r="651" spans="1:48" ht="30" customHeight="1" x14ac:dyDescent="0.3">
      <c r="A651" s="4" t="s">
        <v>1532</v>
      </c>
      <c r="B651" s="4" t="s">
        <v>2040</v>
      </c>
      <c r="C651" s="4" t="s">
        <v>125</v>
      </c>
      <c r="D651" s="5">
        <v>5</v>
      </c>
      <c r="E651" s="7">
        <f>TRUNC([1]단가대비표!O745,0)</f>
        <v>101700</v>
      </c>
      <c r="F651" s="7">
        <f t="shared" si="66"/>
        <v>508500</v>
      </c>
      <c r="G651" s="7">
        <f>TRUNC([1]단가대비표!P745,0)</f>
        <v>0</v>
      </c>
      <c r="H651" s="7">
        <f t="shared" si="67"/>
        <v>0</v>
      </c>
      <c r="I651" s="7">
        <f>TRUNC([1]단가대비표!V745,0)</f>
        <v>0</v>
      </c>
      <c r="J651" s="7">
        <f t="shared" si="68"/>
        <v>0</v>
      </c>
      <c r="K651" s="7">
        <f t="shared" si="69"/>
        <v>101700</v>
      </c>
      <c r="L651" s="7">
        <f t="shared" si="69"/>
        <v>508500</v>
      </c>
      <c r="M651" s="4" t="s">
        <v>115</v>
      </c>
      <c r="N651" s="6" t="s">
        <v>2041</v>
      </c>
      <c r="O651" s="6" t="s">
        <v>55</v>
      </c>
      <c r="P651" s="6" t="s">
        <v>55</v>
      </c>
      <c r="Q651" s="6" t="s">
        <v>2030</v>
      </c>
      <c r="R651" s="6" t="s">
        <v>56</v>
      </c>
      <c r="S651" s="6" t="s">
        <v>56</v>
      </c>
      <c r="T651" s="6" t="s">
        <v>57</v>
      </c>
      <c r="AR651" s="6" t="s">
        <v>55</v>
      </c>
      <c r="AS651" s="6" t="s">
        <v>55</v>
      </c>
      <c r="AU651" s="6" t="s">
        <v>2042</v>
      </c>
      <c r="AV651">
        <v>2403</v>
      </c>
    </row>
    <row r="652" spans="1:48" ht="30" customHeight="1" x14ac:dyDescent="0.3">
      <c r="A652" s="4" t="s">
        <v>1542</v>
      </c>
      <c r="B652" s="4" t="s">
        <v>2043</v>
      </c>
      <c r="C652" s="4" t="s">
        <v>61</v>
      </c>
      <c r="D652" s="5">
        <v>243</v>
      </c>
      <c r="E652" s="7">
        <f>TRUNC([1]단가대비표!O746,0)</f>
        <v>33000</v>
      </c>
      <c r="F652" s="7">
        <f t="shared" si="66"/>
        <v>8019000</v>
      </c>
      <c r="G652" s="7">
        <f>TRUNC([1]단가대비표!P746,0)</f>
        <v>0</v>
      </c>
      <c r="H652" s="7">
        <f t="shared" si="67"/>
        <v>0</v>
      </c>
      <c r="I652" s="7">
        <f>TRUNC([1]단가대비표!V746,0)</f>
        <v>0</v>
      </c>
      <c r="J652" s="7">
        <f t="shared" si="68"/>
        <v>0</v>
      </c>
      <c r="K652" s="7">
        <f t="shared" si="69"/>
        <v>33000</v>
      </c>
      <c r="L652" s="7">
        <f t="shared" si="69"/>
        <v>8019000</v>
      </c>
      <c r="M652" s="4" t="s">
        <v>115</v>
      </c>
      <c r="N652" s="6" t="s">
        <v>2044</v>
      </c>
      <c r="O652" s="6" t="s">
        <v>55</v>
      </c>
      <c r="P652" s="6" t="s">
        <v>55</v>
      </c>
      <c r="Q652" s="6" t="s">
        <v>2030</v>
      </c>
      <c r="R652" s="6" t="s">
        <v>56</v>
      </c>
      <c r="S652" s="6" t="s">
        <v>56</v>
      </c>
      <c r="T652" s="6" t="s">
        <v>57</v>
      </c>
      <c r="AR652" s="6" t="s">
        <v>55</v>
      </c>
      <c r="AS652" s="6" t="s">
        <v>55</v>
      </c>
      <c r="AU652" s="6" t="s">
        <v>2045</v>
      </c>
      <c r="AV652">
        <v>2404</v>
      </c>
    </row>
    <row r="653" spans="1:48" ht="30" customHeight="1" x14ac:dyDescent="0.3">
      <c r="A653" s="4" t="s">
        <v>1542</v>
      </c>
      <c r="B653" s="4" t="s">
        <v>2046</v>
      </c>
      <c r="C653" s="4" t="s">
        <v>61</v>
      </c>
      <c r="D653" s="5">
        <v>226</v>
      </c>
      <c r="E653" s="7">
        <f>TRUNC([1]단가대비표!O869,0)</f>
        <v>33000</v>
      </c>
      <c r="F653" s="7">
        <f t="shared" si="66"/>
        <v>7458000</v>
      </c>
      <c r="G653" s="7">
        <f>TRUNC([1]단가대비표!P869,0)</f>
        <v>0</v>
      </c>
      <c r="H653" s="7">
        <f t="shared" si="67"/>
        <v>0</v>
      </c>
      <c r="I653" s="7">
        <f>TRUNC([1]단가대비표!V869,0)</f>
        <v>0</v>
      </c>
      <c r="J653" s="7">
        <f t="shared" si="68"/>
        <v>0</v>
      </c>
      <c r="K653" s="7">
        <f t="shared" si="69"/>
        <v>33000</v>
      </c>
      <c r="L653" s="7">
        <f t="shared" si="69"/>
        <v>7458000</v>
      </c>
      <c r="M653" s="4" t="s">
        <v>115</v>
      </c>
      <c r="N653" s="6" t="s">
        <v>2047</v>
      </c>
      <c r="O653" s="6" t="s">
        <v>55</v>
      </c>
      <c r="P653" s="6" t="s">
        <v>55</v>
      </c>
      <c r="Q653" s="6" t="s">
        <v>2030</v>
      </c>
      <c r="R653" s="6" t="s">
        <v>56</v>
      </c>
      <c r="S653" s="6" t="s">
        <v>56</v>
      </c>
      <c r="T653" s="6" t="s">
        <v>57</v>
      </c>
      <c r="AR653" s="6" t="s">
        <v>55</v>
      </c>
      <c r="AS653" s="6" t="s">
        <v>55</v>
      </c>
      <c r="AU653" s="6" t="s">
        <v>2048</v>
      </c>
      <c r="AV653">
        <v>3235</v>
      </c>
    </row>
    <row r="654" spans="1:48" ht="30" customHeight="1" x14ac:dyDescent="0.3">
      <c r="A654" s="4" t="s">
        <v>1542</v>
      </c>
      <c r="B654" s="4" t="s">
        <v>2049</v>
      </c>
      <c r="C654" s="4" t="s">
        <v>61</v>
      </c>
      <c r="D654" s="5">
        <v>129</v>
      </c>
      <c r="E654" s="7">
        <f>TRUNC([1]단가대비표!O747,0)</f>
        <v>41000</v>
      </c>
      <c r="F654" s="7">
        <f t="shared" si="66"/>
        <v>5289000</v>
      </c>
      <c r="G654" s="7">
        <f>TRUNC([1]단가대비표!P747,0)</f>
        <v>0</v>
      </c>
      <c r="H654" s="7">
        <f t="shared" si="67"/>
        <v>0</v>
      </c>
      <c r="I654" s="7">
        <f>TRUNC([1]단가대비표!V747,0)</f>
        <v>0</v>
      </c>
      <c r="J654" s="7">
        <f t="shared" si="68"/>
        <v>0</v>
      </c>
      <c r="K654" s="7">
        <f t="shared" si="69"/>
        <v>41000</v>
      </c>
      <c r="L654" s="7">
        <f t="shared" si="69"/>
        <v>5289000</v>
      </c>
      <c r="M654" s="4" t="s">
        <v>115</v>
      </c>
      <c r="N654" s="6" t="s">
        <v>2050</v>
      </c>
      <c r="O654" s="6" t="s">
        <v>55</v>
      </c>
      <c r="P654" s="6" t="s">
        <v>55</v>
      </c>
      <c r="Q654" s="6" t="s">
        <v>2030</v>
      </c>
      <c r="R654" s="6" t="s">
        <v>56</v>
      </c>
      <c r="S654" s="6" t="s">
        <v>56</v>
      </c>
      <c r="T654" s="6" t="s">
        <v>57</v>
      </c>
      <c r="AR654" s="6" t="s">
        <v>55</v>
      </c>
      <c r="AS654" s="6" t="s">
        <v>55</v>
      </c>
      <c r="AU654" s="6" t="s">
        <v>2051</v>
      </c>
      <c r="AV654">
        <v>2405</v>
      </c>
    </row>
    <row r="655" spans="1:48" ht="30" customHeight="1" x14ac:dyDescent="0.3">
      <c r="A655" s="4" t="s">
        <v>2052</v>
      </c>
      <c r="B655" s="4" t="s">
        <v>2053</v>
      </c>
      <c r="C655" s="4" t="s">
        <v>55</v>
      </c>
      <c r="D655" s="5">
        <v>536</v>
      </c>
      <c r="E655" s="7">
        <f>TRUNC([1]단가대비표!O748,0)</f>
        <v>35700</v>
      </c>
      <c r="F655" s="7">
        <f t="shared" si="66"/>
        <v>19135200</v>
      </c>
      <c r="G655" s="7">
        <f>TRUNC([1]단가대비표!P748,0)</f>
        <v>0</v>
      </c>
      <c r="H655" s="7">
        <f t="shared" si="67"/>
        <v>0</v>
      </c>
      <c r="I655" s="7">
        <f>TRUNC([1]단가대비표!V748,0)</f>
        <v>0</v>
      </c>
      <c r="J655" s="7">
        <f t="shared" si="68"/>
        <v>0</v>
      </c>
      <c r="K655" s="7">
        <f t="shared" si="69"/>
        <v>35700</v>
      </c>
      <c r="L655" s="7">
        <f t="shared" si="69"/>
        <v>19135200</v>
      </c>
      <c r="M655" s="4" t="s">
        <v>115</v>
      </c>
      <c r="N655" s="6" t="s">
        <v>2054</v>
      </c>
      <c r="O655" s="6" t="s">
        <v>55</v>
      </c>
      <c r="P655" s="6" t="s">
        <v>55</v>
      </c>
      <c r="Q655" s="6" t="s">
        <v>2030</v>
      </c>
      <c r="R655" s="6" t="s">
        <v>56</v>
      </c>
      <c r="S655" s="6" t="s">
        <v>56</v>
      </c>
      <c r="T655" s="6" t="s">
        <v>57</v>
      </c>
      <c r="AR655" s="6" t="s">
        <v>55</v>
      </c>
      <c r="AS655" s="6" t="s">
        <v>55</v>
      </c>
      <c r="AU655" s="6" t="s">
        <v>2055</v>
      </c>
      <c r="AV655">
        <v>2406</v>
      </c>
    </row>
    <row r="656" spans="1:48" ht="30" customHeight="1" x14ac:dyDescent="0.3">
      <c r="A656" s="4" t="s">
        <v>2052</v>
      </c>
      <c r="B656" s="4" t="s">
        <v>2056</v>
      </c>
      <c r="C656" s="4" t="s">
        <v>61</v>
      </c>
      <c r="D656" s="5">
        <v>1570</v>
      </c>
      <c r="E656" s="7">
        <f>TRUNC([1]단가대비표!O749,0)</f>
        <v>54500</v>
      </c>
      <c r="F656" s="7">
        <f t="shared" si="66"/>
        <v>85565000</v>
      </c>
      <c r="G656" s="7">
        <f>TRUNC([1]단가대비표!P749,0)</f>
        <v>0</v>
      </c>
      <c r="H656" s="7">
        <f t="shared" si="67"/>
        <v>0</v>
      </c>
      <c r="I656" s="7">
        <f>TRUNC([1]단가대비표!V749,0)</f>
        <v>0</v>
      </c>
      <c r="J656" s="7">
        <f t="shared" si="68"/>
        <v>0</v>
      </c>
      <c r="K656" s="7">
        <f t="shared" si="69"/>
        <v>54500</v>
      </c>
      <c r="L656" s="7">
        <f t="shared" si="69"/>
        <v>85565000</v>
      </c>
      <c r="M656" s="4" t="s">
        <v>115</v>
      </c>
      <c r="N656" s="6" t="s">
        <v>2057</v>
      </c>
      <c r="O656" s="6" t="s">
        <v>55</v>
      </c>
      <c r="P656" s="6" t="s">
        <v>55</v>
      </c>
      <c r="Q656" s="6" t="s">
        <v>2030</v>
      </c>
      <c r="R656" s="6" t="s">
        <v>56</v>
      </c>
      <c r="S656" s="6" t="s">
        <v>56</v>
      </c>
      <c r="T656" s="6" t="s">
        <v>57</v>
      </c>
      <c r="AR656" s="6" t="s">
        <v>55</v>
      </c>
      <c r="AS656" s="6" t="s">
        <v>55</v>
      </c>
      <c r="AU656" s="6" t="s">
        <v>2058</v>
      </c>
      <c r="AV656">
        <v>2407</v>
      </c>
    </row>
    <row r="657" spans="1:48" ht="30" customHeight="1" x14ac:dyDescent="0.3">
      <c r="A657" s="4" t="s">
        <v>2052</v>
      </c>
      <c r="B657" s="4" t="s">
        <v>2059</v>
      </c>
      <c r="C657" s="4" t="s">
        <v>61</v>
      </c>
      <c r="D657" s="5">
        <v>68</v>
      </c>
      <c r="E657" s="7">
        <f>TRUNC([1]단가대비표!O750,0)</f>
        <v>59500</v>
      </c>
      <c r="F657" s="7">
        <f t="shared" si="66"/>
        <v>4046000</v>
      </c>
      <c r="G657" s="7">
        <f>TRUNC([1]단가대비표!P750,0)</f>
        <v>0</v>
      </c>
      <c r="H657" s="7">
        <f t="shared" si="67"/>
        <v>0</v>
      </c>
      <c r="I657" s="7">
        <f>TRUNC([1]단가대비표!V750,0)</f>
        <v>0</v>
      </c>
      <c r="J657" s="7">
        <f t="shared" si="68"/>
        <v>0</v>
      </c>
      <c r="K657" s="7">
        <f t="shared" si="69"/>
        <v>59500</v>
      </c>
      <c r="L657" s="7">
        <f t="shared" si="69"/>
        <v>4046000</v>
      </c>
      <c r="M657" s="4" t="s">
        <v>115</v>
      </c>
      <c r="N657" s="6" t="s">
        <v>2060</v>
      </c>
      <c r="O657" s="6" t="s">
        <v>55</v>
      </c>
      <c r="P657" s="6" t="s">
        <v>55</v>
      </c>
      <c r="Q657" s="6" t="s">
        <v>2030</v>
      </c>
      <c r="R657" s="6" t="s">
        <v>56</v>
      </c>
      <c r="S657" s="6" t="s">
        <v>56</v>
      </c>
      <c r="T657" s="6" t="s">
        <v>57</v>
      </c>
      <c r="AR657" s="6" t="s">
        <v>55</v>
      </c>
      <c r="AS657" s="6" t="s">
        <v>55</v>
      </c>
      <c r="AU657" s="6" t="s">
        <v>2061</v>
      </c>
      <c r="AV657">
        <v>2408</v>
      </c>
    </row>
    <row r="658" spans="1:48" ht="30" customHeight="1" x14ac:dyDescent="0.3">
      <c r="A658" s="4" t="s">
        <v>2052</v>
      </c>
      <c r="B658" s="4" t="s">
        <v>2062</v>
      </c>
      <c r="C658" s="4" t="s">
        <v>61</v>
      </c>
      <c r="D658" s="5">
        <v>8</v>
      </c>
      <c r="E658" s="7">
        <f>TRUNC([1]단가대비표!O751,0)</f>
        <v>94700</v>
      </c>
      <c r="F658" s="7">
        <f t="shared" si="66"/>
        <v>757600</v>
      </c>
      <c r="G658" s="7">
        <f>TRUNC([1]단가대비표!P751,0)</f>
        <v>0</v>
      </c>
      <c r="H658" s="7">
        <f t="shared" si="67"/>
        <v>0</v>
      </c>
      <c r="I658" s="7">
        <f>TRUNC([1]단가대비표!V751,0)</f>
        <v>0</v>
      </c>
      <c r="J658" s="7">
        <f t="shared" si="68"/>
        <v>0</v>
      </c>
      <c r="K658" s="7">
        <f t="shared" si="69"/>
        <v>94700</v>
      </c>
      <c r="L658" s="7">
        <f t="shared" si="69"/>
        <v>757600</v>
      </c>
      <c r="M658" s="4" t="s">
        <v>115</v>
      </c>
      <c r="N658" s="6" t="s">
        <v>2063</v>
      </c>
      <c r="O658" s="6" t="s">
        <v>55</v>
      </c>
      <c r="P658" s="6" t="s">
        <v>55</v>
      </c>
      <c r="Q658" s="6" t="s">
        <v>2030</v>
      </c>
      <c r="R658" s="6" t="s">
        <v>56</v>
      </c>
      <c r="S658" s="6" t="s">
        <v>56</v>
      </c>
      <c r="T658" s="6" t="s">
        <v>57</v>
      </c>
      <c r="AR658" s="6" t="s">
        <v>55</v>
      </c>
      <c r="AS658" s="6" t="s">
        <v>55</v>
      </c>
      <c r="AU658" s="6" t="s">
        <v>2064</v>
      </c>
      <c r="AV658">
        <v>2409</v>
      </c>
    </row>
    <row r="659" spans="1:48" ht="30" customHeight="1" x14ac:dyDescent="0.3">
      <c r="A659" s="4" t="s">
        <v>2065</v>
      </c>
      <c r="B659" s="4" t="s">
        <v>2066</v>
      </c>
      <c r="C659" s="4" t="s">
        <v>61</v>
      </c>
      <c r="D659" s="5">
        <v>81</v>
      </c>
      <c r="E659" s="7">
        <f>TRUNC([1]일위대가목록!E175,0)</f>
        <v>21048</v>
      </c>
      <c r="F659" s="7">
        <f t="shared" si="66"/>
        <v>1704888</v>
      </c>
      <c r="G659" s="7">
        <f>TRUNC([1]일위대가목록!F175,0)</f>
        <v>17655</v>
      </c>
      <c r="H659" s="7">
        <f t="shared" si="67"/>
        <v>1430055</v>
      </c>
      <c r="I659" s="7">
        <f>TRUNC([1]일위대가목록!G175,0)</f>
        <v>353</v>
      </c>
      <c r="J659" s="7">
        <f t="shared" si="68"/>
        <v>28593</v>
      </c>
      <c r="K659" s="7">
        <f t="shared" si="69"/>
        <v>39056</v>
      </c>
      <c r="L659" s="7">
        <f t="shared" si="69"/>
        <v>3163536</v>
      </c>
      <c r="M659" s="4" t="s">
        <v>2067</v>
      </c>
      <c r="N659" s="6" t="s">
        <v>2068</v>
      </c>
      <c r="O659" s="6" t="s">
        <v>55</v>
      </c>
      <c r="P659" s="6" t="s">
        <v>55</v>
      </c>
      <c r="Q659" s="6" t="s">
        <v>2030</v>
      </c>
      <c r="R659" s="6" t="s">
        <v>57</v>
      </c>
      <c r="S659" s="6" t="s">
        <v>56</v>
      </c>
      <c r="T659" s="6" t="s">
        <v>56</v>
      </c>
      <c r="AR659" s="6" t="s">
        <v>55</v>
      </c>
      <c r="AS659" s="6" t="s">
        <v>55</v>
      </c>
      <c r="AU659" s="6" t="s">
        <v>2069</v>
      </c>
      <c r="AV659">
        <v>2273</v>
      </c>
    </row>
    <row r="660" spans="1:48" ht="30" customHeight="1" x14ac:dyDescent="0.3">
      <c r="A660" s="4" t="s">
        <v>2070</v>
      </c>
      <c r="B660" s="4" t="s">
        <v>2071</v>
      </c>
      <c r="C660" s="4" t="s">
        <v>269</v>
      </c>
      <c r="D660" s="5">
        <v>4767</v>
      </c>
      <c r="E660" s="7">
        <f>TRUNC([1]일위대가목록!E176,0)</f>
        <v>383</v>
      </c>
      <c r="F660" s="7">
        <f t="shared" si="66"/>
        <v>1825761</v>
      </c>
      <c r="G660" s="7">
        <f>TRUNC([1]일위대가목록!F176,0)</f>
        <v>0</v>
      </c>
      <c r="H660" s="7">
        <f t="shared" si="67"/>
        <v>0</v>
      </c>
      <c r="I660" s="7">
        <f>TRUNC([1]일위대가목록!G176,0)</f>
        <v>0</v>
      </c>
      <c r="J660" s="7">
        <f t="shared" si="68"/>
        <v>0</v>
      </c>
      <c r="K660" s="7">
        <f t="shared" si="69"/>
        <v>383</v>
      </c>
      <c r="L660" s="7">
        <f t="shared" si="69"/>
        <v>1825761</v>
      </c>
      <c r="M660" s="4" t="s">
        <v>2072</v>
      </c>
      <c r="N660" s="6" t="s">
        <v>2073</v>
      </c>
      <c r="O660" s="6" t="s">
        <v>55</v>
      </c>
      <c r="P660" s="6" t="s">
        <v>55</v>
      </c>
      <c r="Q660" s="6" t="s">
        <v>2030</v>
      </c>
      <c r="R660" s="6" t="s">
        <v>57</v>
      </c>
      <c r="S660" s="6" t="s">
        <v>56</v>
      </c>
      <c r="T660" s="6" t="s">
        <v>56</v>
      </c>
      <c r="AR660" s="6" t="s">
        <v>55</v>
      </c>
      <c r="AS660" s="6" t="s">
        <v>55</v>
      </c>
      <c r="AU660" s="6" t="s">
        <v>2074</v>
      </c>
      <c r="AV660">
        <v>433</v>
      </c>
    </row>
    <row r="661" spans="1:48" ht="30" customHeight="1" x14ac:dyDescent="0.3">
      <c r="A661" s="4" t="s">
        <v>2075</v>
      </c>
      <c r="B661" s="4" t="s">
        <v>2076</v>
      </c>
      <c r="C661" s="4" t="s">
        <v>269</v>
      </c>
      <c r="D661" s="5">
        <v>12875</v>
      </c>
      <c r="E661" s="7">
        <f>TRUNC([1]일위대가목록!E177,0)</f>
        <v>2295</v>
      </c>
      <c r="F661" s="7">
        <f t="shared" si="66"/>
        <v>29548125</v>
      </c>
      <c r="G661" s="7">
        <f>TRUNC([1]일위대가목록!F177,0)</f>
        <v>0</v>
      </c>
      <c r="H661" s="7">
        <f t="shared" si="67"/>
        <v>0</v>
      </c>
      <c r="I661" s="7">
        <f>TRUNC([1]일위대가목록!G177,0)</f>
        <v>0</v>
      </c>
      <c r="J661" s="7">
        <f t="shared" si="68"/>
        <v>0</v>
      </c>
      <c r="K661" s="7">
        <f t="shared" si="69"/>
        <v>2295</v>
      </c>
      <c r="L661" s="7">
        <f t="shared" si="69"/>
        <v>29548125</v>
      </c>
      <c r="M661" s="4" t="s">
        <v>2077</v>
      </c>
      <c r="N661" s="6" t="s">
        <v>2078</v>
      </c>
      <c r="O661" s="6" t="s">
        <v>55</v>
      </c>
      <c r="P661" s="6" t="s">
        <v>55</v>
      </c>
      <c r="Q661" s="6" t="s">
        <v>2030</v>
      </c>
      <c r="R661" s="6" t="s">
        <v>57</v>
      </c>
      <c r="S661" s="6" t="s">
        <v>56</v>
      </c>
      <c r="T661" s="6" t="s">
        <v>56</v>
      </c>
      <c r="AR661" s="6" t="s">
        <v>55</v>
      </c>
      <c r="AS661" s="6" t="s">
        <v>55</v>
      </c>
      <c r="AU661" s="6" t="s">
        <v>2079</v>
      </c>
      <c r="AV661">
        <v>434</v>
      </c>
    </row>
    <row r="662" spans="1:48" ht="30" customHeight="1" x14ac:dyDescent="0.3">
      <c r="A662" s="4" t="s">
        <v>1714</v>
      </c>
      <c r="B662" s="4" t="s">
        <v>2080</v>
      </c>
      <c r="C662" s="4" t="s">
        <v>61</v>
      </c>
      <c r="D662" s="5">
        <v>372</v>
      </c>
      <c r="E662" s="7">
        <f>TRUNC([1]일위대가목록!E178,0)</f>
        <v>0</v>
      </c>
      <c r="F662" s="7">
        <f t="shared" si="66"/>
        <v>0</v>
      </c>
      <c r="G662" s="7">
        <f>TRUNC([1]일위대가목록!F178,0)</f>
        <v>31833</v>
      </c>
      <c r="H662" s="7">
        <f t="shared" si="67"/>
        <v>11841876</v>
      </c>
      <c r="I662" s="7">
        <f>TRUNC([1]일위대가목록!G178,0)</f>
        <v>0</v>
      </c>
      <c r="J662" s="7">
        <f t="shared" si="68"/>
        <v>0</v>
      </c>
      <c r="K662" s="7">
        <f t="shared" si="69"/>
        <v>31833</v>
      </c>
      <c r="L662" s="7">
        <f t="shared" si="69"/>
        <v>11841876</v>
      </c>
      <c r="M662" s="4" t="s">
        <v>2081</v>
      </c>
      <c r="N662" s="6" t="s">
        <v>2082</v>
      </c>
      <c r="O662" s="6" t="s">
        <v>55</v>
      </c>
      <c r="P662" s="6" t="s">
        <v>55</v>
      </c>
      <c r="Q662" s="6" t="s">
        <v>2030</v>
      </c>
      <c r="R662" s="6" t="s">
        <v>57</v>
      </c>
      <c r="S662" s="6" t="s">
        <v>56</v>
      </c>
      <c r="T662" s="6" t="s">
        <v>56</v>
      </c>
      <c r="AR662" s="6" t="s">
        <v>55</v>
      </c>
      <c r="AS662" s="6" t="s">
        <v>55</v>
      </c>
      <c r="AU662" s="6" t="s">
        <v>2083</v>
      </c>
      <c r="AV662">
        <v>435</v>
      </c>
    </row>
    <row r="663" spans="1:48" ht="30" customHeight="1" x14ac:dyDescent="0.3">
      <c r="A663" s="4" t="s">
        <v>2084</v>
      </c>
      <c r="B663" s="4" t="s">
        <v>2085</v>
      </c>
      <c r="C663" s="4" t="s">
        <v>61</v>
      </c>
      <c r="D663" s="5">
        <v>536</v>
      </c>
      <c r="E663" s="7">
        <f>TRUNC([1]일위대가목록!E179,0)</f>
        <v>706</v>
      </c>
      <c r="F663" s="7">
        <f t="shared" si="66"/>
        <v>378416</v>
      </c>
      <c r="G663" s="7">
        <f>TRUNC([1]일위대가목록!F179,0)</f>
        <v>22808</v>
      </c>
      <c r="H663" s="7">
        <f t="shared" si="67"/>
        <v>12225088</v>
      </c>
      <c r="I663" s="7">
        <f>TRUNC([1]일위대가목록!G179,0)</f>
        <v>0</v>
      </c>
      <c r="J663" s="7">
        <f t="shared" si="68"/>
        <v>0</v>
      </c>
      <c r="K663" s="7">
        <f t="shared" si="69"/>
        <v>23514</v>
      </c>
      <c r="L663" s="7">
        <f t="shared" si="69"/>
        <v>12603504</v>
      </c>
      <c r="M663" s="4" t="s">
        <v>2086</v>
      </c>
      <c r="N663" s="6" t="s">
        <v>2087</v>
      </c>
      <c r="O663" s="6" t="s">
        <v>55</v>
      </c>
      <c r="P663" s="6" t="s">
        <v>55</v>
      </c>
      <c r="Q663" s="6" t="s">
        <v>2030</v>
      </c>
      <c r="R663" s="6" t="s">
        <v>57</v>
      </c>
      <c r="S663" s="6" t="s">
        <v>56</v>
      </c>
      <c r="T663" s="6" t="s">
        <v>56</v>
      </c>
      <c r="AR663" s="6" t="s">
        <v>55</v>
      </c>
      <c r="AS663" s="6" t="s">
        <v>55</v>
      </c>
      <c r="AU663" s="6" t="s">
        <v>2088</v>
      </c>
      <c r="AV663">
        <v>2611</v>
      </c>
    </row>
    <row r="664" spans="1:48" ht="30" customHeight="1" x14ac:dyDescent="0.3">
      <c r="A664" s="4" t="s">
        <v>2084</v>
      </c>
      <c r="B664" s="4" t="s">
        <v>2089</v>
      </c>
      <c r="C664" s="4" t="s">
        <v>61</v>
      </c>
      <c r="D664" s="5">
        <v>1646</v>
      </c>
      <c r="E664" s="7">
        <f>TRUNC([1]일위대가목록!E180,0)</f>
        <v>780</v>
      </c>
      <c r="F664" s="7">
        <f t="shared" si="66"/>
        <v>1283880</v>
      </c>
      <c r="G664" s="7">
        <f>TRUNC([1]일위대가목록!F180,0)</f>
        <v>25201</v>
      </c>
      <c r="H664" s="7">
        <f t="shared" si="67"/>
        <v>41480846</v>
      </c>
      <c r="I664" s="7">
        <f>TRUNC([1]일위대가목록!G180,0)</f>
        <v>0</v>
      </c>
      <c r="J664" s="7">
        <f t="shared" si="68"/>
        <v>0</v>
      </c>
      <c r="K664" s="7">
        <f t="shared" si="69"/>
        <v>25981</v>
      </c>
      <c r="L664" s="7">
        <f t="shared" si="69"/>
        <v>42764726</v>
      </c>
      <c r="M664" s="4" t="s">
        <v>2090</v>
      </c>
      <c r="N664" s="6" t="s">
        <v>2091</v>
      </c>
      <c r="O664" s="6" t="s">
        <v>55</v>
      </c>
      <c r="P664" s="6" t="s">
        <v>55</v>
      </c>
      <c r="Q664" s="6" t="s">
        <v>2030</v>
      </c>
      <c r="R664" s="6" t="s">
        <v>57</v>
      </c>
      <c r="S664" s="6" t="s">
        <v>56</v>
      </c>
      <c r="T664" s="6" t="s">
        <v>56</v>
      </c>
      <c r="AR664" s="6" t="s">
        <v>55</v>
      </c>
      <c r="AS664" s="6" t="s">
        <v>55</v>
      </c>
      <c r="AU664" s="6" t="s">
        <v>2092</v>
      </c>
      <c r="AV664">
        <v>2612</v>
      </c>
    </row>
    <row r="665" spans="1:48" ht="30" customHeight="1" x14ac:dyDescent="0.3">
      <c r="A665" s="4" t="s">
        <v>2093</v>
      </c>
      <c r="B665" s="4" t="s">
        <v>2071</v>
      </c>
      <c r="C665" s="4" t="s">
        <v>269</v>
      </c>
      <c r="D665" s="5">
        <v>1501</v>
      </c>
      <c r="E665" s="7">
        <f>TRUNC([1]일위대가목록!E181,0)</f>
        <v>383</v>
      </c>
      <c r="F665" s="7">
        <f t="shared" si="66"/>
        <v>574883</v>
      </c>
      <c r="G665" s="7">
        <f>TRUNC([1]일위대가목록!F181,0)</f>
        <v>0</v>
      </c>
      <c r="H665" s="7">
        <f t="shared" si="67"/>
        <v>0</v>
      </c>
      <c r="I665" s="7">
        <f>TRUNC([1]일위대가목록!G181,0)</f>
        <v>0</v>
      </c>
      <c r="J665" s="7">
        <f t="shared" si="68"/>
        <v>0</v>
      </c>
      <c r="K665" s="7">
        <f t="shared" si="69"/>
        <v>383</v>
      </c>
      <c r="L665" s="7">
        <f t="shared" si="69"/>
        <v>574883</v>
      </c>
      <c r="M665" s="4" t="s">
        <v>2094</v>
      </c>
      <c r="N665" s="6" t="s">
        <v>2095</v>
      </c>
      <c r="O665" s="6" t="s">
        <v>55</v>
      </c>
      <c r="P665" s="6" t="s">
        <v>55</v>
      </c>
      <c r="Q665" s="6" t="s">
        <v>2030</v>
      </c>
      <c r="R665" s="6" t="s">
        <v>57</v>
      </c>
      <c r="S665" s="6" t="s">
        <v>56</v>
      </c>
      <c r="T665" s="6" t="s">
        <v>56</v>
      </c>
      <c r="AR665" s="6" t="s">
        <v>55</v>
      </c>
      <c r="AS665" s="6" t="s">
        <v>55</v>
      </c>
      <c r="AU665" s="6" t="s">
        <v>2096</v>
      </c>
      <c r="AV665">
        <v>438</v>
      </c>
    </row>
    <row r="666" spans="1:48" ht="30" customHeight="1" x14ac:dyDescent="0.3">
      <c r="A666" s="4" t="s">
        <v>2097</v>
      </c>
      <c r="B666" s="4" t="s">
        <v>55</v>
      </c>
      <c r="C666" s="4" t="s">
        <v>269</v>
      </c>
      <c r="D666" s="5">
        <v>7898</v>
      </c>
      <c r="E666" s="7">
        <f>TRUNC([1]일위대가목록!E182,0)</f>
        <v>3996</v>
      </c>
      <c r="F666" s="7">
        <f t="shared" si="66"/>
        <v>31560408</v>
      </c>
      <c r="G666" s="7">
        <f>TRUNC([1]일위대가목록!F182,0)</f>
        <v>3587</v>
      </c>
      <c r="H666" s="7">
        <f t="shared" si="67"/>
        <v>28330126</v>
      </c>
      <c r="I666" s="7">
        <f>TRUNC([1]일위대가목록!G182,0)</f>
        <v>0</v>
      </c>
      <c r="J666" s="7">
        <f t="shared" si="68"/>
        <v>0</v>
      </c>
      <c r="K666" s="7">
        <f t="shared" si="69"/>
        <v>7583</v>
      </c>
      <c r="L666" s="7">
        <f t="shared" si="69"/>
        <v>59890534</v>
      </c>
      <c r="M666" s="4" t="s">
        <v>2098</v>
      </c>
      <c r="N666" s="6" t="s">
        <v>2099</v>
      </c>
      <c r="O666" s="6" t="s">
        <v>55</v>
      </c>
      <c r="P666" s="6" t="s">
        <v>55</v>
      </c>
      <c r="Q666" s="6" t="s">
        <v>2030</v>
      </c>
      <c r="R666" s="6" t="s">
        <v>57</v>
      </c>
      <c r="S666" s="6" t="s">
        <v>56</v>
      </c>
      <c r="T666" s="6" t="s">
        <v>56</v>
      </c>
      <c r="AR666" s="6" t="s">
        <v>55</v>
      </c>
      <c r="AS666" s="6" t="s">
        <v>55</v>
      </c>
      <c r="AU666" s="6" t="s">
        <v>2100</v>
      </c>
      <c r="AV666">
        <v>2613</v>
      </c>
    </row>
    <row r="667" spans="1:48" ht="30" customHeight="1" x14ac:dyDescent="0.3">
      <c r="A667" s="4" t="s">
        <v>2101</v>
      </c>
      <c r="B667" s="4" t="s">
        <v>55</v>
      </c>
      <c r="C667" s="4" t="s">
        <v>269</v>
      </c>
      <c r="D667" s="5">
        <v>12875</v>
      </c>
      <c r="E667" s="7">
        <f>TRUNC([1]일위대가목록!E183,0)</f>
        <v>150</v>
      </c>
      <c r="F667" s="7">
        <f t="shared" si="66"/>
        <v>1931250</v>
      </c>
      <c r="G667" s="7">
        <f>TRUNC([1]일위대가목록!F183,0)</f>
        <v>0</v>
      </c>
      <c r="H667" s="7">
        <f t="shared" si="67"/>
        <v>0</v>
      </c>
      <c r="I667" s="7">
        <f>TRUNC([1]일위대가목록!G183,0)</f>
        <v>0</v>
      </c>
      <c r="J667" s="7">
        <f t="shared" si="68"/>
        <v>0</v>
      </c>
      <c r="K667" s="7">
        <f t="shared" si="69"/>
        <v>150</v>
      </c>
      <c r="L667" s="7">
        <f t="shared" si="69"/>
        <v>1931250</v>
      </c>
      <c r="M667" s="4" t="s">
        <v>2102</v>
      </c>
      <c r="N667" s="6" t="s">
        <v>2103</v>
      </c>
      <c r="O667" s="6" t="s">
        <v>55</v>
      </c>
      <c r="P667" s="6" t="s">
        <v>55</v>
      </c>
      <c r="Q667" s="6" t="s">
        <v>2030</v>
      </c>
      <c r="R667" s="6" t="s">
        <v>57</v>
      </c>
      <c r="S667" s="6" t="s">
        <v>56</v>
      </c>
      <c r="T667" s="6" t="s">
        <v>56</v>
      </c>
      <c r="AR667" s="6" t="s">
        <v>55</v>
      </c>
      <c r="AS667" s="6" t="s">
        <v>55</v>
      </c>
      <c r="AU667" s="6" t="s">
        <v>2104</v>
      </c>
      <c r="AV667">
        <v>440</v>
      </c>
    </row>
    <row r="668" spans="1:48" ht="30" customHeight="1" x14ac:dyDescent="0.3">
      <c r="A668" s="4" t="s">
        <v>2105</v>
      </c>
      <c r="B668" s="4" t="s">
        <v>2106</v>
      </c>
      <c r="C668" s="4" t="s">
        <v>61</v>
      </c>
      <c r="D668" s="5">
        <v>52</v>
      </c>
      <c r="E668" s="7">
        <f>TRUNC([1]일위대가목록!E184,0)</f>
        <v>50471</v>
      </c>
      <c r="F668" s="7">
        <f t="shared" si="66"/>
        <v>2624492</v>
      </c>
      <c r="G668" s="7">
        <f>TRUNC([1]일위대가목록!F184,0)</f>
        <v>58966</v>
      </c>
      <c r="H668" s="7">
        <f t="shared" si="67"/>
        <v>3066232</v>
      </c>
      <c r="I668" s="7">
        <f>TRUNC([1]일위대가목록!G184,0)</f>
        <v>343</v>
      </c>
      <c r="J668" s="7">
        <f t="shared" si="68"/>
        <v>17836</v>
      </c>
      <c r="K668" s="7">
        <f t="shared" si="69"/>
        <v>109780</v>
      </c>
      <c r="L668" s="7">
        <f t="shared" si="69"/>
        <v>5708560</v>
      </c>
      <c r="M668" s="4" t="s">
        <v>2107</v>
      </c>
      <c r="N668" s="6" t="s">
        <v>2108</v>
      </c>
      <c r="O668" s="6" t="s">
        <v>55</v>
      </c>
      <c r="P668" s="6" t="s">
        <v>55</v>
      </c>
      <c r="Q668" s="6" t="s">
        <v>2030</v>
      </c>
      <c r="R668" s="6" t="s">
        <v>57</v>
      </c>
      <c r="S668" s="6" t="s">
        <v>56</v>
      </c>
      <c r="T668" s="6" t="s">
        <v>56</v>
      </c>
      <c r="AR668" s="6" t="s">
        <v>55</v>
      </c>
      <c r="AS668" s="6" t="s">
        <v>55</v>
      </c>
      <c r="AU668" s="6" t="s">
        <v>2109</v>
      </c>
      <c r="AV668">
        <v>441</v>
      </c>
    </row>
    <row r="669" spans="1:48" ht="30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spans="1:48" ht="30" customHeight="1" x14ac:dyDescent="0.3">
      <c r="A670" s="4" t="s">
        <v>128</v>
      </c>
      <c r="B670" s="5"/>
      <c r="C670" s="5"/>
      <c r="D670" s="5"/>
      <c r="E670" s="5"/>
      <c r="F670" s="7">
        <f>SUM(F648:F669)</f>
        <v>226509147</v>
      </c>
      <c r="G670" s="5"/>
      <c r="H670" s="7">
        <f>SUM(H648:H669)</f>
        <v>98374223</v>
      </c>
      <c r="I670" s="5"/>
      <c r="J670" s="7">
        <f>SUM(J648:J669)</f>
        <v>46429</v>
      </c>
      <c r="K670" s="5"/>
      <c r="L670" s="7">
        <f>SUM(L648:L669)</f>
        <v>324929799</v>
      </c>
      <c r="M670" s="5"/>
      <c r="N670" t="s">
        <v>129</v>
      </c>
    </row>
    <row r="671" spans="1:48" ht="30" customHeight="1" x14ac:dyDescent="0.3">
      <c r="A671" s="4" t="s">
        <v>2110</v>
      </c>
      <c r="B671" s="4" t="s">
        <v>48</v>
      </c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Q671" s="6" t="s">
        <v>2111</v>
      </c>
    </row>
    <row r="672" spans="1:48" ht="30" customHeight="1" x14ac:dyDescent="0.3">
      <c r="A672" s="4" t="s">
        <v>409</v>
      </c>
      <c r="B672" s="4" t="s">
        <v>2112</v>
      </c>
      <c r="C672" s="4" t="s">
        <v>61</v>
      </c>
      <c r="D672" s="5">
        <v>1207</v>
      </c>
      <c r="E672" s="7">
        <f>TRUNC([1]일위대가목록!E185,0)</f>
        <v>1133</v>
      </c>
      <c r="F672" s="7">
        <f t="shared" ref="F672:F684" si="70">TRUNC(E672*D672, 0)</f>
        <v>1367531</v>
      </c>
      <c r="G672" s="7">
        <f>TRUNC([1]일위대가목록!F185,0)</f>
        <v>2904</v>
      </c>
      <c r="H672" s="7">
        <f t="shared" ref="H672:H684" si="71">TRUNC(G672*D672, 0)</f>
        <v>3505128</v>
      </c>
      <c r="I672" s="7">
        <f>TRUNC([1]일위대가목록!G185,0)</f>
        <v>119</v>
      </c>
      <c r="J672" s="7">
        <f t="shared" ref="J672:J684" si="72">TRUNC(I672*D672, 0)</f>
        <v>143633</v>
      </c>
      <c r="K672" s="7">
        <f t="shared" ref="K672:L684" si="73">TRUNC(E672+G672+I672, 0)</f>
        <v>4156</v>
      </c>
      <c r="L672" s="7">
        <f t="shared" si="73"/>
        <v>5016292</v>
      </c>
      <c r="M672" s="4" t="s">
        <v>2113</v>
      </c>
      <c r="N672" s="6" t="s">
        <v>2114</v>
      </c>
      <c r="O672" s="6" t="s">
        <v>55</v>
      </c>
      <c r="P672" s="6" t="s">
        <v>55</v>
      </c>
      <c r="Q672" s="6" t="s">
        <v>2111</v>
      </c>
      <c r="R672" s="6" t="s">
        <v>57</v>
      </c>
      <c r="S672" s="6" t="s">
        <v>56</v>
      </c>
      <c r="T672" s="6" t="s">
        <v>56</v>
      </c>
      <c r="AR672" s="6" t="s">
        <v>55</v>
      </c>
      <c r="AS672" s="6" t="s">
        <v>55</v>
      </c>
      <c r="AU672" s="6" t="s">
        <v>2115</v>
      </c>
      <c r="AV672">
        <v>443</v>
      </c>
    </row>
    <row r="673" spans="1:48" ht="30" customHeight="1" x14ac:dyDescent="0.3">
      <c r="A673" s="4" t="s">
        <v>2116</v>
      </c>
      <c r="B673" s="4" t="s">
        <v>2117</v>
      </c>
      <c r="C673" s="4" t="s">
        <v>61</v>
      </c>
      <c r="D673" s="5">
        <v>1207</v>
      </c>
      <c r="E673" s="7">
        <f>TRUNC([1]일위대가목록!E186,0)</f>
        <v>1694</v>
      </c>
      <c r="F673" s="7">
        <f t="shared" si="70"/>
        <v>2044658</v>
      </c>
      <c r="G673" s="7">
        <f>TRUNC([1]일위대가목록!F186,0)</f>
        <v>968</v>
      </c>
      <c r="H673" s="7">
        <f t="shared" si="71"/>
        <v>1168376</v>
      </c>
      <c r="I673" s="7">
        <f>TRUNC([1]일위대가목록!G186,0)</f>
        <v>238</v>
      </c>
      <c r="J673" s="7">
        <f t="shared" si="72"/>
        <v>287266</v>
      </c>
      <c r="K673" s="7">
        <f t="shared" si="73"/>
        <v>2900</v>
      </c>
      <c r="L673" s="7">
        <f t="shared" si="73"/>
        <v>3500300</v>
      </c>
      <c r="M673" s="4" t="s">
        <v>2118</v>
      </c>
      <c r="N673" s="6" t="s">
        <v>2119</v>
      </c>
      <c r="O673" s="6" t="s">
        <v>55</v>
      </c>
      <c r="P673" s="6" t="s">
        <v>55</v>
      </c>
      <c r="Q673" s="6" t="s">
        <v>2111</v>
      </c>
      <c r="R673" s="6" t="s">
        <v>57</v>
      </c>
      <c r="S673" s="6" t="s">
        <v>56</v>
      </c>
      <c r="T673" s="6" t="s">
        <v>56</v>
      </c>
      <c r="AR673" s="6" t="s">
        <v>55</v>
      </c>
      <c r="AS673" s="6" t="s">
        <v>55</v>
      </c>
      <c r="AU673" s="6" t="s">
        <v>2120</v>
      </c>
      <c r="AV673">
        <v>444</v>
      </c>
    </row>
    <row r="674" spans="1:48" ht="30" customHeight="1" x14ac:dyDescent="0.3">
      <c r="A674" s="4" t="s">
        <v>2121</v>
      </c>
      <c r="B674" s="4" t="s">
        <v>2122</v>
      </c>
      <c r="C674" s="4" t="s">
        <v>269</v>
      </c>
      <c r="D674" s="5">
        <v>1641</v>
      </c>
      <c r="E674" s="7">
        <f>TRUNC([1]일위대가목록!E187,0)</f>
        <v>1081</v>
      </c>
      <c r="F674" s="7">
        <f t="shared" si="70"/>
        <v>1773921</v>
      </c>
      <c r="G674" s="7">
        <f>TRUNC([1]일위대가목록!F187,0)</f>
        <v>2052</v>
      </c>
      <c r="H674" s="7">
        <f t="shared" si="71"/>
        <v>3367332</v>
      </c>
      <c r="I674" s="7">
        <f>TRUNC([1]일위대가목록!G187,0)</f>
        <v>0</v>
      </c>
      <c r="J674" s="7">
        <f t="shared" si="72"/>
        <v>0</v>
      </c>
      <c r="K674" s="7">
        <f t="shared" si="73"/>
        <v>3133</v>
      </c>
      <c r="L674" s="7">
        <f t="shared" si="73"/>
        <v>5141253</v>
      </c>
      <c r="M674" s="4" t="s">
        <v>2123</v>
      </c>
      <c r="N674" s="6" t="s">
        <v>2124</v>
      </c>
      <c r="O674" s="6" t="s">
        <v>55</v>
      </c>
      <c r="P674" s="6" t="s">
        <v>55</v>
      </c>
      <c r="Q674" s="6" t="s">
        <v>2111</v>
      </c>
      <c r="R674" s="6" t="s">
        <v>57</v>
      </c>
      <c r="S674" s="6" t="s">
        <v>56</v>
      </c>
      <c r="T674" s="6" t="s">
        <v>56</v>
      </c>
      <c r="AR674" s="6" t="s">
        <v>55</v>
      </c>
      <c r="AS674" s="6" t="s">
        <v>55</v>
      </c>
      <c r="AU674" s="6" t="s">
        <v>2125</v>
      </c>
      <c r="AV674">
        <v>445</v>
      </c>
    </row>
    <row r="675" spans="1:48" ht="30" customHeight="1" x14ac:dyDescent="0.3">
      <c r="A675" s="4" t="s">
        <v>2121</v>
      </c>
      <c r="B675" s="4" t="s">
        <v>2126</v>
      </c>
      <c r="C675" s="4" t="s">
        <v>269</v>
      </c>
      <c r="D675" s="5">
        <v>741</v>
      </c>
      <c r="E675" s="7">
        <f>TRUNC([1]일위대가목록!E188,0)</f>
        <v>1081</v>
      </c>
      <c r="F675" s="7">
        <f t="shared" si="70"/>
        <v>801021</v>
      </c>
      <c r="G675" s="7">
        <f>TRUNC([1]일위대가목록!F188,0)</f>
        <v>2052</v>
      </c>
      <c r="H675" s="7">
        <f t="shared" si="71"/>
        <v>1520532</v>
      </c>
      <c r="I675" s="7">
        <f>TRUNC([1]일위대가목록!G188,0)</f>
        <v>0</v>
      </c>
      <c r="J675" s="7">
        <f t="shared" si="72"/>
        <v>0</v>
      </c>
      <c r="K675" s="7">
        <f t="shared" si="73"/>
        <v>3133</v>
      </c>
      <c r="L675" s="7">
        <f t="shared" si="73"/>
        <v>2321553</v>
      </c>
      <c r="M675" s="4" t="s">
        <v>2127</v>
      </c>
      <c r="N675" s="6" t="s">
        <v>2128</v>
      </c>
      <c r="O675" s="6" t="s">
        <v>55</v>
      </c>
      <c r="P675" s="6" t="s">
        <v>55</v>
      </c>
      <c r="Q675" s="6" t="s">
        <v>2111</v>
      </c>
      <c r="R675" s="6" t="s">
        <v>57</v>
      </c>
      <c r="S675" s="6" t="s">
        <v>56</v>
      </c>
      <c r="T675" s="6" t="s">
        <v>56</v>
      </c>
      <c r="AR675" s="6" t="s">
        <v>55</v>
      </c>
      <c r="AS675" s="6" t="s">
        <v>55</v>
      </c>
      <c r="AU675" s="6" t="s">
        <v>2129</v>
      </c>
      <c r="AV675">
        <v>446</v>
      </c>
    </row>
    <row r="676" spans="1:48" ht="30" customHeight="1" x14ac:dyDescent="0.3">
      <c r="A676" s="4" t="s">
        <v>2130</v>
      </c>
      <c r="B676" s="4" t="s">
        <v>2131</v>
      </c>
      <c r="C676" s="4" t="s">
        <v>61</v>
      </c>
      <c r="D676" s="5">
        <v>290</v>
      </c>
      <c r="E676" s="7">
        <f>TRUNC([1]일위대가목록!E189,0)</f>
        <v>1951</v>
      </c>
      <c r="F676" s="7">
        <f t="shared" si="70"/>
        <v>565790</v>
      </c>
      <c r="G676" s="7">
        <f>TRUNC([1]일위대가목록!F189,0)</f>
        <v>9655</v>
      </c>
      <c r="H676" s="7">
        <f t="shared" si="71"/>
        <v>2799950</v>
      </c>
      <c r="I676" s="7">
        <f>TRUNC([1]일위대가목록!G189,0)</f>
        <v>0</v>
      </c>
      <c r="J676" s="7">
        <f t="shared" si="72"/>
        <v>0</v>
      </c>
      <c r="K676" s="7">
        <f t="shared" si="73"/>
        <v>11606</v>
      </c>
      <c r="L676" s="7">
        <f t="shared" si="73"/>
        <v>3365740</v>
      </c>
      <c r="M676" s="4" t="s">
        <v>2132</v>
      </c>
      <c r="N676" s="6" t="s">
        <v>2133</v>
      </c>
      <c r="O676" s="6" t="s">
        <v>55</v>
      </c>
      <c r="P676" s="6" t="s">
        <v>55</v>
      </c>
      <c r="Q676" s="6" t="s">
        <v>2111</v>
      </c>
      <c r="R676" s="6" t="s">
        <v>57</v>
      </c>
      <c r="S676" s="6" t="s">
        <v>56</v>
      </c>
      <c r="T676" s="6" t="s">
        <v>56</v>
      </c>
      <c r="AR676" s="6" t="s">
        <v>55</v>
      </c>
      <c r="AS676" s="6" t="s">
        <v>55</v>
      </c>
      <c r="AU676" s="6" t="s">
        <v>2134</v>
      </c>
      <c r="AV676">
        <v>447</v>
      </c>
    </row>
    <row r="677" spans="1:48" ht="30" customHeight="1" x14ac:dyDescent="0.3">
      <c r="A677" s="4" t="s">
        <v>2130</v>
      </c>
      <c r="B677" s="4" t="s">
        <v>2135</v>
      </c>
      <c r="C677" s="4" t="s">
        <v>61</v>
      </c>
      <c r="D677" s="5">
        <v>82</v>
      </c>
      <c r="E677" s="7">
        <f>TRUNC([1]일위대가목록!E190,0)</f>
        <v>1951</v>
      </c>
      <c r="F677" s="7">
        <f t="shared" si="70"/>
        <v>159982</v>
      </c>
      <c r="G677" s="7">
        <f>TRUNC([1]일위대가목록!F190,0)</f>
        <v>11586</v>
      </c>
      <c r="H677" s="7">
        <f t="shared" si="71"/>
        <v>950052</v>
      </c>
      <c r="I677" s="7">
        <f>TRUNC([1]일위대가목록!G190,0)</f>
        <v>0</v>
      </c>
      <c r="J677" s="7">
        <f t="shared" si="72"/>
        <v>0</v>
      </c>
      <c r="K677" s="7">
        <f t="shared" si="73"/>
        <v>13537</v>
      </c>
      <c r="L677" s="7">
        <f t="shared" si="73"/>
        <v>1110034</v>
      </c>
      <c r="M677" s="4" t="s">
        <v>2136</v>
      </c>
      <c r="N677" s="6" t="s">
        <v>2137</v>
      </c>
      <c r="O677" s="6" t="s">
        <v>55</v>
      </c>
      <c r="P677" s="6" t="s">
        <v>55</v>
      </c>
      <c r="Q677" s="6" t="s">
        <v>2111</v>
      </c>
      <c r="R677" s="6" t="s">
        <v>57</v>
      </c>
      <c r="S677" s="6" t="s">
        <v>56</v>
      </c>
      <c r="T677" s="6" t="s">
        <v>56</v>
      </c>
      <c r="AR677" s="6" t="s">
        <v>55</v>
      </c>
      <c r="AS677" s="6" t="s">
        <v>55</v>
      </c>
      <c r="AU677" s="6" t="s">
        <v>2138</v>
      </c>
      <c r="AV677">
        <v>448</v>
      </c>
    </row>
    <row r="678" spans="1:48" ht="30" customHeight="1" x14ac:dyDescent="0.3">
      <c r="A678" s="4" t="s">
        <v>2130</v>
      </c>
      <c r="B678" s="4" t="s">
        <v>2139</v>
      </c>
      <c r="C678" s="4" t="s">
        <v>61</v>
      </c>
      <c r="D678" s="5">
        <v>7341</v>
      </c>
      <c r="E678" s="7">
        <f>TRUNC([1]일위대가목록!E191,0)</f>
        <v>1202</v>
      </c>
      <c r="F678" s="7">
        <f t="shared" si="70"/>
        <v>8823882</v>
      </c>
      <c r="G678" s="7">
        <f>TRUNC([1]일위대가목록!F191,0)</f>
        <v>5260</v>
      </c>
      <c r="H678" s="7">
        <f t="shared" si="71"/>
        <v>38613660</v>
      </c>
      <c r="I678" s="7">
        <f>TRUNC([1]일위대가목록!G191,0)</f>
        <v>0</v>
      </c>
      <c r="J678" s="7">
        <f t="shared" si="72"/>
        <v>0</v>
      </c>
      <c r="K678" s="7">
        <f t="shared" si="73"/>
        <v>6462</v>
      </c>
      <c r="L678" s="7">
        <f t="shared" si="73"/>
        <v>47437542</v>
      </c>
      <c r="M678" s="4" t="s">
        <v>2140</v>
      </c>
      <c r="N678" s="6" t="s">
        <v>2141</v>
      </c>
      <c r="O678" s="6" t="s">
        <v>55</v>
      </c>
      <c r="P678" s="6" t="s">
        <v>55</v>
      </c>
      <c r="Q678" s="6" t="s">
        <v>2111</v>
      </c>
      <c r="R678" s="6" t="s">
        <v>57</v>
      </c>
      <c r="S678" s="6" t="s">
        <v>56</v>
      </c>
      <c r="T678" s="6" t="s">
        <v>56</v>
      </c>
      <c r="AR678" s="6" t="s">
        <v>55</v>
      </c>
      <c r="AS678" s="6" t="s">
        <v>55</v>
      </c>
      <c r="AU678" s="6" t="s">
        <v>2142</v>
      </c>
      <c r="AV678">
        <v>449</v>
      </c>
    </row>
    <row r="679" spans="1:48" ht="30" customHeight="1" x14ac:dyDescent="0.3">
      <c r="A679" s="4" t="s">
        <v>2130</v>
      </c>
      <c r="B679" s="4" t="s">
        <v>2143</v>
      </c>
      <c r="C679" s="4" t="s">
        <v>61</v>
      </c>
      <c r="D679" s="5">
        <v>1383</v>
      </c>
      <c r="E679" s="7">
        <f>TRUNC([1]일위대가목록!E192,0)</f>
        <v>1246</v>
      </c>
      <c r="F679" s="7">
        <f t="shared" si="70"/>
        <v>1723218</v>
      </c>
      <c r="G679" s="7">
        <f>TRUNC([1]일위대가목록!F192,0)</f>
        <v>6292</v>
      </c>
      <c r="H679" s="7">
        <f t="shared" si="71"/>
        <v>8701836</v>
      </c>
      <c r="I679" s="7">
        <f>TRUNC([1]일위대가목록!G192,0)</f>
        <v>0</v>
      </c>
      <c r="J679" s="7">
        <f t="shared" si="72"/>
        <v>0</v>
      </c>
      <c r="K679" s="7">
        <f t="shared" si="73"/>
        <v>7538</v>
      </c>
      <c r="L679" s="7">
        <f t="shared" si="73"/>
        <v>10425054</v>
      </c>
      <c r="M679" s="4" t="s">
        <v>2144</v>
      </c>
      <c r="N679" s="6" t="s">
        <v>2145</v>
      </c>
      <c r="O679" s="6" t="s">
        <v>55</v>
      </c>
      <c r="P679" s="6" t="s">
        <v>55</v>
      </c>
      <c r="Q679" s="6" t="s">
        <v>2111</v>
      </c>
      <c r="R679" s="6" t="s">
        <v>57</v>
      </c>
      <c r="S679" s="6" t="s">
        <v>56</v>
      </c>
      <c r="T679" s="6" t="s">
        <v>56</v>
      </c>
      <c r="AR679" s="6" t="s">
        <v>55</v>
      </c>
      <c r="AS679" s="6" t="s">
        <v>55</v>
      </c>
      <c r="AU679" s="6" t="s">
        <v>2146</v>
      </c>
      <c r="AV679">
        <v>451</v>
      </c>
    </row>
    <row r="680" spans="1:48" ht="30" customHeight="1" x14ac:dyDescent="0.3">
      <c r="A680" s="4" t="s">
        <v>2147</v>
      </c>
      <c r="B680" s="4" t="s">
        <v>2148</v>
      </c>
      <c r="C680" s="4" t="s">
        <v>61</v>
      </c>
      <c r="D680" s="5">
        <v>2412</v>
      </c>
      <c r="E680" s="7">
        <f>TRUNC([1]일위대가목록!E193,0)</f>
        <v>1373</v>
      </c>
      <c r="F680" s="7">
        <f t="shared" si="70"/>
        <v>3311676</v>
      </c>
      <c r="G680" s="7">
        <f>TRUNC([1]일위대가목록!F193,0)</f>
        <v>13609</v>
      </c>
      <c r="H680" s="7">
        <f t="shared" si="71"/>
        <v>32824908</v>
      </c>
      <c r="I680" s="7">
        <f>TRUNC([1]일위대가목록!G193,0)</f>
        <v>0</v>
      </c>
      <c r="J680" s="7">
        <f t="shared" si="72"/>
        <v>0</v>
      </c>
      <c r="K680" s="7">
        <f t="shared" si="73"/>
        <v>14982</v>
      </c>
      <c r="L680" s="7">
        <f t="shared" si="73"/>
        <v>36136584</v>
      </c>
      <c r="M680" s="4" t="s">
        <v>2149</v>
      </c>
      <c r="N680" s="6" t="s">
        <v>2150</v>
      </c>
      <c r="O680" s="6" t="s">
        <v>55</v>
      </c>
      <c r="P680" s="6" t="s">
        <v>55</v>
      </c>
      <c r="Q680" s="6" t="s">
        <v>2111</v>
      </c>
      <c r="R680" s="6" t="s">
        <v>57</v>
      </c>
      <c r="S680" s="6" t="s">
        <v>56</v>
      </c>
      <c r="T680" s="6" t="s">
        <v>56</v>
      </c>
      <c r="AR680" s="6" t="s">
        <v>55</v>
      </c>
      <c r="AS680" s="6" t="s">
        <v>55</v>
      </c>
      <c r="AU680" s="6" t="s">
        <v>2151</v>
      </c>
      <c r="AV680">
        <v>450</v>
      </c>
    </row>
    <row r="681" spans="1:48" ht="30" customHeight="1" x14ac:dyDescent="0.3">
      <c r="A681" s="4" t="s">
        <v>2147</v>
      </c>
      <c r="B681" s="4" t="s">
        <v>2152</v>
      </c>
      <c r="C681" s="4" t="s">
        <v>61</v>
      </c>
      <c r="D681" s="5">
        <v>857</v>
      </c>
      <c r="E681" s="7">
        <f>TRUNC([1]일위대가목록!E194,0)</f>
        <v>1451</v>
      </c>
      <c r="F681" s="7">
        <f t="shared" si="70"/>
        <v>1243507</v>
      </c>
      <c r="G681" s="7">
        <f>TRUNC([1]일위대가목록!F194,0)</f>
        <v>16304</v>
      </c>
      <c r="H681" s="7">
        <f t="shared" si="71"/>
        <v>13972528</v>
      </c>
      <c r="I681" s="7">
        <f>TRUNC([1]일위대가목록!G194,0)</f>
        <v>0</v>
      </c>
      <c r="J681" s="7">
        <f t="shared" si="72"/>
        <v>0</v>
      </c>
      <c r="K681" s="7">
        <f t="shared" si="73"/>
        <v>17755</v>
      </c>
      <c r="L681" s="7">
        <f t="shared" si="73"/>
        <v>15216035</v>
      </c>
      <c r="M681" s="4" t="s">
        <v>2153</v>
      </c>
      <c r="N681" s="6" t="s">
        <v>2154</v>
      </c>
      <c r="O681" s="6" t="s">
        <v>55</v>
      </c>
      <c r="P681" s="6" t="s">
        <v>55</v>
      </c>
      <c r="Q681" s="6" t="s">
        <v>2111</v>
      </c>
      <c r="R681" s="6" t="s">
        <v>57</v>
      </c>
      <c r="S681" s="6" t="s">
        <v>56</v>
      </c>
      <c r="T681" s="6" t="s">
        <v>56</v>
      </c>
      <c r="AR681" s="6" t="s">
        <v>55</v>
      </c>
      <c r="AS681" s="6" t="s">
        <v>55</v>
      </c>
      <c r="AU681" s="6" t="s">
        <v>2155</v>
      </c>
      <c r="AV681">
        <v>452</v>
      </c>
    </row>
    <row r="682" spans="1:48" ht="30" customHeight="1" x14ac:dyDescent="0.3">
      <c r="A682" s="4" t="s">
        <v>2156</v>
      </c>
      <c r="B682" s="4" t="s">
        <v>2157</v>
      </c>
      <c r="C682" s="4" t="s">
        <v>61</v>
      </c>
      <c r="D682" s="5">
        <v>2213</v>
      </c>
      <c r="E682" s="7">
        <f>TRUNC([1]일위대가목록!E195,0)</f>
        <v>3624</v>
      </c>
      <c r="F682" s="7">
        <f t="shared" si="70"/>
        <v>8019912</v>
      </c>
      <c r="G682" s="7">
        <f>TRUNC([1]일위대가목록!F195,0)</f>
        <v>0</v>
      </c>
      <c r="H682" s="7">
        <f t="shared" si="71"/>
        <v>0</v>
      </c>
      <c r="I682" s="7">
        <f>TRUNC([1]일위대가목록!G195,0)</f>
        <v>0</v>
      </c>
      <c r="J682" s="7">
        <f t="shared" si="72"/>
        <v>0</v>
      </c>
      <c r="K682" s="7">
        <f t="shared" si="73"/>
        <v>3624</v>
      </c>
      <c r="L682" s="7">
        <f t="shared" si="73"/>
        <v>8019912</v>
      </c>
      <c r="M682" s="4" t="s">
        <v>2158</v>
      </c>
      <c r="N682" s="6" t="s">
        <v>2159</v>
      </c>
      <c r="O682" s="6" t="s">
        <v>55</v>
      </c>
      <c r="P682" s="6" t="s">
        <v>55</v>
      </c>
      <c r="Q682" s="6" t="s">
        <v>2111</v>
      </c>
      <c r="R682" s="6" t="s">
        <v>57</v>
      </c>
      <c r="S682" s="6" t="s">
        <v>56</v>
      </c>
      <c r="T682" s="6" t="s">
        <v>56</v>
      </c>
      <c r="AR682" s="6" t="s">
        <v>55</v>
      </c>
      <c r="AS682" s="6" t="s">
        <v>55</v>
      </c>
      <c r="AU682" s="6" t="s">
        <v>2160</v>
      </c>
      <c r="AV682">
        <v>453</v>
      </c>
    </row>
    <row r="683" spans="1:48" ht="30" customHeight="1" x14ac:dyDescent="0.3">
      <c r="A683" s="4" t="s">
        <v>2161</v>
      </c>
      <c r="B683" s="4" t="s">
        <v>2162</v>
      </c>
      <c r="C683" s="4" t="s">
        <v>61</v>
      </c>
      <c r="D683" s="5">
        <v>114</v>
      </c>
      <c r="E683" s="7">
        <f>TRUNC([1]일위대가목록!E196,0)</f>
        <v>3624</v>
      </c>
      <c r="F683" s="7">
        <f t="shared" si="70"/>
        <v>413136</v>
      </c>
      <c r="G683" s="7">
        <f>TRUNC([1]일위대가목록!F196,0)</f>
        <v>0</v>
      </c>
      <c r="H683" s="7">
        <f t="shared" si="71"/>
        <v>0</v>
      </c>
      <c r="I683" s="7">
        <f>TRUNC([1]일위대가목록!G196,0)</f>
        <v>0</v>
      </c>
      <c r="J683" s="7">
        <f t="shared" si="72"/>
        <v>0</v>
      </c>
      <c r="K683" s="7">
        <f t="shared" si="73"/>
        <v>3624</v>
      </c>
      <c r="L683" s="7">
        <f t="shared" si="73"/>
        <v>413136</v>
      </c>
      <c r="M683" s="4" t="s">
        <v>2163</v>
      </c>
      <c r="N683" s="6" t="s">
        <v>2164</v>
      </c>
      <c r="O683" s="6" t="s">
        <v>55</v>
      </c>
      <c r="P683" s="6" t="s">
        <v>55</v>
      </c>
      <c r="Q683" s="6" t="s">
        <v>2111</v>
      </c>
      <c r="R683" s="6" t="s">
        <v>57</v>
      </c>
      <c r="S683" s="6" t="s">
        <v>56</v>
      </c>
      <c r="T683" s="6" t="s">
        <v>56</v>
      </c>
      <c r="AR683" s="6" t="s">
        <v>55</v>
      </c>
      <c r="AS683" s="6" t="s">
        <v>55</v>
      </c>
      <c r="AU683" s="6" t="s">
        <v>2165</v>
      </c>
      <c r="AV683">
        <v>454</v>
      </c>
    </row>
    <row r="684" spans="1:48" ht="30" customHeight="1" x14ac:dyDescent="0.3">
      <c r="A684" s="4" t="s">
        <v>2166</v>
      </c>
      <c r="B684" s="4" t="s">
        <v>2167</v>
      </c>
      <c r="C684" s="4" t="s">
        <v>61</v>
      </c>
      <c r="D684" s="5">
        <v>830</v>
      </c>
      <c r="E684" s="7">
        <f>TRUNC([1]일위대가목록!E197,0)</f>
        <v>3624</v>
      </c>
      <c r="F684" s="7">
        <f t="shared" si="70"/>
        <v>3007920</v>
      </c>
      <c r="G684" s="7">
        <f>TRUNC([1]일위대가목록!F197,0)</f>
        <v>0</v>
      </c>
      <c r="H684" s="7">
        <f t="shared" si="71"/>
        <v>0</v>
      </c>
      <c r="I684" s="7">
        <f>TRUNC([1]일위대가목록!G197,0)</f>
        <v>0</v>
      </c>
      <c r="J684" s="7">
        <f t="shared" si="72"/>
        <v>0</v>
      </c>
      <c r="K684" s="7">
        <f t="shared" si="73"/>
        <v>3624</v>
      </c>
      <c r="L684" s="7">
        <f t="shared" si="73"/>
        <v>3007920</v>
      </c>
      <c r="M684" s="4" t="s">
        <v>2168</v>
      </c>
      <c r="N684" s="6" t="s">
        <v>2169</v>
      </c>
      <c r="O684" s="6" t="s">
        <v>55</v>
      </c>
      <c r="P684" s="6" t="s">
        <v>55</v>
      </c>
      <c r="Q684" s="6" t="s">
        <v>2111</v>
      </c>
      <c r="R684" s="6" t="s">
        <v>57</v>
      </c>
      <c r="S684" s="6" t="s">
        <v>56</v>
      </c>
      <c r="T684" s="6" t="s">
        <v>56</v>
      </c>
      <c r="AR684" s="6" t="s">
        <v>55</v>
      </c>
      <c r="AS684" s="6" t="s">
        <v>55</v>
      </c>
      <c r="AU684" s="6" t="s">
        <v>2170</v>
      </c>
      <c r="AV684">
        <v>455</v>
      </c>
    </row>
    <row r="685" spans="1:48" ht="30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 spans="1:48" ht="30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 spans="1:48" ht="30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 spans="1:48" ht="30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spans="1:48" ht="30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 spans="1:48" ht="30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spans="1:48" ht="30" customHeight="1" x14ac:dyDescent="0.3">
      <c r="A691" s="4" t="s">
        <v>128</v>
      </c>
      <c r="B691" s="5"/>
      <c r="C691" s="5"/>
      <c r="D691" s="5"/>
      <c r="E691" s="5"/>
      <c r="F691" s="7">
        <f>SUM(F672:F690)</f>
        <v>33256154</v>
      </c>
      <c r="G691" s="5"/>
      <c r="H691" s="7">
        <f>SUM(H672:H690)</f>
        <v>107424302</v>
      </c>
      <c r="I691" s="5"/>
      <c r="J691" s="7">
        <f>SUM(J672:J690)</f>
        <v>430899</v>
      </c>
      <c r="K691" s="5"/>
      <c r="L691" s="7">
        <f>SUM(L672:L690)</f>
        <v>141111355</v>
      </c>
      <c r="M691" s="5"/>
      <c r="N691" t="s">
        <v>129</v>
      </c>
    </row>
    <row r="692" spans="1:48" ht="30" customHeight="1" x14ac:dyDescent="0.3">
      <c r="A692" s="4" t="s">
        <v>2171</v>
      </c>
      <c r="B692" s="4" t="s">
        <v>48</v>
      </c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Q692" s="6" t="s">
        <v>2172</v>
      </c>
    </row>
    <row r="693" spans="1:48" ht="30" customHeight="1" x14ac:dyDescent="0.3">
      <c r="A693" s="4" t="s">
        <v>2173</v>
      </c>
      <c r="B693" s="4" t="s">
        <v>2174</v>
      </c>
      <c r="C693" s="4" t="s">
        <v>223</v>
      </c>
      <c r="D693" s="5">
        <v>830</v>
      </c>
      <c r="E693" s="7">
        <f>TRUNC([1]단가대비표!O20,0)</f>
        <v>29000</v>
      </c>
      <c r="F693" s="7">
        <f>TRUNC(E693*D693, 0)</f>
        <v>24070000</v>
      </c>
      <c r="G693" s="7">
        <f>TRUNC([1]단가대비표!P20,0)</f>
        <v>0</v>
      </c>
      <c r="H693" s="7">
        <f>TRUNC(G693*D693, 0)</f>
        <v>0</v>
      </c>
      <c r="I693" s="7">
        <f>TRUNC([1]단가대비표!V20,0)</f>
        <v>0</v>
      </c>
      <c r="J693" s="7">
        <f>TRUNC(I693*D693, 0)</f>
        <v>0</v>
      </c>
      <c r="K693" s="7">
        <f>TRUNC(E693+G693+I693, 0)</f>
        <v>29000</v>
      </c>
      <c r="L693" s="7">
        <f>TRUNC(F693+H693+J693, 0)</f>
        <v>24070000</v>
      </c>
      <c r="M693" s="4" t="s">
        <v>55</v>
      </c>
      <c r="N693" s="6" t="s">
        <v>2175</v>
      </c>
      <c r="O693" s="6" t="s">
        <v>55</v>
      </c>
      <c r="P693" s="6" t="s">
        <v>55</v>
      </c>
      <c r="Q693" s="6" t="s">
        <v>2172</v>
      </c>
      <c r="R693" s="6" t="s">
        <v>56</v>
      </c>
      <c r="S693" s="6" t="s">
        <v>56</v>
      </c>
      <c r="T693" s="6" t="s">
        <v>57</v>
      </c>
      <c r="AR693" s="6" t="s">
        <v>55</v>
      </c>
      <c r="AS693" s="6" t="s">
        <v>55</v>
      </c>
      <c r="AU693" s="6" t="s">
        <v>2176</v>
      </c>
      <c r="AV693">
        <v>2418</v>
      </c>
    </row>
    <row r="694" spans="1:48" ht="30" customHeight="1" x14ac:dyDescent="0.3">
      <c r="A694" s="4" t="s">
        <v>2177</v>
      </c>
      <c r="B694" s="4" t="s">
        <v>2178</v>
      </c>
      <c r="C694" s="4" t="s">
        <v>856</v>
      </c>
      <c r="D694" s="5">
        <v>10021</v>
      </c>
      <c r="E694" s="7">
        <f>TRUNC([1]단가대비표!O785,0)</f>
        <v>0</v>
      </c>
      <c r="F694" s="7">
        <f>TRUNC(E694*D694, 0)</f>
        <v>0</v>
      </c>
      <c r="G694" s="7">
        <f>TRUNC([1]단가대비표!P785,0)</f>
        <v>0</v>
      </c>
      <c r="H694" s="7">
        <f>TRUNC(G694*D694, 0)</f>
        <v>0</v>
      </c>
      <c r="I694" s="7">
        <f>TRUNC([1]단가대비표!V785,0)</f>
        <v>0</v>
      </c>
      <c r="J694" s="7">
        <f>TRUNC(I694*D694, 0)</f>
        <v>0</v>
      </c>
      <c r="K694" s="7">
        <f>TRUNC(E694+G694+I694, 0)</f>
        <v>0</v>
      </c>
      <c r="L694" s="7">
        <f>TRUNC(F694+H694+J694, 0)</f>
        <v>0</v>
      </c>
      <c r="M694" s="4" t="s">
        <v>55</v>
      </c>
      <c r="N694" s="6" t="s">
        <v>2179</v>
      </c>
      <c r="O694" s="6" t="s">
        <v>55</v>
      </c>
      <c r="P694" s="6" t="s">
        <v>55</v>
      </c>
      <c r="Q694" s="6" t="s">
        <v>2172</v>
      </c>
      <c r="R694" s="6" t="s">
        <v>56</v>
      </c>
      <c r="S694" s="6" t="s">
        <v>56</v>
      </c>
      <c r="T694" s="6" t="s">
        <v>57</v>
      </c>
      <c r="AR694" s="6" t="s">
        <v>55</v>
      </c>
      <c r="AS694" s="6" t="s">
        <v>55</v>
      </c>
      <c r="AU694" s="6" t="s">
        <v>2180</v>
      </c>
      <c r="AV694">
        <v>2887</v>
      </c>
    </row>
    <row r="695" spans="1:48" ht="30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 spans="1:48" ht="30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 spans="1:48" ht="30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 spans="1:48" ht="30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 spans="1:48" ht="30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spans="1:48" ht="30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 spans="1:48" ht="30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 spans="1:48" ht="30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 spans="1:48" ht="30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 spans="1:48" ht="30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 spans="1:48" ht="30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 spans="1:48" ht="30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 spans="1:48" ht="30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 spans="1:48" ht="30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 spans="1:48" ht="30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 spans="1:48" ht="30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 spans="1:48" ht="30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 spans="1:48" ht="30" customHeight="1" x14ac:dyDescent="0.3">
      <c r="A712" s="4" t="s">
        <v>128</v>
      </c>
      <c r="B712" s="5"/>
      <c r="C712" s="5"/>
      <c r="D712" s="5"/>
      <c r="E712" s="5"/>
      <c r="F712" s="7">
        <f>SUM(F693:F711)</f>
        <v>24070000</v>
      </c>
      <c r="G712" s="5"/>
      <c r="H712" s="7">
        <f>SUM(H693:H711)</f>
        <v>0</v>
      </c>
      <c r="I712" s="5"/>
      <c r="J712" s="7">
        <f>SUM(J693:J711)</f>
        <v>0</v>
      </c>
      <c r="K712" s="5"/>
      <c r="L712" s="7">
        <f>SUM(L693:L711)</f>
        <v>24070000</v>
      </c>
      <c r="M712" s="5"/>
      <c r="N712" t="s">
        <v>129</v>
      </c>
    </row>
    <row r="713" spans="1:48" ht="30" customHeight="1" x14ac:dyDescent="0.3">
      <c r="A713" s="4" t="s">
        <v>2181</v>
      </c>
      <c r="B713" s="4" t="s">
        <v>48</v>
      </c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Q713" s="6" t="s">
        <v>2182</v>
      </c>
    </row>
    <row r="714" spans="1:48" ht="30" customHeight="1" x14ac:dyDescent="0.3">
      <c r="A714" s="4" t="s">
        <v>2183</v>
      </c>
      <c r="B714" s="4" t="s">
        <v>2184</v>
      </c>
      <c r="C714" s="4" t="s">
        <v>856</v>
      </c>
      <c r="D714" s="5">
        <v>10021</v>
      </c>
      <c r="E714" s="7">
        <f>TRUNC([1]중기단가목록!E4,0)</f>
        <v>0</v>
      </c>
      <c r="F714" s="7">
        <f>TRUNC(E714*D714, 0)</f>
        <v>0</v>
      </c>
      <c r="G714" s="7">
        <f>TRUNC([1]중기단가목록!F4,0)</f>
        <v>0</v>
      </c>
      <c r="H714" s="7">
        <f>TRUNC(G714*D714, 0)</f>
        <v>0</v>
      </c>
      <c r="I714" s="7">
        <f>TRUNC([1]중기단가목록!G4,0)</f>
        <v>1556</v>
      </c>
      <c r="J714" s="7">
        <f>TRUNC(I714*D714, 0)</f>
        <v>15592676</v>
      </c>
      <c r="K714" s="7">
        <f t="shared" ref="K714:L718" si="74">TRUNC(E714+G714+I714, 0)</f>
        <v>1556</v>
      </c>
      <c r="L714" s="7">
        <f t="shared" si="74"/>
        <v>15592676</v>
      </c>
      <c r="M714" s="4" t="s">
        <v>2185</v>
      </c>
      <c r="N714" s="6" t="s">
        <v>2186</v>
      </c>
      <c r="O714" s="6" t="s">
        <v>55</v>
      </c>
      <c r="P714" s="6" t="s">
        <v>55</v>
      </c>
      <c r="Q714" s="6" t="s">
        <v>2182</v>
      </c>
      <c r="R714" s="6" t="s">
        <v>56</v>
      </c>
      <c r="S714" s="6" t="s">
        <v>57</v>
      </c>
      <c r="T714" s="6" t="s">
        <v>56</v>
      </c>
      <c r="AR714" s="6" t="s">
        <v>55</v>
      </c>
      <c r="AS714" s="6" t="s">
        <v>55</v>
      </c>
      <c r="AU714" s="6" t="s">
        <v>2187</v>
      </c>
      <c r="AV714">
        <v>2373</v>
      </c>
    </row>
    <row r="715" spans="1:48" ht="30" customHeight="1" x14ac:dyDescent="0.3">
      <c r="A715" s="4" t="s">
        <v>2188</v>
      </c>
      <c r="B715" s="4" t="s">
        <v>2189</v>
      </c>
      <c r="C715" s="4" t="s">
        <v>106</v>
      </c>
      <c r="D715" s="5">
        <v>1307.624</v>
      </c>
      <c r="E715" s="7">
        <f>TRUNC([1]중기단가목록!E5,0)</f>
        <v>0</v>
      </c>
      <c r="F715" s="7">
        <f>TRUNC(E715*D715, 0)</f>
        <v>0</v>
      </c>
      <c r="G715" s="7">
        <f>TRUNC([1]중기단가목록!F5,0)</f>
        <v>0</v>
      </c>
      <c r="H715" s="7">
        <f>TRUNC(G715*D715, 0)</f>
        <v>0</v>
      </c>
      <c r="I715" s="7">
        <f>TRUNC([1]중기단가목록!G5,0)</f>
        <v>12020</v>
      </c>
      <c r="J715" s="7">
        <f>TRUNC(I715*D715, 0)</f>
        <v>15717640</v>
      </c>
      <c r="K715" s="7">
        <f t="shared" si="74"/>
        <v>12020</v>
      </c>
      <c r="L715" s="7">
        <f t="shared" si="74"/>
        <v>15717640</v>
      </c>
      <c r="M715" s="4" t="s">
        <v>2190</v>
      </c>
      <c r="N715" s="6" t="s">
        <v>2191</v>
      </c>
      <c r="O715" s="6" t="s">
        <v>55</v>
      </c>
      <c r="P715" s="6" t="s">
        <v>55</v>
      </c>
      <c r="Q715" s="6" t="s">
        <v>2182</v>
      </c>
      <c r="R715" s="6" t="s">
        <v>56</v>
      </c>
      <c r="S715" s="6" t="s">
        <v>57</v>
      </c>
      <c r="T715" s="6" t="s">
        <v>56</v>
      </c>
      <c r="AR715" s="6" t="s">
        <v>55</v>
      </c>
      <c r="AS715" s="6" t="s">
        <v>55</v>
      </c>
      <c r="AU715" s="6" t="s">
        <v>2192</v>
      </c>
      <c r="AV715">
        <v>2374</v>
      </c>
    </row>
    <row r="716" spans="1:48" ht="30" customHeight="1" x14ac:dyDescent="0.3">
      <c r="A716" s="4" t="s">
        <v>2193</v>
      </c>
      <c r="B716" s="4" t="s">
        <v>2189</v>
      </c>
      <c r="C716" s="4" t="s">
        <v>106</v>
      </c>
      <c r="D716" s="5">
        <v>1269.539</v>
      </c>
      <c r="E716" s="7">
        <f>TRUNC([1]중기단가목록!E6,0)</f>
        <v>0</v>
      </c>
      <c r="F716" s="7">
        <f>TRUNC(E716*D716, 0)</f>
        <v>0</v>
      </c>
      <c r="G716" s="7">
        <f>TRUNC([1]중기단가목록!F6,0)</f>
        <v>0</v>
      </c>
      <c r="H716" s="7">
        <f>TRUNC(G716*D716, 0)</f>
        <v>0</v>
      </c>
      <c r="I716" s="7">
        <f>TRUNC([1]중기단가목록!G6,0)</f>
        <v>12020</v>
      </c>
      <c r="J716" s="7">
        <f>TRUNC(I716*D716, 0)</f>
        <v>15259858</v>
      </c>
      <c r="K716" s="7">
        <f t="shared" si="74"/>
        <v>12020</v>
      </c>
      <c r="L716" s="7">
        <f t="shared" si="74"/>
        <v>15259858</v>
      </c>
      <c r="M716" s="4" t="s">
        <v>2194</v>
      </c>
      <c r="N716" s="6" t="s">
        <v>2195</v>
      </c>
      <c r="O716" s="6" t="s">
        <v>55</v>
      </c>
      <c r="P716" s="6" t="s">
        <v>55</v>
      </c>
      <c r="Q716" s="6" t="s">
        <v>2182</v>
      </c>
      <c r="R716" s="6" t="s">
        <v>56</v>
      </c>
      <c r="S716" s="6" t="s">
        <v>57</v>
      </c>
      <c r="T716" s="6" t="s">
        <v>56</v>
      </c>
      <c r="AR716" s="6" t="s">
        <v>55</v>
      </c>
      <c r="AS716" s="6" t="s">
        <v>55</v>
      </c>
      <c r="AU716" s="6" t="s">
        <v>2196</v>
      </c>
      <c r="AV716">
        <v>3032</v>
      </c>
    </row>
    <row r="717" spans="1:48" ht="30" customHeight="1" x14ac:dyDescent="0.3">
      <c r="A717" s="4" t="s">
        <v>2197</v>
      </c>
      <c r="B717" s="4" t="s">
        <v>2198</v>
      </c>
      <c r="C717" s="4" t="s">
        <v>106</v>
      </c>
      <c r="D717" s="5">
        <v>18.643999999999998</v>
      </c>
      <c r="E717" s="7">
        <f>TRUNC([1]중기단가목록!E7,0)</f>
        <v>0</v>
      </c>
      <c r="F717" s="7">
        <f>TRUNC(E717*D717, 0)</f>
        <v>0</v>
      </c>
      <c r="G717" s="7">
        <f>TRUNC([1]중기단가목록!F7,0)</f>
        <v>0</v>
      </c>
      <c r="H717" s="7">
        <f>TRUNC(G717*D717, 0)</f>
        <v>0</v>
      </c>
      <c r="I717" s="7">
        <f>TRUNC([1]중기단가목록!G7,0)</f>
        <v>12020</v>
      </c>
      <c r="J717" s="7">
        <f>TRUNC(I717*D717, 0)</f>
        <v>224100</v>
      </c>
      <c r="K717" s="7">
        <f t="shared" si="74"/>
        <v>12020</v>
      </c>
      <c r="L717" s="7">
        <f t="shared" si="74"/>
        <v>224100</v>
      </c>
      <c r="M717" s="4" t="s">
        <v>2199</v>
      </c>
      <c r="N717" s="6" t="s">
        <v>2200</v>
      </c>
      <c r="O717" s="6" t="s">
        <v>55</v>
      </c>
      <c r="P717" s="6" t="s">
        <v>55</v>
      </c>
      <c r="Q717" s="6" t="s">
        <v>2182</v>
      </c>
      <c r="R717" s="6" t="s">
        <v>56</v>
      </c>
      <c r="S717" s="6" t="s">
        <v>57</v>
      </c>
      <c r="T717" s="6" t="s">
        <v>56</v>
      </c>
      <c r="AR717" s="6" t="s">
        <v>55</v>
      </c>
      <c r="AS717" s="6" t="s">
        <v>55</v>
      </c>
      <c r="AU717" s="6" t="s">
        <v>2201</v>
      </c>
      <c r="AV717">
        <v>2376</v>
      </c>
    </row>
    <row r="718" spans="1:48" ht="30" customHeight="1" x14ac:dyDescent="0.3">
      <c r="A718" s="4" t="s">
        <v>2202</v>
      </c>
      <c r="B718" s="4" t="s">
        <v>2203</v>
      </c>
      <c r="C718" s="4" t="s">
        <v>2204</v>
      </c>
      <c r="D718" s="5">
        <v>497</v>
      </c>
      <c r="E718" s="7">
        <f>TRUNC([1]중기단가목록!E8,0)</f>
        <v>0</v>
      </c>
      <c r="F718" s="7">
        <f>TRUNC(E718*D718, 0)</f>
        <v>0</v>
      </c>
      <c r="G718" s="7">
        <f>TRUNC([1]중기단가목록!F8,0)</f>
        <v>0</v>
      </c>
      <c r="H718" s="7">
        <f>TRUNC(G718*D718, 0)</f>
        <v>0</v>
      </c>
      <c r="I718" s="7">
        <f>TRUNC([1]중기단가목록!G8,0)</f>
        <v>20318</v>
      </c>
      <c r="J718" s="7">
        <f>TRUNC(I718*D718, 0)</f>
        <v>10098046</v>
      </c>
      <c r="K718" s="7">
        <f t="shared" si="74"/>
        <v>20318</v>
      </c>
      <c r="L718" s="7">
        <f t="shared" si="74"/>
        <v>10098046</v>
      </c>
      <c r="M718" s="4" t="s">
        <v>2205</v>
      </c>
      <c r="N718" s="6" t="s">
        <v>2206</v>
      </c>
      <c r="O718" s="6" t="s">
        <v>55</v>
      </c>
      <c r="P718" s="6" t="s">
        <v>55</v>
      </c>
      <c r="Q718" s="6" t="s">
        <v>2182</v>
      </c>
      <c r="R718" s="6" t="s">
        <v>56</v>
      </c>
      <c r="S718" s="6" t="s">
        <v>57</v>
      </c>
      <c r="T718" s="6" t="s">
        <v>56</v>
      </c>
      <c r="AR718" s="6" t="s">
        <v>55</v>
      </c>
      <c r="AS718" s="6" t="s">
        <v>55</v>
      </c>
      <c r="AU718" s="6" t="s">
        <v>2207</v>
      </c>
      <c r="AV718">
        <v>2375</v>
      </c>
    </row>
    <row r="719" spans="1:48" ht="30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 spans="1:48" ht="30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 spans="1:48" ht="30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 spans="1:48" ht="30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 spans="1:48" ht="30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spans="1:48" ht="30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 spans="1:48" ht="30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 spans="1:48" ht="30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spans="1:48" ht="30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 spans="1:48" ht="30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 spans="1:48" ht="30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 spans="1:48" ht="30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 spans="1:48" ht="30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 spans="1:48" ht="30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 spans="1:48" ht="30" customHeight="1" x14ac:dyDescent="0.3">
      <c r="A733" s="4" t="s">
        <v>128</v>
      </c>
      <c r="B733" s="5"/>
      <c r="C733" s="5"/>
      <c r="D733" s="5"/>
      <c r="E733" s="5"/>
      <c r="F733" s="7">
        <f>SUM(F714:F732)</f>
        <v>0</v>
      </c>
      <c r="G733" s="5"/>
      <c r="H733" s="7">
        <f>SUM(H714:H732)</f>
        <v>0</v>
      </c>
      <c r="I733" s="5"/>
      <c r="J733" s="7">
        <f>SUM(J714:J732)</f>
        <v>56892320</v>
      </c>
      <c r="K733" s="5"/>
      <c r="L733" s="7">
        <f>SUM(L714:L732)</f>
        <v>56892320</v>
      </c>
      <c r="M733" s="5"/>
      <c r="N733" t="s">
        <v>129</v>
      </c>
    </row>
    <row r="734" spans="1:48" ht="30" customHeight="1" x14ac:dyDescent="0.3">
      <c r="A734" s="4" t="s">
        <v>2208</v>
      </c>
      <c r="B734" s="4" t="s">
        <v>48</v>
      </c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Q734" s="6" t="s">
        <v>2209</v>
      </c>
    </row>
    <row r="735" spans="1:48" ht="30" customHeight="1" x14ac:dyDescent="0.3">
      <c r="A735" s="4" t="s">
        <v>2210</v>
      </c>
      <c r="B735" s="4" t="s">
        <v>2211</v>
      </c>
      <c r="C735" s="4" t="s">
        <v>106</v>
      </c>
      <c r="D735" s="5">
        <v>-36.697000000000003</v>
      </c>
      <c r="E735" s="7">
        <f>TRUNC([1]단가대비표!O25,0)</f>
        <v>385000</v>
      </c>
      <c r="F735" s="7">
        <f>TRUNC(E735*D735, 0)</f>
        <v>-14128345</v>
      </c>
      <c r="G735" s="7">
        <f>TRUNC([1]단가대비표!P25,0)</f>
        <v>0</v>
      </c>
      <c r="H735" s="7">
        <f>TRUNC(G735*D735, 0)</f>
        <v>0</v>
      </c>
      <c r="I735" s="7">
        <f>TRUNC([1]단가대비표!V25,0)</f>
        <v>0</v>
      </c>
      <c r="J735" s="7">
        <f>TRUNC(I735*D735, 0)</f>
        <v>0</v>
      </c>
      <c r="K735" s="7">
        <f>TRUNC(E735+G735+I735, 0)</f>
        <v>385000</v>
      </c>
      <c r="L735" s="7">
        <f>TRUNC(F735+H735+J735, 0)</f>
        <v>-14128345</v>
      </c>
      <c r="M735" s="4" t="s">
        <v>2212</v>
      </c>
      <c r="N735" s="6" t="s">
        <v>2213</v>
      </c>
      <c r="O735" s="6" t="s">
        <v>55</v>
      </c>
      <c r="P735" s="6" t="s">
        <v>55</v>
      </c>
      <c r="Q735" s="6" t="s">
        <v>2209</v>
      </c>
      <c r="R735" s="6" t="s">
        <v>56</v>
      </c>
      <c r="S735" s="6" t="s">
        <v>56</v>
      </c>
      <c r="T735" s="6" t="s">
        <v>57</v>
      </c>
      <c r="AR735" s="6" t="s">
        <v>55</v>
      </c>
      <c r="AS735" s="6" t="s">
        <v>55</v>
      </c>
      <c r="AU735" s="6" t="s">
        <v>2214</v>
      </c>
      <c r="AV735">
        <v>2419</v>
      </c>
    </row>
    <row r="736" spans="1:48" ht="30" customHeight="1" x14ac:dyDescent="0.3">
      <c r="A736" s="4" t="s">
        <v>2210</v>
      </c>
      <c r="B736" s="4" t="s">
        <v>2215</v>
      </c>
      <c r="C736" s="4" t="s">
        <v>106</v>
      </c>
      <c r="D736" s="5">
        <v>-0.38</v>
      </c>
      <c r="E736" s="7">
        <f>TRUNC([1]단가대비표!O26,0)</f>
        <v>385000</v>
      </c>
      <c r="F736" s="7">
        <f>TRUNC(E736*D736, 0)</f>
        <v>-146300</v>
      </c>
      <c r="G736" s="7">
        <f>TRUNC([1]단가대비표!P26,0)</f>
        <v>0</v>
      </c>
      <c r="H736" s="7">
        <f>TRUNC(G736*D736, 0)</f>
        <v>0</v>
      </c>
      <c r="I736" s="7">
        <f>TRUNC([1]단가대비표!V26,0)</f>
        <v>0</v>
      </c>
      <c r="J736" s="7">
        <f>TRUNC(I736*D736, 0)</f>
        <v>0</v>
      </c>
      <c r="K736" s="7">
        <f>TRUNC(E736+G736+I736, 0)</f>
        <v>385000</v>
      </c>
      <c r="L736" s="7">
        <f>TRUNC(F736+H736+J736, 0)</f>
        <v>-146300</v>
      </c>
      <c r="M736" s="4" t="s">
        <v>2212</v>
      </c>
      <c r="N736" s="6" t="s">
        <v>2216</v>
      </c>
      <c r="O736" s="6" t="s">
        <v>55</v>
      </c>
      <c r="P736" s="6" t="s">
        <v>55</v>
      </c>
      <c r="Q736" s="6" t="s">
        <v>2209</v>
      </c>
      <c r="R736" s="6" t="s">
        <v>56</v>
      </c>
      <c r="S736" s="6" t="s">
        <v>56</v>
      </c>
      <c r="T736" s="6" t="s">
        <v>57</v>
      </c>
      <c r="AR736" s="6" t="s">
        <v>55</v>
      </c>
      <c r="AS736" s="6" t="s">
        <v>55</v>
      </c>
      <c r="AU736" s="6" t="s">
        <v>2217</v>
      </c>
      <c r="AV736">
        <v>2420</v>
      </c>
    </row>
    <row r="737" spans="1:13" ht="30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 spans="1:13" ht="30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 spans="1:13" ht="30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 spans="1:13" ht="30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 spans="1:13" ht="30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spans="1:13" ht="30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 spans="1:13" ht="30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 spans="1:13" ht="30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 spans="1:13" ht="30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spans="1:13" ht="30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 spans="1:13" ht="30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spans="1:13" ht="30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 spans="1:13" ht="30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 spans="1:13" ht="30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 spans="1:13" ht="30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 spans="1:13" ht="30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 spans="1:48" ht="30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 spans="1:48" ht="30" customHeight="1" x14ac:dyDescent="0.3">
      <c r="A754" s="4" t="s">
        <v>128</v>
      </c>
      <c r="B754" s="5"/>
      <c r="C754" s="5"/>
      <c r="D754" s="5"/>
      <c r="E754" s="5"/>
      <c r="F754" s="7">
        <f>SUM(F735:F753)</f>
        <v>-14274645</v>
      </c>
      <c r="G754" s="5"/>
      <c r="H754" s="7">
        <f>SUM(H735:H753)</f>
        <v>0</v>
      </c>
      <c r="I754" s="5"/>
      <c r="J754" s="7">
        <f>SUM(J735:J753)</f>
        <v>0</v>
      </c>
      <c r="K754" s="5"/>
      <c r="L754" s="7">
        <f>SUM(L735:L753)</f>
        <v>-14274645</v>
      </c>
      <c r="M754" s="5"/>
      <c r="N754" t="s">
        <v>129</v>
      </c>
    </row>
    <row r="755" spans="1:48" ht="30" customHeight="1" x14ac:dyDescent="0.3">
      <c r="A755" s="4" t="s">
        <v>2218</v>
      </c>
      <c r="B755" s="4" t="s">
        <v>2219</v>
      </c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Q755" s="6" t="s">
        <v>2220</v>
      </c>
    </row>
    <row r="756" spans="1:48" ht="30" customHeight="1" x14ac:dyDescent="0.3">
      <c r="A756" s="4" t="s">
        <v>2221</v>
      </c>
      <c r="B756" s="4" t="s">
        <v>315</v>
      </c>
      <c r="C756" s="4" t="s">
        <v>140</v>
      </c>
      <c r="D756" s="5">
        <v>6255</v>
      </c>
      <c r="E756" s="7">
        <f>TRUNC([1]단가대비표!O474,0)</f>
        <v>29500</v>
      </c>
      <c r="F756" s="7">
        <f t="shared" ref="F756:F781" si="75">TRUNC(E756*D756, 0)</f>
        <v>184522500</v>
      </c>
      <c r="G756" s="7">
        <f>TRUNC([1]단가대비표!P474,0)</f>
        <v>0</v>
      </c>
      <c r="H756" s="7">
        <f t="shared" ref="H756:H781" si="76">TRUNC(G756*D756, 0)</f>
        <v>0</v>
      </c>
      <c r="I756" s="7">
        <f>TRUNC([1]단가대비표!V474,0)</f>
        <v>0</v>
      </c>
      <c r="J756" s="7">
        <f t="shared" ref="J756:J781" si="77">TRUNC(I756*D756, 0)</f>
        <v>0</v>
      </c>
      <c r="K756" s="7">
        <f t="shared" ref="K756:L781" si="78">TRUNC(E756+G756+I756, 0)</f>
        <v>29500</v>
      </c>
      <c r="L756" s="7">
        <f t="shared" si="78"/>
        <v>184522500</v>
      </c>
      <c r="M756" s="4" t="s">
        <v>316</v>
      </c>
      <c r="N756" s="6" t="s">
        <v>2222</v>
      </c>
      <c r="O756" s="6" t="s">
        <v>55</v>
      </c>
      <c r="P756" s="6" t="s">
        <v>55</v>
      </c>
      <c r="Q756" s="6" t="s">
        <v>2220</v>
      </c>
      <c r="R756" s="6" t="s">
        <v>56</v>
      </c>
      <c r="S756" s="6" t="s">
        <v>56</v>
      </c>
      <c r="T756" s="6" t="s">
        <v>57</v>
      </c>
      <c r="X756">
        <v>1</v>
      </c>
      <c r="AR756" s="6" t="s">
        <v>55</v>
      </c>
      <c r="AS756" s="6" t="s">
        <v>55</v>
      </c>
      <c r="AU756" s="6" t="s">
        <v>2223</v>
      </c>
      <c r="AV756">
        <v>1642</v>
      </c>
    </row>
    <row r="757" spans="1:48" ht="30" customHeight="1" x14ac:dyDescent="0.3">
      <c r="A757" s="4" t="s">
        <v>2221</v>
      </c>
      <c r="B757" s="4" t="s">
        <v>319</v>
      </c>
      <c r="C757" s="4" t="s">
        <v>140</v>
      </c>
      <c r="D757" s="5">
        <v>874</v>
      </c>
      <c r="E757" s="7">
        <f>TRUNC([1]단가대비표!O475,0)</f>
        <v>33500</v>
      </c>
      <c r="F757" s="7">
        <f t="shared" si="75"/>
        <v>29279000</v>
      </c>
      <c r="G757" s="7">
        <f>TRUNC([1]단가대비표!P475,0)</f>
        <v>0</v>
      </c>
      <c r="H757" s="7">
        <f t="shared" si="76"/>
        <v>0</v>
      </c>
      <c r="I757" s="7">
        <f>TRUNC([1]단가대비표!V475,0)</f>
        <v>0</v>
      </c>
      <c r="J757" s="7">
        <f t="shared" si="77"/>
        <v>0</v>
      </c>
      <c r="K757" s="7">
        <f t="shared" si="78"/>
        <v>33500</v>
      </c>
      <c r="L757" s="7">
        <f t="shared" si="78"/>
        <v>29279000</v>
      </c>
      <c r="M757" s="4" t="s">
        <v>320</v>
      </c>
      <c r="N757" s="6" t="s">
        <v>2224</v>
      </c>
      <c r="O757" s="6" t="s">
        <v>55</v>
      </c>
      <c r="P757" s="6" t="s">
        <v>55</v>
      </c>
      <c r="Q757" s="6" t="s">
        <v>2220</v>
      </c>
      <c r="R757" s="6" t="s">
        <v>56</v>
      </c>
      <c r="S757" s="6" t="s">
        <v>56</v>
      </c>
      <c r="T757" s="6" t="s">
        <v>57</v>
      </c>
      <c r="X757">
        <v>1</v>
      </c>
      <c r="AR757" s="6" t="s">
        <v>55</v>
      </c>
      <c r="AS757" s="6" t="s">
        <v>55</v>
      </c>
      <c r="AU757" s="6" t="s">
        <v>2225</v>
      </c>
      <c r="AV757">
        <v>1643</v>
      </c>
    </row>
    <row r="758" spans="1:48" ht="30" customHeight="1" x14ac:dyDescent="0.3">
      <c r="A758" s="4" t="s">
        <v>2221</v>
      </c>
      <c r="B758" s="4" t="s">
        <v>323</v>
      </c>
      <c r="C758" s="4" t="s">
        <v>140</v>
      </c>
      <c r="D758" s="5">
        <v>159</v>
      </c>
      <c r="E758" s="7">
        <f>TRUNC([1]단가대비표!O476,0)</f>
        <v>40500</v>
      </c>
      <c r="F758" s="7">
        <f t="shared" si="75"/>
        <v>6439500</v>
      </c>
      <c r="G758" s="7">
        <f>TRUNC([1]단가대비표!P476,0)</f>
        <v>0</v>
      </c>
      <c r="H758" s="7">
        <f t="shared" si="76"/>
        <v>0</v>
      </c>
      <c r="I758" s="7">
        <f>TRUNC([1]단가대비표!V476,0)</f>
        <v>0</v>
      </c>
      <c r="J758" s="7">
        <f t="shared" si="77"/>
        <v>0</v>
      </c>
      <c r="K758" s="7">
        <f t="shared" si="78"/>
        <v>40500</v>
      </c>
      <c r="L758" s="7">
        <f t="shared" si="78"/>
        <v>6439500</v>
      </c>
      <c r="M758" s="4" t="s">
        <v>324</v>
      </c>
      <c r="N758" s="6" t="s">
        <v>2226</v>
      </c>
      <c r="O758" s="6" t="s">
        <v>55</v>
      </c>
      <c r="P758" s="6" t="s">
        <v>55</v>
      </c>
      <c r="Q758" s="6" t="s">
        <v>2220</v>
      </c>
      <c r="R758" s="6" t="s">
        <v>56</v>
      </c>
      <c r="S758" s="6" t="s">
        <v>56</v>
      </c>
      <c r="T758" s="6" t="s">
        <v>57</v>
      </c>
      <c r="X758">
        <v>1</v>
      </c>
      <c r="AR758" s="6" t="s">
        <v>55</v>
      </c>
      <c r="AS758" s="6" t="s">
        <v>55</v>
      </c>
      <c r="AU758" s="6" t="s">
        <v>2227</v>
      </c>
      <c r="AV758">
        <v>1644</v>
      </c>
    </row>
    <row r="759" spans="1:48" ht="30" customHeight="1" x14ac:dyDescent="0.3">
      <c r="A759" s="4" t="s">
        <v>2228</v>
      </c>
      <c r="B759" s="4" t="s">
        <v>2229</v>
      </c>
      <c r="C759" s="4" t="s">
        <v>92</v>
      </c>
      <c r="D759" s="5">
        <v>1</v>
      </c>
      <c r="E759" s="7">
        <f>ROUNDDOWN(SUMIF(X756:X781, RIGHTB(N759, 1), F756:F781)*W759, 0)</f>
        <v>1189301</v>
      </c>
      <c r="F759" s="7">
        <f t="shared" si="75"/>
        <v>1189301</v>
      </c>
      <c r="G759" s="7">
        <v>0</v>
      </c>
      <c r="H759" s="7">
        <f t="shared" si="76"/>
        <v>0</v>
      </c>
      <c r="I759" s="7">
        <v>0</v>
      </c>
      <c r="J759" s="7">
        <f t="shared" si="77"/>
        <v>0</v>
      </c>
      <c r="K759" s="7">
        <f t="shared" si="78"/>
        <v>1189301</v>
      </c>
      <c r="L759" s="7">
        <f t="shared" si="78"/>
        <v>1189301</v>
      </c>
      <c r="M759" s="4" t="s">
        <v>55</v>
      </c>
      <c r="N759" s="6" t="s">
        <v>2230</v>
      </c>
      <c r="O759" s="6" t="s">
        <v>55</v>
      </c>
      <c r="P759" s="6" t="s">
        <v>55</v>
      </c>
      <c r="Q759" s="6" t="s">
        <v>2220</v>
      </c>
      <c r="R759" s="6" t="s">
        <v>56</v>
      </c>
      <c r="S759" s="6" t="s">
        <v>56</v>
      </c>
      <c r="T759" s="6" t="s">
        <v>56</v>
      </c>
      <c r="U759">
        <v>0</v>
      </c>
      <c r="V759">
        <v>0</v>
      </c>
      <c r="W759">
        <v>5.4000000000000003E-3</v>
      </c>
      <c r="AR759" s="6" t="s">
        <v>55</v>
      </c>
      <c r="AS759" s="6" t="s">
        <v>55</v>
      </c>
      <c r="AU759" s="6" t="s">
        <v>2231</v>
      </c>
      <c r="AV759">
        <v>3067</v>
      </c>
    </row>
    <row r="760" spans="1:48" ht="30" customHeight="1" x14ac:dyDescent="0.3">
      <c r="A760" s="4" t="s">
        <v>2232</v>
      </c>
      <c r="B760" s="4" t="s">
        <v>191</v>
      </c>
      <c r="C760" s="4" t="s">
        <v>106</v>
      </c>
      <c r="D760" s="5">
        <v>255.02799999999999</v>
      </c>
      <c r="E760" s="7">
        <f>TRUNC([1]단가대비표!O43,0)</f>
        <v>1013920</v>
      </c>
      <c r="F760" s="7">
        <f t="shared" si="75"/>
        <v>258577989</v>
      </c>
      <c r="G760" s="7">
        <f>TRUNC([1]단가대비표!P43,0)</f>
        <v>0</v>
      </c>
      <c r="H760" s="7">
        <f t="shared" si="76"/>
        <v>0</v>
      </c>
      <c r="I760" s="7">
        <f>TRUNC([1]단가대비표!V43,0)</f>
        <v>0</v>
      </c>
      <c r="J760" s="7">
        <f t="shared" si="77"/>
        <v>0</v>
      </c>
      <c r="K760" s="7">
        <f t="shared" si="78"/>
        <v>1013920</v>
      </c>
      <c r="L760" s="7">
        <f t="shared" si="78"/>
        <v>258577989</v>
      </c>
      <c r="M760" s="4" t="s">
        <v>55</v>
      </c>
      <c r="N760" s="6" t="s">
        <v>2233</v>
      </c>
      <c r="O760" s="6" t="s">
        <v>55</v>
      </c>
      <c r="P760" s="6" t="s">
        <v>55</v>
      </c>
      <c r="Q760" s="6" t="s">
        <v>2220</v>
      </c>
      <c r="R760" s="6" t="s">
        <v>56</v>
      </c>
      <c r="S760" s="6" t="s">
        <v>56</v>
      </c>
      <c r="T760" s="6" t="s">
        <v>57</v>
      </c>
      <c r="Y760">
        <v>2</v>
      </c>
      <c r="AR760" s="6" t="s">
        <v>55</v>
      </c>
      <c r="AS760" s="6" t="s">
        <v>55</v>
      </c>
      <c r="AU760" s="6" t="s">
        <v>2234</v>
      </c>
      <c r="AV760">
        <v>32</v>
      </c>
    </row>
    <row r="761" spans="1:48" ht="30" customHeight="1" x14ac:dyDescent="0.3">
      <c r="A761" s="4" t="s">
        <v>2232</v>
      </c>
      <c r="B761" s="4" t="s">
        <v>194</v>
      </c>
      <c r="C761" s="4" t="s">
        <v>106</v>
      </c>
      <c r="D761" s="5">
        <v>128.58099999999999</v>
      </c>
      <c r="E761" s="7">
        <f>TRUNC([1]단가대비표!O44,0)</f>
        <v>1008450</v>
      </c>
      <c r="F761" s="7">
        <f t="shared" si="75"/>
        <v>129667509</v>
      </c>
      <c r="G761" s="7">
        <f>TRUNC([1]단가대비표!P44,0)</f>
        <v>0</v>
      </c>
      <c r="H761" s="7">
        <f t="shared" si="76"/>
        <v>0</v>
      </c>
      <c r="I761" s="7">
        <f>TRUNC([1]단가대비표!V44,0)</f>
        <v>0</v>
      </c>
      <c r="J761" s="7">
        <f t="shared" si="77"/>
        <v>0</v>
      </c>
      <c r="K761" s="7">
        <f t="shared" si="78"/>
        <v>1008450</v>
      </c>
      <c r="L761" s="7">
        <f t="shared" si="78"/>
        <v>129667509</v>
      </c>
      <c r="M761" s="4" t="s">
        <v>55</v>
      </c>
      <c r="N761" s="6" t="s">
        <v>2235</v>
      </c>
      <c r="O761" s="6" t="s">
        <v>55</v>
      </c>
      <c r="P761" s="6" t="s">
        <v>55</v>
      </c>
      <c r="Q761" s="6" t="s">
        <v>2220</v>
      </c>
      <c r="R761" s="6" t="s">
        <v>56</v>
      </c>
      <c r="S761" s="6" t="s">
        <v>56</v>
      </c>
      <c r="T761" s="6" t="s">
        <v>57</v>
      </c>
      <c r="Y761">
        <v>2</v>
      </c>
      <c r="AR761" s="6" t="s">
        <v>55</v>
      </c>
      <c r="AS761" s="6" t="s">
        <v>55</v>
      </c>
      <c r="AU761" s="6" t="s">
        <v>2236</v>
      </c>
      <c r="AV761">
        <v>33</v>
      </c>
    </row>
    <row r="762" spans="1:48" ht="30" customHeight="1" x14ac:dyDescent="0.3">
      <c r="A762" s="4" t="s">
        <v>2232</v>
      </c>
      <c r="B762" s="4" t="s">
        <v>197</v>
      </c>
      <c r="C762" s="4" t="s">
        <v>106</v>
      </c>
      <c r="D762" s="5">
        <v>130.995</v>
      </c>
      <c r="E762" s="7">
        <f>TRUNC([1]단가대비표!O45,0)</f>
        <v>1052230</v>
      </c>
      <c r="F762" s="7">
        <f t="shared" si="75"/>
        <v>137836868</v>
      </c>
      <c r="G762" s="7">
        <f>TRUNC([1]단가대비표!P45,0)</f>
        <v>0</v>
      </c>
      <c r="H762" s="7">
        <f t="shared" si="76"/>
        <v>0</v>
      </c>
      <c r="I762" s="7">
        <f>TRUNC([1]단가대비표!V45,0)</f>
        <v>0</v>
      </c>
      <c r="J762" s="7">
        <f t="shared" si="77"/>
        <v>0</v>
      </c>
      <c r="K762" s="7">
        <f t="shared" si="78"/>
        <v>1052230</v>
      </c>
      <c r="L762" s="7">
        <f t="shared" si="78"/>
        <v>137836868</v>
      </c>
      <c r="M762" s="4" t="s">
        <v>55</v>
      </c>
      <c r="N762" s="6" t="s">
        <v>2237</v>
      </c>
      <c r="O762" s="6" t="s">
        <v>55</v>
      </c>
      <c r="P762" s="6" t="s">
        <v>55</v>
      </c>
      <c r="Q762" s="6" t="s">
        <v>2220</v>
      </c>
      <c r="R762" s="6" t="s">
        <v>56</v>
      </c>
      <c r="S762" s="6" t="s">
        <v>56</v>
      </c>
      <c r="T762" s="6" t="s">
        <v>57</v>
      </c>
      <c r="Y762">
        <v>2</v>
      </c>
      <c r="AR762" s="6" t="s">
        <v>55</v>
      </c>
      <c r="AS762" s="6" t="s">
        <v>55</v>
      </c>
      <c r="AU762" s="6" t="s">
        <v>2238</v>
      </c>
      <c r="AV762">
        <v>34</v>
      </c>
    </row>
    <row r="763" spans="1:48" ht="30" customHeight="1" x14ac:dyDescent="0.3">
      <c r="A763" s="4" t="s">
        <v>2232</v>
      </c>
      <c r="B763" s="4" t="s">
        <v>200</v>
      </c>
      <c r="C763" s="4" t="s">
        <v>106</v>
      </c>
      <c r="D763" s="5">
        <v>275.089</v>
      </c>
      <c r="E763" s="7">
        <f>TRUNC([1]단가대비표!O46,0)</f>
        <v>1052230</v>
      </c>
      <c r="F763" s="7">
        <f t="shared" si="75"/>
        <v>289456898</v>
      </c>
      <c r="G763" s="7">
        <f>TRUNC([1]단가대비표!P46,0)</f>
        <v>0</v>
      </c>
      <c r="H763" s="7">
        <f t="shared" si="76"/>
        <v>0</v>
      </c>
      <c r="I763" s="7">
        <f>TRUNC([1]단가대비표!V46,0)</f>
        <v>0</v>
      </c>
      <c r="J763" s="7">
        <f t="shared" si="77"/>
        <v>0</v>
      </c>
      <c r="K763" s="7">
        <f t="shared" si="78"/>
        <v>1052230</v>
      </c>
      <c r="L763" s="7">
        <f t="shared" si="78"/>
        <v>289456898</v>
      </c>
      <c r="M763" s="4" t="s">
        <v>55</v>
      </c>
      <c r="N763" s="6" t="s">
        <v>2239</v>
      </c>
      <c r="O763" s="6" t="s">
        <v>55</v>
      </c>
      <c r="P763" s="6" t="s">
        <v>55</v>
      </c>
      <c r="Q763" s="6" t="s">
        <v>2220</v>
      </c>
      <c r="R763" s="6" t="s">
        <v>56</v>
      </c>
      <c r="S763" s="6" t="s">
        <v>56</v>
      </c>
      <c r="T763" s="6" t="s">
        <v>57</v>
      </c>
      <c r="Y763">
        <v>2</v>
      </c>
      <c r="AR763" s="6" t="s">
        <v>55</v>
      </c>
      <c r="AS763" s="6" t="s">
        <v>55</v>
      </c>
      <c r="AU763" s="6" t="s">
        <v>2240</v>
      </c>
      <c r="AV763">
        <v>35</v>
      </c>
    </row>
    <row r="764" spans="1:48" ht="30" customHeight="1" x14ac:dyDescent="0.3">
      <c r="A764" s="4" t="s">
        <v>2232</v>
      </c>
      <c r="B764" s="4" t="s">
        <v>203</v>
      </c>
      <c r="C764" s="4" t="s">
        <v>106</v>
      </c>
      <c r="D764" s="5">
        <v>459.52300000000002</v>
      </c>
      <c r="E764" s="7">
        <f>TRUNC([1]단가대비표!O47,0)</f>
        <v>1052230</v>
      </c>
      <c r="F764" s="7">
        <f t="shared" si="75"/>
        <v>483523886</v>
      </c>
      <c r="G764" s="7">
        <f>TRUNC([1]단가대비표!P47,0)</f>
        <v>0</v>
      </c>
      <c r="H764" s="7">
        <f t="shared" si="76"/>
        <v>0</v>
      </c>
      <c r="I764" s="7">
        <f>TRUNC([1]단가대비표!V47,0)</f>
        <v>0</v>
      </c>
      <c r="J764" s="7">
        <f t="shared" si="77"/>
        <v>0</v>
      </c>
      <c r="K764" s="7">
        <f t="shared" si="78"/>
        <v>1052230</v>
      </c>
      <c r="L764" s="7">
        <f t="shared" si="78"/>
        <v>483523886</v>
      </c>
      <c r="M764" s="4" t="s">
        <v>55</v>
      </c>
      <c r="N764" s="6" t="s">
        <v>2241</v>
      </c>
      <c r="O764" s="6" t="s">
        <v>55</v>
      </c>
      <c r="P764" s="6" t="s">
        <v>55</v>
      </c>
      <c r="Q764" s="6" t="s">
        <v>2220</v>
      </c>
      <c r="R764" s="6" t="s">
        <v>56</v>
      </c>
      <c r="S764" s="6" t="s">
        <v>56</v>
      </c>
      <c r="T764" s="6" t="s">
        <v>57</v>
      </c>
      <c r="Y764">
        <v>2</v>
      </c>
      <c r="AR764" s="6" t="s">
        <v>55</v>
      </c>
      <c r="AS764" s="6" t="s">
        <v>55</v>
      </c>
      <c r="AU764" s="6" t="s">
        <v>2242</v>
      </c>
      <c r="AV764">
        <v>36</v>
      </c>
    </row>
    <row r="765" spans="1:48" ht="30" customHeight="1" x14ac:dyDescent="0.3">
      <c r="A765" s="4" t="s">
        <v>2232</v>
      </c>
      <c r="B765" s="4" t="s">
        <v>206</v>
      </c>
      <c r="C765" s="4" t="s">
        <v>106</v>
      </c>
      <c r="D765" s="5">
        <v>58.408000000000001</v>
      </c>
      <c r="E765" s="7">
        <f>TRUNC([1]단가대비표!O48,0)</f>
        <v>1052230</v>
      </c>
      <c r="F765" s="7">
        <f t="shared" si="75"/>
        <v>61458649</v>
      </c>
      <c r="G765" s="7">
        <f>TRUNC([1]단가대비표!P48,0)</f>
        <v>0</v>
      </c>
      <c r="H765" s="7">
        <f t="shared" si="76"/>
        <v>0</v>
      </c>
      <c r="I765" s="7">
        <f>TRUNC([1]단가대비표!V48,0)</f>
        <v>0</v>
      </c>
      <c r="J765" s="7">
        <f t="shared" si="77"/>
        <v>0</v>
      </c>
      <c r="K765" s="7">
        <f t="shared" si="78"/>
        <v>1052230</v>
      </c>
      <c r="L765" s="7">
        <f t="shared" si="78"/>
        <v>61458649</v>
      </c>
      <c r="M765" s="4" t="s">
        <v>55</v>
      </c>
      <c r="N765" s="6" t="s">
        <v>2243</v>
      </c>
      <c r="O765" s="6" t="s">
        <v>55</v>
      </c>
      <c r="P765" s="6" t="s">
        <v>55</v>
      </c>
      <c r="Q765" s="6" t="s">
        <v>2220</v>
      </c>
      <c r="R765" s="6" t="s">
        <v>56</v>
      </c>
      <c r="S765" s="6" t="s">
        <v>56</v>
      </c>
      <c r="T765" s="6" t="s">
        <v>57</v>
      </c>
      <c r="Y765">
        <v>2</v>
      </c>
      <c r="AR765" s="6" t="s">
        <v>55</v>
      </c>
      <c r="AS765" s="6" t="s">
        <v>55</v>
      </c>
      <c r="AU765" s="6" t="s">
        <v>2244</v>
      </c>
      <c r="AV765">
        <v>37</v>
      </c>
    </row>
    <row r="766" spans="1:48" ht="30" customHeight="1" x14ac:dyDescent="0.3">
      <c r="A766" s="4" t="s">
        <v>2228</v>
      </c>
      <c r="B766" s="4" t="s">
        <v>2229</v>
      </c>
      <c r="C766" s="4" t="s">
        <v>92</v>
      </c>
      <c r="D766" s="5">
        <v>1</v>
      </c>
      <c r="E766" s="7">
        <f>ROUNDDOWN(SUMIF(Y756:Y781, RIGHTB(N766, 1), F756:F781)*W766, 0)</f>
        <v>7346817</v>
      </c>
      <c r="F766" s="7">
        <f t="shared" si="75"/>
        <v>7346817</v>
      </c>
      <c r="G766" s="7">
        <v>0</v>
      </c>
      <c r="H766" s="7">
        <f t="shared" si="76"/>
        <v>0</v>
      </c>
      <c r="I766" s="7">
        <v>0</v>
      </c>
      <c r="J766" s="7">
        <f t="shared" si="77"/>
        <v>0</v>
      </c>
      <c r="K766" s="7">
        <f t="shared" si="78"/>
        <v>7346817</v>
      </c>
      <c r="L766" s="7">
        <f t="shared" si="78"/>
        <v>7346817</v>
      </c>
      <c r="M766" s="4" t="s">
        <v>55</v>
      </c>
      <c r="N766" s="6" t="s">
        <v>2245</v>
      </c>
      <c r="O766" s="6" t="s">
        <v>55</v>
      </c>
      <c r="P766" s="6" t="s">
        <v>55</v>
      </c>
      <c r="Q766" s="6" t="s">
        <v>2220</v>
      </c>
      <c r="R766" s="6" t="s">
        <v>56</v>
      </c>
      <c r="S766" s="6" t="s">
        <v>56</v>
      </c>
      <c r="T766" s="6" t="s">
        <v>56</v>
      </c>
      <c r="U766">
        <v>0</v>
      </c>
      <c r="V766">
        <v>0</v>
      </c>
      <c r="W766">
        <v>5.4000000000000003E-3</v>
      </c>
      <c r="AR766" s="6" t="s">
        <v>55</v>
      </c>
      <c r="AS766" s="6" t="s">
        <v>55</v>
      </c>
      <c r="AU766" s="6" t="s">
        <v>2246</v>
      </c>
      <c r="AV766">
        <v>3501</v>
      </c>
    </row>
    <row r="767" spans="1:48" ht="30" customHeight="1" x14ac:dyDescent="0.3">
      <c r="A767" s="4" t="s">
        <v>2247</v>
      </c>
      <c r="B767" s="4" t="s">
        <v>222</v>
      </c>
      <c r="C767" s="4" t="s">
        <v>223</v>
      </c>
      <c r="D767" s="5">
        <v>283</v>
      </c>
      <c r="E767" s="7">
        <f>TRUNC([1]단가대비표!O84,0)</f>
        <v>77800</v>
      </c>
      <c r="F767" s="7">
        <f t="shared" si="75"/>
        <v>22017400</v>
      </c>
      <c r="G767" s="7">
        <f>TRUNC([1]단가대비표!P84,0)</f>
        <v>0</v>
      </c>
      <c r="H767" s="7">
        <f t="shared" si="76"/>
        <v>0</v>
      </c>
      <c r="I767" s="7">
        <f>TRUNC([1]단가대비표!V84,0)</f>
        <v>0</v>
      </c>
      <c r="J767" s="7">
        <f t="shared" si="77"/>
        <v>0</v>
      </c>
      <c r="K767" s="7">
        <f t="shared" si="78"/>
        <v>77800</v>
      </c>
      <c r="L767" s="7">
        <f t="shared" si="78"/>
        <v>22017400</v>
      </c>
      <c r="M767" s="4" t="s">
        <v>55</v>
      </c>
      <c r="N767" s="6" t="s">
        <v>2248</v>
      </c>
      <c r="O767" s="6" t="s">
        <v>55</v>
      </c>
      <c r="P767" s="6" t="s">
        <v>55</v>
      </c>
      <c r="Q767" s="6" t="s">
        <v>2220</v>
      </c>
      <c r="R767" s="6" t="s">
        <v>56</v>
      </c>
      <c r="S767" s="6" t="s">
        <v>56</v>
      </c>
      <c r="T767" s="6" t="s">
        <v>57</v>
      </c>
      <c r="Z767">
        <v>3</v>
      </c>
      <c r="AR767" s="6" t="s">
        <v>55</v>
      </c>
      <c r="AS767" s="6" t="s">
        <v>55</v>
      </c>
      <c r="AU767" s="6" t="s">
        <v>2249</v>
      </c>
      <c r="AV767">
        <v>38</v>
      </c>
    </row>
    <row r="768" spans="1:48" ht="30" customHeight="1" x14ac:dyDescent="0.3">
      <c r="A768" s="4" t="s">
        <v>2247</v>
      </c>
      <c r="B768" s="4" t="s">
        <v>226</v>
      </c>
      <c r="C768" s="4" t="s">
        <v>223</v>
      </c>
      <c r="D768" s="5">
        <v>2591</v>
      </c>
      <c r="E768" s="7">
        <f>TRUNC([1]단가대비표!O85,0)</f>
        <v>78180</v>
      </c>
      <c r="F768" s="7">
        <f t="shared" si="75"/>
        <v>202564380</v>
      </c>
      <c r="G768" s="7">
        <f>TRUNC([1]단가대비표!P85,0)</f>
        <v>0</v>
      </c>
      <c r="H768" s="7">
        <f t="shared" si="76"/>
        <v>0</v>
      </c>
      <c r="I768" s="7">
        <f>TRUNC([1]단가대비표!V85,0)</f>
        <v>0</v>
      </c>
      <c r="J768" s="7">
        <f t="shared" si="77"/>
        <v>0</v>
      </c>
      <c r="K768" s="7">
        <f t="shared" si="78"/>
        <v>78180</v>
      </c>
      <c r="L768" s="7">
        <f t="shared" si="78"/>
        <v>202564380</v>
      </c>
      <c r="M768" s="4" t="s">
        <v>55</v>
      </c>
      <c r="N768" s="6" t="s">
        <v>2250</v>
      </c>
      <c r="O768" s="6" t="s">
        <v>55</v>
      </c>
      <c r="P768" s="6" t="s">
        <v>55</v>
      </c>
      <c r="Q768" s="6" t="s">
        <v>2220</v>
      </c>
      <c r="R768" s="6" t="s">
        <v>56</v>
      </c>
      <c r="S768" s="6" t="s">
        <v>56</v>
      </c>
      <c r="T768" s="6" t="s">
        <v>57</v>
      </c>
      <c r="Z768">
        <v>3</v>
      </c>
      <c r="AR768" s="6" t="s">
        <v>55</v>
      </c>
      <c r="AS768" s="6" t="s">
        <v>55</v>
      </c>
      <c r="AU768" s="6" t="s">
        <v>2251</v>
      </c>
      <c r="AV768">
        <v>39</v>
      </c>
    </row>
    <row r="769" spans="1:48" ht="30" customHeight="1" x14ac:dyDescent="0.3">
      <c r="A769" s="4" t="s">
        <v>2247</v>
      </c>
      <c r="B769" s="4" t="s">
        <v>229</v>
      </c>
      <c r="C769" s="4" t="s">
        <v>223</v>
      </c>
      <c r="D769" s="5">
        <v>11557</v>
      </c>
      <c r="E769" s="7">
        <f>TRUNC([1]단가대비표!O86,0)</f>
        <v>90400</v>
      </c>
      <c r="F769" s="7">
        <f t="shared" si="75"/>
        <v>1044752800</v>
      </c>
      <c r="G769" s="7">
        <f>TRUNC([1]단가대비표!P86,0)</f>
        <v>0</v>
      </c>
      <c r="H769" s="7">
        <f t="shared" si="76"/>
        <v>0</v>
      </c>
      <c r="I769" s="7">
        <f>TRUNC([1]단가대비표!V86,0)</f>
        <v>0</v>
      </c>
      <c r="J769" s="7">
        <f t="shared" si="77"/>
        <v>0</v>
      </c>
      <c r="K769" s="7">
        <f t="shared" si="78"/>
        <v>90400</v>
      </c>
      <c r="L769" s="7">
        <f t="shared" si="78"/>
        <v>1044752800</v>
      </c>
      <c r="M769" s="4" t="s">
        <v>55</v>
      </c>
      <c r="N769" s="6" t="s">
        <v>2252</v>
      </c>
      <c r="O769" s="6" t="s">
        <v>55</v>
      </c>
      <c r="P769" s="6" t="s">
        <v>55</v>
      </c>
      <c r="Q769" s="6" t="s">
        <v>2220</v>
      </c>
      <c r="R769" s="6" t="s">
        <v>56</v>
      </c>
      <c r="S769" s="6" t="s">
        <v>56</v>
      </c>
      <c r="T769" s="6" t="s">
        <v>57</v>
      </c>
      <c r="Z769">
        <v>3</v>
      </c>
      <c r="AR769" s="6" t="s">
        <v>55</v>
      </c>
      <c r="AS769" s="6" t="s">
        <v>55</v>
      </c>
      <c r="AU769" s="6" t="s">
        <v>2253</v>
      </c>
      <c r="AV769">
        <v>41</v>
      </c>
    </row>
    <row r="770" spans="1:48" ht="30" customHeight="1" x14ac:dyDescent="0.3">
      <c r="A770" s="4" t="s">
        <v>2228</v>
      </c>
      <c r="B770" s="4" t="s">
        <v>2229</v>
      </c>
      <c r="C770" s="4" t="s">
        <v>92</v>
      </c>
      <c r="D770" s="5">
        <v>1</v>
      </c>
      <c r="E770" s="7">
        <f>ROUNDDOWN(SUMIF(Z756:Z781, RIGHTB(N770, 1), F756:F781)*W770, 0)</f>
        <v>6854406</v>
      </c>
      <c r="F770" s="7">
        <f t="shared" si="75"/>
        <v>6854406</v>
      </c>
      <c r="G770" s="7">
        <v>0</v>
      </c>
      <c r="H770" s="7">
        <f t="shared" si="76"/>
        <v>0</v>
      </c>
      <c r="I770" s="7">
        <v>0</v>
      </c>
      <c r="J770" s="7">
        <f t="shared" si="77"/>
        <v>0</v>
      </c>
      <c r="K770" s="7">
        <f t="shared" si="78"/>
        <v>6854406</v>
      </c>
      <c r="L770" s="7">
        <f t="shared" si="78"/>
        <v>6854406</v>
      </c>
      <c r="M770" s="4" t="s">
        <v>55</v>
      </c>
      <c r="N770" s="6" t="s">
        <v>2254</v>
      </c>
      <c r="O770" s="6" t="s">
        <v>55</v>
      </c>
      <c r="P770" s="6" t="s">
        <v>55</v>
      </c>
      <c r="Q770" s="6" t="s">
        <v>2220</v>
      </c>
      <c r="R770" s="6" t="s">
        <v>56</v>
      </c>
      <c r="S770" s="6" t="s">
        <v>56</v>
      </c>
      <c r="T770" s="6" t="s">
        <v>56</v>
      </c>
      <c r="U770">
        <v>0</v>
      </c>
      <c r="V770">
        <v>0</v>
      </c>
      <c r="W770">
        <v>5.4000000000000003E-3</v>
      </c>
      <c r="AR770" s="6" t="s">
        <v>55</v>
      </c>
      <c r="AS770" s="6" t="s">
        <v>55</v>
      </c>
      <c r="AU770" s="6" t="s">
        <v>2255</v>
      </c>
      <c r="AV770">
        <v>3502</v>
      </c>
    </row>
    <row r="771" spans="1:48" ht="30" customHeight="1" x14ac:dyDescent="0.3">
      <c r="A771" s="4" t="s">
        <v>2256</v>
      </c>
      <c r="B771" s="4" t="s">
        <v>2257</v>
      </c>
      <c r="C771" s="4" t="s">
        <v>2258</v>
      </c>
      <c r="D771" s="5">
        <v>496347.14500000002</v>
      </c>
      <c r="E771" s="7">
        <f>TRUNC([1]단가대비표!O99,0)</f>
        <v>50</v>
      </c>
      <c r="F771" s="7">
        <f t="shared" si="75"/>
        <v>24817357</v>
      </c>
      <c r="G771" s="7">
        <f>TRUNC([1]단가대비표!P99,0)</f>
        <v>0</v>
      </c>
      <c r="H771" s="7">
        <f t="shared" si="76"/>
        <v>0</v>
      </c>
      <c r="I771" s="7">
        <f>TRUNC([1]단가대비표!V99,0)</f>
        <v>0</v>
      </c>
      <c r="J771" s="7">
        <f t="shared" si="77"/>
        <v>0</v>
      </c>
      <c r="K771" s="7">
        <f t="shared" si="78"/>
        <v>50</v>
      </c>
      <c r="L771" s="7">
        <f t="shared" si="78"/>
        <v>24817357</v>
      </c>
      <c r="M771" s="4" t="s">
        <v>2259</v>
      </c>
      <c r="N771" s="6" t="s">
        <v>2260</v>
      </c>
      <c r="O771" s="6" t="s">
        <v>55</v>
      </c>
      <c r="P771" s="6" t="s">
        <v>55</v>
      </c>
      <c r="Q771" s="6" t="s">
        <v>2220</v>
      </c>
      <c r="R771" s="6" t="s">
        <v>56</v>
      </c>
      <c r="S771" s="6" t="s">
        <v>56</v>
      </c>
      <c r="T771" s="6" t="s">
        <v>57</v>
      </c>
      <c r="AA771">
        <v>4</v>
      </c>
      <c r="AR771" s="6" t="s">
        <v>55</v>
      </c>
      <c r="AS771" s="6" t="s">
        <v>55</v>
      </c>
      <c r="AU771" s="6" t="s">
        <v>2261</v>
      </c>
      <c r="AV771">
        <v>78</v>
      </c>
    </row>
    <row r="772" spans="1:48" ht="30" customHeight="1" x14ac:dyDescent="0.3">
      <c r="A772" s="4" t="s">
        <v>2228</v>
      </c>
      <c r="B772" s="4" t="s">
        <v>2229</v>
      </c>
      <c r="C772" s="4" t="s">
        <v>92</v>
      </c>
      <c r="D772" s="5">
        <v>1</v>
      </c>
      <c r="E772" s="7">
        <f>ROUNDDOWN(SUMIF(AA756:AA781, RIGHTB(N772, 1), F756:F781)*W772, 0)</f>
        <v>134013</v>
      </c>
      <c r="F772" s="7">
        <f t="shared" si="75"/>
        <v>134013</v>
      </c>
      <c r="G772" s="7">
        <v>0</v>
      </c>
      <c r="H772" s="7">
        <f t="shared" si="76"/>
        <v>0</v>
      </c>
      <c r="I772" s="7">
        <v>0</v>
      </c>
      <c r="J772" s="7">
        <f t="shared" si="77"/>
        <v>0</v>
      </c>
      <c r="K772" s="7">
        <f t="shared" si="78"/>
        <v>134013</v>
      </c>
      <c r="L772" s="7">
        <f t="shared" si="78"/>
        <v>134013</v>
      </c>
      <c r="M772" s="4" t="s">
        <v>55</v>
      </c>
      <c r="N772" s="6" t="s">
        <v>2262</v>
      </c>
      <c r="O772" s="6" t="s">
        <v>55</v>
      </c>
      <c r="P772" s="6" t="s">
        <v>55</v>
      </c>
      <c r="Q772" s="6" t="s">
        <v>2220</v>
      </c>
      <c r="R772" s="6" t="s">
        <v>56</v>
      </c>
      <c r="S772" s="6" t="s">
        <v>56</v>
      </c>
      <c r="T772" s="6" t="s">
        <v>56</v>
      </c>
      <c r="U772">
        <v>0</v>
      </c>
      <c r="V772">
        <v>0</v>
      </c>
      <c r="W772">
        <v>5.4000000000000003E-3</v>
      </c>
      <c r="AR772" s="6" t="s">
        <v>55</v>
      </c>
      <c r="AS772" s="6" t="s">
        <v>55</v>
      </c>
      <c r="AU772" s="6" t="s">
        <v>2263</v>
      </c>
      <c r="AV772">
        <v>3498</v>
      </c>
    </row>
    <row r="773" spans="1:48" ht="30" customHeight="1" x14ac:dyDescent="0.3">
      <c r="A773" s="4" t="s">
        <v>2264</v>
      </c>
      <c r="B773" s="4" t="s">
        <v>2178</v>
      </c>
      <c r="C773" s="4" t="s">
        <v>856</v>
      </c>
      <c r="D773" s="5">
        <v>10021</v>
      </c>
      <c r="E773" s="7">
        <f>TRUNC([1]단가대비표!O93,0)</f>
        <v>5330</v>
      </c>
      <c r="F773" s="7">
        <f t="shared" si="75"/>
        <v>53411930</v>
      </c>
      <c r="G773" s="7">
        <f>TRUNC([1]단가대비표!P93,0)</f>
        <v>0</v>
      </c>
      <c r="H773" s="7">
        <f t="shared" si="76"/>
        <v>0</v>
      </c>
      <c r="I773" s="7">
        <f>TRUNC([1]단가대비표!V93,0)</f>
        <v>0</v>
      </c>
      <c r="J773" s="7">
        <f t="shared" si="77"/>
        <v>0</v>
      </c>
      <c r="K773" s="7">
        <f t="shared" si="78"/>
        <v>5330</v>
      </c>
      <c r="L773" s="7">
        <f t="shared" si="78"/>
        <v>53411930</v>
      </c>
      <c r="M773" s="4" t="s">
        <v>55</v>
      </c>
      <c r="N773" s="6" t="s">
        <v>2265</v>
      </c>
      <c r="O773" s="6" t="s">
        <v>55</v>
      </c>
      <c r="P773" s="6" t="s">
        <v>55</v>
      </c>
      <c r="Q773" s="6" t="s">
        <v>2220</v>
      </c>
      <c r="R773" s="6" t="s">
        <v>56</v>
      </c>
      <c r="S773" s="6" t="s">
        <v>56</v>
      </c>
      <c r="T773" s="6" t="s">
        <v>57</v>
      </c>
      <c r="AB773">
        <v>5</v>
      </c>
      <c r="AR773" s="6" t="s">
        <v>55</v>
      </c>
      <c r="AS773" s="6" t="s">
        <v>55</v>
      </c>
      <c r="AU773" s="6" t="s">
        <v>2266</v>
      </c>
      <c r="AV773">
        <v>2417</v>
      </c>
    </row>
    <row r="774" spans="1:48" ht="30" customHeight="1" x14ac:dyDescent="0.3">
      <c r="A774" s="4" t="s">
        <v>2228</v>
      </c>
      <c r="B774" s="4" t="s">
        <v>2229</v>
      </c>
      <c r="C774" s="4" t="s">
        <v>92</v>
      </c>
      <c r="D774" s="5">
        <v>1</v>
      </c>
      <c r="E774" s="7">
        <f>ROUNDDOWN(SUMIF(AB756:AB781, RIGHTB(N774, 1), F756:F781)*W774, 0)</f>
        <v>288424</v>
      </c>
      <c r="F774" s="7">
        <f t="shared" si="75"/>
        <v>288424</v>
      </c>
      <c r="G774" s="7">
        <v>0</v>
      </c>
      <c r="H774" s="7">
        <f t="shared" si="76"/>
        <v>0</v>
      </c>
      <c r="I774" s="7">
        <v>0</v>
      </c>
      <c r="J774" s="7">
        <f t="shared" si="77"/>
        <v>0</v>
      </c>
      <c r="K774" s="7">
        <f t="shared" si="78"/>
        <v>288424</v>
      </c>
      <c r="L774" s="7">
        <f t="shared" si="78"/>
        <v>288424</v>
      </c>
      <c r="M774" s="4" t="s">
        <v>55</v>
      </c>
      <c r="N774" s="6" t="s">
        <v>2267</v>
      </c>
      <c r="O774" s="6" t="s">
        <v>55</v>
      </c>
      <c r="P774" s="6" t="s">
        <v>55</v>
      </c>
      <c r="Q774" s="6" t="s">
        <v>2220</v>
      </c>
      <c r="R774" s="6" t="s">
        <v>56</v>
      </c>
      <c r="S774" s="6" t="s">
        <v>56</v>
      </c>
      <c r="T774" s="6" t="s">
        <v>56</v>
      </c>
      <c r="U774">
        <v>0</v>
      </c>
      <c r="V774">
        <v>0</v>
      </c>
      <c r="W774">
        <v>5.4000000000000003E-3</v>
      </c>
      <c r="AR774" s="6" t="s">
        <v>55</v>
      </c>
      <c r="AS774" s="6" t="s">
        <v>55</v>
      </c>
      <c r="AU774" s="6" t="s">
        <v>2268</v>
      </c>
      <c r="AV774">
        <v>3500</v>
      </c>
    </row>
    <row r="775" spans="1:48" ht="30" customHeight="1" x14ac:dyDescent="0.3">
      <c r="A775" s="4" t="s">
        <v>2269</v>
      </c>
      <c r="B775" s="4" t="s">
        <v>675</v>
      </c>
      <c r="C775" s="4" t="s">
        <v>81</v>
      </c>
      <c r="D775" s="5">
        <v>30</v>
      </c>
      <c r="E775" s="7">
        <f>TRUNC([1]단가대비표!O288,0)</f>
        <v>90000</v>
      </c>
      <c r="F775" s="7">
        <f t="shared" si="75"/>
        <v>2700000</v>
      </c>
      <c r="G775" s="7">
        <f>TRUNC([1]단가대비표!P288,0)</f>
        <v>0</v>
      </c>
      <c r="H775" s="7">
        <f t="shared" si="76"/>
        <v>0</v>
      </c>
      <c r="I775" s="7">
        <f>TRUNC([1]단가대비표!V288,0)</f>
        <v>0</v>
      </c>
      <c r="J775" s="7">
        <f t="shared" si="77"/>
        <v>0</v>
      </c>
      <c r="K775" s="7">
        <f t="shared" si="78"/>
        <v>90000</v>
      </c>
      <c r="L775" s="7">
        <f t="shared" si="78"/>
        <v>2700000</v>
      </c>
      <c r="M775" s="4" t="s">
        <v>2270</v>
      </c>
      <c r="N775" s="6" t="s">
        <v>2271</v>
      </c>
      <c r="O775" s="6" t="s">
        <v>55</v>
      </c>
      <c r="P775" s="6" t="s">
        <v>55</v>
      </c>
      <c r="Q775" s="6" t="s">
        <v>2220</v>
      </c>
      <c r="R775" s="6" t="s">
        <v>56</v>
      </c>
      <c r="S775" s="6" t="s">
        <v>56</v>
      </c>
      <c r="T775" s="6" t="s">
        <v>57</v>
      </c>
      <c r="AC775">
        <v>6</v>
      </c>
      <c r="AR775" s="6" t="s">
        <v>55</v>
      </c>
      <c r="AS775" s="6" t="s">
        <v>55</v>
      </c>
      <c r="AU775" s="6" t="s">
        <v>2272</v>
      </c>
      <c r="AV775">
        <v>1187</v>
      </c>
    </row>
    <row r="776" spans="1:48" ht="30" customHeight="1" x14ac:dyDescent="0.3">
      <c r="A776" s="4" t="s">
        <v>2228</v>
      </c>
      <c r="B776" s="4" t="s">
        <v>2229</v>
      </c>
      <c r="C776" s="4" t="s">
        <v>92</v>
      </c>
      <c r="D776" s="5">
        <v>1</v>
      </c>
      <c r="E776" s="7">
        <f>ROUNDDOWN(SUMIF(AC756:AC781, RIGHTB(N776, 1), F756:F781)*W776, 0)</f>
        <v>14580</v>
      </c>
      <c r="F776" s="7">
        <f t="shared" si="75"/>
        <v>14580</v>
      </c>
      <c r="G776" s="7">
        <v>0</v>
      </c>
      <c r="H776" s="7">
        <f t="shared" si="76"/>
        <v>0</v>
      </c>
      <c r="I776" s="7">
        <v>0</v>
      </c>
      <c r="J776" s="7">
        <f t="shared" si="77"/>
        <v>0</v>
      </c>
      <c r="K776" s="7">
        <f t="shared" si="78"/>
        <v>14580</v>
      </c>
      <c r="L776" s="7">
        <f t="shared" si="78"/>
        <v>14580</v>
      </c>
      <c r="M776" s="4" t="s">
        <v>55</v>
      </c>
      <c r="N776" s="6" t="s">
        <v>2273</v>
      </c>
      <c r="O776" s="6" t="s">
        <v>55</v>
      </c>
      <c r="P776" s="6" t="s">
        <v>55</v>
      </c>
      <c r="Q776" s="6" t="s">
        <v>2220</v>
      </c>
      <c r="R776" s="6" t="s">
        <v>56</v>
      </c>
      <c r="S776" s="6" t="s">
        <v>56</v>
      </c>
      <c r="T776" s="6" t="s">
        <v>56</v>
      </c>
      <c r="U776">
        <v>0</v>
      </c>
      <c r="V776">
        <v>0</v>
      </c>
      <c r="W776">
        <v>5.4000000000000003E-3</v>
      </c>
      <c r="AR776" s="6" t="s">
        <v>55</v>
      </c>
      <c r="AS776" s="6" t="s">
        <v>55</v>
      </c>
      <c r="AU776" s="6" t="s">
        <v>2274</v>
      </c>
      <c r="AV776">
        <v>3499</v>
      </c>
    </row>
    <row r="777" spans="1:48" ht="30" customHeight="1" x14ac:dyDescent="0.3">
      <c r="A777" s="4" t="s">
        <v>2275</v>
      </c>
      <c r="B777" s="4" t="s">
        <v>2276</v>
      </c>
      <c r="C777" s="4" t="s">
        <v>61</v>
      </c>
      <c r="D777" s="5">
        <v>2424</v>
      </c>
      <c r="E777" s="7">
        <f>TRUNC([1]단가대비표!O107,0)</f>
        <v>10800</v>
      </c>
      <c r="F777" s="7">
        <f t="shared" si="75"/>
        <v>26179200</v>
      </c>
      <c r="G777" s="7">
        <f>TRUNC([1]단가대비표!P107,0)</f>
        <v>0</v>
      </c>
      <c r="H777" s="7">
        <f t="shared" si="76"/>
        <v>0</v>
      </c>
      <c r="I777" s="7">
        <f>TRUNC([1]단가대비표!V107,0)</f>
        <v>0</v>
      </c>
      <c r="J777" s="7">
        <f t="shared" si="77"/>
        <v>0</v>
      </c>
      <c r="K777" s="7">
        <f t="shared" si="78"/>
        <v>10800</v>
      </c>
      <c r="L777" s="7">
        <f t="shared" si="78"/>
        <v>26179200</v>
      </c>
      <c r="M777" s="4" t="s">
        <v>55</v>
      </c>
      <c r="N777" s="6" t="s">
        <v>2277</v>
      </c>
      <c r="O777" s="6" t="s">
        <v>55</v>
      </c>
      <c r="P777" s="6" t="s">
        <v>55</v>
      </c>
      <c r="Q777" s="6" t="s">
        <v>2220</v>
      </c>
      <c r="R777" s="6" t="s">
        <v>56</v>
      </c>
      <c r="S777" s="6" t="s">
        <v>56</v>
      </c>
      <c r="T777" s="6" t="s">
        <v>57</v>
      </c>
      <c r="AD777">
        <v>7</v>
      </c>
      <c r="AR777" s="6" t="s">
        <v>55</v>
      </c>
      <c r="AS777" s="6" t="s">
        <v>55</v>
      </c>
      <c r="AU777" s="6" t="s">
        <v>2278</v>
      </c>
      <c r="AV777">
        <v>3375</v>
      </c>
    </row>
    <row r="778" spans="1:48" ht="30" customHeight="1" x14ac:dyDescent="0.3">
      <c r="A778" s="4" t="s">
        <v>2228</v>
      </c>
      <c r="B778" s="4" t="s">
        <v>2229</v>
      </c>
      <c r="C778" s="4" t="s">
        <v>92</v>
      </c>
      <c r="D778" s="5">
        <v>1</v>
      </c>
      <c r="E778" s="7">
        <f>ROUNDDOWN(SUMIF(AD756:AD781, RIGHTB(N778, 1), F756:F781)*W778, 0)</f>
        <v>141367</v>
      </c>
      <c r="F778" s="7">
        <f t="shared" si="75"/>
        <v>141367</v>
      </c>
      <c r="G778" s="7">
        <v>0</v>
      </c>
      <c r="H778" s="7">
        <f t="shared" si="76"/>
        <v>0</v>
      </c>
      <c r="I778" s="7">
        <v>0</v>
      </c>
      <c r="J778" s="7">
        <f t="shared" si="77"/>
        <v>0</v>
      </c>
      <c r="K778" s="7">
        <f t="shared" si="78"/>
        <v>141367</v>
      </c>
      <c r="L778" s="7">
        <f t="shared" si="78"/>
        <v>141367</v>
      </c>
      <c r="M778" s="4" t="s">
        <v>55</v>
      </c>
      <c r="N778" s="6" t="s">
        <v>2279</v>
      </c>
      <c r="O778" s="6" t="s">
        <v>55</v>
      </c>
      <c r="P778" s="6" t="s">
        <v>55</v>
      </c>
      <c r="Q778" s="6" t="s">
        <v>2220</v>
      </c>
      <c r="R778" s="6" t="s">
        <v>56</v>
      </c>
      <c r="S778" s="6" t="s">
        <v>56</v>
      </c>
      <c r="T778" s="6" t="s">
        <v>56</v>
      </c>
      <c r="U778">
        <v>0</v>
      </c>
      <c r="V778">
        <v>0</v>
      </c>
      <c r="W778">
        <v>5.4000000000000003E-3</v>
      </c>
      <c r="AR778" s="6" t="s">
        <v>55</v>
      </c>
      <c r="AS778" s="6" t="s">
        <v>55</v>
      </c>
      <c r="AU778" s="6" t="s">
        <v>2280</v>
      </c>
      <c r="AV778">
        <v>3376</v>
      </c>
    </row>
    <row r="779" spans="1:48" ht="30" customHeight="1" x14ac:dyDescent="0.3">
      <c r="A779" s="4" t="s">
        <v>2281</v>
      </c>
      <c r="B779" s="4" t="s">
        <v>2282</v>
      </c>
      <c r="C779" s="4" t="s">
        <v>61</v>
      </c>
      <c r="D779" s="5">
        <v>9</v>
      </c>
      <c r="E779" s="7">
        <f>TRUNC([1]단가대비표!O102,0)</f>
        <v>75900</v>
      </c>
      <c r="F779" s="7">
        <f t="shared" si="75"/>
        <v>683100</v>
      </c>
      <c r="G779" s="7">
        <f>TRUNC([1]단가대비표!P102,0)</f>
        <v>0</v>
      </c>
      <c r="H779" s="7">
        <f t="shared" si="76"/>
        <v>0</v>
      </c>
      <c r="I779" s="7">
        <f>TRUNC([1]단가대비표!V102,0)</f>
        <v>0</v>
      </c>
      <c r="J779" s="7">
        <f t="shared" si="77"/>
        <v>0</v>
      </c>
      <c r="K779" s="7">
        <f t="shared" si="78"/>
        <v>75900</v>
      </c>
      <c r="L779" s="7">
        <f t="shared" si="78"/>
        <v>683100</v>
      </c>
      <c r="M779" s="4" t="s">
        <v>55</v>
      </c>
      <c r="N779" s="6" t="s">
        <v>2283</v>
      </c>
      <c r="O779" s="6" t="s">
        <v>55</v>
      </c>
      <c r="P779" s="6" t="s">
        <v>55</v>
      </c>
      <c r="Q779" s="6" t="s">
        <v>2220</v>
      </c>
      <c r="R779" s="6" t="s">
        <v>56</v>
      </c>
      <c r="S779" s="6" t="s">
        <v>56</v>
      </c>
      <c r="T779" s="6" t="s">
        <v>57</v>
      </c>
      <c r="AE779">
        <v>8</v>
      </c>
      <c r="AR779" s="6" t="s">
        <v>55</v>
      </c>
      <c r="AS779" s="6" t="s">
        <v>55</v>
      </c>
      <c r="AU779" s="6" t="s">
        <v>2284</v>
      </c>
      <c r="AV779">
        <v>3388</v>
      </c>
    </row>
    <row r="780" spans="1:48" ht="30" customHeight="1" x14ac:dyDescent="0.3">
      <c r="A780" s="4" t="s">
        <v>2281</v>
      </c>
      <c r="B780" s="4" t="s">
        <v>2285</v>
      </c>
      <c r="C780" s="4" t="s">
        <v>61</v>
      </c>
      <c r="D780" s="5">
        <v>117</v>
      </c>
      <c r="E780" s="7">
        <f>TRUNC([1]단가대비표!O103,0)</f>
        <v>54450</v>
      </c>
      <c r="F780" s="7">
        <f t="shared" si="75"/>
        <v>6370650</v>
      </c>
      <c r="G780" s="7">
        <f>TRUNC([1]단가대비표!P103,0)</f>
        <v>0</v>
      </c>
      <c r="H780" s="7">
        <f t="shared" si="76"/>
        <v>0</v>
      </c>
      <c r="I780" s="7">
        <f>TRUNC([1]단가대비표!V103,0)</f>
        <v>0</v>
      </c>
      <c r="J780" s="7">
        <f t="shared" si="77"/>
        <v>0</v>
      </c>
      <c r="K780" s="7">
        <f t="shared" si="78"/>
        <v>54450</v>
      </c>
      <c r="L780" s="7">
        <f t="shared" si="78"/>
        <v>6370650</v>
      </c>
      <c r="M780" s="4" t="s">
        <v>55</v>
      </c>
      <c r="N780" s="6" t="s">
        <v>2286</v>
      </c>
      <c r="O780" s="6" t="s">
        <v>55</v>
      </c>
      <c r="P780" s="6" t="s">
        <v>55</v>
      </c>
      <c r="Q780" s="6" t="s">
        <v>2220</v>
      </c>
      <c r="R780" s="6" t="s">
        <v>56</v>
      </c>
      <c r="S780" s="6" t="s">
        <v>56</v>
      </c>
      <c r="T780" s="6" t="s">
        <v>57</v>
      </c>
      <c r="AE780">
        <v>8</v>
      </c>
      <c r="AR780" s="6" t="s">
        <v>55</v>
      </c>
      <c r="AS780" s="6" t="s">
        <v>55</v>
      </c>
      <c r="AU780" s="6" t="s">
        <v>2287</v>
      </c>
      <c r="AV780">
        <v>3389</v>
      </c>
    </row>
    <row r="781" spans="1:48" ht="30" customHeight="1" x14ac:dyDescent="0.3">
      <c r="A781" s="4" t="s">
        <v>2228</v>
      </c>
      <c r="B781" s="4" t="s">
        <v>2229</v>
      </c>
      <c r="C781" s="4" t="s">
        <v>92</v>
      </c>
      <c r="D781" s="5">
        <v>1</v>
      </c>
      <c r="E781" s="7">
        <f>ROUNDDOWN(SUMIF(AE756:AE781, RIGHTB(N781, 1), F756:F781)*W781, 0)</f>
        <v>38090</v>
      </c>
      <c r="F781" s="7">
        <f t="shared" si="75"/>
        <v>38090</v>
      </c>
      <c r="G781" s="7">
        <v>0</v>
      </c>
      <c r="H781" s="7">
        <f t="shared" si="76"/>
        <v>0</v>
      </c>
      <c r="I781" s="7">
        <v>0</v>
      </c>
      <c r="J781" s="7">
        <f t="shared" si="77"/>
        <v>0</v>
      </c>
      <c r="K781" s="7">
        <f t="shared" si="78"/>
        <v>38090</v>
      </c>
      <c r="L781" s="7">
        <f t="shared" si="78"/>
        <v>38090</v>
      </c>
      <c r="M781" s="4" t="s">
        <v>55</v>
      </c>
      <c r="N781" s="6" t="s">
        <v>2288</v>
      </c>
      <c r="O781" s="6" t="s">
        <v>55</v>
      </c>
      <c r="P781" s="6" t="s">
        <v>55</v>
      </c>
      <c r="Q781" s="6" t="s">
        <v>2220</v>
      </c>
      <c r="R781" s="6" t="s">
        <v>56</v>
      </c>
      <c r="S781" s="6" t="s">
        <v>56</v>
      </c>
      <c r="T781" s="6" t="s">
        <v>56</v>
      </c>
      <c r="U781">
        <v>0</v>
      </c>
      <c r="V781">
        <v>0</v>
      </c>
      <c r="W781">
        <v>5.4000000000000003E-3</v>
      </c>
      <c r="AR781" s="6" t="s">
        <v>55</v>
      </c>
      <c r="AS781" s="6" t="s">
        <v>55</v>
      </c>
      <c r="AU781" s="6" t="s">
        <v>2289</v>
      </c>
      <c r="AV781">
        <v>3390</v>
      </c>
    </row>
    <row r="782" spans="1:48" ht="30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 spans="1:48" ht="30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 spans="1:48" ht="30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 spans="1:48" ht="30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 spans="1:48" ht="30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 spans="1:48" ht="30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 spans="1:48" ht="30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 spans="1:48" ht="30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 spans="1:48" ht="30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 spans="1:48" ht="30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 spans="1:48" ht="30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 spans="1:48" ht="30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 spans="1:48" ht="30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 spans="1:48" ht="30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 spans="1:48" ht="30" customHeight="1" x14ac:dyDescent="0.3">
      <c r="A796" s="4" t="s">
        <v>128</v>
      </c>
      <c r="B796" s="5"/>
      <c r="C796" s="5"/>
      <c r="D796" s="5"/>
      <c r="E796" s="5"/>
      <c r="F796" s="7">
        <f>SUM(F756:F795)</f>
        <v>2980266614</v>
      </c>
      <c r="G796" s="5"/>
      <c r="H796" s="7">
        <f>SUM(H756:H795)</f>
        <v>0</v>
      </c>
      <c r="I796" s="5"/>
      <c r="J796" s="7">
        <f>SUM(J756:J795)</f>
        <v>0</v>
      </c>
      <c r="K796" s="5"/>
      <c r="L796" s="7">
        <f>SUM(L756:L795)</f>
        <v>2980266614</v>
      </c>
      <c r="M796" s="5"/>
      <c r="N796" t="s">
        <v>129</v>
      </c>
    </row>
    <row r="797" spans="1:48" ht="30" customHeight="1" x14ac:dyDescent="0.3">
      <c r="A797" s="4" t="s">
        <v>2290</v>
      </c>
      <c r="B797" s="4" t="s">
        <v>2291</v>
      </c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Q797" s="6" t="s">
        <v>2292</v>
      </c>
    </row>
    <row r="798" spans="1:48" ht="30" customHeight="1" x14ac:dyDescent="0.3">
      <c r="A798" s="4" t="s">
        <v>132</v>
      </c>
      <c r="B798" s="4" t="s">
        <v>133</v>
      </c>
      <c r="C798" s="4" t="s">
        <v>134</v>
      </c>
      <c r="D798" s="5">
        <v>4</v>
      </c>
      <c r="E798" s="7">
        <f>TRUNC([1]단가대비표!O200,0)</f>
        <v>23445</v>
      </c>
      <c r="F798" s="7">
        <f t="shared" ref="F798:F807" si="79">TRUNC(E798*D798, 0)</f>
        <v>93780</v>
      </c>
      <c r="G798" s="7">
        <f>TRUNC([1]단가대비표!P200,0)</f>
        <v>74241</v>
      </c>
      <c r="H798" s="7">
        <f t="shared" ref="H798:H807" si="80">TRUNC(G798*D798, 0)</f>
        <v>296964</v>
      </c>
      <c r="I798" s="7">
        <f>TRUNC([1]단가대비표!V200,0)</f>
        <v>0</v>
      </c>
      <c r="J798" s="7">
        <f t="shared" ref="J798:J807" si="81">TRUNC(I798*D798, 0)</f>
        <v>0</v>
      </c>
      <c r="K798" s="7">
        <f t="shared" ref="K798:L807" si="82">TRUNC(E798+G798+I798, 0)</f>
        <v>97686</v>
      </c>
      <c r="L798" s="7">
        <f t="shared" si="82"/>
        <v>390744</v>
      </c>
      <c r="M798" s="4" t="s">
        <v>135</v>
      </c>
      <c r="N798" s="6" t="s">
        <v>136</v>
      </c>
      <c r="O798" s="6" t="s">
        <v>55</v>
      </c>
      <c r="P798" s="6" t="s">
        <v>55</v>
      </c>
      <c r="Q798" s="6" t="s">
        <v>2292</v>
      </c>
      <c r="R798" s="6" t="s">
        <v>56</v>
      </c>
      <c r="S798" s="6" t="s">
        <v>56</v>
      </c>
      <c r="T798" s="6" t="s">
        <v>57</v>
      </c>
      <c r="AR798" s="6" t="s">
        <v>55</v>
      </c>
      <c r="AS798" s="6" t="s">
        <v>55</v>
      </c>
      <c r="AU798" s="6" t="s">
        <v>2293</v>
      </c>
      <c r="AV798">
        <v>3073</v>
      </c>
    </row>
    <row r="799" spans="1:48" ht="30" customHeight="1" x14ac:dyDescent="0.3">
      <c r="A799" s="4" t="s">
        <v>138</v>
      </c>
      <c r="B799" s="4" t="s">
        <v>139</v>
      </c>
      <c r="C799" s="4" t="s">
        <v>140</v>
      </c>
      <c r="D799" s="5">
        <v>872</v>
      </c>
      <c r="E799" s="7">
        <f>TRUNC([1]단가대비표!O197,0)</f>
        <v>372</v>
      </c>
      <c r="F799" s="7">
        <f t="shared" si="79"/>
        <v>324384</v>
      </c>
      <c r="G799" s="7">
        <f>TRUNC([1]단가대비표!P197,0)</f>
        <v>12003</v>
      </c>
      <c r="H799" s="7">
        <f t="shared" si="80"/>
        <v>10466616</v>
      </c>
      <c r="I799" s="7">
        <f>TRUNC([1]단가대비표!V197,0)</f>
        <v>0</v>
      </c>
      <c r="J799" s="7">
        <f t="shared" si="81"/>
        <v>0</v>
      </c>
      <c r="K799" s="7">
        <f t="shared" si="82"/>
        <v>12375</v>
      </c>
      <c r="L799" s="7">
        <f t="shared" si="82"/>
        <v>10791000</v>
      </c>
      <c r="M799" s="4" t="s">
        <v>141</v>
      </c>
      <c r="N799" s="6" t="s">
        <v>142</v>
      </c>
      <c r="O799" s="6" t="s">
        <v>55</v>
      </c>
      <c r="P799" s="6" t="s">
        <v>55</v>
      </c>
      <c r="Q799" s="6" t="s">
        <v>2292</v>
      </c>
      <c r="R799" s="6" t="s">
        <v>56</v>
      </c>
      <c r="S799" s="6" t="s">
        <v>56</v>
      </c>
      <c r="T799" s="6" t="s">
        <v>57</v>
      </c>
      <c r="AR799" s="6" t="s">
        <v>55</v>
      </c>
      <c r="AS799" s="6" t="s">
        <v>55</v>
      </c>
      <c r="AU799" s="6" t="s">
        <v>2294</v>
      </c>
      <c r="AV799">
        <v>3074</v>
      </c>
    </row>
    <row r="800" spans="1:48" ht="30" customHeight="1" x14ac:dyDescent="0.3">
      <c r="A800" s="4" t="s">
        <v>144</v>
      </c>
      <c r="B800" s="4" t="s">
        <v>145</v>
      </c>
      <c r="C800" s="4" t="s">
        <v>140</v>
      </c>
      <c r="D800" s="5">
        <v>48</v>
      </c>
      <c r="E800" s="7">
        <f>TRUNC([1]단가대비표!O201,0)</f>
        <v>2637</v>
      </c>
      <c r="F800" s="7">
        <f t="shared" si="79"/>
        <v>126576</v>
      </c>
      <c r="G800" s="7">
        <f>TRUNC([1]단가대비표!P201,0)</f>
        <v>8828</v>
      </c>
      <c r="H800" s="7">
        <f t="shared" si="80"/>
        <v>423744</v>
      </c>
      <c r="I800" s="7">
        <f>TRUNC([1]단가대비표!V201,0)</f>
        <v>0</v>
      </c>
      <c r="J800" s="7">
        <f t="shared" si="81"/>
        <v>0</v>
      </c>
      <c r="K800" s="7">
        <f t="shared" si="82"/>
        <v>11465</v>
      </c>
      <c r="L800" s="7">
        <f t="shared" si="82"/>
        <v>550320</v>
      </c>
      <c r="M800" s="4" t="s">
        <v>146</v>
      </c>
      <c r="N800" s="6" t="s">
        <v>147</v>
      </c>
      <c r="O800" s="6" t="s">
        <v>55</v>
      </c>
      <c r="P800" s="6" t="s">
        <v>55</v>
      </c>
      <c r="Q800" s="6" t="s">
        <v>2292</v>
      </c>
      <c r="R800" s="6" t="s">
        <v>56</v>
      </c>
      <c r="S800" s="6" t="s">
        <v>56</v>
      </c>
      <c r="T800" s="6" t="s">
        <v>57</v>
      </c>
      <c r="AR800" s="6" t="s">
        <v>55</v>
      </c>
      <c r="AS800" s="6" t="s">
        <v>55</v>
      </c>
      <c r="AU800" s="6" t="s">
        <v>2295</v>
      </c>
      <c r="AV800">
        <v>3075</v>
      </c>
    </row>
    <row r="801" spans="1:48" ht="30" customHeight="1" x14ac:dyDescent="0.3">
      <c r="A801" s="4" t="s">
        <v>153</v>
      </c>
      <c r="B801" s="4" t="s">
        <v>154</v>
      </c>
      <c r="C801" s="4" t="s">
        <v>155</v>
      </c>
      <c r="D801" s="5">
        <v>29.616</v>
      </c>
      <c r="E801" s="7">
        <f>TRUNC([1]일위대가목록!E13,0)</f>
        <v>6050</v>
      </c>
      <c r="F801" s="7">
        <f t="shared" si="79"/>
        <v>179176</v>
      </c>
      <c r="G801" s="7">
        <f>TRUNC([1]일위대가목록!F13,0)</f>
        <v>175810</v>
      </c>
      <c r="H801" s="7">
        <f t="shared" si="80"/>
        <v>5206788</v>
      </c>
      <c r="I801" s="7">
        <f>TRUNC([1]일위대가목록!G13,0)</f>
        <v>7130</v>
      </c>
      <c r="J801" s="7">
        <f t="shared" si="81"/>
        <v>211162</v>
      </c>
      <c r="K801" s="7">
        <f t="shared" si="82"/>
        <v>188990</v>
      </c>
      <c r="L801" s="7">
        <f t="shared" si="82"/>
        <v>5597126</v>
      </c>
      <c r="M801" s="4" t="s">
        <v>156</v>
      </c>
      <c r="N801" s="6" t="s">
        <v>157</v>
      </c>
      <c r="O801" s="6" t="s">
        <v>55</v>
      </c>
      <c r="P801" s="6" t="s">
        <v>55</v>
      </c>
      <c r="Q801" s="6" t="s">
        <v>2292</v>
      </c>
      <c r="R801" s="6" t="s">
        <v>57</v>
      </c>
      <c r="S801" s="6" t="s">
        <v>56</v>
      </c>
      <c r="T801" s="6" t="s">
        <v>56</v>
      </c>
      <c r="AR801" s="6" t="s">
        <v>55</v>
      </c>
      <c r="AS801" s="6" t="s">
        <v>55</v>
      </c>
      <c r="AU801" s="6" t="s">
        <v>2296</v>
      </c>
      <c r="AV801">
        <v>2617</v>
      </c>
    </row>
    <row r="802" spans="1:48" ht="30" customHeight="1" x14ac:dyDescent="0.3">
      <c r="A802" s="4" t="s">
        <v>159</v>
      </c>
      <c r="B802" s="4" t="s">
        <v>160</v>
      </c>
      <c r="C802" s="4" t="s">
        <v>140</v>
      </c>
      <c r="D802" s="5">
        <v>685</v>
      </c>
      <c r="E802" s="7">
        <f>TRUNC([1]단가대비표!O206,0)</f>
        <v>129</v>
      </c>
      <c r="F802" s="7">
        <f t="shared" si="79"/>
        <v>88365</v>
      </c>
      <c r="G802" s="7">
        <f>TRUNC([1]단가대비표!P206,0)</f>
        <v>12741</v>
      </c>
      <c r="H802" s="7">
        <f t="shared" si="80"/>
        <v>8727585</v>
      </c>
      <c r="I802" s="7">
        <f>TRUNC([1]단가대비표!V206,0)</f>
        <v>0</v>
      </c>
      <c r="J802" s="7">
        <f t="shared" si="81"/>
        <v>0</v>
      </c>
      <c r="K802" s="7">
        <f t="shared" si="82"/>
        <v>12870</v>
      </c>
      <c r="L802" s="7">
        <f t="shared" si="82"/>
        <v>8815950</v>
      </c>
      <c r="M802" s="4" t="s">
        <v>161</v>
      </c>
      <c r="N802" s="6" t="s">
        <v>162</v>
      </c>
      <c r="O802" s="6" t="s">
        <v>55</v>
      </c>
      <c r="P802" s="6" t="s">
        <v>55</v>
      </c>
      <c r="Q802" s="6" t="s">
        <v>2292</v>
      </c>
      <c r="R802" s="6" t="s">
        <v>56</v>
      </c>
      <c r="S802" s="6" t="s">
        <v>56</v>
      </c>
      <c r="T802" s="6" t="s">
        <v>57</v>
      </c>
      <c r="AR802" s="6" t="s">
        <v>55</v>
      </c>
      <c r="AS802" s="6" t="s">
        <v>55</v>
      </c>
      <c r="AU802" s="6" t="s">
        <v>2297</v>
      </c>
      <c r="AV802">
        <v>3076</v>
      </c>
    </row>
    <row r="803" spans="1:48" ht="30" customHeight="1" x14ac:dyDescent="0.3">
      <c r="A803" s="4" t="s">
        <v>164</v>
      </c>
      <c r="B803" s="4" t="s">
        <v>165</v>
      </c>
      <c r="C803" s="4" t="s">
        <v>61</v>
      </c>
      <c r="D803" s="5">
        <v>685</v>
      </c>
      <c r="E803" s="7">
        <f>TRUNC([1]일위대가목록!E14,0)</f>
        <v>0</v>
      </c>
      <c r="F803" s="7">
        <f t="shared" si="79"/>
        <v>0</v>
      </c>
      <c r="G803" s="7">
        <f>TRUNC([1]일위대가목록!F14,0)</f>
        <v>897</v>
      </c>
      <c r="H803" s="7">
        <f t="shared" si="80"/>
        <v>614445</v>
      </c>
      <c r="I803" s="7">
        <f>TRUNC([1]일위대가목록!G14,0)</f>
        <v>0</v>
      </c>
      <c r="J803" s="7">
        <f t="shared" si="81"/>
        <v>0</v>
      </c>
      <c r="K803" s="7">
        <f t="shared" si="82"/>
        <v>897</v>
      </c>
      <c r="L803" s="7">
        <f t="shared" si="82"/>
        <v>614445</v>
      </c>
      <c r="M803" s="4" t="s">
        <v>166</v>
      </c>
      <c r="N803" s="6" t="s">
        <v>167</v>
      </c>
      <c r="O803" s="6" t="s">
        <v>55</v>
      </c>
      <c r="P803" s="6" t="s">
        <v>55</v>
      </c>
      <c r="Q803" s="6" t="s">
        <v>2292</v>
      </c>
      <c r="R803" s="6" t="s">
        <v>57</v>
      </c>
      <c r="S803" s="6" t="s">
        <v>56</v>
      </c>
      <c r="T803" s="6" t="s">
        <v>56</v>
      </c>
      <c r="AR803" s="6" t="s">
        <v>55</v>
      </c>
      <c r="AS803" s="6" t="s">
        <v>55</v>
      </c>
      <c r="AU803" s="6" t="s">
        <v>2298</v>
      </c>
      <c r="AV803">
        <v>2619</v>
      </c>
    </row>
    <row r="804" spans="1:48" ht="30" customHeight="1" x14ac:dyDescent="0.3">
      <c r="A804" s="4" t="s">
        <v>169</v>
      </c>
      <c r="B804" s="4" t="s">
        <v>165</v>
      </c>
      <c r="C804" s="4" t="s">
        <v>61</v>
      </c>
      <c r="D804" s="5">
        <v>685</v>
      </c>
      <c r="E804" s="7">
        <f>TRUNC([1]일위대가목록!E15,0)</f>
        <v>0</v>
      </c>
      <c r="F804" s="7">
        <f t="shared" si="79"/>
        <v>0</v>
      </c>
      <c r="G804" s="7">
        <f>TRUNC([1]일위대가목록!F15,0)</f>
        <v>2093</v>
      </c>
      <c r="H804" s="7">
        <f t="shared" si="80"/>
        <v>1433705</v>
      </c>
      <c r="I804" s="7">
        <f>TRUNC([1]일위대가목록!G15,0)</f>
        <v>0</v>
      </c>
      <c r="J804" s="7">
        <f t="shared" si="81"/>
        <v>0</v>
      </c>
      <c r="K804" s="7">
        <f t="shared" si="82"/>
        <v>2093</v>
      </c>
      <c r="L804" s="7">
        <f t="shared" si="82"/>
        <v>1433705</v>
      </c>
      <c r="M804" s="4" t="s">
        <v>170</v>
      </c>
      <c r="N804" s="6" t="s">
        <v>171</v>
      </c>
      <c r="O804" s="6" t="s">
        <v>55</v>
      </c>
      <c r="P804" s="6" t="s">
        <v>55</v>
      </c>
      <c r="Q804" s="6" t="s">
        <v>2292</v>
      </c>
      <c r="R804" s="6" t="s">
        <v>57</v>
      </c>
      <c r="S804" s="6" t="s">
        <v>56</v>
      </c>
      <c r="T804" s="6" t="s">
        <v>56</v>
      </c>
      <c r="AR804" s="6" t="s">
        <v>55</v>
      </c>
      <c r="AS804" s="6" t="s">
        <v>55</v>
      </c>
      <c r="AU804" s="6" t="s">
        <v>2299</v>
      </c>
      <c r="AV804">
        <v>2620</v>
      </c>
    </row>
    <row r="805" spans="1:48" ht="30" customHeight="1" x14ac:dyDescent="0.3">
      <c r="A805" s="4" t="s">
        <v>173</v>
      </c>
      <c r="B805" s="4" t="s">
        <v>174</v>
      </c>
      <c r="C805" s="4" t="s">
        <v>61</v>
      </c>
      <c r="D805" s="5">
        <v>685</v>
      </c>
      <c r="E805" s="7">
        <f>TRUNC([1]일위대가목록!E16,0)</f>
        <v>0</v>
      </c>
      <c r="F805" s="7">
        <f t="shared" si="79"/>
        <v>0</v>
      </c>
      <c r="G805" s="7">
        <f>TRUNC([1]일위대가목록!F16,0)</f>
        <v>512</v>
      </c>
      <c r="H805" s="7">
        <f t="shared" si="80"/>
        <v>350720</v>
      </c>
      <c r="I805" s="7">
        <f>TRUNC([1]일위대가목록!G16,0)</f>
        <v>0</v>
      </c>
      <c r="J805" s="7">
        <f t="shared" si="81"/>
        <v>0</v>
      </c>
      <c r="K805" s="7">
        <f t="shared" si="82"/>
        <v>512</v>
      </c>
      <c r="L805" s="7">
        <f t="shared" si="82"/>
        <v>350720</v>
      </c>
      <c r="M805" s="4" t="s">
        <v>175</v>
      </c>
      <c r="N805" s="6" t="s">
        <v>176</v>
      </c>
      <c r="O805" s="6" t="s">
        <v>55</v>
      </c>
      <c r="P805" s="6" t="s">
        <v>55</v>
      </c>
      <c r="Q805" s="6" t="s">
        <v>2292</v>
      </c>
      <c r="R805" s="6" t="s">
        <v>57</v>
      </c>
      <c r="S805" s="6" t="s">
        <v>56</v>
      </c>
      <c r="T805" s="6" t="s">
        <v>56</v>
      </c>
      <c r="AR805" s="6" t="s">
        <v>55</v>
      </c>
      <c r="AS805" s="6" t="s">
        <v>55</v>
      </c>
      <c r="AU805" s="6" t="s">
        <v>2300</v>
      </c>
      <c r="AV805">
        <v>2621</v>
      </c>
    </row>
    <row r="806" spans="1:48" ht="30" customHeight="1" x14ac:dyDescent="0.3">
      <c r="A806" s="4" t="s">
        <v>178</v>
      </c>
      <c r="B806" s="4" t="s">
        <v>179</v>
      </c>
      <c r="C806" s="4" t="s">
        <v>61</v>
      </c>
      <c r="D806" s="5">
        <v>18</v>
      </c>
      <c r="E806" s="7">
        <f>TRUNC([1]일위대가목록!E17,0)</f>
        <v>329</v>
      </c>
      <c r="F806" s="7">
        <f t="shared" si="79"/>
        <v>5922</v>
      </c>
      <c r="G806" s="7">
        <f>TRUNC([1]일위대가목록!F17,0)</f>
        <v>936</v>
      </c>
      <c r="H806" s="7">
        <f t="shared" si="80"/>
        <v>16848</v>
      </c>
      <c r="I806" s="7">
        <f>TRUNC([1]일위대가목록!G17,0)</f>
        <v>0</v>
      </c>
      <c r="J806" s="7">
        <f t="shared" si="81"/>
        <v>0</v>
      </c>
      <c r="K806" s="7">
        <f t="shared" si="82"/>
        <v>1265</v>
      </c>
      <c r="L806" s="7">
        <f t="shared" si="82"/>
        <v>22770</v>
      </c>
      <c r="M806" s="4" t="s">
        <v>180</v>
      </c>
      <c r="N806" s="6" t="s">
        <v>181</v>
      </c>
      <c r="O806" s="6" t="s">
        <v>55</v>
      </c>
      <c r="P806" s="6" t="s">
        <v>55</v>
      </c>
      <c r="Q806" s="6" t="s">
        <v>2292</v>
      </c>
      <c r="R806" s="6" t="s">
        <v>57</v>
      </c>
      <c r="S806" s="6" t="s">
        <v>56</v>
      </c>
      <c r="T806" s="6" t="s">
        <v>56</v>
      </c>
      <c r="AR806" s="6" t="s">
        <v>55</v>
      </c>
      <c r="AS806" s="6" t="s">
        <v>55</v>
      </c>
      <c r="AU806" s="6" t="s">
        <v>2301</v>
      </c>
      <c r="AV806">
        <v>2622</v>
      </c>
    </row>
    <row r="807" spans="1:48" ht="30" customHeight="1" x14ac:dyDescent="0.3">
      <c r="A807" s="4" t="s">
        <v>183</v>
      </c>
      <c r="B807" s="4" t="s">
        <v>184</v>
      </c>
      <c r="C807" s="4" t="s">
        <v>61</v>
      </c>
      <c r="D807" s="5">
        <v>114</v>
      </c>
      <c r="E807" s="7">
        <f>TRUNC([1]일위대가목록!E18,0)</f>
        <v>998</v>
      </c>
      <c r="F807" s="7">
        <f t="shared" si="79"/>
        <v>113772</v>
      </c>
      <c r="G807" s="7">
        <f>TRUNC([1]일위대가목록!F18,0)</f>
        <v>175</v>
      </c>
      <c r="H807" s="7">
        <f t="shared" si="80"/>
        <v>19950</v>
      </c>
      <c r="I807" s="7">
        <f>TRUNC([1]일위대가목록!G18,0)</f>
        <v>0</v>
      </c>
      <c r="J807" s="7">
        <f t="shared" si="81"/>
        <v>0</v>
      </c>
      <c r="K807" s="7">
        <f t="shared" si="82"/>
        <v>1173</v>
      </c>
      <c r="L807" s="7">
        <f t="shared" si="82"/>
        <v>133722</v>
      </c>
      <c r="M807" s="4" t="s">
        <v>185</v>
      </c>
      <c r="N807" s="6" t="s">
        <v>186</v>
      </c>
      <c r="O807" s="6" t="s">
        <v>55</v>
      </c>
      <c r="P807" s="6" t="s">
        <v>55</v>
      </c>
      <c r="Q807" s="6" t="s">
        <v>2292</v>
      </c>
      <c r="R807" s="6" t="s">
        <v>57</v>
      </c>
      <c r="S807" s="6" t="s">
        <v>56</v>
      </c>
      <c r="T807" s="6" t="s">
        <v>56</v>
      </c>
      <c r="AR807" s="6" t="s">
        <v>55</v>
      </c>
      <c r="AS807" s="6" t="s">
        <v>55</v>
      </c>
      <c r="AU807" s="6" t="s">
        <v>2302</v>
      </c>
      <c r="AV807">
        <v>2623</v>
      </c>
    </row>
    <row r="808" spans="1:48" ht="30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 spans="1:48" ht="30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 spans="1:48" ht="30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 spans="1:48" ht="30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 spans="1:48" ht="30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 spans="1:48" ht="30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 spans="1:48" ht="30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 spans="1:48" ht="30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 spans="1:48" ht="30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 spans="1:48" ht="30" customHeight="1" x14ac:dyDescent="0.3">
      <c r="A817" s="4" t="s">
        <v>128</v>
      </c>
      <c r="B817" s="5"/>
      <c r="C817" s="5"/>
      <c r="D817" s="5"/>
      <c r="E817" s="5"/>
      <c r="F817" s="7">
        <f>SUM(F798:F816)</f>
        <v>931975</v>
      </c>
      <c r="G817" s="5"/>
      <c r="H817" s="7">
        <f>SUM(H798:H816)</f>
        <v>27557365</v>
      </c>
      <c r="I817" s="5"/>
      <c r="J817" s="7">
        <f>SUM(J798:J816)</f>
        <v>211162</v>
      </c>
      <c r="K817" s="5"/>
      <c r="L817" s="7">
        <f>SUM(L798:L816)</f>
        <v>28700502</v>
      </c>
      <c r="M817" s="5"/>
      <c r="N817" t="s">
        <v>129</v>
      </c>
    </row>
    <row r="818" spans="1:48" ht="30" customHeight="1" x14ac:dyDescent="0.3">
      <c r="A818" s="4" t="s">
        <v>2303</v>
      </c>
      <c r="B818" s="4" t="s">
        <v>2291</v>
      </c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Q818" s="6" t="s">
        <v>2304</v>
      </c>
    </row>
    <row r="819" spans="1:48" ht="30" customHeight="1" x14ac:dyDescent="0.3">
      <c r="A819" s="4" t="s">
        <v>190</v>
      </c>
      <c r="B819" s="4" t="s">
        <v>191</v>
      </c>
      <c r="C819" s="4" t="s">
        <v>106</v>
      </c>
      <c r="D819" s="5">
        <v>11.542</v>
      </c>
      <c r="E819" s="7">
        <f>TRUNC([1]단가대비표!O628,0)</f>
        <v>0</v>
      </c>
      <c r="F819" s="7">
        <f t="shared" ref="F819:F837" si="83">TRUNC(E819*D819, 0)</f>
        <v>0</v>
      </c>
      <c r="G819" s="7">
        <f>TRUNC([1]단가대비표!P628,0)</f>
        <v>0</v>
      </c>
      <c r="H819" s="7">
        <f t="shared" ref="H819:H837" si="84">TRUNC(G819*D819, 0)</f>
        <v>0</v>
      </c>
      <c r="I819" s="7">
        <f>TRUNC([1]단가대비표!V628,0)</f>
        <v>0</v>
      </c>
      <c r="J819" s="7">
        <f t="shared" ref="J819:J837" si="85">TRUNC(I819*D819, 0)</f>
        <v>0</v>
      </c>
      <c r="K819" s="7">
        <f t="shared" ref="K819:L837" si="86">TRUNC(E819+G819+I819, 0)</f>
        <v>0</v>
      </c>
      <c r="L819" s="7">
        <f t="shared" si="86"/>
        <v>0</v>
      </c>
      <c r="M819" s="4" t="s">
        <v>55</v>
      </c>
      <c r="N819" s="6" t="s">
        <v>2305</v>
      </c>
      <c r="O819" s="6" t="s">
        <v>55</v>
      </c>
      <c r="P819" s="6" t="s">
        <v>55</v>
      </c>
      <c r="Q819" s="6" t="s">
        <v>2304</v>
      </c>
      <c r="R819" s="6" t="s">
        <v>56</v>
      </c>
      <c r="S819" s="6" t="s">
        <v>56</v>
      </c>
      <c r="T819" s="6" t="s">
        <v>57</v>
      </c>
      <c r="AR819" s="6" t="s">
        <v>55</v>
      </c>
      <c r="AS819" s="6" t="s">
        <v>55</v>
      </c>
      <c r="AU819" s="6" t="s">
        <v>2306</v>
      </c>
      <c r="AV819">
        <v>2100</v>
      </c>
    </row>
    <row r="820" spans="1:48" ht="30" customHeight="1" x14ac:dyDescent="0.3">
      <c r="A820" s="4" t="s">
        <v>190</v>
      </c>
      <c r="B820" s="4" t="s">
        <v>194</v>
      </c>
      <c r="C820" s="4" t="s">
        <v>106</v>
      </c>
      <c r="D820" s="5">
        <v>17.103000000000002</v>
      </c>
      <c r="E820" s="7">
        <f>TRUNC([1]단가대비표!O629,0)</f>
        <v>0</v>
      </c>
      <c r="F820" s="7">
        <f t="shared" si="83"/>
        <v>0</v>
      </c>
      <c r="G820" s="7">
        <f>TRUNC([1]단가대비표!P629,0)</f>
        <v>0</v>
      </c>
      <c r="H820" s="7">
        <f t="shared" si="84"/>
        <v>0</v>
      </c>
      <c r="I820" s="7">
        <f>TRUNC([1]단가대비표!V629,0)</f>
        <v>0</v>
      </c>
      <c r="J820" s="7">
        <f t="shared" si="85"/>
        <v>0</v>
      </c>
      <c r="K820" s="7">
        <f t="shared" si="86"/>
        <v>0</v>
      </c>
      <c r="L820" s="7">
        <f t="shared" si="86"/>
        <v>0</v>
      </c>
      <c r="M820" s="4" t="s">
        <v>55</v>
      </c>
      <c r="N820" s="6" t="s">
        <v>2307</v>
      </c>
      <c r="O820" s="6" t="s">
        <v>55</v>
      </c>
      <c r="P820" s="6" t="s">
        <v>55</v>
      </c>
      <c r="Q820" s="6" t="s">
        <v>2304</v>
      </c>
      <c r="R820" s="6" t="s">
        <v>56</v>
      </c>
      <c r="S820" s="6" t="s">
        <v>56</v>
      </c>
      <c r="T820" s="6" t="s">
        <v>57</v>
      </c>
      <c r="AR820" s="6" t="s">
        <v>55</v>
      </c>
      <c r="AS820" s="6" t="s">
        <v>55</v>
      </c>
      <c r="AU820" s="6" t="s">
        <v>2308</v>
      </c>
      <c r="AV820">
        <v>2101</v>
      </c>
    </row>
    <row r="821" spans="1:48" ht="30" customHeight="1" x14ac:dyDescent="0.3">
      <c r="A821" s="4" t="s">
        <v>190</v>
      </c>
      <c r="B821" s="4" t="s">
        <v>197</v>
      </c>
      <c r="C821" s="4" t="s">
        <v>106</v>
      </c>
      <c r="D821" s="5">
        <v>24.227</v>
      </c>
      <c r="E821" s="7">
        <f>TRUNC([1]단가대비표!O630,0)</f>
        <v>0</v>
      </c>
      <c r="F821" s="7">
        <f t="shared" si="83"/>
        <v>0</v>
      </c>
      <c r="G821" s="7">
        <f>TRUNC([1]단가대비표!P630,0)</f>
        <v>0</v>
      </c>
      <c r="H821" s="7">
        <f t="shared" si="84"/>
        <v>0</v>
      </c>
      <c r="I821" s="7">
        <f>TRUNC([1]단가대비표!V630,0)</f>
        <v>0</v>
      </c>
      <c r="J821" s="7">
        <f t="shared" si="85"/>
        <v>0</v>
      </c>
      <c r="K821" s="7">
        <f t="shared" si="86"/>
        <v>0</v>
      </c>
      <c r="L821" s="7">
        <f t="shared" si="86"/>
        <v>0</v>
      </c>
      <c r="M821" s="4" t="s">
        <v>55</v>
      </c>
      <c r="N821" s="6" t="s">
        <v>2309</v>
      </c>
      <c r="O821" s="6" t="s">
        <v>55</v>
      </c>
      <c r="P821" s="6" t="s">
        <v>55</v>
      </c>
      <c r="Q821" s="6" t="s">
        <v>2304</v>
      </c>
      <c r="R821" s="6" t="s">
        <v>56</v>
      </c>
      <c r="S821" s="6" t="s">
        <v>56</v>
      </c>
      <c r="T821" s="6" t="s">
        <v>57</v>
      </c>
      <c r="AR821" s="6" t="s">
        <v>55</v>
      </c>
      <c r="AS821" s="6" t="s">
        <v>55</v>
      </c>
      <c r="AU821" s="6" t="s">
        <v>2310</v>
      </c>
      <c r="AV821">
        <v>2102</v>
      </c>
    </row>
    <row r="822" spans="1:48" ht="30" customHeight="1" x14ac:dyDescent="0.3">
      <c r="A822" s="4" t="s">
        <v>190</v>
      </c>
      <c r="B822" s="4" t="s">
        <v>200</v>
      </c>
      <c r="C822" s="4" t="s">
        <v>106</v>
      </c>
      <c r="D822" s="5">
        <v>27.887</v>
      </c>
      <c r="E822" s="7">
        <f>TRUNC([1]단가대비표!O631,0)</f>
        <v>0</v>
      </c>
      <c r="F822" s="7">
        <f t="shared" si="83"/>
        <v>0</v>
      </c>
      <c r="G822" s="7">
        <f>TRUNC([1]단가대비표!P631,0)</f>
        <v>0</v>
      </c>
      <c r="H822" s="7">
        <f t="shared" si="84"/>
        <v>0</v>
      </c>
      <c r="I822" s="7">
        <f>TRUNC([1]단가대비표!V631,0)</f>
        <v>0</v>
      </c>
      <c r="J822" s="7">
        <f t="shared" si="85"/>
        <v>0</v>
      </c>
      <c r="K822" s="7">
        <f t="shared" si="86"/>
        <v>0</v>
      </c>
      <c r="L822" s="7">
        <f t="shared" si="86"/>
        <v>0</v>
      </c>
      <c r="M822" s="4" t="s">
        <v>55</v>
      </c>
      <c r="N822" s="6" t="s">
        <v>2311</v>
      </c>
      <c r="O822" s="6" t="s">
        <v>55</v>
      </c>
      <c r="P822" s="6" t="s">
        <v>55</v>
      </c>
      <c r="Q822" s="6" t="s">
        <v>2304</v>
      </c>
      <c r="R822" s="6" t="s">
        <v>56</v>
      </c>
      <c r="S822" s="6" t="s">
        <v>56</v>
      </c>
      <c r="T822" s="6" t="s">
        <v>57</v>
      </c>
      <c r="AR822" s="6" t="s">
        <v>55</v>
      </c>
      <c r="AS822" s="6" t="s">
        <v>55</v>
      </c>
      <c r="AU822" s="6" t="s">
        <v>2312</v>
      </c>
      <c r="AV822">
        <v>2103</v>
      </c>
    </row>
    <row r="823" spans="1:48" ht="30" customHeight="1" x14ac:dyDescent="0.3">
      <c r="A823" s="4" t="s">
        <v>190</v>
      </c>
      <c r="B823" s="4" t="s">
        <v>203</v>
      </c>
      <c r="C823" s="4" t="s">
        <v>106</v>
      </c>
      <c r="D823" s="5">
        <v>32.241</v>
      </c>
      <c r="E823" s="7">
        <f>TRUNC([1]단가대비표!O632,0)</f>
        <v>0</v>
      </c>
      <c r="F823" s="7">
        <f t="shared" si="83"/>
        <v>0</v>
      </c>
      <c r="G823" s="7">
        <f>TRUNC([1]단가대비표!P632,0)</f>
        <v>0</v>
      </c>
      <c r="H823" s="7">
        <f t="shared" si="84"/>
        <v>0</v>
      </c>
      <c r="I823" s="7">
        <f>TRUNC([1]단가대비표!V632,0)</f>
        <v>0</v>
      </c>
      <c r="J823" s="7">
        <f t="shared" si="85"/>
        <v>0</v>
      </c>
      <c r="K823" s="7">
        <f t="shared" si="86"/>
        <v>0</v>
      </c>
      <c r="L823" s="7">
        <f t="shared" si="86"/>
        <v>0</v>
      </c>
      <c r="M823" s="4" t="s">
        <v>55</v>
      </c>
      <c r="N823" s="6" t="s">
        <v>2313</v>
      </c>
      <c r="O823" s="6" t="s">
        <v>55</v>
      </c>
      <c r="P823" s="6" t="s">
        <v>55</v>
      </c>
      <c r="Q823" s="6" t="s">
        <v>2304</v>
      </c>
      <c r="R823" s="6" t="s">
        <v>56</v>
      </c>
      <c r="S823" s="6" t="s">
        <v>56</v>
      </c>
      <c r="T823" s="6" t="s">
        <v>57</v>
      </c>
      <c r="AR823" s="6" t="s">
        <v>55</v>
      </c>
      <c r="AS823" s="6" t="s">
        <v>55</v>
      </c>
      <c r="AU823" s="6" t="s">
        <v>2314</v>
      </c>
      <c r="AV823">
        <v>2104</v>
      </c>
    </row>
    <row r="824" spans="1:48" ht="30" customHeight="1" x14ac:dyDescent="0.3">
      <c r="A824" s="4" t="s">
        <v>209</v>
      </c>
      <c r="B824" s="4" t="s">
        <v>210</v>
      </c>
      <c r="C824" s="4" t="s">
        <v>106</v>
      </c>
      <c r="D824" s="5">
        <v>109.71</v>
      </c>
      <c r="E824" s="7">
        <f>TRUNC([1]일위대가목록!E19,0)</f>
        <v>88376</v>
      </c>
      <c r="F824" s="7">
        <f t="shared" si="83"/>
        <v>9695730</v>
      </c>
      <c r="G824" s="7">
        <f>TRUNC([1]일위대가목록!F19,0)</f>
        <v>542881</v>
      </c>
      <c r="H824" s="7">
        <f t="shared" si="84"/>
        <v>59559474</v>
      </c>
      <c r="I824" s="7">
        <f>TRUNC([1]일위대가목록!G19,0)</f>
        <v>0</v>
      </c>
      <c r="J824" s="7">
        <f t="shared" si="85"/>
        <v>0</v>
      </c>
      <c r="K824" s="7">
        <f t="shared" si="86"/>
        <v>631257</v>
      </c>
      <c r="L824" s="7">
        <f t="shared" si="86"/>
        <v>69255204</v>
      </c>
      <c r="M824" s="4" t="s">
        <v>211</v>
      </c>
      <c r="N824" s="6" t="s">
        <v>212</v>
      </c>
      <c r="O824" s="6" t="s">
        <v>55</v>
      </c>
      <c r="P824" s="6" t="s">
        <v>55</v>
      </c>
      <c r="Q824" s="6" t="s">
        <v>2304</v>
      </c>
      <c r="R824" s="6" t="s">
        <v>57</v>
      </c>
      <c r="S824" s="6" t="s">
        <v>56</v>
      </c>
      <c r="T824" s="6" t="s">
        <v>56</v>
      </c>
      <c r="AR824" s="6" t="s">
        <v>55</v>
      </c>
      <c r="AS824" s="6" t="s">
        <v>55</v>
      </c>
      <c r="AU824" s="6" t="s">
        <v>2315</v>
      </c>
      <c r="AV824">
        <v>2919</v>
      </c>
    </row>
    <row r="825" spans="1:48" ht="30" customHeight="1" x14ac:dyDescent="0.3">
      <c r="A825" s="4" t="s">
        <v>214</v>
      </c>
      <c r="B825" s="4" t="s">
        <v>215</v>
      </c>
      <c r="C825" s="4" t="s">
        <v>106</v>
      </c>
      <c r="D825" s="5">
        <v>109.71</v>
      </c>
      <c r="E825" s="7">
        <f>TRUNC([1]단가대비표!O799,0)</f>
        <v>9000</v>
      </c>
      <c r="F825" s="7">
        <f t="shared" si="83"/>
        <v>987390</v>
      </c>
      <c r="G825" s="7">
        <f>TRUNC([1]단가대비표!P799,0)</f>
        <v>0</v>
      </c>
      <c r="H825" s="7">
        <f t="shared" si="84"/>
        <v>0</v>
      </c>
      <c r="I825" s="7">
        <f>TRUNC([1]단가대비표!V799,0)</f>
        <v>0</v>
      </c>
      <c r="J825" s="7">
        <f t="shared" si="85"/>
        <v>0</v>
      </c>
      <c r="K825" s="7">
        <f t="shared" si="86"/>
        <v>9000</v>
      </c>
      <c r="L825" s="7">
        <f t="shared" si="86"/>
        <v>987390</v>
      </c>
      <c r="M825" s="4" t="s">
        <v>55</v>
      </c>
      <c r="N825" s="6" t="s">
        <v>216</v>
      </c>
      <c r="O825" s="6" t="s">
        <v>55</v>
      </c>
      <c r="P825" s="6" t="s">
        <v>55</v>
      </c>
      <c r="Q825" s="6" t="s">
        <v>2304</v>
      </c>
      <c r="R825" s="6" t="s">
        <v>56</v>
      </c>
      <c r="S825" s="6" t="s">
        <v>56</v>
      </c>
      <c r="T825" s="6" t="s">
        <v>57</v>
      </c>
      <c r="AR825" s="6" t="s">
        <v>55</v>
      </c>
      <c r="AS825" s="6" t="s">
        <v>55</v>
      </c>
      <c r="AU825" s="6" t="s">
        <v>2316</v>
      </c>
      <c r="AV825">
        <v>3077</v>
      </c>
    </row>
    <row r="826" spans="1:48" ht="30" customHeight="1" x14ac:dyDescent="0.3">
      <c r="A826" s="4" t="s">
        <v>218</v>
      </c>
      <c r="B826" s="4" t="s">
        <v>215</v>
      </c>
      <c r="C826" s="4" t="s">
        <v>106</v>
      </c>
      <c r="D826" s="5">
        <v>109.71</v>
      </c>
      <c r="E826" s="7">
        <f>TRUNC([1]단가대비표!O800,0)</f>
        <v>0</v>
      </c>
      <c r="F826" s="7">
        <f t="shared" si="83"/>
        <v>0</v>
      </c>
      <c r="G826" s="7">
        <f>TRUNC([1]단가대비표!P800,0)</f>
        <v>9730</v>
      </c>
      <c r="H826" s="7">
        <f t="shared" si="84"/>
        <v>1067478</v>
      </c>
      <c r="I826" s="7">
        <f>TRUNC([1]단가대비표!V800,0)</f>
        <v>2258</v>
      </c>
      <c r="J826" s="7">
        <f t="shared" si="85"/>
        <v>247725</v>
      </c>
      <c r="K826" s="7">
        <f t="shared" si="86"/>
        <v>11988</v>
      </c>
      <c r="L826" s="7">
        <f t="shared" si="86"/>
        <v>1315203</v>
      </c>
      <c r="M826" s="4" t="s">
        <v>55</v>
      </c>
      <c r="N826" s="6" t="s">
        <v>219</v>
      </c>
      <c r="O826" s="6" t="s">
        <v>55</v>
      </c>
      <c r="P826" s="6" t="s">
        <v>55</v>
      </c>
      <c r="Q826" s="6" t="s">
        <v>2304</v>
      </c>
      <c r="R826" s="6" t="s">
        <v>56</v>
      </c>
      <c r="S826" s="6" t="s">
        <v>56</v>
      </c>
      <c r="T826" s="6" t="s">
        <v>57</v>
      </c>
      <c r="AR826" s="6" t="s">
        <v>55</v>
      </c>
      <c r="AS826" s="6" t="s">
        <v>55</v>
      </c>
      <c r="AU826" s="6" t="s">
        <v>2317</v>
      </c>
      <c r="AV826">
        <v>3078</v>
      </c>
    </row>
    <row r="827" spans="1:48" ht="30" customHeight="1" x14ac:dyDescent="0.3">
      <c r="A827" s="4" t="s">
        <v>221</v>
      </c>
      <c r="B827" s="4" t="s">
        <v>222</v>
      </c>
      <c r="C827" s="4" t="s">
        <v>223</v>
      </c>
      <c r="D827" s="5">
        <v>50</v>
      </c>
      <c r="E827" s="7">
        <f>TRUNC([1]단가대비표!O633,0)</f>
        <v>0</v>
      </c>
      <c r="F827" s="7">
        <f t="shared" si="83"/>
        <v>0</v>
      </c>
      <c r="G827" s="7">
        <f>TRUNC([1]단가대비표!P633,0)</f>
        <v>0</v>
      </c>
      <c r="H827" s="7">
        <f t="shared" si="84"/>
        <v>0</v>
      </c>
      <c r="I827" s="7">
        <f>TRUNC([1]단가대비표!V633,0)</f>
        <v>0</v>
      </c>
      <c r="J827" s="7">
        <f t="shared" si="85"/>
        <v>0</v>
      </c>
      <c r="K827" s="7">
        <f t="shared" si="86"/>
        <v>0</v>
      </c>
      <c r="L827" s="7">
        <f t="shared" si="86"/>
        <v>0</v>
      </c>
      <c r="M827" s="4" t="s">
        <v>55</v>
      </c>
      <c r="N827" s="6" t="s">
        <v>2318</v>
      </c>
      <c r="O827" s="6" t="s">
        <v>55</v>
      </c>
      <c r="P827" s="6" t="s">
        <v>55</v>
      </c>
      <c r="Q827" s="6" t="s">
        <v>2304</v>
      </c>
      <c r="R827" s="6" t="s">
        <v>56</v>
      </c>
      <c r="S827" s="6" t="s">
        <v>56</v>
      </c>
      <c r="T827" s="6" t="s">
        <v>57</v>
      </c>
      <c r="AR827" s="6" t="s">
        <v>55</v>
      </c>
      <c r="AS827" s="6" t="s">
        <v>55</v>
      </c>
      <c r="AU827" s="6" t="s">
        <v>2319</v>
      </c>
      <c r="AV827">
        <v>2106</v>
      </c>
    </row>
    <row r="828" spans="1:48" ht="30" customHeight="1" x14ac:dyDescent="0.3">
      <c r="A828" s="4" t="s">
        <v>221</v>
      </c>
      <c r="B828" s="4" t="s">
        <v>226</v>
      </c>
      <c r="C828" s="4" t="s">
        <v>223</v>
      </c>
      <c r="D828" s="5">
        <v>96</v>
      </c>
      <c r="E828" s="7">
        <f>TRUNC([1]단가대비표!O634,0)</f>
        <v>0</v>
      </c>
      <c r="F828" s="7">
        <f t="shared" si="83"/>
        <v>0</v>
      </c>
      <c r="G828" s="7">
        <f>TRUNC([1]단가대비표!P634,0)</f>
        <v>0</v>
      </c>
      <c r="H828" s="7">
        <f t="shared" si="84"/>
        <v>0</v>
      </c>
      <c r="I828" s="7">
        <f>TRUNC([1]단가대비표!V634,0)</f>
        <v>0</v>
      </c>
      <c r="J828" s="7">
        <f t="shared" si="85"/>
        <v>0</v>
      </c>
      <c r="K828" s="7">
        <f t="shared" si="86"/>
        <v>0</v>
      </c>
      <c r="L828" s="7">
        <f t="shared" si="86"/>
        <v>0</v>
      </c>
      <c r="M828" s="4" t="s">
        <v>55</v>
      </c>
      <c r="N828" s="6" t="s">
        <v>2320</v>
      </c>
      <c r="O828" s="6" t="s">
        <v>55</v>
      </c>
      <c r="P828" s="6" t="s">
        <v>55</v>
      </c>
      <c r="Q828" s="6" t="s">
        <v>2304</v>
      </c>
      <c r="R828" s="6" t="s">
        <v>56</v>
      </c>
      <c r="S828" s="6" t="s">
        <v>56</v>
      </c>
      <c r="T828" s="6" t="s">
        <v>57</v>
      </c>
      <c r="AR828" s="6" t="s">
        <v>55</v>
      </c>
      <c r="AS828" s="6" t="s">
        <v>55</v>
      </c>
      <c r="AU828" s="6" t="s">
        <v>2321</v>
      </c>
      <c r="AV828">
        <v>2107</v>
      </c>
    </row>
    <row r="829" spans="1:48" ht="30" customHeight="1" x14ac:dyDescent="0.3">
      <c r="A829" s="4" t="s">
        <v>221</v>
      </c>
      <c r="B829" s="4" t="s">
        <v>229</v>
      </c>
      <c r="C829" s="4" t="s">
        <v>223</v>
      </c>
      <c r="D829" s="5">
        <v>1305</v>
      </c>
      <c r="E829" s="7">
        <f>TRUNC([1]단가대비표!O635,0)</f>
        <v>0</v>
      </c>
      <c r="F829" s="7">
        <f t="shared" si="83"/>
        <v>0</v>
      </c>
      <c r="G829" s="7">
        <f>TRUNC([1]단가대비표!P635,0)</f>
        <v>0</v>
      </c>
      <c r="H829" s="7">
        <f t="shared" si="84"/>
        <v>0</v>
      </c>
      <c r="I829" s="7">
        <f>TRUNC([1]단가대비표!V635,0)</f>
        <v>0</v>
      </c>
      <c r="J829" s="7">
        <f t="shared" si="85"/>
        <v>0</v>
      </c>
      <c r="K829" s="7">
        <f t="shared" si="86"/>
        <v>0</v>
      </c>
      <c r="L829" s="7">
        <f t="shared" si="86"/>
        <v>0</v>
      </c>
      <c r="M829" s="4" t="s">
        <v>55</v>
      </c>
      <c r="N829" s="6" t="s">
        <v>2322</v>
      </c>
      <c r="O829" s="6" t="s">
        <v>55</v>
      </c>
      <c r="P829" s="6" t="s">
        <v>55</v>
      </c>
      <c r="Q829" s="6" t="s">
        <v>2304</v>
      </c>
      <c r="R829" s="6" t="s">
        <v>56</v>
      </c>
      <c r="S829" s="6" t="s">
        <v>56</v>
      </c>
      <c r="T829" s="6" t="s">
        <v>57</v>
      </c>
      <c r="AR829" s="6" t="s">
        <v>55</v>
      </c>
      <c r="AS829" s="6" t="s">
        <v>55</v>
      </c>
      <c r="AU829" s="6" t="s">
        <v>2323</v>
      </c>
      <c r="AV829">
        <v>2109</v>
      </c>
    </row>
    <row r="830" spans="1:48" ht="30" customHeight="1" x14ac:dyDescent="0.3">
      <c r="A830" s="4" t="s">
        <v>232</v>
      </c>
      <c r="B830" s="4" t="s">
        <v>233</v>
      </c>
      <c r="C830" s="4" t="s">
        <v>223</v>
      </c>
      <c r="D830" s="5">
        <v>142</v>
      </c>
      <c r="E830" s="7">
        <f>TRUNC([1]일위대가목록!E20,0)</f>
        <v>1610</v>
      </c>
      <c r="F830" s="7">
        <f t="shared" si="83"/>
        <v>228620</v>
      </c>
      <c r="G830" s="7">
        <f>TRUNC([1]일위대가목록!F20,0)</f>
        <v>10379</v>
      </c>
      <c r="H830" s="7">
        <f t="shared" si="84"/>
        <v>1473818</v>
      </c>
      <c r="I830" s="7">
        <f>TRUNC([1]일위대가목록!G20,0)</f>
        <v>3347</v>
      </c>
      <c r="J830" s="7">
        <f t="shared" si="85"/>
        <v>475274</v>
      </c>
      <c r="K830" s="7">
        <f t="shared" si="86"/>
        <v>15336</v>
      </c>
      <c r="L830" s="7">
        <f t="shared" si="86"/>
        <v>2177712</v>
      </c>
      <c r="M830" s="4" t="s">
        <v>234</v>
      </c>
      <c r="N830" s="6" t="s">
        <v>235</v>
      </c>
      <c r="O830" s="6" t="s">
        <v>55</v>
      </c>
      <c r="P830" s="6" t="s">
        <v>55</v>
      </c>
      <c r="Q830" s="6" t="s">
        <v>2304</v>
      </c>
      <c r="R830" s="6" t="s">
        <v>57</v>
      </c>
      <c r="S830" s="6" t="s">
        <v>56</v>
      </c>
      <c r="T830" s="6" t="s">
        <v>56</v>
      </c>
      <c r="AR830" s="6" t="s">
        <v>55</v>
      </c>
      <c r="AS830" s="6" t="s">
        <v>55</v>
      </c>
      <c r="AU830" s="6" t="s">
        <v>2324</v>
      </c>
      <c r="AV830">
        <v>2625</v>
      </c>
    </row>
    <row r="831" spans="1:48" ht="30" customHeight="1" x14ac:dyDescent="0.3">
      <c r="A831" s="4" t="s">
        <v>237</v>
      </c>
      <c r="B831" s="4" t="s">
        <v>238</v>
      </c>
      <c r="C831" s="4" t="s">
        <v>223</v>
      </c>
      <c r="D831" s="5">
        <v>1292</v>
      </c>
      <c r="E831" s="7">
        <f>TRUNC([1]일위대가목록!E21,0)</f>
        <v>1638</v>
      </c>
      <c r="F831" s="7">
        <f t="shared" si="83"/>
        <v>2116296</v>
      </c>
      <c r="G831" s="7">
        <f>TRUNC([1]일위대가목록!F21,0)</f>
        <v>11011</v>
      </c>
      <c r="H831" s="7">
        <f t="shared" si="84"/>
        <v>14226212</v>
      </c>
      <c r="I831" s="7">
        <f>TRUNC([1]일위대가목록!G21,0)</f>
        <v>3385</v>
      </c>
      <c r="J831" s="7">
        <f t="shared" si="85"/>
        <v>4373420</v>
      </c>
      <c r="K831" s="7">
        <f t="shared" si="86"/>
        <v>16034</v>
      </c>
      <c r="L831" s="7">
        <f t="shared" si="86"/>
        <v>20715928</v>
      </c>
      <c r="M831" s="4" t="s">
        <v>239</v>
      </c>
      <c r="N831" s="6" t="s">
        <v>240</v>
      </c>
      <c r="O831" s="6" t="s">
        <v>55</v>
      </c>
      <c r="P831" s="6" t="s">
        <v>55</v>
      </c>
      <c r="Q831" s="6" t="s">
        <v>2304</v>
      </c>
      <c r="R831" s="6" t="s">
        <v>57</v>
      </c>
      <c r="S831" s="6" t="s">
        <v>56</v>
      </c>
      <c r="T831" s="6" t="s">
        <v>56</v>
      </c>
      <c r="AR831" s="6" t="s">
        <v>55</v>
      </c>
      <c r="AS831" s="6" t="s">
        <v>55</v>
      </c>
      <c r="AU831" s="6" t="s">
        <v>2325</v>
      </c>
      <c r="AV831">
        <v>2626</v>
      </c>
    </row>
    <row r="832" spans="1:48" ht="30" customHeight="1" x14ac:dyDescent="0.3">
      <c r="A832" s="4" t="s">
        <v>242</v>
      </c>
      <c r="B832" s="4" t="s">
        <v>55</v>
      </c>
      <c r="C832" s="4" t="s">
        <v>223</v>
      </c>
      <c r="D832" s="5">
        <v>93</v>
      </c>
      <c r="E832" s="7">
        <f>TRUNC([1]단가대비표!O88,0)</f>
        <v>7000</v>
      </c>
      <c r="F832" s="7">
        <f t="shared" si="83"/>
        <v>651000</v>
      </c>
      <c r="G832" s="7">
        <f>TRUNC([1]단가대비표!P88,0)</f>
        <v>0</v>
      </c>
      <c r="H832" s="7">
        <f t="shared" si="84"/>
        <v>0</v>
      </c>
      <c r="I832" s="7">
        <f>TRUNC([1]단가대비표!V88,0)</f>
        <v>0</v>
      </c>
      <c r="J832" s="7">
        <f t="shared" si="85"/>
        <v>0</v>
      </c>
      <c r="K832" s="7">
        <f t="shared" si="86"/>
        <v>7000</v>
      </c>
      <c r="L832" s="7">
        <f t="shared" si="86"/>
        <v>651000</v>
      </c>
      <c r="M832" s="4" t="s">
        <v>55</v>
      </c>
      <c r="N832" s="6" t="s">
        <v>2326</v>
      </c>
      <c r="O832" s="6" t="s">
        <v>55</v>
      </c>
      <c r="P832" s="6" t="s">
        <v>55</v>
      </c>
      <c r="Q832" s="6" t="s">
        <v>2304</v>
      </c>
      <c r="R832" s="6" t="s">
        <v>56</v>
      </c>
      <c r="S832" s="6" t="s">
        <v>56</v>
      </c>
      <c r="T832" s="6" t="s">
        <v>57</v>
      </c>
      <c r="AR832" s="6" t="s">
        <v>55</v>
      </c>
      <c r="AS832" s="6" t="s">
        <v>55</v>
      </c>
      <c r="AU832" s="6" t="s">
        <v>2327</v>
      </c>
      <c r="AV832">
        <v>485</v>
      </c>
    </row>
    <row r="833" spans="1:48" ht="30" customHeight="1" x14ac:dyDescent="0.3">
      <c r="A833" s="4" t="s">
        <v>249</v>
      </c>
      <c r="B833" s="4" t="s">
        <v>250</v>
      </c>
      <c r="C833" s="4" t="s">
        <v>61</v>
      </c>
      <c r="D833" s="5">
        <v>637</v>
      </c>
      <c r="E833" s="7">
        <f>TRUNC([1]일위대가목록!E22,0)</f>
        <v>18262</v>
      </c>
      <c r="F833" s="7">
        <f t="shared" si="83"/>
        <v>11632894</v>
      </c>
      <c r="G833" s="7">
        <f>TRUNC([1]일위대가목록!F22,0)</f>
        <v>37076</v>
      </c>
      <c r="H833" s="7">
        <f t="shared" si="84"/>
        <v>23617412</v>
      </c>
      <c r="I833" s="7">
        <f>TRUNC([1]일위대가목록!G22,0)</f>
        <v>0</v>
      </c>
      <c r="J833" s="7">
        <f t="shared" si="85"/>
        <v>0</v>
      </c>
      <c r="K833" s="7">
        <f t="shared" si="86"/>
        <v>55338</v>
      </c>
      <c r="L833" s="7">
        <f t="shared" si="86"/>
        <v>35250306</v>
      </c>
      <c r="M833" s="4" t="s">
        <v>251</v>
      </c>
      <c r="N833" s="6" t="s">
        <v>252</v>
      </c>
      <c r="O833" s="6" t="s">
        <v>55</v>
      </c>
      <c r="P833" s="6" t="s">
        <v>55</v>
      </c>
      <c r="Q833" s="6" t="s">
        <v>2304</v>
      </c>
      <c r="R833" s="6" t="s">
        <v>57</v>
      </c>
      <c r="S833" s="6" t="s">
        <v>56</v>
      </c>
      <c r="T833" s="6" t="s">
        <v>56</v>
      </c>
      <c r="AR833" s="6" t="s">
        <v>55</v>
      </c>
      <c r="AS833" s="6" t="s">
        <v>55</v>
      </c>
      <c r="AU833" s="6" t="s">
        <v>2328</v>
      </c>
      <c r="AV833">
        <v>2628</v>
      </c>
    </row>
    <row r="834" spans="1:48" ht="30" customHeight="1" x14ac:dyDescent="0.3">
      <c r="A834" s="4" t="s">
        <v>249</v>
      </c>
      <c r="B834" s="4" t="s">
        <v>258</v>
      </c>
      <c r="C834" s="4" t="s">
        <v>61</v>
      </c>
      <c r="D834" s="5">
        <v>91</v>
      </c>
      <c r="E834" s="7">
        <f>TRUNC([1]일위대가목록!E24,0)</f>
        <v>14961</v>
      </c>
      <c r="F834" s="7">
        <f t="shared" si="83"/>
        <v>1361451</v>
      </c>
      <c r="G834" s="7">
        <f>TRUNC([1]일위대가목록!F24,0)</f>
        <v>25472</v>
      </c>
      <c r="H834" s="7">
        <f t="shared" si="84"/>
        <v>2317952</v>
      </c>
      <c r="I834" s="7">
        <f>TRUNC([1]일위대가목록!G24,0)</f>
        <v>0</v>
      </c>
      <c r="J834" s="7">
        <f t="shared" si="85"/>
        <v>0</v>
      </c>
      <c r="K834" s="7">
        <f t="shared" si="86"/>
        <v>40433</v>
      </c>
      <c r="L834" s="7">
        <f t="shared" si="86"/>
        <v>3679403</v>
      </c>
      <c r="M834" s="4" t="s">
        <v>259</v>
      </c>
      <c r="N834" s="6" t="s">
        <v>260</v>
      </c>
      <c r="O834" s="6" t="s">
        <v>55</v>
      </c>
      <c r="P834" s="6" t="s">
        <v>55</v>
      </c>
      <c r="Q834" s="6" t="s">
        <v>2304</v>
      </c>
      <c r="R834" s="6" t="s">
        <v>57</v>
      </c>
      <c r="S834" s="6" t="s">
        <v>56</v>
      </c>
      <c r="T834" s="6" t="s">
        <v>56</v>
      </c>
      <c r="AR834" s="6" t="s">
        <v>55</v>
      </c>
      <c r="AS834" s="6" t="s">
        <v>55</v>
      </c>
      <c r="AU834" s="6" t="s">
        <v>2329</v>
      </c>
      <c r="AV834">
        <v>2629</v>
      </c>
    </row>
    <row r="835" spans="1:48" ht="30" customHeight="1" x14ac:dyDescent="0.3">
      <c r="A835" s="4" t="s">
        <v>262</v>
      </c>
      <c r="B835" s="4" t="s">
        <v>263</v>
      </c>
      <c r="C835" s="4" t="s">
        <v>61</v>
      </c>
      <c r="D835" s="5">
        <v>1972</v>
      </c>
      <c r="E835" s="7">
        <f>TRUNC([1]일위대가목록!E25,0)</f>
        <v>5626</v>
      </c>
      <c r="F835" s="7">
        <f t="shared" si="83"/>
        <v>11094472</v>
      </c>
      <c r="G835" s="7">
        <f>TRUNC([1]일위대가목록!F25,0)</f>
        <v>29534</v>
      </c>
      <c r="H835" s="7">
        <f t="shared" si="84"/>
        <v>58241048</v>
      </c>
      <c r="I835" s="7">
        <f>TRUNC([1]일위대가목록!G25,0)</f>
        <v>0</v>
      </c>
      <c r="J835" s="7">
        <f t="shared" si="85"/>
        <v>0</v>
      </c>
      <c r="K835" s="7">
        <f t="shared" si="86"/>
        <v>35160</v>
      </c>
      <c r="L835" s="7">
        <f t="shared" si="86"/>
        <v>69335520</v>
      </c>
      <c r="M835" s="4" t="s">
        <v>264</v>
      </c>
      <c r="N835" s="6" t="s">
        <v>265</v>
      </c>
      <c r="O835" s="6" t="s">
        <v>55</v>
      </c>
      <c r="P835" s="6" t="s">
        <v>55</v>
      </c>
      <c r="Q835" s="6" t="s">
        <v>2304</v>
      </c>
      <c r="R835" s="6" t="s">
        <v>57</v>
      </c>
      <c r="S835" s="6" t="s">
        <v>56</v>
      </c>
      <c r="T835" s="6" t="s">
        <v>56</v>
      </c>
      <c r="AR835" s="6" t="s">
        <v>55</v>
      </c>
      <c r="AS835" s="6" t="s">
        <v>55</v>
      </c>
      <c r="AU835" s="6" t="s">
        <v>2330</v>
      </c>
      <c r="AV835">
        <v>2630</v>
      </c>
    </row>
    <row r="836" spans="1:48" ht="30" customHeight="1" x14ac:dyDescent="0.3">
      <c r="A836" s="4" t="s">
        <v>314</v>
      </c>
      <c r="B836" s="4" t="s">
        <v>2331</v>
      </c>
      <c r="C836" s="4" t="s">
        <v>140</v>
      </c>
      <c r="D836" s="5">
        <v>578</v>
      </c>
      <c r="E836" s="7">
        <f>TRUNC([1]단가대비표!O484,0)</f>
        <v>0</v>
      </c>
      <c r="F836" s="7">
        <f t="shared" si="83"/>
        <v>0</v>
      </c>
      <c r="G836" s="7">
        <f>TRUNC([1]단가대비표!P484,0)</f>
        <v>0</v>
      </c>
      <c r="H836" s="7">
        <f t="shared" si="84"/>
        <v>0</v>
      </c>
      <c r="I836" s="7">
        <f>TRUNC([1]단가대비표!V484,0)</f>
        <v>0</v>
      </c>
      <c r="J836" s="7">
        <f t="shared" si="85"/>
        <v>0</v>
      </c>
      <c r="K836" s="7">
        <f t="shared" si="86"/>
        <v>0</v>
      </c>
      <c r="L836" s="7">
        <f t="shared" si="86"/>
        <v>0</v>
      </c>
      <c r="M836" s="4" t="s">
        <v>2332</v>
      </c>
      <c r="N836" s="6" t="s">
        <v>2333</v>
      </c>
      <c r="O836" s="6" t="s">
        <v>55</v>
      </c>
      <c r="P836" s="6" t="s">
        <v>55</v>
      </c>
      <c r="Q836" s="6" t="s">
        <v>2304</v>
      </c>
      <c r="R836" s="6" t="s">
        <v>56</v>
      </c>
      <c r="S836" s="6" t="s">
        <v>56</v>
      </c>
      <c r="T836" s="6" t="s">
        <v>57</v>
      </c>
      <c r="AR836" s="6" t="s">
        <v>55</v>
      </c>
      <c r="AS836" s="6" t="s">
        <v>55</v>
      </c>
      <c r="AU836" s="6" t="s">
        <v>2334</v>
      </c>
      <c r="AV836">
        <v>1687</v>
      </c>
    </row>
    <row r="837" spans="1:48" ht="30" customHeight="1" x14ac:dyDescent="0.3">
      <c r="A837" s="4" t="s">
        <v>327</v>
      </c>
      <c r="B837" s="4" t="s">
        <v>328</v>
      </c>
      <c r="C837" s="4" t="s">
        <v>61</v>
      </c>
      <c r="D837" s="5">
        <v>578</v>
      </c>
      <c r="E837" s="7">
        <f>TRUNC([1]단가대비표!O898,0)</f>
        <v>8000</v>
      </c>
      <c r="F837" s="7">
        <f t="shared" si="83"/>
        <v>4624000</v>
      </c>
      <c r="G837" s="7">
        <f>TRUNC([1]단가대비표!P898,0)</f>
        <v>0</v>
      </c>
      <c r="H837" s="7">
        <f t="shared" si="84"/>
        <v>0</v>
      </c>
      <c r="I837" s="7">
        <f>TRUNC([1]단가대비표!V898,0)</f>
        <v>0</v>
      </c>
      <c r="J837" s="7">
        <f t="shared" si="85"/>
        <v>0</v>
      </c>
      <c r="K837" s="7">
        <f t="shared" si="86"/>
        <v>8000</v>
      </c>
      <c r="L837" s="7">
        <f t="shared" si="86"/>
        <v>4624000</v>
      </c>
      <c r="M837" s="4" t="s">
        <v>115</v>
      </c>
      <c r="N837" s="6" t="s">
        <v>329</v>
      </c>
      <c r="O837" s="6" t="s">
        <v>55</v>
      </c>
      <c r="P837" s="6" t="s">
        <v>55</v>
      </c>
      <c r="Q837" s="6" t="s">
        <v>2304</v>
      </c>
      <c r="R837" s="6" t="s">
        <v>56</v>
      </c>
      <c r="S837" s="6" t="s">
        <v>56</v>
      </c>
      <c r="T837" s="6" t="s">
        <v>57</v>
      </c>
      <c r="AR837" s="6" t="s">
        <v>55</v>
      </c>
      <c r="AS837" s="6" t="s">
        <v>55</v>
      </c>
      <c r="AU837" s="6" t="s">
        <v>2335</v>
      </c>
      <c r="AV837">
        <v>3507</v>
      </c>
    </row>
    <row r="838" spans="1:48" ht="30" customHeight="1" x14ac:dyDescent="0.3">
      <c r="A838" s="4" t="s">
        <v>128</v>
      </c>
      <c r="B838" s="5"/>
      <c r="C838" s="5"/>
      <c r="D838" s="5"/>
      <c r="E838" s="5"/>
      <c r="F838" s="7">
        <f>SUM(F819:F837)</f>
        <v>42391853</v>
      </c>
      <c r="G838" s="5"/>
      <c r="H838" s="7">
        <f>SUM(H819:H837)</f>
        <v>160503394</v>
      </c>
      <c r="I838" s="5"/>
      <c r="J838" s="7">
        <f>SUM(J819:J837)</f>
        <v>5096419</v>
      </c>
      <c r="K838" s="5"/>
      <c r="L838" s="7">
        <f>SUM(L819:L837)</f>
        <v>207991666</v>
      </c>
      <c r="M838" s="5"/>
      <c r="N838" t="s">
        <v>129</v>
      </c>
    </row>
    <row r="839" spans="1:48" ht="30" customHeight="1" x14ac:dyDescent="0.3">
      <c r="A839" s="4" t="s">
        <v>2336</v>
      </c>
      <c r="B839" s="4" t="s">
        <v>2291</v>
      </c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Q839" s="6" t="s">
        <v>2337</v>
      </c>
    </row>
    <row r="840" spans="1:48" ht="30" customHeight="1" x14ac:dyDescent="0.3">
      <c r="A840" s="4" t="s">
        <v>416</v>
      </c>
      <c r="B840" s="4" t="s">
        <v>417</v>
      </c>
      <c r="C840" s="4" t="s">
        <v>61</v>
      </c>
      <c r="D840" s="5">
        <v>21</v>
      </c>
      <c r="E840" s="7">
        <f>TRUNC([1]일위대가목록!E35,0)</f>
        <v>483</v>
      </c>
      <c r="F840" s="7">
        <f t="shared" ref="F840:F850" si="87">TRUNC(E840*D840, 0)</f>
        <v>10143</v>
      </c>
      <c r="G840" s="7">
        <f>TRUNC([1]일위대가목록!F35,0)</f>
        <v>26396</v>
      </c>
      <c r="H840" s="7">
        <f t="shared" ref="H840:H850" si="88">TRUNC(G840*D840, 0)</f>
        <v>554316</v>
      </c>
      <c r="I840" s="7">
        <f>TRUNC([1]일위대가목록!G35,0)</f>
        <v>0</v>
      </c>
      <c r="J840" s="7">
        <f t="shared" ref="J840:J850" si="89">TRUNC(I840*D840, 0)</f>
        <v>0</v>
      </c>
      <c r="K840" s="7">
        <f t="shared" ref="K840:L850" si="90">TRUNC(E840+G840+I840, 0)</f>
        <v>26879</v>
      </c>
      <c r="L840" s="7">
        <f t="shared" si="90"/>
        <v>564459</v>
      </c>
      <c r="M840" s="4" t="s">
        <v>418</v>
      </c>
      <c r="N840" s="6" t="s">
        <v>419</v>
      </c>
      <c r="O840" s="6" t="s">
        <v>55</v>
      </c>
      <c r="P840" s="6" t="s">
        <v>55</v>
      </c>
      <c r="Q840" s="6" t="s">
        <v>2337</v>
      </c>
      <c r="R840" s="6" t="s">
        <v>57</v>
      </c>
      <c r="S840" s="6" t="s">
        <v>56</v>
      </c>
      <c r="T840" s="6" t="s">
        <v>56</v>
      </c>
      <c r="AR840" s="6" t="s">
        <v>55</v>
      </c>
      <c r="AS840" s="6" t="s">
        <v>55</v>
      </c>
      <c r="AU840" s="6" t="s">
        <v>2338</v>
      </c>
      <c r="AV840">
        <v>2631</v>
      </c>
    </row>
    <row r="841" spans="1:48" ht="30" customHeight="1" x14ac:dyDescent="0.3">
      <c r="A841" s="4" t="s">
        <v>416</v>
      </c>
      <c r="B841" s="4" t="s">
        <v>421</v>
      </c>
      <c r="C841" s="4" t="s">
        <v>61</v>
      </c>
      <c r="D841" s="5">
        <v>31</v>
      </c>
      <c r="E841" s="7">
        <f>TRUNC([1]일위대가목록!E36,0)</f>
        <v>645</v>
      </c>
      <c r="F841" s="7">
        <f t="shared" si="87"/>
        <v>19995</v>
      </c>
      <c r="G841" s="7">
        <f>TRUNC([1]일위대가목록!F36,0)</f>
        <v>34301</v>
      </c>
      <c r="H841" s="7">
        <f t="shared" si="88"/>
        <v>1063331</v>
      </c>
      <c r="I841" s="7">
        <f>TRUNC([1]일위대가목록!G36,0)</f>
        <v>0</v>
      </c>
      <c r="J841" s="7">
        <f t="shared" si="89"/>
        <v>0</v>
      </c>
      <c r="K841" s="7">
        <f t="shared" si="90"/>
        <v>34946</v>
      </c>
      <c r="L841" s="7">
        <f t="shared" si="90"/>
        <v>1083326</v>
      </c>
      <c r="M841" s="4" t="s">
        <v>422</v>
      </c>
      <c r="N841" s="6" t="s">
        <v>423</v>
      </c>
      <c r="O841" s="6" t="s">
        <v>55</v>
      </c>
      <c r="P841" s="6" t="s">
        <v>55</v>
      </c>
      <c r="Q841" s="6" t="s">
        <v>2337</v>
      </c>
      <c r="R841" s="6" t="s">
        <v>57</v>
      </c>
      <c r="S841" s="6" t="s">
        <v>56</v>
      </c>
      <c r="T841" s="6" t="s">
        <v>56</v>
      </c>
      <c r="AR841" s="6" t="s">
        <v>55</v>
      </c>
      <c r="AS841" s="6" t="s">
        <v>55</v>
      </c>
      <c r="AU841" s="6" t="s">
        <v>2339</v>
      </c>
      <c r="AV841">
        <v>2632</v>
      </c>
    </row>
    <row r="842" spans="1:48" ht="30" customHeight="1" x14ac:dyDescent="0.3">
      <c r="A842" s="4" t="s">
        <v>425</v>
      </c>
      <c r="B842" s="4" t="s">
        <v>421</v>
      </c>
      <c r="C842" s="4" t="s">
        <v>61</v>
      </c>
      <c r="D842" s="5">
        <v>154</v>
      </c>
      <c r="E842" s="7">
        <f>TRUNC([1]일위대가목록!E37,0)</f>
        <v>1165</v>
      </c>
      <c r="F842" s="7">
        <f t="shared" si="87"/>
        <v>179410</v>
      </c>
      <c r="G842" s="7">
        <f>TRUNC([1]일위대가목록!F37,0)</f>
        <v>62478</v>
      </c>
      <c r="H842" s="7">
        <f t="shared" si="88"/>
        <v>9621612</v>
      </c>
      <c r="I842" s="7">
        <f>TRUNC([1]일위대가목록!G37,0)</f>
        <v>0</v>
      </c>
      <c r="J842" s="7">
        <f t="shared" si="89"/>
        <v>0</v>
      </c>
      <c r="K842" s="7">
        <f t="shared" si="90"/>
        <v>63643</v>
      </c>
      <c r="L842" s="7">
        <f t="shared" si="90"/>
        <v>9801022</v>
      </c>
      <c r="M842" s="4" t="s">
        <v>426</v>
      </c>
      <c r="N842" s="6" t="s">
        <v>427</v>
      </c>
      <c r="O842" s="6" t="s">
        <v>55</v>
      </c>
      <c r="P842" s="6" t="s">
        <v>55</v>
      </c>
      <c r="Q842" s="6" t="s">
        <v>2337</v>
      </c>
      <c r="R842" s="6" t="s">
        <v>57</v>
      </c>
      <c r="S842" s="6" t="s">
        <v>56</v>
      </c>
      <c r="T842" s="6" t="s">
        <v>56</v>
      </c>
      <c r="AR842" s="6" t="s">
        <v>55</v>
      </c>
      <c r="AS842" s="6" t="s">
        <v>55</v>
      </c>
      <c r="AU842" s="6" t="s">
        <v>2340</v>
      </c>
      <c r="AV842">
        <v>2633</v>
      </c>
    </row>
    <row r="843" spans="1:48" ht="30" customHeight="1" x14ac:dyDescent="0.3">
      <c r="A843" s="4" t="s">
        <v>429</v>
      </c>
      <c r="B843" s="4" t="s">
        <v>430</v>
      </c>
      <c r="C843" s="4" t="s">
        <v>61</v>
      </c>
      <c r="D843" s="5">
        <v>356</v>
      </c>
      <c r="E843" s="7">
        <f>TRUNC([1]일위대가목록!E38,0)</f>
        <v>896</v>
      </c>
      <c r="F843" s="7">
        <f t="shared" si="87"/>
        <v>318976</v>
      </c>
      <c r="G843" s="7">
        <f>TRUNC([1]일위대가목록!F38,0)</f>
        <v>43870</v>
      </c>
      <c r="H843" s="7">
        <f t="shared" si="88"/>
        <v>15617720</v>
      </c>
      <c r="I843" s="7">
        <f>TRUNC([1]일위대가목록!G38,0)</f>
        <v>0</v>
      </c>
      <c r="J843" s="7">
        <f t="shared" si="89"/>
        <v>0</v>
      </c>
      <c r="K843" s="7">
        <f t="shared" si="90"/>
        <v>44766</v>
      </c>
      <c r="L843" s="7">
        <f t="shared" si="90"/>
        <v>15936696</v>
      </c>
      <c r="M843" s="4" t="s">
        <v>431</v>
      </c>
      <c r="N843" s="6" t="s">
        <v>432</v>
      </c>
      <c r="O843" s="6" t="s">
        <v>55</v>
      </c>
      <c r="P843" s="6" t="s">
        <v>55</v>
      </c>
      <c r="Q843" s="6" t="s">
        <v>2337</v>
      </c>
      <c r="R843" s="6" t="s">
        <v>57</v>
      </c>
      <c r="S843" s="6" t="s">
        <v>56</v>
      </c>
      <c r="T843" s="6" t="s">
        <v>56</v>
      </c>
      <c r="AR843" s="6" t="s">
        <v>55</v>
      </c>
      <c r="AS843" s="6" t="s">
        <v>55</v>
      </c>
      <c r="AU843" s="6" t="s">
        <v>2341</v>
      </c>
      <c r="AV843">
        <v>2634</v>
      </c>
    </row>
    <row r="844" spans="1:48" ht="30" customHeight="1" x14ac:dyDescent="0.3">
      <c r="A844" s="4" t="s">
        <v>438</v>
      </c>
      <c r="B844" s="4" t="s">
        <v>443</v>
      </c>
      <c r="C844" s="4" t="s">
        <v>269</v>
      </c>
      <c r="D844" s="5">
        <v>6</v>
      </c>
      <c r="E844" s="7">
        <f>TRUNC([1]일위대가목록!E41,0)</f>
        <v>11796</v>
      </c>
      <c r="F844" s="7">
        <f t="shared" si="87"/>
        <v>70776</v>
      </c>
      <c r="G844" s="7">
        <f>TRUNC([1]일위대가목록!F41,0)</f>
        <v>48560</v>
      </c>
      <c r="H844" s="7">
        <f t="shared" si="88"/>
        <v>291360</v>
      </c>
      <c r="I844" s="7">
        <f>TRUNC([1]일위대가목록!G41,0)</f>
        <v>691</v>
      </c>
      <c r="J844" s="7">
        <f t="shared" si="89"/>
        <v>4146</v>
      </c>
      <c r="K844" s="7">
        <f t="shared" si="90"/>
        <v>61047</v>
      </c>
      <c r="L844" s="7">
        <f t="shared" si="90"/>
        <v>366282</v>
      </c>
      <c r="M844" s="4" t="s">
        <v>444</v>
      </c>
      <c r="N844" s="6" t="s">
        <v>445</v>
      </c>
      <c r="O844" s="6" t="s">
        <v>55</v>
      </c>
      <c r="P844" s="6" t="s">
        <v>55</v>
      </c>
      <c r="Q844" s="6" t="s">
        <v>2337</v>
      </c>
      <c r="R844" s="6" t="s">
        <v>57</v>
      </c>
      <c r="S844" s="6" t="s">
        <v>56</v>
      </c>
      <c r="T844" s="6" t="s">
        <v>56</v>
      </c>
      <c r="AR844" s="6" t="s">
        <v>55</v>
      </c>
      <c r="AS844" s="6" t="s">
        <v>55</v>
      </c>
      <c r="AU844" s="6" t="s">
        <v>2342</v>
      </c>
      <c r="AV844">
        <v>503</v>
      </c>
    </row>
    <row r="845" spans="1:48" ht="30" customHeight="1" x14ac:dyDescent="0.3">
      <c r="A845" s="4" t="s">
        <v>447</v>
      </c>
      <c r="B845" s="4" t="s">
        <v>452</v>
      </c>
      <c r="C845" s="4" t="s">
        <v>269</v>
      </c>
      <c r="D845" s="5">
        <v>37</v>
      </c>
      <c r="E845" s="7">
        <f>TRUNC([1]일위대가목록!E43,0)</f>
        <v>2744</v>
      </c>
      <c r="F845" s="7">
        <f t="shared" si="87"/>
        <v>101528</v>
      </c>
      <c r="G845" s="7">
        <f>TRUNC([1]일위대가목록!F43,0)</f>
        <v>9452</v>
      </c>
      <c r="H845" s="7">
        <f t="shared" si="88"/>
        <v>349724</v>
      </c>
      <c r="I845" s="7">
        <f>TRUNC([1]일위대가목록!G43,0)</f>
        <v>127</v>
      </c>
      <c r="J845" s="7">
        <f t="shared" si="89"/>
        <v>4699</v>
      </c>
      <c r="K845" s="7">
        <f t="shared" si="90"/>
        <v>12323</v>
      </c>
      <c r="L845" s="7">
        <f t="shared" si="90"/>
        <v>455951</v>
      </c>
      <c r="M845" s="4" t="s">
        <v>453</v>
      </c>
      <c r="N845" s="6" t="s">
        <v>454</v>
      </c>
      <c r="O845" s="6" t="s">
        <v>55</v>
      </c>
      <c r="P845" s="6" t="s">
        <v>55</v>
      </c>
      <c r="Q845" s="6" t="s">
        <v>2337</v>
      </c>
      <c r="R845" s="6" t="s">
        <v>57</v>
      </c>
      <c r="S845" s="6" t="s">
        <v>56</v>
      </c>
      <c r="T845" s="6" t="s">
        <v>56</v>
      </c>
      <c r="AR845" s="6" t="s">
        <v>55</v>
      </c>
      <c r="AS845" s="6" t="s">
        <v>55</v>
      </c>
      <c r="AU845" s="6" t="s">
        <v>2343</v>
      </c>
      <c r="AV845">
        <v>504</v>
      </c>
    </row>
    <row r="846" spans="1:48" ht="30" customHeight="1" x14ac:dyDescent="0.3">
      <c r="A846" s="4" t="s">
        <v>447</v>
      </c>
      <c r="B846" s="4" t="s">
        <v>459</v>
      </c>
      <c r="C846" s="4" t="s">
        <v>269</v>
      </c>
      <c r="D846" s="5">
        <v>68</v>
      </c>
      <c r="E846" s="7">
        <f>TRUNC([1]일위대가목록!E45,0)</f>
        <v>2744</v>
      </c>
      <c r="F846" s="7">
        <f t="shared" si="87"/>
        <v>186592</v>
      </c>
      <c r="G846" s="7">
        <f>TRUNC([1]일위대가목록!F45,0)</f>
        <v>9155</v>
      </c>
      <c r="H846" s="7">
        <f t="shared" si="88"/>
        <v>622540</v>
      </c>
      <c r="I846" s="7">
        <f>TRUNC([1]일위대가목록!G45,0)</f>
        <v>121</v>
      </c>
      <c r="J846" s="7">
        <f t="shared" si="89"/>
        <v>8228</v>
      </c>
      <c r="K846" s="7">
        <f t="shared" si="90"/>
        <v>12020</v>
      </c>
      <c r="L846" s="7">
        <f t="shared" si="90"/>
        <v>817360</v>
      </c>
      <c r="M846" s="4" t="s">
        <v>460</v>
      </c>
      <c r="N846" s="6" t="s">
        <v>461</v>
      </c>
      <c r="O846" s="6" t="s">
        <v>55</v>
      </c>
      <c r="P846" s="6" t="s">
        <v>55</v>
      </c>
      <c r="Q846" s="6" t="s">
        <v>2337</v>
      </c>
      <c r="R846" s="6" t="s">
        <v>57</v>
      </c>
      <c r="S846" s="6" t="s">
        <v>56</v>
      </c>
      <c r="T846" s="6" t="s">
        <v>56</v>
      </c>
      <c r="AR846" s="6" t="s">
        <v>55</v>
      </c>
      <c r="AS846" s="6" t="s">
        <v>55</v>
      </c>
      <c r="AU846" s="6" t="s">
        <v>2344</v>
      </c>
      <c r="AV846">
        <v>505</v>
      </c>
    </row>
    <row r="847" spans="1:48" ht="30" customHeight="1" x14ac:dyDescent="0.3">
      <c r="A847" s="4" t="s">
        <v>463</v>
      </c>
      <c r="B847" s="4" t="s">
        <v>468</v>
      </c>
      <c r="C847" s="4" t="s">
        <v>269</v>
      </c>
      <c r="D847" s="5">
        <v>68</v>
      </c>
      <c r="E847" s="7">
        <f>TRUNC([1]일위대가목록!E47,0)</f>
        <v>0</v>
      </c>
      <c r="F847" s="7">
        <f t="shared" si="87"/>
        <v>0</v>
      </c>
      <c r="G847" s="7">
        <f>TRUNC([1]일위대가목록!F47,0)</f>
        <v>6155</v>
      </c>
      <c r="H847" s="7">
        <f t="shared" si="88"/>
        <v>418540</v>
      </c>
      <c r="I847" s="7">
        <f>TRUNC([1]일위대가목록!G47,0)</f>
        <v>0</v>
      </c>
      <c r="J847" s="7">
        <f t="shared" si="89"/>
        <v>0</v>
      </c>
      <c r="K847" s="7">
        <f t="shared" si="90"/>
        <v>6155</v>
      </c>
      <c r="L847" s="7">
        <f t="shared" si="90"/>
        <v>418540</v>
      </c>
      <c r="M847" s="4" t="s">
        <v>469</v>
      </c>
      <c r="N847" s="6" t="s">
        <v>470</v>
      </c>
      <c r="O847" s="6" t="s">
        <v>55</v>
      </c>
      <c r="P847" s="6" t="s">
        <v>55</v>
      </c>
      <c r="Q847" s="6" t="s">
        <v>2337</v>
      </c>
      <c r="R847" s="6" t="s">
        <v>57</v>
      </c>
      <c r="S847" s="6" t="s">
        <v>56</v>
      </c>
      <c r="T847" s="6" t="s">
        <v>56</v>
      </c>
      <c r="AR847" s="6" t="s">
        <v>55</v>
      </c>
      <c r="AS847" s="6" t="s">
        <v>55</v>
      </c>
      <c r="AU847" s="6" t="s">
        <v>2345</v>
      </c>
      <c r="AV847">
        <v>506</v>
      </c>
    </row>
    <row r="848" spans="1:48" ht="30" customHeight="1" x14ac:dyDescent="0.3">
      <c r="A848" s="4" t="s">
        <v>477</v>
      </c>
      <c r="B848" s="4" t="s">
        <v>473</v>
      </c>
      <c r="C848" s="4" t="s">
        <v>269</v>
      </c>
      <c r="D848" s="5">
        <v>597</v>
      </c>
      <c r="E848" s="7">
        <f>TRUNC([1]일위대가목록!E49,0)</f>
        <v>544</v>
      </c>
      <c r="F848" s="7">
        <f t="shared" si="87"/>
        <v>324768</v>
      </c>
      <c r="G848" s="7">
        <f>TRUNC([1]일위대가목록!F49,0)</f>
        <v>0</v>
      </c>
      <c r="H848" s="7">
        <f t="shared" si="88"/>
        <v>0</v>
      </c>
      <c r="I848" s="7">
        <f>TRUNC([1]일위대가목록!G49,0)</f>
        <v>0</v>
      </c>
      <c r="J848" s="7">
        <f t="shared" si="89"/>
        <v>0</v>
      </c>
      <c r="K848" s="7">
        <f t="shared" si="90"/>
        <v>544</v>
      </c>
      <c r="L848" s="7">
        <f t="shared" si="90"/>
        <v>324768</v>
      </c>
      <c r="M848" s="4" t="s">
        <v>478</v>
      </c>
      <c r="N848" s="6" t="s">
        <v>479</v>
      </c>
      <c r="O848" s="6" t="s">
        <v>55</v>
      </c>
      <c r="P848" s="6" t="s">
        <v>55</v>
      </c>
      <c r="Q848" s="6" t="s">
        <v>2337</v>
      </c>
      <c r="R848" s="6" t="s">
        <v>57</v>
      </c>
      <c r="S848" s="6" t="s">
        <v>56</v>
      </c>
      <c r="T848" s="6" t="s">
        <v>56</v>
      </c>
      <c r="AR848" s="6" t="s">
        <v>55</v>
      </c>
      <c r="AS848" s="6" t="s">
        <v>55</v>
      </c>
      <c r="AU848" s="6" t="s">
        <v>2346</v>
      </c>
      <c r="AV848">
        <v>507</v>
      </c>
    </row>
    <row r="849" spans="1:48" ht="30" customHeight="1" x14ac:dyDescent="0.3">
      <c r="A849" s="4" t="s">
        <v>481</v>
      </c>
      <c r="B849" s="4" t="s">
        <v>482</v>
      </c>
      <c r="C849" s="4" t="s">
        <v>269</v>
      </c>
      <c r="D849" s="5">
        <v>444</v>
      </c>
      <c r="E849" s="7">
        <f>TRUNC([1]일위대가목록!E50,0)</f>
        <v>-5</v>
      </c>
      <c r="F849" s="7">
        <f t="shared" si="87"/>
        <v>-2220</v>
      </c>
      <c r="G849" s="7">
        <f>TRUNC([1]일위대가목록!F50,0)</f>
        <v>0</v>
      </c>
      <c r="H849" s="7">
        <f t="shared" si="88"/>
        <v>0</v>
      </c>
      <c r="I849" s="7">
        <f>TRUNC([1]일위대가목록!G50,0)</f>
        <v>0</v>
      </c>
      <c r="J849" s="7">
        <f t="shared" si="89"/>
        <v>0</v>
      </c>
      <c r="K849" s="7">
        <f t="shared" si="90"/>
        <v>-5</v>
      </c>
      <c r="L849" s="7">
        <f t="shared" si="90"/>
        <v>-2220</v>
      </c>
      <c r="M849" s="4" t="s">
        <v>483</v>
      </c>
      <c r="N849" s="6" t="s">
        <v>484</v>
      </c>
      <c r="O849" s="6" t="s">
        <v>55</v>
      </c>
      <c r="P849" s="6" t="s">
        <v>55</v>
      </c>
      <c r="Q849" s="6" t="s">
        <v>2337</v>
      </c>
      <c r="R849" s="6" t="s">
        <v>57</v>
      </c>
      <c r="S849" s="6" t="s">
        <v>56</v>
      </c>
      <c r="T849" s="6" t="s">
        <v>56</v>
      </c>
      <c r="AR849" s="6" t="s">
        <v>55</v>
      </c>
      <c r="AS849" s="6" t="s">
        <v>55</v>
      </c>
      <c r="AU849" s="6" t="s">
        <v>2347</v>
      </c>
      <c r="AV849">
        <v>508</v>
      </c>
    </row>
    <row r="850" spans="1:48" ht="30" customHeight="1" x14ac:dyDescent="0.3">
      <c r="A850" s="4" t="s">
        <v>486</v>
      </c>
      <c r="B850" s="4" t="s">
        <v>487</v>
      </c>
      <c r="C850" s="4" t="s">
        <v>488</v>
      </c>
      <c r="D850" s="5">
        <v>169</v>
      </c>
      <c r="E850" s="7">
        <f>TRUNC([1]일위대가목록!E51,0)</f>
        <v>349</v>
      </c>
      <c r="F850" s="7">
        <f t="shared" si="87"/>
        <v>58981</v>
      </c>
      <c r="G850" s="7">
        <f>TRUNC([1]일위대가목록!F51,0)</f>
        <v>4869</v>
      </c>
      <c r="H850" s="7">
        <f t="shared" si="88"/>
        <v>822861</v>
      </c>
      <c r="I850" s="7">
        <f>TRUNC([1]일위대가목록!G51,0)</f>
        <v>0</v>
      </c>
      <c r="J850" s="7">
        <f t="shared" si="89"/>
        <v>0</v>
      </c>
      <c r="K850" s="7">
        <f t="shared" si="90"/>
        <v>5218</v>
      </c>
      <c r="L850" s="7">
        <f t="shared" si="90"/>
        <v>881842</v>
      </c>
      <c r="M850" s="4" t="s">
        <v>489</v>
      </c>
      <c r="N850" s="6" t="s">
        <v>490</v>
      </c>
      <c r="O850" s="6" t="s">
        <v>55</v>
      </c>
      <c r="P850" s="6" t="s">
        <v>55</v>
      </c>
      <c r="Q850" s="6" t="s">
        <v>2337</v>
      </c>
      <c r="R850" s="6" t="s">
        <v>57</v>
      </c>
      <c r="S850" s="6" t="s">
        <v>56</v>
      </c>
      <c r="T850" s="6" t="s">
        <v>56</v>
      </c>
      <c r="AR850" s="6" t="s">
        <v>55</v>
      </c>
      <c r="AS850" s="6" t="s">
        <v>55</v>
      </c>
      <c r="AU850" s="6" t="s">
        <v>2348</v>
      </c>
      <c r="AV850">
        <v>509</v>
      </c>
    </row>
    <row r="851" spans="1:48" ht="30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 spans="1:48" ht="30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 spans="1:48" ht="30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 spans="1:48" ht="30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 spans="1:48" ht="30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 spans="1:48" ht="30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 spans="1:48" ht="30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 spans="1:48" ht="30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 spans="1:48" ht="30" customHeight="1" x14ac:dyDescent="0.3">
      <c r="A859" s="4" t="s">
        <v>128</v>
      </c>
      <c r="B859" s="5"/>
      <c r="C859" s="5"/>
      <c r="D859" s="5"/>
      <c r="E859" s="5"/>
      <c r="F859" s="7">
        <f>SUM(F840:F858)</f>
        <v>1268949</v>
      </c>
      <c r="G859" s="5"/>
      <c r="H859" s="7">
        <f>SUM(H840:H858)</f>
        <v>29362004</v>
      </c>
      <c r="I859" s="5"/>
      <c r="J859" s="7">
        <f>SUM(J840:J858)</f>
        <v>17073</v>
      </c>
      <c r="K859" s="5"/>
      <c r="L859" s="7">
        <f>SUM(L840:L858)</f>
        <v>30648026</v>
      </c>
      <c r="M859" s="5"/>
      <c r="N859" t="s">
        <v>129</v>
      </c>
    </row>
    <row r="860" spans="1:48" ht="30" customHeight="1" x14ac:dyDescent="0.3">
      <c r="A860" s="4" t="s">
        <v>2349</v>
      </c>
      <c r="B860" s="4" t="s">
        <v>2291</v>
      </c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Q860" s="6" t="s">
        <v>2350</v>
      </c>
    </row>
    <row r="861" spans="1:48" ht="30" customHeight="1" x14ac:dyDescent="0.3">
      <c r="A861" s="4" t="s">
        <v>494</v>
      </c>
      <c r="B861" s="4" t="s">
        <v>2351</v>
      </c>
      <c r="C861" s="4" t="s">
        <v>61</v>
      </c>
      <c r="D861" s="5">
        <v>8</v>
      </c>
      <c r="E861" s="7">
        <f>TRUNC([1]일위대가목록!E198,0)</f>
        <v>0</v>
      </c>
      <c r="F861" s="7">
        <f>TRUNC(E861*D861, 0)</f>
        <v>0</v>
      </c>
      <c r="G861" s="7">
        <f>TRUNC([1]일위대가목록!F198,0)</f>
        <v>101143</v>
      </c>
      <c r="H861" s="7">
        <f>TRUNC(G861*D861, 0)</f>
        <v>809144</v>
      </c>
      <c r="I861" s="7">
        <f>TRUNC([1]일위대가목록!G198,0)</f>
        <v>980</v>
      </c>
      <c r="J861" s="7">
        <f>TRUNC(I861*D861, 0)</f>
        <v>7840</v>
      </c>
      <c r="K861" s="7">
        <f t="shared" ref="K861:L864" si="91">TRUNC(E861+G861+I861, 0)</f>
        <v>102123</v>
      </c>
      <c r="L861" s="7">
        <f t="shared" si="91"/>
        <v>816984</v>
      </c>
      <c r="M861" s="4" t="s">
        <v>2352</v>
      </c>
      <c r="N861" s="6" t="s">
        <v>2353</v>
      </c>
      <c r="O861" s="6" t="s">
        <v>55</v>
      </c>
      <c r="P861" s="6" t="s">
        <v>55</v>
      </c>
      <c r="Q861" s="6" t="s">
        <v>2350</v>
      </c>
      <c r="R861" s="6" t="s">
        <v>57</v>
      </c>
      <c r="S861" s="6" t="s">
        <v>56</v>
      </c>
      <c r="T861" s="6" t="s">
        <v>56</v>
      </c>
      <c r="AR861" s="6" t="s">
        <v>55</v>
      </c>
      <c r="AS861" s="6" t="s">
        <v>55</v>
      </c>
      <c r="AU861" s="6" t="s">
        <v>2354</v>
      </c>
      <c r="AV861">
        <v>514</v>
      </c>
    </row>
    <row r="862" spans="1:48" ht="30" customHeight="1" x14ac:dyDescent="0.3">
      <c r="A862" s="4" t="s">
        <v>494</v>
      </c>
      <c r="B862" s="4" t="s">
        <v>499</v>
      </c>
      <c r="C862" s="4" t="s">
        <v>61</v>
      </c>
      <c r="D862" s="5">
        <v>11</v>
      </c>
      <c r="E862" s="7">
        <f>TRUNC([1]일위대가목록!E53,0)</f>
        <v>21631</v>
      </c>
      <c r="F862" s="7">
        <f>TRUNC(E862*D862, 0)</f>
        <v>237941</v>
      </c>
      <c r="G862" s="7">
        <f>TRUNC([1]일위대가목록!F53,0)</f>
        <v>32980</v>
      </c>
      <c r="H862" s="7">
        <f>TRUNC(G862*D862, 0)</f>
        <v>362780</v>
      </c>
      <c r="I862" s="7">
        <f>TRUNC([1]일위대가목록!G53,0)</f>
        <v>0</v>
      </c>
      <c r="J862" s="7">
        <f>TRUNC(I862*D862, 0)</f>
        <v>0</v>
      </c>
      <c r="K862" s="7">
        <f t="shared" si="91"/>
        <v>54611</v>
      </c>
      <c r="L862" s="7">
        <f t="shared" si="91"/>
        <v>600721</v>
      </c>
      <c r="M862" s="4" t="s">
        <v>500</v>
      </c>
      <c r="N862" s="6" t="s">
        <v>501</v>
      </c>
      <c r="O862" s="6" t="s">
        <v>55</v>
      </c>
      <c r="P862" s="6" t="s">
        <v>55</v>
      </c>
      <c r="Q862" s="6" t="s">
        <v>2350</v>
      </c>
      <c r="R862" s="6" t="s">
        <v>57</v>
      </c>
      <c r="S862" s="6" t="s">
        <v>56</v>
      </c>
      <c r="T862" s="6" t="s">
        <v>56</v>
      </c>
      <c r="AR862" s="6" t="s">
        <v>55</v>
      </c>
      <c r="AS862" s="6" t="s">
        <v>55</v>
      </c>
      <c r="AU862" s="6" t="s">
        <v>2355</v>
      </c>
      <c r="AV862">
        <v>515</v>
      </c>
    </row>
    <row r="863" spans="1:48" ht="30" customHeight="1" x14ac:dyDescent="0.3">
      <c r="A863" s="4" t="s">
        <v>503</v>
      </c>
      <c r="B863" s="4" t="s">
        <v>55</v>
      </c>
      <c r="C863" s="4" t="s">
        <v>269</v>
      </c>
      <c r="D863" s="5">
        <v>14</v>
      </c>
      <c r="E863" s="7">
        <f>TRUNC([1]일위대가목록!E54,0)</f>
        <v>187</v>
      </c>
      <c r="F863" s="7">
        <f>TRUNC(E863*D863, 0)</f>
        <v>2618</v>
      </c>
      <c r="G863" s="7">
        <f>TRUNC([1]일위대가목록!F54,0)</f>
        <v>22086</v>
      </c>
      <c r="H863" s="7">
        <f>TRUNC(G863*D863, 0)</f>
        <v>309204</v>
      </c>
      <c r="I863" s="7">
        <f>TRUNC([1]일위대가목록!G54,0)</f>
        <v>0</v>
      </c>
      <c r="J863" s="7">
        <f>TRUNC(I863*D863, 0)</f>
        <v>0</v>
      </c>
      <c r="K863" s="7">
        <f t="shared" si="91"/>
        <v>22273</v>
      </c>
      <c r="L863" s="7">
        <f t="shared" si="91"/>
        <v>311822</v>
      </c>
      <c r="M863" s="4" t="s">
        <v>504</v>
      </c>
      <c r="N863" s="6" t="s">
        <v>505</v>
      </c>
      <c r="O863" s="6" t="s">
        <v>55</v>
      </c>
      <c r="P863" s="6" t="s">
        <v>55</v>
      </c>
      <c r="Q863" s="6" t="s">
        <v>2350</v>
      </c>
      <c r="R863" s="6" t="s">
        <v>57</v>
      </c>
      <c r="S863" s="6" t="s">
        <v>56</v>
      </c>
      <c r="T863" s="6" t="s">
        <v>56</v>
      </c>
      <c r="AR863" s="6" t="s">
        <v>55</v>
      </c>
      <c r="AS863" s="6" t="s">
        <v>55</v>
      </c>
      <c r="AU863" s="6" t="s">
        <v>2356</v>
      </c>
      <c r="AV863">
        <v>516</v>
      </c>
    </row>
    <row r="864" spans="1:48" ht="30" customHeight="1" x14ac:dyDescent="0.3">
      <c r="A864" s="4" t="s">
        <v>507</v>
      </c>
      <c r="B864" s="4" t="s">
        <v>508</v>
      </c>
      <c r="C864" s="4" t="s">
        <v>269</v>
      </c>
      <c r="D864" s="5">
        <v>4</v>
      </c>
      <c r="E864" s="7">
        <f>TRUNC([1]단가대비표!O138,0)</f>
        <v>83333</v>
      </c>
      <c r="F864" s="7">
        <f>TRUNC(E864*D864, 0)</f>
        <v>333332</v>
      </c>
      <c r="G864" s="7">
        <f>TRUNC([1]단가대비표!P138,0)</f>
        <v>0</v>
      </c>
      <c r="H864" s="7">
        <f>TRUNC(G864*D864, 0)</f>
        <v>0</v>
      </c>
      <c r="I864" s="7">
        <f>TRUNC([1]단가대비표!V138,0)</f>
        <v>0</v>
      </c>
      <c r="J864" s="7">
        <f>TRUNC(I864*D864, 0)</f>
        <v>0</v>
      </c>
      <c r="K864" s="7">
        <f t="shared" si="91"/>
        <v>83333</v>
      </c>
      <c r="L864" s="7">
        <f t="shared" si="91"/>
        <v>333332</v>
      </c>
      <c r="M864" s="4" t="s">
        <v>55</v>
      </c>
      <c r="N864" s="6" t="s">
        <v>509</v>
      </c>
      <c r="O864" s="6" t="s">
        <v>55</v>
      </c>
      <c r="P864" s="6" t="s">
        <v>55</v>
      </c>
      <c r="Q864" s="6" t="s">
        <v>2350</v>
      </c>
      <c r="R864" s="6" t="s">
        <v>56</v>
      </c>
      <c r="S864" s="6" t="s">
        <v>56</v>
      </c>
      <c r="T864" s="6" t="s">
        <v>57</v>
      </c>
      <c r="AR864" s="6" t="s">
        <v>55</v>
      </c>
      <c r="AS864" s="6" t="s">
        <v>55</v>
      </c>
      <c r="AU864" s="6" t="s">
        <v>2357</v>
      </c>
      <c r="AV864">
        <v>513</v>
      </c>
    </row>
    <row r="865" spans="1:14" ht="30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 spans="1:14" ht="30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 spans="1:14" ht="30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 spans="1:14" ht="30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 spans="1:14" ht="30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 spans="1:14" ht="30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 spans="1:14" ht="30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 spans="1:14" ht="30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 spans="1:14" ht="30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 spans="1:14" ht="30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 spans="1:14" ht="30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 spans="1:14" ht="30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 spans="1:14" ht="30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 spans="1:14" ht="30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 spans="1:14" ht="30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 spans="1:14" ht="30" customHeight="1" x14ac:dyDescent="0.3">
      <c r="A880" s="4" t="s">
        <v>128</v>
      </c>
      <c r="B880" s="5"/>
      <c r="C880" s="5"/>
      <c r="D880" s="5"/>
      <c r="E880" s="5"/>
      <c r="F880" s="7">
        <f>SUM(F861:F879)</f>
        <v>573891</v>
      </c>
      <c r="G880" s="5"/>
      <c r="H880" s="7">
        <f>SUM(H861:H879)</f>
        <v>1481128</v>
      </c>
      <c r="I880" s="5"/>
      <c r="J880" s="7">
        <f>SUM(J861:J879)</f>
        <v>7840</v>
      </c>
      <c r="K880" s="5"/>
      <c r="L880" s="7">
        <f>SUM(L861:L879)</f>
        <v>2062859</v>
      </c>
      <c r="M880" s="5"/>
      <c r="N880" t="s">
        <v>129</v>
      </c>
    </row>
    <row r="881" spans="1:48" ht="30" customHeight="1" x14ac:dyDescent="0.3">
      <c r="A881" s="4" t="s">
        <v>2358</v>
      </c>
      <c r="B881" s="4" t="s">
        <v>2291</v>
      </c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Q881" s="6" t="s">
        <v>2359</v>
      </c>
    </row>
    <row r="882" spans="1:48" ht="30" customHeight="1" x14ac:dyDescent="0.3">
      <c r="A882" s="4" t="s">
        <v>513</v>
      </c>
      <c r="B882" s="4" t="s">
        <v>514</v>
      </c>
      <c r="C882" s="4" t="s">
        <v>61</v>
      </c>
      <c r="D882" s="5">
        <v>71</v>
      </c>
      <c r="E882" s="7">
        <f>TRUNC([1]단가대비표!O104,0)</f>
        <v>16000</v>
      </c>
      <c r="F882" s="7">
        <f t="shared" ref="F882:F888" si="92">TRUNC(E882*D882, 0)</f>
        <v>1136000</v>
      </c>
      <c r="G882" s="7">
        <f>TRUNC([1]단가대비표!P104,0)</f>
        <v>0</v>
      </c>
      <c r="H882" s="7">
        <f t="shared" ref="H882:H888" si="93">TRUNC(G882*D882, 0)</f>
        <v>0</v>
      </c>
      <c r="I882" s="7">
        <f>TRUNC([1]단가대비표!V104,0)</f>
        <v>0</v>
      </c>
      <c r="J882" s="7">
        <f t="shared" ref="J882:J888" si="94">TRUNC(I882*D882, 0)</f>
        <v>0</v>
      </c>
      <c r="K882" s="7">
        <f t="shared" ref="K882:L888" si="95">TRUNC(E882+G882+I882, 0)</f>
        <v>16000</v>
      </c>
      <c r="L882" s="7">
        <f t="shared" si="95"/>
        <v>1136000</v>
      </c>
      <c r="M882" s="4" t="s">
        <v>55</v>
      </c>
      <c r="N882" s="6" t="s">
        <v>515</v>
      </c>
      <c r="O882" s="6" t="s">
        <v>55</v>
      </c>
      <c r="P882" s="6" t="s">
        <v>55</v>
      </c>
      <c r="Q882" s="6" t="s">
        <v>2359</v>
      </c>
      <c r="R882" s="6" t="s">
        <v>56</v>
      </c>
      <c r="S882" s="6" t="s">
        <v>56</v>
      </c>
      <c r="T882" s="6" t="s">
        <v>57</v>
      </c>
      <c r="AR882" s="6" t="s">
        <v>55</v>
      </c>
      <c r="AS882" s="6" t="s">
        <v>55</v>
      </c>
      <c r="AU882" s="6" t="s">
        <v>2360</v>
      </c>
      <c r="AV882">
        <v>520</v>
      </c>
    </row>
    <row r="883" spans="1:48" ht="30" customHeight="1" x14ac:dyDescent="0.3">
      <c r="A883" s="4" t="s">
        <v>521</v>
      </c>
      <c r="B883" s="4" t="s">
        <v>522</v>
      </c>
      <c r="C883" s="4" t="s">
        <v>61</v>
      </c>
      <c r="D883" s="5">
        <v>47</v>
      </c>
      <c r="E883" s="7">
        <f>TRUNC([1]단가대비표!O108,0)</f>
        <v>10800</v>
      </c>
      <c r="F883" s="7">
        <f t="shared" si="92"/>
        <v>507600</v>
      </c>
      <c r="G883" s="7">
        <f>TRUNC([1]단가대비표!P108,0)</f>
        <v>0</v>
      </c>
      <c r="H883" s="7">
        <f t="shared" si="93"/>
        <v>0</v>
      </c>
      <c r="I883" s="7">
        <f>TRUNC([1]단가대비표!V108,0)</f>
        <v>0</v>
      </c>
      <c r="J883" s="7">
        <f t="shared" si="94"/>
        <v>0</v>
      </c>
      <c r="K883" s="7">
        <f t="shared" si="95"/>
        <v>10800</v>
      </c>
      <c r="L883" s="7">
        <f t="shared" si="95"/>
        <v>507600</v>
      </c>
      <c r="M883" s="4" t="s">
        <v>55</v>
      </c>
      <c r="N883" s="6" t="s">
        <v>523</v>
      </c>
      <c r="O883" s="6" t="s">
        <v>55</v>
      </c>
      <c r="P883" s="6" t="s">
        <v>55</v>
      </c>
      <c r="Q883" s="6" t="s">
        <v>2359</v>
      </c>
      <c r="R883" s="6" t="s">
        <v>56</v>
      </c>
      <c r="S883" s="6" t="s">
        <v>56</v>
      </c>
      <c r="T883" s="6" t="s">
        <v>57</v>
      </c>
      <c r="AR883" s="6" t="s">
        <v>55</v>
      </c>
      <c r="AS883" s="6" t="s">
        <v>55</v>
      </c>
      <c r="AU883" s="6" t="s">
        <v>2361</v>
      </c>
      <c r="AV883">
        <v>522</v>
      </c>
    </row>
    <row r="884" spans="1:48" ht="30" customHeight="1" x14ac:dyDescent="0.3">
      <c r="A884" s="4" t="s">
        <v>528</v>
      </c>
      <c r="B884" s="4" t="s">
        <v>529</v>
      </c>
      <c r="C884" s="4" t="s">
        <v>61</v>
      </c>
      <c r="D884" s="5">
        <v>136</v>
      </c>
      <c r="E884" s="7">
        <f>TRUNC([1]일위대가목록!E55,0)</f>
        <v>0</v>
      </c>
      <c r="F884" s="7">
        <f t="shared" si="92"/>
        <v>0</v>
      </c>
      <c r="G884" s="7">
        <f>TRUNC([1]일위대가목록!F55,0)</f>
        <v>24112</v>
      </c>
      <c r="H884" s="7">
        <f t="shared" si="93"/>
        <v>3279232</v>
      </c>
      <c r="I884" s="7">
        <f>TRUNC([1]일위대가목록!G55,0)</f>
        <v>447</v>
      </c>
      <c r="J884" s="7">
        <f t="shared" si="94"/>
        <v>60792</v>
      </c>
      <c r="K884" s="7">
        <f t="shared" si="95"/>
        <v>24559</v>
      </c>
      <c r="L884" s="7">
        <f t="shared" si="95"/>
        <v>3340024</v>
      </c>
      <c r="M884" s="4" t="s">
        <v>530</v>
      </c>
      <c r="N884" s="6" t="s">
        <v>531</v>
      </c>
      <c r="O884" s="6" t="s">
        <v>55</v>
      </c>
      <c r="P884" s="6" t="s">
        <v>55</v>
      </c>
      <c r="Q884" s="6" t="s">
        <v>2359</v>
      </c>
      <c r="R884" s="6" t="s">
        <v>57</v>
      </c>
      <c r="S884" s="6" t="s">
        <v>56</v>
      </c>
      <c r="T884" s="6" t="s">
        <v>56</v>
      </c>
      <c r="AR884" s="6" t="s">
        <v>55</v>
      </c>
      <c r="AS884" s="6" t="s">
        <v>55</v>
      </c>
      <c r="AU884" s="6" t="s">
        <v>2362</v>
      </c>
      <c r="AV884">
        <v>3079</v>
      </c>
    </row>
    <row r="885" spans="1:48" ht="30" customHeight="1" x14ac:dyDescent="0.3">
      <c r="A885" s="4" t="s">
        <v>528</v>
      </c>
      <c r="B885" s="4" t="s">
        <v>533</v>
      </c>
      <c r="C885" s="4" t="s">
        <v>61</v>
      </c>
      <c r="D885" s="5">
        <v>69</v>
      </c>
      <c r="E885" s="7">
        <f>TRUNC([1]일위대가목록!E56,0)</f>
        <v>0</v>
      </c>
      <c r="F885" s="7">
        <f t="shared" si="92"/>
        <v>0</v>
      </c>
      <c r="G885" s="7">
        <f>TRUNC([1]일위대가목록!F56,0)</f>
        <v>13294</v>
      </c>
      <c r="H885" s="7">
        <f t="shared" si="93"/>
        <v>917286</v>
      </c>
      <c r="I885" s="7">
        <f>TRUNC([1]일위대가목록!G56,0)</f>
        <v>214</v>
      </c>
      <c r="J885" s="7">
        <f t="shared" si="94"/>
        <v>14766</v>
      </c>
      <c r="K885" s="7">
        <f t="shared" si="95"/>
        <v>13508</v>
      </c>
      <c r="L885" s="7">
        <f t="shared" si="95"/>
        <v>932052</v>
      </c>
      <c r="M885" s="4" t="s">
        <v>534</v>
      </c>
      <c r="N885" s="6" t="s">
        <v>535</v>
      </c>
      <c r="O885" s="6" t="s">
        <v>55</v>
      </c>
      <c r="P885" s="6" t="s">
        <v>55</v>
      </c>
      <c r="Q885" s="6" t="s">
        <v>2359</v>
      </c>
      <c r="R885" s="6" t="s">
        <v>57</v>
      </c>
      <c r="S885" s="6" t="s">
        <v>56</v>
      </c>
      <c r="T885" s="6" t="s">
        <v>56</v>
      </c>
      <c r="AR885" s="6" t="s">
        <v>55</v>
      </c>
      <c r="AS885" s="6" t="s">
        <v>55</v>
      </c>
      <c r="AU885" s="6" t="s">
        <v>2363</v>
      </c>
      <c r="AV885">
        <v>3080</v>
      </c>
    </row>
    <row r="886" spans="1:48" ht="30" customHeight="1" x14ac:dyDescent="0.3">
      <c r="A886" s="4" t="s">
        <v>528</v>
      </c>
      <c r="B886" s="4" t="s">
        <v>557</v>
      </c>
      <c r="C886" s="4" t="s">
        <v>61</v>
      </c>
      <c r="D886" s="5">
        <v>45</v>
      </c>
      <c r="E886" s="7">
        <f>TRUNC([1]일위대가목록!E62,0)</f>
        <v>0</v>
      </c>
      <c r="F886" s="7">
        <f t="shared" si="92"/>
        <v>0</v>
      </c>
      <c r="G886" s="7">
        <f>TRUNC([1]일위대가목록!F62,0)</f>
        <v>16508</v>
      </c>
      <c r="H886" s="7">
        <f t="shared" si="93"/>
        <v>742860</v>
      </c>
      <c r="I886" s="7">
        <f>TRUNC([1]일위대가목록!G62,0)</f>
        <v>214</v>
      </c>
      <c r="J886" s="7">
        <f t="shared" si="94"/>
        <v>9630</v>
      </c>
      <c r="K886" s="7">
        <f t="shared" si="95"/>
        <v>16722</v>
      </c>
      <c r="L886" s="7">
        <f t="shared" si="95"/>
        <v>752490</v>
      </c>
      <c r="M886" s="4" t="s">
        <v>558</v>
      </c>
      <c r="N886" s="6" t="s">
        <v>559</v>
      </c>
      <c r="O886" s="6" t="s">
        <v>55</v>
      </c>
      <c r="P886" s="6" t="s">
        <v>55</v>
      </c>
      <c r="Q886" s="6" t="s">
        <v>2359</v>
      </c>
      <c r="R886" s="6" t="s">
        <v>57</v>
      </c>
      <c r="S886" s="6" t="s">
        <v>56</v>
      </c>
      <c r="T886" s="6" t="s">
        <v>56</v>
      </c>
      <c r="AR886" s="6" t="s">
        <v>55</v>
      </c>
      <c r="AS886" s="6" t="s">
        <v>55</v>
      </c>
      <c r="AU886" s="6" t="s">
        <v>2364</v>
      </c>
      <c r="AV886">
        <v>3081</v>
      </c>
    </row>
    <row r="887" spans="1:48" ht="30" customHeight="1" x14ac:dyDescent="0.3">
      <c r="A887" s="4" t="s">
        <v>569</v>
      </c>
      <c r="B887" s="4" t="s">
        <v>570</v>
      </c>
      <c r="C887" s="4" t="s">
        <v>140</v>
      </c>
      <c r="D887" s="5">
        <v>136</v>
      </c>
      <c r="E887" s="7">
        <f>TRUNC([1]단가대비표!O249,0)</f>
        <v>1079</v>
      </c>
      <c r="F887" s="7">
        <f t="shared" si="92"/>
        <v>146744</v>
      </c>
      <c r="G887" s="7">
        <f>TRUNC([1]단가대비표!P249,0)</f>
        <v>34877</v>
      </c>
      <c r="H887" s="7">
        <f t="shared" si="93"/>
        <v>4743272</v>
      </c>
      <c r="I887" s="7">
        <f>TRUNC([1]단가대비표!V249,0)</f>
        <v>0</v>
      </c>
      <c r="J887" s="7">
        <f t="shared" si="94"/>
        <v>0</v>
      </c>
      <c r="K887" s="7">
        <f t="shared" si="95"/>
        <v>35956</v>
      </c>
      <c r="L887" s="7">
        <f t="shared" si="95"/>
        <v>4890016</v>
      </c>
      <c r="M887" s="4" t="s">
        <v>141</v>
      </c>
      <c r="N887" s="6" t="s">
        <v>571</v>
      </c>
      <c r="O887" s="6" t="s">
        <v>55</v>
      </c>
      <c r="P887" s="6" t="s">
        <v>55</v>
      </c>
      <c r="Q887" s="6" t="s">
        <v>2359</v>
      </c>
      <c r="R887" s="6" t="s">
        <v>56</v>
      </c>
      <c r="S887" s="6" t="s">
        <v>56</v>
      </c>
      <c r="T887" s="6" t="s">
        <v>57</v>
      </c>
      <c r="AR887" s="6" t="s">
        <v>55</v>
      </c>
      <c r="AS887" s="6" t="s">
        <v>55</v>
      </c>
      <c r="AU887" s="6" t="s">
        <v>2365</v>
      </c>
      <c r="AV887">
        <v>3082</v>
      </c>
    </row>
    <row r="888" spans="1:48" ht="30" customHeight="1" x14ac:dyDescent="0.3">
      <c r="A888" s="4" t="s">
        <v>573</v>
      </c>
      <c r="B888" s="4" t="s">
        <v>570</v>
      </c>
      <c r="C888" s="4" t="s">
        <v>140</v>
      </c>
      <c r="D888" s="5">
        <v>114</v>
      </c>
      <c r="E888" s="7">
        <f>TRUNC([1]단가대비표!O252,0)</f>
        <v>888</v>
      </c>
      <c r="F888" s="7">
        <f t="shared" si="92"/>
        <v>101232</v>
      </c>
      <c r="G888" s="7">
        <f>TRUNC([1]단가대비표!P252,0)</f>
        <v>28692</v>
      </c>
      <c r="H888" s="7">
        <f t="shared" si="93"/>
        <v>3270888</v>
      </c>
      <c r="I888" s="7">
        <f>TRUNC([1]단가대비표!V252,0)</f>
        <v>0</v>
      </c>
      <c r="J888" s="7">
        <f t="shared" si="94"/>
        <v>0</v>
      </c>
      <c r="K888" s="7">
        <f t="shared" si="95"/>
        <v>29580</v>
      </c>
      <c r="L888" s="7">
        <f t="shared" si="95"/>
        <v>3372120</v>
      </c>
      <c r="M888" s="4" t="s">
        <v>141</v>
      </c>
      <c r="N888" s="6" t="s">
        <v>574</v>
      </c>
      <c r="O888" s="6" t="s">
        <v>55</v>
      </c>
      <c r="P888" s="6" t="s">
        <v>55</v>
      </c>
      <c r="Q888" s="6" t="s">
        <v>2359</v>
      </c>
      <c r="R888" s="6" t="s">
        <v>56</v>
      </c>
      <c r="S888" s="6" t="s">
        <v>56</v>
      </c>
      <c r="T888" s="6" t="s">
        <v>57</v>
      </c>
      <c r="AR888" s="6" t="s">
        <v>55</v>
      </c>
      <c r="AS888" s="6" t="s">
        <v>55</v>
      </c>
      <c r="AU888" s="6" t="s">
        <v>2366</v>
      </c>
      <c r="AV888">
        <v>3083</v>
      </c>
    </row>
    <row r="889" spans="1:48" ht="30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 spans="1:48" ht="30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 spans="1:48" ht="30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spans="1:48" ht="30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 spans="1:48" ht="30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 spans="1:48" ht="30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 spans="1:48" ht="30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 spans="1:48" ht="30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 spans="1:48" ht="30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 spans="1:48" ht="30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 spans="1:48" ht="30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 spans="1:48" ht="30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 spans="1:48" ht="30" customHeight="1" x14ac:dyDescent="0.3">
      <c r="A901" s="4" t="s">
        <v>128</v>
      </c>
      <c r="B901" s="5"/>
      <c r="C901" s="5"/>
      <c r="D901" s="5"/>
      <c r="E901" s="5"/>
      <c r="F901" s="7">
        <f>SUM(F882:F900)</f>
        <v>1891576</v>
      </c>
      <c r="G901" s="5"/>
      <c r="H901" s="7">
        <f>SUM(H882:H900)</f>
        <v>12953538</v>
      </c>
      <c r="I901" s="5"/>
      <c r="J901" s="7">
        <f>SUM(J882:J900)</f>
        <v>85188</v>
      </c>
      <c r="K901" s="5"/>
      <c r="L901" s="7">
        <f>SUM(L882:L900)</f>
        <v>14930302</v>
      </c>
      <c r="M901" s="5"/>
      <c r="N901" t="s">
        <v>129</v>
      </c>
    </row>
    <row r="902" spans="1:48" ht="30" customHeight="1" x14ac:dyDescent="0.3">
      <c r="A902" s="4" t="s">
        <v>2367</v>
      </c>
      <c r="B902" s="4" t="s">
        <v>2291</v>
      </c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Q902" s="6" t="s">
        <v>2368</v>
      </c>
    </row>
    <row r="903" spans="1:48" ht="30" customHeight="1" x14ac:dyDescent="0.3">
      <c r="A903" s="4" t="s">
        <v>578</v>
      </c>
      <c r="B903" s="4" t="s">
        <v>579</v>
      </c>
      <c r="C903" s="4" t="s">
        <v>61</v>
      </c>
      <c r="D903" s="5">
        <v>243</v>
      </c>
      <c r="E903" s="7">
        <f>TRUNC([1]일위대가목록!E65,0)</f>
        <v>12500</v>
      </c>
      <c r="F903" s="7">
        <f t="shared" ref="F903:F914" si="96">TRUNC(E903*D903, 0)</f>
        <v>3037500</v>
      </c>
      <c r="G903" s="7">
        <f>TRUNC([1]일위대가목록!F65,0)</f>
        <v>5000</v>
      </c>
      <c r="H903" s="7">
        <f t="shared" ref="H903:H914" si="97">TRUNC(G903*D903, 0)</f>
        <v>1215000</v>
      </c>
      <c r="I903" s="7">
        <f>TRUNC([1]일위대가목록!G65,0)</f>
        <v>0</v>
      </c>
      <c r="J903" s="7">
        <f t="shared" ref="J903:J914" si="98">TRUNC(I903*D903, 0)</f>
        <v>0</v>
      </c>
      <c r="K903" s="7">
        <f t="shared" ref="K903:L914" si="99">TRUNC(E903+G903+I903, 0)</f>
        <v>17500</v>
      </c>
      <c r="L903" s="7">
        <f t="shared" si="99"/>
        <v>4252500</v>
      </c>
      <c r="M903" s="4" t="s">
        <v>580</v>
      </c>
      <c r="N903" s="6" t="s">
        <v>581</v>
      </c>
      <c r="O903" s="6" t="s">
        <v>55</v>
      </c>
      <c r="P903" s="6" t="s">
        <v>55</v>
      </c>
      <c r="Q903" s="6" t="s">
        <v>2368</v>
      </c>
      <c r="R903" s="6" t="s">
        <v>57</v>
      </c>
      <c r="S903" s="6" t="s">
        <v>56</v>
      </c>
      <c r="T903" s="6" t="s">
        <v>56</v>
      </c>
      <c r="AR903" s="6" t="s">
        <v>55</v>
      </c>
      <c r="AS903" s="6" t="s">
        <v>55</v>
      </c>
      <c r="AU903" s="6" t="s">
        <v>2369</v>
      </c>
      <c r="AV903">
        <v>3085</v>
      </c>
    </row>
    <row r="904" spans="1:48" ht="30" customHeight="1" x14ac:dyDescent="0.3">
      <c r="A904" s="4" t="s">
        <v>602</v>
      </c>
      <c r="B904" s="4" t="s">
        <v>603</v>
      </c>
      <c r="C904" s="4" t="s">
        <v>61</v>
      </c>
      <c r="D904" s="5">
        <v>8</v>
      </c>
      <c r="E904" s="7">
        <f>TRUNC([1]단가대비표!O128,0)</f>
        <v>50000</v>
      </c>
      <c r="F904" s="7">
        <f t="shared" si="96"/>
        <v>400000</v>
      </c>
      <c r="G904" s="7">
        <f>TRUNC([1]단가대비표!P128,0)</f>
        <v>0</v>
      </c>
      <c r="H904" s="7">
        <f t="shared" si="97"/>
        <v>0</v>
      </c>
      <c r="I904" s="7">
        <f>TRUNC([1]단가대비표!V128,0)</f>
        <v>0</v>
      </c>
      <c r="J904" s="7">
        <f t="shared" si="98"/>
        <v>0</v>
      </c>
      <c r="K904" s="7">
        <f t="shared" si="99"/>
        <v>50000</v>
      </c>
      <c r="L904" s="7">
        <f t="shared" si="99"/>
        <v>400000</v>
      </c>
      <c r="M904" s="4" t="s">
        <v>55</v>
      </c>
      <c r="N904" s="6" t="s">
        <v>604</v>
      </c>
      <c r="O904" s="6" t="s">
        <v>55</v>
      </c>
      <c r="P904" s="6" t="s">
        <v>55</v>
      </c>
      <c r="Q904" s="6" t="s">
        <v>2368</v>
      </c>
      <c r="R904" s="6" t="s">
        <v>56</v>
      </c>
      <c r="S904" s="6" t="s">
        <v>56</v>
      </c>
      <c r="T904" s="6" t="s">
        <v>57</v>
      </c>
      <c r="AR904" s="6" t="s">
        <v>55</v>
      </c>
      <c r="AS904" s="6" t="s">
        <v>55</v>
      </c>
      <c r="AU904" s="6" t="s">
        <v>2370</v>
      </c>
      <c r="AV904">
        <v>532</v>
      </c>
    </row>
    <row r="905" spans="1:48" ht="30" customHeight="1" x14ac:dyDescent="0.3">
      <c r="A905" s="4" t="s">
        <v>602</v>
      </c>
      <c r="B905" s="4" t="s">
        <v>606</v>
      </c>
      <c r="C905" s="4" t="s">
        <v>61</v>
      </c>
      <c r="D905" s="5">
        <v>45</v>
      </c>
      <c r="E905" s="7">
        <f>TRUNC([1]단가대비표!O129,0)</f>
        <v>50000</v>
      </c>
      <c r="F905" s="7">
        <f t="shared" si="96"/>
        <v>2250000</v>
      </c>
      <c r="G905" s="7">
        <f>TRUNC([1]단가대비표!P129,0)</f>
        <v>0</v>
      </c>
      <c r="H905" s="7">
        <f t="shared" si="97"/>
        <v>0</v>
      </c>
      <c r="I905" s="7">
        <f>TRUNC([1]단가대비표!V129,0)</f>
        <v>0</v>
      </c>
      <c r="J905" s="7">
        <f t="shared" si="98"/>
        <v>0</v>
      </c>
      <c r="K905" s="7">
        <f t="shared" si="99"/>
        <v>50000</v>
      </c>
      <c r="L905" s="7">
        <f t="shared" si="99"/>
        <v>2250000</v>
      </c>
      <c r="M905" s="4" t="s">
        <v>55</v>
      </c>
      <c r="N905" s="6" t="s">
        <v>607</v>
      </c>
      <c r="O905" s="6" t="s">
        <v>55</v>
      </c>
      <c r="P905" s="6" t="s">
        <v>55</v>
      </c>
      <c r="Q905" s="6" t="s">
        <v>2368</v>
      </c>
      <c r="R905" s="6" t="s">
        <v>56</v>
      </c>
      <c r="S905" s="6" t="s">
        <v>56</v>
      </c>
      <c r="T905" s="6" t="s">
        <v>57</v>
      </c>
      <c r="AR905" s="6" t="s">
        <v>55</v>
      </c>
      <c r="AS905" s="6" t="s">
        <v>55</v>
      </c>
      <c r="AU905" s="6" t="s">
        <v>2371</v>
      </c>
      <c r="AV905">
        <v>3084</v>
      </c>
    </row>
    <row r="906" spans="1:48" ht="30" customHeight="1" x14ac:dyDescent="0.3">
      <c r="A906" s="4" t="s">
        <v>623</v>
      </c>
      <c r="B906" s="4" t="s">
        <v>2372</v>
      </c>
      <c r="C906" s="4" t="s">
        <v>61</v>
      </c>
      <c r="D906" s="5">
        <v>179</v>
      </c>
      <c r="E906" s="7">
        <f>TRUNC([1]일위대가목록!E199,0)</f>
        <v>31436</v>
      </c>
      <c r="F906" s="7">
        <f t="shared" si="96"/>
        <v>5627044</v>
      </c>
      <c r="G906" s="7">
        <f>TRUNC([1]일위대가목록!F199,0)</f>
        <v>26868</v>
      </c>
      <c r="H906" s="7">
        <f t="shared" si="97"/>
        <v>4809372</v>
      </c>
      <c r="I906" s="7">
        <f>TRUNC([1]일위대가목록!G199,0)</f>
        <v>200</v>
      </c>
      <c r="J906" s="7">
        <f t="shared" si="98"/>
        <v>35800</v>
      </c>
      <c r="K906" s="7">
        <f t="shared" si="99"/>
        <v>58504</v>
      </c>
      <c r="L906" s="7">
        <f t="shared" si="99"/>
        <v>10472216</v>
      </c>
      <c r="M906" s="4" t="s">
        <v>2373</v>
      </c>
      <c r="N906" s="6" t="s">
        <v>2374</v>
      </c>
      <c r="O906" s="6" t="s">
        <v>55</v>
      </c>
      <c r="P906" s="6" t="s">
        <v>55</v>
      </c>
      <c r="Q906" s="6" t="s">
        <v>2368</v>
      </c>
      <c r="R906" s="6" t="s">
        <v>57</v>
      </c>
      <c r="S906" s="6" t="s">
        <v>56</v>
      </c>
      <c r="T906" s="6" t="s">
        <v>56</v>
      </c>
      <c r="AR906" s="6" t="s">
        <v>55</v>
      </c>
      <c r="AS906" s="6" t="s">
        <v>55</v>
      </c>
      <c r="AU906" s="6" t="s">
        <v>2375</v>
      </c>
      <c r="AV906">
        <v>536</v>
      </c>
    </row>
    <row r="907" spans="1:48" ht="30" customHeight="1" x14ac:dyDescent="0.3">
      <c r="A907" s="4" t="s">
        <v>628</v>
      </c>
      <c r="B907" s="4" t="s">
        <v>637</v>
      </c>
      <c r="C907" s="4" t="s">
        <v>61</v>
      </c>
      <c r="D907" s="5">
        <v>415</v>
      </c>
      <c r="E907" s="7">
        <f>TRUNC([1]일위대가목록!E73,0)</f>
        <v>40546</v>
      </c>
      <c r="F907" s="7">
        <f t="shared" si="96"/>
        <v>16826590</v>
      </c>
      <c r="G907" s="7">
        <f>TRUNC([1]일위대가목록!F73,0)</f>
        <v>8338</v>
      </c>
      <c r="H907" s="7">
        <f t="shared" si="97"/>
        <v>3460270</v>
      </c>
      <c r="I907" s="7">
        <f>TRUNC([1]일위대가목록!G73,0)</f>
        <v>166</v>
      </c>
      <c r="J907" s="7">
        <f t="shared" si="98"/>
        <v>68890</v>
      </c>
      <c r="K907" s="7">
        <f t="shared" si="99"/>
        <v>49050</v>
      </c>
      <c r="L907" s="7">
        <f t="shared" si="99"/>
        <v>20355750</v>
      </c>
      <c r="M907" s="4" t="s">
        <v>638</v>
      </c>
      <c r="N907" s="6" t="s">
        <v>639</v>
      </c>
      <c r="O907" s="6" t="s">
        <v>55</v>
      </c>
      <c r="P907" s="6" t="s">
        <v>55</v>
      </c>
      <c r="Q907" s="6" t="s">
        <v>2368</v>
      </c>
      <c r="R907" s="6" t="s">
        <v>57</v>
      </c>
      <c r="S907" s="6" t="s">
        <v>56</v>
      </c>
      <c r="T907" s="6" t="s">
        <v>56</v>
      </c>
      <c r="AR907" s="6" t="s">
        <v>55</v>
      </c>
      <c r="AS907" s="6" t="s">
        <v>55</v>
      </c>
      <c r="AU907" s="6" t="s">
        <v>2376</v>
      </c>
      <c r="AV907">
        <v>3237</v>
      </c>
    </row>
    <row r="908" spans="1:48" ht="30" customHeight="1" x14ac:dyDescent="0.3">
      <c r="A908" s="4" t="s">
        <v>641</v>
      </c>
      <c r="B908" s="4" t="s">
        <v>2377</v>
      </c>
      <c r="C908" s="4" t="s">
        <v>61</v>
      </c>
      <c r="D908" s="5">
        <v>45</v>
      </c>
      <c r="E908" s="7">
        <f>TRUNC([1]일위대가목록!E200,0)</f>
        <v>11765</v>
      </c>
      <c r="F908" s="7">
        <f t="shared" si="96"/>
        <v>529425</v>
      </c>
      <c r="G908" s="7">
        <f>TRUNC([1]일위대가목록!F200,0)</f>
        <v>2760</v>
      </c>
      <c r="H908" s="7">
        <f t="shared" si="97"/>
        <v>124200</v>
      </c>
      <c r="I908" s="7">
        <f>TRUNC([1]일위대가목록!G200,0)</f>
        <v>0</v>
      </c>
      <c r="J908" s="7">
        <f t="shared" si="98"/>
        <v>0</v>
      </c>
      <c r="K908" s="7">
        <f t="shared" si="99"/>
        <v>14525</v>
      </c>
      <c r="L908" s="7">
        <f t="shared" si="99"/>
        <v>653625</v>
      </c>
      <c r="M908" s="4" t="s">
        <v>2378</v>
      </c>
      <c r="N908" s="6" t="s">
        <v>2379</v>
      </c>
      <c r="O908" s="6" t="s">
        <v>55</v>
      </c>
      <c r="P908" s="6" t="s">
        <v>55</v>
      </c>
      <c r="Q908" s="6" t="s">
        <v>2368</v>
      </c>
      <c r="R908" s="6" t="s">
        <v>57</v>
      </c>
      <c r="S908" s="6" t="s">
        <v>56</v>
      </c>
      <c r="T908" s="6" t="s">
        <v>56</v>
      </c>
      <c r="AR908" s="6" t="s">
        <v>55</v>
      </c>
      <c r="AS908" s="6" t="s">
        <v>55</v>
      </c>
      <c r="AU908" s="6" t="s">
        <v>2380</v>
      </c>
      <c r="AV908">
        <v>3239</v>
      </c>
    </row>
    <row r="909" spans="1:48" ht="30" customHeight="1" x14ac:dyDescent="0.3">
      <c r="A909" s="4" t="s">
        <v>649</v>
      </c>
      <c r="B909" s="4" t="s">
        <v>650</v>
      </c>
      <c r="C909" s="4" t="s">
        <v>61</v>
      </c>
      <c r="D909" s="5">
        <v>891</v>
      </c>
      <c r="E909" s="7">
        <f>TRUNC([1]일위대가목록!E76,0)</f>
        <v>443</v>
      </c>
      <c r="F909" s="7">
        <f t="shared" si="96"/>
        <v>394713</v>
      </c>
      <c r="G909" s="7">
        <f>TRUNC([1]일위대가목록!F76,0)</f>
        <v>1301</v>
      </c>
      <c r="H909" s="7">
        <f t="shared" si="97"/>
        <v>1159191</v>
      </c>
      <c r="I909" s="7">
        <f>TRUNC([1]일위대가목록!G76,0)</f>
        <v>0</v>
      </c>
      <c r="J909" s="7">
        <f t="shared" si="98"/>
        <v>0</v>
      </c>
      <c r="K909" s="7">
        <f t="shared" si="99"/>
        <v>1744</v>
      </c>
      <c r="L909" s="7">
        <f t="shared" si="99"/>
        <v>1553904</v>
      </c>
      <c r="M909" s="4" t="s">
        <v>651</v>
      </c>
      <c r="N909" s="6" t="s">
        <v>652</v>
      </c>
      <c r="O909" s="6" t="s">
        <v>55</v>
      </c>
      <c r="P909" s="6" t="s">
        <v>55</v>
      </c>
      <c r="Q909" s="6" t="s">
        <v>2368</v>
      </c>
      <c r="R909" s="6" t="s">
        <v>57</v>
      </c>
      <c r="S909" s="6" t="s">
        <v>56</v>
      </c>
      <c r="T909" s="6" t="s">
        <v>56</v>
      </c>
      <c r="AR909" s="6" t="s">
        <v>55</v>
      </c>
      <c r="AS909" s="6" t="s">
        <v>55</v>
      </c>
      <c r="AU909" s="6" t="s">
        <v>2381</v>
      </c>
      <c r="AV909">
        <v>540</v>
      </c>
    </row>
    <row r="910" spans="1:48" ht="30" customHeight="1" x14ac:dyDescent="0.3">
      <c r="A910" s="4" t="s">
        <v>613</v>
      </c>
      <c r="B910" s="4" t="s">
        <v>614</v>
      </c>
      <c r="C910" s="4" t="s">
        <v>61</v>
      </c>
      <c r="D910" s="5">
        <v>99</v>
      </c>
      <c r="E910" s="7">
        <f>TRUNC([1]일위대가목록!E69,0)</f>
        <v>4092</v>
      </c>
      <c r="F910" s="7">
        <f t="shared" si="96"/>
        <v>405108</v>
      </c>
      <c r="G910" s="7">
        <f>TRUNC([1]일위대가목록!F69,0)</f>
        <v>1739</v>
      </c>
      <c r="H910" s="7">
        <f t="shared" si="97"/>
        <v>172161</v>
      </c>
      <c r="I910" s="7">
        <f>TRUNC([1]일위대가목록!G69,0)</f>
        <v>168</v>
      </c>
      <c r="J910" s="7">
        <f t="shared" si="98"/>
        <v>16632</v>
      </c>
      <c r="K910" s="7">
        <f t="shared" si="99"/>
        <v>5999</v>
      </c>
      <c r="L910" s="7">
        <f t="shared" si="99"/>
        <v>593901</v>
      </c>
      <c r="M910" s="4" t="s">
        <v>615</v>
      </c>
      <c r="N910" s="6" t="s">
        <v>616</v>
      </c>
      <c r="O910" s="6" t="s">
        <v>55</v>
      </c>
      <c r="P910" s="6" t="s">
        <v>55</v>
      </c>
      <c r="Q910" s="6" t="s">
        <v>2368</v>
      </c>
      <c r="R910" s="6" t="s">
        <v>57</v>
      </c>
      <c r="S910" s="6" t="s">
        <v>56</v>
      </c>
      <c r="T910" s="6" t="s">
        <v>56</v>
      </c>
      <c r="AR910" s="6" t="s">
        <v>55</v>
      </c>
      <c r="AS910" s="6" t="s">
        <v>55</v>
      </c>
      <c r="AU910" s="6" t="s">
        <v>2382</v>
      </c>
      <c r="AV910">
        <v>3307</v>
      </c>
    </row>
    <row r="911" spans="1:48" ht="30" customHeight="1" x14ac:dyDescent="0.3">
      <c r="A911" s="4" t="s">
        <v>55</v>
      </c>
      <c r="B911" s="4" t="s">
        <v>55</v>
      </c>
      <c r="C911" s="4" t="s">
        <v>55</v>
      </c>
      <c r="D911" s="5"/>
      <c r="E911" s="7">
        <f>TRUNC([1]단가대비표!O837,0)</f>
        <v>0</v>
      </c>
      <c r="F911" s="7">
        <f t="shared" si="96"/>
        <v>0</v>
      </c>
      <c r="G911" s="7">
        <f>TRUNC([1]단가대비표!P837,0)</f>
        <v>0</v>
      </c>
      <c r="H911" s="7">
        <f t="shared" si="97"/>
        <v>0</v>
      </c>
      <c r="I911" s="7">
        <f>TRUNC([1]단가대비표!V837,0)</f>
        <v>0</v>
      </c>
      <c r="J911" s="7">
        <f t="shared" si="98"/>
        <v>0</v>
      </c>
      <c r="K911" s="7">
        <f t="shared" si="99"/>
        <v>0</v>
      </c>
      <c r="L911" s="7">
        <f t="shared" si="99"/>
        <v>0</v>
      </c>
      <c r="M911" s="4" t="s">
        <v>55</v>
      </c>
      <c r="N911" s="6" t="s">
        <v>2383</v>
      </c>
      <c r="O911" s="6" t="s">
        <v>55</v>
      </c>
      <c r="P911" s="6" t="s">
        <v>55</v>
      </c>
      <c r="Q911" s="6" t="s">
        <v>2368</v>
      </c>
      <c r="R911" s="6" t="s">
        <v>56</v>
      </c>
      <c r="S911" s="6" t="s">
        <v>56</v>
      </c>
      <c r="T911" s="6" t="s">
        <v>57</v>
      </c>
      <c r="AR911" s="6" t="s">
        <v>55</v>
      </c>
      <c r="AS911" s="6" t="s">
        <v>55</v>
      </c>
      <c r="AU911" s="6" t="s">
        <v>2384</v>
      </c>
      <c r="AV911">
        <v>3090</v>
      </c>
    </row>
    <row r="912" spans="1:48" ht="30" customHeight="1" x14ac:dyDescent="0.3">
      <c r="A912" s="4" t="s">
        <v>949</v>
      </c>
      <c r="B912" s="4" t="s">
        <v>55</v>
      </c>
      <c r="C912" s="4" t="s">
        <v>55</v>
      </c>
      <c r="D912" s="5"/>
      <c r="E912" s="7">
        <f>TRUNC([1]단가대비표!O816,0)</f>
        <v>0</v>
      </c>
      <c r="F912" s="7">
        <f t="shared" si="96"/>
        <v>0</v>
      </c>
      <c r="G912" s="7">
        <f>TRUNC([1]단가대비표!P816,0)</f>
        <v>0</v>
      </c>
      <c r="H912" s="7">
        <f t="shared" si="97"/>
        <v>0</v>
      </c>
      <c r="I912" s="7">
        <f>TRUNC([1]단가대비표!V816,0)</f>
        <v>0</v>
      </c>
      <c r="J912" s="7">
        <f t="shared" si="98"/>
        <v>0</v>
      </c>
      <c r="K912" s="7">
        <f t="shared" si="99"/>
        <v>0</v>
      </c>
      <c r="L912" s="7">
        <f t="shared" si="99"/>
        <v>0</v>
      </c>
      <c r="M912" s="4" t="s">
        <v>55</v>
      </c>
      <c r="N912" s="6" t="s">
        <v>950</v>
      </c>
      <c r="O912" s="6" t="s">
        <v>55</v>
      </c>
      <c r="P912" s="6" t="s">
        <v>55</v>
      </c>
      <c r="Q912" s="6" t="s">
        <v>2368</v>
      </c>
      <c r="R912" s="6" t="s">
        <v>56</v>
      </c>
      <c r="S912" s="6" t="s">
        <v>56</v>
      </c>
      <c r="T912" s="6" t="s">
        <v>57</v>
      </c>
      <c r="AR912" s="6" t="s">
        <v>55</v>
      </c>
      <c r="AS912" s="6" t="s">
        <v>55</v>
      </c>
      <c r="AU912" s="6" t="s">
        <v>2385</v>
      </c>
      <c r="AV912">
        <v>3087</v>
      </c>
    </row>
    <row r="913" spans="1:48" ht="30" customHeight="1" x14ac:dyDescent="0.3">
      <c r="A913" s="4" t="s">
        <v>952</v>
      </c>
      <c r="B913" s="4" t="s">
        <v>953</v>
      </c>
      <c r="C913" s="4" t="s">
        <v>61</v>
      </c>
      <c r="D913" s="5">
        <v>181</v>
      </c>
      <c r="E913" s="7">
        <f>TRUNC([1]단가대비표!O817,0)</f>
        <v>16100</v>
      </c>
      <c r="F913" s="7">
        <f t="shared" si="96"/>
        <v>2914100</v>
      </c>
      <c r="G913" s="7">
        <f>TRUNC([1]단가대비표!P817,0)</f>
        <v>0</v>
      </c>
      <c r="H913" s="7">
        <f t="shared" si="97"/>
        <v>0</v>
      </c>
      <c r="I913" s="7">
        <f>TRUNC([1]단가대비표!V817,0)</f>
        <v>0</v>
      </c>
      <c r="J913" s="7">
        <f t="shared" si="98"/>
        <v>0</v>
      </c>
      <c r="K913" s="7">
        <f t="shared" si="99"/>
        <v>16100</v>
      </c>
      <c r="L913" s="7">
        <f t="shared" si="99"/>
        <v>2914100</v>
      </c>
      <c r="M913" s="4" t="s">
        <v>115</v>
      </c>
      <c r="N913" s="6" t="s">
        <v>954</v>
      </c>
      <c r="O913" s="6" t="s">
        <v>55</v>
      </c>
      <c r="P913" s="6" t="s">
        <v>55</v>
      </c>
      <c r="Q913" s="6" t="s">
        <v>2368</v>
      </c>
      <c r="R913" s="6" t="s">
        <v>56</v>
      </c>
      <c r="S913" s="6" t="s">
        <v>56</v>
      </c>
      <c r="T913" s="6" t="s">
        <v>57</v>
      </c>
      <c r="AR913" s="6" t="s">
        <v>55</v>
      </c>
      <c r="AS913" s="6" t="s">
        <v>55</v>
      </c>
      <c r="AU913" s="6" t="s">
        <v>2386</v>
      </c>
      <c r="AV913">
        <v>3088</v>
      </c>
    </row>
    <row r="914" spans="1:48" ht="30" customHeight="1" x14ac:dyDescent="0.3">
      <c r="A914" s="4" t="s">
        <v>956</v>
      </c>
      <c r="B914" s="4" t="s">
        <v>957</v>
      </c>
      <c r="C914" s="4" t="s">
        <v>61</v>
      </c>
      <c r="D914" s="5">
        <v>323</v>
      </c>
      <c r="E914" s="7">
        <f>TRUNC([1]단가대비표!O818,0)</f>
        <v>32000</v>
      </c>
      <c r="F914" s="7">
        <f t="shared" si="96"/>
        <v>10336000</v>
      </c>
      <c r="G914" s="7">
        <f>TRUNC([1]단가대비표!P818,0)</f>
        <v>0</v>
      </c>
      <c r="H914" s="7">
        <f t="shared" si="97"/>
        <v>0</v>
      </c>
      <c r="I914" s="7">
        <f>TRUNC([1]단가대비표!V818,0)</f>
        <v>0</v>
      </c>
      <c r="J914" s="7">
        <f t="shared" si="98"/>
        <v>0</v>
      </c>
      <c r="K914" s="7">
        <f t="shared" si="99"/>
        <v>32000</v>
      </c>
      <c r="L914" s="7">
        <f t="shared" si="99"/>
        <v>10336000</v>
      </c>
      <c r="M914" s="4" t="s">
        <v>115</v>
      </c>
      <c r="N914" s="6" t="s">
        <v>958</v>
      </c>
      <c r="O914" s="6" t="s">
        <v>55</v>
      </c>
      <c r="P914" s="6" t="s">
        <v>55</v>
      </c>
      <c r="Q914" s="6" t="s">
        <v>2368</v>
      </c>
      <c r="R914" s="6" t="s">
        <v>56</v>
      </c>
      <c r="S914" s="6" t="s">
        <v>56</v>
      </c>
      <c r="T914" s="6" t="s">
        <v>57</v>
      </c>
      <c r="AR914" s="6" t="s">
        <v>55</v>
      </c>
      <c r="AS914" s="6" t="s">
        <v>55</v>
      </c>
      <c r="AU914" s="6" t="s">
        <v>2387</v>
      </c>
      <c r="AV914">
        <v>3089</v>
      </c>
    </row>
    <row r="915" spans="1:48" ht="30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spans="1:48" ht="30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 spans="1:48" ht="30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 spans="1:48" ht="30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 spans="1:48" ht="30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 spans="1:48" ht="30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 spans="1:48" ht="30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 spans="1:48" ht="30" customHeight="1" x14ac:dyDescent="0.3">
      <c r="A922" s="4" t="s">
        <v>128</v>
      </c>
      <c r="B922" s="5"/>
      <c r="C922" s="5"/>
      <c r="D922" s="5"/>
      <c r="E922" s="5"/>
      <c r="F922" s="7">
        <f>SUM(F903:F921)</f>
        <v>42720480</v>
      </c>
      <c r="G922" s="5"/>
      <c r="H922" s="7">
        <f>SUM(H903:H921)</f>
        <v>10940194</v>
      </c>
      <c r="I922" s="5"/>
      <c r="J922" s="7">
        <f>SUM(J903:J921)</f>
        <v>121322</v>
      </c>
      <c r="K922" s="5"/>
      <c r="L922" s="7">
        <f>SUM(L903:L921)</f>
        <v>53781996</v>
      </c>
      <c r="M922" s="5"/>
      <c r="N922" t="s">
        <v>129</v>
      </c>
    </row>
    <row r="923" spans="1:48" ht="30" customHeight="1" x14ac:dyDescent="0.3">
      <c r="A923" s="4" t="s">
        <v>2388</v>
      </c>
      <c r="B923" s="4" t="s">
        <v>2291</v>
      </c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Q923" s="6" t="s">
        <v>2389</v>
      </c>
    </row>
    <row r="924" spans="1:48" ht="30" customHeight="1" x14ac:dyDescent="0.3">
      <c r="A924" s="4" t="s">
        <v>962</v>
      </c>
      <c r="B924" s="4" t="s">
        <v>963</v>
      </c>
      <c r="C924" s="4" t="s">
        <v>61</v>
      </c>
      <c r="D924" s="5">
        <v>33</v>
      </c>
      <c r="E924" s="7">
        <f>TRUNC([1]단가대비표!O879,0)</f>
        <v>22083</v>
      </c>
      <c r="F924" s="7">
        <f t="shared" ref="F924:F945" si="100">TRUNC(E924*D924, 0)</f>
        <v>728739</v>
      </c>
      <c r="G924" s="7">
        <f>TRUNC([1]단가대비표!P879,0)</f>
        <v>5001</v>
      </c>
      <c r="H924" s="7">
        <f t="shared" ref="H924:H945" si="101">TRUNC(G924*D924, 0)</f>
        <v>165033</v>
      </c>
      <c r="I924" s="7">
        <f>TRUNC([1]단가대비표!V879,0)</f>
        <v>0</v>
      </c>
      <c r="J924" s="7">
        <f t="shared" ref="J924:J945" si="102">TRUNC(I924*D924, 0)</f>
        <v>0</v>
      </c>
      <c r="K924" s="7">
        <f t="shared" ref="K924:L945" si="103">TRUNC(E924+G924+I924, 0)</f>
        <v>27084</v>
      </c>
      <c r="L924" s="7">
        <f t="shared" si="103"/>
        <v>893772</v>
      </c>
      <c r="M924" s="4" t="s">
        <v>115</v>
      </c>
      <c r="N924" s="6" t="s">
        <v>964</v>
      </c>
      <c r="O924" s="6" t="s">
        <v>55</v>
      </c>
      <c r="P924" s="6" t="s">
        <v>55</v>
      </c>
      <c r="Q924" s="6" t="s">
        <v>2389</v>
      </c>
      <c r="R924" s="6" t="s">
        <v>56</v>
      </c>
      <c r="S924" s="6" t="s">
        <v>56</v>
      </c>
      <c r="T924" s="6" t="s">
        <v>57</v>
      </c>
      <c r="AR924" s="6" t="s">
        <v>55</v>
      </c>
      <c r="AS924" s="6" t="s">
        <v>55</v>
      </c>
      <c r="AU924" s="6" t="s">
        <v>2390</v>
      </c>
      <c r="AV924">
        <v>3278</v>
      </c>
    </row>
    <row r="925" spans="1:48" ht="30" customHeight="1" x14ac:dyDescent="0.3">
      <c r="A925" s="4" t="s">
        <v>962</v>
      </c>
      <c r="B925" s="4" t="s">
        <v>966</v>
      </c>
      <c r="C925" s="4" t="s">
        <v>61</v>
      </c>
      <c r="D925" s="5">
        <v>24</v>
      </c>
      <c r="E925" s="7">
        <f>TRUNC([1]단가대비표!O880,0)</f>
        <v>19441</v>
      </c>
      <c r="F925" s="7">
        <f t="shared" si="100"/>
        <v>466584</v>
      </c>
      <c r="G925" s="7">
        <f>TRUNC([1]단가대비표!P880,0)</f>
        <v>6669</v>
      </c>
      <c r="H925" s="7">
        <f t="shared" si="101"/>
        <v>160056</v>
      </c>
      <c r="I925" s="7">
        <f>TRUNC([1]단가대비표!V880,0)</f>
        <v>0</v>
      </c>
      <c r="J925" s="7">
        <f t="shared" si="102"/>
        <v>0</v>
      </c>
      <c r="K925" s="7">
        <f t="shared" si="103"/>
        <v>26110</v>
      </c>
      <c r="L925" s="7">
        <f t="shared" si="103"/>
        <v>626640</v>
      </c>
      <c r="M925" s="4" t="s">
        <v>115</v>
      </c>
      <c r="N925" s="6" t="s">
        <v>967</v>
      </c>
      <c r="O925" s="6" t="s">
        <v>55</v>
      </c>
      <c r="P925" s="6" t="s">
        <v>55</v>
      </c>
      <c r="Q925" s="6" t="s">
        <v>2389</v>
      </c>
      <c r="R925" s="6" t="s">
        <v>56</v>
      </c>
      <c r="S925" s="6" t="s">
        <v>56</v>
      </c>
      <c r="T925" s="6" t="s">
        <v>57</v>
      </c>
      <c r="AR925" s="6" t="s">
        <v>55</v>
      </c>
      <c r="AS925" s="6" t="s">
        <v>55</v>
      </c>
      <c r="AU925" s="6" t="s">
        <v>2391</v>
      </c>
      <c r="AV925">
        <v>3279</v>
      </c>
    </row>
    <row r="926" spans="1:48" ht="30" customHeight="1" x14ac:dyDescent="0.3">
      <c r="A926" s="4" t="s">
        <v>973</v>
      </c>
      <c r="B926" s="4" t="s">
        <v>963</v>
      </c>
      <c r="C926" s="4" t="s">
        <v>61</v>
      </c>
      <c r="D926" s="5">
        <v>11</v>
      </c>
      <c r="E926" s="7">
        <f>TRUNC([1]단가대비표!O883,0)</f>
        <v>15995</v>
      </c>
      <c r="F926" s="7">
        <f t="shared" si="100"/>
        <v>175945</v>
      </c>
      <c r="G926" s="7">
        <f>TRUNC([1]단가대비표!P883,0)</f>
        <v>5151</v>
      </c>
      <c r="H926" s="7">
        <f t="shared" si="101"/>
        <v>56661</v>
      </c>
      <c r="I926" s="7">
        <f>TRUNC([1]단가대비표!V883,0)</f>
        <v>0</v>
      </c>
      <c r="J926" s="7">
        <f t="shared" si="102"/>
        <v>0</v>
      </c>
      <c r="K926" s="7">
        <f t="shared" si="103"/>
        <v>21146</v>
      </c>
      <c r="L926" s="7">
        <f t="shared" si="103"/>
        <v>232606</v>
      </c>
      <c r="M926" s="4" t="s">
        <v>115</v>
      </c>
      <c r="N926" s="6" t="s">
        <v>974</v>
      </c>
      <c r="O926" s="6" t="s">
        <v>55</v>
      </c>
      <c r="P926" s="6" t="s">
        <v>55</v>
      </c>
      <c r="Q926" s="6" t="s">
        <v>2389</v>
      </c>
      <c r="R926" s="6" t="s">
        <v>56</v>
      </c>
      <c r="S926" s="6" t="s">
        <v>56</v>
      </c>
      <c r="T926" s="6" t="s">
        <v>57</v>
      </c>
      <c r="AR926" s="6" t="s">
        <v>55</v>
      </c>
      <c r="AS926" s="6" t="s">
        <v>55</v>
      </c>
      <c r="AU926" s="6" t="s">
        <v>2392</v>
      </c>
      <c r="AV926">
        <v>3280</v>
      </c>
    </row>
    <row r="927" spans="1:48" ht="30" customHeight="1" x14ac:dyDescent="0.3">
      <c r="A927" s="4" t="s">
        <v>973</v>
      </c>
      <c r="B927" s="4" t="s">
        <v>970</v>
      </c>
      <c r="C927" s="4" t="s">
        <v>61</v>
      </c>
      <c r="D927" s="5">
        <v>8</v>
      </c>
      <c r="E927" s="7">
        <f>TRUNC([1]단가대비표!O885,0)</f>
        <v>15995</v>
      </c>
      <c r="F927" s="7">
        <f t="shared" si="100"/>
        <v>127960</v>
      </c>
      <c r="G927" s="7">
        <f>TRUNC([1]단가대비표!P885,0)</f>
        <v>5151</v>
      </c>
      <c r="H927" s="7">
        <f t="shared" si="101"/>
        <v>41208</v>
      </c>
      <c r="I927" s="7">
        <f>TRUNC([1]단가대비표!V885,0)</f>
        <v>0</v>
      </c>
      <c r="J927" s="7">
        <f t="shared" si="102"/>
        <v>0</v>
      </c>
      <c r="K927" s="7">
        <f t="shared" si="103"/>
        <v>21146</v>
      </c>
      <c r="L927" s="7">
        <f t="shared" si="103"/>
        <v>169168</v>
      </c>
      <c r="M927" s="4" t="s">
        <v>115</v>
      </c>
      <c r="N927" s="6" t="s">
        <v>978</v>
      </c>
      <c r="O927" s="6" t="s">
        <v>55</v>
      </c>
      <c r="P927" s="6" t="s">
        <v>55</v>
      </c>
      <c r="Q927" s="6" t="s">
        <v>2389</v>
      </c>
      <c r="R927" s="6" t="s">
        <v>56</v>
      </c>
      <c r="S927" s="6" t="s">
        <v>56</v>
      </c>
      <c r="T927" s="6" t="s">
        <v>57</v>
      </c>
      <c r="AR927" s="6" t="s">
        <v>55</v>
      </c>
      <c r="AS927" s="6" t="s">
        <v>55</v>
      </c>
      <c r="AU927" s="6" t="s">
        <v>2393</v>
      </c>
      <c r="AV927">
        <v>3281</v>
      </c>
    </row>
    <row r="928" spans="1:48" ht="30" customHeight="1" x14ac:dyDescent="0.3">
      <c r="A928" s="4" t="s">
        <v>987</v>
      </c>
      <c r="B928" s="4" t="s">
        <v>988</v>
      </c>
      <c r="C928" s="4" t="s">
        <v>61</v>
      </c>
      <c r="D928" s="5">
        <v>718</v>
      </c>
      <c r="E928" s="7">
        <f>TRUNC([1]단가대비표!O886,0)</f>
        <v>2250</v>
      </c>
      <c r="F928" s="7">
        <f t="shared" si="100"/>
        <v>1615500</v>
      </c>
      <c r="G928" s="7">
        <f>TRUNC([1]단가대비표!P886,0)</f>
        <v>7836</v>
      </c>
      <c r="H928" s="7">
        <f t="shared" si="101"/>
        <v>5626248</v>
      </c>
      <c r="I928" s="7">
        <f>TRUNC([1]단가대비표!V886,0)</f>
        <v>0</v>
      </c>
      <c r="J928" s="7">
        <f t="shared" si="102"/>
        <v>0</v>
      </c>
      <c r="K928" s="7">
        <f t="shared" si="103"/>
        <v>10086</v>
      </c>
      <c r="L928" s="7">
        <f t="shared" si="103"/>
        <v>7241748</v>
      </c>
      <c r="M928" s="4" t="s">
        <v>115</v>
      </c>
      <c r="N928" s="6" t="s">
        <v>989</v>
      </c>
      <c r="O928" s="6" t="s">
        <v>55</v>
      </c>
      <c r="P928" s="6" t="s">
        <v>55</v>
      </c>
      <c r="Q928" s="6" t="s">
        <v>2389</v>
      </c>
      <c r="R928" s="6" t="s">
        <v>56</v>
      </c>
      <c r="S928" s="6" t="s">
        <v>56</v>
      </c>
      <c r="T928" s="6" t="s">
        <v>57</v>
      </c>
      <c r="AR928" s="6" t="s">
        <v>55</v>
      </c>
      <c r="AS928" s="6" t="s">
        <v>55</v>
      </c>
      <c r="AU928" s="6" t="s">
        <v>2394</v>
      </c>
      <c r="AV928">
        <v>3282</v>
      </c>
    </row>
    <row r="929" spans="1:48" ht="30" customHeight="1" x14ac:dyDescent="0.3">
      <c r="A929" s="4" t="s">
        <v>987</v>
      </c>
      <c r="B929" s="4" t="s">
        <v>991</v>
      </c>
      <c r="C929" s="4" t="s">
        <v>61</v>
      </c>
      <c r="D929" s="5">
        <v>48</v>
      </c>
      <c r="E929" s="7">
        <f>TRUNC([1]단가대비표!O887,0)</f>
        <v>2250</v>
      </c>
      <c r="F929" s="7">
        <f t="shared" si="100"/>
        <v>108000</v>
      </c>
      <c r="G929" s="7">
        <f>TRUNC([1]단가대비표!P887,0)</f>
        <v>7836</v>
      </c>
      <c r="H929" s="7">
        <f t="shared" si="101"/>
        <v>376128</v>
      </c>
      <c r="I929" s="7">
        <f>TRUNC([1]단가대비표!V887,0)</f>
        <v>0</v>
      </c>
      <c r="J929" s="7">
        <f t="shared" si="102"/>
        <v>0</v>
      </c>
      <c r="K929" s="7">
        <f t="shared" si="103"/>
        <v>10086</v>
      </c>
      <c r="L929" s="7">
        <f t="shared" si="103"/>
        <v>484128</v>
      </c>
      <c r="M929" s="4" t="s">
        <v>115</v>
      </c>
      <c r="N929" s="6" t="s">
        <v>992</v>
      </c>
      <c r="O929" s="6" t="s">
        <v>55</v>
      </c>
      <c r="P929" s="6" t="s">
        <v>55</v>
      </c>
      <c r="Q929" s="6" t="s">
        <v>2389</v>
      </c>
      <c r="R929" s="6" t="s">
        <v>56</v>
      </c>
      <c r="S929" s="6" t="s">
        <v>56</v>
      </c>
      <c r="T929" s="6" t="s">
        <v>57</v>
      </c>
      <c r="AR929" s="6" t="s">
        <v>55</v>
      </c>
      <c r="AS929" s="6" t="s">
        <v>55</v>
      </c>
      <c r="AU929" s="6" t="s">
        <v>2395</v>
      </c>
      <c r="AV929">
        <v>3283</v>
      </c>
    </row>
    <row r="930" spans="1:48" ht="30" customHeight="1" x14ac:dyDescent="0.3">
      <c r="A930" s="4" t="s">
        <v>994</v>
      </c>
      <c r="B930" s="4" t="s">
        <v>55</v>
      </c>
      <c r="C930" s="4" t="s">
        <v>269</v>
      </c>
      <c r="D930" s="5">
        <v>42</v>
      </c>
      <c r="E930" s="7">
        <f>TRUNC([1]일위대가목록!E201,0)</f>
        <v>12900</v>
      </c>
      <c r="F930" s="7">
        <f t="shared" si="100"/>
        <v>541800</v>
      </c>
      <c r="G930" s="7">
        <f>TRUNC([1]일위대가목록!F201,0)</f>
        <v>12695</v>
      </c>
      <c r="H930" s="7">
        <f t="shared" si="101"/>
        <v>533190</v>
      </c>
      <c r="I930" s="7">
        <f>TRUNC([1]일위대가목록!G201,0)</f>
        <v>254</v>
      </c>
      <c r="J930" s="7">
        <f t="shared" si="102"/>
        <v>10668</v>
      </c>
      <c r="K930" s="7">
        <f t="shared" si="103"/>
        <v>25849</v>
      </c>
      <c r="L930" s="7">
        <f t="shared" si="103"/>
        <v>1085658</v>
      </c>
      <c r="M930" s="4" t="s">
        <v>2396</v>
      </c>
      <c r="N930" s="6" t="s">
        <v>2397</v>
      </c>
      <c r="O930" s="6" t="s">
        <v>55</v>
      </c>
      <c r="P930" s="6" t="s">
        <v>55</v>
      </c>
      <c r="Q930" s="6" t="s">
        <v>2389</v>
      </c>
      <c r="R930" s="6" t="s">
        <v>57</v>
      </c>
      <c r="S930" s="6" t="s">
        <v>56</v>
      </c>
      <c r="T930" s="6" t="s">
        <v>56</v>
      </c>
      <c r="AR930" s="6" t="s">
        <v>55</v>
      </c>
      <c r="AS930" s="6" t="s">
        <v>55</v>
      </c>
      <c r="AU930" s="6" t="s">
        <v>2398</v>
      </c>
      <c r="AV930">
        <v>556</v>
      </c>
    </row>
    <row r="931" spans="1:48" ht="30" customHeight="1" x14ac:dyDescent="0.3">
      <c r="A931" s="4" t="s">
        <v>997</v>
      </c>
      <c r="B931" s="4" t="s">
        <v>998</v>
      </c>
      <c r="C931" s="4" t="s">
        <v>140</v>
      </c>
      <c r="D931" s="5">
        <v>57</v>
      </c>
      <c r="E931" s="7">
        <f>TRUNC([1]단가대비표!O235,0)</f>
        <v>415</v>
      </c>
      <c r="F931" s="7">
        <f t="shared" si="100"/>
        <v>23655</v>
      </c>
      <c r="G931" s="7">
        <f>TRUNC([1]단가대비표!P235,0)</f>
        <v>13399</v>
      </c>
      <c r="H931" s="7">
        <f t="shared" si="101"/>
        <v>763743</v>
      </c>
      <c r="I931" s="7">
        <f>TRUNC([1]단가대비표!V235,0)</f>
        <v>0</v>
      </c>
      <c r="J931" s="7">
        <f t="shared" si="102"/>
        <v>0</v>
      </c>
      <c r="K931" s="7">
        <f t="shared" si="103"/>
        <v>13814</v>
      </c>
      <c r="L931" s="7">
        <f t="shared" si="103"/>
        <v>787398</v>
      </c>
      <c r="M931" s="4" t="s">
        <v>141</v>
      </c>
      <c r="N931" s="6" t="s">
        <v>999</v>
      </c>
      <c r="O931" s="6" t="s">
        <v>55</v>
      </c>
      <c r="P931" s="6" t="s">
        <v>55</v>
      </c>
      <c r="Q931" s="6" t="s">
        <v>2389</v>
      </c>
      <c r="R931" s="6" t="s">
        <v>56</v>
      </c>
      <c r="S931" s="6" t="s">
        <v>56</v>
      </c>
      <c r="T931" s="6" t="s">
        <v>57</v>
      </c>
      <c r="AR931" s="6" t="s">
        <v>55</v>
      </c>
      <c r="AS931" s="6" t="s">
        <v>55</v>
      </c>
      <c r="AU931" s="6" t="s">
        <v>2399</v>
      </c>
      <c r="AV931">
        <v>3091</v>
      </c>
    </row>
    <row r="932" spans="1:48" ht="30" customHeight="1" x14ac:dyDescent="0.3">
      <c r="A932" s="4" t="s">
        <v>1014</v>
      </c>
      <c r="B932" s="4" t="s">
        <v>1015</v>
      </c>
      <c r="C932" s="4" t="s">
        <v>269</v>
      </c>
      <c r="D932" s="5">
        <v>514</v>
      </c>
      <c r="E932" s="7">
        <f>TRUNC([1]일위대가목록!E85,0)</f>
        <v>1151</v>
      </c>
      <c r="F932" s="7">
        <f t="shared" si="100"/>
        <v>591614</v>
      </c>
      <c r="G932" s="7">
        <f>TRUNC([1]일위대가목록!F85,0)</f>
        <v>7267</v>
      </c>
      <c r="H932" s="7">
        <f t="shared" si="101"/>
        <v>3735238</v>
      </c>
      <c r="I932" s="7">
        <f>TRUNC([1]일위대가목록!G85,0)</f>
        <v>60</v>
      </c>
      <c r="J932" s="7">
        <f t="shared" si="102"/>
        <v>30840</v>
      </c>
      <c r="K932" s="7">
        <f t="shared" si="103"/>
        <v>8478</v>
      </c>
      <c r="L932" s="7">
        <f t="shared" si="103"/>
        <v>4357692</v>
      </c>
      <c r="M932" s="4" t="s">
        <v>1016</v>
      </c>
      <c r="N932" s="6" t="s">
        <v>1017</v>
      </c>
      <c r="O932" s="6" t="s">
        <v>55</v>
      </c>
      <c r="P932" s="6" t="s">
        <v>55</v>
      </c>
      <c r="Q932" s="6" t="s">
        <v>2389</v>
      </c>
      <c r="R932" s="6" t="s">
        <v>57</v>
      </c>
      <c r="S932" s="6" t="s">
        <v>56</v>
      </c>
      <c r="T932" s="6" t="s">
        <v>56</v>
      </c>
      <c r="AR932" s="6" t="s">
        <v>55</v>
      </c>
      <c r="AS932" s="6" t="s">
        <v>55</v>
      </c>
      <c r="AU932" s="6" t="s">
        <v>2400</v>
      </c>
      <c r="AV932">
        <v>544</v>
      </c>
    </row>
    <row r="933" spans="1:48" ht="30" customHeight="1" x14ac:dyDescent="0.3">
      <c r="A933" s="4" t="s">
        <v>1019</v>
      </c>
      <c r="B933" s="4" t="s">
        <v>1020</v>
      </c>
      <c r="C933" s="4" t="s">
        <v>269</v>
      </c>
      <c r="D933" s="5">
        <v>10</v>
      </c>
      <c r="E933" s="7">
        <f>TRUNC([1]일위대가목록!E86,0)</f>
        <v>248</v>
      </c>
      <c r="F933" s="7">
        <f t="shared" si="100"/>
        <v>2480</v>
      </c>
      <c r="G933" s="7">
        <f>TRUNC([1]일위대가목록!F86,0)</f>
        <v>3221</v>
      </c>
      <c r="H933" s="7">
        <f t="shared" si="101"/>
        <v>32210</v>
      </c>
      <c r="I933" s="7">
        <f>TRUNC([1]일위대가목록!G86,0)</f>
        <v>0</v>
      </c>
      <c r="J933" s="7">
        <f t="shared" si="102"/>
        <v>0</v>
      </c>
      <c r="K933" s="7">
        <f t="shared" si="103"/>
        <v>3469</v>
      </c>
      <c r="L933" s="7">
        <f t="shared" si="103"/>
        <v>34690</v>
      </c>
      <c r="M933" s="4" t="s">
        <v>1021</v>
      </c>
      <c r="N933" s="6" t="s">
        <v>1022</v>
      </c>
      <c r="O933" s="6" t="s">
        <v>55</v>
      </c>
      <c r="P933" s="6" t="s">
        <v>55</v>
      </c>
      <c r="Q933" s="6" t="s">
        <v>2389</v>
      </c>
      <c r="R933" s="6" t="s">
        <v>57</v>
      </c>
      <c r="S933" s="6" t="s">
        <v>56</v>
      </c>
      <c r="T933" s="6" t="s">
        <v>56</v>
      </c>
      <c r="AR933" s="6" t="s">
        <v>55</v>
      </c>
      <c r="AS933" s="6" t="s">
        <v>55</v>
      </c>
      <c r="AU933" s="6" t="s">
        <v>2401</v>
      </c>
      <c r="AV933">
        <v>2635</v>
      </c>
    </row>
    <row r="934" spans="1:48" ht="30" customHeight="1" x14ac:dyDescent="0.3">
      <c r="A934" s="4" t="s">
        <v>1019</v>
      </c>
      <c r="B934" s="4" t="s">
        <v>1024</v>
      </c>
      <c r="C934" s="4" t="s">
        <v>269</v>
      </c>
      <c r="D934" s="5">
        <v>52</v>
      </c>
      <c r="E934" s="7">
        <f>TRUNC([1]일위대가목록!E87,0)</f>
        <v>2404</v>
      </c>
      <c r="F934" s="7">
        <f t="shared" si="100"/>
        <v>125008</v>
      </c>
      <c r="G934" s="7">
        <f>TRUNC([1]일위대가목록!F87,0)</f>
        <v>3221</v>
      </c>
      <c r="H934" s="7">
        <f t="shared" si="101"/>
        <v>167492</v>
      </c>
      <c r="I934" s="7">
        <f>TRUNC([1]일위대가목록!G87,0)</f>
        <v>0</v>
      </c>
      <c r="J934" s="7">
        <f t="shared" si="102"/>
        <v>0</v>
      </c>
      <c r="K934" s="7">
        <f t="shared" si="103"/>
        <v>5625</v>
      </c>
      <c r="L934" s="7">
        <f t="shared" si="103"/>
        <v>292500</v>
      </c>
      <c r="M934" s="4" t="s">
        <v>1025</v>
      </c>
      <c r="N934" s="6" t="s">
        <v>1026</v>
      </c>
      <c r="O934" s="6" t="s">
        <v>55</v>
      </c>
      <c r="P934" s="6" t="s">
        <v>55</v>
      </c>
      <c r="Q934" s="6" t="s">
        <v>2389</v>
      </c>
      <c r="R934" s="6" t="s">
        <v>57</v>
      </c>
      <c r="S934" s="6" t="s">
        <v>56</v>
      </c>
      <c r="T934" s="6" t="s">
        <v>56</v>
      </c>
      <c r="AR934" s="6" t="s">
        <v>55</v>
      </c>
      <c r="AS934" s="6" t="s">
        <v>55</v>
      </c>
      <c r="AU934" s="6" t="s">
        <v>2402</v>
      </c>
      <c r="AV934">
        <v>2636</v>
      </c>
    </row>
    <row r="935" spans="1:48" ht="30" customHeight="1" x14ac:dyDescent="0.3">
      <c r="A935" s="4" t="s">
        <v>1019</v>
      </c>
      <c r="B935" s="4" t="s">
        <v>1028</v>
      </c>
      <c r="C935" s="4" t="s">
        <v>269</v>
      </c>
      <c r="D935" s="5">
        <v>317</v>
      </c>
      <c r="E935" s="7">
        <f>TRUNC([1]일위대가목록!E88,0)</f>
        <v>767</v>
      </c>
      <c r="F935" s="7">
        <f t="shared" si="100"/>
        <v>243139</v>
      </c>
      <c r="G935" s="7">
        <f>TRUNC([1]일위대가목록!F88,0)</f>
        <v>3221</v>
      </c>
      <c r="H935" s="7">
        <f t="shared" si="101"/>
        <v>1021057</v>
      </c>
      <c r="I935" s="7">
        <f>TRUNC([1]일위대가목록!G88,0)</f>
        <v>0</v>
      </c>
      <c r="J935" s="7">
        <f t="shared" si="102"/>
        <v>0</v>
      </c>
      <c r="K935" s="7">
        <f t="shared" si="103"/>
        <v>3988</v>
      </c>
      <c r="L935" s="7">
        <f t="shared" si="103"/>
        <v>1264196</v>
      </c>
      <c r="M935" s="4" t="s">
        <v>1029</v>
      </c>
      <c r="N935" s="6" t="s">
        <v>1030</v>
      </c>
      <c r="O935" s="6" t="s">
        <v>55</v>
      </c>
      <c r="P935" s="6" t="s">
        <v>55</v>
      </c>
      <c r="Q935" s="6" t="s">
        <v>2389</v>
      </c>
      <c r="R935" s="6" t="s">
        <v>57</v>
      </c>
      <c r="S935" s="6" t="s">
        <v>56</v>
      </c>
      <c r="T935" s="6" t="s">
        <v>56</v>
      </c>
      <c r="AR935" s="6" t="s">
        <v>55</v>
      </c>
      <c r="AS935" s="6" t="s">
        <v>55</v>
      </c>
      <c r="AU935" s="6" t="s">
        <v>2403</v>
      </c>
      <c r="AV935">
        <v>2637</v>
      </c>
    </row>
    <row r="936" spans="1:48" ht="30" customHeight="1" x14ac:dyDescent="0.3">
      <c r="A936" s="4" t="s">
        <v>2404</v>
      </c>
      <c r="B936" s="4" t="s">
        <v>2405</v>
      </c>
      <c r="C936" s="4" t="s">
        <v>223</v>
      </c>
      <c r="D936" s="5">
        <v>1</v>
      </c>
      <c r="E936" s="7">
        <f>TRUNC([1]일위대가목록!E202,0)</f>
        <v>133642</v>
      </c>
      <c r="F936" s="7">
        <f t="shared" si="100"/>
        <v>133642</v>
      </c>
      <c r="G936" s="7">
        <f>TRUNC([1]일위대가목록!F202,0)</f>
        <v>188481</v>
      </c>
      <c r="H936" s="7">
        <f t="shared" si="101"/>
        <v>188481</v>
      </c>
      <c r="I936" s="7">
        <f>TRUNC([1]일위대가목록!G202,0)</f>
        <v>0</v>
      </c>
      <c r="J936" s="7">
        <f t="shared" si="102"/>
        <v>0</v>
      </c>
      <c r="K936" s="7">
        <f t="shared" si="103"/>
        <v>322123</v>
      </c>
      <c r="L936" s="7">
        <f t="shared" si="103"/>
        <v>322123</v>
      </c>
      <c r="M936" s="4" t="s">
        <v>2406</v>
      </c>
      <c r="N936" s="6" t="s">
        <v>2407</v>
      </c>
      <c r="O936" s="6" t="s">
        <v>55</v>
      </c>
      <c r="P936" s="6" t="s">
        <v>55</v>
      </c>
      <c r="Q936" s="6" t="s">
        <v>2389</v>
      </c>
      <c r="R936" s="6" t="s">
        <v>57</v>
      </c>
      <c r="S936" s="6" t="s">
        <v>56</v>
      </c>
      <c r="T936" s="6" t="s">
        <v>56</v>
      </c>
      <c r="AR936" s="6" t="s">
        <v>55</v>
      </c>
      <c r="AS936" s="6" t="s">
        <v>55</v>
      </c>
      <c r="AU936" s="6" t="s">
        <v>2408</v>
      </c>
      <c r="AV936">
        <v>551</v>
      </c>
    </row>
    <row r="937" spans="1:48" ht="30" customHeight="1" x14ac:dyDescent="0.3">
      <c r="A937" s="4" t="s">
        <v>1037</v>
      </c>
      <c r="B937" s="4" t="s">
        <v>1038</v>
      </c>
      <c r="C937" s="4" t="s">
        <v>61</v>
      </c>
      <c r="D937" s="5">
        <v>8</v>
      </c>
      <c r="E937" s="7">
        <f>TRUNC([1]일위대가목록!E90,0)</f>
        <v>2946</v>
      </c>
      <c r="F937" s="7">
        <f t="shared" si="100"/>
        <v>23568</v>
      </c>
      <c r="G937" s="7">
        <f>TRUNC([1]일위대가목록!F90,0)</f>
        <v>30626</v>
      </c>
      <c r="H937" s="7">
        <f t="shared" si="101"/>
        <v>245008</v>
      </c>
      <c r="I937" s="7">
        <f>TRUNC([1]일위대가목록!G90,0)</f>
        <v>0</v>
      </c>
      <c r="J937" s="7">
        <f t="shared" si="102"/>
        <v>0</v>
      </c>
      <c r="K937" s="7">
        <f t="shared" si="103"/>
        <v>33572</v>
      </c>
      <c r="L937" s="7">
        <f t="shared" si="103"/>
        <v>268576</v>
      </c>
      <c r="M937" s="4" t="s">
        <v>1039</v>
      </c>
      <c r="N937" s="6" t="s">
        <v>1040</v>
      </c>
      <c r="O937" s="6" t="s">
        <v>55</v>
      </c>
      <c r="P937" s="6" t="s">
        <v>55</v>
      </c>
      <c r="Q937" s="6" t="s">
        <v>2389</v>
      </c>
      <c r="R937" s="6" t="s">
        <v>57</v>
      </c>
      <c r="S937" s="6" t="s">
        <v>56</v>
      </c>
      <c r="T937" s="6" t="s">
        <v>56</v>
      </c>
      <c r="AR937" s="6" t="s">
        <v>55</v>
      </c>
      <c r="AS937" s="6" t="s">
        <v>55</v>
      </c>
      <c r="AU937" s="6" t="s">
        <v>2409</v>
      </c>
      <c r="AV937">
        <v>552</v>
      </c>
    </row>
    <row r="938" spans="1:48" ht="30" customHeight="1" x14ac:dyDescent="0.3">
      <c r="A938" s="4" t="s">
        <v>1042</v>
      </c>
      <c r="B938" s="4" t="s">
        <v>1038</v>
      </c>
      <c r="C938" s="4" t="s">
        <v>61</v>
      </c>
      <c r="D938" s="5">
        <v>6</v>
      </c>
      <c r="E938" s="7">
        <f>TRUNC([1]일위대가목록!E91,0)</f>
        <v>3227</v>
      </c>
      <c r="F938" s="7">
        <f t="shared" si="100"/>
        <v>19362</v>
      </c>
      <c r="G938" s="7">
        <f>TRUNC([1]일위대가목록!F91,0)</f>
        <v>31021</v>
      </c>
      <c r="H938" s="7">
        <f t="shared" si="101"/>
        <v>186126</v>
      </c>
      <c r="I938" s="7">
        <f>TRUNC([1]일위대가목록!G91,0)</f>
        <v>0</v>
      </c>
      <c r="J938" s="7">
        <f t="shared" si="102"/>
        <v>0</v>
      </c>
      <c r="K938" s="7">
        <f t="shared" si="103"/>
        <v>34248</v>
      </c>
      <c r="L938" s="7">
        <f t="shared" si="103"/>
        <v>205488</v>
      </c>
      <c r="M938" s="4" t="s">
        <v>1043</v>
      </c>
      <c r="N938" s="6" t="s">
        <v>1044</v>
      </c>
      <c r="O938" s="6" t="s">
        <v>55</v>
      </c>
      <c r="P938" s="6" t="s">
        <v>55</v>
      </c>
      <c r="Q938" s="6" t="s">
        <v>2389</v>
      </c>
      <c r="R938" s="6" t="s">
        <v>57</v>
      </c>
      <c r="S938" s="6" t="s">
        <v>56</v>
      </c>
      <c r="T938" s="6" t="s">
        <v>56</v>
      </c>
      <c r="AR938" s="6" t="s">
        <v>55</v>
      </c>
      <c r="AS938" s="6" t="s">
        <v>55</v>
      </c>
      <c r="AU938" s="6" t="s">
        <v>2410</v>
      </c>
      <c r="AV938">
        <v>553</v>
      </c>
    </row>
    <row r="939" spans="1:48" ht="30" customHeight="1" x14ac:dyDescent="0.3">
      <c r="A939" s="4" t="s">
        <v>1004</v>
      </c>
      <c r="B939" s="4" t="s">
        <v>1005</v>
      </c>
      <c r="C939" s="4" t="s">
        <v>61</v>
      </c>
      <c r="D939" s="5">
        <v>762</v>
      </c>
      <c r="E939" s="7">
        <f>TRUNC([1]일위대가목록!E203,0)</f>
        <v>4212</v>
      </c>
      <c r="F939" s="7">
        <f t="shared" si="100"/>
        <v>3209544</v>
      </c>
      <c r="G939" s="7">
        <f>TRUNC([1]일위대가목록!F203,0)</f>
        <v>3564</v>
      </c>
      <c r="H939" s="7">
        <f t="shared" si="101"/>
        <v>2715768</v>
      </c>
      <c r="I939" s="7">
        <f>TRUNC([1]일위대가목록!G203,0)</f>
        <v>0</v>
      </c>
      <c r="J939" s="7">
        <f t="shared" si="102"/>
        <v>0</v>
      </c>
      <c r="K939" s="7">
        <f t="shared" si="103"/>
        <v>7776</v>
      </c>
      <c r="L939" s="7">
        <f t="shared" si="103"/>
        <v>5925312</v>
      </c>
      <c r="M939" s="4" t="s">
        <v>2411</v>
      </c>
      <c r="N939" s="6" t="s">
        <v>2412</v>
      </c>
      <c r="O939" s="6" t="s">
        <v>55</v>
      </c>
      <c r="P939" s="6" t="s">
        <v>55</v>
      </c>
      <c r="Q939" s="6" t="s">
        <v>2389</v>
      </c>
      <c r="R939" s="6" t="s">
        <v>57</v>
      </c>
      <c r="S939" s="6" t="s">
        <v>56</v>
      </c>
      <c r="T939" s="6" t="s">
        <v>56</v>
      </c>
      <c r="AR939" s="6" t="s">
        <v>55</v>
      </c>
      <c r="AS939" s="6" t="s">
        <v>55</v>
      </c>
      <c r="AU939" s="6" t="s">
        <v>2413</v>
      </c>
      <c r="AV939">
        <v>554</v>
      </c>
    </row>
    <row r="940" spans="1:48" ht="30" customHeight="1" x14ac:dyDescent="0.3">
      <c r="A940" s="4" t="s">
        <v>1009</v>
      </c>
      <c r="B940" s="4" t="s">
        <v>1010</v>
      </c>
      <c r="C940" s="4" t="s">
        <v>61</v>
      </c>
      <c r="D940" s="5">
        <v>24</v>
      </c>
      <c r="E940" s="7">
        <f>TRUNC([1]일위대가목록!E84,0)</f>
        <v>4212</v>
      </c>
      <c r="F940" s="7">
        <f t="shared" si="100"/>
        <v>101088</v>
      </c>
      <c r="G940" s="7">
        <f>TRUNC([1]일위대가목록!F84,0)</f>
        <v>4633</v>
      </c>
      <c r="H940" s="7">
        <f t="shared" si="101"/>
        <v>111192</v>
      </c>
      <c r="I940" s="7">
        <f>TRUNC([1]일위대가목록!G84,0)</f>
        <v>0</v>
      </c>
      <c r="J940" s="7">
        <f t="shared" si="102"/>
        <v>0</v>
      </c>
      <c r="K940" s="7">
        <f t="shared" si="103"/>
        <v>8845</v>
      </c>
      <c r="L940" s="7">
        <f t="shared" si="103"/>
        <v>212280</v>
      </c>
      <c r="M940" s="4" t="s">
        <v>1011</v>
      </c>
      <c r="N940" s="6" t="s">
        <v>1012</v>
      </c>
      <c r="O940" s="6" t="s">
        <v>55</v>
      </c>
      <c r="P940" s="6" t="s">
        <v>55</v>
      </c>
      <c r="Q940" s="6" t="s">
        <v>2389</v>
      </c>
      <c r="R940" s="6" t="s">
        <v>57</v>
      </c>
      <c r="S940" s="6" t="s">
        <v>56</v>
      </c>
      <c r="T940" s="6" t="s">
        <v>56</v>
      </c>
      <c r="AR940" s="6" t="s">
        <v>55</v>
      </c>
      <c r="AS940" s="6" t="s">
        <v>55</v>
      </c>
      <c r="AU940" s="6" t="s">
        <v>2414</v>
      </c>
      <c r="AV940">
        <v>555</v>
      </c>
    </row>
    <row r="941" spans="1:48" ht="30" customHeight="1" x14ac:dyDescent="0.3">
      <c r="A941" s="4" t="s">
        <v>1046</v>
      </c>
      <c r="B941" s="4" t="s">
        <v>1047</v>
      </c>
      <c r="C941" s="4" t="s">
        <v>61</v>
      </c>
      <c r="D941" s="5">
        <v>252</v>
      </c>
      <c r="E941" s="7">
        <f>TRUNC([1]일위대가목록!E92,0)</f>
        <v>10850</v>
      </c>
      <c r="F941" s="7">
        <f t="shared" si="100"/>
        <v>2734200</v>
      </c>
      <c r="G941" s="7">
        <f>TRUNC([1]일위대가목록!F92,0)</f>
        <v>7090</v>
      </c>
      <c r="H941" s="7">
        <f t="shared" si="101"/>
        <v>1786680</v>
      </c>
      <c r="I941" s="7">
        <f>TRUNC([1]일위대가목록!G92,0)</f>
        <v>0</v>
      </c>
      <c r="J941" s="7">
        <f t="shared" si="102"/>
        <v>0</v>
      </c>
      <c r="K941" s="7">
        <f t="shared" si="103"/>
        <v>17940</v>
      </c>
      <c r="L941" s="7">
        <f t="shared" si="103"/>
        <v>4520880</v>
      </c>
      <c r="M941" s="4" t="s">
        <v>1048</v>
      </c>
      <c r="N941" s="6" t="s">
        <v>1049</v>
      </c>
      <c r="O941" s="6" t="s">
        <v>55</v>
      </c>
      <c r="P941" s="6" t="s">
        <v>55</v>
      </c>
      <c r="Q941" s="6" t="s">
        <v>2389</v>
      </c>
      <c r="R941" s="6" t="s">
        <v>57</v>
      </c>
      <c r="S941" s="6" t="s">
        <v>56</v>
      </c>
      <c r="T941" s="6" t="s">
        <v>56</v>
      </c>
      <c r="AR941" s="6" t="s">
        <v>55</v>
      </c>
      <c r="AS941" s="6" t="s">
        <v>55</v>
      </c>
      <c r="AU941" s="6" t="s">
        <v>2415</v>
      </c>
      <c r="AV941">
        <v>559</v>
      </c>
    </row>
    <row r="942" spans="1:48" ht="30" customHeight="1" x14ac:dyDescent="0.3">
      <c r="A942" s="4" t="s">
        <v>1051</v>
      </c>
      <c r="B942" s="4" t="s">
        <v>998</v>
      </c>
      <c r="C942" s="4" t="s">
        <v>269</v>
      </c>
      <c r="D942" s="5">
        <v>81</v>
      </c>
      <c r="E942" s="7">
        <f>TRUNC([1]일위대가목록!E93,0)</f>
        <v>4797</v>
      </c>
      <c r="F942" s="7">
        <f t="shared" si="100"/>
        <v>388557</v>
      </c>
      <c r="G942" s="7">
        <f>TRUNC([1]일위대가목록!F93,0)</f>
        <v>1545</v>
      </c>
      <c r="H942" s="7">
        <f t="shared" si="101"/>
        <v>125145</v>
      </c>
      <c r="I942" s="7">
        <f>TRUNC([1]일위대가목록!G93,0)</f>
        <v>0</v>
      </c>
      <c r="J942" s="7">
        <f t="shared" si="102"/>
        <v>0</v>
      </c>
      <c r="K942" s="7">
        <f t="shared" si="103"/>
        <v>6342</v>
      </c>
      <c r="L942" s="7">
        <f t="shared" si="103"/>
        <v>513702</v>
      </c>
      <c r="M942" s="4" t="s">
        <v>1052</v>
      </c>
      <c r="N942" s="6" t="s">
        <v>1053</v>
      </c>
      <c r="O942" s="6" t="s">
        <v>55</v>
      </c>
      <c r="P942" s="6" t="s">
        <v>55</v>
      </c>
      <c r="Q942" s="6" t="s">
        <v>2389</v>
      </c>
      <c r="R942" s="6" t="s">
        <v>57</v>
      </c>
      <c r="S942" s="6" t="s">
        <v>56</v>
      </c>
      <c r="T942" s="6" t="s">
        <v>56</v>
      </c>
      <c r="AR942" s="6" t="s">
        <v>55</v>
      </c>
      <c r="AS942" s="6" t="s">
        <v>55</v>
      </c>
      <c r="AU942" s="6" t="s">
        <v>2416</v>
      </c>
      <c r="AV942">
        <v>561</v>
      </c>
    </row>
    <row r="943" spans="1:48" ht="30" customHeight="1" x14ac:dyDescent="0.3">
      <c r="A943" s="4" t="s">
        <v>55</v>
      </c>
      <c r="B943" s="4" t="s">
        <v>55</v>
      </c>
      <c r="C943" s="4" t="s">
        <v>55</v>
      </c>
      <c r="D943" s="5"/>
      <c r="E943" s="7">
        <f>TRUNC([1]단가대비표!O838,0)</f>
        <v>0</v>
      </c>
      <c r="F943" s="7">
        <f t="shared" si="100"/>
        <v>0</v>
      </c>
      <c r="G943" s="7">
        <f>TRUNC([1]단가대비표!P838,0)</f>
        <v>0</v>
      </c>
      <c r="H943" s="7">
        <f t="shared" si="101"/>
        <v>0</v>
      </c>
      <c r="I943" s="7">
        <f>TRUNC([1]단가대비표!V838,0)</f>
        <v>0</v>
      </c>
      <c r="J943" s="7">
        <f t="shared" si="102"/>
        <v>0</v>
      </c>
      <c r="K943" s="7">
        <f t="shared" si="103"/>
        <v>0</v>
      </c>
      <c r="L943" s="7">
        <f t="shared" si="103"/>
        <v>0</v>
      </c>
      <c r="M943" s="4" t="s">
        <v>55</v>
      </c>
      <c r="N943" s="6" t="s">
        <v>2417</v>
      </c>
      <c r="O943" s="6" t="s">
        <v>55</v>
      </c>
      <c r="P943" s="6" t="s">
        <v>55</v>
      </c>
      <c r="Q943" s="6" t="s">
        <v>2389</v>
      </c>
      <c r="R943" s="6" t="s">
        <v>56</v>
      </c>
      <c r="S943" s="6" t="s">
        <v>56</v>
      </c>
      <c r="T943" s="6" t="s">
        <v>57</v>
      </c>
      <c r="AR943" s="6" t="s">
        <v>55</v>
      </c>
      <c r="AS943" s="6" t="s">
        <v>55</v>
      </c>
      <c r="AU943" s="6" t="s">
        <v>2418</v>
      </c>
      <c r="AV943">
        <v>3092</v>
      </c>
    </row>
    <row r="944" spans="1:48" ht="30" customHeight="1" x14ac:dyDescent="0.3">
      <c r="A944" s="4" t="s">
        <v>1069</v>
      </c>
      <c r="B944" s="4" t="s">
        <v>55</v>
      </c>
      <c r="C944" s="4" t="s">
        <v>55</v>
      </c>
      <c r="D944" s="5"/>
      <c r="E944" s="7">
        <f>TRUNC([1]단가대비표!O839,0)</f>
        <v>0</v>
      </c>
      <c r="F944" s="7">
        <f t="shared" si="100"/>
        <v>0</v>
      </c>
      <c r="G944" s="7">
        <f>TRUNC([1]단가대비표!P839,0)</f>
        <v>0</v>
      </c>
      <c r="H944" s="7">
        <f t="shared" si="101"/>
        <v>0</v>
      </c>
      <c r="I944" s="7">
        <f>TRUNC([1]단가대비표!V839,0)</f>
        <v>0</v>
      </c>
      <c r="J944" s="7">
        <f t="shared" si="102"/>
        <v>0</v>
      </c>
      <c r="K944" s="7">
        <f t="shared" si="103"/>
        <v>0</v>
      </c>
      <c r="L944" s="7">
        <f t="shared" si="103"/>
        <v>0</v>
      </c>
      <c r="M944" s="4" t="s">
        <v>55</v>
      </c>
      <c r="N944" s="6" t="s">
        <v>2419</v>
      </c>
      <c r="O944" s="6" t="s">
        <v>55</v>
      </c>
      <c r="P944" s="6" t="s">
        <v>55</v>
      </c>
      <c r="Q944" s="6" t="s">
        <v>2389</v>
      </c>
      <c r="R944" s="6" t="s">
        <v>56</v>
      </c>
      <c r="S944" s="6" t="s">
        <v>56</v>
      </c>
      <c r="T944" s="6" t="s">
        <v>57</v>
      </c>
      <c r="AR944" s="6" t="s">
        <v>55</v>
      </c>
      <c r="AS944" s="6" t="s">
        <v>55</v>
      </c>
      <c r="AU944" s="6" t="s">
        <v>2420</v>
      </c>
      <c r="AV944">
        <v>3093</v>
      </c>
    </row>
    <row r="945" spans="1:48" ht="30" customHeight="1" x14ac:dyDescent="0.3">
      <c r="A945" s="4" t="s">
        <v>2421</v>
      </c>
      <c r="B945" s="4" t="s">
        <v>2422</v>
      </c>
      <c r="C945" s="4" t="s">
        <v>61</v>
      </c>
      <c r="D945" s="5">
        <v>633</v>
      </c>
      <c r="E945" s="7">
        <f>TRUNC([1]단가대비표!O840,0)</f>
        <v>28000</v>
      </c>
      <c r="F945" s="7">
        <f t="shared" si="100"/>
        <v>17724000</v>
      </c>
      <c r="G945" s="7">
        <f>TRUNC([1]단가대비표!P840,0)</f>
        <v>6828</v>
      </c>
      <c r="H945" s="7">
        <f t="shared" si="101"/>
        <v>4322124</v>
      </c>
      <c r="I945" s="7">
        <f>TRUNC([1]단가대비표!V840,0)</f>
        <v>672</v>
      </c>
      <c r="J945" s="7">
        <f t="shared" si="102"/>
        <v>425376</v>
      </c>
      <c r="K945" s="7">
        <f t="shared" si="103"/>
        <v>35500</v>
      </c>
      <c r="L945" s="7">
        <f t="shared" si="103"/>
        <v>22471500</v>
      </c>
      <c r="M945" s="4" t="s">
        <v>115</v>
      </c>
      <c r="N945" s="6" t="s">
        <v>2423</v>
      </c>
      <c r="O945" s="6" t="s">
        <v>55</v>
      </c>
      <c r="P945" s="6" t="s">
        <v>55</v>
      </c>
      <c r="Q945" s="6" t="s">
        <v>2389</v>
      </c>
      <c r="R945" s="6" t="s">
        <v>56</v>
      </c>
      <c r="S945" s="6" t="s">
        <v>56</v>
      </c>
      <c r="T945" s="6" t="s">
        <v>57</v>
      </c>
      <c r="AR945" s="6" t="s">
        <v>55</v>
      </c>
      <c r="AS945" s="6" t="s">
        <v>55</v>
      </c>
      <c r="AU945" s="6" t="s">
        <v>2424</v>
      </c>
      <c r="AV945">
        <v>3094</v>
      </c>
    </row>
    <row r="946" spans="1:48" ht="30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 spans="1:48" ht="30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 spans="1:48" ht="30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 spans="1:48" ht="30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 spans="1:48" ht="30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 spans="1:48" ht="30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 spans="1:48" ht="30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 spans="1:48" ht="30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 spans="1:48" ht="30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 spans="1:48" ht="30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 spans="1:48" ht="30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 spans="1:48" ht="30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 spans="1:48" ht="30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 spans="1:48" ht="30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 spans="1:48" ht="30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 spans="1:48" ht="30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 spans="1:48" ht="30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 spans="1:48" ht="30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 spans="1:48" ht="30" customHeight="1" x14ac:dyDescent="0.3">
      <c r="A964" s="4" t="s">
        <v>128</v>
      </c>
      <c r="B964" s="5"/>
      <c r="C964" s="5"/>
      <c r="D964" s="5"/>
      <c r="E964" s="5"/>
      <c r="F964" s="7">
        <f>SUM(F924:F963)</f>
        <v>29084385</v>
      </c>
      <c r="G964" s="5"/>
      <c r="H964" s="7">
        <f>SUM(H924:H963)</f>
        <v>22358788</v>
      </c>
      <c r="I964" s="5"/>
      <c r="J964" s="7">
        <f>SUM(J924:J963)</f>
        <v>466884</v>
      </c>
      <c r="K964" s="5"/>
      <c r="L964" s="7">
        <f>SUM(L924:L963)</f>
        <v>51910057</v>
      </c>
      <c r="M964" s="5"/>
      <c r="N964" t="s">
        <v>129</v>
      </c>
    </row>
    <row r="965" spans="1:48" ht="30" customHeight="1" x14ac:dyDescent="0.3">
      <c r="A965" s="4" t="s">
        <v>2425</v>
      </c>
      <c r="B965" s="4" t="s">
        <v>2291</v>
      </c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Q965" s="6" t="s">
        <v>2426</v>
      </c>
    </row>
    <row r="966" spans="1:48" ht="30" customHeight="1" x14ac:dyDescent="0.3">
      <c r="A966" s="4" t="s">
        <v>1125</v>
      </c>
      <c r="B966" s="4" t="s">
        <v>1126</v>
      </c>
      <c r="C966" s="4" t="s">
        <v>269</v>
      </c>
      <c r="D966" s="5">
        <v>26</v>
      </c>
      <c r="E966" s="7">
        <f>TRUNC([1]일위대가목록!E102,0)</f>
        <v>1542</v>
      </c>
      <c r="F966" s="7">
        <f t="shared" ref="F966:F984" si="104">TRUNC(E966*D966, 0)</f>
        <v>40092</v>
      </c>
      <c r="G966" s="7">
        <f>TRUNC([1]일위대가목록!F102,0)</f>
        <v>4096</v>
      </c>
      <c r="H966" s="7">
        <f t="shared" ref="H966:H984" si="105">TRUNC(G966*D966, 0)</f>
        <v>106496</v>
      </c>
      <c r="I966" s="7">
        <f>TRUNC([1]일위대가목록!G102,0)</f>
        <v>0</v>
      </c>
      <c r="J966" s="7">
        <f t="shared" ref="J966:J984" si="106">TRUNC(I966*D966, 0)</f>
        <v>0</v>
      </c>
      <c r="K966" s="7">
        <f t="shared" ref="K966:L984" si="107">TRUNC(E966+G966+I966, 0)</f>
        <v>5638</v>
      </c>
      <c r="L966" s="7">
        <f t="shared" si="107"/>
        <v>146588</v>
      </c>
      <c r="M966" s="4" t="s">
        <v>1127</v>
      </c>
      <c r="N966" s="6" t="s">
        <v>1128</v>
      </c>
      <c r="O966" s="6" t="s">
        <v>55</v>
      </c>
      <c r="P966" s="6" t="s">
        <v>55</v>
      </c>
      <c r="Q966" s="6" t="s">
        <v>2426</v>
      </c>
      <c r="R966" s="6" t="s">
        <v>57</v>
      </c>
      <c r="S966" s="6" t="s">
        <v>56</v>
      </c>
      <c r="T966" s="6" t="s">
        <v>56</v>
      </c>
      <c r="AR966" s="6" t="s">
        <v>55</v>
      </c>
      <c r="AS966" s="6" t="s">
        <v>55</v>
      </c>
      <c r="AU966" s="6" t="s">
        <v>2427</v>
      </c>
      <c r="AV966">
        <v>2638</v>
      </c>
    </row>
    <row r="967" spans="1:48" ht="30" customHeight="1" x14ac:dyDescent="0.3">
      <c r="A967" s="4" t="s">
        <v>1115</v>
      </c>
      <c r="B967" s="4" t="s">
        <v>1116</v>
      </c>
      <c r="C967" s="4" t="s">
        <v>269</v>
      </c>
      <c r="D967" s="5">
        <v>21</v>
      </c>
      <c r="E967" s="7">
        <f>TRUNC([1]일위대가목록!E100,0)</f>
        <v>534</v>
      </c>
      <c r="F967" s="7">
        <f t="shared" si="104"/>
        <v>11214</v>
      </c>
      <c r="G967" s="7">
        <f>TRUNC([1]일위대가목록!F100,0)</f>
        <v>4096</v>
      </c>
      <c r="H967" s="7">
        <f t="shared" si="105"/>
        <v>86016</v>
      </c>
      <c r="I967" s="7">
        <f>TRUNC([1]일위대가목록!G100,0)</f>
        <v>0</v>
      </c>
      <c r="J967" s="7">
        <f t="shared" si="106"/>
        <v>0</v>
      </c>
      <c r="K967" s="7">
        <f t="shared" si="107"/>
        <v>4630</v>
      </c>
      <c r="L967" s="7">
        <f t="shared" si="107"/>
        <v>97230</v>
      </c>
      <c r="M967" s="4" t="s">
        <v>1117</v>
      </c>
      <c r="N967" s="6" t="s">
        <v>1118</v>
      </c>
      <c r="O967" s="6" t="s">
        <v>55</v>
      </c>
      <c r="P967" s="6" t="s">
        <v>55</v>
      </c>
      <c r="Q967" s="6" t="s">
        <v>2426</v>
      </c>
      <c r="R967" s="6" t="s">
        <v>57</v>
      </c>
      <c r="S967" s="6" t="s">
        <v>56</v>
      </c>
      <c r="T967" s="6" t="s">
        <v>56</v>
      </c>
      <c r="AR967" s="6" t="s">
        <v>55</v>
      </c>
      <c r="AS967" s="6" t="s">
        <v>55</v>
      </c>
      <c r="AU967" s="6" t="s">
        <v>2428</v>
      </c>
      <c r="AV967">
        <v>2639</v>
      </c>
    </row>
    <row r="968" spans="1:48" ht="30" customHeight="1" x14ac:dyDescent="0.3">
      <c r="A968" s="4" t="s">
        <v>1120</v>
      </c>
      <c r="B968" s="4" t="s">
        <v>1121</v>
      </c>
      <c r="C968" s="4" t="s">
        <v>269</v>
      </c>
      <c r="D968" s="5">
        <v>163</v>
      </c>
      <c r="E968" s="7">
        <f>TRUNC([1]일위대가목록!E101,0)</f>
        <v>534</v>
      </c>
      <c r="F968" s="7">
        <f t="shared" si="104"/>
        <v>87042</v>
      </c>
      <c r="G968" s="7">
        <f>TRUNC([1]일위대가목록!F101,0)</f>
        <v>4096</v>
      </c>
      <c r="H968" s="7">
        <f t="shared" si="105"/>
        <v>667648</v>
      </c>
      <c r="I968" s="7">
        <f>TRUNC([1]일위대가목록!G101,0)</f>
        <v>0</v>
      </c>
      <c r="J968" s="7">
        <f t="shared" si="106"/>
        <v>0</v>
      </c>
      <c r="K968" s="7">
        <f t="shared" si="107"/>
        <v>4630</v>
      </c>
      <c r="L968" s="7">
        <f t="shared" si="107"/>
        <v>754690</v>
      </c>
      <c r="M968" s="4" t="s">
        <v>1122</v>
      </c>
      <c r="N968" s="6" t="s">
        <v>1123</v>
      </c>
      <c r="O968" s="6" t="s">
        <v>55</v>
      </c>
      <c r="P968" s="6" t="s">
        <v>55</v>
      </c>
      <c r="Q968" s="6" t="s">
        <v>2426</v>
      </c>
      <c r="R968" s="6" t="s">
        <v>57</v>
      </c>
      <c r="S968" s="6" t="s">
        <v>56</v>
      </c>
      <c r="T968" s="6" t="s">
        <v>56</v>
      </c>
      <c r="AR968" s="6" t="s">
        <v>55</v>
      </c>
      <c r="AS968" s="6" t="s">
        <v>55</v>
      </c>
      <c r="AU968" s="6" t="s">
        <v>2429</v>
      </c>
      <c r="AV968">
        <v>2640</v>
      </c>
    </row>
    <row r="969" spans="1:48" ht="30" customHeight="1" x14ac:dyDescent="0.3">
      <c r="A969" s="4" t="s">
        <v>1130</v>
      </c>
      <c r="B969" s="4" t="s">
        <v>1131</v>
      </c>
      <c r="C969" s="4" t="s">
        <v>269</v>
      </c>
      <c r="D969" s="5">
        <v>6</v>
      </c>
      <c r="E969" s="7">
        <f>TRUNC([1]일위대가목록!E103,0)</f>
        <v>5406</v>
      </c>
      <c r="F969" s="7">
        <f t="shared" si="104"/>
        <v>32436</v>
      </c>
      <c r="G969" s="7">
        <f>TRUNC([1]일위대가목록!F103,0)</f>
        <v>16634</v>
      </c>
      <c r="H969" s="7">
        <f t="shared" si="105"/>
        <v>99804</v>
      </c>
      <c r="I969" s="7">
        <f>TRUNC([1]일위대가목록!G103,0)</f>
        <v>770</v>
      </c>
      <c r="J969" s="7">
        <f t="shared" si="106"/>
        <v>4620</v>
      </c>
      <c r="K969" s="7">
        <f t="shared" si="107"/>
        <v>22810</v>
      </c>
      <c r="L969" s="7">
        <f t="shared" si="107"/>
        <v>136860</v>
      </c>
      <c r="M969" s="4" t="s">
        <v>1132</v>
      </c>
      <c r="N969" s="6" t="s">
        <v>1133</v>
      </c>
      <c r="O969" s="6" t="s">
        <v>55</v>
      </c>
      <c r="P969" s="6" t="s">
        <v>55</v>
      </c>
      <c r="Q969" s="6" t="s">
        <v>2426</v>
      </c>
      <c r="R969" s="6" t="s">
        <v>57</v>
      </c>
      <c r="S969" s="6" t="s">
        <v>56</v>
      </c>
      <c r="T969" s="6" t="s">
        <v>56</v>
      </c>
      <c r="AR969" s="6" t="s">
        <v>55</v>
      </c>
      <c r="AS969" s="6" t="s">
        <v>55</v>
      </c>
      <c r="AU969" s="6" t="s">
        <v>2430</v>
      </c>
      <c r="AV969">
        <v>3095</v>
      </c>
    </row>
    <row r="970" spans="1:48" ht="30" customHeight="1" x14ac:dyDescent="0.3">
      <c r="A970" s="4" t="s">
        <v>1145</v>
      </c>
      <c r="B970" s="4" t="s">
        <v>1146</v>
      </c>
      <c r="C970" s="4" t="s">
        <v>52</v>
      </c>
      <c r="D970" s="5">
        <v>7</v>
      </c>
      <c r="E970" s="7">
        <f>TRUNC([1]단가대비표!O239,0)</f>
        <v>2608</v>
      </c>
      <c r="F970" s="7">
        <f t="shared" si="104"/>
        <v>18256</v>
      </c>
      <c r="G970" s="7">
        <f>TRUNC([1]단가대비표!P239,0)</f>
        <v>7421</v>
      </c>
      <c r="H970" s="7">
        <f t="shared" si="105"/>
        <v>51947</v>
      </c>
      <c r="I970" s="7">
        <f>TRUNC([1]단가대비표!V239,0)</f>
        <v>0</v>
      </c>
      <c r="J970" s="7">
        <f t="shared" si="106"/>
        <v>0</v>
      </c>
      <c r="K970" s="7">
        <f t="shared" si="107"/>
        <v>10029</v>
      </c>
      <c r="L970" s="7">
        <f t="shared" si="107"/>
        <v>70203</v>
      </c>
      <c r="M970" s="4" t="s">
        <v>1147</v>
      </c>
      <c r="N970" s="6" t="s">
        <v>1148</v>
      </c>
      <c r="O970" s="6" t="s">
        <v>55</v>
      </c>
      <c r="P970" s="6" t="s">
        <v>55</v>
      </c>
      <c r="Q970" s="6" t="s">
        <v>2426</v>
      </c>
      <c r="R970" s="6" t="s">
        <v>56</v>
      </c>
      <c r="S970" s="6" t="s">
        <v>56</v>
      </c>
      <c r="T970" s="6" t="s">
        <v>57</v>
      </c>
      <c r="AR970" s="6" t="s">
        <v>55</v>
      </c>
      <c r="AS970" s="6" t="s">
        <v>55</v>
      </c>
      <c r="AU970" s="6" t="s">
        <v>2431</v>
      </c>
      <c r="AV970">
        <v>3096</v>
      </c>
    </row>
    <row r="971" spans="1:48" ht="30" customHeight="1" x14ac:dyDescent="0.3">
      <c r="A971" s="4" t="s">
        <v>2432</v>
      </c>
      <c r="B971" s="4" t="s">
        <v>2433</v>
      </c>
      <c r="C971" s="4" t="s">
        <v>269</v>
      </c>
      <c r="D971" s="5">
        <v>16</v>
      </c>
      <c r="E971" s="7">
        <f>TRUNC([1]일위대가목록!E204,0)</f>
        <v>30086</v>
      </c>
      <c r="F971" s="7">
        <f t="shared" si="104"/>
        <v>481376</v>
      </c>
      <c r="G971" s="7">
        <f>TRUNC([1]일위대가목록!F204,0)</f>
        <v>50066</v>
      </c>
      <c r="H971" s="7">
        <f t="shared" si="105"/>
        <v>801056</v>
      </c>
      <c r="I971" s="7">
        <f>TRUNC([1]일위대가목록!G204,0)</f>
        <v>2385</v>
      </c>
      <c r="J971" s="7">
        <f t="shared" si="106"/>
        <v>38160</v>
      </c>
      <c r="K971" s="7">
        <f t="shared" si="107"/>
        <v>82537</v>
      </c>
      <c r="L971" s="7">
        <f t="shared" si="107"/>
        <v>1320592</v>
      </c>
      <c r="M971" s="4" t="s">
        <v>2434</v>
      </c>
      <c r="N971" s="6" t="s">
        <v>2435</v>
      </c>
      <c r="O971" s="6" t="s">
        <v>55</v>
      </c>
      <c r="P971" s="6" t="s">
        <v>55</v>
      </c>
      <c r="Q971" s="6" t="s">
        <v>2426</v>
      </c>
      <c r="R971" s="6" t="s">
        <v>57</v>
      </c>
      <c r="S971" s="6" t="s">
        <v>56</v>
      </c>
      <c r="T971" s="6" t="s">
        <v>56</v>
      </c>
      <c r="AR971" s="6" t="s">
        <v>55</v>
      </c>
      <c r="AS971" s="6" t="s">
        <v>55</v>
      </c>
      <c r="AU971" s="6" t="s">
        <v>2436</v>
      </c>
      <c r="AV971">
        <v>570</v>
      </c>
    </row>
    <row r="972" spans="1:48" ht="30" customHeight="1" x14ac:dyDescent="0.3">
      <c r="A972" s="4" t="s">
        <v>1196</v>
      </c>
      <c r="B972" s="4" t="s">
        <v>1197</v>
      </c>
      <c r="C972" s="4" t="s">
        <v>269</v>
      </c>
      <c r="D972" s="5">
        <v>29</v>
      </c>
      <c r="E972" s="7">
        <f>TRUNC([1]일위대가목록!E205,0)</f>
        <v>8181</v>
      </c>
      <c r="F972" s="7">
        <f t="shared" si="104"/>
        <v>237249</v>
      </c>
      <c r="G972" s="7">
        <f>TRUNC([1]일위대가목록!F205,0)</f>
        <v>17976</v>
      </c>
      <c r="H972" s="7">
        <f t="shared" si="105"/>
        <v>521304</v>
      </c>
      <c r="I972" s="7">
        <f>TRUNC([1]일위대가목록!G205,0)</f>
        <v>834</v>
      </c>
      <c r="J972" s="7">
        <f t="shared" si="106"/>
        <v>24186</v>
      </c>
      <c r="K972" s="7">
        <f t="shared" si="107"/>
        <v>26991</v>
      </c>
      <c r="L972" s="7">
        <f t="shared" si="107"/>
        <v>782739</v>
      </c>
      <c r="M972" s="4" t="s">
        <v>2437</v>
      </c>
      <c r="N972" s="6" t="s">
        <v>2438</v>
      </c>
      <c r="O972" s="6" t="s">
        <v>55</v>
      </c>
      <c r="P972" s="6" t="s">
        <v>55</v>
      </c>
      <c r="Q972" s="6" t="s">
        <v>2426</v>
      </c>
      <c r="R972" s="6" t="s">
        <v>57</v>
      </c>
      <c r="S972" s="6" t="s">
        <v>56</v>
      </c>
      <c r="T972" s="6" t="s">
        <v>56</v>
      </c>
      <c r="AR972" s="6" t="s">
        <v>55</v>
      </c>
      <c r="AS972" s="6" t="s">
        <v>55</v>
      </c>
      <c r="AU972" s="6" t="s">
        <v>2439</v>
      </c>
      <c r="AV972">
        <v>573</v>
      </c>
    </row>
    <row r="973" spans="1:48" ht="30" customHeight="1" x14ac:dyDescent="0.3">
      <c r="A973" s="4" t="s">
        <v>55</v>
      </c>
      <c r="B973" s="4" t="s">
        <v>55</v>
      </c>
      <c r="C973" s="4" t="s">
        <v>55</v>
      </c>
      <c r="D973" s="5"/>
      <c r="E973" s="7">
        <f>TRUNC([1]단가대비표!O411,0)</f>
        <v>0</v>
      </c>
      <c r="F973" s="7">
        <f t="shared" si="104"/>
        <v>0</v>
      </c>
      <c r="G973" s="7">
        <f>TRUNC([1]단가대비표!P411,0)</f>
        <v>0</v>
      </c>
      <c r="H973" s="7">
        <f t="shared" si="105"/>
        <v>0</v>
      </c>
      <c r="I973" s="7">
        <f>TRUNC([1]단가대비표!V411,0)</f>
        <v>0</v>
      </c>
      <c r="J973" s="7">
        <f t="shared" si="106"/>
        <v>0</v>
      </c>
      <c r="K973" s="7">
        <f t="shared" si="107"/>
        <v>0</v>
      </c>
      <c r="L973" s="7">
        <f t="shared" si="107"/>
        <v>0</v>
      </c>
      <c r="M973" s="4" t="s">
        <v>55</v>
      </c>
      <c r="N973" s="6" t="s">
        <v>2440</v>
      </c>
      <c r="O973" s="6" t="s">
        <v>55</v>
      </c>
      <c r="P973" s="6" t="s">
        <v>55</v>
      </c>
      <c r="Q973" s="6" t="s">
        <v>2426</v>
      </c>
      <c r="R973" s="6" t="s">
        <v>56</v>
      </c>
      <c r="S973" s="6" t="s">
        <v>56</v>
      </c>
      <c r="T973" s="6" t="s">
        <v>57</v>
      </c>
      <c r="AR973" s="6" t="s">
        <v>55</v>
      </c>
      <c r="AS973" s="6" t="s">
        <v>55</v>
      </c>
      <c r="AU973" s="6" t="s">
        <v>2441</v>
      </c>
      <c r="AV973">
        <v>1403</v>
      </c>
    </row>
    <row r="974" spans="1:48" ht="30" customHeight="1" x14ac:dyDescent="0.3">
      <c r="A974" s="4" t="s">
        <v>2442</v>
      </c>
      <c r="B974" s="4" t="s">
        <v>55</v>
      </c>
      <c r="C974" s="4" t="s">
        <v>55</v>
      </c>
      <c r="D974" s="5"/>
      <c r="E974" s="7">
        <f>TRUNC([1]단가대비표!O359,0)</f>
        <v>0</v>
      </c>
      <c r="F974" s="7">
        <f t="shared" si="104"/>
        <v>0</v>
      </c>
      <c r="G974" s="7">
        <f>TRUNC([1]단가대비표!P359,0)</f>
        <v>0</v>
      </c>
      <c r="H974" s="7">
        <f t="shared" si="105"/>
        <v>0</v>
      </c>
      <c r="I974" s="7">
        <f>TRUNC([1]단가대비표!V359,0)</f>
        <v>0</v>
      </c>
      <c r="J974" s="7">
        <f t="shared" si="106"/>
        <v>0</v>
      </c>
      <c r="K974" s="7">
        <f t="shared" si="107"/>
        <v>0</v>
      </c>
      <c r="L974" s="7">
        <f t="shared" si="107"/>
        <v>0</v>
      </c>
      <c r="M974" s="4" t="s">
        <v>55</v>
      </c>
      <c r="N974" s="6" t="s">
        <v>2443</v>
      </c>
      <c r="O974" s="6" t="s">
        <v>55</v>
      </c>
      <c r="P974" s="6" t="s">
        <v>55</v>
      </c>
      <c r="Q974" s="6" t="s">
        <v>2426</v>
      </c>
      <c r="R974" s="6" t="s">
        <v>56</v>
      </c>
      <c r="S974" s="6" t="s">
        <v>56</v>
      </c>
      <c r="T974" s="6" t="s">
        <v>57</v>
      </c>
      <c r="AR974" s="6" t="s">
        <v>55</v>
      </c>
      <c r="AS974" s="6" t="s">
        <v>55</v>
      </c>
      <c r="AU974" s="6" t="s">
        <v>2444</v>
      </c>
      <c r="AV974">
        <v>1314</v>
      </c>
    </row>
    <row r="975" spans="1:48" ht="30" customHeight="1" x14ac:dyDescent="0.3">
      <c r="A975" s="4" t="s">
        <v>1232</v>
      </c>
      <c r="B975" s="4" t="s">
        <v>1233</v>
      </c>
      <c r="C975" s="4" t="s">
        <v>140</v>
      </c>
      <c r="D975" s="5">
        <v>288</v>
      </c>
      <c r="E975" s="7">
        <f>TRUNC([1]단가대비표!O360,0)</f>
        <v>112450</v>
      </c>
      <c r="F975" s="7">
        <f t="shared" si="104"/>
        <v>32385600</v>
      </c>
      <c r="G975" s="7">
        <f>TRUNC([1]단가대비표!P360,0)</f>
        <v>68950</v>
      </c>
      <c r="H975" s="7">
        <f t="shared" si="105"/>
        <v>19857600</v>
      </c>
      <c r="I975" s="7">
        <f>TRUNC([1]단가대비표!V360,0)</f>
        <v>2000</v>
      </c>
      <c r="J975" s="7">
        <f t="shared" si="106"/>
        <v>576000</v>
      </c>
      <c r="K975" s="7">
        <f t="shared" si="107"/>
        <v>183400</v>
      </c>
      <c r="L975" s="7">
        <f t="shared" si="107"/>
        <v>52819200</v>
      </c>
      <c r="M975" s="4" t="s">
        <v>115</v>
      </c>
      <c r="N975" s="6" t="s">
        <v>2445</v>
      </c>
      <c r="O975" s="6" t="s">
        <v>55</v>
      </c>
      <c r="P975" s="6" t="s">
        <v>55</v>
      </c>
      <c r="Q975" s="6" t="s">
        <v>2426</v>
      </c>
      <c r="R975" s="6" t="s">
        <v>56</v>
      </c>
      <c r="S975" s="6" t="s">
        <v>56</v>
      </c>
      <c r="T975" s="6" t="s">
        <v>57</v>
      </c>
      <c r="AR975" s="6" t="s">
        <v>55</v>
      </c>
      <c r="AS975" s="6" t="s">
        <v>55</v>
      </c>
      <c r="AU975" s="6" t="s">
        <v>2446</v>
      </c>
      <c r="AV975">
        <v>1315</v>
      </c>
    </row>
    <row r="976" spans="1:48" ht="30" customHeight="1" x14ac:dyDescent="0.3">
      <c r="A976" s="4" t="s">
        <v>2447</v>
      </c>
      <c r="B976" s="4" t="s">
        <v>1237</v>
      </c>
      <c r="C976" s="4" t="s">
        <v>140</v>
      </c>
      <c r="D976" s="5">
        <v>12</v>
      </c>
      <c r="E976" s="7">
        <f>TRUNC([1]단가대비표!O361,0)</f>
        <v>58120</v>
      </c>
      <c r="F976" s="7">
        <f t="shared" si="104"/>
        <v>697440</v>
      </c>
      <c r="G976" s="7">
        <f>TRUNC([1]단가대비표!P361,0)</f>
        <v>39900</v>
      </c>
      <c r="H976" s="7">
        <f t="shared" si="105"/>
        <v>478800</v>
      </c>
      <c r="I976" s="7">
        <f>TRUNC([1]단가대비표!V361,0)</f>
        <v>2500</v>
      </c>
      <c r="J976" s="7">
        <f t="shared" si="106"/>
        <v>30000</v>
      </c>
      <c r="K976" s="7">
        <f t="shared" si="107"/>
        <v>100520</v>
      </c>
      <c r="L976" s="7">
        <f t="shared" si="107"/>
        <v>1206240</v>
      </c>
      <c r="M976" s="4" t="s">
        <v>2448</v>
      </c>
      <c r="N976" s="6" t="s">
        <v>2449</v>
      </c>
      <c r="O976" s="6" t="s">
        <v>55</v>
      </c>
      <c r="P976" s="6" t="s">
        <v>55</v>
      </c>
      <c r="Q976" s="6" t="s">
        <v>2426</v>
      </c>
      <c r="R976" s="6" t="s">
        <v>56</v>
      </c>
      <c r="S976" s="6" t="s">
        <v>56</v>
      </c>
      <c r="T976" s="6" t="s">
        <v>57</v>
      </c>
      <c r="AR976" s="6" t="s">
        <v>55</v>
      </c>
      <c r="AS976" s="6" t="s">
        <v>55</v>
      </c>
      <c r="AU976" s="6" t="s">
        <v>2450</v>
      </c>
      <c r="AV976">
        <v>3457</v>
      </c>
    </row>
    <row r="977" spans="1:48" ht="30" customHeight="1" x14ac:dyDescent="0.3">
      <c r="A977" s="4" t="s">
        <v>1240</v>
      </c>
      <c r="B977" s="4" t="s">
        <v>1241</v>
      </c>
      <c r="C977" s="4" t="s">
        <v>52</v>
      </c>
      <c r="D977" s="5">
        <v>79</v>
      </c>
      <c r="E977" s="7">
        <f>TRUNC([1]단가대비표!O362,0)</f>
        <v>21000</v>
      </c>
      <c r="F977" s="7">
        <f t="shared" si="104"/>
        <v>1659000</v>
      </c>
      <c r="G977" s="7">
        <f>TRUNC([1]단가대비표!P362,0)</f>
        <v>23000</v>
      </c>
      <c r="H977" s="7">
        <f t="shared" si="105"/>
        <v>1817000</v>
      </c>
      <c r="I977" s="7">
        <f>TRUNC([1]단가대비표!V362,0)</f>
        <v>1000</v>
      </c>
      <c r="J977" s="7">
        <f t="shared" si="106"/>
        <v>79000</v>
      </c>
      <c r="K977" s="7">
        <f t="shared" si="107"/>
        <v>45000</v>
      </c>
      <c r="L977" s="7">
        <f t="shared" si="107"/>
        <v>3555000</v>
      </c>
      <c r="M977" s="4" t="s">
        <v>115</v>
      </c>
      <c r="N977" s="6" t="s">
        <v>2451</v>
      </c>
      <c r="O977" s="6" t="s">
        <v>55</v>
      </c>
      <c r="P977" s="6" t="s">
        <v>55</v>
      </c>
      <c r="Q977" s="6" t="s">
        <v>2426</v>
      </c>
      <c r="R977" s="6" t="s">
        <v>56</v>
      </c>
      <c r="S977" s="6" t="s">
        <v>56</v>
      </c>
      <c r="T977" s="6" t="s">
        <v>57</v>
      </c>
      <c r="AR977" s="6" t="s">
        <v>55</v>
      </c>
      <c r="AS977" s="6" t="s">
        <v>55</v>
      </c>
      <c r="AU977" s="6" t="s">
        <v>2452</v>
      </c>
      <c r="AV977">
        <v>3458</v>
      </c>
    </row>
    <row r="978" spans="1:48" ht="30" customHeight="1" x14ac:dyDescent="0.3">
      <c r="A978" s="4" t="s">
        <v>1244</v>
      </c>
      <c r="B978" s="4" t="s">
        <v>1237</v>
      </c>
      <c r="C978" s="4" t="s">
        <v>140</v>
      </c>
      <c r="D978" s="5">
        <v>63</v>
      </c>
      <c r="E978" s="7">
        <f>TRUNC([1]단가대비표!O363,0)</f>
        <v>58120</v>
      </c>
      <c r="F978" s="7">
        <f t="shared" si="104"/>
        <v>3661560</v>
      </c>
      <c r="G978" s="7">
        <f>TRUNC([1]단가대비표!P363,0)</f>
        <v>39900</v>
      </c>
      <c r="H978" s="7">
        <f t="shared" si="105"/>
        <v>2513700</v>
      </c>
      <c r="I978" s="7">
        <f>TRUNC([1]단가대비표!V363,0)</f>
        <v>2500</v>
      </c>
      <c r="J978" s="7">
        <f t="shared" si="106"/>
        <v>157500</v>
      </c>
      <c r="K978" s="7">
        <f t="shared" si="107"/>
        <v>100520</v>
      </c>
      <c r="L978" s="7">
        <f t="shared" si="107"/>
        <v>6332760</v>
      </c>
      <c r="M978" s="4" t="s">
        <v>115</v>
      </c>
      <c r="N978" s="6" t="s">
        <v>2453</v>
      </c>
      <c r="O978" s="6" t="s">
        <v>55</v>
      </c>
      <c r="P978" s="6" t="s">
        <v>55</v>
      </c>
      <c r="Q978" s="6" t="s">
        <v>2426</v>
      </c>
      <c r="R978" s="6" t="s">
        <v>56</v>
      </c>
      <c r="S978" s="6" t="s">
        <v>56</v>
      </c>
      <c r="T978" s="6" t="s">
        <v>57</v>
      </c>
      <c r="AR978" s="6" t="s">
        <v>55</v>
      </c>
      <c r="AS978" s="6" t="s">
        <v>55</v>
      </c>
      <c r="AU978" s="6" t="s">
        <v>2454</v>
      </c>
      <c r="AV978">
        <v>3459</v>
      </c>
    </row>
    <row r="979" spans="1:48" ht="30" customHeight="1" x14ac:dyDescent="0.3">
      <c r="A979" s="4" t="s">
        <v>55</v>
      </c>
      <c r="B979" s="4" t="s">
        <v>55</v>
      </c>
      <c r="C979" s="4" t="s">
        <v>55</v>
      </c>
      <c r="D979" s="5"/>
      <c r="E979" s="7">
        <f>TRUNC([1]단가대비표!O893,0)</f>
        <v>0</v>
      </c>
      <c r="F979" s="7">
        <f t="shared" si="104"/>
        <v>0</v>
      </c>
      <c r="G979" s="7">
        <f>TRUNC([1]단가대비표!P893,0)</f>
        <v>0</v>
      </c>
      <c r="H979" s="7">
        <f t="shared" si="105"/>
        <v>0</v>
      </c>
      <c r="I979" s="7">
        <f>TRUNC([1]단가대비표!V893,0)</f>
        <v>0</v>
      </c>
      <c r="J979" s="7">
        <f t="shared" si="106"/>
        <v>0</v>
      </c>
      <c r="K979" s="7">
        <f t="shared" si="107"/>
        <v>0</v>
      </c>
      <c r="L979" s="7">
        <f t="shared" si="107"/>
        <v>0</v>
      </c>
      <c r="M979" s="4" t="s">
        <v>55</v>
      </c>
      <c r="N979" s="6" t="s">
        <v>2455</v>
      </c>
      <c r="O979" s="6" t="s">
        <v>55</v>
      </c>
      <c r="P979" s="6" t="s">
        <v>55</v>
      </c>
      <c r="Q979" s="6" t="s">
        <v>2426</v>
      </c>
      <c r="R979" s="6" t="s">
        <v>56</v>
      </c>
      <c r="S979" s="6" t="s">
        <v>56</v>
      </c>
      <c r="T979" s="6" t="s">
        <v>57</v>
      </c>
      <c r="AR979" s="6" t="s">
        <v>55</v>
      </c>
      <c r="AS979" s="6" t="s">
        <v>55</v>
      </c>
      <c r="AU979" s="6" t="s">
        <v>2456</v>
      </c>
      <c r="AV979">
        <v>3465</v>
      </c>
    </row>
    <row r="980" spans="1:48" ht="30" customHeight="1" x14ac:dyDescent="0.3">
      <c r="A980" s="4" t="s">
        <v>2457</v>
      </c>
      <c r="B980" s="4" t="s">
        <v>55</v>
      </c>
      <c r="C980" s="4" t="s">
        <v>55</v>
      </c>
      <c r="D980" s="5"/>
      <c r="E980" s="7">
        <f>TRUNC([1]단가대비표!O326,0)</f>
        <v>0</v>
      </c>
      <c r="F980" s="7">
        <f t="shared" si="104"/>
        <v>0</v>
      </c>
      <c r="G980" s="7">
        <f>TRUNC([1]단가대비표!P326,0)</f>
        <v>0</v>
      </c>
      <c r="H980" s="7">
        <f t="shared" si="105"/>
        <v>0</v>
      </c>
      <c r="I980" s="7">
        <f>TRUNC([1]단가대비표!V326,0)</f>
        <v>0</v>
      </c>
      <c r="J980" s="7">
        <f t="shared" si="106"/>
        <v>0</v>
      </c>
      <c r="K980" s="7">
        <f t="shared" si="107"/>
        <v>0</v>
      </c>
      <c r="L980" s="7">
        <f t="shared" si="107"/>
        <v>0</v>
      </c>
      <c r="M980" s="4" t="s">
        <v>55</v>
      </c>
      <c r="N980" s="6" t="s">
        <v>2458</v>
      </c>
      <c r="O980" s="6" t="s">
        <v>55</v>
      </c>
      <c r="P980" s="6" t="s">
        <v>55</v>
      </c>
      <c r="Q980" s="6" t="s">
        <v>2426</v>
      </c>
      <c r="R980" s="6" t="s">
        <v>56</v>
      </c>
      <c r="S980" s="6" t="s">
        <v>56</v>
      </c>
      <c r="T980" s="6" t="s">
        <v>57</v>
      </c>
      <c r="AR980" s="6" t="s">
        <v>55</v>
      </c>
      <c r="AS980" s="6" t="s">
        <v>55</v>
      </c>
      <c r="AU980" s="6" t="s">
        <v>2459</v>
      </c>
      <c r="AV980">
        <v>3460</v>
      </c>
    </row>
    <row r="981" spans="1:48" ht="30" customHeight="1" x14ac:dyDescent="0.3">
      <c r="A981" s="4" t="s">
        <v>1337</v>
      </c>
      <c r="B981" s="4" t="s">
        <v>1415</v>
      </c>
      <c r="C981" s="4" t="s">
        <v>61</v>
      </c>
      <c r="D981" s="5">
        <v>17</v>
      </c>
      <c r="E981" s="7">
        <f>TRUNC([1]단가대비표!O327,0)</f>
        <v>15000</v>
      </c>
      <c r="F981" s="7">
        <f t="shared" si="104"/>
        <v>255000</v>
      </c>
      <c r="G981" s="7">
        <f>TRUNC([1]단가대비표!P327,0)</f>
        <v>0</v>
      </c>
      <c r="H981" s="7">
        <f t="shared" si="105"/>
        <v>0</v>
      </c>
      <c r="I981" s="7">
        <f>TRUNC([1]단가대비표!V327,0)</f>
        <v>0</v>
      </c>
      <c r="J981" s="7">
        <f t="shared" si="106"/>
        <v>0</v>
      </c>
      <c r="K981" s="7">
        <f t="shared" si="107"/>
        <v>15000</v>
      </c>
      <c r="L981" s="7">
        <f t="shared" si="107"/>
        <v>255000</v>
      </c>
      <c r="M981" s="4" t="s">
        <v>115</v>
      </c>
      <c r="N981" s="6" t="s">
        <v>2460</v>
      </c>
      <c r="O981" s="6" t="s">
        <v>55</v>
      </c>
      <c r="P981" s="6" t="s">
        <v>55</v>
      </c>
      <c r="Q981" s="6" t="s">
        <v>2426</v>
      </c>
      <c r="R981" s="6" t="s">
        <v>56</v>
      </c>
      <c r="S981" s="6" t="s">
        <v>56</v>
      </c>
      <c r="T981" s="6" t="s">
        <v>57</v>
      </c>
      <c r="AR981" s="6" t="s">
        <v>55</v>
      </c>
      <c r="AS981" s="6" t="s">
        <v>55</v>
      </c>
      <c r="AU981" s="6" t="s">
        <v>2461</v>
      </c>
      <c r="AV981">
        <v>3461</v>
      </c>
    </row>
    <row r="982" spans="1:48" ht="30" customHeight="1" x14ac:dyDescent="0.3">
      <c r="A982" s="4" t="s">
        <v>1418</v>
      </c>
      <c r="B982" s="4" t="s">
        <v>55</v>
      </c>
      <c r="C982" s="4" t="s">
        <v>120</v>
      </c>
      <c r="D982" s="5">
        <v>8</v>
      </c>
      <c r="E982" s="7">
        <f>TRUNC([1]단가대비표!O328,0)</f>
        <v>20300</v>
      </c>
      <c r="F982" s="7">
        <f t="shared" si="104"/>
        <v>162400</v>
      </c>
      <c r="G982" s="7">
        <f>TRUNC([1]단가대비표!P328,0)</f>
        <v>0</v>
      </c>
      <c r="H982" s="7">
        <f t="shared" si="105"/>
        <v>0</v>
      </c>
      <c r="I982" s="7">
        <f>TRUNC([1]단가대비표!V328,0)</f>
        <v>0</v>
      </c>
      <c r="J982" s="7">
        <f t="shared" si="106"/>
        <v>0</v>
      </c>
      <c r="K982" s="7">
        <f t="shared" si="107"/>
        <v>20300</v>
      </c>
      <c r="L982" s="7">
        <f t="shared" si="107"/>
        <v>162400</v>
      </c>
      <c r="M982" s="4" t="s">
        <v>115</v>
      </c>
      <c r="N982" s="6" t="s">
        <v>2462</v>
      </c>
      <c r="O982" s="6" t="s">
        <v>55</v>
      </c>
      <c r="P982" s="6" t="s">
        <v>55</v>
      </c>
      <c r="Q982" s="6" t="s">
        <v>2426</v>
      </c>
      <c r="R982" s="6" t="s">
        <v>56</v>
      </c>
      <c r="S982" s="6" t="s">
        <v>56</v>
      </c>
      <c r="T982" s="6" t="s">
        <v>57</v>
      </c>
      <c r="AR982" s="6" t="s">
        <v>55</v>
      </c>
      <c r="AS982" s="6" t="s">
        <v>55</v>
      </c>
      <c r="AU982" s="6" t="s">
        <v>2463</v>
      </c>
      <c r="AV982">
        <v>3462</v>
      </c>
    </row>
    <row r="983" spans="1:48" ht="30" customHeight="1" x14ac:dyDescent="0.3">
      <c r="A983" s="4" t="s">
        <v>1421</v>
      </c>
      <c r="B983" s="4" t="s">
        <v>55</v>
      </c>
      <c r="C983" s="4" t="s">
        <v>61</v>
      </c>
      <c r="D983" s="5">
        <v>17</v>
      </c>
      <c r="E983" s="7">
        <f>TRUNC([1]단가대비표!O329,0)</f>
        <v>0</v>
      </c>
      <c r="F983" s="7">
        <f t="shared" si="104"/>
        <v>0</v>
      </c>
      <c r="G983" s="7">
        <f>TRUNC([1]단가대비표!P329,0)</f>
        <v>3200</v>
      </c>
      <c r="H983" s="7">
        <f t="shared" si="105"/>
        <v>54400</v>
      </c>
      <c r="I983" s="7">
        <f>TRUNC([1]단가대비표!V329,0)</f>
        <v>0</v>
      </c>
      <c r="J983" s="7">
        <f t="shared" si="106"/>
        <v>0</v>
      </c>
      <c r="K983" s="7">
        <f t="shared" si="107"/>
        <v>3200</v>
      </c>
      <c r="L983" s="7">
        <f t="shared" si="107"/>
        <v>54400</v>
      </c>
      <c r="M983" s="4" t="s">
        <v>115</v>
      </c>
      <c r="N983" s="6" t="s">
        <v>2464</v>
      </c>
      <c r="O983" s="6" t="s">
        <v>55</v>
      </c>
      <c r="P983" s="6" t="s">
        <v>55</v>
      </c>
      <c r="Q983" s="6" t="s">
        <v>2426</v>
      </c>
      <c r="R983" s="6" t="s">
        <v>56</v>
      </c>
      <c r="S983" s="6" t="s">
        <v>56</v>
      </c>
      <c r="T983" s="6" t="s">
        <v>57</v>
      </c>
      <c r="AR983" s="6" t="s">
        <v>55</v>
      </c>
      <c r="AS983" s="6" t="s">
        <v>55</v>
      </c>
      <c r="AU983" s="6" t="s">
        <v>2465</v>
      </c>
      <c r="AV983">
        <v>3463</v>
      </c>
    </row>
    <row r="984" spans="1:48" ht="30" customHeight="1" x14ac:dyDescent="0.3">
      <c r="A984" s="4" t="s">
        <v>1424</v>
      </c>
      <c r="B984" s="4" t="s">
        <v>55</v>
      </c>
      <c r="C984" s="4" t="s">
        <v>61</v>
      </c>
      <c r="D984" s="5">
        <v>17</v>
      </c>
      <c r="E984" s="7">
        <f>TRUNC([1]단가대비표!O330,0)</f>
        <v>0</v>
      </c>
      <c r="F984" s="7">
        <f t="shared" si="104"/>
        <v>0</v>
      </c>
      <c r="G984" s="7">
        <f>TRUNC([1]단가대비표!P330,0)</f>
        <v>3400</v>
      </c>
      <c r="H984" s="7">
        <f t="shared" si="105"/>
        <v>57800</v>
      </c>
      <c r="I984" s="7">
        <f>TRUNC([1]단가대비표!V330,0)</f>
        <v>0</v>
      </c>
      <c r="J984" s="7">
        <f t="shared" si="106"/>
        <v>0</v>
      </c>
      <c r="K984" s="7">
        <f t="shared" si="107"/>
        <v>3400</v>
      </c>
      <c r="L984" s="7">
        <f t="shared" si="107"/>
        <v>57800</v>
      </c>
      <c r="M984" s="4" t="s">
        <v>115</v>
      </c>
      <c r="N984" s="6" t="s">
        <v>2466</v>
      </c>
      <c r="O984" s="6" t="s">
        <v>55</v>
      </c>
      <c r="P984" s="6" t="s">
        <v>55</v>
      </c>
      <c r="Q984" s="6" t="s">
        <v>2426</v>
      </c>
      <c r="R984" s="6" t="s">
        <v>56</v>
      </c>
      <c r="S984" s="6" t="s">
        <v>56</v>
      </c>
      <c r="T984" s="6" t="s">
        <v>57</v>
      </c>
      <c r="AR984" s="6" t="s">
        <v>55</v>
      </c>
      <c r="AS984" s="6" t="s">
        <v>55</v>
      </c>
      <c r="AU984" s="6" t="s">
        <v>2467</v>
      </c>
      <c r="AV984">
        <v>3464</v>
      </c>
    </row>
    <row r="985" spans="1:48" ht="30" customHeight="1" x14ac:dyDescent="0.3">
      <c r="A985" s="4" t="s">
        <v>128</v>
      </c>
      <c r="B985" s="5"/>
      <c r="C985" s="5"/>
      <c r="D985" s="5"/>
      <c r="E985" s="5"/>
      <c r="F985" s="7">
        <f>SUM(F966:F984)</f>
        <v>39728665</v>
      </c>
      <c r="G985" s="5"/>
      <c r="H985" s="7">
        <f>SUM(H966:H984)</f>
        <v>27113571</v>
      </c>
      <c r="I985" s="5"/>
      <c r="J985" s="7">
        <f>SUM(J966:J984)</f>
        <v>909466</v>
      </c>
      <c r="K985" s="5"/>
      <c r="L985" s="7">
        <f>SUM(L966:L984)</f>
        <v>67751702</v>
      </c>
      <c r="M985" s="5"/>
      <c r="N985" t="s">
        <v>129</v>
      </c>
    </row>
    <row r="986" spans="1:48" ht="30" customHeight="1" x14ac:dyDescent="0.3">
      <c r="A986" s="4" t="s">
        <v>2468</v>
      </c>
      <c r="B986" s="4" t="s">
        <v>2291</v>
      </c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Q986" s="6" t="s">
        <v>2469</v>
      </c>
    </row>
    <row r="987" spans="1:48" ht="30" customHeight="1" x14ac:dyDescent="0.3">
      <c r="A987" s="4" t="s">
        <v>528</v>
      </c>
      <c r="B987" s="4" t="s">
        <v>1429</v>
      </c>
      <c r="C987" s="4" t="s">
        <v>61</v>
      </c>
      <c r="D987" s="5">
        <v>68</v>
      </c>
      <c r="E987" s="7">
        <f>TRUNC([1]일위대가목록!E119,0)</f>
        <v>257</v>
      </c>
      <c r="F987" s="7">
        <f t="shared" ref="F987:F995" si="108">TRUNC(E987*D987, 0)</f>
        <v>17476</v>
      </c>
      <c r="G987" s="7">
        <f>TRUNC([1]일위대가목록!F119,0)</f>
        <v>13480</v>
      </c>
      <c r="H987" s="7">
        <f t="shared" ref="H987:H995" si="109">TRUNC(G987*D987, 0)</f>
        <v>916640</v>
      </c>
      <c r="I987" s="7">
        <f>TRUNC([1]일위대가목록!G119,0)</f>
        <v>0</v>
      </c>
      <c r="J987" s="7">
        <f t="shared" ref="J987:J995" si="110">TRUNC(I987*D987, 0)</f>
        <v>0</v>
      </c>
      <c r="K987" s="7">
        <f t="shared" ref="K987:L995" si="111">TRUNC(E987+G987+I987, 0)</f>
        <v>13737</v>
      </c>
      <c r="L987" s="7">
        <f t="shared" si="111"/>
        <v>934116</v>
      </c>
      <c r="M987" s="4" t="s">
        <v>1430</v>
      </c>
      <c r="N987" s="6" t="s">
        <v>1431</v>
      </c>
      <c r="O987" s="6" t="s">
        <v>55</v>
      </c>
      <c r="P987" s="6" t="s">
        <v>55</v>
      </c>
      <c r="Q987" s="6" t="s">
        <v>2469</v>
      </c>
      <c r="R987" s="6" t="s">
        <v>57</v>
      </c>
      <c r="S987" s="6" t="s">
        <v>56</v>
      </c>
      <c r="T987" s="6" t="s">
        <v>56</v>
      </c>
      <c r="AR987" s="6" t="s">
        <v>55</v>
      </c>
      <c r="AS987" s="6" t="s">
        <v>55</v>
      </c>
      <c r="AU987" s="6" t="s">
        <v>2470</v>
      </c>
      <c r="AV987">
        <v>2642</v>
      </c>
    </row>
    <row r="988" spans="1:48" ht="30" customHeight="1" x14ac:dyDescent="0.3">
      <c r="A988" s="4" t="s">
        <v>528</v>
      </c>
      <c r="B988" s="4" t="s">
        <v>1433</v>
      </c>
      <c r="C988" s="4" t="s">
        <v>61</v>
      </c>
      <c r="D988" s="5">
        <v>630</v>
      </c>
      <c r="E988" s="7">
        <f>TRUNC([1]일위대가목록!E120,0)</f>
        <v>364</v>
      </c>
      <c r="F988" s="7">
        <f t="shared" si="108"/>
        <v>229320</v>
      </c>
      <c r="G988" s="7">
        <f>TRUNC([1]일위대가목록!F120,0)</f>
        <v>18953</v>
      </c>
      <c r="H988" s="7">
        <f t="shared" si="109"/>
        <v>11940390</v>
      </c>
      <c r="I988" s="7">
        <f>TRUNC([1]일위대가목록!G120,0)</f>
        <v>0</v>
      </c>
      <c r="J988" s="7">
        <f t="shared" si="110"/>
        <v>0</v>
      </c>
      <c r="K988" s="7">
        <f t="shared" si="111"/>
        <v>19317</v>
      </c>
      <c r="L988" s="7">
        <f t="shared" si="111"/>
        <v>12169710</v>
      </c>
      <c r="M988" s="4" t="s">
        <v>1434</v>
      </c>
      <c r="N988" s="6" t="s">
        <v>1435</v>
      </c>
      <c r="O988" s="6" t="s">
        <v>55</v>
      </c>
      <c r="P988" s="6" t="s">
        <v>55</v>
      </c>
      <c r="Q988" s="6" t="s">
        <v>2469</v>
      </c>
      <c r="R988" s="6" t="s">
        <v>57</v>
      </c>
      <c r="S988" s="6" t="s">
        <v>56</v>
      </c>
      <c r="T988" s="6" t="s">
        <v>56</v>
      </c>
      <c r="AR988" s="6" t="s">
        <v>55</v>
      </c>
      <c r="AS988" s="6" t="s">
        <v>55</v>
      </c>
      <c r="AU988" s="6" t="s">
        <v>2471</v>
      </c>
      <c r="AV988">
        <v>2916</v>
      </c>
    </row>
    <row r="989" spans="1:48" ht="30" customHeight="1" x14ac:dyDescent="0.3">
      <c r="A989" s="4" t="s">
        <v>528</v>
      </c>
      <c r="B989" s="4" t="s">
        <v>1445</v>
      </c>
      <c r="C989" s="4" t="s">
        <v>61</v>
      </c>
      <c r="D989" s="5">
        <v>243</v>
      </c>
      <c r="E989" s="7">
        <f>TRUNC([1]일위대가목록!E123,0)</f>
        <v>0</v>
      </c>
      <c r="F989" s="7">
        <f t="shared" si="108"/>
        <v>0</v>
      </c>
      <c r="G989" s="7">
        <f>TRUNC([1]일위대가목록!F123,0)</f>
        <v>14538</v>
      </c>
      <c r="H989" s="7">
        <f t="shared" si="109"/>
        <v>3532734</v>
      </c>
      <c r="I989" s="7">
        <f>TRUNC([1]일위대가목록!G123,0)</f>
        <v>214</v>
      </c>
      <c r="J989" s="7">
        <f t="shared" si="110"/>
        <v>52002</v>
      </c>
      <c r="K989" s="7">
        <f t="shared" si="111"/>
        <v>14752</v>
      </c>
      <c r="L989" s="7">
        <f t="shared" si="111"/>
        <v>3584736</v>
      </c>
      <c r="M989" s="4" t="s">
        <v>1446</v>
      </c>
      <c r="N989" s="6" t="s">
        <v>1447</v>
      </c>
      <c r="O989" s="6" t="s">
        <v>55</v>
      </c>
      <c r="P989" s="6" t="s">
        <v>55</v>
      </c>
      <c r="Q989" s="6" t="s">
        <v>2469</v>
      </c>
      <c r="R989" s="6" t="s">
        <v>57</v>
      </c>
      <c r="S989" s="6" t="s">
        <v>56</v>
      </c>
      <c r="T989" s="6" t="s">
        <v>56</v>
      </c>
      <c r="AR989" s="6" t="s">
        <v>55</v>
      </c>
      <c r="AS989" s="6" t="s">
        <v>55</v>
      </c>
      <c r="AU989" s="6" t="s">
        <v>2472</v>
      </c>
      <c r="AV989">
        <v>583</v>
      </c>
    </row>
    <row r="990" spans="1:48" ht="30" customHeight="1" x14ac:dyDescent="0.3">
      <c r="A990" s="4" t="s">
        <v>1475</v>
      </c>
      <c r="B990" s="4" t="s">
        <v>1484</v>
      </c>
      <c r="C990" s="4" t="s">
        <v>61</v>
      </c>
      <c r="D990" s="5">
        <v>401</v>
      </c>
      <c r="E990" s="7">
        <f>TRUNC([1]일위대가목록!E132,0)</f>
        <v>481</v>
      </c>
      <c r="F990" s="7">
        <f t="shared" si="108"/>
        <v>192881</v>
      </c>
      <c r="G990" s="7">
        <f>TRUNC([1]일위대가목록!F132,0)</f>
        <v>2094</v>
      </c>
      <c r="H990" s="7">
        <f t="shared" si="109"/>
        <v>839694</v>
      </c>
      <c r="I990" s="7">
        <f>TRUNC([1]일위대가목록!G132,0)</f>
        <v>0</v>
      </c>
      <c r="J990" s="7">
        <f t="shared" si="110"/>
        <v>0</v>
      </c>
      <c r="K990" s="7">
        <f t="shared" si="111"/>
        <v>2575</v>
      </c>
      <c r="L990" s="7">
        <f t="shared" si="111"/>
        <v>1032575</v>
      </c>
      <c r="M990" s="4" t="s">
        <v>1485</v>
      </c>
      <c r="N990" s="6" t="s">
        <v>1486</v>
      </c>
      <c r="O990" s="6" t="s">
        <v>55</v>
      </c>
      <c r="P990" s="6" t="s">
        <v>55</v>
      </c>
      <c r="Q990" s="6" t="s">
        <v>2469</v>
      </c>
      <c r="R990" s="6" t="s">
        <v>57</v>
      </c>
      <c r="S990" s="6" t="s">
        <v>56</v>
      </c>
      <c r="T990" s="6" t="s">
        <v>56</v>
      </c>
      <c r="AR990" s="6" t="s">
        <v>55</v>
      </c>
      <c r="AS990" s="6" t="s">
        <v>55</v>
      </c>
      <c r="AU990" s="6" t="s">
        <v>2473</v>
      </c>
      <c r="AV990">
        <v>584</v>
      </c>
    </row>
    <row r="991" spans="1:48" ht="30" customHeight="1" x14ac:dyDescent="0.3">
      <c r="A991" s="4" t="s">
        <v>1475</v>
      </c>
      <c r="B991" s="4" t="s">
        <v>1488</v>
      </c>
      <c r="C991" s="4" t="s">
        <v>61</v>
      </c>
      <c r="D991" s="5">
        <v>61</v>
      </c>
      <c r="E991" s="7">
        <f>TRUNC([1]일위대가목록!E133,0)</f>
        <v>62</v>
      </c>
      <c r="F991" s="7">
        <f t="shared" si="108"/>
        <v>3782</v>
      </c>
      <c r="G991" s="7">
        <f>TRUNC([1]일위대가목록!F133,0)</f>
        <v>2094</v>
      </c>
      <c r="H991" s="7">
        <f t="shared" si="109"/>
        <v>127734</v>
      </c>
      <c r="I991" s="7">
        <f>TRUNC([1]일위대가목록!G133,0)</f>
        <v>0</v>
      </c>
      <c r="J991" s="7">
        <f t="shared" si="110"/>
        <v>0</v>
      </c>
      <c r="K991" s="7">
        <f t="shared" si="111"/>
        <v>2156</v>
      </c>
      <c r="L991" s="7">
        <f t="shared" si="111"/>
        <v>131516</v>
      </c>
      <c r="M991" s="4" t="s">
        <v>1489</v>
      </c>
      <c r="N991" s="6" t="s">
        <v>1490</v>
      </c>
      <c r="O991" s="6" t="s">
        <v>55</v>
      </c>
      <c r="P991" s="6" t="s">
        <v>55</v>
      </c>
      <c r="Q991" s="6" t="s">
        <v>2469</v>
      </c>
      <c r="R991" s="6" t="s">
        <v>57</v>
      </c>
      <c r="S991" s="6" t="s">
        <v>56</v>
      </c>
      <c r="T991" s="6" t="s">
        <v>56</v>
      </c>
      <c r="AR991" s="6" t="s">
        <v>55</v>
      </c>
      <c r="AS991" s="6" t="s">
        <v>55</v>
      </c>
      <c r="AU991" s="6" t="s">
        <v>2474</v>
      </c>
      <c r="AV991">
        <v>585</v>
      </c>
    </row>
    <row r="992" spans="1:48" ht="30" customHeight="1" x14ac:dyDescent="0.3">
      <c r="A992" s="4" t="s">
        <v>1497</v>
      </c>
      <c r="B992" s="4" t="s">
        <v>1493</v>
      </c>
      <c r="C992" s="4" t="s">
        <v>61</v>
      </c>
      <c r="D992" s="5">
        <v>252</v>
      </c>
      <c r="E992" s="7">
        <f>TRUNC([1]일위대가목록!E135,0)</f>
        <v>60</v>
      </c>
      <c r="F992" s="7">
        <f t="shared" si="108"/>
        <v>15120</v>
      </c>
      <c r="G992" s="7">
        <f>TRUNC([1]일위대가목록!F135,0)</f>
        <v>599</v>
      </c>
      <c r="H992" s="7">
        <f t="shared" si="109"/>
        <v>150948</v>
      </c>
      <c r="I992" s="7">
        <f>TRUNC([1]일위대가목록!G135,0)</f>
        <v>0</v>
      </c>
      <c r="J992" s="7">
        <f t="shared" si="110"/>
        <v>0</v>
      </c>
      <c r="K992" s="7">
        <f t="shared" si="111"/>
        <v>659</v>
      </c>
      <c r="L992" s="7">
        <f t="shared" si="111"/>
        <v>166068</v>
      </c>
      <c r="M992" s="4" t="s">
        <v>1498</v>
      </c>
      <c r="N992" s="6" t="s">
        <v>1499</v>
      </c>
      <c r="O992" s="6" t="s">
        <v>55</v>
      </c>
      <c r="P992" s="6" t="s">
        <v>55</v>
      </c>
      <c r="Q992" s="6" t="s">
        <v>2469</v>
      </c>
      <c r="R992" s="6" t="s">
        <v>57</v>
      </c>
      <c r="S992" s="6" t="s">
        <v>56</v>
      </c>
      <c r="T992" s="6" t="s">
        <v>56</v>
      </c>
      <c r="AR992" s="6" t="s">
        <v>55</v>
      </c>
      <c r="AS992" s="6" t="s">
        <v>55</v>
      </c>
      <c r="AU992" s="6" t="s">
        <v>2475</v>
      </c>
      <c r="AV992">
        <v>2644</v>
      </c>
    </row>
    <row r="993" spans="1:48" ht="30" customHeight="1" x14ac:dyDescent="0.3">
      <c r="A993" s="4" t="s">
        <v>1492</v>
      </c>
      <c r="B993" s="4" t="s">
        <v>1493</v>
      </c>
      <c r="C993" s="4" t="s">
        <v>61</v>
      </c>
      <c r="D993" s="5">
        <v>1485</v>
      </c>
      <c r="E993" s="7">
        <f>TRUNC([1]일위대가목록!E134,0)</f>
        <v>0</v>
      </c>
      <c r="F993" s="7">
        <f t="shared" si="108"/>
        <v>0</v>
      </c>
      <c r="G993" s="7">
        <f>TRUNC([1]일위대가목록!F134,0)</f>
        <v>826</v>
      </c>
      <c r="H993" s="7">
        <f t="shared" si="109"/>
        <v>1226610</v>
      </c>
      <c r="I993" s="7">
        <f>TRUNC([1]일위대가목록!G134,0)</f>
        <v>0</v>
      </c>
      <c r="J993" s="7">
        <f t="shared" si="110"/>
        <v>0</v>
      </c>
      <c r="K993" s="7">
        <f t="shared" si="111"/>
        <v>826</v>
      </c>
      <c r="L993" s="7">
        <f t="shared" si="111"/>
        <v>1226610</v>
      </c>
      <c r="M993" s="4" t="s">
        <v>1494</v>
      </c>
      <c r="N993" s="6" t="s">
        <v>1495</v>
      </c>
      <c r="O993" s="6" t="s">
        <v>55</v>
      </c>
      <c r="P993" s="6" t="s">
        <v>55</v>
      </c>
      <c r="Q993" s="6" t="s">
        <v>2469</v>
      </c>
      <c r="R993" s="6" t="s">
        <v>57</v>
      </c>
      <c r="S993" s="6" t="s">
        <v>56</v>
      </c>
      <c r="T993" s="6" t="s">
        <v>56</v>
      </c>
      <c r="AR993" s="6" t="s">
        <v>55</v>
      </c>
      <c r="AS993" s="6" t="s">
        <v>55</v>
      </c>
      <c r="AU993" s="6" t="s">
        <v>2476</v>
      </c>
      <c r="AV993">
        <v>2645</v>
      </c>
    </row>
    <row r="994" spans="1:48" ht="30" customHeight="1" x14ac:dyDescent="0.3">
      <c r="A994" s="4" t="s">
        <v>1518</v>
      </c>
      <c r="B994" s="4" t="s">
        <v>55</v>
      </c>
      <c r="C994" s="4" t="s">
        <v>269</v>
      </c>
      <c r="D994" s="5">
        <v>37</v>
      </c>
      <c r="E994" s="7">
        <f>TRUNC([1]일위대가목록!E206,0)</f>
        <v>67</v>
      </c>
      <c r="F994" s="7">
        <f t="shared" si="108"/>
        <v>2479</v>
      </c>
      <c r="G994" s="7">
        <f>TRUNC([1]일위대가목록!F206,0)</f>
        <v>3236</v>
      </c>
      <c r="H994" s="7">
        <f t="shared" si="109"/>
        <v>119732</v>
      </c>
      <c r="I994" s="7">
        <f>TRUNC([1]일위대가목록!G206,0)</f>
        <v>0</v>
      </c>
      <c r="J994" s="7">
        <f t="shared" si="110"/>
        <v>0</v>
      </c>
      <c r="K994" s="7">
        <f t="shared" si="111"/>
        <v>3303</v>
      </c>
      <c r="L994" s="7">
        <f t="shared" si="111"/>
        <v>122211</v>
      </c>
      <c r="M994" s="4" t="s">
        <v>2477</v>
      </c>
      <c r="N994" s="6" t="s">
        <v>2478</v>
      </c>
      <c r="O994" s="6" t="s">
        <v>55</v>
      </c>
      <c r="P994" s="6" t="s">
        <v>55</v>
      </c>
      <c r="Q994" s="6" t="s">
        <v>2469</v>
      </c>
      <c r="R994" s="6" t="s">
        <v>57</v>
      </c>
      <c r="S994" s="6" t="s">
        <v>56</v>
      </c>
      <c r="T994" s="6" t="s">
        <v>56</v>
      </c>
      <c r="AR994" s="6" t="s">
        <v>55</v>
      </c>
      <c r="AS994" s="6" t="s">
        <v>55</v>
      </c>
      <c r="AU994" s="6" t="s">
        <v>2479</v>
      </c>
      <c r="AV994">
        <v>2646</v>
      </c>
    </row>
    <row r="995" spans="1:48" ht="30" customHeight="1" x14ac:dyDescent="0.3">
      <c r="A995" s="4" t="s">
        <v>1526</v>
      </c>
      <c r="B995" s="4" t="s">
        <v>55</v>
      </c>
      <c r="C995" s="4" t="s">
        <v>269</v>
      </c>
      <c r="D995" s="5">
        <v>123</v>
      </c>
      <c r="E995" s="7">
        <f>TRUNC([1]일위대가목록!E207,0)</f>
        <v>42</v>
      </c>
      <c r="F995" s="7">
        <f t="shared" si="108"/>
        <v>5166</v>
      </c>
      <c r="G995" s="7">
        <f>TRUNC([1]일위대가목록!F207,0)</f>
        <v>2009</v>
      </c>
      <c r="H995" s="7">
        <f t="shared" si="109"/>
        <v>247107</v>
      </c>
      <c r="I995" s="7">
        <f>TRUNC([1]일위대가목록!G207,0)</f>
        <v>0</v>
      </c>
      <c r="J995" s="7">
        <f t="shared" si="110"/>
        <v>0</v>
      </c>
      <c r="K995" s="7">
        <f t="shared" si="111"/>
        <v>2051</v>
      </c>
      <c r="L995" s="7">
        <f t="shared" si="111"/>
        <v>252273</v>
      </c>
      <c r="M995" s="4" t="s">
        <v>2480</v>
      </c>
      <c r="N995" s="6" t="s">
        <v>2481</v>
      </c>
      <c r="O995" s="6" t="s">
        <v>55</v>
      </c>
      <c r="P995" s="6" t="s">
        <v>55</v>
      </c>
      <c r="Q995" s="6" t="s">
        <v>2469</v>
      </c>
      <c r="R995" s="6" t="s">
        <v>57</v>
      </c>
      <c r="S995" s="6" t="s">
        <v>56</v>
      </c>
      <c r="T995" s="6" t="s">
        <v>56</v>
      </c>
      <c r="AR995" s="6" t="s">
        <v>55</v>
      </c>
      <c r="AS995" s="6" t="s">
        <v>55</v>
      </c>
      <c r="AU995" s="6" t="s">
        <v>2482</v>
      </c>
      <c r="AV995">
        <v>2647</v>
      </c>
    </row>
    <row r="996" spans="1:48" ht="30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 spans="1:48" ht="30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 spans="1:48" ht="30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 spans="1:48" ht="30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 spans="1:48" ht="30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  <row r="1001" spans="1:48" ht="30" customHeight="1" x14ac:dyDescent="0.3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</row>
    <row r="1002" spans="1:48" ht="30" customHeight="1" x14ac:dyDescent="0.3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</row>
    <row r="1003" spans="1:48" ht="30" customHeight="1" x14ac:dyDescent="0.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</row>
    <row r="1004" spans="1:48" ht="30" customHeight="1" x14ac:dyDescent="0.3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</row>
    <row r="1005" spans="1:48" ht="30" customHeight="1" x14ac:dyDescent="0.3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</row>
    <row r="1006" spans="1:48" ht="30" customHeight="1" x14ac:dyDescent="0.3">
      <c r="A1006" s="4" t="s">
        <v>128</v>
      </c>
      <c r="B1006" s="5"/>
      <c r="C1006" s="5"/>
      <c r="D1006" s="5"/>
      <c r="E1006" s="5"/>
      <c r="F1006" s="7">
        <f>SUM(F987:F1005)</f>
        <v>466224</v>
      </c>
      <c r="G1006" s="5"/>
      <c r="H1006" s="7">
        <f>SUM(H987:H1005)</f>
        <v>19101589</v>
      </c>
      <c r="I1006" s="5"/>
      <c r="J1006" s="7">
        <f>SUM(J987:J1005)</f>
        <v>52002</v>
      </c>
      <c r="K1006" s="5"/>
      <c r="L1006" s="7">
        <f>SUM(L987:L1005)</f>
        <v>19619815</v>
      </c>
      <c r="M1006" s="5"/>
      <c r="N1006" t="s">
        <v>129</v>
      </c>
    </row>
    <row r="1007" spans="1:48" ht="30" customHeight="1" x14ac:dyDescent="0.3">
      <c r="A1007" s="4" t="s">
        <v>2483</v>
      </c>
      <c r="B1007" s="4" t="s">
        <v>2291</v>
      </c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Q1007" s="6" t="s">
        <v>2484</v>
      </c>
    </row>
    <row r="1008" spans="1:48" ht="30" customHeight="1" x14ac:dyDescent="0.3">
      <c r="A1008" s="4" t="s">
        <v>2485</v>
      </c>
      <c r="B1008" s="4" t="s">
        <v>1551</v>
      </c>
      <c r="C1008" s="4" t="s">
        <v>81</v>
      </c>
      <c r="D1008" s="5">
        <v>3</v>
      </c>
      <c r="E1008" s="7">
        <f>TRUNC([1]단가대비표!O694,0)</f>
        <v>454000</v>
      </c>
      <c r="F1008" s="7">
        <f t="shared" ref="F1008:F1034" si="112">TRUNC(E1008*D1008, 0)</f>
        <v>1362000</v>
      </c>
      <c r="G1008" s="7">
        <f>TRUNC([1]단가대비표!P694,0)</f>
        <v>0</v>
      </c>
      <c r="H1008" s="7">
        <f t="shared" ref="H1008:H1034" si="113">TRUNC(G1008*D1008, 0)</f>
        <v>0</v>
      </c>
      <c r="I1008" s="7">
        <f>TRUNC([1]단가대비표!V694,0)</f>
        <v>0</v>
      </c>
      <c r="J1008" s="7">
        <f t="shared" ref="J1008:J1034" si="114">TRUNC(I1008*D1008, 0)</f>
        <v>0</v>
      </c>
      <c r="K1008" s="7">
        <f t="shared" ref="K1008:L1034" si="115">TRUNC(E1008+G1008+I1008, 0)</f>
        <v>454000</v>
      </c>
      <c r="L1008" s="7">
        <f t="shared" si="115"/>
        <v>1362000</v>
      </c>
      <c r="M1008" s="4" t="s">
        <v>55</v>
      </c>
      <c r="N1008" s="6" t="s">
        <v>2486</v>
      </c>
      <c r="O1008" s="6" t="s">
        <v>55</v>
      </c>
      <c r="P1008" s="6" t="s">
        <v>55</v>
      </c>
      <c r="Q1008" s="6" t="s">
        <v>2484</v>
      </c>
      <c r="R1008" s="6" t="s">
        <v>56</v>
      </c>
      <c r="S1008" s="6" t="s">
        <v>56</v>
      </c>
      <c r="T1008" s="6" t="s">
        <v>57</v>
      </c>
      <c r="AR1008" s="6" t="s">
        <v>55</v>
      </c>
      <c r="AS1008" s="6" t="s">
        <v>55</v>
      </c>
      <c r="AU1008" s="6" t="s">
        <v>2487</v>
      </c>
      <c r="AV1008">
        <v>2208</v>
      </c>
    </row>
    <row r="1009" spans="1:48" ht="30" customHeight="1" x14ac:dyDescent="0.3">
      <c r="A1009" s="4" t="s">
        <v>1588</v>
      </c>
      <c r="B1009" s="4" t="s">
        <v>1551</v>
      </c>
      <c r="C1009" s="4" t="s">
        <v>81</v>
      </c>
      <c r="D1009" s="5">
        <v>1</v>
      </c>
      <c r="E1009" s="7">
        <f>TRUNC([1]일위대가목록!E208,0)</f>
        <v>637777</v>
      </c>
      <c r="F1009" s="7">
        <f t="shared" si="112"/>
        <v>637777</v>
      </c>
      <c r="G1009" s="7">
        <f>TRUNC([1]일위대가목록!F208,0)</f>
        <v>153585</v>
      </c>
      <c r="H1009" s="7">
        <f t="shared" si="113"/>
        <v>153585</v>
      </c>
      <c r="I1009" s="7">
        <f>TRUNC([1]일위대가목록!G208,0)</f>
        <v>4607</v>
      </c>
      <c r="J1009" s="7">
        <f t="shared" si="114"/>
        <v>4607</v>
      </c>
      <c r="K1009" s="7">
        <f t="shared" si="115"/>
        <v>795969</v>
      </c>
      <c r="L1009" s="7">
        <f t="shared" si="115"/>
        <v>795969</v>
      </c>
      <c r="M1009" s="4" t="s">
        <v>2488</v>
      </c>
      <c r="N1009" s="6" t="s">
        <v>2489</v>
      </c>
      <c r="O1009" s="6" t="s">
        <v>55</v>
      </c>
      <c r="P1009" s="6" t="s">
        <v>55</v>
      </c>
      <c r="Q1009" s="6" t="s">
        <v>2484</v>
      </c>
      <c r="R1009" s="6" t="s">
        <v>57</v>
      </c>
      <c r="S1009" s="6" t="s">
        <v>56</v>
      </c>
      <c r="T1009" s="6" t="s">
        <v>56</v>
      </c>
      <c r="AR1009" s="6" t="s">
        <v>55</v>
      </c>
      <c r="AS1009" s="6" t="s">
        <v>55</v>
      </c>
      <c r="AU1009" s="6" t="s">
        <v>2490</v>
      </c>
      <c r="AV1009">
        <v>610</v>
      </c>
    </row>
    <row r="1010" spans="1:48" ht="30" customHeight="1" x14ac:dyDescent="0.3">
      <c r="A1010" s="4" t="s">
        <v>1618</v>
      </c>
      <c r="B1010" s="4" t="s">
        <v>1555</v>
      </c>
      <c r="C1010" s="4" t="s">
        <v>81</v>
      </c>
      <c r="D1010" s="5">
        <v>2</v>
      </c>
      <c r="E1010" s="7">
        <f>TRUNC([1]일위대가목록!E209,0)</f>
        <v>314228</v>
      </c>
      <c r="F1010" s="7">
        <f t="shared" si="112"/>
        <v>628456</v>
      </c>
      <c r="G1010" s="7">
        <f>TRUNC([1]일위대가목록!F209,0)</f>
        <v>125089</v>
      </c>
      <c r="H1010" s="7">
        <f t="shared" si="113"/>
        <v>250178</v>
      </c>
      <c r="I1010" s="7">
        <f>TRUNC([1]일위대가목록!G209,0)</f>
        <v>0</v>
      </c>
      <c r="J1010" s="7">
        <f t="shared" si="114"/>
        <v>0</v>
      </c>
      <c r="K1010" s="7">
        <f t="shared" si="115"/>
        <v>439317</v>
      </c>
      <c r="L1010" s="7">
        <f t="shared" si="115"/>
        <v>878634</v>
      </c>
      <c r="M1010" s="4" t="s">
        <v>2491</v>
      </c>
      <c r="N1010" s="6" t="s">
        <v>2492</v>
      </c>
      <c r="O1010" s="6" t="s">
        <v>55</v>
      </c>
      <c r="P1010" s="6" t="s">
        <v>55</v>
      </c>
      <c r="Q1010" s="6" t="s">
        <v>2484</v>
      </c>
      <c r="R1010" s="6" t="s">
        <v>57</v>
      </c>
      <c r="S1010" s="6" t="s">
        <v>56</v>
      </c>
      <c r="T1010" s="6" t="s">
        <v>56</v>
      </c>
      <c r="AR1010" s="6" t="s">
        <v>55</v>
      </c>
      <c r="AS1010" s="6" t="s">
        <v>55</v>
      </c>
      <c r="AU1010" s="6" t="s">
        <v>2493</v>
      </c>
      <c r="AV1010">
        <v>611</v>
      </c>
    </row>
    <row r="1011" spans="1:48" ht="30" customHeight="1" x14ac:dyDescent="0.3">
      <c r="A1011" s="4" t="s">
        <v>2494</v>
      </c>
      <c r="B1011" s="4" t="s">
        <v>2495</v>
      </c>
      <c r="C1011" s="4" t="s">
        <v>81</v>
      </c>
      <c r="D1011" s="5">
        <v>1</v>
      </c>
      <c r="E1011" s="7">
        <f>TRUNC([1]일위대가목록!E210,0)</f>
        <v>614464</v>
      </c>
      <c r="F1011" s="7">
        <f t="shared" si="112"/>
        <v>614464</v>
      </c>
      <c r="G1011" s="7">
        <f>TRUNC([1]일위대가목록!F210,0)</f>
        <v>245501</v>
      </c>
      <c r="H1011" s="7">
        <f t="shared" si="113"/>
        <v>245501</v>
      </c>
      <c r="I1011" s="7">
        <f>TRUNC([1]일위대가목록!G210,0)</f>
        <v>0</v>
      </c>
      <c r="J1011" s="7">
        <f t="shared" si="114"/>
        <v>0</v>
      </c>
      <c r="K1011" s="7">
        <f t="shared" si="115"/>
        <v>859965</v>
      </c>
      <c r="L1011" s="7">
        <f t="shared" si="115"/>
        <v>859965</v>
      </c>
      <c r="M1011" s="4" t="s">
        <v>2496</v>
      </c>
      <c r="N1011" s="6" t="s">
        <v>2497</v>
      </c>
      <c r="O1011" s="6" t="s">
        <v>55</v>
      </c>
      <c r="P1011" s="6" t="s">
        <v>55</v>
      </c>
      <c r="Q1011" s="6" t="s">
        <v>2484</v>
      </c>
      <c r="R1011" s="6" t="s">
        <v>57</v>
      </c>
      <c r="S1011" s="6" t="s">
        <v>56</v>
      </c>
      <c r="T1011" s="6" t="s">
        <v>56</v>
      </c>
      <c r="AR1011" s="6" t="s">
        <v>55</v>
      </c>
      <c r="AS1011" s="6" t="s">
        <v>55</v>
      </c>
      <c r="AU1011" s="6" t="s">
        <v>2498</v>
      </c>
      <c r="AV1011">
        <v>612</v>
      </c>
    </row>
    <row r="1012" spans="1:48" ht="30" customHeight="1" x14ac:dyDescent="0.3">
      <c r="A1012" s="4" t="s">
        <v>2499</v>
      </c>
      <c r="B1012" s="4" t="s">
        <v>1555</v>
      </c>
      <c r="C1012" s="4" t="s">
        <v>81</v>
      </c>
      <c r="D1012" s="5">
        <v>2</v>
      </c>
      <c r="E1012" s="7">
        <f>TRUNC([1]단가대비표!O900,0)</f>
        <v>599000</v>
      </c>
      <c r="F1012" s="7">
        <f t="shared" si="112"/>
        <v>1198000</v>
      </c>
      <c r="G1012" s="7">
        <f>TRUNC([1]단가대비표!P900,0)</f>
        <v>0</v>
      </c>
      <c r="H1012" s="7">
        <f t="shared" si="113"/>
        <v>0</v>
      </c>
      <c r="I1012" s="7">
        <f>TRUNC([1]단가대비표!V900,0)</f>
        <v>0</v>
      </c>
      <c r="J1012" s="7">
        <f t="shared" si="114"/>
        <v>0</v>
      </c>
      <c r="K1012" s="7">
        <f t="shared" si="115"/>
        <v>599000</v>
      </c>
      <c r="L1012" s="7">
        <f t="shared" si="115"/>
        <v>1198000</v>
      </c>
      <c r="M1012" s="4" t="s">
        <v>55</v>
      </c>
      <c r="N1012" s="6" t="s">
        <v>2500</v>
      </c>
      <c r="O1012" s="6" t="s">
        <v>55</v>
      </c>
      <c r="P1012" s="6" t="s">
        <v>55</v>
      </c>
      <c r="Q1012" s="6" t="s">
        <v>2484</v>
      </c>
      <c r="R1012" s="6" t="s">
        <v>56</v>
      </c>
      <c r="S1012" s="6" t="s">
        <v>56</v>
      </c>
      <c r="T1012" s="6" t="s">
        <v>57</v>
      </c>
      <c r="AR1012" s="6" t="s">
        <v>55</v>
      </c>
      <c r="AS1012" s="6" t="s">
        <v>55</v>
      </c>
      <c r="AU1012" s="6" t="s">
        <v>2501</v>
      </c>
      <c r="AV1012">
        <v>3485</v>
      </c>
    </row>
    <row r="1013" spans="1:48" ht="30" customHeight="1" x14ac:dyDescent="0.3">
      <c r="A1013" s="4" t="s">
        <v>55</v>
      </c>
      <c r="B1013" s="4" t="s">
        <v>55</v>
      </c>
      <c r="C1013" s="4" t="s">
        <v>55</v>
      </c>
      <c r="D1013" s="5"/>
      <c r="E1013" s="7">
        <f>TRUNC([1]단가대비표!O841,0)</f>
        <v>0</v>
      </c>
      <c r="F1013" s="7">
        <f t="shared" si="112"/>
        <v>0</v>
      </c>
      <c r="G1013" s="7">
        <f>TRUNC([1]단가대비표!P841,0)</f>
        <v>0</v>
      </c>
      <c r="H1013" s="7">
        <f t="shared" si="113"/>
        <v>0</v>
      </c>
      <c r="I1013" s="7">
        <f>TRUNC([1]단가대비표!V841,0)</f>
        <v>0</v>
      </c>
      <c r="J1013" s="7">
        <f t="shared" si="114"/>
        <v>0</v>
      </c>
      <c r="K1013" s="7">
        <f t="shared" si="115"/>
        <v>0</v>
      </c>
      <c r="L1013" s="7">
        <f t="shared" si="115"/>
        <v>0</v>
      </c>
      <c r="M1013" s="4" t="s">
        <v>55</v>
      </c>
      <c r="N1013" s="6" t="s">
        <v>2502</v>
      </c>
      <c r="O1013" s="6" t="s">
        <v>55</v>
      </c>
      <c r="P1013" s="6" t="s">
        <v>55</v>
      </c>
      <c r="Q1013" s="6" t="s">
        <v>2484</v>
      </c>
      <c r="R1013" s="6" t="s">
        <v>56</v>
      </c>
      <c r="S1013" s="6" t="s">
        <v>56</v>
      </c>
      <c r="T1013" s="6" t="s">
        <v>57</v>
      </c>
      <c r="AR1013" s="6" t="s">
        <v>55</v>
      </c>
      <c r="AS1013" s="6" t="s">
        <v>55</v>
      </c>
      <c r="AU1013" s="6" t="s">
        <v>2503</v>
      </c>
      <c r="AV1013">
        <v>3097</v>
      </c>
    </row>
    <row r="1014" spans="1:48" ht="30" customHeight="1" x14ac:dyDescent="0.3">
      <c r="A1014" s="4" t="s">
        <v>2504</v>
      </c>
      <c r="B1014" s="4" t="s">
        <v>55</v>
      </c>
      <c r="C1014" s="4" t="s">
        <v>55</v>
      </c>
      <c r="D1014" s="5"/>
      <c r="E1014" s="7">
        <f>TRUNC([1]단가대비표!O455,0)</f>
        <v>0</v>
      </c>
      <c r="F1014" s="7">
        <f t="shared" si="112"/>
        <v>0</v>
      </c>
      <c r="G1014" s="7">
        <f>TRUNC([1]단가대비표!P455,0)</f>
        <v>0</v>
      </c>
      <c r="H1014" s="7">
        <f t="shared" si="113"/>
        <v>0</v>
      </c>
      <c r="I1014" s="7">
        <f>TRUNC([1]단가대비표!V455,0)</f>
        <v>0</v>
      </c>
      <c r="J1014" s="7">
        <f t="shared" si="114"/>
        <v>0</v>
      </c>
      <c r="K1014" s="7">
        <f t="shared" si="115"/>
        <v>0</v>
      </c>
      <c r="L1014" s="7">
        <f t="shared" si="115"/>
        <v>0</v>
      </c>
      <c r="M1014" s="4" t="s">
        <v>55</v>
      </c>
      <c r="N1014" s="6" t="s">
        <v>2505</v>
      </c>
      <c r="O1014" s="6" t="s">
        <v>55</v>
      </c>
      <c r="P1014" s="6" t="s">
        <v>55</v>
      </c>
      <c r="Q1014" s="6" t="s">
        <v>2484</v>
      </c>
      <c r="R1014" s="6" t="s">
        <v>56</v>
      </c>
      <c r="S1014" s="6" t="s">
        <v>56</v>
      </c>
      <c r="T1014" s="6" t="s">
        <v>57</v>
      </c>
      <c r="AR1014" s="6" t="s">
        <v>55</v>
      </c>
      <c r="AS1014" s="6" t="s">
        <v>55</v>
      </c>
      <c r="AU1014" s="6" t="s">
        <v>2506</v>
      </c>
      <c r="AV1014">
        <v>1497</v>
      </c>
    </row>
    <row r="1015" spans="1:48" ht="30" customHeight="1" x14ac:dyDescent="0.3">
      <c r="A1015" s="4" t="s">
        <v>1733</v>
      </c>
      <c r="B1015" s="4" t="s">
        <v>1734</v>
      </c>
      <c r="C1015" s="4" t="s">
        <v>1726</v>
      </c>
      <c r="D1015" s="5">
        <v>24</v>
      </c>
      <c r="E1015" s="7">
        <f>TRUNC([1]단가대비표!O456,0)</f>
        <v>9500</v>
      </c>
      <c r="F1015" s="7">
        <f t="shared" si="112"/>
        <v>228000</v>
      </c>
      <c r="G1015" s="7">
        <f>TRUNC([1]단가대비표!P456,0)</f>
        <v>0</v>
      </c>
      <c r="H1015" s="7">
        <f t="shared" si="113"/>
        <v>0</v>
      </c>
      <c r="I1015" s="7">
        <f>TRUNC([1]단가대비표!V456,0)</f>
        <v>0</v>
      </c>
      <c r="J1015" s="7">
        <f t="shared" si="114"/>
        <v>0</v>
      </c>
      <c r="K1015" s="7">
        <f t="shared" si="115"/>
        <v>9500</v>
      </c>
      <c r="L1015" s="7">
        <f t="shared" si="115"/>
        <v>228000</v>
      </c>
      <c r="M1015" s="4" t="s">
        <v>115</v>
      </c>
      <c r="N1015" s="6" t="s">
        <v>2507</v>
      </c>
      <c r="O1015" s="6" t="s">
        <v>55</v>
      </c>
      <c r="P1015" s="6" t="s">
        <v>55</v>
      </c>
      <c r="Q1015" s="6" t="s">
        <v>2484</v>
      </c>
      <c r="R1015" s="6" t="s">
        <v>56</v>
      </c>
      <c r="S1015" s="6" t="s">
        <v>56</v>
      </c>
      <c r="T1015" s="6" t="s">
        <v>57</v>
      </c>
      <c r="AR1015" s="6" t="s">
        <v>55</v>
      </c>
      <c r="AS1015" s="6" t="s">
        <v>55</v>
      </c>
      <c r="AU1015" s="6" t="s">
        <v>2508</v>
      </c>
      <c r="AV1015">
        <v>1502</v>
      </c>
    </row>
    <row r="1016" spans="1:48" ht="30" customHeight="1" x14ac:dyDescent="0.3">
      <c r="A1016" s="4" t="s">
        <v>1737</v>
      </c>
      <c r="B1016" s="4" t="s">
        <v>1738</v>
      </c>
      <c r="C1016" s="4" t="s">
        <v>1726</v>
      </c>
      <c r="D1016" s="5">
        <v>6</v>
      </c>
      <c r="E1016" s="7">
        <f>TRUNC([1]단가대비표!O457,0)</f>
        <v>9500</v>
      </c>
      <c r="F1016" s="7">
        <f t="shared" si="112"/>
        <v>57000</v>
      </c>
      <c r="G1016" s="7">
        <f>TRUNC([1]단가대비표!P457,0)</f>
        <v>0</v>
      </c>
      <c r="H1016" s="7">
        <f t="shared" si="113"/>
        <v>0</v>
      </c>
      <c r="I1016" s="7">
        <f>TRUNC([1]단가대비표!V457,0)</f>
        <v>0</v>
      </c>
      <c r="J1016" s="7">
        <f t="shared" si="114"/>
        <v>0</v>
      </c>
      <c r="K1016" s="7">
        <f t="shared" si="115"/>
        <v>9500</v>
      </c>
      <c r="L1016" s="7">
        <f t="shared" si="115"/>
        <v>57000</v>
      </c>
      <c r="M1016" s="4" t="s">
        <v>115</v>
      </c>
      <c r="N1016" s="6" t="s">
        <v>2509</v>
      </c>
      <c r="O1016" s="6" t="s">
        <v>55</v>
      </c>
      <c r="P1016" s="6" t="s">
        <v>55</v>
      </c>
      <c r="Q1016" s="6" t="s">
        <v>2484</v>
      </c>
      <c r="R1016" s="6" t="s">
        <v>56</v>
      </c>
      <c r="S1016" s="6" t="s">
        <v>56</v>
      </c>
      <c r="T1016" s="6" t="s">
        <v>57</v>
      </c>
      <c r="AR1016" s="6" t="s">
        <v>55</v>
      </c>
      <c r="AS1016" s="6" t="s">
        <v>55</v>
      </c>
      <c r="AU1016" s="6" t="s">
        <v>2510</v>
      </c>
      <c r="AV1016">
        <v>1503</v>
      </c>
    </row>
    <row r="1017" spans="1:48" ht="30" customHeight="1" x14ac:dyDescent="0.3">
      <c r="A1017" s="4" t="s">
        <v>1741</v>
      </c>
      <c r="B1017" s="4" t="s">
        <v>1742</v>
      </c>
      <c r="C1017" s="4" t="s">
        <v>1726</v>
      </c>
      <c r="D1017" s="5">
        <v>2</v>
      </c>
      <c r="E1017" s="7">
        <f>TRUNC([1]단가대비표!O458,0)</f>
        <v>23000</v>
      </c>
      <c r="F1017" s="7">
        <f t="shared" si="112"/>
        <v>46000</v>
      </c>
      <c r="G1017" s="7">
        <f>TRUNC([1]단가대비표!P458,0)</f>
        <v>0</v>
      </c>
      <c r="H1017" s="7">
        <f t="shared" si="113"/>
        <v>0</v>
      </c>
      <c r="I1017" s="7">
        <f>TRUNC([1]단가대비표!V458,0)</f>
        <v>0</v>
      </c>
      <c r="J1017" s="7">
        <f t="shared" si="114"/>
        <v>0</v>
      </c>
      <c r="K1017" s="7">
        <f t="shared" si="115"/>
        <v>23000</v>
      </c>
      <c r="L1017" s="7">
        <f t="shared" si="115"/>
        <v>46000</v>
      </c>
      <c r="M1017" s="4" t="s">
        <v>115</v>
      </c>
      <c r="N1017" s="6" t="s">
        <v>2511</v>
      </c>
      <c r="O1017" s="6" t="s">
        <v>55</v>
      </c>
      <c r="P1017" s="6" t="s">
        <v>55</v>
      </c>
      <c r="Q1017" s="6" t="s">
        <v>2484</v>
      </c>
      <c r="R1017" s="6" t="s">
        <v>56</v>
      </c>
      <c r="S1017" s="6" t="s">
        <v>56</v>
      </c>
      <c r="T1017" s="6" t="s">
        <v>57</v>
      </c>
      <c r="AR1017" s="6" t="s">
        <v>55</v>
      </c>
      <c r="AS1017" s="6" t="s">
        <v>55</v>
      </c>
      <c r="AU1017" s="6" t="s">
        <v>2512</v>
      </c>
      <c r="AV1017">
        <v>1504</v>
      </c>
    </row>
    <row r="1018" spans="1:48" ht="30" customHeight="1" x14ac:dyDescent="0.3">
      <c r="A1018" s="4" t="s">
        <v>1745</v>
      </c>
      <c r="B1018" s="4" t="s">
        <v>1746</v>
      </c>
      <c r="C1018" s="4" t="s">
        <v>1726</v>
      </c>
      <c r="D1018" s="5">
        <v>6</v>
      </c>
      <c r="E1018" s="7">
        <f>TRUNC([1]단가대비표!O459,0)</f>
        <v>76000</v>
      </c>
      <c r="F1018" s="7">
        <f t="shared" si="112"/>
        <v>456000</v>
      </c>
      <c r="G1018" s="7">
        <f>TRUNC([1]단가대비표!P459,0)</f>
        <v>0</v>
      </c>
      <c r="H1018" s="7">
        <f t="shared" si="113"/>
        <v>0</v>
      </c>
      <c r="I1018" s="7">
        <f>TRUNC([1]단가대비표!V459,0)</f>
        <v>0</v>
      </c>
      <c r="J1018" s="7">
        <f t="shared" si="114"/>
        <v>0</v>
      </c>
      <c r="K1018" s="7">
        <f t="shared" si="115"/>
        <v>76000</v>
      </c>
      <c r="L1018" s="7">
        <f t="shared" si="115"/>
        <v>456000</v>
      </c>
      <c r="M1018" s="4" t="s">
        <v>115</v>
      </c>
      <c r="N1018" s="6" t="s">
        <v>2513</v>
      </c>
      <c r="O1018" s="6" t="s">
        <v>55</v>
      </c>
      <c r="P1018" s="6" t="s">
        <v>55</v>
      </c>
      <c r="Q1018" s="6" t="s">
        <v>2484</v>
      </c>
      <c r="R1018" s="6" t="s">
        <v>56</v>
      </c>
      <c r="S1018" s="6" t="s">
        <v>56</v>
      </c>
      <c r="T1018" s="6" t="s">
        <v>57</v>
      </c>
      <c r="AR1018" s="6" t="s">
        <v>55</v>
      </c>
      <c r="AS1018" s="6" t="s">
        <v>55</v>
      </c>
      <c r="AU1018" s="6" t="s">
        <v>2514</v>
      </c>
      <c r="AV1018">
        <v>1505</v>
      </c>
    </row>
    <row r="1019" spans="1:48" ht="30" customHeight="1" x14ac:dyDescent="0.3">
      <c r="A1019" s="4" t="s">
        <v>1759</v>
      </c>
      <c r="B1019" s="4" t="s">
        <v>1760</v>
      </c>
      <c r="C1019" s="4" t="s">
        <v>1726</v>
      </c>
      <c r="D1019" s="5">
        <v>6</v>
      </c>
      <c r="E1019" s="7">
        <f>TRUNC([1]단가대비표!O460,0)</f>
        <v>7500</v>
      </c>
      <c r="F1019" s="7">
        <f t="shared" si="112"/>
        <v>45000</v>
      </c>
      <c r="G1019" s="7">
        <f>TRUNC([1]단가대비표!P460,0)</f>
        <v>0</v>
      </c>
      <c r="H1019" s="7">
        <f t="shared" si="113"/>
        <v>0</v>
      </c>
      <c r="I1019" s="7">
        <f>TRUNC([1]단가대비표!V460,0)</f>
        <v>0</v>
      </c>
      <c r="J1019" s="7">
        <f t="shared" si="114"/>
        <v>0</v>
      </c>
      <c r="K1019" s="7">
        <f t="shared" si="115"/>
        <v>7500</v>
      </c>
      <c r="L1019" s="7">
        <f t="shared" si="115"/>
        <v>45000</v>
      </c>
      <c r="M1019" s="4" t="s">
        <v>115</v>
      </c>
      <c r="N1019" s="6" t="s">
        <v>2515</v>
      </c>
      <c r="O1019" s="6" t="s">
        <v>55</v>
      </c>
      <c r="P1019" s="6" t="s">
        <v>55</v>
      </c>
      <c r="Q1019" s="6" t="s">
        <v>2484</v>
      </c>
      <c r="R1019" s="6" t="s">
        <v>56</v>
      </c>
      <c r="S1019" s="6" t="s">
        <v>56</v>
      </c>
      <c r="T1019" s="6" t="s">
        <v>57</v>
      </c>
      <c r="AR1019" s="6" t="s">
        <v>55</v>
      </c>
      <c r="AS1019" s="6" t="s">
        <v>55</v>
      </c>
      <c r="AU1019" s="6" t="s">
        <v>2516</v>
      </c>
      <c r="AV1019">
        <v>1509</v>
      </c>
    </row>
    <row r="1020" spans="1:48" ht="30" customHeight="1" x14ac:dyDescent="0.3">
      <c r="A1020" s="4" t="s">
        <v>1767</v>
      </c>
      <c r="B1020" s="4" t="s">
        <v>1768</v>
      </c>
      <c r="C1020" s="4" t="s">
        <v>1726</v>
      </c>
      <c r="D1020" s="5">
        <v>10</v>
      </c>
      <c r="E1020" s="7">
        <f>TRUNC([1]단가대비표!O461,0)</f>
        <v>7500</v>
      </c>
      <c r="F1020" s="7">
        <f t="shared" si="112"/>
        <v>75000</v>
      </c>
      <c r="G1020" s="7">
        <f>TRUNC([1]단가대비표!P461,0)</f>
        <v>0</v>
      </c>
      <c r="H1020" s="7">
        <f t="shared" si="113"/>
        <v>0</v>
      </c>
      <c r="I1020" s="7">
        <f>TRUNC([1]단가대비표!V461,0)</f>
        <v>0</v>
      </c>
      <c r="J1020" s="7">
        <f t="shared" si="114"/>
        <v>0</v>
      </c>
      <c r="K1020" s="7">
        <f t="shared" si="115"/>
        <v>7500</v>
      </c>
      <c r="L1020" s="7">
        <f t="shared" si="115"/>
        <v>75000</v>
      </c>
      <c r="M1020" s="4" t="s">
        <v>115</v>
      </c>
      <c r="N1020" s="6" t="s">
        <v>2517</v>
      </c>
      <c r="O1020" s="6" t="s">
        <v>55</v>
      </c>
      <c r="P1020" s="6" t="s">
        <v>55</v>
      </c>
      <c r="Q1020" s="6" t="s">
        <v>2484</v>
      </c>
      <c r="R1020" s="6" t="s">
        <v>56</v>
      </c>
      <c r="S1020" s="6" t="s">
        <v>56</v>
      </c>
      <c r="T1020" s="6" t="s">
        <v>57</v>
      </c>
      <c r="AR1020" s="6" t="s">
        <v>55</v>
      </c>
      <c r="AS1020" s="6" t="s">
        <v>55</v>
      </c>
      <c r="AU1020" s="6" t="s">
        <v>2518</v>
      </c>
      <c r="AV1020">
        <v>1512</v>
      </c>
    </row>
    <row r="1021" spans="1:48" ht="30" customHeight="1" x14ac:dyDescent="0.3">
      <c r="A1021" s="4" t="s">
        <v>1771</v>
      </c>
      <c r="B1021" s="4" t="s">
        <v>1772</v>
      </c>
      <c r="C1021" s="4" t="s">
        <v>1726</v>
      </c>
      <c r="D1021" s="5">
        <v>8</v>
      </c>
      <c r="E1021" s="7">
        <f>TRUNC([1]단가대비표!O462,0)</f>
        <v>13000</v>
      </c>
      <c r="F1021" s="7">
        <f t="shared" si="112"/>
        <v>104000</v>
      </c>
      <c r="G1021" s="7">
        <f>TRUNC([1]단가대비표!P462,0)</f>
        <v>0</v>
      </c>
      <c r="H1021" s="7">
        <f t="shared" si="113"/>
        <v>0</v>
      </c>
      <c r="I1021" s="7">
        <f>TRUNC([1]단가대비표!V462,0)</f>
        <v>0</v>
      </c>
      <c r="J1021" s="7">
        <f t="shared" si="114"/>
        <v>0</v>
      </c>
      <c r="K1021" s="7">
        <f t="shared" si="115"/>
        <v>13000</v>
      </c>
      <c r="L1021" s="7">
        <f t="shared" si="115"/>
        <v>104000</v>
      </c>
      <c r="M1021" s="4" t="s">
        <v>115</v>
      </c>
      <c r="N1021" s="6" t="s">
        <v>2519</v>
      </c>
      <c r="O1021" s="6" t="s">
        <v>55</v>
      </c>
      <c r="P1021" s="6" t="s">
        <v>55</v>
      </c>
      <c r="Q1021" s="6" t="s">
        <v>2484</v>
      </c>
      <c r="R1021" s="6" t="s">
        <v>56</v>
      </c>
      <c r="S1021" s="6" t="s">
        <v>56</v>
      </c>
      <c r="T1021" s="6" t="s">
        <v>57</v>
      </c>
      <c r="AR1021" s="6" t="s">
        <v>55</v>
      </c>
      <c r="AS1021" s="6" t="s">
        <v>55</v>
      </c>
      <c r="AU1021" s="6" t="s">
        <v>2520</v>
      </c>
      <c r="AV1021">
        <v>1514</v>
      </c>
    </row>
    <row r="1022" spans="1:48" ht="30" customHeight="1" x14ac:dyDescent="0.3">
      <c r="A1022" s="4" t="s">
        <v>1779</v>
      </c>
      <c r="B1022" s="4" t="s">
        <v>1780</v>
      </c>
      <c r="C1022" s="4" t="s">
        <v>1726</v>
      </c>
      <c r="D1022" s="5">
        <v>6</v>
      </c>
      <c r="E1022" s="7">
        <f>TRUNC([1]단가대비표!O463,0)</f>
        <v>62000</v>
      </c>
      <c r="F1022" s="7">
        <f t="shared" si="112"/>
        <v>372000</v>
      </c>
      <c r="G1022" s="7">
        <f>TRUNC([1]단가대비표!P463,0)</f>
        <v>0</v>
      </c>
      <c r="H1022" s="7">
        <f t="shared" si="113"/>
        <v>0</v>
      </c>
      <c r="I1022" s="7">
        <f>TRUNC([1]단가대비표!V463,0)</f>
        <v>0</v>
      </c>
      <c r="J1022" s="7">
        <f t="shared" si="114"/>
        <v>0</v>
      </c>
      <c r="K1022" s="7">
        <f t="shared" si="115"/>
        <v>62000</v>
      </c>
      <c r="L1022" s="7">
        <f t="shared" si="115"/>
        <v>372000</v>
      </c>
      <c r="M1022" s="4" t="s">
        <v>115</v>
      </c>
      <c r="N1022" s="6" t="s">
        <v>2521</v>
      </c>
      <c r="O1022" s="6" t="s">
        <v>55</v>
      </c>
      <c r="P1022" s="6" t="s">
        <v>55</v>
      </c>
      <c r="Q1022" s="6" t="s">
        <v>2484</v>
      </c>
      <c r="R1022" s="6" t="s">
        <v>56</v>
      </c>
      <c r="S1022" s="6" t="s">
        <v>56</v>
      </c>
      <c r="T1022" s="6" t="s">
        <v>57</v>
      </c>
      <c r="AR1022" s="6" t="s">
        <v>55</v>
      </c>
      <c r="AS1022" s="6" t="s">
        <v>55</v>
      </c>
      <c r="AU1022" s="6" t="s">
        <v>2522</v>
      </c>
      <c r="AV1022">
        <v>1516</v>
      </c>
    </row>
    <row r="1023" spans="1:48" ht="30" customHeight="1" x14ac:dyDescent="0.3">
      <c r="A1023" s="4" t="s">
        <v>1795</v>
      </c>
      <c r="B1023" s="4" t="s">
        <v>1796</v>
      </c>
      <c r="C1023" s="4" t="s">
        <v>1726</v>
      </c>
      <c r="D1023" s="5">
        <v>2</v>
      </c>
      <c r="E1023" s="7">
        <f>TRUNC([1]단가대비표!O464,0)</f>
        <v>55000</v>
      </c>
      <c r="F1023" s="7">
        <f t="shared" si="112"/>
        <v>110000</v>
      </c>
      <c r="G1023" s="7">
        <f>TRUNC([1]단가대비표!P464,0)</f>
        <v>0</v>
      </c>
      <c r="H1023" s="7">
        <f t="shared" si="113"/>
        <v>0</v>
      </c>
      <c r="I1023" s="7">
        <f>TRUNC([1]단가대비표!V464,0)</f>
        <v>0</v>
      </c>
      <c r="J1023" s="7">
        <f t="shared" si="114"/>
        <v>0</v>
      </c>
      <c r="K1023" s="7">
        <f t="shared" si="115"/>
        <v>55000</v>
      </c>
      <c r="L1023" s="7">
        <f t="shared" si="115"/>
        <v>110000</v>
      </c>
      <c r="M1023" s="4" t="s">
        <v>115</v>
      </c>
      <c r="N1023" s="6" t="s">
        <v>2523</v>
      </c>
      <c r="O1023" s="6" t="s">
        <v>55</v>
      </c>
      <c r="P1023" s="6" t="s">
        <v>55</v>
      </c>
      <c r="Q1023" s="6" t="s">
        <v>2484</v>
      </c>
      <c r="R1023" s="6" t="s">
        <v>56</v>
      </c>
      <c r="S1023" s="6" t="s">
        <v>56</v>
      </c>
      <c r="T1023" s="6" t="s">
        <v>57</v>
      </c>
      <c r="AR1023" s="6" t="s">
        <v>55</v>
      </c>
      <c r="AS1023" s="6" t="s">
        <v>55</v>
      </c>
      <c r="AU1023" s="6" t="s">
        <v>2524</v>
      </c>
      <c r="AV1023">
        <v>1523</v>
      </c>
    </row>
    <row r="1024" spans="1:48" ht="30" customHeight="1" x14ac:dyDescent="0.3">
      <c r="A1024" s="4" t="s">
        <v>1807</v>
      </c>
      <c r="B1024" s="4" t="s">
        <v>1808</v>
      </c>
      <c r="C1024" s="4" t="s">
        <v>1726</v>
      </c>
      <c r="D1024" s="5">
        <v>4</v>
      </c>
      <c r="E1024" s="7">
        <f>TRUNC([1]단가대비표!O465,0)</f>
        <v>90000</v>
      </c>
      <c r="F1024" s="7">
        <f t="shared" si="112"/>
        <v>360000</v>
      </c>
      <c r="G1024" s="7">
        <f>TRUNC([1]단가대비표!P465,0)</f>
        <v>0</v>
      </c>
      <c r="H1024" s="7">
        <f t="shared" si="113"/>
        <v>0</v>
      </c>
      <c r="I1024" s="7">
        <f>TRUNC([1]단가대비표!V465,0)</f>
        <v>0</v>
      </c>
      <c r="J1024" s="7">
        <f t="shared" si="114"/>
        <v>0</v>
      </c>
      <c r="K1024" s="7">
        <f t="shared" si="115"/>
        <v>90000</v>
      </c>
      <c r="L1024" s="7">
        <f t="shared" si="115"/>
        <v>360000</v>
      </c>
      <c r="M1024" s="4" t="s">
        <v>115</v>
      </c>
      <c r="N1024" s="6" t="s">
        <v>2525</v>
      </c>
      <c r="O1024" s="6" t="s">
        <v>55</v>
      </c>
      <c r="P1024" s="6" t="s">
        <v>55</v>
      </c>
      <c r="Q1024" s="6" t="s">
        <v>2484</v>
      </c>
      <c r="R1024" s="6" t="s">
        <v>56</v>
      </c>
      <c r="S1024" s="6" t="s">
        <v>56</v>
      </c>
      <c r="T1024" s="6" t="s">
        <v>57</v>
      </c>
      <c r="AR1024" s="6" t="s">
        <v>55</v>
      </c>
      <c r="AS1024" s="6" t="s">
        <v>55</v>
      </c>
      <c r="AU1024" s="6" t="s">
        <v>2526</v>
      </c>
      <c r="AV1024">
        <v>1526</v>
      </c>
    </row>
    <row r="1025" spans="1:48" ht="30" customHeight="1" x14ac:dyDescent="0.3">
      <c r="A1025" s="4" t="s">
        <v>1811</v>
      </c>
      <c r="B1025" s="4" t="s">
        <v>1812</v>
      </c>
      <c r="C1025" s="4" t="s">
        <v>1726</v>
      </c>
      <c r="D1025" s="5">
        <v>4</v>
      </c>
      <c r="E1025" s="7">
        <f>TRUNC([1]단가대비표!O466,0)</f>
        <v>76000</v>
      </c>
      <c r="F1025" s="7">
        <f t="shared" si="112"/>
        <v>304000</v>
      </c>
      <c r="G1025" s="7">
        <f>TRUNC([1]단가대비표!P466,0)</f>
        <v>0</v>
      </c>
      <c r="H1025" s="7">
        <f t="shared" si="113"/>
        <v>0</v>
      </c>
      <c r="I1025" s="7">
        <f>TRUNC([1]단가대비표!V466,0)</f>
        <v>0</v>
      </c>
      <c r="J1025" s="7">
        <f t="shared" si="114"/>
        <v>0</v>
      </c>
      <c r="K1025" s="7">
        <f t="shared" si="115"/>
        <v>76000</v>
      </c>
      <c r="L1025" s="7">
        <f t="shared" si="115"/>
        <v>304000</v>
      </c>
      <c r="M1025" s="4" t="s">
        <v>115</v>
      </c>
      <c r="N1025" s="6" t="s">
        <v>2527</v>
      </c>
      <c r="O1025" s="6" t="s">
        <v>55</v>
      </c>
      <c r="P1025" s="6" t="s">
        <v>55</v>
      </c>
      <c r="Q1025" s="6" t="s">
        <v>2484</v>
      </c>
      <c r="R1025" s="6" t="s">
        <v>56</v>
      </c>
      <c r="S1025" s="6" t="s">
        <v>56</v>
      </c>
      <c r="T1025" s="6" t="s">
        <v>57</v>
      </c>
      <c r="AR1025" s="6" t="s">
        <v>55</v>
      </c>
      <c r="AS1025" s="6" t="s">
        <v>55</v>
      </c>
      <c r="AU1025" s="6" t="s">
        <v>2528</v>
      </c>
      <c r="AV1025">
        <v>1528</v>
      </c>
    </row>
    <row r="1026" spans="1:48" ht="30" customHeight="1" x14ac:dyDescent="0.3">
      <c r="A1026" s="4" t="s">
        <v>1815</v>
      </c>
      <c r="B1026" s="4" t="s">
        <v>1816</v>
      </c>
      <c r="C1026" s="4" t="s">
        <v>1726</v>
      </c>
      <c r="D1026" s="5">
        <v>2</v>
      </c>
      <c r="E1026" s="7">
        <f>TRUNC([1]단가대비표!O467,0)</f>
        <v>123000</v>
      </c>
      <c r="F1026" s="7">
        <f t="shared" si="112"/>
        <v>246000</v>
      </c>
      <c r="G1026" s="7">
        <f>TRUNC([1]단가대비표!P467,0)</f>
        <v>0</v>
      </c>
      <c r="H1026" s="7">
        <f t="shared" si="113"/>
        <v>0</v>
      </c>
      <c r="I1026" s="7">
        <f>TRUNC([1]단가대비표!V467,0)</f>
        <v>0</v>
      </c>
      <c r="J1026" s="7">
        <f t="shared" si="114"/>
        <v>0</v>
      </c>
      <c r="K1026" s="7">
        <f t="shared" si="115"/>
        <v>123000</v>
      </c>
      <c r="L1026" s="7">
        <f t="shared" si="115"/>
        <v>246000</v>
      </c>
      <c r="M1026" s="4" t="s">
        <v>115</v>
      </c>
      <c r="N1026" s="6" t="s">
        <v>2529</v>
      </c>
      <c r="O1026" s="6" t="s">
        <v>55</v>
      </c>
      <c r="P1026" s="6" t="s">
        <v>55</v>
      </c>
      <c r="Q1026" s="6" t="s">
        <v>2484</v>
      </c>
      <c r="R1026" s="6" t="s">
        <v>56</v>
      </c>
      <c r="S1026" s="6" t="s">
        <v>56</v>
      </c>
      <c r="T1026" s="6" t="s">
        <v>57</v>
      </c>
      <c r="AR1026" s="6" t="s">
        <v>55</v>
      </c>
      <c r="AS1026" s="6" t="s">
        <v>55</v>
      </c>
      <c r="AU1026" s="6" t="s">
        <v>2530</v>
      </c>
      <c r="AV1026">
        <v>1529</v>
      </c>
    </row>
    <row r="1027" spans="1:48" ht="30" customHeight="1" x14ac:dyDescent="0.3">
      <c r="A1027" s="4" t="s">
        <v>1831</v>
      </c>
      <c r="B1027" s="4" t="s">
        <v>1832</v>
      </c>
      <c r="C1027" s="4" t="s">
        <v>1726</v>
      </c>
      <c r="D1027" s="5">
        <v>2</v>
      </c>
      <c r="E1027" s="7">
        <f>TRUNC([1]단가대비표!O468,0)</f>
        <v>27000</v>
      </c>
      <c r="F1027" s="7">
        <f t="shared" si="112"/>
        <v>54000</v>
      </c>
      <c r="G1027" s="7">
        <f>TRUNC([1]단가대비표!P468,0)</f>
        <v>0</v>
      </c>
      <c r="H1027" s="7">
        <f t="shared" si="113"/>
        <v>0</v>
      </c>
      <c r="I1027" s="7">
        <f>TRUNC([1]단가대비표!V468,0)</f>
        <v>0</v>
      </c>
      <c r="J1027" s="7">
        <f t="shared" si="114"/>
        <v>0</v>
      </c>
      <c r="K1027" s="7">
        <f t="shared" si="115"/>
        <v>27000</v>
      </c>
      <c r="L1027" s="7">
        <f t="shared" si="115"/>
        <v>54000</v>
      </c>
      <c r="M1027" s="4" t="s">
        <v>115</v>
      </c>
      <c r="N1027" s="6" t="s">
        <v>2531</v>
      </c>
      <c r="O1027" s="6" t="s">
        <v>55</v>
      </c>
      <c r="P1027" s="6" t="s">
        <v>55</v>
      </c>
      <c r="Q1027" s="6" t="s">
        <v>2484</v>
      </c>
      <c r="R1027" s="6" t="s">
        <v>56</v>
      </c>
      <c r="S1027" s="6" t="s">
        <v>56</v>
      </c>
      <c r="T1027" s="6" t="s">
        <v>57</v>
      </c>
      <c r="AR1027" s="6" t="s">
        <v>55</v>
      </c>
      <c r="AS1027" s="6" t="s">
        <v>55</v>
      </c>
      <c r="AU1027" s="6" t="s">
        <v>2532</v>
      </c>
      <c r="AV1027">
        <v>1533</v>
      </c>
    </row>
    <row r="1028" spans="1:48" ht="30" customHeight="1" x14ac:dyDescent="0.3">
      <c r="A1028" s="4" t="s">
        <v>1840</v>
      </c>
      <c r="B1028" s="4" t="s">
        <v>1841</v>
      </c>
      <c r="C1028" s="4" t="s">
        <v>1837</v>
      </c>
      <c r="D1028" s="5">
        <v>6</v>
      </c>
      <c r="E1028" s="7">
        <f>TRUNC([1]단가대비표!O469,0)</f>
        <v>100000</v>
      </c>
      <c r="F1028" s="7">
        <f t="shared" si="112"/>
        <v>600000</v>
      </c>
      <c r="G1028" s="7">
        <f>TRUNC([1]단가대비표!P469,0)</f>
        <v>0</v>
      </c>
      <c r="H1028" s="7">
        <f t="shared" si="113"/>
        <v>0</v>
      </c>
      <c r="I1028" s="7">
        <f>TRUNC([1]단가대비표!V469,0)</f>
        <v>0</v>
      </c>
      <c r="J1028" s="7">
        <f t="shared" si="114"/>
        <v>0</v>
      </c>
      <c r="K1028" s="7">
        <f t="shared" si="115"/>
        <v>100000</v>
      </c>
      <c r="L1028" s="7">
        <f t="shared" si="115"/>
        <v>600000</v>
      </c>
      <c r="M1028" s="4" t="s">
        <v>115</v>
      </c>
      <c r="N1028" s="6" t="s">
        <v>2533</v>
      </c>
      <c r="O1028" s="6" t="s">
        <v>55</v>
      </c>
      <c r="P1028" s="6" t="s">
        <v>55</v>
      </c>
      <c r="Q1028" s="6" t="s">
        <v>2484</v>
      </c>
      <c r="R1028" s="6" t="s">
        <v>56</v>
      </c>
      <c r="S1028" s="6" t="s">
        <v>56</v>
      </c>
      <c r="T1028" s="6" t="s">
        <v>57</v>
      </c>
      <c r="AR1028" s="6" t="s">
        <v>55</v>
      </c>
      <c r="AS1028" s="6" t="s">
        <v>55</v>
      </c>
      <c r="AU1028" s="6" t="s">
        <v>2534</v>
      </c>
      <c r="AV1028">
        <v>1536</v>
      </c>
    </row>
    <row r="1029" spans="1:48" ht="30" customHeight="1" x14ac:dyDescent="0.3">
      <c r="A1029" s="4" t="s">
        <v>55</v>
      </c>
      <c r="B1029" s="4" t="s">
        <v>55</v>
      </c>
      <c r="C1029" s="4" t="s">
        <v>55</v>
      </c>
      <c r="D1029" s="5"/>
      <c r="E1029" s="7">
        <f>TRUNC([1]단가대비표!O695,0)</f>
        <v>0</v>
      </c>
      <c r="F1029" s="7">
        <f t="shared" si="112"/>
        <v>0</v>
      </c>
      <c r="G1029" s="7">
        <f>TRUNC([1]단가대비표!P695,0)</f>
        <v>0</v>
      </c>
      <c r="H1029" s="7">
        <f t="shared" si="113"/>
        <v>0</v>
      </c>
      <c r="I1029" s="7">
        <f>TRUNC([1]단가대비표!V695,0)</f>
        <v>0</v>
      </c>
      <c r="J1029" s="7">
        <f t="shared" si="114"/>
        <v>0</v>
      </c>
      <c r="K1029" s="7">
        <f t="shared" si="115"/>
        <v>0</v>
      </c>
      <c r="L1029" s="7">
        <f t="shared" si="115"/>
        <v>0</v>
      </c>
      <c r="M1029" s="4" t="s">
        <v>55</v>
      </c>
      <c r="N1029" s="6" t="s">
        <v>2535</v>
      </c>
      <c r="O1029" s="6" t="s">
        <v>55</v>
      </c>
      <c r="P1029" s="6" t="s">
        <v>55</v>
      </c>
      <c r="Q1029" s="6" t="s">
        <v>2484</v>
      </c>
      <c r="R1029" s="6" t="s">
        <v>56</v>
      </c>
      <c r="S1029" s="6" t="s">
        <v>56</v>
      </c>
      <c r="T1029" s="6" t="s">
        <v>57</v>
      </c>
      <c r="AR1029" s="6" t="s">
        <v>55</v>
      </c>
      <c r="AS1029" s="6" t="s">
        <v>55</v>
      </c>
      <c r="AU1029" s="6" t="s">
        <v>2536</v>
      </c>
      <c r="AV1029">
        <v>2210</v>
      </c>
    </row>
    <row r="1030" spans="1:48" ht="30" customHeight="1" x14ac:dyDescent="0.3">
      <c r="A1030" s="4" t="s">
        <v>1862</v>
      </c>
      <c r="B1030" s="4" t="s">
        <v>55</v>
      </c>
      <c r="C1030" s="4" t="s">
        <v>55</v>
      </c>
      <c r="D1030" s="5"/>
      <c r="E1030" s="7">
        <f>TRUNC([1]단가대비표!O696,0)</f>
        <v>0</v>
      </c>
      <c r="F1030" s="7">
        <f t="shared" si="112"/>
        <v>0</v>
      </c>
      <c r="G1030" s="7">
        <f>TRUNC([1]단가대비표!P696,0)</f>
        <v>0</v>
      </c>
      <c r="H1030" s="7">
        <f t="shared" si="113"/>
        <v>0</v>
      </c>
      <c r="I1030" s="7">
        <f>TRUNC([1]단가대비표!V696,0)</f>
        <v>0</v>
      </c>
      <c r="J1030" s="7">
        <f t="shared" si="114"/>
        <v>0</v>
      </c>
      <c r="K1030" s="7">
        <f t="shared" si="115"/>
        <v>0</v>
      </c>
      <c r="L1030" s="7">
        <f t="shared" si="115"/>
        <v>0</v>
      </c>
      <c r="M1030" s="4" t="s">
        <v>55</v>
      </c>
      <c r="N1030" s="6" t="s">
        <v>2537</v>
      </c>
      <c r="O1030" s="6" t="s">
        <v>55</v>
      </c>
      <c r="P1030" s="6" t="s">
        <v>55</v>
      </c>
      <c r="Q1030" s="6" t="s">
        <v>2484</v>
      </c>
      <c r="R1030" s="6" t="s">
        <v>56</v>
      </c>
      <c r="S1030" s="6" t="s">
        <v>56</v>
      </c>
      <c r="T1030" s="6" t="s">
        <v>57</v>
      </c>
      <c r="AR1030" s="6" t="s">
        <v>55</v>
      </c>
      <c r="AS1030" s="6" t="s">
        <v>55</v>
      </c>
      <c r="AU1030" s="6" t="s">
        <v>2538</v>
      </c>
      <c r="AV1030">
        <v>2211</v>
      </c>
    </row>
    <row r="1031" spans="1:48" ht="30" customHeight="1" x14ac:dyDescent="0.3">
      <c r="A1031" s="4" t="s">
        <v>2539</v>
      </c>
      <c r="B1031" s="4" t="s">
        <v>2540</v>
      </c>
      <c r="C1031" s="4" t="s">
        <v>81</v>
      </c>
      <c r="D1031" s="5">
        <v>1</v>
      </c>
      <c r="E1031" s="7">
        <f>TRUNC([1]단가대비표!O506,0)</f>
        <v>2322200</v>
      </c>
      <c r="F1031" s="7">
        <f t="shared" si="112"/>
        <v>2322200</v>
      </c>
      <c r="G1031" s="7">
        <f>TRUNC([1]단가대비표!P506,0)</f>
        <v>0</v>
      </c>
      <c r="H1031" s="7">
        <f t="shared" si="113"/>
        <v>0</v>
      </c>
      <c r="I1031" s="7">
        <f>TRUNC([1]단가대비표!V506,0)</f>
        <v>0</v>
      </c>
      <c r="J1031" s="7">
        <f t="shared" si="114"/>
        <v>0</v>
      </c>
      <c r="K1031" s="7">
        <f t="shared" si="115"/>
        <v>2322200</v>
      </c>
      <c r="L1031" s="7">
        <f t="shared" si="115"/>
        <v>2322200</v>
      </c>
      <c r="M1031" s="4" t="s">
        <v>115</v>
      </c>
      <c r="N1031" s="6" t="s">
        <v>2541</v>
      </c>
      <c r="O1031" s="6" t="s">
        <v>55</v>
      </c>
      <c r="P1031" s="6" t="s">
        <v>55</v>
      </c>
      <c r="Q1031" s="6" t="s">
        <v>2484</v>
      </c>
      <c r="R1031" s="6" t="s">
        <v>56</v>
      </c>
      <c r="S1031" s="6" t="s">
        <v>56</v>
      </c>
      <c r="T1031" s="6" t="s">
        <v>57</v>
      </c>
      <c r="AR1031" s="6" t="s">
        <v>55</v>
      </c>
      <c r="AS1031" s="6" t="s">
        <v>55</v>
      </c>
      <c r="AU1031" s="6" t="s">
        <v>2542</v>
      </c>
      <c r="AV1031">
        <v>1842</v>
      </c>
    </row>
    <row r="1032" spans="1:48" ht="30" customHeight="1" x14ac:dyDescent="0.3">
      <c r="A1032" s="4" t="s">
        <v>55</v>
      </c>
      <c r="B1032" s="4" t="s">
        <v>55</v>
      </c>
      <c r="C1032" s="4" t="s">
        <v>55</v>
      </c>
      <c r="D1032" s="5"/>
      <c r="E1032" s="7">
        <f>TRUNC([1]단가대비표!O697,0)</f>
        <v>0</v>
      </c>
      <c r="F1032" s="7">
        <f t="shared" si="112"/>
        <v>0</v>
      </c>
      <c r="G1032" s="7">
        <f>TRUNC([1]단가대비표!P697,0)</f>
        <v>0</v>
      </c>
      <c r="H1032" s="7">
        <f t="shared" si="113"/>
        <v>0</v>
      </c>
      <c r="I1032" s="7">
        <f>TRUNC([1]단가대비표!V697,0)</f>
        <v>0</v>
      </c>
      <c r="J1032" s="7">
        <f t="shared" si="114"/>
        <v>0</v>
      </c>
      <c r="K1032" s="7">
        <f t="shared" si="115"/>
        <v>0</v>
      </c>
      <c r="L1032" s="7">
        <f t="shared" si="115"/>
        <v>0</v>
      </c>
      <c r="M1032" s="4" t="s">
        <v>55</v>
      </c>
      <c r="N1032" s="6" t="s">
        <v>2543</v>
      </c>
      <c r="O1032" s="6" t="s">
        <v>55</v>
      </c>
      <c r="P1032" s="6" t="s">
        <v>55</v>
      </c>
      <c r="Q1032" s="6" t="s">
        <v>2484</v>
      </c>
      <c r="R1032" s="6" t="s">
        <v>56</v>
      </c>
      <c r="S1032" s="6" t="s">
        <v>56</v>
      </c>
      <c r="T1032" s="6" t="s">
        <v>57</v>
      </c>
      <c r="AR1032" s="6" t="s">
        <v>55</v>
      </c>
      <c r="AS1032" s="6" t="s">
        <v>55</v>
      </c>
      <c r="AU1032" s="6" t="s">
        <v>2544</v>
      </c>
      <c r="AV1032">
        <v>2213</v>
      </c>
    </row>
    <row r="1033" spans="1:48" ht="30" customHeight="1" x14ac:dyDescent="0.3">
      <c r="A1033" s="4" t="s">
        <v>2545</v>
      </c>
      <c r="B1033" s="4" t="s">
        <v>55</v>
      </c>
      <c r="C1033" s="4" t="s">
        <v>55</v>
      </c>
      <c r="D1033" s="5"/>
      <c r="E1033" s="7">
        <f>TRUNC([1]단가대비표!O698,0)</f>
        <v>0</v>
      </c>
      <c r="F1033" s="7">
        <f t="shared" si="112"/>
        <v>0</v>
      </c>
      <c r="G1033" s="7">
        <f>TRUNC([1]단가대비표!P698,0)</f>
        <v>0</v>
      </c>
      <c r="H1033" s="7">
        <f t="shared" si="113"/>
        <v>0</v>
      </c>
      <c r="I1033" s="7">
        <f>TRUNC([1]단가대비표!V698,0)</f>
        <v>0</v>
      </c>
      <c r="J1033" s="7">
        <f t="shared" si="114"/>
        <v>0</v>
      </c>
      <c r="K1033" s="7">
        <f t="shared" si="115"/>
        <v>0</v>
      </c>
      <c r="L1033" s="7">
        <f t="shared" si="115"/>
        <v>0</v>
      </c>
      <c r="M1033" s="4" t="s">
        <v>55</v>
      </c>
      <c r="N1033" s="6" t="s">
        <v>2546</v>
      </c>
      <c r="O1033" s="6" t="s">
        <v>55</v>
      </c>
      <c r="P1033" s="6" t="s">
        <v>55</v>
      </c>
      <c r="Q1033" s="6" t="s">
        <v>2484</v>
      </c>
      <c r="R1033" s="6" t="s">
        <v>56</v>
      </c>
      <c r="S1033" s="6" t="s">
        <v>56</v>
      </c>
      <c r="T1033" s="6" t="s">
        <v>57</v>
      </c>
      <c r="AR1033" s="6" t="s">
        <v>55</v>
      </c>
      <c r="AS1033" s="6" t="s">
        <v>55</v>
      </c>
      <c r="AU1033" s="6" t="s">
        <v>2547</v>
      </c>
      <c r="AV1033">
        <v>2218</v>
      </c>
    </row>
    <row r="1034" spans="1:48" ht="30" customHeight="1" x14ac:dyDescent="0.3">
      <c r="A1034" s="4" t="s">
        <v>2548</v>
      </c>
      <c r="B1034" s="4" t="s">
        <v>2549</v>
      </c>
      <c r="C1034" s="4" t="s">
        <v>120</v>
      </c>
      <c r="D1034" s="5">
        <v>2</v>
      </c>
      <c r="E1034" s="7">
        <f>TRUNC([1]단가대비표!O699,0)</f>
        <v>2250000</v>
      </c>
      <c r="F1034" s="7">
        <f t="shared" si="112"/>
        <v>4500000</v>
      </c>
      <c r="G1034" s="7">
        <f>TRUNC([1]단가대비표!P699,0)</f>
        <v>0</v>
      </c>
      <c r="H1034" s="7">
        <f t="shared" si="113"/>
        <v>0</v>
      </c>
      <c r="I1034" s="7">
        <f>TRUNC([1]단가대비표!V699,0)</f>
        <v>0</v>
      </c>
      <c r="J1034" s="7">
        <f t="shared" si="114"/>
        <v>0</v>
      </c>
      <c r="K1034" s="7">
        <f t="shared" si="115"/>
        <v>2250000</v>
      </c>
      <c r="L1034" s="7">
        <f t="shared" si="115"/>
        <v>4500000</v>
      </c>
      <c r="M1034" s="4" t="s">
        <v>115</v>
      </c>
      <c r="N1034" s="6" t="s">
        <v>2550</v>
      </c>
      <c r="O1034" s="6" t="s">
        <v>55</v>
      </c>
      <c r="P1034" s="6" t="s">
        <v>55</v>
      </c>
      <c r="Q1034" s="6" t="s">
        <v>2484</v>
      </c>
      <c r="R1034" s="6" t="s">
        <v>56</v>
      </c>
      <c r="S1034" s="6" t="s">
        <v>56</v>
      </c>
      <c r="T1034" s="6" t="s">
        <v>57</v>
      </c>
      <c r="AR1034" s="6" t="s">
        <v>55</v>
      </c>
      <c r="AS1034" s="6" t="s">
        <v>55</v>
      </c>
      <c r="AU1034" s="6" t="s">
        <v>2551</v>
      </c>
      <c r="AV1034">
        <v>2221</v>
      </c>
    </row>
    <row r="1035" spans="1:48" ht="30" customHeight="1" x14ac:dyDescent="0.3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</row>
    <row r="1036" spans="1:48" ht="30" customHeight="1" x14ac:dyDescent="0.3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</row>
    <row r="1037" spans="1:48" ht="30" customHeight="1" x14ac:dyDescent="0.3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</row>
    <row r="1038" spans="1:48" ht="30" customHeight="1" x14ac:dyDescent="0.3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</row>
    <row r="1039" spans="1:48" ht="30" customHeight="1" x14ac:dyDescent="0.3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</row>
    <row r="1040" spans="1:48" ht="30" customHeight="1" x14ac:dyDescent="0.3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</row>
    <row r="1041" spans="1:48" ht="30" customHeight="1" x14ac:dyDescent="0.3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</row>
    <row r="1042" spans="1:48" ht="30" customHeight="1" x14ac:dyDescent="0.3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</row>
    <row r="1043" spans="1:48" ht="30" customHeight="1" x14ac:dyDescent="0.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</row>
    <row r="1044" spans="1:48" ht="30" customHeight="1" x14ac:dyDescent="0.3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</row>
    <row r="1045" spans="1:48" ht="30" customHeight="1" x14ac:dyDescent="0.3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</row>
    <row r="1046" spans="1:48" ht="30" customHeight="1" x14ac:dyDescent="0.3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</row>
    <row r="1047" spans="1:48" ht="30" customHeight="1" x14ac:dyDescent="0.3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</row>
    <row r="1048" spans="1:48" ht="30" customHeight="1" x14ac:dyDescent="0.3">
      <c r="A1048" s="4" t="s">
        <v>128</v>
      </c>
      <c r="B1048" s="5"/>
      <c r="C1048" s="5"/>
      <c r="D1048" s="5"/>
      <c r="E1048" s="5"/>
      <c r="F1048" s="7">
        <f>SUM(F1008:F1047)</f>
        <v>14319897</v>
      </c>
      <c r="G1048" s="5"/>
      <c r="H1048" s="7">
        <f>SUM(H1008:H1047)</f>
        <v>649264</v>
      </c>
      <c r="I1048" s="5"/>
      <c r="J1048" s="7">
        <f>SUM(J1008:J1047)</f>
        <v>4607</v>
      </c>
      <c r="K1048" s="5"/>
      <c r="L1048" s="7">
        <f>SUM(L1008:L1047)</f>
        <v>14973768</v>
      </c>
      <c r="M1048" s="5"/>
      <c r="N1048" t="s">
        <v>129</v>
      </c>
    </row>
    <row r="1049" spans="1:48" ht="30" customHeight="1" x14ac:dyDescent="0.3">
      <c r="A1049" s="4" t="s">
        <v>2552</v>
      </c>
      <c r="B1049" s="4" t="s">
        <v>2291</v>
      </c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Q1049" s="6" t="s">
        <v>2553</v>
      </c>
    </row>
    <row r="1050" spans="1:48" ht="30" customHeight="1" x14ac:dyDescent="0.3">
      <c r="A1050" s="4" t="s">
        <v>1532</v>
      </c>
      <c r="B1050" s="4" t="s">
        <v>1536</v>
      </c>
      <c r="C1050" s="4" t="s">
        <v>125</v>
      </c>
      <c r="D1050" s="5">
        <v>2</v>
      </c>
      <c r="E1050" s="7">
        <f>TRUNC([1]단가대비표!O786,0)</f>
        <v>353235</v>
      </c>
      <c r="F1050" s="7">
        <f t="shared" ref="F1050:F1061" si="116">TRUNC(E1050*D1050, 0)</f>
        <v>706470</v>
      </c>
      <c r="G1050" s="7">
        <f>TRUNC([1]단가대비표!P786,0)</f>
        <v>0</v>
      </c>
      <c r="H1050" s="7">
        <f t="shared" ref="H1050:H1061" si="117">TRUNC(G1050*D1050, 0)</f>
        <v>0</v>
      </c>
      <c r="I1050" s="7">
        <f>TRUNC([1]단가대비표!V786,0)</f>
        <v>0</v>
      </c>
      <c r="J1050" s="7">
        <f t="shared" ref="J1050:J1061" si="118">TRUNC(I1050*D1050, 0)</f>
        <v>0</v>
      </c>
      <c r="K1050" s="7">
        <f t="shared" ref="K1050:L1061" si="119">TRUNC(E1050+G1050+I1050, 0)</f>
        <v>353235</v>
      </c>
      <c r="L1050" s="7">
        <f t="shared" si="119"/>
        <v>706470</v>
      </c>
      <c r="M1050" s="4" t="s">
        <v>55</v>
      </c>
      <c r="N1050" s="6" t="s">
        <v>2554</v>
      </c>
      <c r="O1050" s="6" t="s">
        <v>55</v>
      </c>
      <c r="P1050" s="6" t="s">
        <v>55</v>
      </c>
      <c r="Q1050" s="6" t="s">
        <v>2553</v>
      </c>
      <c r="R1050" s="6" t="s">
        <v>56</v>
      </c>
      <c r="S1050" s="6" t="s">
        <v>56</v>
      </c>
      <c r="T1050" s="6" t="s">
        <v>57</v>
      </c>
      <c r="AR1050" s="6" t="s">
        <v>55</v>
      </c>
      <c r="AS1050" s="6" t="s">
        <v>55</v>
      </c>
      <c r="AU1050" s="6" t="s">
        <v>2555</v>
      </c>
      <c r="AV1050">
        <v>2889</v>
      </c>
    </row>
    <row r="1051" spans="1:48" ht="30" customHeight="1" x14ac:dyDescent="0.3">
      <c r="A1051" s="4" t="s">
        <v>1532</v>
      </c>
      <c r="B1051" s="4" t="s">
        <v>2031</v>
      </c>
      <c r="C1051" s="4" t="s">
        <v>125</v>
      </c>
      <c r="D1051" s="5">
        <v>4</v>
      </c>
      <c r="E1051" s="7">
        <f>TRUNC([1]단가대비표!O133,0)</f>
        <v>280982</v>
      </c>
      <c r="F1051" s="7">
        <f t="shared" si="116"/>
        <v>1123928</v>
      </c>
      <c r="G1051" s="7">
        <f>TRUNC([1]단가대비표!P133,0)</f>
        <v>0</v>
      </c>
      <c r="H1051" s="7">
        <f t="shared" si="117"/>
        <v>0</v>
      </c>
      <c r="I1051" s="7">
        <f>TRUNC([1]단가대비표!V133,0)</f>
        <v>0</v>
      </c>
      <c r="J1051" s="7">
        <f t="shared" si="118"/>
        <v>0</v>
      </c>
      <c r="K1051" s="7">
        <f t="shared" si="119"/>
        <v>280982</v>
      </c>
      <c r="L1051" s="7">
        <f t="shared" si="119"/>
        <v>1123928</v>
      </c>
      <c r="M1051" s="4" t="s">
        <v>55</v>
      </c>
      <c r="N1051" s="6" t="s">
        <v>2032</v>
      </c>
      <c r="O1051" s="6" t="s">
        <v>55</v>
      </c>
      <c r="P1051" s="6" t="s">
        <v>55</v>
      </c>
      <c r="Q1051" s="6" t="s">
        <v>2553</v>
      </c>
      <c r="R1051" s="6" t="s">
        <v>56</v>
      </c>
      <c r="S1051" s="6" t="s">
        <v>56</v>
      </c>
      <c r="T1051" s="6" t="s">
        <v>57</v>
      </c>
      <c r="AR1051" s="6" t="s">
        <v>55</v>
      </c>
      <c r="AS1051" s="6" t="s">
        <v>55</v>
      </c>
      <c r="AU1051" s="6" t="s">
        <v>2556</v>
      </c>
      <c r="AV1051">
        <v>617</v>
      </c>
    </row>
    <row r="1052" spans="1:48" ht="30" customHeight="1" x14ac:dyDescent="0.3">
      <c r="A1052" s="4" t="s">
        <v>1542</v>
      </c>
      <c r="B1052" s="4" t="s">
        <v>2043</v>
      </c>
      <c r="C1052" s="4" t="s">
        <v>61</v>
      </c>
      <c r="D1052" s="5">
        <v>5</v>
      </c>
      <c r="E1052" s="7">
        <f>TRUNC([1]단가대비표!O711,0)</f>
        <v>34000</v>
      </c>
      <c r="F1052" s="7">
        <f t="shared" si="116"/>
        <v>170000</v>
      </c>
      <c r="G1052" s="7">
        <f>TRUNC([1]단가대비표!P711,0)</f>
        <v>0</v>
      </c>
      <c r="H1052" s="7">
        <f t="shared" si="117"/>
        <v>0</v>
      </c>
      <c r="I1052" s="7">
        <f>TRUNC([1]단가대비표!V711,0)</f>
        <v>0</v>
      </c>
      <c r="J1052" s="7">
        <f t="shared" si="118"/>
        <v>0</v>
      </c>
      <c r="K1052" s="7">
        <f t="shared" si="119"/>
        <v>34000</v>
      </c>
      <c r="L1052" s="7">
        <f t="shared" si="119"/>
        <v>170000</v>
      </c>
      <c r="M1052" s="4" t="s">
        <v>55</v>
      </c>
      <c r="N1052" s="6" t="s">
        <v>2557</v>
      </c>
      <c r="O1052" s="6" t="s">
        <v>55</v>
      </c>
      <c r="P1052" s="6" t="s">
        <v>55</v>
      </c>
      <c r="Q1052" s="6" t="s">
        <v>2553</v>
      </c>
      <c r="R1052" s="6" t="s">
        <v>56</v>
      </c>
      <c r="S1052" s="6" t="s">
        <v>56</v>
      </c>
      <c r="T1052" s="6" t="s">
        <v>57</v>
      </c>
      <c r="AR1052" s="6" t="s">
        <v>55</v>
      </c>
      <c r="AS1052" s="6" t="s">
        <v>55</v>
      </c>
      <c r="AU1052" s="6" t="s">
        <v>2558</v>
      </c>
      <c r="AV1052">
        <v>2274</v>
      </c>
    </row>
    <row r="1053" spans="1:48" ht="30" customHeight="1" x14ac:dyDescent="0.3">
      <c r="A1053" s="4" t="s">
        <v>2052</v>
      </c>
      <c r="B1053" s="4" t="s">
        <v>2056</v>
      </c>
      <c r="C1053" s="4" t="s">
        <v>61</v>
      </c>
      <c r="D1053" s="5">
        <v>14</v>
      </c>
      <c r="E1053" s="7">
        <f>TRUNC([1]단가대비표!O712,0)</f>
        <v>55000</v>
      </c>
      <c r="F1053" s="7">
        <f t="shared" si="116"/>
        <v>770000</v>
      </c>
      <c r="G1053" s="7">
        <f>TRUNC([1]단가대비표!P712,0)</f>
        <v>0</v>
      </c>
      <c r="H1053" s="7">
        <f t="shared" si="117"/>
        <v>0</v>
      </c>
      <c r="I1053" s="7">
        <f>TRUNC([1]단가대비표!V712,0)</f>
        <v>0</v>
      </c>
      <c r="J1053" s="7">
        <f t="shared" si="118"/>
        <v>0</v>
      </c>
      <c r="K1053" s="7">
        <f t="shared" si="119"/>
        <v>55000</v>
      </c>
      <c r="L1053" s="7">
        <f t="shared" si="119"/>
        <v>770000</v>
      </c>
      <c r="M1053" s="4" t="s">
        <v>55</v>
      </c>
      <c r="N1053" s="6" t="s">
        <v>2559</v>
      </c>
      <c r="O1053" s="6" t="s">
        <v>55</v>
      </c>
      <c r="P1053" s="6" t="s">
        <v>55</v>
      </c>
      <c r="Q1053" s="6" t="s">
        <v>2553</v>
      </c>
      <c r="R1053" s="6" t="s">
        <v>56</v>
      </c>
      <c r="S1053" s="6" t="s">
        <v>56</v>
      </c>
      <c r="T1053" s="6" t="s">
        <v>57</v>
      </c>
      <c r="AR1053" s="6" t="s">
        <v>55</v>
      </c>
      <c r="AS1053" s="6" t="s">
        <v>55</v>
      </c>
      <c r="AU1053" s="6" t="s">
        <v>2560</v>
      </c>
      <c r="AV1053">
        <v>2275</v>
      </c>
    </row>
    <row r="1054" spans="1:48" ht="30" customHeight="1" x14ac:dyDescent="0.3">
      <c r="A1054" s="4" t="s">
        <v>2052</v>
      </c>
      <c r="B1054" s="4" t="s">
        <v>2059</v>
      </c>
      <c r="C1054" s="4" t="s">
        <v>61</v>
      </c>
      <c r="D1054" s="5">
        <v>5</v>
      </c>
      <c r="E1054" s="7">
        <f>TRUNC([1]단가대비표!O713,0)</f>
        <v>56000</v>
      </c>
      <c r="F1054" s="7">
        <f t="shared" si="116"/>
        <v>280000</v>
      </c>
      <c r="G1054" s="7">
        <f>TRUNC([1]단가대비표!P713,0)</f>
        <v>0</v>
      </c>
      <c r="H1054" s="7">
        <f t="shared" si="117"/>
        <v>0</v>
      </c>
      <c r="I1054" s="7">
        <f>TRUNC([1]단가대비표!V713,0)</f>
        <v>0</v>
      </c>
      <c r="J1054" s="7">
        <f t="shared" si="118"/>
        <v>0</v>
      </c>
      <c r="K1054" s="7">
        <f t="shared" si="119"/>
        <v>56000</v>
      </c>
      <c r="L1054" s="7">
        <f t="shared" si="119"/>
        <v>280000</v>
      </c>
      <c r="M1054" s="4" t="s">
        <v>55</v>
      </c>
      <c r="N1054" s="6" t="s">
        <v>2561</v>
      </c>
      <c r="O1054" s="6" t="s">
        <v>55</v>
      </c>
      <c r="P1054" s="6" t="s">
        <v>55</v>
      </c>
      <c r="Q1054" s="6" t="s">
        <v>2553</v>
      </c>
      <c r="R1054" s="6" t="s">
        <v>56</v>
      </c>
      <c r="S1054" s="6" t="s">
        <v>56</v>
      </c>
      <c r="T1054" s="6" t="s">
        <v>57</v>
      </c>
      <c r="AR1054" s="6" t="s">
        <v>55</v>
      </c>
      <c r="AS1054" s="6" t="s">
        <v>55</v>
      </c>
      <c r="AU1054" s="6" t="s">
        <v>2562</v>
      </c>
      <c r="AV1054">
        <v>2276</v>
      </c>
    </row>
    <row r="1055" spans="1:48" ht="30" customHeight="1" x14ac:dyDescent="0.3">
      <c r="A1055" s="4" t="s">
        <v>2070</v>
      </c>
      <c r="B1055" s="4" t="s">
        <v>2071</v>
      </c>
      <c r="C1055" s="4" t="s">
        <v>269</v>
      </c>
      <c r="D1055" s="5">
        <v>86</v>
      </c>
      <c r="E1055" s="7">
        <f>TRUNC([1]일위대가목록!E176,0)</f>
        <v>383</v>
      </c>
      <c r="F1055" s="7">
        <f t="shared" si="116"/>
        <v>32938</v>
      </c>
      <c r="G1055" s="7">
        <f>TRUNC([1]일위대가목록!F176,0)</f>
        <v>0</v>
      </c>
      <c r="H1055" s="7">
        <f t="shared" si="117"/>
        <v>0</v>
      </c>
      <c r="I1055" s="7">
        <f>TRUNC([1]일위대가목록!G176,0)</f>
        <v>0</v>
      </c>
      <c r="J1055" s="7">
        <f t="shared" si="118"/>
        <v>0</v>
      </c>
      <c r="K1055" s="7">
        <f t="shared" si="119"/>
        <v>383</v>
      </c>
      <c r="L1055" s="7">
        <f t="shared" si="119"/>
        <v>32938</v>
      </c>
      <c r="M1055" s="4" t="s">
        <v>2072</v>
      </c>
      <c r="N1055" s="6" t="s">
        <v>2073</v>
      </c>
      <c r="O1055" s="6" t="s">
        <v>55</v>
      </c>
      <c r="P1055" s="6" t="s">
        <v>55</v>
      </c>
      <c r="Q1055" s="6" t="s">
        <v>2553</v>
      </c>
      <c r="R1055" s="6" t="s">
        <v>57</v>
      </c>
      <c r="S1055" s="6" t="s">
        <v>56</v>
      </c>
      <c r="T1055" s="6" t="s">
        <v>56</v>
      </c>
      <c r="AR1055" s="6" t="s">
        <v>55</v>
      </c>
      <c r="AS1055" s="6" t="s">
        <v>55</v>
      </c>
      <c r="AU1055" s="6" t="s">
        <v>2563</v>
      </c>
      <c r="AV1055">
        <v>621</v>
      </c>
    </row>
    <row r="1056" spans="1:48" ht="30" customHeight="1" x14ac:dyDescent="0.3">
      <c r="A1056" s="4" t="s">
        <v>2075</v>
      </c>
      <c r="B1056" s="4" t="s">
        <v>2076</v>
      </c>
      <c r="C1056" s="4" t="s">
        <v>269</v>
      </c>
      <c r="D1056" s="5">
        <v>76</v>
      </c>
      <c r="E1056" s="7">
        <f>TRUNC([1]일위대가목록!E177,0)</f>
        <v>2295</v>
      </c>
      <c r="F1056" s="7">
        <f t="shared" si="116"/>
        <v>174420</v>
      </c>
      <c r="G1056" s="7">
        <f>TRUNC([1]일위대가목록!F177,0)</f>
        <v>0</v>
      </c>
      <c r="H1056" s="7">
        <f t="shared" si="117"/>
        <v>0</v>
      </c>
      <c r="I1056" s="7">
        <f>TRUNC([1]일위대가목록!G177,0)</f>
        <v>0</v>
      </c>
      <c r="J1056" s="7">
        <f t="shared" si="118"/>
        <v>0</v>
      </c>
      <c r="K1056" s="7">
        <f t="shared" si="119"/>
        <v>2295</v>
      </c>
      <c r="L1056" s="7">
        <f t="shared" si="119"/>
        <v>174420</v>
      </c>
      <c r="M1056" s="4" t="s">
        <v>2077</v>
      </c>
      <c r="N1056" s="6" t="s">
        <v>2078</v>
      </c>
      <c r="O1056" s="6" t="s">
        <v>55</v>
      </c>
      <c r="P1056" s="6" t="s">
        <v>55</v>
      </c>
      <c r="Q1056" s="6" t="s">
        <v>2553</v>
      </c>
      <c r="R1056" s="6" t="s">
        <v>57</v>
      </c>
      <c r="S1056" s="6" t="s">
        <v>56</v>
      </c>
      <c r="T1056" s="6" t="s">
        <v>56</v>
      </c>
      <c r="AR1056" s="6" t="s">
        <v>55</v>
      </c>
      <c r="AS1056" s="6" t="s">
        <v>55</v>
      </c>
      <c r="AU1056" s="6" t="s">
        <v>2564</v>
      </c>
      <c r="AV1056">
        <v>622</v>
      </c>
    </row>
    <row r="1057" spans="1:48" ht="30" customHeight="1" x14ac:dyDescent="0.3">
      <c r="A1057" s="4" t="s">
        <v>1714</v>
      </c>
      <c r="B1057" s="4" t="s">
        <v>2080</v>
      </c>
      <c r="C1057" s="4" t="s">
        <v>61</v>
      </c>
      <c r="D1057" s="5">
        <v>5</v>
      </c>
      <c r="E1057" s="7">
        <f>TRUNC([1]일위대가목록!E178,0)</f>
        <v>0</v>
      </c>
      <c r="F1057" s="7">
        <f t="shared" si="116"/>
        <v>0</v>
      </c>
      <c r="G1057" s="7">
        <f>TRUNC([1]일위대가목록!F178,0)</f>
        <v>31833</v>
      </c>
      <c r="H1057" s="7">
        <f t="shared" si="117"/>
        <v>159165</v>
      </c>
      <c r="I1057" s="7">
        <f>TRUNC([1]일위대가목록!G178,0)</f>
        <v>0</v>
      </c>
      <c r="J1057" s="7">
        <f t="shared" si="118"/>
        <v>0</v>
      </c>
      <c r="K1057" s="7">
        <f t="shared" si="119"/>
        <v>31833</v>
      </c>
      <c r="L1057" s="7">
        <f t="shared" si="119"/>
        <v>159165</v>
      </c>
      <c r="M1057" s="4" t="s">
        <v>2081</v>
      </c>
      <c r="N1057" s="6" t="s">
        <v>2082</v>
      </c>
      <c r="O1057" s="6" t="s">
        <v>55</v>
      </c>
      <c r="P1057" s="6" t="s">
        <v>55</v>
      </c>
      <c r="Q1057" s="6" t="s">
        <v>2553</v>
      </c>
      <c r="R1057" s="6" t="s">
        <v>57</v>
      </c>
      <c r="S1057" s="6" t="s">
        <v>56</v>
      </c>
      <c r="T1057" s="6" t="s">
        <v>56</v>
      </c>
      <c r="AR1057" s="6" t="s">
        <v>55</v>
      </c>
      <c r="AS1057" s="6" t="s">
        <v>55</v>
      </c>
      <c r="AU1057" s="6" t="s">
        <v>2565</v>
      </c>
      <c r="AV1057">
        <v>623</v>
      </c>
    </row>
    <row r="1058" spans="1:48" ht="30" customHeight="1" x14ac:dyDescent="0.3">
      <c r="A1058" s="4" t="s">
        <v>2084</v>
      </c>
      <c r="B1058" s="4" t="s">
        <v>2089</v>
      </c>
      <c r="C1058" s="4" t="s">
        <v>61</v>
      </c>
      <c r="D1058" s="5">
        <v>18</v>
      </c>
      <c r="E1058" s="7">
        <f>TRUNC([1]일위대가목록!E180,0)</f>
        <v>780</v>
      </c>
      <c r="F1058" s="7">
        <f t="shared" si="116"/>
        <v>14040</v>
      </c>
      <c r="G1058" s="7">
        <f>TRUNC([1]일위대가목록!F180,0)</f>
        <v>25201</v>
      </c>
      <c r="H1058" s="7">
        <f t="shared" si="117"/>
        <v>453618</v>
      </c>
      <c r="I1058" s="7">
        <f>TRUNC([1]일위대가목록!G180,0)</f>
        <v>0</v>
      </c>
      <c r="J1058" s="7">
        <f t="shared" si="118"/>
        <v>0</v>
      </c>
      <c r="K1058" s="7">
        <f t="shared" si="119"/>
        <v>25981</v>
      </c>
      <c r="L1058" s="7">
        <f t="shared" si="119"/>
        <v>467658</v>
      </c>
      <c r="M1058" s="4" t="s">
        <v>2090</v>
      </c>
      <c r="N1058" s="6" t="s">
        <v>2091</v>
      </c>
      <c r="O1058" s="6" t="s">
        <v>55</v>
      </c>
      <c r="P1058" s="6" t="s">
        <v>55</v>
      </c>
      <c r="Q1058" s="6" t="s">
        <v>2553</v>
      </c>
      <c r="R1058" s="6" t="s">
        <v>57</v>
      </c>
      <c r="S1058" s="6" t="s">
        <v>56</v>
      </c>
      <c r="T1058" s="6" t="s">
        <v>56</v>
      </c>
      <c r="AR1058" s="6" t="s">
        <v>55</v>
      </c>
      <c r="AS1058" s="6" t="s">
        <v>55</v>
      </c>
      <c r="AU1058" s="6" t="s">
        <v>2566</v>
      </c>
      <c r="AV1058">
        <v>2648</v>
      </c>
    </row>
    <row r="1059" spans="1:48" ht="30" customHeight="1" x14ac:dyDescent="0.3">
      <c r="A1059" s="4" t="s">
        <v>2097</v>
      </c>
      <c r="B1059" s="4" t="s">
        <v>55</v>
      </c>
      <c r="C1059" s="4" t="s">
        <v>269</v>
      </c>
      <c r="D1059" s="5">
        <v>63</v>
      </c>
      <c r="E1059" s="7">
        <f>TRUNC([1]일위대가목록!E182,0)</f>
        <v>3996</v>
      </c>
      <c r="F1059" s="7">
        <f t="shared" si="116"/>
        <v>251748</v>
      </c>
      <c r="G1059" s="7">
        <f>TRUNC([1]일위대가목록!F182,0)</f>
        <v>3587</v>
      </c>
      <c r="H1059" s="7">
        <f t="shared" si="117"/>
        <v>225981</v>
      </c>
      <c r="I1059" s="7">
        <f>TRUNC([1]일위대가목록!G182,0)</f>
        <v>0</v>
      </c>
      <c r="J1059" s="7">
        <f t="shared" si="118"/>
        <v>0</v>
      </c>
      <c r="K1059" s="7">
        <f t="shared" si="119"/>
        <v>7583</v>
      </c>
      <c r="L1059" s="7">
        <f t="shared" si="119"/>
        <v>477729</v>
      </c>
      <c r="M1059" s="4" t="s">
        <v>2098</v>
      </c>
      <c r="N1059" s="6" t="s">
        <v>2099</v>
      </c>
      <c r="O1059" s="6" t="s">
        <v>55</v>
      </c>
      <c r="P1059" s="6" t="s">
        <v>55</v>
      </c>
      <c r="Q1059" s="6" t="s">
        <v>2553</v>
      </c>
      <c r="R1059" s="6" t="s">
        <v>57</v>
      </c>
      <c r="S1059" s="6" t="s">
        <v>56</v>
      </c>
      <c r="T1059" s="6" t="s">
        <v>56</v>
      </c>
      <c r="AR1059" s="6" t="s">
        <v>55</v>
      </c>
      <c r="AS1059" s="6" t="s">
        <v>55</v>
      </c>
      <c r="AU1059" s="6" t="s">
        <v>2567</v>
      </c>
      <c r="AV1059">
        <v>2649</v>
      </c>
    </row>
    <row r="1060" spans="1:48" ht="30" customHeight="1" x14ac:dyDescent="0.3">
      <c r="A1060" s="4" t="s">
        <v>2101</v>
      </c>
      <c r="B1060" s="4" t="s">
        <v>55</v>
      </c>
      <c r="C1060" s="4" t="s">
        <v>269</v>
      </c>
      <c r="D1060" s="5">
        <v>76</v>
      </c>
      <c r="E1060" s="7">
        <f>TRUNC([1]일위대가목록!E211,0)</f>
        <v>150</v>
      </c>
      <c r="F1060" s="7">
        <f t="shared" si="116"/>
        <v>11400</v>
      </c>
      <c r="G1060" s="7">
        <f>TRUNC([1]일위대가목록!F211,0)</f>
        <v>0</v>
      </c>
      <c r="H1060" s="7">
        <f t="shared" si="117"/>
        <v>0</v>
      </c>
      <c r="I1060" s="7">
        <f>TRUNC([1]일위대가목록!G211,0)</f>
        <v>0</v>
      </c>
      <c r="J1060" s="7">
        <f t="shared" si="118"/>
        <v>0</v>
      </c>
      <c r="K1060" s="7">
        <f t="shared" si="119"/>
        <v>150</v>
      </c>
      <c r="L1060" s="7">
        <f t="shared" si="119"/>
        <v>11400</v>
      </c>
      <c r="M1060" s="4" t="s">
        <v>2568</v>
      </c>
      <c r="N1060" s="6" t="s">
        <v>2569</v>
      </c>
      <c r="O1060" s="6" t="s">
        <v>55</v>
      </c>
      <c r="P1060" s="6" t="s">
        <v>55</v>
      </c>
      <c r="Q1060" s="6" t="s">
        <v>2553</v>
      </c>
      <c r="R1060" s="6" t="s">
        <v>57</v>
      </c>
      <c r="S1060" s="6" t="s">
        <v>56</v>
      </c>
      <c r="T1060" s="6" t="s">
        <v>56</v>
      </c>
      <c r="AR1060" s="6" t="s">
        <v>55</v>
      </c>
      <c r="AS1060" s="6" t="s">
        <v>55</v>
      </c>
      <c r="AU1060" s="6" t="s">
        <v>2570</v>
      </c>
      <c r="AV1060">
        <v>2112</v>
      </c>
    </row>
    <row r="1061" spans="1:48" ht="30" customHeight="1" x14ac:dyDescent="0.3">
      <c r="A1061" s="4" t="s">
        <v>2105</v>
      </c>
      <c r="B1061" s="4" t="s">
        <v>2106</v>
      </c>
      <c r="C1061" s="4" t="s">
        <v>61</v>
      </c>
      <c r="D1061" s="5">
        <v>3</v>
      </c>
      <c r="E1061" s="7">
        <f>TRUNC([1]일위대가목록!E184,0)</f>
        <v>50471</v>
      </c>
      <c r="F1061" s="7">
        <f t="shared" si="116"/>
        <v>151413</v>
      </c>
      <c r="G1061" s="7">
        <f>TRUNC([1]일위대가목록!F184,0)</f>
        <v>58966</v>
      </c>
      <c r="H1061" s="7">
        <f t="shared" si="117"/>
        <v>176898</v>
      </c>
      <c r="I1061" s="7">
        <f>TRUNC([1]일위대가목록!G184,0)</f>
        <v>343</v>
      </c>
      <c r="J1061" s="7">
        <f t="shared" si="118"/>
        <v>1029</v>
      </c>
      <c r="K1061" s="7">
        <f t="shared" si="119"/>
        <v>109780</v>
      </c>
      <c r="L1061" s="7">
        <f t="shared" si="119"/>
        <v>329340</v>
      </c>
      <c r="M1061" s="4" t="s">
        <v>2107</v>
      </c>
      <c r="N1061" s="6" t="s">
        <v>2108</v>
      </c>
      <c r="O1061" s="6" t="s">
        <v>55</v>
      </c>
      <c r="P1061" s="6" t="s">
        <v>55</v>
      </c>
      <c r="Q1061" s="6" t="s">
        <v>2553</v>
      </c>
      <c r="R1061" s="6" t="s">
        <v>57</v>
      </c>
      <c r="S1061" s="6" t="s">
        <v>56</v>
      </c>
      <c r="T1061" s="6" t="s">
        <v>56</v>
      </c>
      <c r="AR1061" s="6" t="s">
        <v>55</v>
      </c>
      <c r="AS1061" s="6" t="s">
        <v>55</v>
      </c>
      <c r="AU1061" s="6" t="s">
        <v>2571</v>
      </c>
      <c r="AV1061">
        <v>627</v>
      </c>
    </row>
    <row r="1062" spans="1:48" ht="30" customHeight="1" x14ac:dyDescent="0.3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</row>
    <row r="1063" spans="1:48" ht="30" customHeight="1" x14ac:dyDescent="0.3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</row>
    <row r="1064" spans="1:48" ht="30" customHeight="1" x14ac:dyDescent="0.3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</row>
    <row r="1065" spans="1:48" ht="30" customHeight="1" x14ac:dyDescent="0.3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</row>
    <row r="1066" spans="1:48" ht="30" customHeight="1" x14ac:dyDescent="0.3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</row>
    <row r="1067" spans="1:48" ht="30" customHeight="1" x14ac:dyDescent="0.3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</row>
    <row r="1068" spans="1:48" ht="30" customHeight="1" x14ac:dyDescent="0.3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</row>
    <row r="1069" spans="1:48" ht="30" customHeight="1" x14ac:dyDescent="0.3">
      <c r="A1069" s="4" t="s">
        <v>128</v>
      </c>
      <c r="B1069" s="5"/>
      <c r="C1069" s="5"/>
      <c r="D1069" s="5"/>
      <c r="E1069" s="5"/>
      <c r="F1069" s="7">
        <f>SUM(F1050:F1068)</f>
        <v>3686357</v>
      </c>
      <c r="G1069" s="5"/>
      <c r="H1069" s="7">
        <f>SUM(H1050:H1068)</f>
        <v>1015662</v>
      </c>
      <c r="I1069" s="5"/>
      <c r="J1069" s="7">
        <f>SUM(J1050:J1068)</f>
        <v>1029</v>
      </c>
      <c r="K1069" s="5"/>
      <c r="L1069" s="7">
        <f>SUM(L1050:L1068)</f>
        <v>4703048</v>
      </c>
      <c r="M1069" s="5"/>
      <c r="N1069" t="s">
        <v>129</v>
      </c>
    </row>
    <row r="1070" spans="1:48" ht="30" customHeight="1" x14ac:dyDescent="0.3">
      <c r="A1070" s="4" t="s">
        <v>2572</v>
      </c>
      <c r="B1070" s="4" t="s">
        <v>2291</v>
      </c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Q1070" s="6" t="s">
        <v>2573</v>
      </c>
    </row>
    <row r="1071" spans="1:48" ht="30" customHeight="1" x14ac:dyDescent="0.3">
      <c r="A1071" s="4" t="s">
        <v>409</v>
      </c>
      <c r="B1071" s="4" t="s">
        <v>2112</v>
      </c>
      <c r="C1071" s="4" t="s">
        <v>61</v>
      </c>
      <c r="D1071" s="5">
        <v>58</v>
      </c>
      <c r="E1071" s="7">
        <f>TRUNC([1]일위대가목록!E185,0)</f>
        <v>1133</v>
      </c>
      <c r="F1071" s="7">
        <f t="shared" ref="F1071:F1077" si="120">TRUNC(E1071*D1071, 0)</f>
        <v>65714</v>
      </c>
      <c r="G1071" s="7">
        <f>TRUNC([1]일위대가목록!F185,0)</f>
        <v>2904</v>
      </c>
      <c r="H1071" s="7">
        <f t="shared" ref="H1071:H1077" si="121">TRUNC(G1071*D1071, 0)</f>
        <v>168432</v>
      </c>
      <c r="I1071" s="7">
        <f>TRUNC([1]일위대가목록!G185,0)</f>
        <v>119</v>
      </c>
      <c r="J1071" s="7">
        <f t="shared" ref="J1071:J1077" si="122">TRUNC(I1071*D1071, 0)</f>
        <v>6902</v>
      </c>
      <c r="K1071" s="7">
        <f t="shared" ref="K1071:L1077" si="123">TRUNC(E1071+G1071+I1071, 0)</f>
        <v>4156</v>
      </c>
      <c r="L1071" s="7">
        <f t="shared" si="123"/>
        <v>241048</v>
      </c>
      <c r="M1071" s="4" t="s">
        <v>2113</v>
      </c>
      <c r="N1071" s="6" t="s">
        <v>2114</v>
      </c>
      <c r="O1071" s="6" t="s">
        <v>55</v>
      </c>
      <c r="P1071" s="6" t="s">
        <v>55</v>
      </c>
      <c r="Q1071" s="6" t="s">
        <v>2573</v>
      </c>
      <c r="R1071" s="6" t="s">
        <v>57</v>
      </c>
      <c r="S1071" s="6" t="s">
        <v>56</v>
      </c>
      <c r="T1071" s="6" t="s">
        <v>56</v>
      </c>
      <c r="AR1071" s="6" t="s">
        <v>55</v>
      </c>
      <c r="AS1071" s="6" t="s">
        <v>55</v>
      </c>
      <c r="AU1071" s="6" t="s">
        <v>2574</v>
      </c>
      <c r="AV1071">
        <v>629</v>
      </c>
    </row>
    <row r="1072" spans="1:48" ht="30" customHeight="1" x14ac:dyDescent="0.3">
      <c r="A1072" s="4" t="s">
        <v>2116</v>
      </c>
      <c r="B1072" s="4" t="s">
        <v>2117</v>
      </c>
      <c r="C1072" s="4" t="s">
        <v>61</v>
      </c>
      <c r="D1072" s="5">
        <v>58</v>
      </c>
      <c r="E1072" s="7">
        <f>TRUNC([1]일위대가목록!E186,0)</f>
        <v>1694</v>
      </c>
      <c r="F1072" s="7">
        <f t="shared" si="120"/>
        <v>98252</v>
      </c>
      <c r="G1072" s="7">
        <f>TRUNC([1]일위대가목록!F186,0)</f>
        <v>968</v>
      </c>
      <c r="H1072" s="7">
        <f t="shared" si="121"/>
        <v>56144</v>
      </c>
      <c r="I1072" s="7">
        <f>TRUNC([1]일위대가목록!G186,0)</f>
        <v>238</v>
      </c>
      <c r="J1072" s="7">
        <f t="shared" si="122"/>
        <v>13804</v>
      </c>
      <c r="K1072" s="7">
        <f t="shared" si="123"/>
        <v>2900</v>
      </c>
      <c r="L1072" s="7">
        <f t="shared" si="123"/>
        <v>168200</v>
      </c>
      <c r="M1072" s="4" t="s">
        <v>2118</v>
      </c>
      <c r="N1072" s="6" t="s">
        <v>2119</v>
      </c>
      <c r="O1072" s="6" t="s">
        <v>55</v>
      </c>
      <c r="P1072" s="6" t="s">
        <v>55</v>
      </c>
      <c r="Q1072" s="6" t="s">
        <v>2573</v>
      </c>
      <c r="R1072" s="6" t="s">
        <v>57</v>
      </c>
      <c r="S1072" s="6" t="s">
        <v>56</v>
      </c>
      <c r="T1072" s="6" t="s">
        <v>56</v>
      </c>
      <c r="AR1072" s="6" t="s">
        <v>55</v>
      </c>
      <c r="AS1072" s="6" t="s">
        <v>55</v>
      </c>
      <c r="AU1072" s="6" t="s">
        <v>2575</v>
      </c>
      <c r="AV1072">
        <v>630</v>
      </c>
    </row>
    <row r="1073" spans="1:48" ht="30" customHeight="1" x14ac:dyDescent="0.3">
      <c r="A1073" s="4" t="s">
        <v>2121</v>
      </c>
      <c r="B1073" s="4" t="s">
        <v>2122</v>
      </c>
      <c r="C1073" s="4" t="s">
        <v>269</v>
      </c>
      <c r="D1073" s="5">
        <v>164</v>
      </c>
      <c r="E1073" s="7">
        <f>TRUNC([1]일위대가목록!E187,0)</f>
        <v>1081</v>
      </c>
      <c r="F1073" s="7">
        <f t="shared" si="120"/>
        <v>177284</v>
      </c>
      <c r="G1073" s="7">
        <f>TRUNC([1]일위대가목록!F187,0)</f>
        <v>2052</v>
      </c>
      <c r="H1073" s="7">
        <f t="shared" si="121"/>
        <v>336528</v>
      </c>
      <c r="I1073" s="7">
        <f>TRUNC([1]일위대가목록!G187,0)</f>
        <v>0</v>
      </c>
      <c r="J1073" s="7">
        <f t="shared" si="122"/>
        <v>0</v>
      </c>
      <c r="K1073" s="7">
        <f t="shared" si="123"/>
        <v>3133</v>
      </c>
      <c r="L1073" s="7">
        <f t="shared" si="123"/>
        <v>513812</v>
      </c>
      <c r="M1073" s="4" t="s">
        <v>2123</v>
      </c>
      <c r="N1073" s="6" t="s">
        <v>2124</v>
      </c>
      <c r="O1073" s="6" t="s">
        <v>55</v>
      </c>
      <c r="P1073" s="6" t="s">
        <v>55</v>
      </c>
      <c r="Q1073" s="6" t="s">
        <v>2573</v>
      </c>
      <c r="R1073" s="6" t="s">
        <v>57</v>
      </c>
      <c r="S1073" s="6" t="s">
        <v>56</v>
      </c>
      <c r="T1073" s="6" t="s">
        <v>56</v>
      </c>
      <c r="AR1073" s="6" t="s">
        <v>55</v>
      </c>
      <c r="AS1073" s="6" t="s">
        <v>55</v>
      </c>
      <c r="AU1073" s="6" t="s">
        <v>2576</v>
      </c>
      <c r="AV1073">
        <v>631</v>
      </c>
    </row>
    <row r="1074" spans="1:48" ht="30" customHeight="1" x14ac:dyDescent="0.3">
      <c r="A1074" s="4" t="s">
        <v>2121</v>
      </c>
      <c r="B1074" s="4" t="s">
        <v>2126</v>
      </c>
      <c r="C1074" s="4" t="s">
        <v>269</v>
      </c>
      <c r="D1074" s="5">
        <v>29</v>
      </c>
      <c r="E1074" s="7">
        <f>TRUNC([1]일위대가목록!E188,0)</f>
        <v>1081</v>
      </c>
      <c r="F1074" s="7">
        <f t="shared" si="120"/>
        <v>31349</v>
      </c>
      <c r="G1074" s="7">
        <f>TRUNC([1]일위대가목록!F188,0)</f>
        <v>2052</v>
      </c>
      <c r="H1074" s="7">
        <f t="shared" si="121"/>
        <v>59508</v>
      </c>
      <c r="I1074" s="7">
        <f>TRUNC([1]일위대가목록!G188,0)</f>
        <v>0</v>
      </c>
      <c r="J1074" s="7">
        <f t="shared" si="122"/>
        <v>0</v>
      </c>
      <c r="K1074" s="7">
        <f t="shared" si="123"/>
        <v>3133</v>
      </c>
      <c r="L1074" s="7">
        <f t="shared" si="123"/>
        <v>90857</v>
      </c>
      <c r="M1074" s="4" t="s">
        <v>2127</v>
      </c>
      <c r="N1074" s="6" t="s">
        <v>2128</v>
      </c>
      <c r="O1074" s="6" t="s">
        <v>55</v>
      </c>
      <c r="P1074" s="6" t="s">
        <v>55</v>
      </c>
      <c r="Q1074" s="6" t="s">
        <v>2573</v>
      </c>
      <c r="R1074" s="6" t="s">
        <v>57</v>
      </c>
      <c r="S1074" s="6" t="s">
        <v>56</v>
      </c>
      <c r="T1074" s="6" t="s">
        <v>56</v>
      </c>
      <c r="AR1074" s="6" t="s">
        <v>55</v>
      </c>
      <c r="AS1074" s="6" t="s">
        <v>55</v>
      </c>
      <c r="AU1074" s="6" t="s">
        <v>2577</v>
      </c>
      <c r="AV1074">
        <v>632</v>
      </c>
    </row>
    <row r="1075" spans="1:48" ht="30" customHeight="1" x14ac:dyDescent="0.3">
      <c r="A1075" s="4" t="s">
        <v>2130</v>
      </c>
      <c r="B1075" s="4" t="s">
        <v>2139</v>
      </c>
      <c r="C1075" s="4" t="s">
        <v>61</v>
      </c>
      <c r="D1075" s="5">
        <v>721</v>
      </c>
      <c r="E1075" s="7">
        <f>TRUNC([1]일위대가목록!E191,0)</f>
        <v>1202</v>
      </c>
      <c r="F1075" s="7">
        <f t="shared" si="120"/>
        <v>866642</v>
      </c>
      <c r="G1075" s="7">
        <f>TRUNC([1]일위대가목록!F191,0)</f>
        <v>5260</v>
      </c>
      <c r="H1075" s="7">
        <f t="shared" si="121"/>
        <v>3792460</v>
      </c>
      <c r="I1075" s="7">
        <f>TRUNC([1]일위대가목록!G191,0)</f>
        <v>0</v>
      </c>
      <c r="J1075" s="7">
        <f t="shared" si="122"/>
        <v>0</v>
      </c>
      <c r="K1075" s="7">
        <f t="shared" si="123"/>
        <v>6462</v>
      </c>
      <c r="L1075" s="7">
        <f t="shared" si="123"/>
        <v>4659102</v>
      </c>
      <c r="M1075" s="4" t="s">
        <v>2140</v>
      </c>
      <c r="N1075" s="6" t="s">
        <v>2141</v>
      </c>
      <c r="O1075" s="6" t="s">
        <v>55</v>
      </c>
      <c r="P1075" s="6" t="s">
        <v>55</v>
      </c>
      <c r="Q1075" s="6" t="s">
        <v>2573</v>
      </c>
      <c r="R1075" s="6" t="s">
        <v>57</v>
      </c>
      <c r="S1075" s="6" t="s">
        <v>56</v>
      </c>
      <c r="T1075" s="6" t="s">
        <v>56</v>
      </c>
      <c r="AR1075" s="6" t="s">
        <v>55</v>
      </c>
      <c r="AS1075" s="6" t="s">
        <v>55</v>
      </c>
      <c r="AU1075" s="6" t="s">
        <v>2578</v>
      </c>
      <c r="AV1075">
        <v>633</v>
      </c>
    </row>
    <row r="1076" spans="1:48" ht="30" customHeight="1" x14ac:dyDescent="0.3">
      <c r="A1076" s="4" t="s">
        <v>2147</v>
      </c>
      <c r="B1076" s="4" t="s">
        <v>2148</v>
      </c>
      <c r="C1076" s="4" t="s">
        <v>61</v>
      </c>
      <c r="D1076" s="5">
        <v>159</v>
      </c>
      <c r="E1076" s="7">
        <f>TRUNC([1]일위대가목록!E193,0)</f>
        <v>1373</v>
      </c>
      <c r="F1076" s="7">
        <f t="shared" si="120"/>
        <v>218307</v>
      </c>
      <c r="G1076" s="7">
        <f>TRUNC([1]일위대가목록!F193,0)</f>
        <v>13609</v>
      </c>
      <c r="H1076" s="7">
        <f t="shared" si="121"/>
        <v>2163831</v>
      </c>
      <c r="I1076" s="7">
        <f>TRUNC([1]일위대가목록!G193,0)</f>
        <v>0</v>
      </c>
      <c r="J1076" s="7">
        <f t="shared" si="122"/>
        <v>0</v>
      </c>
      <c r="K1076" s="7">
        <f t="shared" si="123"/>
        <v>14982</v>
      </c>
      <c r="L1076" s="7">
        <f t="shared" si="123"/>
        <v>2382138</v>
      </c>
      <c r="M1076" s="4" t="s">
        <v>2149</v>
      </c>
      <c r="N1076" s="6" t="s">
        <v>2150</v>
      </c>
      <c r="O1076" s="6" t="s">
        <v>55</v>
      </c>
      <c r="P1076" s="6" t="s">
        <v>55</v>
      </c>
      <c r="Q1076" s="6" t="s">
        <v>2573</v>
      </c>
      <c r="R1076" s="6" t="s">
        <v>57</v>
      </c>
      <c r="S1076" s="6" t="s">
        <v>56</v>
      </c>
      <c r="T1076" s="6" t="s">
        <v>56</v>
      </c>
      <c r="AR1076" s="6" t="s">
        <v>55</v>
      </c>
      <c r="AS1076" s="6" t="s">
        <v>55</v>
      </c>
      <c r="AU1076" s="6" t="s">
        <v>2579</v>
      </c>
      <c r="AV1076">
        <v>634</v>
      </c>
    </row>
    <row r="1077" spans="1:48" ht="30" customHeight="1" x14ac:dyDescent="0.3">
      <c r="A1077" s="4" t="s">
        <v>2580</v>
      </c>
      <c r="B1077" s="4" t="s">
        <v>2581</v>
      </c>
      <c r="C1077" s="4" t="s">
        <v>61</v>
      </c>
      <c r="D1077" s="5">
        <v>252</v>
      </c>
      <c r="E1077" s="7">
        <f>TRUNC([1]일위대가목록!E212,0)</f>
        <v>14010</v>
      </c>
      <c r="F1077" s="7">
        <f t="shared" si="120"/>
        <v>3530520</v>
      </c>
      <c r="G1077" s="7">
        <f>TRUNC([1]일위대가목록!F212,0)</f>
        <v>10124</v>
      </c>
      <c r="H1077" s="7">
        <f t="shared" si="121"/>
        <v>2551248</v>
      </c>
      <c r="I1077" s="7">
        <f>TRUNC([1]일위대가목록!G212,0)</f>
        <v>0</v>
      </c>
      <c r="J1077" s="7">
        <f t="shared" si="122"/>
        <v>0</v>
      </c>
      <c r="K1077" s="7">
        <f t="shared" si="123"/>
        <v>24134</v>
      </c>
      <c r="L1077" s="7">
        <f t="shared" si="123"/>
        <v>6081768</v>
      </c>
      <c r="M1077" s="4" t="s">
        <v>2582</v>
      </c>
      <c r="N1077" s="6" t="s">
        <v>2583</v>
      </c>
      <c r="O1077" s="6" t="s">
        <v>55</v>
      </c>
      <c r="P1077" s="6" t="s">
        <v>55</v>
      </c>
      <c r="Q1077" s="6" t="s">
        <v>2573</v>
      </c>
      <c r="R1077" s="6" t="s">
        <v>57</v>
      </c>
      <c r="S1077" s="6" t="s">
        <v>56</v>
      </c>
      <c r="T1077" s="6" t="s">
        <v>56</v>
      </c>
      <c r="AR1077" s="6" t="s">
        <v>55</v>
      </c>
      <c r="AS1077" s="6" t="s">
        <v>55</v>
      </c>
      <c r="AU1077" s="6" t="s">
        <v>2584</v>
      </c>
      <c r="AV1077">
        <v>636</v>
      </c>
    </row>
    <row r="1078" spans="1:48" ht="30" customHeight="1" x14ac:dyDescent="0.3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</row>
    <row r="1079" spans="1:48" ht="30" customHeight="1" x14ac:dyDescent="0.3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</row>
    <row r="1080" spans="1:48" ht="30" customHeight="1" x14ac:dyDescent="0.3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</row>
    <row r="1081" spans="1:48" ht="30" customHeight="1" x14ac:dyDescent="0.3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</row>
    <row r="1082" spans="1:48" ht="30" customHeight="1" x14ac:dyDescent="0.3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</row>
    <row r="1083" spans="1:48" ht="30" customHeight="1" x14ac:dyDescent="0.3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</row>
    <row r="1084" spans="1:48" ht="30" customHeight="1" x14ac:dyDescent="0.3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</row>
    <row r="1085" spans="1:48" ht="30" customHeight="1" x14ac:dyDescent="0.3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</row>
    <row r="1086" spans="1:48" ht="30" customHeight="1" x14ac:dyDescent="0.3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</row>
    <row r="1087" spans="1:48" ht="30" customHeight="1" x14ac:dyDescent="0.3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</row>
    <row r="1088" spans="1:48" ht="30" customHeight="1" x14ac:dyDescent="0.3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</row>
    <row r="1089" spans="1:48" ht="30" customHeight="1" x14ac:dyDescent="0.3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</row>
    <row r="1090" spans="1:48" ht="30" customHeight="1" x14ac:dyDescent="0.3">
      <c r="A1090" s="4" t="s">
        <v>128</v>
      </c>
      <c r="B1090" s="5"/>
      <c r="C1090" s="5"/>
      <c r="D1090" s="5"/>
      <c r="E1090" s="5"/>
      <c r="F1090" s="7">
        <f>SUM(F1071:F1089)</f>
        <v>4988068</v>
      </c>
      <c r="G1090" s="5"/>
      <c r="H1090" s="7">
        <f>SUM(H1071:H1089)</f>
        <v>9128151</v>
      </c>
      <c r="I1090" s="5"/>
      <c r="J1090" s="7">
        <f>SUM(J1071:J1089)</f>
        <v>20706</v>
      </c>
      <c r="K1090" s="5"/>
      <c r="L1090" s="7">
        <f>SUM(L1071:L1089)</f>
        <v>14136925</v>
      </c>
      <c r="M1090" s="5"/>
      <c r="N1090" t="s">
        <v>129</v>
      </c>
    </row>
    <row r="1091" spans="1:48" ht="30" customHeight="1" x14ac:dyDescent="0.3">
      <c r="A1091" s="4" t="s">
        <v>2585</v>
      </c>
      <c r="B1091" s="4" t="s">
        <v>2291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Q1091" s="6" t="s">
        <v>2586</v>
      </c>
    </row>
    <row r="1092" spans="1:48" ht="30" customHeight="1" x14ac:dyDescent="0.3">
      <c r="A1092" s="4" t="s">
        <v>2173</v>
      </c>
      <c r="B1092" s="4" t="s">
        <v>2174</v>
      </c>
      <c r="C1092" s="4" t="s">
        <v>223</v>
      </c>
      <c r="D1092" s="5">
        <v>109</v>
      </c>
      <c r="E1092" s="7">
        <f>TRUNC([1]단가대비표!O20,0)</f>
        <v>29000</v>
      </c>
      <c r="F1092" s="7">
        <f>TRUNC(E1092*D1092, 0)</f>
        <v>3161000</v>
      </c>
      <c r="G1092" s="7">
        <f>TRUNC([1]단가대비표!P20,0)</f>
        <v>0</v>
      </c>
      <c r="H1092" s="7">
        <f>TRUNC(G1092*D1092, 0)</f>
        <v>0</v>
      </c>
      <c r="I1092" s="7">
        <f>TRUNC([1]단가대비표!V20,0)</f>
        <v>0</v>
      </c>
      <c r="J1092" s="7">
        <f>TRUNC(I1092*D1092, 0)</f>
        <v>0</v>
      </c>
      <c r="K1092" s="7">
        <f>TRUNC(E1092+G1092+I1092, 0)</f>
        <v>29000</v>
      </c>
      <c r="L1092" s="7">
        <f>TRUNC(F1092+H1092+J1092, 0)</f>
        <v>3161000</v>
      </c>
      <c r="M1092" s="4" t="s">
        <v>55</v>
      </c>
      <c r="N1092" s="6" t="s">
        <v>2175</v>
      </c>
      <c r="O1092" s="6" t="s">
        <v>55</v>
      </c>
      <c r="P1092" s="6" t="s">
        <v>55</v>
      </c>
      <c r="Q1092" s="6" t="s">
        <v>2586</v>
      </c>
      <c r="R1092" s="6" t="s">
        <v>56</v>
      </c>
      <c r="S1092" s="6" t="s">
        <v>56</v>
      </c>
      <c r="T1092" s="6" t="s">
        <v>57</v>
      </c>
      <c r="AR1092" s="6" t="s">
        <v>55</v>
      </c>
      <c r="AS1092" s="6" t="s">
        <v>55</v>
      </c>
      <c r="AU1092" s="6" t="s">
        <v>2587</v>
      </c>
      <c r="AV1092">
        <v>2427</v>
      </c>
    </row>
    <row r="1093" spans="1:48" ht="30" customHeight="1" x14ac:dyDescent="0.3">
      <c r="A1093" s="4" t="s">
        <v>2177</v>
      </c>
      <c r="B1093" s="4" t="s">
        <v>2178</v>
      </c>
      <c r="C1093" s="4" t="s">
        <v>856</v>
      </c>
      <c r="D1093" s="5">
        <v>1230</v>
      </c>
      <c r="E1093" s="7">
        <f>TRUNC([1]단가대비표!O787,0)</f>
        <v>0</v>
      </c>
      <c r="F1093" s="7">
        <f>TRUNC(E1093*D1093, 0)</f>
        <v>0</v>
      </c>
      <c r="G1093" s="7">
        <f>TRUNC([1]단가대비표!P787,0)</f>
        <v>0</v>
      </c>
      <c r="H1093" s="7">
        <f>TRUNC(G1093*D1093, 0)</f>
        <v>0</v>
      </c>
      <c r="I1093" s="7">
        <f>TRUNC([1]단가대비표!V787,0)</f>
        <v>0</v>
      </c>
      <c r="J1093" s="7">
        <f>TRUNC(I1093*D1093, 0)</f>
        <v>0</v>
      </c>
      <c r="K1093" s="7">
        <f>TRUNC(E1093+G1093+I1093, 0)</f>
        <v>0</v>
      </c>
      <c r="L1093" s="7">
        <f>TRUNC(F1093+H1093+J1093, 0)</f>
        <v>0</v>
      </c>
      <c r="M1093" s="4" t="s">
        <v>55</v>
      </c>
      <c r="N1093" s="6" t="s">
        <v>2588</v>
      </c>
      <c r="O1093" s="6" t="s">
        <v>55</v>
      </c>
      <c r="P1093" s="6" t="s">
        <v>55</v>
      </c>
      <c r="Q1093" s="6" t="s">
        <v>2586</v>
      </c>
      <c r="R1093" s="6" t="s">
        <v>56</v>
      </c>
      <c r="S1093" s="6" t="s">
        <v>56</v>
      </c>
      <c r="T1093" s="6" t="s">
        <v>57</v>
      </c>
      <c r="AR1093" s="6" t="s">
        <v>55</v>
      </c>
      <c r="AS1093" s="6" t="s">
        <v>55</v>
      </c>
      <c r="AU1093" s="6" t="s">
        <v>2589</v>
      </c>
      <c r="AV1093">
        <v>2890</v>
      </c>
    </row>
    <row r="1094" spans="1:48" ht="30" customHeight="1" x14ac:dyDescent="0.3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</row>
    <row r="1095" spans="1:48" ht="30" customHeight="1" x14ac:dyDescent="0.3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</row>
    <row r="1096" spans="1:48" ht="30" customHeight="1" x14ac:dyDescent="0.3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</row>
    <row r="1097" spans="1:48" ht="30" customHeight="1" x14ac:dyDescent="0.3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</row>
    <row r="1098" spans="1:48" ht="30" customHeight="1" x14ac:dyDescent="0.3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</row>
    <row r="1099" spans="1:48" ht="30" customHeight="1" x14ac:dyDescent="0.3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</row>
    <row r="1100" spans="1:48" ht="30" customHeight="1" x14ac:dyDescent="0.3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</row>
    <row r="1101" spans="1:48" ht="30" customHeight="1" x14ac:dyDescent="0.3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</row>
    <row r="1102" spans="1:48" ht="30" customHeight="1" x14ac:dyDescent="0.3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</row>
    <row r="1103" spans="1:48" ht="30" customHeight="1" x14ac:dyDescent="0.3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</row>
    <row r="1104" spans="1:48" ht="30" customHeight="1" x14ac:dyDescent="0.3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</row>
    <row r="1105" spans="1:48" ht="30" customHeight="1" x14ac:dyDescent="0.3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</row>
    <row r="1106" spans="1:48" ht="30" customHeight="1" x14ac:dyDescent="0.3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</row>
    <row r="1107" spans="1:48" ht="30" customHeight="1" x14ac:dyDescent="0.3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</row>
    <row r="1108" spans="1:48" ht="30" customHeight="1" x14ac:dyDescent="0.3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</row>
    <row r="1109" spans="1:48" ht="30" customHeight="1" x14ac:dyDescent="0.3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</row>
    <row r="1110" spans="1:48" ht="30" customHeight="1" x14ac:dyDescent="0.3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</row>
    <row r="1111" spans="1:48" ht="30" customHeight="1" x14ac:dyDescent="0.3">
      <c r="A1111" s="4" t="s">
        <v>128</v>
      </c>
      <c r="B1111" s="5"/>
      <c r="C1111" s="5"/>
      <c r="D1111" s="5"/>
      <c r="E1111" s="5"/>
      <c r="F1111" s="7">
        <f>SUM(F1092:F1110)</f>
        <v>3161000</v>
      </c>
      <c r="G1111" s="5"/>
      <c r="H1111" s="7">
        <f>SUM(H1092:H1110)</f>
        <v>0</v>
      </c>
      <c r="I1111" s="5"/>
      <c r="J1111" s="7">
        <f>SUM(J1092:J1110)</f>
        <v>0</v>
      </c>
      <c r="K1111" s="5"/>
      <c r="L1111" s="7">
        <f>SUM(L1092:L1110)</f>
        <v>3161000</v>
      </c>
      <c r="M1111" s="5"/>
      <c r="N1111" t="s">
        <v>129</v>
      </c>
    </row>
    <row r="1112" spans="1:48" ht="30" customHeight="1" x14ac:dyDescent="0.3">
      <c r="A1112" s="4" t="s">
        <v>2590</v>
      </c>
      <c r="B1112" s="4" t="s">
        <v>2291</v>
      </c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Q1112" s="6" t="s">
        <v>2591</v>
      </c>
    </row>
    <row r="1113" spans="1:48" ht="30" customHeight="1" x14ac:dyDescent="0.3">
      <c r="A1113" s="4" t="s">
        <v>2183</v>
      </c>
      <c r="B1113" s="4" t="s">
        <v>2184</v>
      </c>
      <c r="C1113" s="4" t="s">
        <v>856</v>
      </c>
      <c r="D1113" s="5">
        <v>1230</v>
      </c>
      <c r="E1113" s="7">
        <f>TRUNC([1]중기단가목록!E4,0)</f>
        <v>0</v>
      </c>
      <c r="F1113" s="7">
        <f>TRUNC(E1113*D1113, 0)</f>
        <v>0</v>
      </c>
      <c r="G1113" s="7">
        <f>TRUNC([1]중기단가목록!F4,0)</f>
        <v>0</v>
      </c>
      <c r="H1113" s="7">
        <f>TRUNC(G1113*D1113, 0)</f>
        <v>0</v>
      </c>
      <c r="I1113" s="7">
        <f>TRUNC([1]중기단가목록!G4,0)</f>
        <v>1556</v>
      </c>
      <c r="J1113" s="7">
        <f>TRUNC(I1113*D1113, 0)</f>
        <v>1913880</v>
      </c>
      <c r="K1113" s="7">
        <f t="shared" ref="K1113:L1116" si="124">TRUNC(E1113+G1113+I1113, 0)</f>
        <v>1556</v>
      </c>
      <c r="L1113" s="7">
        <f t="shared" si="124"/>
        <v>1913880</v>
      </c>
      <c r="M1113" s="4" t="s">
        <v>2185</v>
      </c>
      <c r="N1113" s="6" t="s">
        <v>2186</v>
      </c>
      <c r="O1113" s="6" t="s">
        <v>55</v>
      </c>
      <c r="P1113" s="6" t="s">
        <v>55</v>
      </c>
      <c r="Q1113" s="6" t="s">
        <v>2591</v>
      </c>
      <c r="R1113" s="6" t="s">
        <v>56</v>
      </c>
      <c r="S1113" s="6" t="s">
        <v>57</v>
      </c>
      <c r="T1113" s="6" t="s">
        <v>56</v>
      </c>
      <c r="AR1113" s="6" t="s">
        <v>55</v>
      </c>
      <c r="AS1113" s="6" t="s">
        <v>55</v>
      </c>
      <c r="AU1113" s="6" t="s">
        <v>2592</v>
      </c>
      <c r="AV1113">
        <v>2429</v>
      </c>
    </row>
    <row r="1114" spans="1:48" ht="30" customHeight="1" x14ac:dyDescent="0.3">
      <c r="A1114" s="4" t="s">
        <v>2188</v>
      </c>
      <c r="B1114" s="4" t="s">
        <v>2189</v>
      </c>
      <c r="C1114" s="4" t="s">
        <v>106</v>
      </c>
      <c r="D1114" s="5">
        <v>113</v>
      </c>
      <c r="E1114" s="7">
        <f>TRUNC([1]중기단가목록!E5,0)</f>
        <v>0</v>
      </c>
      <c r="F1114" s="7">
        <f>TRUNC(E1114*D1114, 0)</f>
        <v>0</v>
      </c>
      <c r="G1114" s="7">
        <f>TRUNC([1]중기단가목록!F5,0)</f>
        <v>0</v>
      </c>
      <c r="H1114" s="7">
        <f>TRUNC(G1114*D1114, 0)</f>
        <v>0</v>
      </c>
      <c r="I1114" s="7">
        <f>TRUNC([1]중기단가목록!G5,0)</f>
        <v>12020</v>
      </c>
      <c r="J1114" s="7">
        <f>TRUNC(I1114*D1114, 0)</f>
        <v>1358260</v>
      </c>
      <c r="K1114" s="7">
        <f t="shared" si="124"/>
        <v>12020</v>
      </c>
      <c r="L1114" s="7">
        <f t="shared" si="124"/>
        <v>1358260</v>
      </c>
      <c r="M1114" s="4" t="s">
        <v>2190</v>
      </c>
      <c r="N1114" s="6" t="s">
        <v>2191</v>
      </c>
      <c r="O1114" s="6" t="s">
        <v>55</v>
      </c>
      <c r="P1114" s="6" t="s">
        <v>55</v>
      </c>
      <c r="Q1114" s="6" t="s">
        <v>2591</v>
      </c>
      <c r="R1114" s="6" t="s">
        <v>56</v>
      </c>
      <c r="S1114" s="6" t="s">
        <v>57</v>
      </c>
      <c r="T1114" s="6" t="s">
        <v>56</v>
      </c>
      <c r="AR1114" s="6" t="s">
        <v>55</v>
      </c>
      <c r="AS1114" s="6" t="s">
        <v>55</v>
      </c>
      <c r="AU1114" s="6" t="s">
        <v>2593</v>
      </c>
      <c r="AV1114">
        <v>2430</v>
      </c>
    </row>
    <row r="1115" spans="1:48" ht="30" customHeight="1" x14ac:dyDescent="0.3">
      <c r="A1115" s="4" t="s">
        <v>2193</v>
      </c>
      <c r="B1115" s="4" t="s">
        <v>2189</v>
      </c>
      <c r="C1115" s="4" t="s">
        <v>106</v>
      </c>
      <c r="D1115" s="5">
        <v>108.71</v>
      </c>
      <c r="E1115" s="7">
        <f>TRUNC([1]중기단가목록!E6,0)</f>
        <v>0</v>
      </c>
      <c r="F1115" s="7">
        <f>TRUNC(E1115*D1115, 0)</f>
        <v>0</v>
      </c>
      <c r="G1115" s="7">
        <f>TRUNC([1]중기단가목록!F6,0)</f>
        <v>0</v>
      </c>
      <c r="H1115" s="7">
        <f>TRUNC(G1115*D1115, 0)</f>
        <v>0</v>
      </c>
      <c r="I1115" s="7">
        <f>TRUNC([1]중기단가목록!G6,0)</f>
        <v>12020</v>
      </c>
      <c r="J1115" s="7">
        <f>TRUNC(I1115*D1115, 0)</f>
        <v>1306694</v>
      </c>
      <c r="K1115" s="7">
        <f t="shared" si="124"/>
        <v>12020</v>
      </c>
      <c r="L1115" s="7">
        <f t="shared" si="124"/>
        <v>1306694</v>
      </c>
      <c r="M1115" s="4" t="s">
        <v>2194</v>
      </c>
      <c r="N1115" s="6" t="s">
        <v>2195</v>
      </c>
      <c r="O1115" s="6" t="s">
        <v>55</v>
      </c>
      <c r="P1115" s="6" t="s">
        <v>55</v>
      </c>
      <c r="Q1115" s="6" t="s">
        <v>2591</v>
      </c>
      <c r="R1115" s="6" t="s">
        <v>56</v>
      </c>
      <c r="S1115" s="6" t="s">
        <v>57</v>
      </c>
      <c r="T1115" s="6" t="s">
        <v>56</v>
      </c>
      <c r="AR1115" s="6" t="s">
        <v>55</v>
      </c>
      <c r="AS1115" s="6" t="s">
        <v>55</v>
      </c>
      <c r="AU1115" s="6" t="s">
        <v>2594</v>
      </c>
      <c r="AV1115">
        <v>3098</v>
      </c>
    </row>
    <row r="1116" spans="1:48" ht="30" customHeight="1" x14ac:dyDescent="0.3">
      <c r="A1116" s="4" t="s">
        <v>2202</v>
      </c>
      <c r="B1116" s="4" t="s">
        <v>2203</v>
      </c>
      <c r="C1116" s="4" t="s">
        <v>2204</v>
      </c>
      <c r="D1116" s="5">
        <v>29</v>
      </c>
      <c r="E1116" s="7">
        <f>TRUNC([1]중기단가목록!E8,0)</f>
        <v>0</v>
      </c>
      <c r="F1116" s="7">
        <f>TRUNC(E1116*D1116, 0)</f>
        <v>0</v>
      </c>
      <c r="G1116" s="7">
        <f>TRUNC([1]중기단가목록!F8,0)</f>
        <v>0</v>
      </c>
      <c r="H1116" s="7">
        <f>TRUNC(G1116*D1116, 0)</f>
        <v>0</v>
      </c>
      <c r="I1116" s="7">
        <f>TRUNC([1]중기단가목록!G8,0)</f>
        <v>20318</v>
      </c>
      <c r="J1116" s="7">
        <f>TRUNC(I1116*D1116, 0)</f>
        <v>589222</v>
      </c>
      <c r="K1116" s="7">
        <f t="shared" si="124"/>
        <v>20318</v>
      </c>
      <c r="L1116" s="7">
        <f t="shared" si="124"/>
        <v>589222</v>
      </c>
      <c r="M1116" s="4" t="s">
        <v>2205</v>
      </c>
      <c r="N1116" s="6" t="s">
        <v>2206</v>
      </c>
      <c r="O1116" s="6" t="s">
        <v>55</v>
      </c>
      <c r="P1116" s="6" t="s">
        <v>55</v>
      </c>
      <c r="Q1116" s="6" t="s">
        <v>2591</v>
      </c>
      <c r="R1116" s="6" t="s">
        <v>56</v>
      </c>
      <c r="S1116" s="6" t="s">
        <v>57</v>
      </c>
      <c r="T1116" s="6" t="s">
        <v>56</v>
      </c>
      <c r="AR1116" s="6" t="s">
        <v>55</v>
      </c>
      <c r="AS1116" s="6" t="s">
        <v>55</v>
      </c>
      <c r="AU1116" s="6" t="s">
        <v>2595</v>
      </c>
      <c r="AV1116">
        <v>2432</v>
      </c>
    </row>
    <row r="1117" spans="1:48" ht="30" customHeight="1" x14ac:dyDescent="0.3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</row>
    <row r="1118" spans="1:48" ht="30" customHeight="1" x14ac:dyDescent="0.3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</row>
    <row r="1119" spans="1:48" ht="30" customHeight="1" x14ac:dyDescent="0.3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</row>
    <row r="1120" spans="1:48" ht="30" customHeight="1" x14ac:dyDescent="0.3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</row>
    <row r="1121" spans="1:48" ht="30" customHeight="1" x14ac:dyDescent="0.3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</row>
    <row r="1122" spans="1:48" ht="30" customHeight="1" x14ac:dyDescent="0.3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</row>
    <row r="1123" spans="1:48" ht="30" customHeight="1" x14ac:dyDescent="0.3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</row>
    <row r="1124" spans="1:48" ht="30" customHeight="1" x14ac:dyDescent="0.3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</row>
    <row r="1125" spans="1:48" ht="30" customHeight="1" x14ac:dyDescent="0.3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</row>
    <row r="1126" spans="1:48" ht="30" customHeight="1" x14ac:dyDescent="0.3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</row>
    <row r="1127" spans="1:48" ht="30" customHeight="1" x14ac:dyDescent="0.3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</row>
    <row r="1128" spans="1:48" ht="30" customHeight="1" x14ac:dyDescent="0.3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</row>
    <row r="1129" spans="1:48" ht="30" customHeight="1" x14ac:dyDescent="0.3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</row>
    <row r="1130" spans="1:48" ht="30" customHeight="1" x14ac:dyDescent="0.3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</row>
    <row r="1131" spans="1:48" ht="30" customHeight="1" x14ac:dyDescent="0.3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</row>
    <row r="1132" spans="1:48" ht="30" customHeight="1" x14ac:dyDescent="0.3">
      <c r="A1132" s="4" t="s">
        <v>128</v>
      </c>
      <c r="B1132" s="5"/>
      <c r="C1132" s="5"/>
      <c r="D1132" s="5"/>
      <c r="E1132" s="5"/>
      <c r="F1132" s="7">
        <f>SUM(F1113:F1131)</f>
        <v>0</v>
      </c>
      <c r="G1132" s="5"/>
      <c r="H1132" s="7">
        <f>SUM(H1113:H1131)</f>
        <v>0</v>
      </c>
      <c r="I1132" s="5"/>
      <c r="J1132" s="7">
        <f>SUM(J1113:J1131)</f>
        <v>5168056</v>
      </c>
      <c r="K1132" s="5"/>
      <c r="L1132" s="7">
        <f>SUM(L1113:L1131)</f>
        <v>5168056</v>
      </c>
      <c r="M1132" s="5"/>
      <c r="N1132" t="s">
        <v>129</v>
      </c>
    </row>
    <row r="1133" spans="1:48" ht="30" customHeight="1" x14ac:dyDescent="0.3">
      <c r="A1133" s="4" t="s">
        <v>2596</v>
      </c>
      <c r="B1133" s="4" t="s">
        <v>2291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Q1133" s="6" t="s">
        <v>2597</v>
      </c>
    </row>
    <row r="1134" spans="1:48" ht="30" customHeight="1" x14ac:dyDescent="0.3">
      <c r="A1134" s="4" t="s">
        <v>2210</v>
      </c>
      <c r="B1134" s="4" t="s">
        <v>2211</v>
      </c>
      <c r="C1134" s="4" t="s">
        <v>106</v>
      </c>
      <c r="D1134" s="5">
        <v>-2.7309999999999999</v>
      </c>
      <c r="E1134" s="7">
        <f>TRUNC([1]단가대비표!O25,0)</f>
        <v>385000</v>
      </c>
      <c r="F1134" s="7">
        <f>TRUNC(E1134*D1134, 0)</f>
        <v>-1051435</v>
      </c>
      <c r="G1134" s="7">
        <f>TRUNC([1]단가대비표!P25,0)</f>
        <v>0</v>
      </c>
      <c r="H1134" s="7">
        <f>TRUNC(G1134*D1134, 0)</f>
        <v>0</v>
      </c>
      <c r="I1134" s="7">
        <f>TRUNC([1]단가대비표!V25,0)</f>
        <v>0</v>
      </c>
      <c r="J1134" s="7">
        <f>TRUNC(I1134*D1134, 0)</f>
        <v>0</v>
      </c>
      <c r="K1134" s="7">
        <f>TRUNC(E1134+G1134+I1134, 0)</f>
        <v>385000</v>
      </c>
      <c r="L1134" s="7">
        <f>TRUNC(F1134+H1134+J1134, 0)</f>
        <v>-1051435</v>
      </c>
      <c r="M1134" s="4" t="s">
        <v>2212</v>
      </c>
      <c r="N1134" s="6" t="s">
        <v>2213</v>
      </c>
      <c r="O1134" s="6" t="s">
        <v>55</v>
      </c>
      <c r="P1134" s="6" t="s">
        <v>55</v>
      </c>
      <c r="Q1134" s="6" t="s">
        <v>2597</v>
      </c>
      <c r="R1134" s="6" t="s">
        <v>56</v>
      </c>
      <c r="S1134" s="6" t="s">
        <v>56</v>
      </c>
      <c r="T1134" s="6" t="s">
        <v>57</v>
      </c>
      <c r="AR1134" s="6" t="s">
        <v>55</v>
      </c>
      <c r="AS1134" s="6" t="s">
        <v>55</v>
      </c>
      <c r="AU1134" s="6" t="s">
        <v>2598</v>
      </c>
      <c r="AV1134">
        <v>2433</v>
      </c>
    </row>
    <row r="1135" spans="1:48" ht="30" customHeight="1" x14ac:dyDescent="0.3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</row>
    <row r="1136" spans="1:48" ht="30" customHeight="1" x14ac:dyDescent="0.3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</row>
    <row r="1137" spans="1:13" ht="30" customHeight="1" x14ac:dyDescent="0.3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</row>
    <row r="1138" spans="1:13" ht="30" customHeight="1" x14ac:dyDescent="0.3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</row>
    <row r="1139" spans="1:13" ht="30" customHeight="1" x14ac:dyDescent="0.3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</row>
    <row r="1140" spans="1:13" ht="30" customHeight="1" x14ac:dyDescent="0.3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</row>
    <row r="1141" spans="1:13" ht="30" customHeight="1" x14ac:dyDescent="0.3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</row>
    <row r="1142" spans="1:13" ht="30" customHeight="1" x14ac:dyDescent="0.3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</row>
    <row r="1143" spans="1:13" ht="30" customHeight="1" x14ac:dyDescent="0.3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</row>
    <row r="1144" spans="1:13" ht="30" customHeight="1" x14ac:dyDescent="0.3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</row>
    <row r="1145" spans="1:13" ht="30" customHeight="1" x14ac:dyDescent="0.3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</row>
    <row r="1146" spans="1:13" ht="30" customHeight="1" x14ac:dyDescent="0.3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</row>
    <row r="1147" spans="1:13" ht="30" customHeight="1" x14ac:dyDescent="0.3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</row>
    <row r="1148" spans="1:13" ht="30" customHeight="1" x14ac:dyDescent="0.3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</row>
    <row r="1149" spans="1:13" ht="30" customHeight="1" x14ac:dyDescent="0.3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</row>
    <row r="1150" spans="1:13" ht="30" customHeight="1" x14ac:dyDescent="0.3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</row>
    <row r="1151" spans="1:13" ht="30" customHeight="1" x14ac:dyDescent="0.3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</row>
    <row r="1152" spans="1:13" ht="30" customHeight="1" x14ac:dyDescent="0.3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</row>
    <row r="1153" spans="1:48" ht="30" customHeight="1" x14ac:dyDescent="0.3">
      <c r="A1153" s="4" t="s">
        <v>128</v>
      </c>
      <c r="B1153" s="5"/>
      <c r="C1153" s="5"/>
      <c r="D1153" s="5"/>
      <c r="E1153" s="5"/>
      <c r="F1153" s="7">
        <f>SUM(F1134:F1152)</f>
        <v>-1051435</v>
      </c>
      <c r="G1153" s="5"/>
      <c r="H1153" s="7">
        <f>SUM(H1134:H1152)</f>
        <v>0</v>
      </c>
      <c r="I1153" s="5"/>
      <c r="J1153" s="7">
        <f>SUM(J1134:J1152)</f>
        <v>0</v>
      </c>
      <c r="K1153" s="5"/>
      <c r="L1153" s="7">
        <f>SUM(L1134:L1152)</f>
        <v>-1051435</v>
      </c>
      <c r="M1153" s="5"/>
      <c r="N1153" t="s">
        <v>129</v>
      </c>
    </row>
    <row r="1154" spans="1:48" ht="30" customHeight="1" x14ac:dyDescent="0.3">
      <c r="A1154" s="4" t="s">
        <v>2599</v>
      </c>
      <c r="B1154" s="4" t="s">
        <v>2600</v>
      </c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Q1154" s="6" t="s">
        <v>2601</v>
      </c>
    </row>
    <row r="1155" spans="1:48" ht="30" customHeight="1" x14ac:dyDescent="0.3">
      <c r="A1155" s="4" t="s">
        <v>2232</v>
      </c>
      <c r="B1155" s="4" t="s">
        <v>191</v>
      </c>
      <c r="C1155" s="4" t="s">
        <v>106</v>
      </c>
      <c r="D1155" s="5">
        <v>11.542</v>
      </c>
      <c r="E1155" s="7">
        <f>TRUNC([1]단가대비표!O43,0)</f>
        <v>1013920</v>
      </c>
      <c r="F1155" s="7">
        <f t="shared" ref="F1155:F1174" si="125">TRUNC(E1155*D1155, 0)</f>
        <v>11702664</v>
      </c>
      <c r="G1155" s="7">
        <f>TRUNC([1]단가대비표!P43,0)</f>
        <v>0</v>
      </c>
      <c r="H1155" s="7">
        <f t="shared" ref="H1155:H1174" si="126">TRUNC(G1155*D1155, 0)</f>
        <v>0</v>
      </c>
      <c r="I1155" s="7">
        <f>TRUNC([1]단가대비표!V43,0)</f>
        <v>0</v>
      </c>
      <c r="J1155" s="7">
        <f t="shared" ref="J1155:J1174" si="127">TRUNC(I1155*D1155, 0)</f>
        <v>0</v>
      </c>
      <c r="K1155" s="7">
        <f t="shared" ref="K1155:L1174" si="128">TRUNC(E1155+G1155+I1155, 0)</f>
        <v>1013920</v>
      </c>
      <c r="L1155" s="7">
        <f t="shared" si="128"/>
        <v>11702664</v>
      </c>
      <c r="M1155" s="4" t="s">
        <v>55</v>
      </c>
      <c r="N1155" s="6" t="s">
        <v>2233</v>
      </c>
      <c r="O1155" s="6" t="s">
        <v>55</v>
      </c>
      <c r="P1155" s="6" t="s">
        <v>55</v>
      </c>
      <c r="Q1155" s="6" t="s">
        <v>2601</v>
      </c>
      <c r="R1155" s="6" t="s">
        <v>56</v>
      </c>
      <c r="S1155" s="6" t="s">
        <v>56</v>
      </c>
      <c r="T1155" s="6" t="s">
        <v>57</v>
      </c>
      <c r="X1155">
        <v>1</v>
      </c>
      <c r="AR1155" s="6" t="s">
        <v>55</v>
      </c>
      <c r="AS1155" s="6" t="s">
        <v>55</v>
      </c>
      <c r="AU1155" s="6" t="s">
        <v>2602</v>
      </c>
      <c r="AV1155">
        <v>476</v>
      </c>
    </row>
    <row r="1156" spans="1:48" ht="30" customHeight="1" x14ac:dyDescent="0.3">
      <c r="A1156" s="4" t="s">
        <v>2232</v>
      </c>
      <c r="B1156" s="4" t="s">
        <v>194</v>
      </c>
      <c r="C1156" s="4" t="s">
        <v>106</v>
      </c>
      <c r="D1156" s="5">
        <v>17.103000000000002</v>
      </c>
      <c r="E1156" s="7">
        <f>TRUNC([1]단가대비표!O44,0)</f>
        <v>1008450</v>
      </c>
      <c r="F1156" s="7">
        <f t="shared" si="125"/>
        <v>17247520</v>
      </c>
      <c r="G1156" s="7">
        <f>TRUNC([1]단가대비표!P44,0)</f>
        <v>0</v>
      </c>
      <c r="H1156" s="7">
        <f t="shared" si="126"/>
        <v>0</v>
      </c>
      <c r="I1156" s="7">
        <f>TRUNC([1]단가대비표!V44,0)</f>
        <v>0</v>
      </c>
      <c r="J1156" s="7">
        <f t="shared" si="127"/>
        <v>0</v>
      </c>
      <c r="K1156" s="7">
        <f t="shared" si="128"/>
        <v>1008450</v>
      </c>
      <c r="L1156" s="7">
        <f t="shared" si="128"/>
        <v>17247520</v>
      </c>
      <c r="M1156" s="4" t="s">
        <v>55</v>
      </c>
      <c r="N1156" s="6" t="s">
        <v>2235</v>
      </c>
      <c r="O1156" s="6" t="s">
        <v>55</v>
      </c>
      <c r="P1156" s="6" t="s">
        <v>55</v>
      </c>
      <c r="Q1156" s="6" t="s">
        <v>2601</v>
      </c>
      <c r="R1156" s="6" t="s">
        <v>56</v>
      </c>
      <c r="S1156" s="6" t="s">
        <v>56</v>
      </c>
      <c r="T1156" s="6" t="s">
        <v>57</v>
      </c>
      <c r="X1156">
        <v>1</v>
      </c>
      <c r="AR1156" s="6" t="s">
        <v>55</v>
      </c>
      <c r="AS1156" s="6" t="s">
        <v>55</v>
      </c>
      <c r="AU1156" s="6" t="s">
        <v>2603</v>
      </c>
      <c r="AV1156">
        <v>477</v>
      </c>
    </row>
    <row r="1157" spans="1:48" ht="30" customHeight="1" x14ac:dyDescent="0.3">
      <c r="A1157" s="4" t="s">
        <v>2232</v>
      </c>
      <c r="B1157" s="4" t="s">
        <v>197</v>
      </c>
      <c r="C1157" s="4" t="s">
        <v>106</v>
      </c>
      <c r="D1157" s="5">
        <v>24.227</v>
      </c>
      <c r="E1157" s="7">
        <f>TRUNC([1]단가대비표!O45,0)</f>
        <v>1052230</v>
      </c>
      <c r="F1157" s="7">
        <f t="shared" si="125"/>
        <v>25492376</v>
      </c>
      <c r="G1157" s="7">
        <f>TRUNC([1]단가대비표!P45,0)</f>
        <v>0</v>
      </c>
      <c r="H1157" s="7">
        <f t="shared" si="126"/>
        <v>0</v>
      </c>
      <c r="I1157" s="7">
        <f>TRUNC([1]단가대비표!V45,0)</f>
        <v>0</v>
      </c>
      <c r="J1157" s="7">
        <f t="shared" si="127"/>
        <v>0</v>
      </c>
      <c r="K1157" s="7">
        <f t="shared" si="128"/>
        <v>1052230</v>
      </c>
      <c r="L1157" s="7">
        <f t="shared" si="128"/>
        <v>25492376</v>
      </c>
      <c r="M1157" s="4" t="s">
        <v>55</v>
      </c>
      <c r="N1157" s="6" t="s">
        <v>2237</v>
      </c>
      <c r="O1157" s="6" t="s">
        <v>55</v>
      </c>
      <c r="P1157" s="6" t="s">
        <v>55</v>
      </c>
      <c r="Q1157" s="6" t="s">
        <v>2601</v>
      </c>
      <c r="R1157" s="6" t="s">
        <v>56</v>
      </c>
      <c r="S1157" s="6" t="s">
        <v>56</v>
      </c>
      <c r="T1157" s="6" t="s">
        <v>57</v>
      </c>
      <c r="X1157">
        <v>1</v>
      </c>
      <c r="AR1157" s="6" t="s">
        <v>55</v>
      </c>
      <c r="AS1157" s="6" t="s">
        <v>55</v>
      </c>
      <c r="AU1157" s="6" t="s">
        <v>2604</v>
      </c>
      <c r="AV1157">
        <v>478</v>
      </c>
    </row>
    <row r="1158" spans="1:48" ht="30" customHeight="1" x14ac:dyDescent="0.3">
      <c r="A1158" s="4" t="s">
        <v>2232</v>
      </c>
      <c r="B1158" s="4" t="s">
        <v>200</v>
      </c>
      <c r="C1158" s="4" t="s">
        <v>106</v>
      </c>
      <c r="D1158" s="5">
        <v>27.887</v>
      </c>
      <c r="E1158" s="7">
        <f>TRUNC([1]단가대비표!O46,0)</f>
        <v>1052230</v>
      </c>
      <c r="F1158" s="7">
        <f t="shared" si="125"/>
        <v>29343538</v>
      </c>
      <c r="G1158" s="7">
        <f>TRUNC([1]단가대비표!P46,0)</f>
        <v>0</v>
      </c>
      <c r="H1158" s="7">
        <f t="shared" si="126"/>
        <v>0</v>
      </c>
      <c r="I1158" s="7">
        <f>TRUNC([1]단가대비표!V46,0)</f>
        <v>0</v>
      </c>
      <c r="J1158" s="7">
        <f t="shared" si="127"/>
        <v>0</v>
      </c>
      <c r="K1158" s="7">
        <f t="shared" si="128"/>
        <v>1052230</v>
      </c>
      <c r="L1158" s="7">
        <f t="shared" si="128"/>
        <v>29343538</v>
      </c>
      <c r="M1158" s="4" t="s">
        <v>55</v>
      </c>
      <c r="N1158" s="6" t="s">
        <v>2239</v>
      </c>
      <c r="O1158" s="6" t="s">
        <v>55</v>
      </c>
      <c r="P1158" s="6" t="s">
        <v>55</v>
      </c>
      <c r="Q1158" s="6" t="s">
        <v>2601</v>
      </c>
      <c r="R1158" s="6" t="s">
        <v>56</v>
      </c>
      <c r="S1158" s="6" t="s">
        <v>56</v>
      </c>
      <c r="T1158" s="6" t="s">
        <v>57</v>
      </c>
      <c r="X1158">
        <v>1</v>
      </c>
      <c r="AR1158" s="6" t="s">
        <v>55</v>
      </c>
      <c r="AS1158" s="6" t="s">
        <v>55</v>
      </c>
      <c r="AU1158" s="6" t="s">
        <v>2605</v>
      </c>
      <c r="AV1158">
        <v>479</v>
      </c>
    </row>
    <row r="1159" spans="1:48" ht="30" customHeight="1" x14ac:dyDescent="0.3">
      <c r="A1159" s="4" t="s">
        <v>2232</v>
      </c>
      <c r="B1159" s="4" t="s">
        <v>203</v>
      </c>
      <c r="C1159" s="4" t="s">
        <v>106</v>
      </c>
      <c r="D1159" s="5">
        <v>32.241</v>
      </c>
      <c r="E1159" s="7">
        <f>TRUNC([1]단가대비표!O47,0)</f>
        <v>1052230</v>
      </c>
      <c r="F1159" s="7">
        <f t="shared" si="125"/>
        <v>33924947</v>
      </c>
      <c r="G1159" s="7">
        <f>TRUNC([1]단가대비표!P47,0)</f>
        <v>0</v>
      </c>
      <c r="H1159" s="7">
        <f t="shared" si="126"/>
        <v>0</v>
      </c>
      <c r="I1159" s="7">
        <f>TRUNC([1]단가대비표!V47,0)</f>
        <v>0</v>
      </c>
      <c r="J1159" s="7">
        <f t="shared" si="127"/>
        <v>0</v>
      </c>
      <c r="K1159" s="7">
        <f t="shared" si="128"/>
        <v>1052230</v>
      </c>
      <c r="L1159" s="7">
        <f t="shared" si="128"/>
        <v>33924947</v>
      </c>
      <c r="M1159" s="4" t="s">
        <v>55</v>
      </c>
      <c r="N1159" s="6" t="s">
        <v>2241</v>
      </c>
      <c r="O1159" s="6" t="s">
        <v>55</v>
      </c>
      <c r="P1159" s="6" t="s">
        <v>55</v>
      </c>
      <c r="Q1159" s="6" t="s">
        <v>2601</v>
      </c>
      <c r="R1159" s="6" t="s">
        <v>56</v>
      </c>
      <c r="S1159" s="6" t="s">
        <v>56</v>
      </c>
      <c r="T1159" s="6" t="s">
        <v>57</v>
      </c>
      <c r="X1159">
        <v>1</v>
      </c>
      <c r="AR1159" s="6" t="s">
        <v>55</v>
      </c>
      <c r="AS1159" s="6" t="s">
        <v>55</v>
      </c>
      <c r="AU1159" s="6" t="s">
        <v>2606</v>
      </c>
      <c r="AV1159">
        <v>480</v>
      </c>
    </row>
    <row r="1160" spans="1:48" ht="30" customHeight="1" x14ac:dyDescent="0.3">
      <c r="A1160" s="4" t="s">
        <v>2228</v>
      </c>
      <c r="B1160" s="4" t="s">
        <v>2229</v>
      </c>
      <c r="C1160" s="4" t="s">
        <v>92</v>
      </c>
      <c r="D1160" s="5">
        <v>1</v>
      </c>
      <c r="E1160" s="7">
        <f>ROUNDDOWN(SUMIF(X1155:X1174, RIGHTB(N1160, 1), F1155:F1174)*W1160, 0)</f>
        <v>635639</v>
      </c>
      <c r="F1160" s="7">
        <f t="shared" si="125"/>
        <v>635639</v>
      </c>
      <c r="G1160" s="7">
        <v>0</v>
      </c>
      <c r="H1160" s="7">
        <f t="shared" si="126"/>
        <v>0</v>
      </c>
      <c r="I1160" s="7">
        <v>0</v>
      </c>
      <c r="J1160" s="7">
        <f t="shared" si="127"/>
        <v>0</v>
      </c>
      <c r="K1160" s="7">
        <f t="shared" si="128"/>
        <v>635639</v>
      </c>
      <c r="L1160" s="7">
        <f t="shared" si="128"/>
        <v>635639</v>
      </c>
      <c r="M1160" s="4" t="s">
        <v>55</v>
      </c>
      <c r="N1160" s="6" t="s">
        <v>2230</v>
      </c>
      <c r="O1160" s="6" t="s">
        <v>55</v>
      </c>
      <c r="P1160" s="6" t="s">
        <v>55</v>
      </c>
      <c r="Q1160" s="6" t="s">
        <v>2601</v>
      </c>
      <c r="R1160" s="6" t="s">
        <v>56</v>
      </c>
      <c r="S1160" s="6" t="s">
        <v>56</v>
      </c>
      <c r="T1160" s="6" t="s">
        <v>56</v>
      </c>
      <c r="U1160">
        <v>0</v>
      </c>
      <c r="V1160">
        <v>0</v>
      </c>
      <c r="W1160">
        <v>5.4000000000000003E-3</v>
      </c>
      <c r="AR1160" s="6" t="s">
        <v>55</v>
      </c>
      <c r="AS1160" s="6" t="s">
        <v>55</v>
      </c>
      <c r="AU1160" s="6" t="s">
        <v>2607</v>
      </c>
      <c r="AV1160">
        <v>3240</v>
      </c>
    </row>
    <row r="1161" spans="1:48" ht="30" customHeight="1" x14ac:dyDescent="0.3">
      <c r="A1161" s="4" t="s">
        <v>2247</v>
      </c>
      <c r="B1161" s="4" t="s">
        <v>222</v>
      </c>
      <c r="C1161" s="4" t="s">
        <v>223</v>
      </c>
      <c r="D1161" s="5">
        <v>50</v>
      </c>
      <c r="E1161" s="7">
        <f>TRUNC([1]단가대비표!O84,0)</f>
        <v>77800</v>
      </c>
      <c r="F1161" s="7">
        <f t="shared" si="125"/>
        <v>3890000</v>
      </c>
      <c r="G1161" s="7">
        <f>TRUNC([1]단가대비표!P84,0)</f>
        <v>0</v>
      </c>
      <c r="H1161" s="7">
        <f t="shared" si="126"/>
        <v>0</v>
      </c>
      <c r="I1161" s="7">
        <f>TRUNC([1]단가대비표!V84,0)</f>
        <v>0</v>
      </c>
      <c r="J1161" s="7">
        <f t="shared" si="127"/>
        <v>0</v>
      </c>
      <c r="K1161" s="7">
        <f t="shared" si="128"/>
        <v>77800</v>
      </c>
      <c r="L1161" s="7">
        <f t="shared" si="128"/>
        <v>3890000</v>
      </c>
      <c r="M1161" s="4" t="s">
        <v>55</v>
      </c>
      <c r="N1161" s="6" t="s">
        <v>2248</v>
      </c>
      <c r="O1161" s="6" t="s">
        <v>55</v>
      </c>
      <c r="P1161" s="6" t="s">
        <v>55</v>
      </c>
      <c r="Q1161" s="6" t="s">
        <v>2601</v>
      </c>
      <c r="R1161" s="6" t="s">
        <v>56</v>
      </c>
      <c r="S1161" s="6" t="s">
        <v>56</v>
      </c>
      <c r="T1161" s="6" t="s">
        <v>57</v>
      </c>
      <c r="Y1161">
        <v>2</v>
      </c>
      <c r="AR1161" s="6" t="s">
        <v>55</v>
      </c>
      <c r="AS1161" s="6" t="s">
        <v>55</v>
      </c>
      <c r="AU1161" s="6" t="s">
        <v>2608</v>
      </c>
      <c r="AV1161">
        <v>481</v>
      </c>
    </row>
    <row r="1162" spans="1:48" ht="30" customHeight="1" x14ac:dyDescent="0.3">
      <c r="A1162" s="4" t="s">
        <v>2247</v>
      </c>
      <c r="B1162" s="4" t="s">
        <v>226</v>
      </c>
      <c r="C1162" s="4" t="s">
        <v>223</v>
      </c>
      <c r="D1162" s="5">
        <v>96</v>
      </c>
      <c r="E1162" s="7">
        <f>TRUNC([1]단가대비표!O85,0)</f>
        <v>78180</v>
      </c>
      <c r="F1162" s="7">
        <f t="shared" si="125"/>
        <v>7505280</v>
      </c>
      <c r="G1162" s="7">
        <f>TRUNC([1]단가대비표!P85,0)</f>
        <v>0</v>
      </c>
      <c r="H1162" s="7">
        <f t="shared" si="126"/>
        <v>0</v>
      </c>
      <c r="I1162" s="7">
        <f>TRUNC([1]단가대비표!V85,0)</f>
        <v>0</v>
      </c>
      <c r="J1162" s="7">
        <f t="shared" si="127"/>
        <v>0</v>
      </c>
      <c r="K1162" s="7">
        <f t="shared" si="128"/>
        <v>78180</v>
      </c>
      <c r="L1162" s="7">
        <f t="shared" si="128"/>
        <v>7505280</v>
      </c>
      <c r="M1162" s="4" t="s">
        <v>55</v>
      </c>
      <c r="N1162" s="6" t="s">
        <v>2250</v>
      </c>
      <c r="O1162" s="6" t="s">
        <v>55</v>
      </c>
      <c r="P1162" s="6" t="s">
        <v>55</v>
      </c>
      <c r="Q1162" s="6" t="s">
        <v>2601</v>
      </c>
      <c r="R1162" s="6" t="s">
        <v>56</v>
      </c>
      <c r="S1162" s="6" t="s">
        <v>56</v>
      </c>
      <c r="T1162" s="6" t="s">
        <v>57</v>
      </c>
      <c r="Y1162">
        <v>2</v>
      </c>
      <c r="AR1162" s="6" t="s">
        <v>55</v>
      </c>
      <c r="AS1162" s="6" t="s">
        <v>55</v>
      </c>
      <c r="AU1162" s="6" t="s">
        <v>2609</v>
      </c>
      <c r="AV1162">
        <v>482</v>
      </c>
    </row>
    <row r="1163" spans="1:48" ht="30" customHeight="1" x14ac:dyDescent="0.3">
      <c r="A1163" s="4" t="s">
        <v>2247</v>
      </c>
      <c r="B1163" s="4" t="s">
        <v>229</v>
      </c>
      <c r="C1163" s="4" t="s">
        <v>223</v>
      </c>
      <c r="D1163" s="5">
        <v>1305</v>
      </c>
      <c r="E1163" s="7">
        <f>TRUNC([1]단가대비표!O86,0)</f>
        <v>90400</v>
      </c>
      <c r="F1163" s="7">
        <f t="shared" si="125"/>
        <v>117972000</v>
      </c>
      <c r="G1163" s="7">
        <f>TRUNC([1]단가대비표!P86,0)</f>
        <v>0</v>
      </c>
      <c r="H1163" s="7">
        <f t="shared" si="126"/>
        <v>0</v>
      </c>
      <c r="I1163" s="7">
        <f>TRUNC([1]단가대비표!V86,0)</f>
        <v>0</v>
      </c>
      <c r="J1163" s="7">
        <f t="shared" si="127"/>
        <v>0</v>
      </c>
      <c r="K1163" s="7">
        <f t="shared" si="128"/>
        <v>90400</v>
      </c>
      <c r="L1163" s="7">
        <f t="shared" si="128"/>
        <v>117972000</v>
      </c>
      <c r="M1163" s="4" t="s">
        <v>55</v>
      </c>
      <c r="N1163" s="6" t="s">
        <v>2252</v>
      </c>
      <c r="O1163" s="6" t="s">
        <v>55</v>
      </c>
      <c r="P1163" s="6" t="s">
        <v>55</v>
      </c>
      <c r="Q1163" s="6" t="s">
        <v>2601</v>
      </c>
      <c r="R1163" s="6" t="s">
        <v>56</v>
      </c>
      <c r="S1163" s="6" t="s">
        <v>56</v>
      </c>
      <c r="T1163" s="6" t="s">
        <v>57</v>
      </c>
      <c r="Y1163">
        <v>2</v>
      </c>
      <c r="AR1163" s="6" t="s">
        <v>55</v>
      </c>
      <c r="AS1163" s="6" t="s">
        <v>55</v>
      </c>
      <c r="AU1163" s="6" t="s">
        <v>2610</v>
      </c>
      <c r="AV1163">
        <v>484</v>
      </c>
    </row>
    <row r="1164" spans="1:48" ht="30" customHeight="1" x14ac:dyDescent="0.3">
      <c r="A1164" s="4" t="s">
        <v>2228</v>
      </c>
      <c r="B1164" s="4" t="s">
        <v>2229</v>
      </c>
      <c r="C1164" s="4" t="s">
        <v>92</v>
      </c>
      <c r="D1164" s="5">
        <v>1</v>
      </c>
      <c r="E1164" s="7">
        <f>ROUNDDOWN(SUMIF(Y1155:Y1174, RIGHTB(N1164, 1), F1155:F1174)*W1164, 0)</f>
        <v>698583</v>
      </c>
      <c r="F1164" s="7">
        <f t="shared" si="125"/>
        <v>698583</v>
      </c>
      <c r="G1164" s="7">
        <v>0</v>
      </c>
      <c r="H1164" s="7">
        <f t="shared" si="126"/>
        <v>0</v>
      </c>
      <c r="I1164" s="7">
        <v>0</v>
      </c>
      <c r="J1164" s="7">
        <f t="shared" si="127"/>
        <v>0</v>
      </c>
      <c r="K1164" s="7">
        <f t="shared" si="128"/>
        <v>698583</v>
      </c>
      <c r="L1164" s="7">
        <f t="shared" si="128"/>
        <v>698583</v>
      </c>
      <c r="M1164" s="4" t="s">
        <v>55</v>
      </c>
      <c r="N1164" s="6" t="s">
        <v>2245</v>
      </c>
      <c r="O1164" s="6" t="s">
        <v>55</v>
      </c>
      <c r="P1164" s="6" t="s">
        <v>55</v>
      </c>
      <c r="Q1164" s="6" t="s">
        <v>2601</v>
      </c>
      <c r="R1164" s="6" t="s">
        <v>56</v>
      </c>
      <c r="S1164" s="6" t="s">
        <v>56</v>
      </c>
      <c r="T1164" s="6" t="s">
        <v>56</v>
      </c>
      <c r="U1164">
        <v>0</v>
      </c>
      <c r="V1164">
        <v>0</v>
      </c>
      <c r="W1164">
        <v>5.4000000000000003E-3</v>
      </c>
      <c r="AR1164" s="6" t="s">
        <v>55</v>
      </c>
      <c r="AS1164" s="6" t="s">
        <v>55</v>
      </c>
      <c r="AU1164" s="6" t="s">
        <v>2611</v>
      </c>
      <c r="AV1164">
        <v>3241</v>
      </c>
    </row>
    <row r="1165" spans="1:48" ht="30" customHeight="1" x14ac:dyDescent="0.3">
      <c r="A1165" s="4" t="s">
        <v>2221</v>
      </c>
      <c r="B1165" s="4" t="s">
        <v>2331</v>
      </c>
      <c r="C1165" s="4" t="s">
        <v>140</v>
      </c>
      <c r="D1165" s="5">
        <v>578</v>
      </c>
      <c r="E1165" s="7">
        <f>TRUNC([1]단가대비표!O486,0)</f>
        <v>37600</v>
      </c>
      <c r="F1165" s="7">
        <f t="shared" si="125"/>
        <v>21732800</v>
      </c>
      <c r="G1165" s="7">
        <f>TRUNC([1]단가대비표!P486,0)</f>
        <v>0</v>
      </c>
      <c r="H1165" s="7">
        <f t="shared" si="126"/>
        <v>0</v>
      </c>
      <c r="I1165" s="7">
        <f>TRUNC([1]단가대비표!V486,0)</f>
        <v>0</v>
      </c>
      <c r="J1165" s="7">
        <f t="shared" si="127"/>
        <v>0</v>
      </c>
      <c r="K1165" s="7">
        <f t="shared" si="128"/>
        <v>37600</v>
      </c>
      <c r="L1165" s="7">
        <f t="shared" si="128"/>
        <v>21732800</v>
      </c>
      <c r="M1165" s="4" t="s">
        <v>2332</v>
      </c>
      <c r="N1165" s="6" t="s">
        <v>2612</v>
      </c>
      <c r="O1165" s="6" t="s">
        <v>55</v>
      </c>
      <c r="P1165" s="6" t="s">
        <v>55</v>
      </c>
      <c r="Q1165" s="6" t="s">
        <v>2601</v>
      </c>
      <c r="R1165" s="6" t="s">
        <v>56</v>
      </c>
      <c r="S1165" s="6" t="s">
        <v>56</v>
      </c>
      <c r="T1165" s="6" t="s">
        <v>57</v>
      </c>
      <c r="Z1165">
        <v>3</v>
      </c>
      <c r="AR1165" s="6" t="s">
        <v>55</v>
      </c>
      <c r="AS1165" s="6" t="s">
        <v>55</v>
      </c>
      <c r="AU1165" s="6" t="s">
        <v>2613</v>
      </c>
      <c r="AV1165">
        <v>1697</v>
      </c>
    </row>
    <row r="1166" spans="1:48" ht="30" customHeight="1" x14ac:dyDescent="0.3">
      <c r="A1166" s="4" t="s">
        <v>2228</v>
      </c>
      <c r="B1166" s="4" t="s">
        <v>2229</v>
      </c>
      <c r="C1166" s="4" t="s">
        <v>92</v>
      </c>
      <c r="D1166" s="5">
        <v>1</v>
      </c>
      <c r="E1166" s="7">
        <f>ROUNDDOWN(SUMIF(Z1155:Z1174, RIGHTB(N1166, 1), F1155:F1174)*W1166, 0)</f>
        <v>117357</v>
      </c>
      <c r="F1166" s="7">
        <f t="shared" si="125"/>
        <v>117357</v>
      </c>
      <c r="G1166" s="7">
        <v>0</v>
      </c>
      <c r="H1166" s="7">
        <f t="shared" si="126"/>
        <v>0</v>
      </c>
      <c r="I1166" s="7">
        <v>0</v>
      </c>
      <c r="J1166" s="7">
        <f t="shared" si="127"/>
        <v>0</v>
      </c>
      <c r="K1166" s="7">
        <f t="shared" si="128"/>
        <v>117357</v>
      </c>
      <c r="L1166" s="7">
        <f t="shared" si="128"/>
        <v>117357</v>
      </c>
      <c r="M1166" s="4" t="s">
        <v>55</v>
      </c>
      <c r="N1166" s="6" t="s">
        <v>2254</v>
      </c>
      <c r="O1166" s="6" t="s">
        <v>55</v>
      </c>
      <c r="P1166" s="6" t="s">
        <v>55</v>
      </c>
      <c r="Q1166" s="6" t="s">
        <v>2601</v>
      </c>
      <c r="R1166" s="6" t="s">
        <v>56</v>
      </c>
      <c r="S1166" s="6" t="s">
        <v>56</v>
      </c>
      <c r="T1166" s="6" t="s">
        <v>56</v>
      </c>
      <c r="U1166">
        <v>0</v>
      </c>
      <c r="V1166">
        <v>0</v>
      </c>
      <c r="W1166">
        <v>5.4000000000000003E-3</v>
      </c>
      <c r="AR1166" s="6" t="s">
        <v>55</v>
      </c>
      <c r="AS1166" s="6" t="s">
        <v>55</v>
      </c>
      <c r="AU1166" s="6" t="s">
        <v>2614</v>
      </c>
      <c r="AV1166">
        <v>3102</v>
      </c>
    </row>
    <row r="1167" spans="1:48" ht="30" customHeight="1" x14ac:dyDescent="0.3">
      <c r="A1167" s="4" t="s">
        <v>2256</v>
      </c>
      <c r="B1167" s="4" t="s">
        <v>2257</v>
      </c>
      <c r="C1167" s="4" t="s">
        <v>2258</v>
      </c>
      <c r="D1167" s="5">
        <v>28093.350999999999</v>
      </c>
      <c r="E1167" s="7">
        <f>TRUNC([1]단가대비표!O99,0)</f>
        <v>50</v>
      </c>
      <c r="F1167" s="7">
        <f t="shared" si="125"/>
        <v>1404667</v>
      </c>
      <c r="G1167" s="7">
        <f>TRUNC([1]단가대비표!P99,0)</f>
        <v>0</v>
      </c>
      <c r="H1167" s="7">
        <f t="shared" si="126"/>
        <v>0</v>
      </c>
      <c r="I1167" s="7">
        <f>TRUNC([1]단가대비표!V99,0)</f>
        <v>0</v>
      </c>
      <c r="J1167" s="7">
        <f t="shared" si="127"/>
        <v>0</v>
      </c>
      <c r="K1167" s="7">
        <f t="shared" si="128"/>
        <v>50</v>
      </c>
      <c r="L1167" s="7">
        <f t="shared" si="128"/>
        <v>1404667</v>
      </c>
      <c r="M1167" s="4" t="s">
        <v>2259</v>
      </c>
      <c r="N1167" s="6" t="s">
        <v>2260</v>
      </c>
      <c r="O1167" s="6" t="s">
        <v>55</v>
      </c>
      <c r="P1167" s="6" t="s">
        <v>55</v>
      </c>
      <c r="Q1167" s="6" t="s">
        <v>2601</v>
      </c>
      <c r="R1167" s="6" t="s">
        <v>56</v>
      </c>
      <c r="S1167" s="6" t="s">
        <v>56</v>
      </c>
      <c r="T1167" s="6" t="s">
        <v>57</v>
      </c>
      <c r="AA1167">
        <v>4</v>
      </c>
      <c r="AR1167" s="6" t="s">
        <v>55</v>
      </c>
      <c r="AS1167" s="6" t="s">
        <v>55</v>
      </c>
      <c r="AU1167" s="6" t="s">
        <v>2615</v>
      </c>
      <c r="AV1167">
        <v>498</v>
      </c>
    </row>
    <row r="1168" spans="1:48" ht="30" customHeight="1" x14ac:dyDescent="0.3">
      <c r="A1168" s="4" t="s">
        <v>2228</v>
      </c>
      <c r="B1168" s="4" t="s">
        <v>2229</v>
      </c>
      <c r="C1168" s="4" t="s">
        <v>92</v>
      </c>
      <c r="D1168" s="5">
        <v>1</v>
      </c>
      <c r="E1168" s="7">
        <f>ROUNDDOWN(SUMIF(AA1155:AA1174, RIGHTB(N1168, 1), F1155:F1174)*W1168, 0)</f>
        <v>7585</v>
      </c>
      <c r="F1168" s="7">
        <f t="shared" si="125"/>
        <v>7585</v>
      </c>
      <c r="G1168" s="7">
        <v>0</v>
      </c>
      <c r="H1168" s="7">
        <f t="shared" si="126"/>
        <v>0</v>
      </c>
      <c r="I1168" s="7">
        <v>0</v>
      </c>
      <c r="J1168" s="7">
        <f t="shared" si="127"/>
        <v>0</v>
      </c>
      <c r="K1168" s="7">
        <f t="shared" si="128"/>
        <v>7585</v>
      </c>
      <c r="L1168" s="7">
        <f t="shared" si="128"/>
        <v>7585</v>
      </c>
      <c r="M1168" s="4" t="s">
        <v>55</v>
      </c>
      <c r="N1168" s="6" t="s">
        <v>2262</v>
      </c>
      <c r="O1168" s="6" t="s">
        <v>55</v>
      </c>
      <c r="P1168" s="6" t="s">
        <v>55</v>
      </c>
      <c r="Q1168" s="6" t="s">
        <v>2601</v>
      </c>
      <c r="R1168" s="6" t="s">
        <v>56</v>
      </c>
      <c r="S1168" s="6" t="s">
        <v>56</v>
      </c>
      <c r="T1168" s="6" t="s">
        <v>56</v>
      </c>
      <c r="U1168">
        <v>0</v>
      </c>
      <c r="V1168">
        <v>0</v>
      </c>
      <c r="W1168">
        <v>5.4000000000000003E-3</v>
      </c>
      <c r="AR1168" s="6" t="s">
        <v>55</v>
      </c>
      <c r="AS1168" s="6" t="s">
        <v>55</v>
      </c>
      <c r="AU1168" s="6" t="s">
        <v>2616</v>
      </c>
      <c r="AV1168">
        <v>3103</v>
      </c>
    </row>
    <row r="1169" spans="1:48" ht="30" customHeight="1" x14ac:dyDescent="0.3">
      <c r="A1169" s="4" t="s">
        <v>2264</v>
      </c>
      <c r="B1169" s="4" t="s">
        <v>2178</v>
      </c>
      <c r="C1169" s="4" t="s">
        <v>856</v>
      </c>
      <c r="D1169" s="5">
        <v>1230</v>
      </c>
      <c r="E1169" s="7">
        <f>TRUNC([1]단가대비표!O93,0)</f>
        <v>5330</v>
      </c>
      <c r="F1169" s="7">
        <f t="shared" si="125"/>
        <v>6555900</v>
      </c>
      <c r="G1169" s="7">
        <f>TRUNC([1]단가대비표!P93,0)</f>
        <v>0</v>
      </c>
      <c r="H1169" s="7">
        <f t="shared" si="126"/>
        <v>0</v>
      </c>
      <c r="I1169" s="7">
        <f>TRUNC([1]단가대비표!V93,0)</f>
        <v>0</v>
      </c>
      <c r="J1169" s="7">
        <f t="shared" si="127"/>
        <v>0</v>
      </c>
      <c r="K1169" s="7">
        <f t="shared" si="128"/>
        <v>5330</v>
      </c>
      <c r="L1169" s="7">
        <f t="shared" si="128"/>
        <v>6555900</v>
      </c>
      <c r="M1169" s="4" t="s">
        <v>55</v>
      </c>
      <c r="N1169" s="6" t="s">
        <v>2265</v>
      </c>
      <c r="O1169" s="6" t="s">
        <v>55</v>
      </c>
      <c r="P1169" s="6" t="s">
        <v>55</v>
      </c>
      <c r="Q1169" s="6" t="s">
        <v>2601</v>
      </c>
      <c r="R1169" s="6" t="s">
        <v>56</v>
      </c>
      <c r="S1169" s="6" t="s">
        <v>56</v>
      </c>
      <c r="T1169" s="6" t="s">
        <v>57</v>
      </c>
      <c r="AB1169">
        <v>5</v>
      </c>
      <c r="AR1169" s="6" t="s">
        <v>55</v>
      </c>
      <c r="AS1169" s="6" t="s">
        <v>55</v>
      </c>
      <c r="AU1169" s="6" t="s">
        <v>2617</v>
      </c>
      <c r="AV1169">
        <v>3503</v>
      </c>
    </row>
    <row r="1170" spans="1:48" ht="30" customHeight="1" x14ac:dyDescent="0.3">
      <c r="A1170" s="4" t="s">
        <v>2228</v>
      </c>
      <c r="B1170" s="4" t="s">
        <v>2229</v>
      </c>
      <c r="C1170" s="4" t="s">
        <v>92</v>
      </c>
      <c r="D1170" s="5">
        <v>1</v>
      </c>
      <c r="E1170" s="7">
        <f>ROUNDDOWN(SUMIF(AB1155:AB1174, RIGHTB(N1170, 1), F1155:F1174)*W1170, 0)</f>
        <v>35401</v>
      </c>
      <c r="F1170" s="7">
        <f t="shared" si="125"/>
        <v>35401</v>
      </c>
      <c r="G1170" s="7">
        <v>0</v>
      </c>
      <c r="H1170" s="7">
        <f t="shared" si="126"/>
        <v>0</v>
      </c>
      <c r="I1170" s="7">
        <v>0</v>
      </c>
      <c r="J1170" s="7">
        <f t="shared" si="127"/>
        <v>0</v>
      </c>
      <c r="K1170" s="7">
        <f t="shared" si="128"/>
        <v>35401</v>
      </c>
      <c r="L1170" s="7">
        <f t="shared" si="128"/>
        <v>35401</v>
      </c>
      <c r="M1170" s="4" t="s">
        <v>55</v>
      </c>
      <c r="N1170" s="6" t="s">
        <v>2267</v>
      </c>
      <c r="O1170" s="6" t="s">
        <v>55</v>
      </c>
      <c r="P1170" s="6" t="s">
        <v>55</v>
      </c>
      <c r="Q1170" s="6" t="s">
        <v>2601</v>
      </c>
      <c r="R1170" s="6" t="s">
        <v>56</v>
      </c>
      <c r="S1170" s="6" t="s">
        <v>56</v>
      </c>
      <c r="T1170" s="6" t="s">
        <v>56</v>
      </c>
      <c r="U1170">
        <v>0</v>
      </c>
      <c r="V1170">
        <v>0</v>
      </c>
      <c r="W1170">
        <v>5.4000000000000003E-3</v>
      </c>
      <c r="AR1170" s="6" t="s">
        <v>55</v>
      </c>
      <c r="AS1170" s="6" t="s">
        <v>55</v>
      </c>
      <c r="AU1170" s="6" t="s">
        <v>2618</v>
      </c>
      <c r="AV1170">
        <v>3504</v>
      </c>
    </row>
    <row r="1171" spans="1:48" ht="30" customHeight="1" x14ac:dyDescent="0.3">
      <c r="A1171" s="4" t="s">
        <v>2281</v>
      </c>
      <c r="B1171" s="4" t="s">
        <v>2619</v>
      </c>
      <c r="C1171" s="4" t="s">
        <v>61</v>
      </c>
      <c r="D1171" s="5">
        <v>21</v>
      </c>
      <c r="E1171" s="7">
        <f>TRUNC([1]단가대비표!O101,0)</f>
        <v>54450</v>
      </c>
      <c r="F1171" s="7">
        <f t="shared" si="125"/>
        <v>1143450</v>
      </c>
      <c r="G1171" s="7">
        <f>TRUNC([1]단가대비표!P101,0)</f>
        <v>0</v>
      </c>
      <c r="H1171" s="7">
        <f t="shared" si="126"/>
        <v>0</v>
      </c>
      <c r="I1171" s="7">
        <f>TRUNC([1]단가대비표!V101,0)</f>
        <v>0</v>
      </c>
      <c r="J1171" s="7">
        <f t="shared" si="127"/>
        <v>0</v>
      </c>
      <c r="K1171" s="7">
        <f t="shared" si="128"/>
        <v>54450</v>
      </c>
      <c r="L1171" s="7">
        <f t="shared" si="128"/>
        <v>1143450</v>
      </c>
      <c r="M1171" s="4" t="s">
        <v>55</v>
      </c>
      <c r="N1171" s="6" t="s">
        <v>2620</v>
      </c>
      <c r="O1171" s="6" t="s">
        <v>55</v>
      </c>
      <c r="P1171" s="6" t="s">
        <v>55</v>
      </c>
      <c r="Q1171" s="6" t="s">
        <v>2601</v>
      </c>
      <c r="R1171" s="6" t="s">
        <v>56</v>
      </c>
      <c r="S1171" s="6" t="s">
        <v>56</v>
      </c>
      <c r="T1171" s="6" t="s">
        <v>57</v>
      </c>
      <c r="AC1171">
        <v>6</v>
      </c>
      <c r="AR1171" s="6" t="s">
        <v>55</v>
      </c>
      <c r="AS1171" s="6" t="s">
        <v>55</v>
      </c>
      <c r="AU1171" s="6" t="s">
        <v>2621</v>
      </c>
      <c r="AV1171">
        <v>3378</v>
      </c>
    </row>
    <row r="1172" spans="1:48" ht="30" customHeight="1" x14ac:dyDescent="0.3">
      <c r="A1172" s="4" t="s">
        <v>2228</v>
      </c>
      <c r="B1172" s="4" t="s">
        <v>2229</v>
      </c>
      <c r="C1172" s="4" t="s">
        <v>92</v>
      </c>
      <c r="D1172" s="5">
        <v>1</v>
      </c>
      <c r="E1172" s="7">
        <f>ROUNDDOWN(SUMIF(AC1155:AC1174, RIGHTB(N1172, 1), F1155:F1174)*W1172, 0)</f>
        <v>6174</v>
      </c>
      <c r="F1172" s="7">
        <f t="shared" si="125"/>
        <v>6174</v>
      </c>
      <c r="G1172" s="7">
        <v>0</v>
      </c>
      <c r="H1172" s="7">
        <f t="shared" si="126"/>
        <v>0</v>
      </c>
      <c r="I1172" s="7">
        <v>0</v>
      </c>
      <c r="J1172" s="7">
        <f t="shared" si="127"/>
        <v>0</v>
      </c>
      <c r="K1172" s="7">
        <f t="shared" si="128"/>
        <v>6174</v>
      </c>
      <c r="L1172" s="7">
        <f t="shared" si="128"/>
        <v>6174</v>
      </c>
      <c r="M1172" s="4" t="s">
        <v>55</v>
      </c>
      <c r="N1172" s="6" t="s">
        <v>2273</v>
      </c>
      <c r="O1172" s="6" t="s">
        <v>55</v>
      </c>
      <c r="P1172" s="6" t="s">
        <v>55</v>
      </c>
      <c r="Q1172" s="6" t="s">
        <v>2601</v>
      </c>
      <c r="R1172" s="6" t="s">
        <v>56</v>
      </c>
      <c r="S1172" s="6" t="s">
        <v>56</v>
      </c>
      <c r="T1172" s="6" t="s">
        <v>56</v>
      </c>
      <c r="U1172">
        <v>0</v>
      </c>
      <c r="V1172">
        <v>0</v>
      </c>
      <c r="W1172">
        <v>5.4000000000000003E-3</v>
      </c>
      <c r="AR1172" s="6" t="s">
        <v>55</v>
      </c>
      <c r="AS1172" s="6" t="s">
        <v>55</v>
      </c>
      <c r="AU1172" s="6" t="s">
        <v>2622</v>
      </c>
      <c r="AV1172">
        <v>3391</v>
      </c>
    </row>
    <row r="1173" spans="1:48" ht="30" customHeight="1" x14ac:dyDescent="0.3">
      <c r="A1173" s="4" t="s">
        <v>2275</v>
      </c>
      <c r="B1173" s="4" t="s">
        <v>2276</v>
      </c>
      <c r="C1173" s="4" t="s">
        <v>61</v>
      </c>
      <c r="D1173" s="5">
        <v>140</v>
      </c>
      <c r="E1173" s="7">
        <f>TRUNC([1]단가대비표!O107,0)</f>
        <v>10800</v>
      </c>
      <c r="F1173" s="7">
        <f t="shared" si="125"/>
        <v>1512000</v>
      </c>
      <c r="G1173" s="7">
        <f>TRUNC([1]단가대비표!P107,0)</f>
        <v>0</v>
      </c>
      <c r="H1173" s="7">
        <f t="shared" si="126"/>
        <v>0</v>
      </c>
      <c r="I1173" s="7">
        <f>TRUNC([1]단가대비표!V107,0)</f>
        <v>0</v>
      </c>
      <c r="J1173" s="7">
        <f t="shared" si="127"/>
        <v>0</v>
      </c>
      <c r="K1173" s="7">
        <f t="shared" si="128"/>
        <v>10800</v>
      </c>
      <c r="L1173" s="7">
        <f t="shared" si="128"/>
        <v>1512000</v>
      </c>
      <c r="M1173" s="4" t="s">
        <v>55</v>
      </c>
      <c r="N1173" s="6" t="s">
        <v>2277</v>
      </c>
      <c r="O1173" s="6" t="s">
        <v>55</v>
      </c>
      <c r="P1173" s="6" t="s">
        <v>55</v>
      </c>
      <c r="Q1173" s="6" t="s">
        <v>2601</v>
      </c>
      <c r="R1173" s="6" t="s">
        <v>56</v>
      </c>
      <c r="S1173" s="6" t="s">
        <v>56</v>
      </c>
      <c r="T1173" s="6" t="s">
        <v>57</v>
      </c>
      <c r="AD1173">
        <v>7</v>
      </c>
      <c r="AR1173" s="6" t="s">
        <v>55</v>
      </c>
      <c r="AS1173" s="6" t="s">
        <v>55</v>
      </c>
      <c r="AU1173" s="6" t="s">
        <v>2623</v>
      </c>
      <c r="AV1173">
        <v>3379</v>
      </c>
    </row>
    <row r="1174" spans="1:48" ht="30" customHeight="1" x14ac:dyDescent="0.3">
      <c r="A1174" s="4" t="s">
        <v>2228</v>
      </c>
      <c r="B1174" s="4" t="s">
        <v>2229</v>
      </c>
      <c r="C1174" s="4" t="s">
        <v>92</v>
      </c>
      <c r="D1174" s="5">
        <v>1</v>
      </c>
      <c r="E1174" s="7">
        <f>ROUNDDOWN(SUMIF(AD1155:AD1174, RIGHTB(N1174, 1), F1155:F1174)*W1174, 0)</f>
        <v>8164</v>
      </c>
      <c r="F1174" s="7">
        <f t="shared" si="125"/>
        <v>8164</v>
      </c>
      <c r="G1174" s="7">
        <v>0</v>
      </c>
      <c r="H1174" s="7">
        <f t="shared" si="126"/>
        <v>0</v>
      </c>
      <c r="I1174" s="7">
        <v>0</v>
      </c>
      <c r="J1174" s="7">
        <f t="shared" si="127"/>
        <v>0</v>
      </c>
      <c r="K1174" s="7">
        <f t="shared" si="128"/>
        <v>8164</v>
      </c>
      <c r="L1174" s="7">
        <f t="shared" si="128"/>
        <v>8164</v>
      </c>
      <c r="M1174" s="4" t="s">
        <v>55</v>
      </c>
      <c r="N1174" s="6" t="s">
        <v>2279</v>
      </c>
      <c r="O1174" s="6" t="s">
        <v>55</v>
      </c>
      <c r="P1174" s="6" t="s">
        <v>55</v>
      </c>
      <c r="Q1174" s="6" t="s">
        <v>2601</v>
      </c>
      <c r="R1174" s="6" t="s">
        <v>56</v>
      </c>
      <c r="S1174" s="6" t="s">
        <v>56</v>
      </c>
      <c r="T1174" s="6" t="s">
        <v>56</v>
      </c>
      <c r="U1174">
        <v>0</v>
      </c>
      <c r="V1174">
        <v>0</v>
      </c>
      <c r="W1174">
        <v>5.4000000000000003E-3</v>
      </c>
      <c r="AR1174" s="6" t="s">
        <v>55</v>
      </c>
      <c r="AS1174" s="6" t="s">
        <v>55</v>
      </c>
      <c r="AU1174" s="6" t="s">
        <v>2624</v>
      </c>
      <c r="AV1174">
        <v>3392</v>
      </c>
    </row>
    <row r="1175" spans="1:48" ht="30" customHeight="1" x14ac:dyDescent="0.3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</row>
    <row r="1176" spans="1:48" ht="30" customHeight="1" x14ac:dyDescent="0.3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</row>
    <row r="1177" spans="1:48" ht="30" customHeight="1" x14ac:dyDescent="0.3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</row>
    <row r="1178" spans="1:48" ht="30" customHeight="1" x14ac:dyDescent="0.3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</row>
    <row r="1179" spans="1:48" ht="30" customHeight="1" x14ac:dyDescent="0.3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</row>
    <row r="1180" spans="1:48" ht="30" customHeight="1" x14ac:dyDescent="0.3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</row>
    <row r="1181" spans="1:48" ht="30" customHeight="1" x14ac:dyDescent="0.3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</row>
    <row r="1182" spans="1:48" ht="30" customHeight="1" x14ac:dyDescent="0.3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</row>
    <row r="1183" spans="1:48" ht="30" customHeight="1" x14ac:dyDescent="0.3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</row>
    <row r="1184" spans="1:48" ht="30" customHeight="1" x14ac:dyDescent="0.3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</row>
    <row r="1185" spans="1:48" ht="30" customHeight="1" x14ac:dyDescent="0.3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</row>
    <row r="1186" spans="1:48" ht="30" customHeight="1" x14ac:dyDescent="0.3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</row>
    <row r="1187" spans="1:48" ht="30" customHeight="1" x14ac:dyDescent="0.3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</row>
    <row r="1188" spans="1:48" ht="30" customHeight="1" x14ac:dyDescent="0.3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</row>
    <row r="1189" spans="1:48" ht="30" customHeight="1" x14ac:dyDescent="0.3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</row>
    <row r="1190" spans="1:48" ht="30" customHeight="1" x14ac:dyDescent="0.3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</row>
    <row r="1191" spans="1:48" ht="30" customHeight="1" x14ac:dyDescent="0.3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</row>
    <row r="1192" spans="1:48" ht="30" customHeight="1" x14ac:dyDescent="0.3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</row>
    <row r="1193" spans="1:48" ht="30" customHeight="1" x14ac:dyDescent="0.3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</row>
    <row r="1194" spans="1:48" ht="30" customHeight="1" x14ac:dyDescent="0.3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</row>
    <row r="1195" spans="1:48" ht="30" customHeight="1" x14ac:dyDescent="0.3">
      <c r="A1195" s="4" t="s">
        <v>128</v>
      </c>
      <c r="B1195" s="5"/>
      <c r="C1195" s="5"/>
      <c r="D1195" s="5"/>
      <c r="E1195" s="5"/>
      <c r="F1195" s="7">
        <f>SUM(F1155:F1194)</f>
        <v>280936045</v>
      </c>
      <c r="G1195" s="5"/>
      <c r="H1195" s="7">
        <f>SUM(H1155:H1194)</f>
        <v>0</v>
      </c>
      <c r="I1195" s="5"/>
      <c r="J1195" s="7">
        <f>SUM(J1155:J1194)</f>
        <v>0</v>
      </c>
      <c r="K1195" s="5"/>
      <c r="L1195" s="7">
        <f>SUM(L1155:L1194)</f>
        <v>280936045</v>
      </c>
      <c r="M1195" s="5"/>
      <c r="N1195" t="s">
        <v>129</v>
      </c>
    </row>
    <row r="1196" spans="1:48" ht="30" customHeight="1" x14ac:dyDescent="0.3">
      <c r="A1196" s="4" t="s">
        <v>2625</v>
      </c>
      <c r="B1196" s="4" t="s">
        <v>2626</v>
      </c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Q1196" s="6" t="s">
        <v>2627</v>
      </c>
    </row>
    <row r="1197" spans="1:48" ht="30" customHeight="1" x14ac:dyDescent="0.3">
      <c r="A1197" s="4" t="s">
        <v>132</v>
      </c>
      <c r="B1197" s="4" t="s">
        <v>133</v>
      </c>
      <c r="C1197" s="4" t="s">
        <v>134</v>
      </c>
      <c r="D1197" s="5">
        <v>6</v>
      </c>
      <c r="E1197" s="7">
        <f>TRUNC([1]단가대비표!O200,0)</f>
        <v>23445</v>
      </c>
      <c r="F1197" s="7">
        <f t="shared" ref="F1197:F1206" si="129">TRUNC(E1197*D1197, 0)</f>
        <v>140670</v>
      </c>
      <c r="G1197" s="7">
        <f>TRUNC([1]단가대비표!P200,0)</f>
        <v>74241</v>
      </c>
      <c r="H1197" s="7">
        <f t="shared" ref="H1197:H1206" si="130">TRUNC(G1197*D1197, 0)</f>
        <v>445446</v>
      </c>
      <c r="I1197" s="7">
        <f>TRUNC([1]단가대비표!V200,0)</f>
        <v>0</v>
      </c>
      <c r="J1197" s="7">
        <f t="shared" ref="J1197:J1206" si="131">TRUNC(I1197*D1197, 0)</f>
        <v>0</v>
      </c>
      <c r="K1197" s="7">
        <f t="shared" ref="K1197:L1206" si="132">TRUNC(E1197+G1197+I1197, 0)</f>
        <v>97686</v>
      </c>
      <c r="L1197" s="7">
        <f t="shared" si="132"/>
        <v>586116</v>
      </c>
      <c r="M1197" s="4" t="s">
        <v>135</v>
      </c>
      <c r="N1197" s="6" t="s">
        <v>136</v>
      </c>
      <c r="O1197" s="6" t="s">
        <v>55</v>
      </c>
      <c r="P1197" s="6" t="s">
        <v>55</v>
      </c>
      <c r="Q1197" s="6" t="s">
        <v>2627</v>
      </c>
      <c r="R1197" s="6" t="s">
        <v>56</v>
      </c>
      <c r="S1197" s="6" t="s">
        <v>56</v>
      </c>
      <c r="T1197" s="6" t="s">
        <v>57</v>
      </c>
      <c r="AR1197" s="6" t="s">
        <v>55</v>
      </c>
      <c r="AS1197" s="6" t="s">
        <v>55</v>
      </c>
      <c r="AU1197" s="6" t="s">
        <v>2628</v>
      </c>
      <c r="AV1197">
        <v>3108</v>
      </c>
    </row>
    <row r="1198" spans="1:48" ht="30" customHeight="1" x14ac:dyDescent="0.3">
      <c r="A1198" s="4" t="s">
        <v>138</v>
      </c>
      <c r="B1198" s="4" t="s">
        <v>2629</v>
      </c>
      <c r="C1198" s="4" t="s">
        <v>140</v>
      </c>
      <c r="D1198" s="5">
        <v>1540</v>
      </c>
      <c r="E1198" s="7">
        <f>TRUNC([1]단가대비표!O199,0)</f>
        <v>535</v>
      </c>
      <c r="F1198" s="7">
        <f t="shared" si="129"/>
        <v>823900</v>
      </c>
      <c r="G1198" s="7">
        <f>TRUNC([1]단가대비표!P199,0)</f>
        <v>17267</v>
      </c>
      <c r="H1198" s="7">
        <f t="shared" si="130"/>
        <v>26591180</v>
      </c>
      <c r="I1198" s="7">
        <f>TRUNC([1]단가대비표!V199,0)</f>
        <v>0</v>
      </c>
      <c r="J1198" s="7">
        <f t="shared" si="131"/>
        <v>0</v>
      </c>
      <c r="K1198" s="7">
        <f t="shared" si="132"/>
        <v>17802</v>
      </c>
      <c r="L1198" s="7">
        <f t="shared" si="132"/>
        <v>27415080</v>
      </c>
      <c r="M1198" s="4" t="s">
        <v>141</v>
      </c>
      <c r="N1198" s="6" t="s">
        <v>2630</v>
      </c>
      <c r="O1198" s="6" t="s">
        <v>55</v>
      </c>
      <c r="P1198" s="6" t="s">
        <v>55</v>
      </c>
      <c r="Q1198" s="6" t="s">
        <v>2627</v>
      </c>
      <c r="R1198" s="6" t="s">
        <v>56</v>
      </c>
      <c r="S1198" s="6" t="s">
        <v>56</v>
      </c>
      <c r="T1198" s="6" t="s">
        <v>57</v>
      </c>
      <c r="AR1198" s="6" t="s">
        <v>55</v>
      </c>
      <c r="AS1198" s="6" t="s">
        <v>55</v>
      </c>
      <c r="AU1198" s="6" t="s">
        <v>2631</v>
      </c>
      <c r="AV1198">
        <v>3109</v>
      </c>
    </row>
    <row r="1199" spans="1:48" ht="30" customHeight="1" x14ac:dyDescent="0.3">
      <c r="A1199" s="4" t="s">
        <v>144</v>
      </c>
      <c r="B1199" s="4" t="s">
        <v>149</v>
      </c>
      <c r="C1199" s="4" t="s">
        <v>140</v>
      </c>
      <c r="D1199" s="5">
        <v>329</v>
      </c>
      <c r="E1199" s="7">
        <f>TRUNC([1]단가대비표!O202,0)</f>
        <v>2665</v>
      </c>
      <c r="F1199" s="7">
        <f t="shared" si="129"/>
        <v>876785</v>
      </c>
      <c r="G1199" s="7">
        <f>TRUNC([1]단가대비표!P202,0)</f>
        <v>10657</v>
      </c>
      <c r="H1199" s="7">
        <f t="shared" si="130"/>
        <v>3506153</v>
      </c>
      <c r="I1199" s="7">
        <f>TRUNC([1]단가대비표!V202,0)</f>
        <v>0</v>
      </c>
      <c r="J1199" s="7">
        <f t="shared" si="131"/>
        <v>0</v>
      </c>
      <c r="K1199" s="7">
        <f t="shared" si="132"/>
        <v>13322</v>
      </c>
      <c r="L1199" s="7">
        <f t="shared" si="132"/>
        <v>4382938</v>
      </c>
      <c r="M1199" s="4" t="s">
        <v>150</v>
      </c>
      <c r="N1199" s="6" t="s">
        <v>151</v>
      </c>
      <c r="O1199" s="6" t="s">
        <v>55</v>
      </c>
      <c r="P1199" s="6" t="s">
        <v>55</v>
      </c>
      <c r="Q1199" s="6" t="s">
        <v>2627</v>
      </c>
      <c r="R1199" s="6" t="s">
        <v>56</v>
      </c>
      <c r="S1199" s="6" t="s">
        <v>56</v>
      </c>
      <c r="T1199" s="6" t="s">
        <v>57</v>
      </c>
      <c r="AR1199" s="6" t="s">
        <v>55</v>
      </c>
      <c r="AS1199" s="6" t="s">
        <v>55</v>
      </c>
      <c r="AU1199" s="6" t="s">
        <v>2632</v>
      </c>
      <c r="AV1199">
        <v>3110</v>
      </c>
    </row>
    <row r="1200" spans="1:48" ht="30" customHeight="1" x14ac:dyDescent="0.3">
      <c r="A1200" s="4" t="s">
        <v>153</v>
      </c>
      <c r="B1200" s="4" t="s">
        <v>154</v>
      </c>
      <c r="C1200" s="4" t="s">
        <v>155</v>
      </c>
      <c r="D1200" s="5">
        <v>48.151000000000003</v>
      </c>
      <c r="E1200" s="7">
        <f>TRUNC([1]일위대가목록!E13,0)</f>
        <v>6050</v>
      </c>
      <c r="F1200" s="7">
        <f t="shared" si="129"/>
        <v>291313</v>
      </c>
      <c r="G1200" s="7">
        <f>TRUNC([1]일위대가목록!F13,0)</f>
        <v>175810</v>
      </c>
      <c r="H1200" s="7">
        <f t="shared" si="130"/>
        <v>8465427</v>
      </c>
      <c r="I1200" s="7">
        <f>TRUNC([1]일위대가목록!G13,0)</f>
        <v>7130</v>
      </c>
      <c r="J1200" s="7">
        <f t="shared" si="131"/>
        <v>343316</v>
      </c>
      <c r="K1200" s="7">
        <f t="shared" si="132"/>
        <v>188990</v>
      </c>
      <c r="L1200" s="7">
        <f t="shared" si="132"/>
        <v>9100056</v>
      </c>
      <c r="M1200" s="4" t="s">
        <v>156</v>
      </c>
      <c r="N1200" s="6" t="s">
        <v>157</v>
      </c>
      <c r="O1200" s="6" t="s">
        <v>55</v>
      </c>
      <c r="P1200" s="6" t="s">
        <v>55</v>
      </c>
      <c r="Q1200" s="6" t="s">
        <v>2627</v>
      </c>
      <c r="R1200" s="6" t="s">
        <v>57</v>
      </c>
      <c r="S1200" s="6" t="s">
        <v>56</v>
      </c>
      <c r="T1200" s="6" t="s">
        <v>56</v>
      </c>
      <c r="AR1200" s="6" t="s">
        <v>55</v>
      </c>
      <c r="AS1200" s="6" t="s">
        <v>55</v>
      </c>
      <c r="AU1200" s="6" t="s">
        <v>2633</v>
      </c>
      <c r="AV1200">
        <v>2653</v>
      </c>
    </row>
    <row r="1201" spans="1:48" ht="30" customHeight="1" x14ac:dyDescent="0.3">
      <c r="A1201" s="4" t="s">
        <v>153</v>
      </c>
      <c r="B1201" s="4" t="s">
        <v>2634</v>
      </c>
      <c r="C1201" s="4" t="s">
        <v>155</v>
      </c>
      <c r="D1201" s="5">
        <v>29.04</v>
      </c>
      <c r="E1201" s="7">
        <f>TRUNC([1]일위대가목록!E213,0)</f>
        <v>7270</v>
      </c>
      <c r="F1201" s="7">
        <f t="shared" si="129"/>
        <v>211120</v>
      </c>
      <c r="G1201" s="7">
        <f>TRUNC([1]일위대가목록!F213,0)</f>
        <v>242200</v>
      </c>
      <c r="H1201" s="7">
        <f t="shared" si="130"/>
        <v>7033488</v>
      </c>
      <c r="I1201" s="7">
        <f>TRUNC([1]일위대가목록!G213,0)</f>
        <v>12670</v>
      </c>
      <c r="J1201" s="7">
        <f t="shared" si="131"/>
        <v>367936</v>
      </c>
      <c r="K1201" s="7">
        <f t="shared" si="132"/>
        <v>262140</v>
      </c>
      <c r="L1201" s="7">
        <f t="shared" si="132"/>
        <v>7612544</v>
      </c>
      <c r="M1201" s="4" t="s">
        <v>2635</v>
      </c>
      <c r="N1201" s="6" t="s">
        <v>2636</v>
      </c>
      <c r="O1201" s="6" t="s">
        <v>55</v>
      </c>
      <c r="P1201" s="6" t="s">
        <v>55</v>
      </c>
      <c r="Q1201" s="6" t="s">
        <v>2627</v>
      </c>
      <c r="R1201" s="6" t="s">
        <v>57</v>
      </c>
      <c r="S1201" s="6" t="s">
        <v>56</v>
      </c>
      <c r="T1201" s="6" t="s">
        <v>56</v>
      </c>
      <c r="AR1201" s="6" t="s">
        <v>55</v>
      </c>
      <c r="AS1201" s="6" t="s">
        <v>55</v>
      </c>
      <c r="AU1201" s="6" t="s">
        <v>2637</v>
      </c>
      <c r="AV1201">
        <v>2654</v>
      </c>
    </row>
    <row r="1202" spans="1:48" ht="30" customHeight="1" x14ac:dyDescent="0.3">
      <c r="A1202" s="4" t="s">
        <v>159</v>
      </c>
      <c r="B1202" s="4" t="s">
        <v>160</v>
      </c>
      <c r="C1202" s="4" t="s">
        <v>140</v>
      </c>
      <c r="D1202" s="5">
        <v>1064</v>
      </c>
      <c r="E1202" s="7">
        <f>TRUNC([1]단가대비표!O206,0)</f>
        <v>129</v>
      </c>
      <c r="F1202" s="7">
        <f t="shared" si="129"/>
        <v>137256</v>
      </c>
      <c r="G1202" s="7">
        <f>TRUNC([1]단가대비표!P206,0)</f>
        <v>12741</v>
      </c>
      <c r="H1202" s="7">
        <f t="shared" si="130"/>
        <v>13556424</v>
      </c>
      <c r="I1202" s="7">
        <f>TRUNC([1]단가대비표!V206,0)</f>
        <v>0</v>
      </c>
      <c r="J1202" s="7">
        <f t="shared" si="131"/>
        <v>0</v>
      </c>
      <c r="K1202" s="7">
        <f t="shared" si="132"/>
        <v>12870</v>
      </c>
      <c r="L1202" s="7">
        <f t="shared" si="132"/>
        <v>13693680</v>
      </c>
      <c r="M1202" s="4" t="s">
        <v>161</v>
      </c>
      <c r="N1202" s="6" t="s">
        <v>162</v>
      </c>
      <c r="O1202" s="6" t="s">
        <v>55</v>
      </c>
      <c r="P1202" s="6" t="s">
        <v>55</v>
      </c>
      <c r="Q1202" s="6" t="s">
        <v>2627</v>
      </c>
      <c r="R1202" s="6" t="s">
        <v>56</v>
      </c>
      <c r="S1202" s="6" t="s">
        <v>56</v>
      </c>
      <c r="T1202" s="6" t="s">
        <v>57</v>
      </c>
      <c r="AR1202" s="6" t="s">
        <v>55</v>
      </c>
      <c r="AS1202" s="6" t="s">
        <v>55</v>
      </c>
      <c r="AU1202" s="6" t="s">
        <v>2638</v>
      </c>
      <c r="AV1202">
        <v>3111</v>
      </c>
    </row>
    <row r="1203" spans="1:48" ht="30" customHeight="1" x14ac:dyDescent="0.3">
      <c r="A1203" s="4" t="s">
        <v>164</v>
      </c>
      <c r="B1203" s="4" t="s">
        <v>165</v>
      </c>
      <c r="C1203" s="4" t="s">
        <v>61</v>
      </c>
      <c r="D1203" s="5">
        <v>1064</v>
      </c>
      <c r="E1203" s="7">
        <f>TRUNC([1]일위대가목록!E14,0)</f>
        <v>0</v>
      </c>
      <c r="F1203" s="7">
        <f t="shared" si="129"/>
        <v>0</v>
      </c>
      <c r="G1203" s="7">
        <f>TRUNC([1]일위대가목록!F14,0)</f>
        <v>897</v>
      </c>
      <c r="H1203" s="7">
        <f t="shared" si="130"/>
        <v>954408</v>
      </c>
      <c r="I1203" s="7">
        <f>TRUNC([1]일위대가목록!G14,0)</f>
        <v>0</v>
      </c>
      <c r="J1203" s="7">
        <f t="shared" si="131"/>
        <v>0</v>
      </c>
      <c r="K1203" s="7">
        <f t="shared" si="132"/>
        <v>897</v>
      </c>
      <c r="L1203" s="7">
        <f t="shared" si="132"/>
        <v>954408</v>
      </c>
      <c r="M1203" s="4" t="s">
        <v>166</v>
      </c>
      <c r="N1203" s="6" t="s">
        <v>167</v>
      </c>
      <c r="O1203" s="6" t="s">
        <v>55</v>
      </c>
      <c r="P1203" s="6" t="s">
        <v>55</v>
      </c>
      <c r="Q1203" s="6" t="s">
        <v>2627</v>
      </c>
      <c r="R1203" s="6" t="s">
        <v>57</v>
      </c>
      <c r="S1203" s="6" t="s">
        <v>56</v>
      </c>
      <c r="T1203" s="6" t="s">
        <v>56</v>
      </c>
      <c r="AR1203" s="6" t="s">
        <v>55</v>
      </c>
      <c r="AS1203" s="6" t="s">
        <v>55</v>
      </c>
      <c r="AU1203" s="6" t="s">
        <v>2639</v>
      </c>
      <c r="AV1203">
        <v>2656</v>
      </c>
    </row>
    <row r="1204" spans="1:48" ht="30" customHeight="1" x14ac:dyDescent="0.3">
      <c r="A1204" s="4" t="s">
        <v>169</v>
      </c>
      <c r="B1204" s="4" t="s">
        <v>165</v>
      </c>
      <c r="C1204" s="4" t="s">
        <v>61</v>
      </c>
      <c r="D1204" s="5">
        <v>1064</v>
      </c>
      <c r="E1204" s="7">
        <f>TRUNC([1]일위대가목록!E15,0)</f>
        <v>0</v>
      </c>
      <c r="F1204" s="7">
        <f t="shared" si="129"/>
        <v>0</v>
      </c>
      <c r="G1204" s="7">
        <f>TRUNC([1]일위대가목록!F15,0)</f>
        <v>2093</v>
      </c>
      <c r="H1204" s="7">
        <f t="shared" si="130"/>
        <v>2226952</v>
      </c>
      <c r="I1204" s="7">
        <f>TRUNC([1]일위대가목록!G15,0)</f>
        <v>0</v>
      </c>
      <c r="J1204" s="7">
        <f t="shared" si="131"/>
        <v>0</v>
      </c>
      <c r="K1204" s="7">
        <f t="shared" si="132"/>
        <v>2093</v>
      </c>
      <c r="L1204" s="7">
        <f t="shared" si="132"/>
        <v>2226952</v>
      </c>
      <c r="M1204" s="4" t="s">
        <v>170</v>
      </c>
      <c r="N1204" s="6" t="s">
        <v>171</v>
      </c>
      <c r="O1204" s="6" t="s">
        <v>55</v>
      </c>
      <c r="P1204" s="6" t="s">
        <v>55</v>
      </c>
      <c r="Q1204" s="6" t="s">
        <v>2627</v>
      </c>
      <c r="R1204" s="6" t="s">
        <v>57</v>
      </c>
      <c r="S1204" s="6" t="s">
        <v>56</v>
      </c>
      <c r="T1204" s="6" t="s">
        <v>56</v>
      </c>
      <c r="AR1204" s="6" t="s">
        <v>55</v>
      </c>
      <c r="AS1204" s="6" t="s">
        <v>55</v>
      </c>
      <c r="AU1204" s="6" t="s">
        <v>2640</v>
      </c>
      <c r="AV1204">
        <v>2657</v>
      </c>
    </row>
    <row r="1205" spans="1:48" ht="30" customHeight="1" x14ac:dyDescent="0.3">
      <c r="A1205" s="4" t="s">
        <v>173</v>
      </c>
      <c r="B1205" s="4" t="s">
        <v>174</v>
      </c>
      <c r="C1205" s="4" t="s">
        <v>61</v>
      </c>
      <c r="D1205" s="5">
        <v>1283</v>
      </c>
      <c r="E1205" s="7">
        <f>TRUNC([1]일위대가목록!E16,0)</f>
        <v>0</v>
      </c>
      <c r="F1205" s="7">
        <f t="shared" si="129"/>
        <v>0</v>
      </c>
      <c r="G1205" s="7">
        <f>TRUNC([1]일위대가목록!F16,0)</f>
        <v>512</v>
      </c>
      <c r="H1205" s="7">
        <f t="shared" si="130"/>
        <v>656896</v>
      </c>
      <c r="I1205" s="7">
        <f>TRUNC([1]일위대가목록!G16,0)</f>
        <v>0</v>
      </c>
      <c r="J1205" s="7">
        <f t="shared" si="131"/>
        <v>0</v>
      </c>
      <c r="K1205" s="7">
        <f t="shared" si="132"/>
        <v>512</v>
      </c>
      <c r="L1205" s="7">
        <f t="shared" si="132"/>
        <v>656896</v>
      </c>
      <c r="M1205" s="4" t="s">
        <v>175</v>
      </c>
      <c r="N1205" s="6" t="s">
        <v>176</v>
      </c>
      <c r="O1205" s="6" t="s">
        <v>55</v>
      </c>
      <c r="P1205" s="6" t="s">
        <v>55</v>
      </c>
      <c r="Q1205" s="6" t="s">
        <v>2627</v>
      </c>
      <c r="R1205" s="6" t="s">
        <v>57</v>
      </c>
      <c r="S1205" s="6" t="s">
        <v>56</v>
      </c>
      <c r="T1205" s="6" t="s">
        <v>56</v>
      </c>
      <c r="AR1205" s="6" t="s">
        <v>55</v>
      </c>
      <c r="AS1205" s="6" t="s">
        <v>55</v>
      </c>
      <c r="AU1205" s="6" t="s">
        <v>2641</v>
      </c>
      <c r="AV1205">
        <v>2658</v>
      </c>
    </row>
    <row r="1206" spans="1:48" ht="30" customHeight="1" x14ac:dyDescent="0.3">
      <c r="A1206" s="4" t="s">
        <v>183</v>
      </c>
      <c r="B1206" s="4" t="s">
        <v>184</v>
      </c>
      <c r="C1206" s="4" t="s">
        <v>61</v>
      </c>
      <c r="D1206" s="5">
        <v>27</v>
      </c>
      <c r="E1206" s="7">
        <f>TRUNC([1]일위대가목록!E18,0)</f>
        <v>998</v>
      </c>
      <c r="F1206" s="7">
        <f t="shared" si="129"/>
        <v>26946</v>
      </c>
      <c r="G1206" s="7">
        <f>TRUNC([1]일위대가목록!F18,0)</f>
        <v>175</v>
      </c>
      <c r="H1206" s="7">
        <f t="shared" si="130"/>
        <v>4725</v>
      </c>
      <c r="I1206" s="7">
        <f>TRUNC([1]일위대가목록!G18,0)</f>
        <v>0</v>
      </c>
      <c r="J1206" s="7">
        <f t="shared" si="131"/>
        <v>0</v>
      </c>
      <c r="K1206" s="7">
        <f t="shared" si="132"/>
        <v>1173</v>
      </c>
      <c r="L1206" s="7">
        <f t="shared" si="132"/>
        <v>31671</v>
      </c>
      <c r="M1206" s="4" t="s">
        <v>185</v>
      </c>
      <c r="N1206" s="6" t="s">
        <v>186</v>
      </c>
      <c r="O1206" s="6" t="s">
        <v>55</v>
      </c>
      <c r="P1206" s="6" t="s">
        <v>55</v>
      </c>
      <c r="Q1206" s="6" t="s">
        <v>2627</v>
      </c>
      <c r="R1206" s="6" t="s">
        <v>57</v>
      </c>
      <c r="S1206" s="6" t="s">
        <v>56</v>
      </c>
      <c r="T1206" s="6" t="s">
        <v>56</v>
      </c>
      <c r="AR1206" s="6" t="s">
        <v>55</v>
      </c>
      <c r="AS1206" s="6" t="s">
        <v>55</v>
      </c>
      <c r="AU1206" s="6" t="s">
        <v>2642</v>
      </c>
      <c r="AV1206">
        <v>2659</v>
      </c>
    </row>
    <row r="1207" spans="1:48" ht="30" customHeight="1" x14ac:dyDescent="0.3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</row>
    <row r="1208" spans="1:48" ht="30" customHeight="1" x14ac:dyDescent="0.3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</row>
    <row r="1209" spans="1:48" ht="30" customHeight="1" x14ac:dyDescent="0.3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</row>
    <row r="1210" spans="1:48" ht="30" customHeight="1" x14ac:dyDescent="0.3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</row>
    <row r="1211" spans="1:48" ht="30" customHeight="1" x14ac:dyDescent="0.3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</row>
    <row r="1212" spans="1:48" ht="30" customHeight="1" x14ac:dyDescent="0.3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</row>
    <row r="1213" spans="1:48" ht="30" customHeight="1" x14ac:dyDescent="0.3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</row>
    <row r="1214" spans="1:48" ht="30" customHeight="1" x14ac:dyDescent="0.3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</row>
    <row r="1215" spans="1:48" ht="30" customHeight="1" x14ac:dyDescent="0.3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</row>
    <row r="1216" spans="1:48" ht="30" customHeight="1" x14ac:dyDescent="0.3">
      <c r="A1216" s="4" t="s">
        <v>128</v>
      </c>
      <c r="B1216" s="5"/>
      <c r="C1216" s="5"/>
      <c r="D1216" s="5"/>
      <c r="E1216" s="5"/>
      <c r="F1216" s="7">
        <f>SUM(F1197:F1215)</f>
        <v>2507990</v>
      </c>
      <c r="G1216" s="5"/>
      <c r="H1216" s="7">
        <f>SUM(H1197:H1215)</f>
        <v>63441099</v>
      </c>
      <c r="I1216" s="5"/>
      <c r="J1216" s="7">
        <f>SUM(J1197:J1215)</f>
        <v>711252</v>
      </c>
      <c r="K1216" s="5"/>
      <c r="L1216" s="7">
        <f>SUM(L1197:L1215)</f>
        <v>66660341</v>
      </c>
      <c r="M1216" s="5"/>
      <c r="N1216" t="s">
        <v>129</v>
      </c>
    </row>
    <row r="1217" spans="1:48" ht="30" customHeight="1" x14ac:dyDescent="0.3">
      <c r="A1217" s="4" t="s">
        <v>2643</v>
      </c>
      <c r="B1217" s="4" t="s">
        <v>2626</v>
      </c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Q1217" s="6" t="s">
        <v>2644</v>
      </c>
    </row>
    <row r="1218" spans="1:48" ht="30" customHeight="1" x14ac:dyDescent="0.3">
      <c r="A1218" s="4" t="s">
        <v>190</v>
      </c>
      <c r="B1218" s="4" t="s">
        <v>191</v>
      </c>
      <c r="C1218" s="4" t="s">
        <v>106</v>
      </c>
      <c r="D1218" s="5">
        <v>30.155999999999999</v>
      </c>
      <c r="E1218" s="7">
        <f>TRUNC([1]단가대비표!O654,0)</f>
        <v>0</v>
      </c>
      <c r="F1218" s="7">
        <f t="shared" ref="F1218:F1238" si="133">TRUNC(E1218*D1218, 0)</f>
        <v>0</v>
      </c>
      <c r="G1218" s="7">
        <f>TRUNC([1]단가대비표!P654,0)</f>
        <v>0</v>
      </c>
      <c r="H1218" s="7">
        <f t="shared" ref="H1218:H1238" si="134">TRUNC(G1218*D1218, 0)</f>
        <v>0</v>
      </c>
      <c r="I1218" s="7">
        <f>TRUNC([1]단가대비표!V654,0)</f>
        <v>0</v>
      </c>
      <c r="J1218" s="7">
        <f t="shared" ref="J1218:J1238" si="135">TRUNC(I1218*D1218, 0)</f>
        <v>0</v>
      </c>
      <c r="K1218" s="7">
        <f t="shared" ref="K1218:L1238" si="136">TRUNC(E1218+G1218+I1218, 0)</f>
        <v>0</v>
      </c>
      <c r="L1218" s="7">
        <f t="shared" si="136"/>
        <v>0</v>
      </c>
      <c r="M1218" s="4" t="s">
        <v>55</v>
      </c>
      <c r="N1218" s="6" t="s">
        <v>2645</v>
      </c>
      <c r="O1218" s="6" t="s">
        <v>55</v>
      </c>
      <c r="P1218" s="6" t="s">
        <v>55</v>
      </c>
      <c r="Q1218" s="6" t="s">
        <v>2644</v>
      </c>
      <c r="R1218" s="6" t="s">
        <v>56</v>
      </c>
      <c r="S1218" s="6" t="s">
        <v>56</v>
      </c>
      <c r="T1218" s="6" t="s">
        <v>57</v>
      </c>
      <c r="AR1218" s="6" t="s">
        <v>55</v>
      </c>
      <c r="AS1218" s="6" t="s">
        <v>55</v>
      </c>
      <c r="AU1218" s="6" t="s">
        <v>2646</v>
      </c>
      <c r="AV1218">
        <v>2113</v>
      </c>
    </row>
    <row r="1219" spans="1:48" ht="30" customHeight="1" x14ac:dyDescent="0.3">
      <c r="A1219" s="4" t="s">
        <v>190</v>
      </c>
      <c r="B1219" s="4" t="s">
        <v>194</v>
      </c>
      <c r="C1219" s="4" t="s">
        <v>106</v>
      </c>
      <c r="D1219" s="5">
        <v>23.863</v>
      </c>
      <c r="E1219" s="7">
        <f>TRUNC([1]단가대비표!O655,0)</f>
        <v>0</v>
      </c>
      <c r="F1219" s="7">
        <f t="shared" si="133"/>
        <v>0</v>
      </c>
      <c r="G1219" s="7">
        <f>TRUNC([1]단가대비표!P655,0)</f>
        <v>0</v>
      </c>
      <c r="H1219" s="7">
        <f t="shared" si="134"/>
        <v>0</v>
      </c>
      <c r="I1219" s="7">
        <f>TRUNC([1]단가대비표!V655,0)</f>
        <v>0</v>
      </c>
      <c r="J1219" s="7">
        <f t="shared" si="135"/>
        <v>0</v>
      </c>
      <c r="K1219" s="7">
        <f t="shared" si="136"/>
        <v>0</v>
      </c>
      <c r="L1219" s="7">
        <f t="shared" si="136"/>
        <v>0</v>
      </c>
      <c r="M1219" s="4" t="s">
        <v>55</v>
      </c>
      <c r="N1219" s="6" t="s">
        <v>2647</v>
      </c>
      <c r="O1219" s="6" t="s">
        <v>55</v>
      </c>
      <c r="P1219" s="6" t="s">
        <v>55</v>
      </c>
      <c r="Q1219" s="6" t="s">
        <v>2644</v>
      </c>
      <c r="R1219" s="6" t="s">
        <v>56</v>
      </c>
      <c r="S1219" s="6" t="s">
        <v>56</v>
      </c>
      <c r="T1219" s="6" t="s">
        <v>57</v>
      </c>
      <c r="AR1219" s="6" t="s">
        <v>55</v>
      </c>
      <c r="AS1219" s="6" t="s">
        <v>55</v>
      </c>
      <c r="AU1219" s="6" t="s">
        <v>2648</v>
      </c>
      <c r="AV1219">
        <v>2114</v>
      </c>
    </row>
    <row r="1220" spans="1:48" ht="30" customHeight="1" x14ac:dyDescent="0.3">
      <c r="A1220" s="4" t="s">
        <v>190</v>
      </c>
      <c r="B1220" s="4" t="s">
        <v>197</v>
      </c>
      <c r="C1220" s="4" t="s">
        <v>106</v>
      </c>
      <c r="D1220" s="5">
        <v>0.19800000000000001</v>
      </c>
      <c r="E1220" s="7">
        <f>TRUNC([1]단가대비표!O656,0)</f>
        <v>0</v>
      </c>
      <c r="F1220" s="7">
        <f t="shared" si="133"/>
        <v>0</v>
      </c>
      <c r="G1220" s="7">
        <f>TRUNC([1]단가대비표!P656,0)</f>
        <v>0</v>
      </c>
      <c r="H1220" s="7">
        <f t="shared" si="134"/>
        <v>0</v>
      </c>
      <c r="I1220" s="7">
        <f>TRUNC([1]단가대비표!V656,0)</f>
        <v>0</v>
      </c>
      <c r="J1220" s="7">
        <f t="shared" si="135"/>
        <v>0</v>
      </c>
      <c r="K1220" s="7">
        <f t="shared" si="136"/>
        <v>0</v>
      </c>
      <c r="L1220" s="7">
        <f t="shared" si="136"/>
        <v>0</v>
      </c>
      <c r="M1220" s="4" t="s">
        <v>55</v>
      </c>
      <c r="N1220" s="6" t="s">
        <v>2649</v>
      </c>
      <c r="O1220" s="6" t="s">
        <v>55</v>
      </c>
      <c r="P1220" s="6" t="s">
        <v>55</v>
      </c>
      <c r="Q1220" s="6" t="s">
        <v>2644</v>
      </c>
      <c r="R1220" s="6" t="s">
        <v>56</v>
      </c>
      <c r="S1220" s="6" t="s">
        <v>56</v>
      </c>
      <c r="T1220" s="6" t="s">
        <v>57</v>
      </c>
      <c r="AR1220" s="6" t="s">
        <v>55</v>
      </c>
      <c r="AS1220" s="6" t="s">
        <v>55</v>
      </c>
      <c r="AU1220" s="6" t="s">
        <v>2650</v>
      </c>
      <c r="AV1220">
        <v>2115</v>
      </c>
    </row>
    <row r="1221" spans="1:48" ht="30" customHeight="1" x14ac:dyDescent="0.3">
      <c r="A1221" s="4" t="s">
        <v>190</v>
      </c>
      <c r="B1221" s="4" t="s">
        <v>200</v>
      </c>
      <c r="C1221" s="4" t="s">
        <v>106</v>
      </c>
      <c r="D1221" s="5">
        <v>19.527000000000001</v>
      </c>
      <c r="E1221" s="7">
        <f>TRUNC([1]단가대비표!O657,0)</f>
        <v>0</v>
      </c>
      <c r="F1221" s="7">
        <f t="shared" si="133"/>
        <v>0</v>
      </c>
      <c r="G1221" s="7">
        <f>TRUNC([1]단가대비표!P657,0)</f>
        <v>0</v>
      </c>
      <c r="H1221" s="7">
        <f t="shared" si="134"/>
        <v>0</v>
      </c>
      <c r="I1221" s="7">
        <f>TRUNC([1]단가대비표!V657,0)</f>
        <v>0</v>
      </c>
      <c r="J1221" s="7">
        <f t="shared" si="135"/>
        <v>0</v>
      </c>
      <c r="K1221" s="7">
        <f t="shared" si="136"/>
        <v>0</v>
      </c>
      <c r="L1221" s="7">
        <f t="shared" si="136"/>
        <v>0</v>
      </c>
      <c r="M1221" s="4" t="s">
        <v>55</v>
      </c>
      <c r="N1221" s="6" t="s">
        <v>2651</v>
      </c>
      <c r="O1221" s="6" t="s">
        <v>55</v>
      </c>
      <c r="P1221" s="6" t="s">
        <v>55</v>
      </c>
      <c r="Q1221" s="6" t="s">
        <v>2644</v>
      </c>
      <c r="R1221" s="6" t="s">
        <v>56</v>
      </c>
      <c r="S1221" s="6" t="s">
        <v>56</v>
      </c>
      <c r="T1221" s="6" t="s">
        <v>57</v>
      </c>
      <c r="AR1221" s="6" t="s">
        <v>55</v>
      </c>
      <c r="AS1221" s="6" t="s">
        <v>55</v>
      </c>
      <c r="AU1221" s="6" t="s">
        <v>2652</v>
      </c>
      <c r="AV1221">
        <v>2116</v>
      </c>
    </row>
    <row r="1222" spans="1:48" ht="30" customHeight="1" x14ac:dyDescent="0.3">
      <c r="A1222" s="4" t="s">
        <v>190</v>
      </c>
      <c r="B1222" s="4" t="s">
        <v>203</v>
      </c>
      <c r="C1222" s="4" t="s">
        <v>106</v>
      </c>
      <c r="D1222" s="5">
        <v>31.395</v>
      </c>
      <c r="E1222" s="7">
        <f>TRUNC([1]단가대비표!O658,0)</f>
        <v>0</v>
      </c>
      <c r="F1222" s="7">
        <f t="shared" si="133"/>
        <v>0</v>
      </c>
      <c r="G1222" s="7">
        <f>TRUNC([1]단가대비표!P658,0)</f>
        <v>0</v>
      </c>
      <c r="H1222" s="7">
        <f t="shared" si="134"/>
        <v>0</v>
      </c>
      <c r="I1222" s="7">
        <f>TRUNC([1]단가대비표!V658,0)</f>
        <v>0</v>
      </c>
      <c r="J1222" s="7">
        <f t="shared" si="135"/>
        <v>0</v>
      </c>
      <c r="K1222" s="7">
        <f t="shared" si="136"/>
        <v>0</v>
      </c>
      <c r="L1222" s="7">
        <f t="shared" si="136"/>
        <v>0</v>
      </c>
      <c r="M1222" s="4" t="s">
        <v>55</v>
      </c>
      <c r="N1222" s="6" t="s">
        <v>2653</v>
      </c>
      <c r="O1222" s="6" t="s">
        <v>55</v>
      </c>
      <c r="P1222" s="6" t="s">
        <v>55</v>
      </c>
      <c r="Q1222" s="6" t="s">
        <v>2644</v>
      </c>
      <c r="R1222" s="6" t="s">
        <v>56</v>
      </c>
      <c r="S1222" s="6" t="s">
        <v>56</v>
      </c>
      <c r="T1222" s="6" t="s">
        <v>57</v>
      </c>
      <c r="AR1222" s="6" t="s">
        <v>55</v>
      </c>
      <c r="AS1222" s="6" t="s">
        <v>55</v>
      </c>
      <c r="AU1222" s="6" t="s">
        <v>2654</v>
      </c>
      <c r="AV1222">
        <v>2117</v>
      </c>
    </row>
    <row r="1223" spans="1:48" ht="30" customHeight="1" x14ac:dyDescent="0.3">
      <c r="A1223" s="4" t="s">
        <v>209</v>
      </c>
      <c r="B1223" s="4" t="s">
        <v>210</v>
      </c>
      <c r="C1223" s="4" t="s">
        <v>106</v>
      </c>
      <c r="D1223" s="5">
        <v>102.07899999999999</v>
      </c>
      <c r="E1223" s="7">
        <f>TRUNC([1]일위대가목록!E19,0)</f>
        <v>88376</v>
      </c>
      <c r="F1223" s="7">
        <f t="shared" si="133"/>
        <v>9021333</v>
      </c>
      <c r="G1223" s="7">
        <f>TRUNC([1]일위대가목록!F19,0)</f>
        <v>542881</v>
      </c>
      <c r="H1223" s="7">
        <f t="shared" si="134"/>
        <v>55416749</v>
      </c>
      <c r="I1223" s="7">
        <f>TRUNC([1]일위대가목록!G19,0)</f>
        <v>0</v>
      </c>
      <c r="J1223" s="7">
        <f t="shared" si="135"/>
        <v>0</v>
      </c>
      <c r="K1223" s="7">
        <f t="shared" si="136"/>
        <v>631257</v>
      </c>
      <c r="L1223" s="7">
        <f t="shared" si="136"/>
        <v>64438082</v>
      </c>
      <c r="M1223" s="4" t="s">
        <v>211</v>
      </c>
      <c r="N1223" s="6" t="s">
        <v>212</v>
      </c>
      <c r="O1223" s="6" t="s">
        <v>55</v>
      </c>
      <c r="P1223" s="6" t="s">
        <v>55</v>
      </c>
      <c r="Q1223" s="6" t="s">
        <v>2644</v>
      </c>
      <c r="R1223" s="6" t="s">
        <v>57</v>
      </c>
      <c r="S1223" s="6" t="s">
        <v>56</v>
      </c>
      <c r="T1223" s="6" t="s">
        <v>56</v>
      </c>
      <c r="AR1223" s="6" t="s">
        <v>55</v>
      </c>
      <c r="AS1223" s="6" t="s">
        <v>55</v>
      </c>
      <c r="AU1223" s="6" t="s">
        <v>2655</v>
      </c>
      <c r="AV1223">
        <v>2920</v>
      </c>
    </row>
    <row r="1224" spans="1:48" ht="30" customHeight="1" x14ac:dyDescent="0.3">
      <c r="A1224" s="4" t="s">
        <v>214</v>
      </c>
      <c r="B1224" s="4" t="s">
        <v>215</v>
      </c>
      <c r="C1224" s="4" t="s">
        <v>106</v>
      </c>
      <c r="D1224" s="5">
        <v>102.07899999999999</v>
      </c>
      <c r="E1224" s="7">
        <f>TRUNC([1]단가대비표!O799,0)</f>
        <v>9000</v>
      </c>
      <c r="F1224" s="7">
        <f t="shared" si="133"/>
        <v>918711</v>
      </c>
      <c r="G1224" s="7">
        <f>TRUNC([1]단가대비표!P799,0)</f>
        <v>0</v>
      </c>
      <c r="H1224" s="7">
        <f t="shared" si="134"/>
        <v>0</v>
      </c>
      <c r="I1224" s="7">
        <f>TRUNC([1]단가대비표!V799,0)</f>
        <v>0</v>
      </c>
      <c r="J1224" s="7">
        <f t="shared" si="135"/>
        <v>0</v>
      </c>
      <c r="K1224" s="7">
        <f t="shared" si="136"/>
        <v>9000</v>
      </c>
      <c r="L1224" s="7">
        <f t="shared" si="136"/>
        <v>918711</v>
      </c>
      <c r="M1224" s="4" t="s">
        <v>55</v>
      </c>
      <c r="N1224" s="6" t="s">
        <v>216</v>
      </c>
      <c r="O1224" s="6" t="s">
        <v>55</v>
      </c>
      <c r="P1224" s="6" t="s">
        <v>55</v>
      </c>
      <c r="Q1224" s="6" t="s">
        <v>2644</v>
      </c>
      <c r="R1224" s="6" t="s">
        <v>56</v>
      </c>
      <c r="S1224" s="6" t="s">
        <v>56</v>
      </c>
      <c r="T1224" s="6" t="s">
        <v>57</v>
      </c>
      <c r="AR1224" s="6" t="s">
        <v>55</v>
      </c>
      <c r="AS1224" s="6" t="s">
        <v>55</v>
      </c>
      <c r="AU1224" s="6" t="s">
        <v>2656</v>
      </c>
      <c r="AV1224">
        <v>3112</v>
      </c>
    </row>
    <row r="1225" spans="1:48" ht="30" customHeight="1" x14ac:dyDescent="0.3">
      <c r="A1225" s="4" t="s">
        <v>218</v>
      </c>
      <c r="B1225" s="4" t="s">
        <v>215</v>
      </c>
      <c r="C1225" s="4" t="s">
        <v>106</v>
      </c>
      <c r="D1225" s="5">
        <v>102.07899999999999</v>
      </c>
      <c r="E1225" s="7">
        <f>TRUNC([1]단가대비표!O800,0)</f>
        <v>0</v>
      </c>
      <c r="F1225" s="7">
        <f t="shared" si="133"/>
        <v>0</v>
      </c>
      <c r="G1225" s="7">
        <f>TRUNC([1]단가대비표!P800,0)</f>
        <v>9730</v>
      </c>
      <c r="H1225" s="7">
        <f t="shared" si="134"/>
        <v>993228</v>
      </c>
      <c r="I1225" s="7">
        <f>TRUNC([1]단가대비표!V800,0)</f>
        <v>2258</v>
      </c>
      <c r="J1225" s="7">
        <f t="shared" si="135"/>
        <v>230494</v>
      </c>
      <c r="K1225" s="7">
        <f t="shared" si="136"/>
        <v>11988</v>
      </c>
      <c r="L1225" s="7">
        <f t="shared" si="136"/>
        <v>1223722</v>
      </c>
      <c r="M1225" s="4" t="s">
        <v>55</v>
      </c>
      <c r="N1225" s="6" t="s">
        <v>219</v>
      </c>
      <c r="O1225" s="6" t="s">
        <v>55</v>
      </c>
      <c r="P1225" s="6" t="s">
        <v>55</v>
      </c>
      <c r="Q1225" s="6" t="s">
        <v>2644</v>
      </c>
      <c r="R1225" s="6" t="s">
        <v>56</v>
      </c>
      <c r="S1225" s="6" t="s">
        <v>56</v>
      </c>
      <c r="T1225" s="6" t="s">
        <v>57</v>
      </c>
      <c r="AR1225" s="6" t="s">
        <v>55</v>
      </c>
      <c r="AS1225" s="6" t="s">
        <v>55</v>
      </c>
      <c r="AU1225" s="6" t="s">
        <v>2657</v>
      </c>
      <c r="AV1225">
        <v>3113</v>
      </c>
    </row>
    <row r="1226" spans="1:48" ht="30" customHeight="1" x14ac:dyDescent="0.3">
      <c r="A1226" s="4" t="s">
        <v>221</v>
      </c>
      <c r="B1226" s="4" t="s">
        <v>222</v>
      </c>
      <c r="C1226" s="4" t="s">
        <v>223</v>
      </c>
      <c r="D1226" s="5">
        <v>16</v>
      </c>
      <c r="E1226" s="7">
        <f>TRUNC([1]단가대비표!O659,0)</f>
        <v>0</v>
      </c>
      <c r="F1226" s="7">
        <f t="shared" si="133"/>
        <v>0</v>
      </c>
      <c r="G1226" s="7">
        <f>TRUNC([1]단가대비표!P659,0)</f>
        <v>0</v>
      </c>
      <c r="H1226" s="7">
        <f t="shared" si="134"/>
        <v>0</v>
      </c>
      <c r="I1226" s="7">
        <f>TRUNC([1]단가대비표!V659,0)</f>
        <v>0</v>
      </c>
      <c r="J1226" s="7">
        <f t="shared" si="135"/>
        <v>0</v>
      </c>
      <c r="K1226" s="7">
        <f t="shared" si="136"/>
        <v>0</v>
      </c>
      <c r="L1226" s="7">
        <f t="shared" si="136"/>
        <v>0</v>
      </c>
      <c r="M1226" s="4" t="s">
        <v>55</v>
      </c>
      <c r="N1226" s="6" t="s">
        <v>2658</v>
      </c>
      <c r="O1226" s="6" t="s">
        <v>55</v>
      </c>
      <c r="P1226" s="6" t="s">
        <v>55</v>
      </c>
      <c r="Q1226" s="6" t="s">
        <v>2644</v>
      </c>
      <c r="R1226" s="6" t="s">
        <v>56</v>
      </c>
      <c r="S1226" s="6" t="s">
        <v>56</v>
      </c>
      <c r="T1226" s="6" t="s">
        <v>57</v>
      </c>
      <c r="AR1226" s="6" t="s">
        <v>55</v>
      </c>
      <c r="AS1226" s="6" t="s">
        <v>55</v>
      </c>
      <c r="AU1226" s="6" t="s">
        <v>2659</v>
      </c>
      <c r="AV1226">
        <v>2118</v>
      </c>
    </row>
    <row r="1227" spans="1:48" ht="30" customHeight="1" x14ac:dyDescent="0.3">
      <c r="A1227" s="4" t="s">
        <v>221</v>
      </c>
      <c r="B1227" s="4" t="s">
        <v>226</v>
      </c>
      <c r="C1227" s="4" t="s">
        <v>223</v>
      </c>
      <c r="D1227" s="5">
        <v>60</v>
      </c>
      <c r="E1227" s="7">
        <f>TRUNC([1]단가대비표!O660,0)</f>
        <v>0</v>
      </c>
      <c r="F1227" s="7">
        <f t="shared" si="133"/>
        <v>0</v>
      </c>
      <c r="G1227" s="7">
        <f>TRUNC([1]단가대비표!P660,0)</f>
        <v>0</v>
      </c>
      <c r="H1227" s="7">
        <f t="shared" si="134"/>
        <v>0</v>
      </c>
      <c r="I1227" s="7">
        <f>TRUNC([1]단가대비표!V660,0)</f>
        <v>0</v>
      </c>
      <c r="J1227" s="7">
        <f t="shared" si="135"/>
        <v>0</v>
      </c>
      <c r="K1227" s="7">
        <f t="shared" si="136"/>
        <v>0</v>
      </c>
      <c r="L1227" s="7">
        <f t="shared" si="136"/>
        <v>0</v>
      </c>
      <c r="M1227" s="4" t="s">
        <v>55</v>
      </c>
      <c r="N1227" s="6" t="s">
        <v>2660</v>
      </c>
      <c r="O1227" s="6" t="s">
        <v>55</v>
      </c>
      <c r="P1227" s="6" t="s">
        <v>55</v>
      </c>
      <c r="Q1227" s="6" t="s">
        <v>2644</v>
      </c>
      <c r="R1227" s="6" t="s">
        <v>56</v>
      </c>
      <c r="S1227" s="6" t="s">
        <v>56</v>
      </c>
      <c r="T1227" s="6" t="s">
        <v>57</v>
      </c>
      <c r="AR1227" s="6" t="s">
        <v>55</v>
      </c>
      <c r="AS1227" s="6" t="s">
        <v>55</v>
      </c>
      <c r="AU1227" s="6" t="s">
        <v>2661</v>
      </c>
      <c r="AV1227">
        <v>2119</v>
      </c>
    </row>
    <row r="1228" spans="1:48" ht="30" customHeight="1" x14ac:dyDescent="0.3">
      <c r="A1228" s="4" t="s">
        <v>221</v>
      </c>
      <c r="B1228" s="4" t="s">
        <v>2662</v>
      </c>
      <c r="C1228" s="4" t="s">
        <v>223</v>
      </c>
      <c r="D1228" s="5">
        <v>1057</v>
      </c>
      <c r="E1228" s="7">
        <f>TRUNC([1]단가대비표!O842,0)</f>
        <v>0</v>
      </c>
      <c r="F1228" s="7">
        <f t="shared" si="133"/>
        <v>0</v>
      </c>
      <c r="G1228" s="7">
        <f>TRUNC([1]단가대비표!P842,0)</f>
        <v>0</v>
      </c>
      <c r="H1228" s="7">
        <f t="shared" si="134"/>
        <v>0</v>
      </c>
      <c r="I1228" s="7">
        <f>TRUNC([1]단가대비표!V842,0)</f>
        <v>0</v>
      </c>
      <c r="J1228" s="7">
        <f t="shared" si="135"/>
        <v>0</v>
      </c>
      <c r="K1228" s="7">
        <f t="shared" si="136"/>
        <v>0</v>
      </c>
      <c r="L1228" s="7">
        <f t="shared" si="136"/>
        <v>0</v>
      </c>
      <c r="M1228" s="4" t="s">
        <v>55</v>
      </c>
      <c r="N1228" s="6" t="s">
        <v>2663</v>
      </c>
      <c r="O1228" s="6" t="s">
        <v>55</v>
      </c>
      <c r="P1228" s="6" t="s">
        <v>55</v>
      </c>
      <c r="Q1228" s="6" t="s">
        <v>2644</v>
      </c>
      <c r="R1228" s="6" t="s">
        <v>56</v>
      </c>
      <c r="S1228" s="6" t="s">
        <v>56</v>
      </c>
      <c r="T1228" s="6" t="s">
        <v>57</v>
      </c>
      <c r="AR1228" s="6" t="s">
        <v>55</v>
      </c>
      <c r="AS1228" s="6" t="s">
        <v>55</v>
      </c>
      <c r="AU1228" s="6" t="s">
        <v>2664</v>
      </c>
      <c r="AV1228">
        <v>3114</v>
      </c>
    </row>
    <row r="1229" spans="1:48" ht="30" customHeight="1" x14ac:dyDescent="0.3">
      <c r="A1229" s="4" t="s">
        <v>232</v>
      </c>
      <c r="B1229" s="4" t="s">
        <v>233</v>
      </c>
      <c r="C1229" s="4" t="s">
        <v>223</v>
      </c>
      <c r="D1229" s="5">
        <v>74</v>
      </c>
      <c r="E1229" s="7">
        <f>TRUNC([1]일위대가목록!E20,0)</f>
        <v>1610</v>
      </c>
      <c r="F1229" s="7">
        <f t="shared" si="133"/>
        <v>119140</v>
      </c>
      <c r="G1229" s="7">
        <f>TRUNC([1]일위대가목록!F20,0)</f>
        <v>10379</v>
      </c>
      <c r="H1229" s="7">
        <f t="shared" si="134"/>
        <v>768046</v>
      </c>
      <c r="I1229" s="7">
        <f>TRUNC([1]일위대가목록!G20,0)</f>
        <v>3347</v>
      </c>
      <c r="J1229" s="7">
        <f t="shared" si="135"/>
        <v>247678</v>
      </c>
      <c r="K1229" s="7">
        <f t="shared" si="136"/>
        <v>15336</v>
      </c>
      <c r="L1229" s="7">
        <f t="shared" si="136"/>
        <v>1134864</v>
      </c>
      <c r="M1229" s="4" t="s">
        <v>234</v>
      </c>
      <c r="N1229" s="6" t="s">
        <v>235</v>
      </c>
      <c r="O1229" s="6" t="s">
        <v>55</v>
      </c>
      <c r="P1229" s="6" t="s">
        <v>55</v>
      </c>
      <c r="Q1229" s="6" t="s">
        <v>2644</v>
      </c>
      <c r="R1229" s="6" t="s">
        <v>57</v>
      </c>
      <c r="S1229" s="6" t="s">
        <v>56</v>
      </c>
      <c r="T1229" s="6" t="s">
        <v>56</v>
      </c>
      <c r="AR1229" s="6" t="s">
        <v>55</v>
      </c>
      <c r="AS1229" s="6" t="s">
        <v>55</v>
      </c>
      <c r="AU1229" s="6" t="s">
        <v>2665</v>
      </c>
      <c r="AV1229">
        <v>2661</v>
      </c>
    </row>
    <row r="1230" spans="1:48" ht="30" customHeight="1" x14ac:dyDescent="0.3">
      <c r="A1230" s="4" t="s">
        <v>237</v>
      </c>
      <c r="B1230" s="4" t="s">
        <v>238</v>
      </c>
      <c r="C1230" s="4" t="s">
        <v>223</v>
      </c>
      <c r="D1230" s="5">
        <v>1047</v>
      </c>
      <c r="E1230" s="7">
        <f>TRUNC([1]일위대가목록!E21,0)</f>
        <v>1638</v>
      </c>
      <c r="F1230" s="7">
        <f t="shared" si="133"/>
        <v>1714986</v>
      </c>
      <c r="G1230" s="7">
        <f>TRUNC([1]일위대가목록!F21,0)</f>
        <v>11011</v>
      </c>
      <c r="H1230" s="7">
        <f t="shared" si="134"/>
        <v>11528517</v>
      </c>
      <c r="I1230" s="7">
        <f>TRUNC([1]일위대가목록!G21,0)</f>
        <v>3385</v>
      </c>
      <c r="J1230" s="7">
        <f t="shared" si="135"/>
        <v>3544095</v>
      </c>
      <c r="K1230" s="7">
        <f t="shared" si="136"/>
        <v>16034</v>
      </c>
      <c r="L1230" s="7">
        <f t="shared" si="136"/>
        <v>16787598</v>
      </c>
      <c r="M1230" s="4" t="s">
        <v>239</v>
      </c>
      <c r="N1230" s="6" t="s">
        <v>240</v>
      </c>
      <c r="O1230" s="6" t="s">
        <v>55</v>
      </c>
      <c r="P1230" s="6" t="s">
        <v>55</v>
      </c>
      <c r="Q1230" s="6" t="s">
        <v>2644</v>
      </c>
      <c r="R1230" s="6" t="s">
        <v>57</v>
      </c>
      <c r="S1230" s="6" t="s">
        <v>56</v>
      </c>
      <c r="T1230" s="6" t="s">
        <v>56</v>
      </c>
      <c r="AR1230" s="6" t="s">
        <v>55</v>
      </c>
      <c r="AS1230" s="6" t="s">
        <v>55</v>
      </c>
      <c r="AU1230" s="6" t="s">
        <v>2666</v>
      </c>
      <c r="AV1230">
        <v>2662</v>
      </c>
    </row>
    <row r="1231" spans="1:48" ht="30" customHeight="1" x14ac:dyDescent="0.3">
      <c r="A1231" s="4" t="s">
        <v>242</v>
      </c>
      <c r="B1231" s="4" t="s">
        <v>55</v>
      </c>
      <c r="C1231" s="4" t="s">
        <v>223</v>
      </c>
      <c r="D1231" s="5">
        <v>48</v>
      </c>
      <c r="E1231" s="7">
        <f>TRUNC([1]단가대비표!O88,0)</f>
        <v>7000</v>
      </c>
      <c r="F1231" s="7">
        <f t="shared" si="133"/>
        <v>336000</v>
      </c>
      <c r="G1231" s="7">
        <f>TRUNC([1]단가대비표!P88,0)</f>
        <v>0</v>
      </c>
      <c r="H1231" s="7">
        <f t="shared" si="134"/>
        <v>0</v>
      </c>
      <c r="I1231" s="7">
        <f>TRUNC([1]단가대비표!V88,0)</f>
        <v>0</v>
      </c>
      <c r="J1231" s="7">
        <f t="shared" si="135"/>
        <v>0</v>
      </c>
      <c r="K1231" s="7">
        <f t="shared" si="136"/>
        <v>7000</v>
      </c>
      <c r="L1231" s="7">
        <f t="shared" si="136"/>
        <v>336000</v>
      </c>
      <c r="M1231" s="4" t="s">
        <v>55</v>
      </c>
      <c r="N1231" s="6" t="s">
        <v>2326</v>
      </c>
      <c r="O1231" s="6" t="s">
        <v>55</v>
      </c>
      <c r="P1231" s="6" t="s">
        <v>55</v>
      </c>
      <c r="Q1231" s="6" t="s">
        <v>2644</v>
      </c>
      <c r="R1231" s="6" t="s">
        <v>56</v>
      </c>
      <c r="S1231" s="6" t="s">
        <v>56</v>
      </c>
      <c r="T1231" s="6" t="s">
        <v>57</v>
      </c>
      <c r="AR1231" s="6" t="s">
        <v>55</v>
      </c>
      <c r="AS1231" s="6" t="s">
        <v>55</v>
      </c>
      <c r="AU1231" s="6" t="s">
        <v>2667</v>
      </c>
      <c r="AV1231">
        <v>661</v>
      </c>
    </row>
    <row r="1232" spans="1:48" ht="30" customHeight="1" x14ac:dyDescent="0.3">
      <c r="A1232" s="4" t="s">
        <v>249</v>
      </c>
      <c r="B1232" s="4" t="s">
        <v>250</v>
      </c>
      <c r="C1232" s="4" t="s">
        <v>61</v>
      </c>
      <c r="D1232" s="5">
        <v>1049</v>
      </c>
      <c r="E1232" s="7">
        <f>TRUNC([1]일위대가목록!E22,0)</f>
        <v>18262</v>
      </c>
      <c r="F1232" s="7">
        <f t="shared" si="133"/>
        <v>19156838</v>
      </c>
      <c r="G1232" s="7">
        <f>TRUNC([1]일위대가목록!F22,0)</f>
        <v>37076</v>
      </c>
      <c r="H1232" s="7">
        <f t="shared" si="134"/>
        <v>38892724</v>
      </c>
      <c r="I1232" s="7">
        <f>TRUNC([1]일위대가목록!G22,0)</f>
        <v>0</v>
      </c>
      <c r="J1232" s="7">
        <f t="shared" si="135"/>
        <v>0</v>
      </c>
      <c r="K1232" s="7">
        <f t="shared" si="136"/>
        <v>55338</v>
      </c>
      <c r="L1232" s="7">
        <f t="shared" si="136"/>
        <v>58049562</v>
      </c>
      <c r="M1232" s="4" t="s">
        <v>251</v>
      </c>
      <c r="N1232" s="6" t="s">
        <v>252</v>
      </c>
      <c r="O1232" s="6" t="s">
        <v>55</v>
      </c>
      <c r="P1232" s="6" t="s">
        <v>55</v>
      </c>
      <c r="Q1232" s="6" t="s">
        <v>2644</v>
      </c>
      <c r="R1232" s="6" t="s">
        <v>57</v>
      </c>
      <c r="S1232" s="6" t="s">
        <v>56</v>
      </c>
      <c r="T1232" s="6" t="s">
        <v>56</v>
      </c>
      <c r="AR1232" s="6" t="s">
        <v>55</v>
      </c>
      <c r="AS1232" s="6" t="s">
        <v>55</v>
      </c>
      <c r="AU1232" s="6" t="s">
        <v>2668</v>
      </c>
      <c r="AV1232">
        <v>2663</v>
      </c>
    </row>
    <row r="1233" spans="1:48" ht="30" customHeight="1" x14ac:dyDescent="0.3">
      <c r="A1233" s="4" t="s">
        <v>249</v>
      </c>
      <c r="B1233" s="4" t="s">
        <v>254</v>
      </c>
      <c r="C1233" s="4" t="s">
        <v>61</v>
      </c>
      <c r="D1233" s="5">
        <v>236</v>
      </c>
      <c r="E1233" s="7">
        <f>TRUNC([1]일위대가목록!E23,0)</f>
        <v>18262</v>
      </c>
      <c r="F1233" s="7">
        <f t="shared" si="133"/>
        <v>4309832</v>
      </c>
      <c r="G1233" s="7">
        <f>TRUNC([1]일위대가목록!F23,0)</f>
        <v>37076</v>
      </c>
      <c r="H1233" s="7">
        <f t="shared" si="134"/>
        <v>8749936</v>
      </c>
      <c r="I1233" s="7">
        <f>TRUNC([1]일위대가목록!G23,0)</f>
        <v>0</v>
      </c>
      <c r="J1233" s="7">
        <f t="shared" si="135"/>
        <v>0</v>
      </c>
      <c r="K1233" s="7">
        <f t="shared" si="136"/>
        <v>55338</v>
      </c>
      <c r="L1233" s="7">
        <f t="shared" si="136"/>
        <v>13059768</v>
      </c>
      <c r="M1233" s="4" t="s">
        <v>255</v>
      </c>
      <c r="N1233" s="6" t="s">
        <v>256</v>
      </c>
      <c r="O1233" s="6" t="s">
        <v>55</v>
      </c>
      <c r="P1233" s="6" t="s">
        <v>55</v>
      </c>
      <c r="Q1233" s="6" t="s">
        <v>2644</v>
      </c>
      <c r="R1233" s="6" t="s">
        <v>57</v>
      </c>
      <c r="S1233" s="6" t="s">
        <v>56</v>
      </c>
      <c r="T1233" s="6" t="s">
        <v>56</v>
      </c>
      <c r="AR1233" s="6" t="s">
        <v>55</v>
      </c>
      <c r="AS1233" s="6" t="s">
        <v>55</v>
      </c>
      <c r="AU1233" s="6" t="s">
        <v>2669</v>
      </c>
      <c r="AV1233">
        <v>2664</v>
      </c>
    </row>
    <row r="1234" spans="1:48" ht="30" customHeight="1" x14ac:dyDescent="0.3">
      <c r="A1234" s="4" t="s">
        <v>249</v>
      </c>
      <c r="B1234" s="4" t="s">
        <v>258</v>
      </c>
      <c r="C1234" s="4" t="s">
        <v>61</v>
      </c>
      <c r="D1234" s="5">
        <v>59</v>
      </c>
      <c r="E1234" s="7">
        <f>TRUNC([1]일위대가목록!E24,0)</f>
        <v>14961</v>
      </c>
      <c r="F1234" s="7">
        <f t="shared" si="133"/>
        <v>882699</v>
      </c>
      <c r="G1234" s="7">
        <f>TRUNC([1]일위대가목록!F24,0)</f>
        <v>25472</v>
      </c>
      <c r="H1234" s="7">
        <f t="shared" si="134"/>
        <v>1502848</v>
      </c>
      <c r="I1234" s="7">
        <f>TRUNC([1]일위대가목록!G24,0)</f>
        <v>0</v>
      </c>
      <c r="J1234" s="7">
        <f t="shared" si="135"/>
        <v>0</v>
      </c>
      <c r="K1234" s="7">
        <f t="shared" si="136"/>
        <v>40433</v>
      </c>
      <c r="L1234" s="7">
        <f t="shared" si="136"/>
        <v>2385547</v>
      </c>
      <c r="M1234" s="4" t="s">
        <v>259</v>
      </c>
      <c r="N1234" s="6" t="s">
        <v>260</v>
      </c>
      <c r="O1234" s="6" t="s">
        <v>55</v>
      </c>
      <c r="P1234" s="6" t="s">
        <v>55</v>
      </c>
      <c r="Q1234" s="6" t="s">
        <v>2644</v>
      </c>
      <c r="R1234" s="6" t="s">
        <v>57</v>
      </c>
      <c r="S1234" s="6" t="s">
        <v>56</v>
      </c>
      <c r="T1234" s="6" t="s">
        <v>56</v>
      </c>
      <c r="AR1234" s="6" t="s">
        <v>55</v>
      </c>
      <c r="AS1234" s="6" t="s">
        <v>55</v>
      </c>
      <c r="AU1234" s="6" t="s">
        <v>2670</v>
      </c>
      <c r="AV1234">
        <v>2665</v>
      </c>
    </row>
    <row r="1235" spans="1:48" ht="30" customHeight="1" x14ac:dyDescent="0.3">
      <c r="A1235" s="4" t="s">
        <v>262</v>
      </c>
      <c r="B1235" s="4" t="s">
        <v>263</v>
      </c>
      <c r="C1235" s="4" t="s">
        <v>61</v>
      </c>
      <c r="D1235" s="5">
        <v>3815</v>
      </c>
      <c r="E1235" s="7">
        <f>TRUNC([1]일위대가목록!E25,0)</f>
        <v>5626</v>
      </c>
      <c r="F1235" s="7">
        <f t="shared" si="133"/>
        <v>21463190</v>
      </c>
      <c r="G1235" s="7">
        <f>TRUNC([1]일위대가목록!F25,0)</f>
        <v>29534</v>
      </c>
      <c r="H1235" s="7">
        <f t="shared" si="134"/>
        <v>112672210</v>
      </c>
      <c r="I1235" s="7">
        <f>TRUNC([1]일위대가목록!G25,0)</f>
        <v>0</v>
      </c>
      <c r="J1235" s="7">
        <f t="shared" si="135"/>
        <v>0</v>
      </c>
      <c r="K1235" s="7">
        <f t="shared" si="136"/>
        <v>35160</v>
      </c>
      <c r="L1235" s="7">
        <f t="shared" si="136"/>
        <v>134135400</v>
      </c>
      <c r="M1235" s="4" t="s">
        <v>264</v>
      </c>
      <c r="N1235" s="6" t="s">
        <v>265</v>
      </c>
      <c r="O1235" s="6" t="s">
        <v>55</v>
      </c>
      <c r="P1235" s="6" t="s">
        <v>55</v>
      </c>
      <c r="Q1235" s="6" t="s">
        <v>2644</v>
      </c>
      <c r="R1235" s="6" t="s">
        <v>57</v>
      </c>
      <c r="S1235" s="6" t="s">
        <v>56</v>
      </c>
      <c r="T1235" s="6" t="s">
        <v>56</v>
      </c>
      <c r="AR1235" s="6" t="s">
        <v>55</v>
      </c>
      <c r="AS1235" s="6" t="s">
        <v>55</v>
      </c>
      <c r="AU1235" s="6" t="s">
        <v>2671</v>
      </c>
      <c r="AV1235">
        <v>2666</v>
      </c>
    </row>
    <row r="1236" spans="1:48" ht="30" customHeight="1" x14ac:dyDescent="0.3">
      <c r="A1236" s="4" t="s">
        <v>314</v>
      </c>
      <c r="B1236" s="4" t="s">
        <v>315</v>
      </c>
      <c r="C1236" s="4" t="s">
        <v>140</v>
      </c>
      <c r="D1236" s="5">
        <v>204</v>
      </c>
      <c r="E1236" s="7">
        <f>TRUNC([1]단가대비표!O479,0)</f>
        <v>0</v>
      </c>
      <c r="F1236" s="7">
        <f t="shared" si="133"/>
        <v>0</v>
      </c>
      <c r="G1236" s="7">
        <f>TRUNC([1]단가대비표!P479,0)</f>
        <v>0</v>
      </c>
      <c r="H1236" s="7">
        <f t="shared" si="134"/>
        <v>0</v>
      </c>
      <c r="I1236" s="7">
        <f>TRUNC([1]단가대비표!V479,0)</f>
        <v>0</v>
      </c>
      <c r="J1236" s="7">
        <f t="shared" si="135"/>
        <v>0</v>
      </c>
      <c r="K1236" s="7">
        <f t="shared" si="136"/>
        <v>0</v>
      </c>
      <c r="L1236" s="7">
        <f t="shared" si="136"/>
        <v>0</v>
      </c>
      <c r="M1236" s="4" t="s">
        <v>316</v>
      </c>
      <c r="N1236" s="6" t="s">
        <v>2672</v>
      </c>
      <c r="O1236" s="6" t="s">
        <v>55</v>
      </c>
      <c r="P1236" s="6" t="s">
        <v>55</v>
      </c>
      <c r="Q1236" s="6" t="s">
        <v>2644</v>
      </c>
      <c r="R1236" s="6" t="s">
        <v>56</v>
      </c>
      <c r="S1236" s="6" t="s">
        <v>56</v>
      </c>
      <c r="T1236" s="6" t="s">
        <v>57</v>
      </c>
      <c r="AR1236" s="6" t="s">
        <v>55</v>
      </c>
      <c r="AS1236" s="6" t="s">
        <v>55</v>
      </c>
      <c r="AU1236" s="6" t="s">
        <v>2673</v>
      </c>
      <c r="AV1236">
        <v>1662</v>
      </c>
    </row>
    <row r="1237" spans="1:48" ht="30" customHeight="1" x14ac:dyDescent="0.3">
      <c r="A1237" s="4" t="s">
        <v>314</v>
      </c>
      <c r="B1237" s="4" t="s">
        <v>319</v>
      </c>
      <c r="C1237" s="4" t="s">
        <v>140</v>
      </c>
      <c r="D1237" s="5">
        <v>452</v>
      </c>
      <c r="E1237" s="7">
        <f>TRUNC([1]단가대비표!O480,0)</f>
        <v>0</v>
      </c>
      <c r="F1237" s="7">
        <f t="shared" si="133"/>
        <v>0</v>
      </c>
      <c r="G1237" s="7">
        <f>TRUNC([1]단가대비표!P480,0)</f>
        <v>0</v>
      </c>
      <c r="H1237" s="7">
        <f t="shared" si="134"/>
        <v>0</v>
      </c>
      <c r="I1237" s="7">
        <f>TRUNC([1]단가대비표!V480,0)</f>
        <v>0</v>
      </c>
      <c r="J1237" s="7">
        <f t="shared" si="135"/>
        <v>0</v>
      </c>
      <c r="K1237" s="7">
        <f t="shared" si="136"/>
        <v>0</v>
      </c>
      <c r="L1237" s="7">
        <f t="shared" si="136"/>
        <v>0</v>
      </c>
      <c r="M1237" s="4" t="s">
        <v>320</v>
      </c>
      <c r="N1237" s="6" t="s">
        <v>2674</v>
      </c>
      <c r="O1237" s="6" t="s">
        <v>55</v>
      </c>
      <c r="P1237" s="6" t="s">
        <v>55</v>
      </c>
      <c r="Q1237" s="6" t="s">
        <v>2644</v>
      </c>
      <c r="R1237" s="6" t="s">
        <v>56</v>
      </c>
      <c r="S1237" s="6" t="s">
        <v>56</v>
      </c>
      <c r="T1237" s="6" t="s">
        <v>57</v>
      </c>
      <c r="AR1237" s="6" t="s">
        <v>55</v>
      </c>
      <c r="AS1237" s="6" t="s">
        <v>55</v>
      </c>
      <c r="AU1237" s="6" t="s">
        <v>2675</v>
      </c>
      <c r="AV1237">
        <v>1663</v>
      </c>
    </row>
    <row r="1238" spans="1:48" ht="30" customHeight="1" x14ac:dyDescent="0.3">
      <c r="A1238" s="4" t="s">
        <v>327</v>
      </c>
      <c r="B1238" s="4" t="s">
        <v>328</v>
      </c>
      <c r="C1238" s="4" t="s">
        <v>61</v>
      </c>
      <c r="D1238" s="5">
        <v>656</v>
      </c>
      <c r="E1238" s="7">
        <f>TRUNC([1]단가대비표!O898,0)</f>
        <v>8000</v>
      </c>
      <c r="F1238" s="7">
        <f t="shared" si="133"/>
        <v>5248000</v>
      </c>
      <c r="G1238" s="7">
        <f>TRUNC([1]단가대비표!P898,0)</f>
        <v>0</v>
      </c>
      <c r="H1238" s="7">
        <f t="shared" si="134"/>
        <v>0</v>
      </c>
      <c r="I1238" s="7">
        <f>TRUNC([1]단가대비표!V898,0)</f>
        <v>0</v>
      </c>
      <c r="J1238" s="7">
        <f t="shared" si="135"/>
        <v>0</v>
      </c>
      <c r="K1238" s="7">
        <f t="shared" si="136"/>
        <v>8000</v>
      </c>
      <c r="L1238" s="7">
        <f t="shared" si="136"/>
        <v>5248000</v>
      </c>
      <c r="M1238" s="4" t="s">
        <v>115</v>
      </c>
      <c r="N1238" s="6" t="s">
        <v>329</v>
      </c>
      <c r="O1238" s="6" t="s">
        <v>55</v>
      </c>
      <c r="P1238" s="6" t="s">
        <v>55</v>
      </c>
      <c r="Q1238" s="6" t="s">
        <v>2644</v>
      </c>
      <c r="R1238" s="6" t="s">
        <v>56</v>
      </c>
      <c r="S1238" s="6" t="s">
        <v>56</v>
      </c>
      <c r="T1238" s="6" t="s">
        <v>57</v>
      </c>
      <c r="AR1238" s="6" t="s">
        <v>55</v>
      </c>
      <c r="AS1238" s="6" t="s">
        <v>55</v>
      </c>
      <c r="AU1238" s="6" t="s">
        <v>2676</v>
      </c>
      <c r="AV1238">
        <v>3508</v>
      </c>
    </row>
    <row r="1239" spans="1:48" ht="30" customHeight="1" x14ac:dyDescent="0.3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</row>
    <row r="1240" spans="1:48" ht="30" customHeight="1" x14ac:dyDescent="0.3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</row>
    <row r="1241" spans="1:48" ht="30" customHeight="1" x14ac:dyDescent="0.3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</row>
    <row r="1242" spans="1:48" ht="30" customHeight="1" x14ac:dyDescent="0.3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</row>
    <row r="1243" spans="1:48" ht="30" customHeight="1" x14ac:dyDescent="0.3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</row>
    <row r="1244" spans="1:48" ht="30" customHeight="1" x14ac:dyDescent="0.3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</row>
    <row r="1245" spans="1:48" ht="30" customHeight="1" x14ac:dyDescent="0.3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</row>
    <row r="1246" spans="1:48" ht="30" customHeight="1" x14ac:dyDescent="0.3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</row>
    <row r="1247" spans="1:48" ht="30" customHeight="1" x14ac:dyDescent="0.3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</row>
    <row r="1248" spans="1:48" ht="30" customHeight="1" x14ac:dyDescent="0.3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</row>
    <row r="1249" spans="1:48" ht="30" customHeight="1" x14ac:dyDescent="0.3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</row>
    <row r="1250" spans="1:48" ht="30" customHeight="1" x14ac:dyDescent="0.3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</row>
    <row r="1251" spans="1:48" ht="30" customHeight="1" x14ac:dyDescent="0.3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</row>
    <row r="1252" spans="1:48" ht="30" customHeight="1" x14ac:dyDescent="0.3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</row>
    <row r="1253" spans="1:48" ht="30" customHeight="1" x14ac:dyDescent="0.3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</row>
    <row r="1254" spans="1:48" ht="30" customHeight="1" x14ac:dyDescent="0.3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</row>
    <row r="1255" spans="1:48" ht="30" customHeight="1" x14ac:dyDescent="0.3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</row>
    <row r="1256" spans="1:48" ht="30" customHeight="1" x14ac:dyDescent="0.3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</row>
    <row r="1257" spans="1:48" ht="30" customHeight="1" x14ac:dyDescent="0.3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</row>
    <row r="1258" spans="1:48" ht="30" customHeight="1" x14ac:dyDescent="0.3">
      <c r="A1258" s="4" t="s">
        <v>128</v>
      </c>
      <c r="B1258" s="5"/>
      <c r="C1258" s="5"/>
      <c r="D1258" s="5"/>
      <c r="E1258" s="5"/>
      <c r="F1258" s="7">
        <f>SUM(F1218:F1257)</f>
        <v>63170729</v>
      </c>
      <c r="G1258" s="5"/>
      <c r="H1258" s="7">
        <f>SUM(H1218:H1257)</f>
        <v>230524258</v>
      </c>
      <c r="I1258" s="5"/>
      <c r="J1258" s="7">
        <f>SUM(J1218:J1257)</f>
        <v>4022267</v>
      </c>
      <c r="K1258" s="5"/>
      <c r="L1258" s="7">
        <f>SUM(L1218:L1257)</f>
        <v>297717254</v>
      </c>
      <c r="M1258" s="5"/>
      <c r="N1258" t="s">
        <v>129</v>
      </c>
    </row>
    <row r="1259" spans="1:48" ht="30" customHeight="1" x14ac:dyDescent="0.3">
      <c r="A1259" s="4" t="s">
        <v>2677</v>
      </c>
      <c r="B1259" s="4" t="s">
        <v>2626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Q1259" s="6" t="s">
        <v>2678</v>
      </c>
    </row>
    <row r="1260" spans="1:48" ht="30" customHeight="1" x14ac:dyDescent="0.3">
      <c r="A1260" s="4" t="s">
        <v>416</v>
      </c>
      <c r="B1260" s="4" t="s">
        <v>417</v>
      </c>
      <c r="C1260" s="4" t="s">
        <v>61</v>
      </c>
      <c r="D1260" s="5">
        <v>12</v>
      </c>
      <c r="E1260" s="7">
        <f>TRUNC([1]일위대가목록!E35,0)</f>
        <v>483</v>
      </c>
      <c r="F1260" s="7">
        <f t="shared" ref="F1260:F1272" si="137">TRUNC(E1260*D1260, 0)</f>
        <v>5796</v>
      </c>
      <c r="G1260" s="7">
        <f>TRUNC([1]일위대가목록!F35,0)</f>
        <v>26396</v>
      </c>
      <c r="H1260" s="7">
        <f t="shared" ref="H1260:H1272" si="138">TRUNC(G1260*D1260, 0)</f>
        <v>316752</v>
      </c>
      <c r="I1260" s="7">
        <f>TRUNC([1]일위대가목록!G35,0)</f>
        <v>0</v>
      </c>
      <c r="J1260" s="7">
        <f t="shared" ref="J1260:J1272" si="139">TRUNC(I1260*D1260, 0)</f>
        <v>0</v>
      </c>
      <c r="K1260" s="7">
        <f t="shared" ref="K1260:L1272" si="140">TRUNC(E1260+G1260+I1260, 0)</f>
        <v>26879</v>
      </c>
      <c r="L1260" s="7">
        <f t="shared" si="140"/>
        <v>322548</v>
      </c>
      <c r="M1260" s="4" t="s">
        <v>418</v>
      </c>
      <c r="N1260" s="6" t="s">
        <v>419</v>
      </c>
      <c r="O1260" s="6" t="s">
        <v>55</v>
      </c>
      <c r="P1260" s="6" t="s">
        <v>55</v>
      </c>
      <c r="Q1260" s="6" t="s">
        <v>2678</v>
      </c>
      <c r="R1260" s="6" t="s">
        <v>57</v>
      </c>
      <c r="S1260" s="6" t="s">
        <v>56</v>
      </c>
      <c r="T1260" s="6" t="s">
        <v>56</v>
      </c>
      <c r="AR1260" s="6" t="s">
        <v>55</v>
      </c>
      <c r="AS1260" s="6" t="s">
        <v>55</v>
      </c>
      <c r="AU1260" s="6" t="s">
        <v>2679</v>
      </c>
      <c r="AV1260">
        <v>2667</v>
      </c>
    </row>
    <row r="1261" spans="1:48" ht="30" customHeight="1" x14ac:dyDescent="0.3">
      <c r="A1261" s="4" t="s">
        <v>416</v>
      </c>
      <c r="B1261" s="4" t="s">
        <v>421</v>
      </c>
      <c r="C1261" s="4" t="s">
        <v>61</v>
      </c>
      <c r="D1261" s="5">
        <v>37</v>
      </c>
      <c r="E1261" s="7">
        <f>TRUNC([1]일위대가목록!E36,0)</f>
        <v>645</v>
      </c>
      <c r="F1261" s="7">
        <f t="shared" si="137"/>
        <v>23865</v>
      </c>
      <c r="G1261" s="7">
        <f>TRUNC([1]일위대가목록!F36,0)</f>
        <v>34301</v>
      </c>
      <c r="H1261" s="7">
        <f t="shared" si="138"/>
        <v>1269137</v>
      </c>
      <c r="I1261" s="7">
        <f>TRUNC([1]일위대가목록!G36,0)</f>
        <v>0</v>
      </c>
      <c r="J1261" s="7">
        <f t="shared" si="139"/>
        <v>0</v>
      </c>
      <c r="K1261" s="7">
        <f t="shared" si="140"/>
        <v>34946</v>
      </c>
      <c r="L1261" s="7">
        <f t="shared" si="140"/>
        <v>1293002</v>
      </c>
      <c r="M1261" s="4" t="s">
        <v>422</v>
      </c>
      <c r="N1261" s="6" t="s">
        <v>423</v>
      </c>
      <c r="O1261" s="6" t="s">
        <v>55</v>
      </c>
      <c r="P1261" s="6" t="s">
        <v>55</v>
      </c>
      <c r="Q1261" s="6" t="s">
        <v>2678</v>
      </c>
      <c r="R1261" s="6" t="s">
        <v>57</v>
      </c>
      <c r="S1261" s="6" t="s">
        <v>56</v>
      </c>
      <c r="T1261" s="6" t="s">
        <v>56</v>
      </c>
      <c r="AR1261" s="6" t="s">
        <v>55</v>
      </c>
      <c r="AS1261" s="6" t="s">
        <v>55</v>
      </c>
      <c r="AU1261" s="6" t="s">
        <v>2680</v>
      </c>
      <c r="AV1261">
        <v>2668</v>
      </c>
    </row>
    <row r="1262" spans="1:48" ht="30" customHeight="1" x14ac:dyDescent="0.3">
      <c r="A1262" s="4" t="s">
        <v>425</v>
      </c>
      <c r="B1262" s="4" t="s">
        <v>421</v>
      </c>
      <c r="C1262" s="4" t="s">
        <v>61</v>
      </c>
      <c r="D1262" s="5">
        <v>512</v>
      </c>
      <c r="E1262" s="7">
        <f>TRUNC([1]일위대가목록!E37,0)</f>
        <v>1165</v>
      </c>
      <c r="F1262" s="7">
        <f t="shared" si="137"/>
        <v>596480</v>
      </c>
      <c r="G1262" s="7">
        <f>TRUNC([1]일위대가목록!F37,0)</f>
        <v>62478</v>
      </c>
      <c r="H1262" s="7">
        <f t="shared" si="138"/>
        <v>31988736</v>
      </c>
      <c r="I1262" s="7">
        <f>TRUNC([1]일위대가목록!G37,0)</f>
        <v>0</v>
      </c>
      <c r="J1262" s="7">
        <f t="shared" si="139"/>
        <v>0</v>
      </c>
      <c r="K1262" s="7">
        <f t="shared" si="140"/>
        <v>63643</v>
      </c>
      <c r="L1262" s="7">
        <f t="shared" si="140"/>
        <v>32585216</v>
      </c>
      <c r="M1262" s="4" t="s">
        <v>426</v>
      </c>
      <c r="N1262" s="6" t="s">
        <v>427</v>
      </c>
      <c r="O1262" s="6" t="s">
        <v>55</v>
      </c>
      <c r="P1262" s="6" t="s">
        <v>55</v>
      </c>
      <c r="Q1262" s="6" t="s">
        <v>2678</v>
      </c>
      <c r="R1262" s="6" t="s">
        <v>57</v>
      </c>
      <c r="S1262" s="6" t="s">
        <v>56</v>
      </c>
      <c r="T1262" s="6" t="s">
        <v>56</v>
      </c>
      <c r="AR1262" s="6" t="s">
        <v>55</v>
      </c>
      <c r="AS1262" s="6" t="s">
        <v>55</v>
      </c>
      <c r="AU1262" s="6" t="s">
        <v>2681</v>
      </c>
      <c r="AV1262">
        <v>2669</v>
      </c>
    </row>
    <row r="1263" spans="1:48" ht="30" customHeight="1" x14ac:dyDescent="0.3">
      <c r="A1263" s="4" t="s">
        <v>429</v>
      </c>
      <c r="B1263" s="4" t="s">
        <v>430</v>
      </c>
      <c r="C1263" s="4" t="s">
        <v>61</v>
      </c>
      <c r="D1263" s="5">
        <v>185</v>
      </c>
      <c r="E1263" s="7">
        <f>TRUNC([1]일위대가목록!E38,0)</f>
        <v>896</v>
      </c>
      <c r="F1263" s="7">
        <f t="shared" si="137"/>
        <v>165760</v>
      </c>
      <c r="G1263" s="7">
        <f>TRUNC([1]일위대가목록!F38,0)</f>
        <v>43870</v>
      </c>
      <c r="H1263" s="7">
        <f t="shared" si="138"/>
        <v>8115950</v>
      </c>
      <c r="I1263" s="7">
        <f>TRUNC([1]일위대가목록!G38,0)</f>
        <v>0</v>
      </c>
      <c r="J1263" s="7">
        <f t="shared" si="139"/>
        <v>0</v>
      </c>
      <c r="K1263" s="7">
        <f t="shared" si="140"/>
        <v>44766</v>
      </c>
      <c r="L1263" s="7">
        <f t="shared" si="140"/>
        <v>8281710</v>
      </c>
      <c r="M1263" s="4" t="s">
        <v>431</v>
      </c>
      <c r="N1263" s="6" t="s">
        <v>432</v>
      </c>
      <c r="O1263" s="6" t="s">
        <v>55</v>
      </c>
      <c r="P1263" s="6" t="s">
        <v>55</v>
      </c>
      <c r="Q1263" s="6" t="s">
        <v>2678</v>
      </c>
      <c r="R1263" s="6" t="s">
        <v>57</v>
      </c>
      <c r="S1263" s="6" t="s">
        <v>56</v>
      </c>
      <c r="T1263" s="6" t="s">
        <v>56</v>
      </c>
      <c r="AR1263" s="6" t="s">
        <v>55</v>
      </c>
      <c r="AS1263" s="6" t="s">
        <v>55</v>
      </c>
      <c r="AU1263" s="6" t="s">
        <v>2682</v>
      </c>
      <c r="AV1263">
        <v>2670</v>
      </c>
    </row>
    <row r="1264" spans="1:48" ht="30" customHeight="1" x14ac:dyDescent="0.3">
      <c r="A1264" s="4" t="s">
        <v>438</v>
      </c>
      <c r="B1264" s="4" t="s">
        <v>439</v>
      </c>
      <c r="C1264" s="4" t="s">
        <v>269</v>
      </c>
      <c r="D1264" s="5">
        <v>26</v>
      </c>
      <c r="E1264" s="7">
        <f>TRUNC([1]일위대가목록!E40,0)</f>
        <v>9831</v>
      </c>
      <c r="F1264" s="7">
        <f t="shared" si="137"/>
        <v>255606</v>
      </c>
      <c r="G1264" s="7">
        <f>TRUNC([1]일위대가목록!F40,0)</f>
        <v>39872</v>
      </c>
      <c r="H1264" s="7">
        <f t="shared" si="138"/>
        <v>1036672</v>
      </c>
      <c r="I1264" s="7">
        <f>TRUNC([1]일위대가목록!G40,0)</f>
        <v>572</v>
      </c>
      <c r="J1264" s="7">
        <f t="shared" si="139"/>
        <v>14872</v>
      </c>
      <c r="K1264" s="7">
        <f t="shared" si="140"/>
        <v>50275</v>
      </c>
      <c r="L1264" s="7">
        <f t="shared" si="140"/>
        <v>1307150</v>
      </c>
      <c r="M1264" s="4" t="s">
        <v>440</v>
      </c>
      <c r="N1264" s="6" t="s">
        <v>441</v>
      </c>
      <c r="O1264" s="6" t="s">
        <v>55</v>
      </c>
      <c r="P1264" s="6" t="s">
        <v>55</v>
      </c>
      <c r="Q1264" s="6" t="s">
        <v>2678</v>
      </c>
      <c r="R1264" s="6" t="s">
        <v>57</v>
      </c>
      <c r="S1264" s="6" t="s">
        <v>56</v>
      </c>
      <c r="T1264" s="6" t="s">
        <v>56</v>
      </c>
      <c r="AR1264" s="6" t="s">
        <v>55</v>
      </c>
      <c r="AS1264" s="6" t="s">
        <v>55</v>
      </c>
      <c r="AU1264" s="6" t="s">
        <v>2683</v>
      </c>
      <c r="AV1264">
        <v>680</v>
      </c>
    </row>
    <row r="1265" spans="1:48" ht="30" customHeight="1" x14ac:dyDescent="0.3">
      <c r="A1265" s="4" t="s">
        <v>438</v>
      </c>
      <c r="B1265" s="4" t="s">
        <v>443</v>
      </c>
      <c r="C1265" s="4" t="s">
        <v>269</v>
      </c>
      <c r="D1265" s="5">
        <v>13</v>
      </c>
      <c r="E1265" s="7">
        <f>TRUNC([1]일위대가목록!E41,0)</f>
        <v>11796</v>
      </c>
      <c r="F1265" s="7">
        <f t="shared" si="137"/>
        <v>153348</v>
      </c>
      <c r="G1265" s="7">
        <f>TRUNC([1]일위대가목록!F41,0)</f>
        <v>48560</v>
      </c>
      <c r="H1265" s="7">
        <f t="shared" si="138"/>
        <v>631280</v>
      </c>
      <c r="I1265" s="7">
        <f>TRUNC([1]일위대가목록!G41,0)</f>
        <v>691</v>
      </c>
      <c r="J1265" s="7">
        <f t="shared" si="139"/>
        <v>8983</v>
      </c>
      <c r="K1265" s="7">
        <f t="shared" si="140"/>
        <v>61047</v>
      </c>
      <c r="L1265" s="7">
        <f t="shared" si="140"/>
        <v>793611</v>
      </c>
      <c r="M1265" s="4" t="s">
        <v>444</v>
      </c>
      <c r="N1265" s="6" t="s">
        <v>445</v>
      </c>
      <c r="O1265" s="6" t="s">
        <v>55</v>
      </c>
      <c r="P1265" s="6" t="s">
        <v>55</v>
      </c>
      <c r="Q1265" s="6" t="s">
        <v>2678</v>
      </c>
      <c r="R1265" s="6" t="s">
        <v>57</v>
      </c>
      <c r="S1265" s="6" t="s">
        <v>56</v>
      </c>
      <c r="T1265" s="6" t="s">
        <v>56</v>
      </c>
      <c r="AR1265" s="6" t="s">
        <v>55</v>
      </c>
      <c r="AS1265" s="6" t="s">
        <v>55</v>
      </c>
      <c r="AU1265" s="6" t="s">
        <v>2684</v>
      </c>
      <c r="AV1265">
        <v>681</v>
      </c>
    </row>
    <row r="1266" spans="1:48" ht="30" customHeight="1" x14ac:dyDescent="0.3">
      <c r="A1266" s="4" t="s">
        <v>447</v>
      </c>
      <c r="B1266" s="4" t="s">
        <v>448</v>
      </c>
      <c r="C1266" s="4" t="s">
        <v>269</v>
      </c>
      <c r="D1266" s="5">
        <v>4</v>
      </c>
      <c r="E1266" s="7">
        <f>TRUNC([1]일위대가목록!E42,0)</f>
        <v>2744</v>
      </c>
      <c r="F1266" s="7">
        <f t="shared" si="137"/>
        <v>10976</v>
      </c>
      <c r="G1266" s="7">
        <f>TRUNC([1]일위대가목록!F42,0)</f>
        <v>8857</v>
      </c>
      <c r="H1266" s="7">
        <f t="shared" si="138"/>
        <v>35428</v>
      </c>
      <c r="I1266" s="7">
        <f>TRUNC([1]일위대가목록!G42,0)</f>
        <v>115</v>
      </c>
      <c r="J1266" s="7">
        <f t="shared" si="139"/>
        <v>460</v>
      </c>
      <c r="K1266" s="7">
        <f t="shared" si="140"/>
        <v>11716</v>
      </c>
      <c r="L1266" s="7">
        <f t="shared" si="140"/>
        <v>46864</v>
      </c>
      <c r="M1266" s="4" t="s">
        <v>449</v>
      </c>
      <c r="N1266" s="6" t="s">
        <v>450</v>
      </c>
      <c r="O1266" s="6" t="s">
        <v>55</v>
      </c>
      <c r="P1266" s="6" t="s">
        <v>55</v>
      </c>
      <c r="Q1266" s="6" t="s">
        <v>2678</v>
      </c>
      <c r="R1266" s="6" t="s">
        <v>57</v>
      </c>
      <c r="S1266" s="6" t="s">
        <v>56</v>
      </c>
      <c r="T1266" s="6" t="s">
        <v>56</v>
      </c>
      <c r="AR1266" s="6" t="s">
        <v>55</v>
      </c>
      <c r="AS1266" s="6" t="s">
        <v>55</v>
      </c>
      <c r="AU1266" s="6" t="s">
        <v>2685</v>
      </c>
      <c r="AV1266">
        <v>682</v>
      </c>
    </row>
    <row r="1267" spans="1:48" ht="30" customHeight="1" x14ac:dyDescent="0.3">
      <c r="A1267" s="4" t="s">
        <v>447</v>
      </c>
      <c r="B1267" s="4" t="s">
        <v>452</v>
      </c>
      <c r="C1267" s="4" t="s">
        <v>269</v>
      </c>
      <c r="D1267" s="5">
        <v>18</v>
      </c>
      <c r="E1267" s="7">
        <f>TRUNC([1]일위대가목록!E43,0)</f>
        <v>2744</v>
      </c>
      <c r="F1267" s="7">
        <f t="shared" si="137"/>
        <v>49392</v>
      </c>
      <c r="G1267" s="7">
        <f>TRUNC([1]일위대가목록!F43,0)</f>
        <v>9452</v>
      </c>
      <c r="H1267" s="7">
        <f t="shared" si="138"/>
        <v>170136</v>
      </c>
      <c r="I1267" s="7">
        <f>TRUNC([1]일위대가목록!G43,0)</f>
        <v>127</v>
      </c>
      <c r="J1267" s="7">
        <f t="shared" si="139"/>
        <v>2286</v>
      </c>
      <c r="K1267" s="7">
        <f t="shared" si="140"/>
        <v>12323</v>
      </c>
      <c r="L1267" s="7">
        <f t="shared" si="140"/>
        <v>221814</v>
      </c>
      <c r="M1267" s="4" t="s">
        <v>453</v>
      </c>
      <c r="N1267" s="6" t="s">
        <v>454</v>
      </c>
      <c r="O1267" s="6" t="s">
        <v>55</v>
      </c>
      <c r="P1267" s="6" t="s">
        <v>55</v>
      </c>
      <c r="Q1267" s="6" t="s">
        <v>2678</v>
      </c>
      <c r="R1267" s="6" t="s">
        <v>57</v>
      </c>
      <c r="S1267" s="6" t="s">
        <v>56</v>
      </c>
      <c r="T1267" s="6" t="s">
        <v>56</v>
      </c>
      <c r="AR1267" s="6" t="s">
        <v>55</v>
      </c>
      <c r="AS1267" s="6" t="s">
        <v>55</v>
      </c>
      <c r="AU1267" s="6" t="s">
        <v>2686</v>
      </c>
      <c r="AV1267">
        <v>683</v>
      </c>
    </row>
    <row r="1268" spans="1:48" ht="30" customHeight="1" x14ac:dyDescent="0.3">
      <c r="A1268" s="4" t="s">
        <v>447</v>
      </c>
      <c r="B1268" s="4" t="s">
        <v>459</v>
      </c>
      <c r="C1268" s="4" t="s">
        <v>269</v>
      </c>
      <c r="D1268" s="5">
        <v>79</v>
      </c>
      <c r="E1268" s="7">
        <f>TRUNC([1]일위대가목록!E45,0)</f>
        <v>2744</v>
      </c>
      <c r="F1268" s="7">
        <f t="shared" si="137"/>
        <v>216776</v>
      </c>
      <c r="G1268" s="7">
        <f>TRUNC([1]일위대가목록!F45,0)</f>
        <v>9155</v>
      </c>
      <c r="H1268" s="7">
        <f t="shared" si="138"/>
        <v>723245</v>
      </c>
      <c r="I1268" s="7">
        <f>TRUNC([1]일위대가목록!G45,0)</f>
        <v>121</v>
      </c>
      <c r="J1268" s="7">
        <f t="shared" si="139"/>
        <v>9559</v>
      </c>
      <c r="K1268" s="7">
        <f t="shared" si="140"/>
        <v>12020</v>
      </c>
      <c r="L1268" s="7">
        <f t="shared" si="140"/>
        <v>949580</v>
      </c>
      <c r="M1268" s="4" t="s">
        <v>460</v>
      </c>
      <c r="N1268" s="6" t="s">
        <v>461</v>
      </c>
      <c r="O1268" s="6" t="s">
        <v>55</v>
      </c>
      <c r="P1268" s="6" t="s">
        <v>55</v>
      </c>
      <c r="Q1268" s="6" t="s">
        <v>2678</v>
      </c>
      <c r="R1268" s="6" t="s">
        <v>57</v>
      </c>
      <c r="S1268" s="6" t="s">
        <v>56</v>
      </c>
      <c r="T1268" s="6" t="s">
        <v>56</v>
      </c>
      <c r="AR1268" s="6" t="s">
        <v>55</v>
      </c>
      <c r="AS1268" s="6" t="s">
        <v>55</v>
      </c>
      <c r="AU1268" s="6" t="s">
        <v>2687</v>
      </c>
      <c r="AV1268">
        <v>684</v>
      </c>
    </row>
    <row r="1269" spans="1:48" ht="30" customHeight="1" x14ac:dyDescent="0.3">
      <c r="A1269" s="4" t="s">
        <v>463</v>
      </c>
      <c r="B1269" s="4" t="s">
        <v>468</v>
      </c>
      <c r="C1269" s="4" t="s">
        <v>269</v>
      </c>
      <c r="D1269" s="5">
        <v>50</v>
      </c>
      <c r="E1269" s="7">
        <f>TRUNC([1]일위대가목록!E47,0)</f>
        <v>0</v>
      </c>
      <c r="F1269" s="7">
        <f t="shared" si="137"/>
        <v>0</v>
      </c>
      <c r="G1269" s="7">
        <f>TRUNC([1]일위대가목록!F47,0)</f>
        <v>6155</v>
      </c>
      <c r="H1269" s="7">
        <f t="shared" si="138"/>
        <v>307750</v>
      </c>
      <c r="I1269" s="7">
        <f>TRUNC([1]일위대가목록!G47,0)</f>
        <v>0</v>
      </c>
      <c r="J1269" s="7">
        <f t="shared" si="139"/>
        <v>0</v>
      </c>
      <c r="K1269" s="7">
        <f t="shared" si="140"/>
        <v>6155</v>
      </c>
      <c r="L1269" s="7">
        <f t="shared" si="140"/>
        <v>307750</v>
      </c>
      <c r="M1269" s="4" t="s">
        <v>469</v>
      </c>
      <c r="N1269" s="6" t="s">
        <v>470</v>
      </c>
      <c r="O1269" s="6" t="s">
        <v>55</v>
      </c>
      <c r="P1269" s="6" t="s">
        <v>55</v>
      </c>
      <c r="Q1269" s="6" t="s">
        <v>2678</v>
      </c>
      <c r="R1269" s="6" t="s">
        <v>57</v>
      </c>
      <c r="S1269" s="6" t="s">
        <v>56</v>
      </c>
      <c r="T1269" s="6" t="s">
        <v>56</v>
      </c>
      <c r="AR1269" s="6" t="s">
        <v>55</v>
      </c>
      <c r="AS1269" s="6" t="s">
        <v>55</v>
      </c>
      <c r="AU1269" s="6" t="s">
        <v>2688</v>
      </c>
      <c r="AV1269">
        <v>685</v>
      </c>
    </row>
    <row r="1270" spans="1:48" ht="30" customHeight="1" x14ac:dyDescent="0.3">
      <c r="A1270" s="4" t="s">
        <v>477</v>
      </c>
      <c r="B1270" s="4" t="s">
        <v>473</v>
      </c>
      <c r="C1270" s="4" t="s">
        <v>269</v>
      </c>
      <c r="D1270" s="5">
        <v>307</v>
      </c>
      <c r="E1270" s="7">
        <f>TRUNC([1]일위대가목록!E49,0)</f>
        <v>544</v>
      </c>
      <c r="F1270" s="7">
        <f t="shared" si="137"/>
        <v>167008</v>
      </c>
      <c r="G1270" s="7">
        <f>TRUNC([1]일위대가목록!F49,0)</f>
        <v>0</v>
      </c>
      <c r="H1270" s="7">
        <f t="shared" si="138"/>
        <v>0</v>
      </c>
      <c r="I1270" s="7">
        <f>TRUNC([1]일위대가목록!G49,0)</f>
        <v>0</v>
      </c>
      <c r="J1270" s="7">
        <f t="shared" si="139"/>
        <v>0</v>
      </c>
      <c r="K1270" s="7">
        <f t="shared" si="140"/>
        <v>544</v>
      </c>
      <c r="L1270" s="7">
        <f t="shared" si="140"/>
        <v>167008</v>
      </c>
      <c r="M1270" s="4" t="s">
        <v>478</v>
      </c>
      <c r="N1270" s="6" t="s">
        <v>479</v>
      </c>
      <c r="O1270" s="6" t="s">
        <v>55</v>
      </c>
      <c r="P1270" s="6" t="s">
        <v>55</v>
      </c>
      <c r="Q1270" s="6" t="s">
        <v>2678</v>
      </c>
      <c r="R1270" s="6" t="s">
        <v>57</v>
      </c>
      <c r="S1270" s="6" t="s">
        <v>56</v>
      </c>
      <c r="T1270" s="6" t="s">
        <v>56</v>
      </c>
      <c r="AR1270" s="6" t="s">
        <v>55</v>
      </c>
      <c r="AS1270" s="6" t="s">
        <v>55</v>
      </c>
      <c r="AU1270" s="6" t="s">
        <v>2689</v>
      </c>
      <c r="AV1270">
        <v>686</v>
      </c>
    </row>
    <row r="1271" spans="1:48" ht="30" customHeight="1" x14ac:dyDescent="0.3">
      <c r="A1271" s="4" t="s">
        <v>481</v>
      </c>
      <c r="B1271" s="4" t="s">
        <v>482</v>
      </c>
      <c r="C1271" s="4" t="s">
        <v>269</v>
      </c>
      <c r="D1271" s="5">
        <v>231</v>
      </c>
      <c r="E1271" s="7">
        <f>TRUNC([1]일위대가목록!E50,0)</f>
        <v>-5</v>
      </c>
      <c r="F1271" s="7">
        <f t="shared" si="137"/>
        <v>-1155</v>
      </c>
      <c r="G1271" s="7">
        <f>TRUNC([1]일위대가목록!F50,0)</f>
        <v>0</v>
      </c>
      <c r="H1271" s="7">
        <f t="shared" si="138"/>
        <v>0</v>
      </c>
      <c r="I1271" s="7">
        <f>TRUNC([1]일위대가목록!G50,0)</f>
        <v>0</v>
      </c>
      <c r="J1271" s="7">
        <f t="shared" si="139"/>
        <v>0</v>
      </c>
      <c r="K1271" s="7">
        <f t="shared" si="140"/>
        <v>-5</v>
      </c>
      <c r="L1271" s="7">
        <f t="shared" si="140"/>
        <v>-1155</v>
      </c>
      <c r="M1271" s="4" t="s">
        <v>483</v>
      </c>
      <c r="N1271" s="6" t="s">
        <v>484</v>
      </c>
      <c r="O1271" s="6" t="s">
        <v>55</v>
      </c>
      <c r="P1271" s="6" t="s">
        <v>55</v>
      </c>
      <c r="Q1271" s="6" t="s">
        <v>2678</v>
      </c>
      <c r="R1271" s="6" t="s">
        <v>57</v>
      </c>
      <c r="S1271" s="6" t="s">
        <v>56</v>
      </c>
      <c r="T1271" s="6" t="s">
        <v>56</v>
      </c>
      <c r="AR1271" s="6" t="s">
        <v>55</v>
      </c>
      <c r="AS1271" s="6" t="s">
        <v>55</v>
      </c>
      <c r="AU1271" s="6" t="s">
        <v>2690</v>
      </c>
      <c r="AV1271">
        <v>687</v>
      </c>
    </row>
    <row r="1272" spans="1:48" ht="30" customHeight="1" x14ac:dyDescent="0.3">
      <c r="A1272" s="4" t="s">
        <v>486</v>
      </c>
      <c r="B1272" s="4" t="s">
        <v>487</v>
      </c>
      <c r="C1272" s="4" t="s">
        <v>488</v>
      </c>
      <c r="D1272" s="5">
        <v>123</v>
      </c>
      <c r="E1272" s="7">
        <f>TRUNC([1]일위대가목록!E51,0)</f>
        <v>349</v>
      </c>
      <c r="F1272" s="7">
        <f t="shared" si="137"/>
        <v>42927</v>
      </c>
      <c r="G1272" s="7">
        <f>TRUNC([1]일위대가목록!F51,0)</f>
        <v>4869</v>
      </c>
      <c r="H1272" s="7">
        <f t="shared" si="138"/>
        <v>598887</v>
      </c>
      <c r="I1272" s="7">
        <f>TRUNC([1]일위대가목록!G51,0)</f>
        <v>0</v>
      </c>
      <c r="J1272" s="7">
        <f t="shared" si="139"/>
        <v>0</v>
      </c>
      <c r="K1272" s="7">
        <f t="shared" si="140"/>
        <v>5218</v>
      </c>
      <c r="L1272" s="7">
        <f t="shared" si="140"/>
        <v>641814</v>
      </c>
      <c r="M1272" s="4" t="s">
        <v>489</v>
      </c>
      <c r="N1272" s="6" t="s">
        <v>490</v>
      </c>
      <c r="O1272" s="6" t="s">
        <v>55</v>
      </c>
      <c r="P1272" s="6" t="s">
        <v>55</v>
      </c>
      <c r="Q1272" s="6" t="s">
        <v>2678</v>
      </c>
      <c r="R1272" s="6" t="s">
        <v>57</v>
      </c>
      <c r="S1272" s="6" t="s">
        <v>56</v>
      </c>
      <c r="T1272" s="6" t="s">
        <v>56</v>
      </c>
      <c r="AR1272" s="6" t="s">
        <v>55</v>
      </c>
      <c r="AS1272" s="6" t="s">
        <v>55</v>
      </c>
      <c r="AU1272" s="6" t="s">
        <v>2691</v>
      </c>
      <c r="AV1272">
        <v>688</v>
      </c>
    </row>
    <row r="1273" spans="1:48" ht="30" customHeight="1" x14ac:dyDescent="0.3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</row>
    <row r="1274" spans="1:48" ht="30" customHeight="1" x14ac:dyDescent="0.3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</row>
    <row r="1275" spans="1:48" ht="30" customHeight="1" x14ac:dyDescent="0.3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</row>
    <row r="1276" spans="1:48" ht="30" customHeight="1" x14ac:dyDescent="0.3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</row>
    <row r="1277" spans="1:48" ht="30" customHeight="1" x14ac:dyDescent="0.3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</row>
    <row r="1278" spans="1:48" ht="30" customHeight="1" x14ac:dyDescent="0.3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</row>
    <row r="1279" spans="1:48" ht="30" customHeight="1" x14ac:dyDescent="0.3">
      <c r="A1279" s="4" t="s">
        <v>128</v>
      </c>
      <c r="B1279" s="5"/>
      <c r="C1279" s="5"/>
      <c r="D1279" s="5"/>
      <c r="E1279" s="5"/>
      <c r="F1279" s="7">
        <f>SUM(F1260:F1278)</f>
        <v>1686779</v>
      </c>
      <c r="G1279" s="5"/>
      <c r="H1279" s="7">
        <f>SUM(H1260:H1278)</f>
        <v>45193973</v>
      </c>
      <c r="I1279" s="5"/>
      <c r="J1279" s="7">
        <f>SUM(J1260:J1278)</f>
        <v>36160</v>
      </c>
      <c r="K1279" s="5"/>
      <c r="L1279" s="7">
        <f>SUM(L1260:L1278)</f>
        <v>46916912</v>
      </c>
      <c r="M1279" s="5"/>
      <c r="N1279" t="s">
        <v>129</v>
      </c>
    </row>
    <row r="1280" spans="1:48" ht="30" customHeight="1" x14ac:dyDescent="0.3">
      <c r="A1280" s="4" t="s">
        <v>2692</v>
      </c>
      <c r="B1280" s="4" t="s">
        <v>2626</v>
      </c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Q1280" s="6" t="s">
        <v>2693</v>
      </c>
    </row>
    <row r="1281" spans="1:48" ht="30" customHeight="1" x14ac:dyDescent="0.3">
      <c r="A1281" s="4" t="s">
        <v>503</v>
      </c>
      <c r="B1281" s="4" t="s">
        <v>55</v>
      </c>
      <c r="C1281" s="4" t="s">
        <v>269</v>
      </c>
      <c r="D1281" s="5">
        <v>6</v>
      </c>
      <c r="E1281" s="7">
        <f>TRUNC([1]일위대가목록!E54,0)</f>
        <v>187</v>
      </c>
      <c r="F1281" s="7">
        <f>TRUNC(E1281*D1281, 0)</f>
        <v>1122</v>
      </c>
      <c r="G1281" s="7">
        <f>TRUNC([1]일위대가목록!F54,0)</f>
        <v>22086</v>
      </c>
      <c r="H1281" s="7">
        <f>TRUNC(G1281*D1281, 0)</f>
        <v>132516</v>
      </c>
      <c r="I1281" s="7">
        <f>TRUNC([1]일위대가목록!G54,0)</f>
        <v>0</v>
      </c>
      <c r="J1281" s="7">
        <f>TRUNC(I1281*D1281, 0)</f>
        <v>0</v>
      </c>
      <c r="K1281" s="7">
        <f>TRUNC(E1281+G1281+I1281, 0)</f>
        <v>22273</v>
      </c>
      <c r="L1281" s="7">
        <f>TRUNC(F1281+H1281+J1281, 0)</f>
        <v>133638</v>
      </c>
      <c r="M1281" s="4" t="s">
        <v>504</v>
      </c>
      <c r="N1281" s="6" t="s">
        <v>505</v>
      </c>
      <c r="O1281" s="6" t="s">
        <v>55</v>
      </c>
      <c r="P1281" s="6" t="s">
        <v>55</v>
      </c>
      <c r="Q1281" s="6" t="s">
        <v>2693</v>
      </c>
      <c r="R1281" s="6" t="s">
        <v>57</v>
      </c>
      <c r="S1281" s="6" t="s">
        <v>56</v>
      </c>
      <c r="T1281" s="6" t="s">
        <v>56</v>
      </c>
      <c r="AR1281" s="6" t="s">
        <v>55</v>
      </c>
      <c r="AS1281" s="6" t="s">
        <v>55</v>
      </c>
      <c r="AU1281" s="6" t="s">
        <v>2694</v>
      </c>
      <c r="AV1281">
        <v>693</v>
      </c>
    </row>
    <row r="1282" spans="1:48" ht="30" customHeight="1" x14ac:dyDescent="0.3">
      <c r="A1282" s="4" t="s">
        <v>507</v>
      </c>
      <c r="B1282" s="4" t="s">
        <v>508</v>
      </c>
      <c r="C1282" s="4" t="s">
        <v>269</v>
      </c>
      <c r="D1282" s="5">
        <v>3</v>
      </c>
      <c r="E1282" s="7">
        <f>TRUNC([1]단가대비표!O138,0)</f>
        <v>83333</v>
      </c>
      <c r="F1282" s="7">
        <f>TRUNC(E1282*D1282, 0)</f>
        <v>249999</v>
      </c>
      <c r="G1282" s="7">
        <f>TRUNC([1]단가대비표!P138,0)</f>
        <v>0</v>
      </c>
      <c r="H1282" s="7">
        <f>TRUNC(G1282*D1282, 0)</f>
        <v>0</v>
      </c>
      <c r="I1282" s="7">
        <f>TRUNC([1]단가대비표!V138,0)</f>
        <v>0</v>
      </c>
      <c r="J1282" s="7">
        <f>TRUNC(I1282*D1282, 0)</f>
        <v>0</v>
      </c>
      <c r="K1282" s="7">
        <f>TRUNC(E1282+G1282+I1282, 0)</f>
        <v>83333</v>
      </c>
      <c r="L1282" s="7">
        <f>TRUNC(F1282+H1282+J1282, 0)</f>
        <v>249999</v>
      </c>
      <c r="M1282" s="4" t="s">
        <v>55</v>
      </c>
      <c r="N1282" s="6" t="s">
        <v>509</v>
      </c>
      <c r="O1282" s="6" t="s">
        <v>55</v>
      </c>
      <c r="P1282" s="6" t="s">
        <v>55</v>
      </c>
      <c r="Q1282" s="6" t="s">
        <v>2693</v>
      </c>
      <c r="R1282" s="6" t="s">
        <v>56</v>
      </c>
      <c r="S1282" s="6" t="s">
        <v>56</v>
      </c>
      <c r="T1282" s="6" t="s">
        <v>57</v>
      </c>
      <c r="AR1282" s="6" t="s">
        <v>55</v>
      </c>
      <c r="AS1282" s="6" t="s">
        <v>55</v>
      </c>
      <c r="AU1282" s="6" t="s">
        <v>2695</v>
      </c>
      <c r="AV1282">
        <v>692</v>
      </c>
    </row>
    <row r="1283" spans="1:48" ht="30" customHeight="1" x14ac:dyDescent="0.3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</row>
    <row r="1284" spans="1:48" ht="30" customHeight="1" x14ac:dyDescent="0.3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</row>
    <row r="1285" spans="1:48" ht="30" customHeight="1" x14ac:dyDescent="0.3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</row>
    <row r="1286" spans="1:48" ht="30" customHeight="1" x14ac:dyDescent="0.3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</row>
    <row r="1287" spans="1:48" ht="30" customHeight="1" x14ac:dyDescent="0.3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</row>
    <row r="1288" spans="1:48" ht="30" customHeight="1" x14ac:dyDescent="0.3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</row>
    <row r="1289" spans="1:48" ht="30" customHeight="1" x14ac:dyDescent="0.3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</row>
    <row r="1290" spans="1:48" ht="30" customHeight="1" x14ac:dyDescent="0.3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</row>
    <row r="1291" spans="1:48" ht="30" customHeight="1" x14ac:dyDescent="0.3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</row>
    <row r="1292" spans="1:48" ht="30" customHeight="1" x14ac:dyDescent="0.3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</row>
    <row r="1293" spans="1:48" ht="30" customHeight="1" x14ac:dyDescent="0.3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</row>
    <row r="1294" spans="1:48" ht="30" customHeight="1" x14ac:dyDescent="0.3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</row>
    <row r="1295" spans="1:48" ht="30" customHeight="1" x14ac:dyDescent="0.3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</row>
    <row r="1296" spans="1:48" ht="30" customHeight="1" x14ac:dyDescent="0.3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</row>
    <row r="1297" spans="1:48" ht="30" customHeight="1" x14ac:dyDescent="0.3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</row>
    <row r="1298" spans="1:48" ht="30" customHeight="1" x14ac:dyDescent="0.3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</row>
    <row r="1299" spans="1:48" ht="30" customHeight="1" x14ac:dyDescent="0.3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</row>
    <row r="1300" spans="1:48" ht="30" customHeight="1" x14ac:dyDescent="0.3">
      <c r="A1300" s="4" t="s">
        <v>128</v>
      </c>
      <c r="B1300" s="5"/>
      <c r="C1300" s="5"/>
      <c r="D1300" s="5"/>
      <c r="E1300" s="5"/>
      <c r="F1300" s="7">
        <f>SUM(F1281:F1299)</f>
        <v>251121</v>
      </c>
      <c r="G1300" s="5"/>
      <c r="H1300" s="7">
        <f>SUM(H1281:H1299)</f>
        <v>132516</v>
      </c>
      <c r="I1300" s="5"/>
      <c r="J1300" s="7">
        <f>SUM(J1281:J1299)</f>
        <v>0</v>
      </c>
      <c r="K1300" s="5"/>
      <c r="L1300" s="7">
        <f>SUM(L1281:L1299)</f>
        <v>383637</v>
      </c>
      <c r="M1300" s="5"/>
      <c r="N1300" t="s">
        <v>129</v>
      </c>
    </row>
    <row r="1301" spans="1:48" ht="30" customHeight="1" x14ac:dyDescent="0.3">
      <c r="A1301" s="4" t="s">
        <v>2696</v>
      </c>
      <c r="B1301" s="4" t="s">
        <v>2626</v>
      </c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Q1301" s="6" t="s">
        <v>2697</v>
      </c>
    </row>
    <row r="1302" spans="1:48" ht="30" customHeight="1" x14ac:dyDescent="0.3">
      <c r="A1302" s="4" t="s">
        <v>521</v>
      </c>
      <c r="B1302" s="4" t="s">
        <v>522</v>
      </c>
      <c r="C1302" s="4" t="s">
        <v>61</v>
      </c>
      <c r="D1302" s="5">
        <v>20</v>
      </c>
      <c r="E1302" s="7">
        <f>TRUNC([1]단가대비표!O108,0)</f>
        <v>10800</v>
      </c>
      <c r="F1302" s="7">
        <f>TRUNC(E1302*D1302, 0)</f>
        <v>216000</v>
      </c>
      <c r="G1302" s="7">
        <f>TRUNC([1]단가대비표!P108,0)</f>
        <v>0</v>
      </c>
      <c r="H1302" s="7">
        <f>TRUNC(G1302*D1302, 0)</f>
        <v>0</v>
      </c>
      <c r="I1302" s="7">
        <f>TRUNC([1]단가대비표!V108,0)</f>
        <v>0</v>
      </c>
      <c r="J1302" s="7">
        <f>TRUNC(I1302*D1302, 0)</f>
        <v>0</v>
      </c>
      <c r="K1302" s="7">
        <f t="shared" ref="K1302:L1306" si="141">TRUNC(E1302+G1302+I1302, 0)</f>
        <v>10800</v>
      </c>
      <c r="L1302" s="7">
        <f t="shared" si="141"/>
        <v>216000</v>
      </c>
      <c r="M1302" s="4" t="s">
        <v>55</v>
      </c>
      <c r="N1302" s="6" t="s">
        <v>523</v>
      </c>
      <c r="O1302" s="6" t="s">
        <v>55</v>
      </c>
      <c r="P1302" s="6" t="s">
        <v>55</v>
      </c>
      <c r="Q1302" s="6" t="s">
        <v>2697</v>
      </c>
      <c r="R1302" s="6" t="s">
        <v>56</v>
      </c>
      <c r="S1302" s="6" t="s">
        <v>56</v>
      </c>
      <c r="T1302" s="6" t="s">
        <v>57</v>
      </c>
      <c r="AR1302" s="6" t="s">
        <v>55</v>
      </c>
      <c r="AS1302" s="6" t="s">
        <v>55</v>
      </c>
      <c r="AU1302" s="6" t="s">
        <v>2698</v>
      </c>
      <c r="AV1302">
        <v>698</v>
      </c>
    </row>
    <row r="1303" spans="1:48" ht="30" customHeight="1" x14ac:dyDescent="0.3">
      <c r="A1303" s="4" t="s">
        <v>528</v>
      </c>
      <c r="B1303" s="4" t="s">
        <v>529</v>
      </c>
      <c r="C1303" s="4" t="s">
        <v>61</v>
      </c>
      <c r="D1303" s="5">
        <v>123</v>
      </c>
      <c r="E1303" s="7">
        <f>TRUNC([1]일위대가목록!E55,0)</f>
        <v>0</v>
      </c>
      <c r="F1303" s="7">
        <f>TRUNC(E1303*D1303, 0)</f>
        <v>0</v>
      </c>
      <c r="G1303" s="7">
        <f>TRUNC([1]일위대가목록!F55,0)</f>
        <v>24112</v>
      </c>
      <c r="H1303" s="7">
        <f>TRUNC(G1303*D1303, 0)</f>
        <v>2965776</v>
      </c>
      <c r="I1303" s="7">
        <f>TRUNC([1]일위대가목록!G55,0)</f>
        <v>447</v>
      </c>
      <c r="J1303" s="7">
        <f>TRUNC(I1303*D1303, 0)</f>
        <v>54981</v>
      </c>
      <c r="K1303" s="7">
        <f t="shared" si="141"/>
        <v>24559</v>
      </c>
      <c r="L1303" s="7">
        <f t="shared" si="141"/>
        <v>3020757</v>
      </c>
      <c r="M1303" s="4" t="s">
        <v>530</v>
      </c>
      <c r="N1303" s="6" t="s">
        <v>531</v>
      </c>
      <c r="O1303" s="6" t="s">
        <v>55</v>
      </c>
      <c r="P1303" s="6" t="s">
        <v>55</v>
      </c>
      <c r="Q1303" s="6" t="s">
        <v>2697</v>
      </c>
      <c r="R1303" s="6" t="s">
        <v>57</v>
      </c>
      <c r="S1303" s="6" t="s">
        <v>56</v>
      </c>
      <c r="T1303" s="6" t="s">
        <v>56</v>
      </c>
      <c r="AR1303" s="6" t="s">
        <v>55</v>
      </c>
      <c r="AS1303" s="6" t="s">
        <v>55</v>
      </c>
      <c r="AU1303" s="6" t="s">
        <v>2699</v>
      </c>
      <c r="AV1303">
        <v>3115</v>
      </c>
    </row>
    <row r="1304" spans="1:48" ht="30" customHeight="1" x14ac:dyDescent="0.3">
      <c r="A1304" s="4" t="s">
        <v>528</v>
      </c>
      <c r="B1304" s="4" t="s">
        <v>561</v>
      </c>
      <c r="C1304" s="4" t="s">
        <v>61</v>
      </c>
      <c r="D1304" s="5">
        <v>123</v>
      </c>
      <c r="E1304" s="7">
        <f>TRUNC([1]일위대가목록!E63,0)</f>
        <v>0</v>
      </c>
      <c r="F1304" s="7">
        <f>TRUNC(E1304*D1304, 0)</f>
        <v>0</v>
      </c>
      <c r="G1304" s="7">
        <f>TRUNC([1]일위대가목록!F63,0)</f>
        <v>17544</v>
      </c>
      <c r="H1304" s="7">
        <f>TRUNC(G1304*D1304, 0)</f>
        <v>2157912</v>
      </c>
      <c r="I1304" s="7">
        <f>TRUNC([1]일위대가목록!G63,0)</f>
        <v>214</v>
      </c>
      <c r="J1304" s="7">
        <f>TRUNC(I1304*D1304, 0)</f>
        <v>26322</v>
      </c>
      <c r="K1304" s="7">
        <f t="shared" si="141"/>
        <v>17758</v>
      </c>
      <c r="L1304" s="7">
        <f t="shared" si="141"/>
        <v>2184234</v>
      </c>
      <c r="M1304" s="4" t="s">
        <v>562</v>
      </c>
      <c r="N1304" s="6" t="s">
        <v>563</v>
      </c>
      <c r="O1304" s="6" t="s">
        <v>55</v>
      </c>
      <c r="P1304" s="6" t="s">
        <v>55</v>
      </c>
      <c r="Q1304" s="6" t="s">
        <v>2697</v>
      </c>
      <c r="R1304" s="6" t="s">
        <v>57</v>
      </c>
      <c r="S1304" s="6" t="s">
        <v>56</v>
      </c>
      <c r="T1304" s="6" t="s">
        <v>56</v>
      </c>
      <c r="AR1304" s="6" t="s">
        <v>55</v>
      </c>
      <c r="AS1304" s="6" t="s">
        <v>55</v>
      </c>
      <c r="AU1304" s="6" t="s">
        <v>2700</v>
      </c>
      <c r="AV1304">
        <v>3116</v>
      </c>
    </row>
    <row r="1305" spans="1:48" ht="30" customHeight="1" x14ac:dyDescent="0.3">
      <c r="A1305" s="4" t="s">
        <v>569</v>
      </c>
      <c r="B1305" s="4" t="s">
        <v>570</v>
      </c>
      <c r="C1305" s="4" t="s">
        <v>140</v>
      </c>
      <c r="D1305" s="5">
        <v>20</v>
      </c>
      <c r="E1305" s="7">
        <f>TRUNC([1]단가대비표!O249,0)</f>
        <v>1079</v>
      </c>
      <c r="F1305" s="7">
        <f>TRUNC(E1305*D1305, 0)</f>
        <v>21580</v>
      </c>
      <c r="G1305" s="7">
        <f>TRUNC([1]단가대비표!P249,0)</f>
        <v>34877</v>
      </c>
      <c r="H1305" s="7">
        <f>TRUNC(G1305*D1305, 0)</f>
        <v>697540</v>
      </c>
      <c r="I1305" s="7">
        <f>TRUNC([1]단가대비표!V249,0)</f>
        <v>0</v>
      </c>
      <c r="J1305" s="7">
        <f>TRUNC(I1305*D1305, 0)</f>
        <v>0</v>
      </c>
      <c r="K1305" s="7">
        <f t="shared" si="141"/>
        <v>35956</v>
      </c>
      <c r="L1305" s="7">
        <f t="shared" si="141"/>
        <v>719120</v>
      </c>
      <c r="M1305" s="4" t="s">
        <v>141</v>
      </c>
      <c r="N1305" s="6" t="s">
        <v>571</v>
      </c>
      <c r="O1305" s="6" t="s">
        <v>55</v>
      </c>
      <c r="P1305" s="6" t="s">
        <v>55</v>
      </c>
      <c r="Q1305" s="6" t="s">
        <v>2697</v>
      </c>
      <c r="R1305" s="6" t="s">
        <v>56</v>
      </c>
      <c r="S1305" s="6" t="s">
        <v>56</v>
      </c>
      <c r="T1305" s="6" t="s">
        <v>57</v>
      </c>
      <c r="AR1305" s="6" t="s">
        <v>55</v>
      </c>
      <c r="AS1305" s="6" t="s">
        <v>55</v>
      </c>
      <c r="AU1305" s="6" t="s">
        <v>2701</v>
      </c>
      <c r="AV1305">
        <v>3117</v>
      </c>
    </row>
    <row r="1306" spans="1:48" ht="30" customHeight="1" x14ac:dyDescent="0.3">
      <c r="A1306" s="4" t="s">
        <v>573</v>
      </c>
      <c r="B1306" s="4" t="s">
        <v>570</v>
      </c>
      <c r="C1306" s="4" t="s">
        <v>140</v>
      </c>
      <c r="D1306" s="5">
        <v>20</v>
      </c>
      <c r="E1306" s="7">
        <f>TRUNC([1]단가대비표!O252,0)</f>
        <v>888</v>
      </c>
      <c r="F1306" s="7">
        <f>TRUNC(E1306*D1306, 0)</f>
        <v>17760</v>
      </c>
      <c r="G1306" s="7">
        <f>TRUNC([1]단가대비표!P252,0)</f>
        <v>28692</v>
      </c>
      <c r="H1306" s="7">
        <f>TRUNC(G1306*D1306, 0)</f>
        <v>573840</v>
      </c>
      <c r="I1306" s="7">
        <f>TRUNC([1]단가대비표!V252,0)</f>
        <v>0</v>
      </c>
      <c r="J1306" s="7">
        <f>TRUNC(I1306*D1306, 0)</f>
        <v>0</v>
      </c>
      <c r="K1306" s="7">
        <f t="shared" si="141"/>
        <v>29580</v>
      </c>
      <c r="L1306" s="7">
        <f t="shared" si="141"/>
        <v>591600</v>
      </c>
      <c r="M1306" s="4" t="s">
        <v>141</v>
      </c>
      <c r="N1306" s="6" t="s">
        <v>574</v>
      </c>
      <c r="O1306" s="6" t="s">
        <v>55</v>
      </c>
      <c r="P1306" s="6" t="s">
        <v>55</v>
      </c>
      <c r="Q1306" s="6" t="s">
        <v>2697</v>
      </c>
      <c r="R1306" s="6" t="s">
        <v>56</v>
      </c>
      <c r="S1306" s="6" t="s">
        <v>56</v>
      </c>
      <c r="T1306" s="6" t="s">
        <v>57</v>
      </c>
      <c r="AR1306" s="6" t="s">
        <v>55</v>
      </c>
      <c r="AS1306" s="6" t="s">
        <v>55</v>
      </c>
      <c r="AU1306" s="6" t="s">
        <v>2702</v>
      </c>
      <c r="AV1306">
        <v>3118</v>
      </c>
    </row>
    <row r="1307" spans="1:48" ht="30" customHeight="1" x14ac:dyDescent="0.3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</row>
    <row r="1308" spans="1:48" ht="30" customHeight="1" x14ac:dyDescent="0.3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</row>
    <row r="1309" spans="1:48" ht="30" customHeight="1" x14ac:dyDescent="0.3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</row>
    <row r="1310" spans="1:48" ht="30" customHeight="1" x14ac:dyDescent="0.3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</row>
    <row r="1311" spans="1:48" ht="30" customHeight="1" x14ac:dyDescent="0.3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</row>
    <row r="1312" spans="1:48" ht="30" customHeight="1" x14ac:dyDescent="0.3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</row>
    <row r="1313" spans="1:48" ht="30" customHeight="1" x14ac:dyDescent="0.3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</row>
    <row r="1314" spans="1:48" ht="30" customHeight="1" x14ac:dyDescent="0.3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</row>
    <row r="1315" spans="1:48" ht="30" customHeight="1" x14ac:dyDescent="0.3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</row>
    <row r="1316" spans="1:48" ht="30" customHeight="1" x14ac:dyDescent="0.3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</row>
    <row r="1317" spans="1:48" ht="30" customHeight="1" x14ac:dyDescent="0.3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</row>
    <row r="1318" spans="1:48" ht="30" customHeight="1" x14ac:dyDescent="0.3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</row>
    <row r="1319" spans="1:48" ht="30" customHeight="1" x14ac:dyDescent="0.3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</row>
    <row r="1320" spans="1:48" ht="30" customHeight="1" x14ac:dyDescent="0.3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</row>
    <row r="1321" spans="1:48" ht="30" customHeight="1" x14ac:dyDescent="0.3">
      <c r="A1321" s="4" t="s">
        <v>128</v>
      </c>
      <c r="B1321" s="5"/>
      <c r="C1321" s="5"/>
      <c r="D1321" s="5"/>
      <c r="E1321" s="5"/>
      <c r="F1321" s="7">
        <f>SUM(F1302:F1320)</f>
        <v>255340</v>
      </c>
      <c r="G1321" s="5"/>
      <c r="H1321" s="7">
        <f>SUM(H1302:H1320)</f>
        <v>6395068</v>
      </c>
      <c r="I1321" s="5"/>
      <c r="J1321" s="7">
        <f>SUM(J1302:J1320)</f>
        <v>81303</v>
      </c>
      <c r="K1321" s="5"/>
      <c r="L1321" s="7">
        <f>SUM(L1302:L1320)</f>
        <v>6731711</v>
      </c>
      <c r="M1321" s="5"/>
      <c r="N1321" t="s">
        <v>129</v>
      </c>
    </row>
    <row r="1322" spans="1:48" ht="30" customHeight="1" x14ac:dyDescent="0.3">
      <c r="A1322" s="4" t="s">
        <v>2703</v>
      </c>
      <c r="B1322" s="4" t="s">
        <v>2626</v>
      </c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Q1322" s="6" t="s">
        <v>2704</v>
      </c>
    </row>
    <row r="1323" spans="1:48" ht="30" customHeight="1" x14ac:dyDescent="0.3">
      <c r="A1323" s="4" t="s">
        <v>578</v>
      </c>
      <c r="B1323" s="4" t="s">
        <v>579</v>
      </c>
      <c r="C1323" s="4" t="s">
        <v>61</v>
      </c>
      <c r="D1323" s="5">
        <v>33</v>
      </c>
      <c r="E1323" s="7">
        <f>TRUNC([1]일위대가목록!E65,0)</f>
        <v>12500</v>
      </c>
      <c r="F1323" s="7">
        <f t="shared" ref="F1323:F1339" si="142">TRUNC(E1323*D1323, 0)</f>
        <v>412500</v>
      </c>
      <c r="G1323" s="7">
        <f>TRUNC([1]일위대가목록!F65,0)</f>
        <v>5000</v>
      </c>
      <c r="H1323" s="7">
        <f t="shared" ref="H1323:H1339" si="143">TRUNC(G1323*D1323, 0)</f>
        <v>165000</v>
      </c>
      <c r="I1323" s="7">
        <f>TRUNC([1]일위대가목록!G65,0)</f>
        <v>0</v>
      </c>
      <c r="J1323" s="7">
        <f t="shared" ref="J1323:J1339" si="144">TRUNC(I1323*D1323, 0)</f>
        <v>0</v>
      </c>
      <c r="K1323" s="7">
        <f t="shared" ref="K1323:L1339" si="145">TRUNC(E1323+G1323+I1323, 0)</f>
        <v>17500</v>
      </c>
      <c r="L1323" s="7">
        <f t="shared" si="145"/>
        <v>577500</v>
      </c>
      <c r="M1323" s="4" t="s">
        <v>580</v>
      </c>
      <c r="N1323" s="6" t="s">
        <v>581</v>
      </c>
      <c r="O1323" s="6" t="s">
        <v>55</v>
      </c>
      <c r="P1323" s="6" t="s">
        <v>55</v>
      </c>
      <c r="Q1323" s="6" t="s">
        <v>2704</v>
      </c>
      <c r="R1323" s="6" t="s">
        <v>57</v>
      </c>
      <c r="S1323" s="6" t="s">
        <v>56</v>
      </c>
      <c r="T1323" s="6" t="s">
        <v>56</v>
      </c>
      <c r="AR1323" s="6" t="s">
        <v>55</v>
      </c>
      <c r="AS1323" s="6" t="s">
        <v>55</v>
      </c>
      <c r="AU1323" s="6" t="s">
        <v>2705</v>
      </c>
      <c r="AV1323">
        <v>709</v>
      </c>
    </row>
    <row r="1324" spans="1:48" ht="30" customHeight="1" x14ac:dyDescent="0.3">
      <c r="A1324" s="4" t="s">
        <v>602</v>
      </c>
      <c r="B1324" s="4" t="s">
        <v>606</v>
      </c>
      <c r="C1324" s="4" t="s">
        <v>61</v>
      </c>
      <c r="D1324" s="5">
        <v>20</v>
      </c>
      <c r="E1324" s="7">
        <f>TRUNC([1]단가대비표!O129,0)</f>
        <v>50000</v>
      </c>
      <c r="F1324" s="7">
        <f t="shared" si="142"/>
        <v>1000000</v>
      </c>
      <c r="G1324" s="7">
        <f>TRUNC([1]단가대비표!P129,0)</f>
        <v>0</v>
      </c>
      <c r="H1324" s="7">
        <f t="shared" si="143"/>
        <v>0</v>
      </c>
      <c r="I1324" s="7">
        <f>TRUNC([1]단가대비표!V129,0)</f>
        <v>0</v>
      </c>
      <c r="J1324" s="7">
        <f t="shared" si="144"/>
        <v>0</v>
      </c>
      <c r="K1324" s="7">
        <f t="shared" si="145"/>
        <v>50000</v>
      </c>
      <c r="L1324" s="7">
        <f t="shared" si="145"/>
        <v>1000000</v>
      </c>
      <c r="M1324" s="4" t="s">
        <v>55</v>
      </c>
      <c r="N1324" s="6" t="s">
        <v>607</v>
      </c>
      <c r="O1324" s="6" t="s">
        <v>55</v>
      </c>
      <c r="P1324" s="6" t="s">
        <v>55</v>
      </c>
      <c r="Q1324" s="6" t="s">
        <v>2704</v>
      </c>
      <c r="R1324" s="6" t="s">
        <v>56</v>
      </c>
      <c r="S1324" s="6" t="s">
        <v>56</v>
      </c>
      <c r="T1324" s="6" t="s">
        <v>57</v>
      </c>
      <c r="AR1324" s="6" t="s">
        <v>55</v>
      </c>
      <c r="AS1324" s="6" t="s">
        <v>55</v>
      </c>
      <c r="AU1324" s="6" t="s">
        <v>2706</v>
      </c>
      <c r="AV1324">
        <v>3119</v>
      </c>
    </row>
    <row r="1325" spans="1:48" ht="30" customHeight="1" x14ac:dyDescent="0.3">
      <c r="A1325" s="4" t="s">
        <v>623</v>
      </c>
      <c r="B1325" s="4" t="s">
        <v>624</v>
      </c>
      <c r="C1325" s="4" t="s">
        <v>61</v>
      </c>
      <c r="D1325" s="5">
        <v>109</v>
      </c>
      <c r="E1325" s="7">
        <f>TRUNC([1]일위대가목록!E70,0)</f>
        <v>24766</v>
      </c>
      <c r="F1325" s="7">
        <f t="shared" si="142"/>
        <v>2699494</v>
      </c>
      <c r="G1325" s="7">
        <f>TRUNC([1]일위대가목록!F70,0)</f>
        <v>16802</v>
      </c>
      <c r="H1325" s="7">
        <f t="shared" si="143"/>
        <v>1831418</v>
      </c>
      <c r="I1325" s="7">
        <f>TRUNC([1]일위대가목록!G70,0)</f>
        <v>100</v>
      </c>
      <c r="J1325" s="7">
        <f t="shared" si="144"/>
        <v>10900</v>
      </c>
      <c r="K1325" s="7">
        <f t="shared" si="145"/>
        <v>41668</v>
      </c>
      <c r="L1325" s="7">
        <f t="shared" si="145"/>
        <v>4541812</v>
      </c>
      <c r="M1325" s="4" t="s">
        <v>625</v>
      </c>
      <c r="N1325" s="6" t="s">
        <v>626</v>
      </c>
      <c r="O1325" s="6" t="s">
        <v>55</v>
      </c>
      <c r="P1325" s="6" t="s">
        <v>55</v>
      </c>
      <c r="Q1325" s="6" t="s">
        <v>2704</v>
      </c>
      <c r="R1325" s="6" t="s">
        <v>57</v>
      </c>
      <c r="S1325" s="6" t="s">
        <v>56</v>
      </c>
      <c r="T1325" s="6" t="s">
        <v>56</v>
      </c>
      <c r="AR1325" s="6" t="s">
        <v>55</v>
      </c>
      <c r="AS1325" s="6" t="s">
        <v>55</v>
      </c>
      <c r="AU1325" s="6" t="s">
        <v>2707</v>
      </c>
      <c r="AV1325">
        <v>710</v>
      </c>
    </row>
    <row r="1326" spans="1:48" ht="30" customHeight="1" x14ac:dyDescent="0.3">
      <c r="A1326" s="4" t="s">
        <v>910</v>
      </c>
      <c r="B1326" s="4" t="s">
        <v>911</v>
      </c>
      <c r="C1326" s="4" t="s">
        <v>61</v>
      </c>
      <c r="D1326" s="5">
        <v>63</v>
      </c>
      <c r="E1326" s="7">
        <f>TRUNC([1]단가대비표!O752,0)</f>
        <v>65475</v>
      </c>
      <c r="F1326" s="7">
        <f t="shared" si="142"/>
        <v>4124925</v>
      </c>
      <c r="G1326" s="7">
        <f>TRUNC([1]단가대비표!P752,0)</f>
        <v>0</v>
      </c>
      <c r="H1326" s="7">
        <f t="shared" si="143"/>
        <v>0</v>
      </c>
      <c r="I1326" s="7">
        <f>TRUNC([1]단가대비표!V752,0)</f>
        <v>0</v>
      </c>
      <c r="J1326" s="7">
        <f t="shared" si="144"/>
        <v>0</v>
      </c>
      <c r="K1326" s="7">
        <f t="shared" si="145"/>
        <v>65475</v>
      </c>
      <c r="L1326" s="7">
        <f t="shared" si="145"/>
        <v>4124925</v>
      </c>
      <c r="M1326" s="4" t="s">
        <v>55</v>
      </c>
      <c r="N1326" s="6" t="s">
        <v>2708</v>
      </c>
      <c r="O1326" s="6" t="s">
        <v>55</v>
      </c>
      <c r="P1326" s="6" t="s">
        <v>55</v>
      </c>
      <c r="Q1326" s="6" t="s">
        <v>2704</v>
      </c>
      <c r="R1326" s="6" t="s">
        <v>56</v>
      </c>
      <c r="S1326" s="6" t="s">
        <v>56</v>
      </c>
      <c r="T1326" s="6" t="s">
        <v>57</v>
      </c>
      <c r="AR1326" s="6" t="s">
        <v>55</v>
      </c>
      <c r="AS1326" s="6" t="s">
        <v>55</v>
      </c>
      <c r="AU1326" s="6" t="s">
        <v>2709</v>
      </c>
      <c r="AV1326">
        <v>2410</v>
      </c>
    </row>
    <row r="1327" spans="1:48" ht="30" customHeight="1" x14ac:dyDescent="0.3">
      <c r="A1327" s="4" t="s">
        <v>930</v>
      </c>
      <c r="B1327" s="4" t="s">
        <v>931</v>
      </c>
      <c r="C1327" s="4" t="s">
        <v>61</v>
      </c>
      <c r="D1327" s="5">
        <v>18</v>
      </c>
      <c r="E1327" s="7">
        <f>TRUNC([1]단가대비표!O753,0)</f>
        <v>55496</v>
      </c>
      <c r="F1327" s="7">
        <f t="shared" si="142"/>
        <v>998928</v>
      </c>
      <c r="G1327" s="7">
        <f>TRUNC([1]단가대비표!P753,0)</f>
        <v>0</v>
      </c>
      <c r="H1327" s="7">
        <f t="shared" si="143"/>
        <v>0</v>
      </c>
      <c r="I1327" s="7">
        <f>TRUNC([1]단가대비표!V753,0)</f>
        <v>0</v>
      </c>
      <c r="J1327" s="7">
        <f t="shared" si="144"/>
        <v>0</v>
      </c>
      <c r="K1327" s="7">
        <f t="shared" si="145"/>
        <v>55496</v>
      </c>
      <c r="L1327" s="7">
        <f t="shared" si="145"/>
        <v>998928</v>
      </c>
      <c r="M1327" s="4" t="s">
        <v>55</v>
      </c>
      <c r="N1327" s="6" t="s">
        <v>2710</v>
      </c>
      <c r="O1327" s="6" t="s">
        <v>55</v>
      </c>
      <c r="P1327" s="6" t="s">
        <v>55</v>
      </c>
      <c r="Q1327" s="6" t="s">
        <v>2704</v>
      </c>
      <c r="R1327" s="6" t="s">
        <v>56</v>
      </c>
      <c r="S1327" s="6" t="s">
        <v>56</v>
      </c>
      <c r="T1327" s="6" t="s">
        <v>57</v>
      </c>
      <c r="AR1327" s="6" t="s">
        <v>55</v>
      </c>
      <c r="AS1327" s="6" t="s">
        <v>55</v>
      </c>
      <c r="AU1327" s="6" t="s">
        <v>2711</v>
      </c>
      <c r="AV1327">
        <v>2411</v>
      </c>
    </row>
    <row r="1328" spans="1:48" ht="30" customHeight="1" x14ac:dyDescent="0.3">
      <c r="A1328" s="4" t="s">
        <v>938</v>
      </c>
      <c r="B1328" s="4" t="s">
        <v>939</v>
      </c>
      <c r="C1328" s="4" t="s">
        <v>61</v>
      </c>
      <c r="D1328" s="5">
        <v>37</v>
      </c>
      <c r="E1328" s="7">
        <f>TRUNC([1]단가대비표!O754,0)</f>
        <v>36846</v>
      </c>
      <c r="F1328" s="7">
        <f t="shared" si="142"/>
        <v>1363302</v>
      </c>
      <c r="G1328" s="7">
        <f>TRUNC([1]단가대비표!P754,0)</f>
        <v>0</v>
      </c>
      <c r="H1328" s="7">
        <f t="shared" si="143"/>
        <v>0</v>
      </c>
      <c r="I1328" s="7">
        <f>TRUNC([1]단가대비표!V754,0)</f>
        <v>0</v>
      </c>
      <c r="J1328" s="7">
        <f t="shared" si="144"/>
        <v>0</v>
      </c>
      <c r="K1328" s="7">
        <f t="shared" si="145"/>
        <v>36846</v>
      </c>
      <c r="L1328" s="7">
        <f t="shared" si="145"/>
        <v>1363302</v>
      </c>
      <c r="M1328" s="4" t="s">
        <v>55</v>
      </c>
      <c r="N1328" s="6" t="s">
        <v>2712</v>
      </c>
      <c r="O1328" s="6" t="s">
        <v>55</v>
      </c>
      <c r="P1328" s="6" t="s">
        <v>55</v>
      </c>
      <c r="Q1328" s="6" t="s">
        <v>2704</v>
      </c>
      <c r="R1328" s="6" t="s">
        <v>56</v>
      </c>
      <c r="S1328" s="6" t="s">
        <v>56</v>
      </c>
      <c r="T1328" s="6" t="s">
        <v>57</v>
      </c>
      <c r="AR1328" s="6" t="s">
        <v>55</v>
      </c>
      <c r="AS1328" s="6" t="s">
        <v>55</v>
      </c>
      <c r="AU1328" s="6" t="s">
        <v>2713</v>
      </c>
      <c r="AV1328">
        <v>2412</v>
      </c>
    </row>
    <row r="1329" spans="1:48" ht="30" customHeight="1" x14ac:dyDescent="0.3">
      <c r="A1329" s="4" t="s">
        <v>922</v>
      </c>
      <c r="B1329" s="4" t="s">
        <v>923</v>
      </c>
      <c r="C1329" s="4" t="s">
        <v>61</v>
      </c>
      <c r="D1329" s="5">
        <v>39</v>
      </c>
      <c r="E1329" s="7">
        <f>TRUNC([1]단가대비표!O755,0)</f>
        <v>66252</v>
      </c>
      <c r="F1329" s="7">
        <f t="shared" si="142"/>
        <v>2583828</v>
      </c>
      <c r="G1329" s="7">
        <f>TRUNC([1]단가대비표!P755,0)</f>
        <v>0</v>
      </c>
      <c r="H1329" s="7">
        <f t="shared" si="143"/>
        <v>0</v>
      </c>
      <c r="I1329" s="7">
        <f>TRUNC([1]단가대비표!V755,0)</f>
        <v>0</v>
      </c>
      <c r="J1329" s="7">
        <f t="shared" si="144"/>
        <v>0</v>
      </c>
      <c r="K1329" s="7">
        <f t="shared" si="145"/>
        <v>66252</v>
      </c>
      <c r="L1329" s="7">
        <f t="shared" si="145"/>
        <v>2583828</v>
      </c>
      <c r="M1329" s="4" t="s">
        <v>55</v>
      </c>
      <c r="N1329" s="6" t="s">
        <v>2714</v>
      </c>
      <c r="O1329" s="6" t="s">
        <v>55</v>
      </c>
      <c r="P1329" s="6" t="s">
        <v>55</v>
      </c>
      <c r="Q1329" s="6" t="s">
        <v>2704</v>
      </c>
      <c r="R1329" s="6" t="s">
        <v>56</v>
      </c>
      <c r="S1329" s="6" t="s">
        <v>56</v>
      </c>
      <c r="T1329" s="6" t="s">
        <v>57</v>
      </c>
      <c r="AR1329" s="6" t="s">
        <v>55</v>
      </c>
      <c r="AS1329" s="6" t="s">
        <v>55</v>
      </c>
      <c r="AU1329" s="6" t="s">
        <v>2715</v>
      </c>
      <c r="AV1329">
        <v>2413</v>
      </c>
    </row>
    <row r="1330" spans="1:48" ht="30" customHeight="1" x14ac:dyDescent="0.3">
      <c r="A1330" s="4" t="s">
        <v>628</v>
      </c>
      <c r="B1330" s="4" t="s">
        <v>2716</v>
      </c>
      <c r="C1330" s="4" t="s">
        <v>61</v>
      </c>
      <c r="D1330" s="5">
        <v>217</v>
      </c>
      <c r="E1330" s="7">
        <f>TRUNC([1]일위대가목록!E214,0)</f>
        <v>20531</v>
      </c>
      <c r="F1330" s="7">
        <f t="shared" si="142"/>
        <v>4455227</v>
      </c>
      <c r="G1330" s="7">
        <f>TRUNC([1]일위대가목록!F214,0)</f>
        <v>8338</v>
      </c>
      <c r="H1330" s="7">
        <f t="shared" si="143"/>
        <v>1809346</v>
      </c>
      <c r="I1330" s="7">
        <f>TRUNC([1]일위대가목록!G214,0)</f>
        <v>166</v>
      </c>
      <c r="J1330" s="7">
        <f t="shared" si="144"/>
        <v>36022</v>
      </c>
      <c r="K1330" s="7">
        <f t="shared" si="145"/>
        <v>29035</v>
      </c>
      <c r="L1330" s="7">
        <f t="shared" si="145"/>
        <v>6300595</v>
      </c>
      <c r="M1330" s="4" t="s">
        <v>2717</v>
      </c>
      <c r="N1330" s="6" t="s">
        <v>2718</v>
      </c>
      <c r="O1330" s="6" t="s">
        <v>55</v>
      </c>
      <c r="P1330" s="6" t="s">
        <v>55</v>
      </c>
      <c r="Q1330" s="6" t="s">
        <v>2704</v>
      </c>
      <c r="R1330" s="6" t="s">
        <v>57</v>
      </c>
      <c r="S1330" s="6" t="s">
        <v>56</v>
      </c>
      <c r="T1330" s="6" t="s">
        <v>56</v>
      </c>
      <c r="AR1330" s="6" t="s">
        <v>55</v>
      </c>
      <c r="AS1330" s="6" t="s">
        <v>55</v>
      </c>
      <c r="AU1330" s="6" t="s">
        <v>2719</v>
      </c>
      <c r="AV1330">
        <v>3244</v>
      </c>
    </row>
    <row r="1331" spans="1:48" ht="30" customHeight="1" x14ac:dyDescent="0.3">
      <c r="A1331" s="4" t="s">
        <v>628</v>
      </c>
      <c r="B1331" s="4" t="s">
        <v>637</v>
      </c>
      <c r="C1331" s="4" t="s">
        <v>61</v>
      </c>
      <c r="D1331" s="5">
        <v>60</v>
      </c>
      <c r="E1331" s="7">
        <f>TRUNC([1]일위대가목록!E73,0)</f>
        <v>40546</v>
      </c>
      <c r="F1331" s="7">
        <f t="shared" si="142"/>
        <v>2432760</v>
      </c>
      <c r="G1331" s="7">
        <f>TRUNC([1]일위대가목록!F73,0)</f>
        <v>8338</v>
      </c>
      <c r="H1331" s="7">
        <f t="shared" si="143"/>
        <v>500280</v>
      </c>
      <c r="I1331" s="7">
        <f>TRUNC([1]일위대가목록!G73,0)</f>
        <v>166</v>
      </c>
      <c r="J1331" s="7">
        <f t="shared" si="144"/>
        <v>9960</v>
      </c>
      <c r="K1331" s="7">
        <f t="shared" si="145"/>
        <v>49050</v>
      </c>
      <c r="L1331" s="7">
        <f t="shared" si="145"/>
        <v>2943000</v>
      </c>
      <c r="M1331" s="4" t="s">
        <v>638</v>
      </c>
      <c r="N1331" s="6" t="s">
        <v>639</v>
      </c>
      <c r="O1331" s="6" t="s">
        <v>55</v>
      </c>
      <c r="P1331" s="6" t="s">
        <v>55</v>
      </c>
      <c r="Q1331" s="6" t="s">
        <v>2704</v>
      </c>
      <c r="R1331" s="6" t="s">
        <v>57</v>
      </c>
      <c r="S1331" s="6" t="s">
        <v>56</v>
      </c>
      <c r="T1331" s="6" t="s">
        <v>56</v>
      </c>
      <c r="AR1331" s="6" t="s">
        <v>55</v>
      </c>
      <c r="AS1331" s="6" t="s">
        <v>55</v>
      </c>
      <c r="AU1331" s="6" t="s">
        <v>2720</v>
      </c>
      <c r="AV1331">
        <v>3243</v>
      </c>
    </row>
    <row r="1332" spans="1:48" ht="30" customHeight="1" x14ac:dyDescent="0.3">
      <c r="A1332" s="4" t="s">
        <v>649</v>
      </c>
      <c r="B1332" s="4" t="s">
        <v>650</v>
      </c>
      <c r="C1332" s="4" t="s">
        <v>61</v>
      </c>
      <c r="D1332" s="5">
        <v>304</v>
      </c>
      <c r="E1332" s="7">
        <f>TRUNC([1]일위대가목록!E76,0)</f>
        <v>443</v>
      </c>
      <c r="F1332" s="7">
        <f t="shared" si="142"/>
        <v>134672</v>
      </c>
      <c r="G1332" s="7">
        <f>TRUNC([1]일위대가목록!F76,0)</f>
        <v>1301</v>
      </c>
      <c r="H1332" s="7">
        <f t="shared" si="143"/>
        <v>395504</v>
      </c>
      <c r="I1332" s="7">
        <f>TRUNC([1]일위대가목록!G76,0)</f>
        <v>0</v>
      </c>
      <c r="J1332" s="7">
        <f t="shared" si="144"/>
        <v>0</v>
      </c>
      <c r="K1332" s="7">
        <f t="shared" si="145"/>
        <v>1744</v>
      </c>
      <c r="L1332" s="7">
        <f t="shared" si="145"/>
        <v>530176</v>
      </c>
      <c r="M1332" s="4" t="s">
        <v>651</v>
      </c>
      <c r="N1332" s="6" t="s">
        <v>652</v>
      </c>
      <c r="O1332" s="6" t="s">
        <v>55</v>
      </c>
      <c r="P1332" s="6" t="s">
        <v>55</v>
      </c>
      <c r="Q1332" s="6" t="s">
        <v>2704</v>
      </c>
      <c r="R1332" s="6" t="s">
        <v>57</v>
      </c>
      <c r="S1332" s="6" t="s">
        <v>56</v>
      </c>
      <c r="T1332" s="6" t="s">
        <v>56</v>
      </c>
      <c r="AR1332" s="6" t="s">
        <v>55</v>
      </c>
      <c r="AS1332" s="6" t="s">
        <v>55</v>
      </c>
      <c r="AU1332" s="6" t="s">
        <v>2721</v>
      </c>
      <c r="AV1332">
        <v>719</v>
      </c>
    </row>
    <row r="1333" spans="1:48" ht="30" customHeight="1" x14ac:dyDescent="0.3">
      <c r="A1333" s="4" t="s">
        <v>55</v>
      </c>
      <c r="B1333" s="4" t="s">
        <v>55</v>
      </c>
      <c r="C1333" s="4" t="s">
        <v>55</v>
      </c>
      <c r="D1333" s="5"/>
      <c r="E1333" s="7">
        <f>TRUNC([1]단가대비표!O843,0)</f>
        <v>0</v>
      </c>
      <c r="F1333" s="7">
        <f t="shared" si="142"/>
        <v>0</v>
      </c>
      <c r="G1333" s="7">
        <f>TRUNC([1]단가대비표!P843,0)</f>
        <v>0</v>
      </c>
      <c r="H1333" s="7">
        <f t="shared" si="143"/>
        <v>0</v>
      </c>
      <c r="I1333" s="7">
        <f>TRUNC([1]단가대비표!V843,0)</f>
        <v>0</v>
      </c>
      <c r="J1333" s="7">
        <f t="shared" si="144"/>
        <v>0</v>
      </c>
      <c r="K1333" s="7">
        <f t="shared" si="145"/>
        <v>0</v>
      </c>
      <c r="L1333" s="7">
        <f t="shared" si="145"/>
        <v>0</v>
      </c>
      <c r="M1333" s="4" t="s">
        <v>55</v>
      </c>
      <c r="N1333" s="6" t="s">
        <v>2722</v>
      </c>
      <c r="O1333" s="6" t="s">
        <v>55</v>
      </c>
      <c r="P1333" s="6" t="s">
        <v>55</v>
      </c>
      <c r="Q1333" s="6" t="s">
        <v>2704</v>
      </c>
      <c r="R1333" s="6" t="s">
        <v>56</v>
      </c>
      <c r="S1333" s="6" t="s">
        <v>56</v>
      </c>
      <c r="T1333" s="6" t="s">
        <v>57</v>
      </c>
      <c r="AR1333" s="6" t="s">
        <v>55</v>
      </c>
      <c r="AS1333" s="6" t="s">
        <v>55</v>
      </c>
      <c r="AU1333" s="6" t="s">
        <v>2723</v>
      </c>
      <c r="AV1333">
        <v>3120</v>
      </c>
    </row>
    <row r="1334" spans="1:48" ht="30" customHeight="1" x14ac:dyDescent="0.3">
      <c r="A1334" s="4" t="s">
        <v>949</v>
      </c>
      <c r="B1334" s="4" t="s">
        <v>55</v>
      </c>
      <c r="C1334" s="4" t="s">
        <v>55</v>
      </c>
      <c r="D1334" s="5"/>
      <c r="E1334" s="7">
        <f>TRUNC([1]단가대비표!O816,0)</f>
        <v>0</v>
      </c>
      <c r="F1334" s="7">
        <f t="shared" si="142"/>
        <v>0</v>
      </c>
      <c r="G1334" s="7">
        <f>TRUNC([1]단가대비표!P816,0)</f>
        <v>0</v>
      </c>
      <c r="H1334" s="7">
        <f t="shared" si="143"/>
        <v>0</v>
      </c>
      <c r="I1334" s="7">
        <f>TRUNC([1]단가대비표!V816,0)</f>
        <v>0</v>
      </c>
      <c r="J1334" s="7">
        <f t="shared" si="144"/>
        <v>0</v>
      </c>
      <c r="K1334" s="7">
        <f t="shared" si="145"/>
        <v>0</v>
      </c>
      <c r="L1334" s="7">
        <f t="shared" si="145"/>
        <v>0</v>
      </c>
      <c r="M1334" s="4" t="s">
        <v>55</v>
      </c>
      <c r="N1334" s="6" t="s">
        <v>950</v>
      </c>
      <c r="O1334" s="6" t="s">
        <v>55</v>
      </c>
      <c r="P1334" s="6" t="s">
        <v>55</v>
      </c>
      <c r="Q1334" s="6" t="s">
        <v>2704</v>
      </c>
      <c r="R1334" s="6" t="s">
        <v>56</v>
      </c>
      <c r="S1334" s="6" t="s">
        <v>56</v>
      </c>
      <c r="T1334" s="6" t="s">
        <v>57</v>
      </c>
      <c r="AR1334" s="6" t="s">
        <v>55</v>
      </c>
      <c r="AS1334" s="6" t="s">
        <v>55</v>
      </c>
      <c r="AU1334" s="6" t="s">
        <v>2724</v>
      </c>
      <c r="AV1334">
        <v>3127</v>
      </c>
    </row>
    <row r="1335" spans="1:48" ht="30" customHeight="1" x14ac:dyDescent="0.3">
      <c r="A1335" s="4" t="s">
        <v>952</v>
      </c>
      <c r="B1335" s="4" t="s">
        <v>953</v>
      </c>
      <c r="C1335" s="4" t="s">
        <v>61</v>
      </c>
      <c r="D1335" s="5">
        <v>82</v>
      </c>
      <c r="E1335" s="7">
        <f>TRUNC([1]단가대비표!O817,0)</f>
        <v>16100</v>
      </c>
      <c r="F1335" s="7">
        <f t="shared" si="142"/>
        <v>1320200</v>
      </c>
      <c r="G1335" s="7">
        <f>TRUNC([1]단가대비표!P817,0)</f>
        <v>0</v>
      </c>
      <c r="H1335" s="7">
        <f t="shared" si="143"/>
        <v>0</v>
      </c>
      <c r="I1335" s="7">
        <f>TRUNC([1]단가대비표!V817,0)</f>
        <v>0</v>
      </c>
      <c r="J1335" s="7">
        <f t="shared" si="144"/>
        <v>0</v>
      </c>
      <c r="K1335" s="7">
        <f t="shared" si="145"/>
        <v>16100</v>
      </c>
      <c r="L1335" s="7">
        <f t="shared" si="145"/>
        <v>1320200</v>
      </c>
      <c r="M1335" s="4" t="s">
        <v>115</v>
      </c>
      <c r="N1335" s="6" t="s">
        <v>954</v>
      </c>
      <c r="O1335" s="6" t="s">
        <v>55</v>
      </c>
      <c r="P1335" s="6" t="s">
        <v>55</v>
      </c>
      <c r="Q1335" s="6" t="s">
        <v>2704</v>
      </c>
      <c r="R1335" s="6" t="s">
        <v>56</v>
      </c>
      <c r="S1335" s="6" t="s">
        <v>56</v>
      </c>
      <c r="T1335" s="6" t="s">
        <v>57</v>
      </c>
      <c r="AR1335" s="6" t="s">
        <v>55</v>
      </c>
      <c r="AS1335" s="6" t="s">
        <v>55</v>
      </c>
      <c r="AU1335" s="6" t="s">
        <v>2725</v>
      </c>
      <c r="AV1335">
        <v>3126</v>
      </c>
    </row>
    <row r="1336" spans="1:48" ht="30" customHeight="1" x14ac:dyDescent="0.3">
      <c r="A1336" s="4" t="s">
        <v>956</v>
      </c>
      <c r="B1336" s="4" t="s">
        <v>957</v>
      </c>
      <c r="C1336" s="4" t="s">
        <v>61</v>
      </c>
      <c r="D1336" s="5">
        <v>74</v>
      </c>
      <c r="E1336" s="7">
        <f>TRUNC([1]단가대비표!O818,0)</f>
        <v>32000</v>
      </c>
      <c r="F1336" s="7">
        <f t="shared" si="142"/>
        <v>2368000</v>
      </c>
      <c r="G1336" s="7">
        <f>TRUNC([1]단가대비표!P818,0)</f>
        <v>0</v>
      </c>
      <c r="H1336" s="7">
        <f t="shared" si="143"/>
        <v>0</v>
      </c>
      <c r="I1336" s="7">
        <f>TRUNC([1]단가대비표!V818,0)</f>
        <v>0</v>
      </c>
      <c r="J1336" s="7">
        <f t="shared" si="144"/>
        <v>0</v>
      </c>
      <c r="K1336" s="7">
        <f t="shared" si="145"/>
        <v>32000</v>
      </c>
      <c r="L1336" s="7">
        <f t="shared" si="145"/>
        <v>2368000</v>
      </c>
      <c r="M1336" s="4" t="s">
        <v>115</v>
      </c>
      <c r="N1336" s="6" t="s">
        <v>958</v>
      </c>
      <c r="O1336" s="6" t="s">
        <v>55</v>
      </c>
      <c r="P1336" s="6" t="s">
        <v>55</v>
      </c>
      <c r="Q1336" s="6" t="s">
        <v>2704</v>
      </c>
      <c r="R1336" s="6" t="s">
        <v>56</v>
      </c>
      <c r="S1336" s="6" t="s">
        <v>56</v>
      </c>
      <c r="T1336" s="6" t="s">
        <v>57</v>
      </c>
      <c r="AR1336" s="6" t="s">
        <v>55</v>
      </c>
      <c r="AS1336" s="6" t="s">
        <v>55</v>
      </c>
      <c r="AU1336" s="6" t="s">
        <v>2726</v>
      </c>
      <c r="AV1336">
        <v>3128</v>
      </c>
    </row>
    <row r="1337" spans="1:48" ht="30" customHeight="1" x14ac:dyDescent="0.3">
      <c r="A1337" s="4" t="s">
        <v>55</v>
      </c>
      <c r="B1337" s="4" t="s">
        <v>55</v>
      </c>
      <c r="C1337" s="4" t="s">
        <v>55</v>
      </c>
      <c r="D1337" s="5"/>
      <c r="E1337" s="7">
        <f>TRUNC([1]단가대비표!O890,0)</f>
        <v>0</v>
      </c>
      <c r="F1337" s="7">
        <f t="shared" si="142"/>
        <v>0</v>
      </c>
      <c r="G1337" s="7">
        <f>TRUNC([1]단가대비표!P890,0)</f>
        <v>0</v>
      </c>
      <c r="H1337" s="7">
        <f t="shared" si="143"/>
        <v>0</v>
      </c>
      <c r="I1337" s="7">
        <f>TRUNC([1]단가대비표!V890,0)</f>
        <v>0</v>
      </c>
      <c r="J1337" s="7">
        <f t="shared" si="144"/>
        <v>0</v>
      </c>
      <c r="K1337" s="7">
        <f t="shared" si="145"/>
        <v>0</v>
      </c>
      <c r="L1337" s="7">
        <f t="shared" si="145"/>
        <v>0</v>
      </c>
      <c r="M1337" s="4" t="s">
        <v>55</v>
      </c>
      <c r="N1337" s="6" t="s">
        <v>2727</v>
      </c>
      <c r="O1337" s="6" t="s">
        <v>55</v>
      </c>
      <c r="P1337" s="6" t="s">
        <v>55</v>
      </c>
      <c r="Q1337" s="6" t="s">
        <v>2704</v>
      </c>
      <c r="R1337" s="6" t="s">
        <v>56</v>
      </c>
      <c r="S1337" s="6" t="s">
        <v>56</v>
      </c>
      <c r="T1337" s="6" t="s">
        <v>57</v>
      </c>
      <c r="AR1337" s="6" t="s">
        <v>55</v>
      </c>
      <c r="AS1337" s="6" t="s">
        <v>55</v>
      </c>
      <c r="AU1337" s="6" t="s">
        <v>2728</v>
      </c>
      <c r="AV1337">
        <v>3313</v>
      </c>
    </row>
    <row r="1338" spans="1:48" ht="30" customHeight="1" x14ac:dyDescent="0.3">
      <c r="A1338" s="4" t="s">
        <v>893</v>
      </c>
      <c r="B1338" s="4" t="s">
        <v>55</v>
      </c>
      <c r="C1338" s="4" t="s">
        <v>55</v>
      </c>
      <c r="D1338" s="5"/>
      <c r="E1338" s="7">
        <f>TRUNC([1]단가대비표!O736,0)</f>
        <v>0</v>
      </c>
      <c r="F1338" s="7">
        <f t="shared" si="142"/>
        <v>0</v>
      </c>
      <c r="G1338" s="7">
        <f>TRUNC([1]단가대비표!P736,0)</f>
        <v>0</v>
      </c>
      <c r="H1338" s="7">
        <f t="shared" si="143"/>
        <v>0</v>
      </c>
      <c r="I1338" s="7">
        <f>TRUNC([1]단가대비표!V736,0)</f>
        <v>0</v>
      </c>
      <c r="J1338" s="7">
        <f t="shared" si="144"/>
        <v>0</v>
      </c>
      <c r="K1338" s="7">
        <f t="shared" si="145"/>
        <v>0</v>
      </c>
      <c r="L1338" s="7">
        <f t="shared" si="145"/>
        <v>0</v>
      </c>
      <c r="M1338" s="4" t="s">
        <v>55</v>
      </c>
      <c r="N1338" s="6" t="s">
        <v>894</v>
      </c>
      <c r="O1338" s="6" t="s">
        <v>55</v>
      </c>
      <c r="P1338" s="6" t="s">
        <v>55</v>
      </c>
      <c r="Q1338" s="6" t="s">
        <v>2704</v>
      </c>
      <c r="R1338" s="6" t="s">
        <v>56</v>
      </c>
      <c r="S1338" s="6" t="s">
        <v>56</v>
      </c>
      <c r="T1338" s="6" t="s">
        <v>57</v>
      </c>
      <c r="AR1338" s="6" t="s">
        <v>55</v>
      </c>
      <c r="AS1338" s="6" t="s">
        <v>55</v>
      </c>
      <c r="AU1338" s="6" t="s">
        <v>2729</v>
      </c>
      <c r="AV1338">
        <v>3312</v>
      </c>
    </row>
    <row r="1339" spans="1:48" ht="30" customHeight="1" x14ac:dyDescent="0.3">
      <c r="A1339" s="4" t="s">
        <v>896</v>
      </c>
      <c r="B1339" s="4" t="s">
        <v>897</v>
      </c>
      <c r="C1339" s="4" t="s">
        <v>61</v>
      </c>
      <c r="D1339" s="5">
        <v>127</v>
      </c>
      <c r="E1339" s="7">
        <f>TRUNC([1]일위대가목록!E80,0)</f>
        <v>7533</v>
      </c>
      <c r="F1339" s="7">
        <f t="shared" si="142"/>
        <v>956691</v>
      </c>
      <c r="G1339" s="7">
        <f>TRUNC([1]일위대가목록!F80,0)</f>
        <v>13496</v>
      </c>
      <c r="H1339" s="7">
        <f t="shared" si="143"/>
        <v>1713992</v>
      </c>
      <c r="I1339" s="7">
        <f>TRUNC([1]일위대가목록!G80,0)</f>
        <v>0</v>
      </c>
      <c r="J1339" s="7">
        <f t="shared" si="144"/>
        <v>0</v>
      </c>
      <c r="K1339" s="7">
        <f t="shared" si="145"/>
        <v>21029</v>
      </c>
      <c r="L1339" s="7">
        <f t="shared" si="145"/>
        <v>2670683</v>
      </c>
      <c r="M1339" s="4" t="s">
        <v>898</v>
      </c>
      <c r="N1339" s="6" t="s">
        <v>899</v>
      </c>
      <c r="O1339" s="6" t="s">
        <v>55</v>
      </c>
      <c r="P1339" s="6" t="s">
        <v>55</v>
      </c>
      <c r="Q1339" s="6" t="s">
        <v>2704</v>
      </c>
      <c r="R1339" s="6" t="s">
        <v>57</v>
      </c>
      <c r="S1339" s="6" t="s">
        <v>56</v>
      </c>
      <c r="T1339" s="6" t="s">
        <v>56</v>
      </c>
      <c r="AR1339" s="6" t="s">
        <v>55</v>
      </c>
      <c r="AS1339" s="6" t="s">
        <v>55</v>
      </c>
      <c r="AU1339" s="6" t="s">
        <v>2730</v>
      </c>
      <c r="AV1339">
        <v>711</v>
      </c>
    </row>
    <row r="1340" spans="1:48" ht="30" customHeight="1" x14ac:dyDescent="0.3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</row>
    <row r="1341" spans="1:48" ht="30" customHeight="1" x14ac:dyDescent="0.3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</row>
    <row r="1342" spans="1:48" ht="30" customHeight="1" x14ac:dyDescent="0.3">
      <c r="A1342" s="4" t="s">
        <v>128</v>
      </c>
      <c r="B1342" s="5"/>
      <c r="C1342" s="5"/>
      <c r="D1342" s="5"/>
      <c r="E1342" s="5"/>
      <c r="F1342" s="7">
        <f>SUM(F1323:F1341)</f>
        <v>24850527</v>
      </c>
      <c r="G1342" s="5"/>
      <c r="H1342" s="7">
        <f>SUM(H1323:H1341)</f>
        <v>6415540</v>
      </c>
      <c r="I1342" s="5"/>
      <c r="J1342" s="7">
        <f>SUM(J1323:J1341)</f>
        <v>56882</v>
      </c>
      <c r="K1342" s="5"/>
      <c r="L1342" s="7">
        <f>SUM(L1323:L1341)</f>
        <v>31322949</v>
      </c>
      <c r="M1342" s="5"/>
      <c r="N1342" t="s">
        <v>129</v>
      </c>
    </row>
    <row r="1343" spans="1:48" ht="30" customHeight="1" x14ac:dyDescent="0.3">
      <c r="A1343" s="4" t="s">
        <v>2731</v>
      </c>
      <c r="B1343" s="4" t="s">
        <v>2626</v>
      </c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Q1343" s="6" t="s">
        <v>2732</v>
      </c>
    </row>
    <row r="1344" spans="1:48" ht="30" customHeight="1" x14ac:dyDescent="0.3">
      <c r="A1344" s="4" t="s">
        <v>962</v>
      </c>
      <c r="B1344" s="4" t="s">
        <v>963</v>
      </c>
      <c r="C1344" s="4" t="s">
        <v>61</v>
      </c>
      <c r="D1344" s="5">
        <v>40</v>
      </c>
      <c r="E1344" s="7">
        <f>TRUNC([1]단가대비표!O879,0)</f>
        <v>22083</v>
      </c>
      <c r="F1344" s="7">
        <f t="shared" ref="F1344:F1362" si="146">TRUNC(E1344*D1344, 0)</f>
        <v>883320</v>
      </c>
      <c r="G1344" s="7">
        <f>TRUNC([1]단가대비표!P879,0)</f>
        <v>5001</v>
      </c>
      <c r="H1344" s="7">
        <f t="shared" ref="H1344:H1362" si="147">TRUNC(G1344*D1344, 0)</f>
        <v>200040</v>
      </c>
      <c r="I1344" s="7">
        <f>TRUNC([1]단가대비표!V879,0)</f>
        <v>0</v>
      </c>
      <c r="J1344" s="7">
        <f t="shared" ref="J1344:J1362" si="148">TRUNC(I1344*D1344, 0)</f>
        <v>0</v>
      </c>
      <c r="K1344" s="7">
        <f t="shared" ref="K1344:L1362" si="149">TRUNC(E1344+G1344+I1344, 0)</f>
        <v>27084</v>
      </c>
      <c r="L1344" s="7">
        <f t="shared" si="149"/>
        <v>1083360</v>
      </c>
      <c r="M1344" s="4" t="s">
        <v>115</v>
      </c>
      <c r="N1344" s="6" t="s">
        <v>964</v>
      </c>
      <c r="O1344" s="6" t="s">
        <v>55</v>
      </c>
      <c r="P1344" s="6" t="s">
        <v>55</v>
      </c>
      <c r="Q1344" s="6" t="s">
        <v>2732</v>
      </c>
      <c r="R1344" s="6" t="s">
        <v>56</v>
      </c>
      <c r="S1344" s="6" t="s">
        <v>56</v>
      </c>
      <c r="T1344" s="6" t="s">
        <v>57</v>
      </c>
      <c r="AR1344" s="6" t="s">
        <v>55</v>
      </c>
      <c r="AS1344" s="6" t="s">
        <v>55</v>
      </c>
      <c r="AU1344" s="6" t="s">
        <v>2733</v>
      </c>
      <c r="AV1344">
        <v>3284</v>
      </c>
    </row>
    <row r="1345" spans="1:48" ht="30" customHeight="1" x14ac:dyDescent="0.3">
      <c r="A1345" s="4" t="s">
        <v>962</v>
      </c>
      <c r="B1345" s="4" t="s">
        <v>966</v>
      </c>
      <c r="C1345" s="4" t="s">
        <v>61</v>
      </c>
      <c r="D1345" s="5">
        <v>40</v>
      </c>
      <c r="E1345" s="7">
        <f>TRUNC([1]단가대비표!O880,0)</f>
        <v>19441</v>
      </c>
      <c r="F1345" s="7">
        <f t="shared" si="146"/>
        <v>777640</v>
      </c>
      <c r="G1345" s="7">
        <f>TRUNC([1]단가대비표!P880,0)</f>
        <v>6669</v>
      </c>
      <c r="H1345" s="7">
        <f t="shared" si="147"/>
        <v>266760</v>
      </c>
      <c r="I1345" s="7">
        <f>TRUNC([1]단가대비표!V880,0)</f>
        <v>0</v>
      </c>
      <c r="J1345" s="7">
        <f t="shared" si="148"/>
        <v>0</v>
      </c>
      <c r="K1345" s="7">
        <f t="shared" si="149"/>
        <v>26110</v>
      </c>
      <c r="L1345" s="7">
        <f t="shared" si="149"/>
        <v>1044400</v>
      </c>
      <c r="M1345" s="4" t="s">
        <v>115</v>
      </c>
      <c r="N1345" s="6" t="s">
        <v>967</v>
      </c>
      <c r="O1345" s="6" t="s">
        <v>55</v>
      </c>
      <c r="P1345" s="6" t="s">
        <v>55</v>
      </c>
      <c r="Q1345" s="6" t="s">
        <v>2732</v>
      </c>
      <c r="R1345" s="6" t="s">
        <v>56</v>
      </c>
      <c r="S1345" s="6" t="s">
        <v>56</v>
      </c>
      <c r="T1345" s="6" t="s">
        <v>57</v>
      </c>
      <c r="AR1345" s="6" t="s">
        <v>55</v>
      </c>
      <c r="AS1345" s="6" t="s">
        <v>55</v>
      </c>
      <c r="AU1345" s="6" t="s">
        <v>2734</v>
      </c>
      <c r="AV1345">
        <v>3285</v>
      </c>
    </row>
    <row r="1346" spans="1:48" ht="30" customHeight="1" x14ac:dyDescent="0.3">
      <c r="A1346" s="4" t="s">
        <v>969</v>
      </c>
      <c r="B1346" s="4" t="s">
        <v>970</v>
      </c>
      <c r="C1346" s="4" t="s">
        <v>61</v>
      </c>
      <c r="D1346" s="5">
        <v>192</v>
      </c>
      <c r="E1346" s="7">
        <f>TRUNC([1]단가대비표!O888,0)</f>
        <v>22083</v>
      </c>
      <c r="F1346" s="7">
        <f t="shared" si="146"/>
        <v>4239936</v>
      </c>
      <c r="G1346" s="7">
        <f>TRUNC([1]단가대비표!P888,0)</f>
        <v>5001</v>
      </c>
      <c r="H1346" s="7">
        <f t="shared" si="147"/>
        <v>960192</v>
      </c>
      <c r="I1346" s="7">
        <f>TRUNC([1]단가대비표!V888,0)</f>
        <v>0</v>
      </c>
      <c r="J1346" s="7">
        <f t="shared" si="148"/>
        <v>0</v>
      </c>
      <c r="K1346" s="7">
        <f t="shared" si="149"/>
        <v>27084</v>
      </c>
      <c r="L1346" s="7">
        <f t="shared" si="149"/>
        <v>5200128</v>
      </c>
      <c r="M1346" s="4" t="s">
        <v>115</v>
      </c>
      <c r="N1346" s="6" t="s">
        <v>971</v>
      </c>
      <c r="O1346" s="6" t="s">
        <v>55</v>
      </c>
      <c r="P1346" s="6" t="s">
        <v>55</v>
      </c>
      <c r="Q1346" s="6" t="s">
        <v>2732</v>
      </c>
      <c r="R1346" s="6" t="s">
        <v>56</v>
      </c>
      <c r="S1346" s="6" t="s">
        <v>56</v>
      </c>
      <c r="T1346" s="6" t="s">
        <v>57</v>
      </c>
      <c r="AR1346" s="6" t="s">
        <v>55</v>
      </c>
      <c r="AS1346" s="6" t="s">
        <v>55</v>
      </c>
      <c r="AU1346" s="6" t="s">
        <v>2735</v>
      </c>
      <c r="AV1346">
        <v>3286</v>
      </c>
    </row>
    <row r="1347" spans="1:48" ht="30" customHeight="1" x14ac:dyDescent="0.3">
      <c r="A1347" s="4" t="s">
        <v>973</v>
      </c>
      <c r="B1347" s="4" t="s">
        <v>966</v>
      </c>
      <c r="C1347" s="4" t="s">
        <v>61</v>
      </c>
      <c r="D1347" s="5">
        <v>120</v>
      </c>
      <c r="E1347" s="7">
        <f>TRUNC([1]단가대비표!O884,0)</f>
        <v>15995</v>
      </c>
      <c r="F1347" s="7">
        <f t="shared" si="146"/>
        <v>1919400</v>
      </c>
      <c r="G1347" s="7">
        <f>TRUNC([1]단가대비표!P884,0)</f>
        <v>5151</v>
      </c>
      <c r="H1347" s="7">
        <f t="shared" si="147"/>
        <v>618120</v>
      </c>
      <c r="I1347" s="7">
        <f>TRUNC([1]단가대비표!V884,0)</f>
        <v>0</v>
      </c>
      <c r="J1347" s="7">
        <f t="shared" si="148"/>
        <v>0</v>
      </c>
      <c r="K1347" s="7">
        <f t="shared" si="149"/>
        <v>21146</v>
      </c>
      <c r="L1347" s="7">
        <f t="shared" si="149"/>
        <v>2537520</v>
      </c>
      <c r="M1347" s="4" t="s">
        <v>115</v>
      </c>
      <c r="N1347" s="6" t="s">
        <v>976</v>
      </c>
      <c r="O1347" s="6" t="s">
        <v>55</v>
      </c>
      <c r="P1347" s="6" t="s">
        <v>55</v>
      </c>
      <c r="Q1347" s="6" t="s">
        <v>2732</v>
      </c>
      <c r="R1347" s="6" t="s">
        <v>56</v>
      </c>
      <c r="S1347" s="6" t="s">
        <v>56</v>
      </c>
      <c r="T1347" s="6" t="s">
        <v>57</v>
      </c>
      <c r="AR1347" s="6" t="s">
        <v>55</v>
      </c>
      <c r="AS1347" s="6" t="s">
        <v>55</v>
      </c>
      <c r="AU1347" s="6" t="s">
        <v>2736</v>
      </c>
      <c r="AV1347">
        <v>3287</v>
      </c>
    </row>
    <row r="1348" spans="1:48" ht="30" customHeight="1" x14ac:dyDescent="0.3">
      <c r="A1348" s="4" t="s">
        <v>987</v>
      </c>
      <c r="B1348" s="4" t="s">
        <v>988</v>
      </c>
      <c r="C1348" s="4" t="s">
        <v>61</v>
      </c>
      <c r="D1348" s="5">
        <v>89</v>
      </c>
      <c r="E1348" s="7">
        <f>TRUNC([1]단가대비표!O886,0)</f>
        <v>2250</v>
      </c>
      <c r="F1348" s="7">
        <f t="shared" si="146"/>
        <v>200250</v>
      </c>
      <c r="G1348" s="7">
        <f>TRUNC([1]단가대비표!P886,0)</f>
        <v>7836</v>
      </c>
      <c r="H1348" s="7">
        <f t="shared" si="147"/>
        <v>697404</v>
      </c>
      <c r="I1348" s="7">
        <f>TRUNC([1]단가대비표!V886,0)</f>
        <v>0</v>
      </c>
      <c r="J1348" s="7">
        <f t="shared" si="148"/>
        <v>0</v>
      </c>
      <c r="K1348" s="7">
        <f t="shared" si="149"/>
        <v>10086</v>
      </c>
      <c r="L1348" s="7">
        <f t="shared" si="149"/>
        <v>897654</v>
      </c>
      <c r="M1348" s="4" t="s">
        <v>115</v>
      </c>
      <c r="N1348" s="6" t="s">
        <v>989</v>
      </c>
      <c r="O1348" s="6" t="s">
        <v>55</v>
      </c>
      <c r="P1348" s="6" t="s">
        <v>55</v>
      </c>
      <c r="Q1348" s="6" t="s">
        <v>2732</v>
      </c>
      <c r="R1348" s="6" t="s">
        <v>56</v>
      </c>
      <c r="S1348" s="6" t="s">
        <v>56</v>
      </c>
      <c r="T1348" s="6" t="s">
        <v>57</v>
      </c>
      <c r="AR1348" s="6" t="s">
        <v>55</v>
      </c>
      <c r="AS1348" s="6" t="s">
        <v>55</v>
      </c>
      <c r="AU1348" s="6" t="s">
        <v>2737</v>
      </c>
      <c r="AV1348">
        <v>3288</v>
      </c>
    </row>
    <row r="1349" spans="1:48" ht="30" customHeight="1" x14ac:dyDescent="0.3">
      <c r="A1349" s="4" t="s">
        <v>987</v>
      </c>
      <c r="B1349" s="4" t="s">
        <v>991</v>
      </c>
      <c r="C1349" s="4" t="s">
        <v>61</v>
      </c>
      <c r="D1349" s="5">
        <v>264</v>
      </c>
      <c r="E1349" s="7">
        <f>TRUNC([1]단가대비표!O887,0)</f>
        <v>2250</v>
      </c>
      <c r="F1349" s="7">
        <f t="shared" si="146"/>
        <v>594000</v>
      </c>
      <c r="G1349" s="7">
        <f>TRUNC([1]단가대비표!P887,0)</f>
        <v>7836</v>
      </c>
      <c r="H1349" s="7">
        <f t="shared" si="147"/>
        <v>2068704</v>
      </c>
      <c r="I1349" s="7">
        <f>TRUNC([1]단가대비표!V887,0)</f>
        <v>0</v>
      </c>
      <c r="J1349" s="7">
        <f t="shared" si="148"/>
        <v>0</v>
      </c>
      <c r="K1349" s="7">
        <f t="shared" si="149"/>
        <v>10086</v>
      </c>
      <c r="L1349" s="7">
        <f t="shared" si="149"/>
        <v>2662704</v>
      </c>
      <c r="M1349" s="4" t="s">
        <v>115</v>
      </c>
      <c r="N1349" s="6" t="s">
        <v>992</v>
      </c>
      <c r="O1349" s="6" t="s">
        <v>55</v>
      </c>
      <c r="P1349" s="6" t="s">
        <v>55</v>
      </c>
      <c r="Q1349" s="6" t="s">
        <v>2732</v>
      </c>
      <c r="R1349" s="6" t="s">
        <v>56</v>
      </c>
      <c r="S1349" s="6" t="s">
        <v>56</v>
      </c>
      <c r="T1349" s="6" t="s">
        <v>57</v>
      </c>
      <c r="AR1349" s="6" t="s">
        <v>55</v>
      </c>
      <c r="AS1349" s="6" t="s">
        <v>55</v>
      </c>
      <c r="AU1349" s="6" t="s">
        <v>2738</v>
      </c>
      <c r="AV1349">
        <v>3289</v>
      </c>
    </row>
    <row r="1350" spans="1:48" ht="30" customHeight="1" x14ac:dyDescent="0.3">
      <c r="A1350" s="4" t="s">
        <v>994</v>
      </c>
      <c r="B1350" s="4" t="s">
        <v>55</v>
      </c>
      <c r="C1350" s="4" t="s">
        <v>269</v>
      </c>
      <c r="D1350" s="5">
        <v>25</v>
      </c>
      <c r="E1350" s="7">
        <f>TRUNC([1]일위대가목록!E201,0)</f>
        <v>12900</v>
      </c>
      <c r="F1350" s="7">
        <f t="shared" si="146"/>
        <v>322500</v>
      </c>
      <c r="G1350" s="7">
        <f>TRUNC([1]일위대가목록!F201,0)</f>
        <v>12695</v>
      </c>
      <c r="H1350" s="7">
        <f t="shared" si="147"/>
        <v>317375</v>
      </c>
      <c r="I1350" s="7">
        <f>TRUNC([1]일위대가목록!G201,0)</f>
        <v>254</v>
      </c>
      <c r="J1350" s="7">
        <f t="shared" si="148"/>
        <v>6350</v>
      </c>
      <c r="K1350" s="7">
        <f t="shared" si="149"/>
        <v>25849</v>
      </c>
      <c r="L1350" s="7">
        <f t="shared" si="149"/>
        <v>646225</v>
      </c>
      <c r="M1350" s="4" t="s">
        <v>2396</v>
      </c>
      <c r="N1350" s="6" t="s">
        <v>2397</v>
      </c>
      <c r="O1350" s="6" t="s">
        <v>55</v>
      </c>
      <c r="P1350" s="6" t="s">
        <v>55</v>
      </c>
      <c r="Q1350" s="6" t="s">
        <v>2732</v>
      </c>
      <c r="R1350" s="6" t="s">
        <v>57</v>
      </c>
      <c r="S1350" s="6" t="s">
        <v>56</v>
      </c>
      <c r="T1350" s="6" t="s">
        <v>56</v>
      </c>
      <c r="AR1350" s="6" t="s">
        <v>55</v>
      </c>
      <c r="AS1350" s="6" t="s">
        <v>55</v>
      </c>
      <c r="AU1350" s="6" t="s">
        <v>2739</v>
      </c>
      <c r="AV1350">
        <v>735</v>
      </c>
    </row>
    <row r="1351" spans="1:48" ht="30" customHeight="1" x14ac:dyDescent="0.3">
      <c r="A1351" s="4" t="s">
        <v>997</v>
      </c>
      <c r="B1351" s="4" t="s">
        <v>998</v>
      </c>
      <c r="C1351" s="4" t="s">
        <v>140</v>
      </c>
      <c r="D1351" s="5">
        <v>33</v>
      </c>
      <c r="E1351" s="7">
        <f>TRUNC([1]단가대비표!O235,0)</f>
        <v>415</v>
      </c>
      <c r="F1351" s="7">
        <f t="shared" si="146"/>
        <v>13695</v>
      </c>
      <c r="G1351" s="7">
        <f>TRUNC([1]단가대비표!P235,0)</f>
        <v>13399</v>
      </c>
      <c r="H1351" s="7">
        <f t="shared" si="147"/>
        <v>442167</v>
      </c>
      <c r="I1351" s="7">
        <f>TRUNC([1]단가대비표!V235,0)</f>
        <v>0</v>
      </c>
      <c r="J1351" s="7">
        <f t="shared" si="148"/>
        <v>0</v>
      </c>
      <c r="K1351" s="7">
        <f t="shared" si="149"/>
        <v>13814</v>
      </c>
      <c r="L1351" s="7">
        <f t="shared" si="149"/>
        <v>455862</v>
      </c>
      <c r="M1351" s="4" t="s">
        <v>141</v>
      </c>
      <c r="N1351" s="6" t="s">
        <v>999</v>
      </c>
      <c r="O1351" s="6" t="s">
        <v>55</v>
      </c>
      <c r="P1351" s="6" t="s">
        <v>55</v>
      </c>
      <c r="Q1351" s="6" t="s">
        <v>2732</v>
      </c>
      <c r="R1351" s="6" t="s">
        <v>56</v>
      </c>
      <c r="S1351" s="6" t="s">
        <v>56</v>
      </c>
      <c r="T1351" s="6" t="s">
        <v>57</v>
      </c>
      <c r="AR1351" s="6" t="s">
        <v>55</v>
      </c>
      <c r="AS1351" s="6" t="s">
        <v>55</v>
      </c>
      <c r="AU1351" s="6" t="s">
        <v>2740</v>
      </c>
      <c r="AV1351">
        <v>3129</v>
      </c>
    </row>
    <row r="1352" spans="1:48" ht="30" customHeight="1" x14ac:dyDescent="0.3">
      <c r="A1352" s="4" t="s">
        <v>1014</v>
      </c>
      <c r="B1352" s="4" t="s">
        <v>1015</v>
      </c>
      <c r="C1352" s="4" t="s">
        <v>269</v>
      </c>
      <c r="D1352" s="5">
        <v>176</v>
      </c>
      <c r="E1352" s="7">
        <f>TRUNC([1]일위대가목록!E85,0)</f>
        <v>1151</v>
      </c>
      <c r="F1352" s="7">
        <f t="shared" si="146"/>
        <v>202576</v>
      </c>
      <c r="G1352" s="7">
        <f>TRUNC([1]일위대가목록!F85,0)</f>
        <v>7267</v>
      </c>
      <c r="H1352" s="7">
        <f t="shared" si="147"/>
        <v>1278992</v>
      </c>
      <c r="I1352" s="7">
        <f>TRUNC([1]일위대가목록!G85,0)</f>
        <v>60</v>
      </c>
      <c r="J1352" s="7">
        <f t="shared" si="148"/>
        <v>10560</v>
      </c>
      <c r="K1352" s="7">
        <f t="shared" si="149"/>
        <v>8478</v>
      </c>
      <c r="L1352" s="7">
        <f t="shared" si="149"/>
        <v>1492128</v>
      </c>
      <c r="M1352" s="4" t="s">
        <v>1016</v>
      </c>
      <c r="N1352" s="6" t="s">
        <v>1017</v>
      </c>
      <c r="O1352" s="6" t="s">
        <v>55</v>
      </c>
      <c r="P1352" s="6" t="s">
        <v>55</v>
      </c>
      <c r="Q1352" s="6" t="s">
        <v>2732</v>
      </c>
      <c r="R1352" s="6" t="s">
        <v>57</v>
      </c>
      <c r="S1352" s="6" t="s">
        <v>56</v>
      </c>
      <c r="T1352" s="6" t="s">
        <v>56</v>
      </c>
      <c r="AR1352" s="6" t="s">
        <v>55</v>
      </c>
      <c r="AS1352" s="6" t="s">
        <v>55</v>
      </c>
      <c r="AU1352" s="6" t="s">
        <v>2741</v>
      </c>
      <c r="AV1352">
        <v>723</v>
      </c>
    </row>
    <row r="1353" spans="1:48" ht="30" customHeight="1" x14ac:dyDescent="0.3">
      <c r="A1353" s="4" t="s">
        <v>1019</v>
      </c>
      <c r="B1353" s="4" t="s">
        <v>1020</v>
      </c>
      <c r="C1353" s="4" t="s">
        <v>269</v>
      </c>
      <c r="D1353" s="5">
        <v>9</v>
      </c>
      <c r="E1353" s="7">
        <f>TRUNC([1]일위대가목록!E86,0)</f>
        <v>248</v>
      </c>
      <c r="F1353" s="7">
        <f t="shared" si="146"/>
        <v>2232</v>
      </c>
      <c r="G1353" s="7">
        <f>TRUNC([1]일위대가목록!F86,0)</f>
        <v>3221</v>
      </c>
      <c r="H1353" s="7">
        <f t="shared" si="147"/>
        <v>28989</v>
      </c>
      <c r="I1353" s="7">
        <f>TRUNC([1]일위대가목록!G86,0)</f>
        <v>0</v>
      </c>
      <c r="J1353" s="7">
        <f t="shared" si="148"/>
        <v>0</v>
      </c>
      <c r="K1353" s="7">
        <f t="shared" si="149"/>
        <v>3469</v>
      </c>
      <c r="L1353" s="7">
        <f t="shared" si="149"/>
        <v>31221</v>
      </c>
      <c r="M1353" s="4" t="s">
        <v>1021</v>
      </c>
      <c r="N1353" s="6" t="s">
        <v>1022</v>
      </c>
      <c r="O1353" s="6" t="s">
        <v>55</v>
      </c>
      <c r="P1353" s="6" t="s">
        <v>55</v>
      </c>
      <c r="Q1353" s="6" t="s">
        <v>2732</v>
      </c>
      <c r="R1353" s="6" t="s">
        <v>57</v>
      </c>
      <c r="S1353" s="6" t="s">
        <v>56</v>
      </c>
      <c r="T1353" s="6" t="s">
        <v>56</v>
      </c>
      <c r="AR1353" s="6" t="s">
        <v>55</v>
      </c>
      <c r="AS1353" s="6" t="s">
        <v>55</v>
      </c>
      <c r="AU1353" s="6" t="s">
        <v>2742</v>
      </c>
      <c r="AV1353">
        <v>2671</v>
      </c>
    </row>
    <row r="1354" spans="1:48" ht="30" customHeight="1" x14ac:dyDescent="0.3">
      <c r="A1354" s="4" t="s">
        <v>1019</v>
      </c>
      <c r="B1354" s="4" t="s">
        <v>1024</v>
      </c>
      <c r="C1354" s="4" t="s">
        <v>269</v>
      </c>
      <c r="D1354" s="5">
        <v>44</v>
      </c>
      <c r="E1354" s="7">
        <f>TRUNC([1]일위대가목록!E87,0)</f>
        <v>2404</v>
      </c>
      <c r="F1354" s="7">
        <f t="shared" si="146"/>
        <v>105776</v>
      </c>
      <c r="G1354" s="7">
        <f>TRUNC([1]일위대가목록!F87,0)</f>
        <v>3221</v>
      </c>
      <c r="H1354" s="7">
        <f t="shared" si="147"/>
        <v>141724</v>
      </c>
      <c r="I1354" s="7">
        <f>TRUNC([1]일위대가목록!G87,0)</f>
        <v>0</v>
      </c>
      <c r="J1354" s="7">
        <f t="shared" si="148"/>
        <v>0</v>
      </c>
      <c r="K1354" s="7">
        <f t="shared" si="149"/>
        <v>5625</v>
      </c>
      <c r="L1354" s="7">
        <f t="shared" si="149"/>
        <v>247500</v>
      </c>
      <c r="M1354" s="4" t="s">
        <v>1025</v>
      </c>
      <c r="N1354" s="6" t="s">
        <v>1026</v>
      </c>
      <c r="O1354" s="6" t="s">
        <v>55</v>
      </c>
      <c r="P1354" s="6" t="s">
        <v>55</v>
      </c>
      <c r="Q1354" s="6" t="s">
        <v>2732</v>
      </c>
      <c r="R1354" s="6" t="s">
        <v>57</v>
      </c>
      <c r="S1354" s="6" t="s">
        <v>56</v>
      </c>
      <c r="T1354" s="6" t="s">
        <v>56</v>
      </c>
      <c r="AR1354" s="6" t="s">
        <v>55</v>
      </c>
      <c r="AS1354" s="6" t="s">
        <v>55</v>
      </c>
      <c r="AU1354" s="6" t="s">
        <v>2743</v>
      </c>
      <c r="AV1354">
        <v>2672</v>
      </c>
    </row>
    <row r="1355" spans="1:48" ht="30" customHeight="1" x14ac:dyDescent="0.3">
      <c r="A1355" s="4" t="s">
        <v>1019</v>
      </c>
      <c r="B1355" s="4" t="s">
        <v>1028</v>
      </c>
      <c r="C1355" s="4" t="s">
        <v>269</v>
      </c>
      <c r="D1355" s="5">
        <v>1298</v>
      </c>
      <c r="E1355" s="7">
        <f>TRUNC([1]일위대가목록!E88,0)</f>
        <v>767</v>
      </c>
      <c r="F1355" s="7">
        <f t="shared" si="146"/>
        <v>995566</v>
      </c>
      <c r="G1355" s="7">
        <f>TRUNC([1]일위대가목록!F88,0)</f>
        <v>3221</v>
      </c>
      <c r="H1355" s="7">
        <f t="shared" si="147"/>
        <v>4180858</v>
      </c>
      <c r="I1355" s="7">
        <f>TRUNC([1]일위대가목록!G88,0)</f>
        <v>0</v>
      </c>
      <c r="J1355" s="7">
        <f t="shared" si="148"/>
        <v>0</v>
      </c>
      <c r="K1355" s="7">
        <f t="shared" si="149"/>
        <v>3988</v>
      </c>
      <c r="L1355" s="7">
        <f t="shared" si="149"/>
        <v>5176424</v>
      </c>
      <c r="M1355" s="4" t="s">
        <v>1029</v>
      </c>
      <c r="N1355" s="6" t="s">
        <v>1030</v>
      </c>
      <c r="O1355" s="6" t="s">
        <v>55</v>
      </c>
      <c r="P1355" s="6" t="s">
        <v>55</v>
      </c>
      <c r="Q1355" s="6" t="s">
        <v>2732</v>
      </c>
      <c r="R1355" s="6" t="s">
        <v>57</v>
      </c>
      <c r="S1355" s="6" t="s">
        <v>56</v>
      </c>
      <c r="T1355" s="6" t="s">
        <v>56</v>
      </c>
      <c r="AR1355" s="6" t="s">
        <v>55</v>
      </c>
      <c r="AS1355" s="6" t="s">
        <v>55</v>
      </c>
      <c r="AU1355" s="6" t="s">
        <v>2744</v>
      </c>
      <c r="AV1355">
        <v>2673</v>
      </c>
    </row>
    <row r="1356" spans="1:48" ht="30" customHeight="1" x14ac:dyDescent="0.3">
      <c r="A1356" s="4" t="s">
        <v>2404</v>
      </c>
      <c r="B1356" s="4" t="s">
        <v>2405</v>
      </c>
      <c r="C1356" s="4" t="s">
        <v>223</v>
      </c>
      <c r="D1356" s="5">
        <v>1</v>
      </c>
      <c r="E1356" s="7">
        <f>TRUNC([1]일위대가목록!E202,0)</f>
        <v>133642</v>
      </c>
      <c r="F1356" s="7">
        <f t="shared" si="146"/>
        <v>133642</v>
      </c>
      <c r="G1356" s="7">
        <f>TRUNC([1]일위대가목록!F202,0)</f>
        <v>188481</v>
      </c>
      <c r="H1356" s="7">
        <f t="shared" si="147"/>
        <v>188481</v>
      </c>
      <c r="I1356" s="7">
        <f>TRUNC([1]일위대가목록!G202,0)</f>
        <v>0</v>
      </c>
      <c r="J1356" s="7">
        <f t="shared" si="148"/>
        <v>0</v>
      </c>
      <c r="K1356" s="7">
        <f t="shared" si="149"/>
        <v>322123</v>
      </c>
      <c r="L1356" s="7">
        <f t="shared" si="149"/>
        <v>322123</v>
      </c>
      <c r="M1356" s="4" t="s">
        <v>2406</v>
      </c>
      <c r="N1356" s="6" t="s">
        <v>2407</v>
      </c>
      <c r="O1356" s="6" t="s">
        <v>55</v>
      </c>
      <c r="P1356" s="6" t="s">
        <v>55</v>
      </c>
      <c r="Q1356" s="6" t="s">
        <v>2732</v>
      </c>
      <c r="R1356" s="6" t="s">
        <v>57</v>
      </c>
      <c r="S1356" s="6" t="s">
        <v>56</v>
      </c>
      <c r="T1356" s="6" t="s">
        <v>56</v>
      </c>
      <c r="AR1356" s="6" t="s">
        <v>55</v>
      </c>
      <c r="AS1356" s="6" t="s">
        <v>55</v>
      </c>
      <c r="AU1356" s="6" t="s">
        <v>2745</v>
      </c>
      <c r="AV1356">
        <v>730</v>
      </c>
    </row>
    <row r="1357" spans="1:48" ht="30" customHeight="1" x14ac:dyDescent="0.3">
      <c r="A1357" s="4" t="s">
        <v>1037</v>
      </c>
      <c r="B1357" s="4" t="s">
        <v>1038</v>
      </c>
      <c r="C1357" s="4" t="s">
        <v>61</v>
      </c>
      <c r="D1357" s="5">
        <v>17</v>
      </c>
      <c r="E1357" s="7">
        <f>TRUNC([1]일위대가목록!E90,0)</f>
        <v>2946</v>
      </c>
      <c r="F1357" s="7">
        <f t="shared" si="146"/>
        <v>50082</v>
      </c>
      <c r="G1357" s="7">
        <f>TRUNC([1]일위대가목록!F90,0)</f>
        <v>30626</v>
      </c>
      <c r="H1357" s="7">
        <f t="shared" si="147"/>
        <v>520642</v>
      </c>
      <c r="I1357" s="7">
        <f>TRUNC([1]일위대가목록!G90,0)</f>
        <v>0</v>
      </c>
      <c r="J1357" s="7">
        <f t="shared" si="148"/>
        <v>0</v>
      </c>
      <c r="K1357" s="7">
        <f t="shared" si="149"/>
        <v>33572</v>
      </c>
      <c r="L1357" s="7">
        <f t="shared" si="149"/>
        <v>570724</v>
      </c>
      <c r="M1357" s="4" t="s">
        <v>1039</v>
      </c>
      <c r="N1357" s="6" t="s">
        <v>1040</v>
      </c>
      <c r="O1357" s="6" t="s">
        <v>55</v>
      </c>
      <c r="P1357" s="6" t="s">
        <v>55</v>
      </c>
      <c r="Q1357" s="6" t="s">
        <v>2732</v>
      </c>
      <c r="R1357" s="6" t="s">
        <v>57</v>
      </c>
      <c r="S1357" s="6" t="s">
        <v>56</v>
      </c>
      <c r="T1357" s="6" t="s">
        <v>56</v>
      </c>
      <c r="AR1357" s="6" t="s">
        <v>55</v>
      </c>
      <c r="AS1357" s="6" t="s">
        <v>55</v>
      </c>
      <c r="AU1357" s="6" t="s">
        <v>2746</v>
      </c>
      <c r="AV1357">
        <v>731</v>
      </c>
    </row>
    <row r="1358" spans="1:48" ht="30" customHeight="1" x14ac:dyDescent="0.3">
      <c r="A1358" s="4" t="s">
        <v>1042</v>
      </c>
      <c r="B1358" s="4" t="s">
        <v>1038</v>
      </c>
      <c r="C1358" s="4" t="s">
        <v>61</v>
      </c>
      <c r="D1358" s="5">
        <v>11</v>
      </c>
      <c r="E1358" s="7">
        <f>TRUNC([1]일위대가목록!E91,0)</f>
        <v>3227</v>
      </c>
      <c r="F1358" s="7">
        <f t="shared" si="146"/>
        <v>35497</v>
      </c>
      <c r="G1358" s="7">
        <f>TRUNC([1]일위대가목록!F91,0)</f>
        <v>31021</v>
      </c>
      <c r="H1358" s="7">
        <f t="shared" si="147"/>
        <v>341231</v>
      </c>
      <c r="I1358" s="7">
        <f>TRUNC([1]일위대가목록!G91,0)</f>
        <v>0</v>
      </c>
      <c r="J1358" s="7">
        <f t="shared" si="148"/>
        <v>0</v>
      </c>
      <c r="K1358" s="7">
        <f t="shared" si="149"/>
        <v>34248</v>
      </c>
      <c r="L1358" s="7">
        <f t="shared" si="149"/>
        <v>376728</v>
      </c>
      <c r="M1358" s="4" t="s">
        <v>1043</v>
      </c>
      <c r="N1358" s="6" t="s">
        <v>1044</v>
      </c>
      <c r="O1358" s="6" t="s">
        <v>55</v>
      </c>
      <c r="P1358" s="6" t="s">
        <v>55</v>
      </c>
      <c r="Q1358" s="6" t="s">
        <v>2732</v>
      </c>
      <c r="R1358" s="6" t="s">
        <v>57</v>
      </c>
      <c r="S1358" s="6" t="s">
        <v>56</v>
      </c>
      <c r="T1358" s="6" t="s">
        <v>56</v>
      </c>
      <c r="AR1358" s="6" t="s">
        <v>55</v>
      </c>
      <c r="AS1358" s="6" t="s">
        <v>55</v>
      </c>
      <c r="AU1358" s="6" t="s">
        <v>2747</v>
      </c>
      <c r="AV1358">
        <v>732</v>
      </c>
    </row>
    <row r="1359" spans="1:48" ht="30" customHeight="1" x14ac:dyDescent="0.3">
      <c r="A1359" s="4" t="s">
        <v>1004</v>
      </c>
      <c r="B1359" s="4" t="s">
        <v>1005</v>
      </c>
      <c r="C1359" s="4" t="s">
        <v>61</v>
      </c>
      <c r="D1359" s="5">
        <v>192</v>
      </c>
      <c r="E1359" s="7">
        <f>TRUNC([1]일위대가목록!E203,0)</f>
        <v>4212</v>
      </c>
      <c r="F1359" s="7">
        <f t="shared" si="146"/>
        <v>808704</v>
      </c>
      <c r="G1359" s="7">
        <f>TRUNC([1]일위대가목록!F203,0)</f>
        <v>3564</v>
      </c>
      <c r="H1359" s="7">
        <f t="shared" si="147"/>
        <v>684288</v>
      </c>
      <c r="I1359" s="7">
        <f>TRUNC([1]일위대가목록!G203,0)</f>
        <v>0</v>
      </c>
      <c r="J1359" s="7">
        <f t="shared" si="148"/>
        <v>0</v>
      </c>
      <c r="K1359" s="7">
        <f t="shared" si="149"/>
        <v>7776</v>
      </c>
      <c r="L1359" s="7">
        <f t="shared" si="149"/>
        <v>1492992</v>
      </c>
      <c r="M1359" s="4" t="s">
        <v>2411</v>
      </c>
      <c r="N1359" s="6" t="s">
        <v>2412</v>
      </c>
      <c r="O1359" s="6" t="s">
        <v>55</v>
      </c>
      <c r="P1359" s="6" t="s">
        <v>55</v>
      </c>
      <c r="Q1359" s="6" t="s">
        <v>2732</v>
      </c>
      <c r="R1359" s="6" t="s">
        <v>57</v>
      </c>
      <c r="S1359" s="6" t="s">
        <v>56</v>
      </c>
      <c r="T1359" s="6" t="s">
        <v>56</v>
      </c>
      <c r="AR1359" s="6" t="s">
        <v>55</v>
      </c>
      <c r="AS1359" s="6" t="s">
        <v>55</v>
      </c>
      <c r="AU1359" s="6" t="s">
        <v>2748</v>
      </c>
      <c r="AV1359">
        <v>733</v>
      </c>
    </row>
    <row r="1360" spans="1:48" ht="30" customHeight="1" x14ac:dyDescent="0.3">
      <c r="A1360" s="4" t="s">
        <v>1009</v>
      </c>
      <c r="B1360" s="4" t="s">
        <v>1010</v>
      </c>
      <c r="C1360" s="4" t="s">
        <v>61</v>
      </c>
      <c r="D1360" s="5">
        <v>52</v>
      </c>
      <c r="E1360" s="7">
        <f>TRUNC([1]일위대가목록!E84,0)</f>
        <v>4212</v>
      </c>
      <c r="F1360" s="7">
        <f t="shared" si="146"/>
        <v>219024</v>
      </c>
      <c r="G1360" s="7">
        <f>TRUNC([1]일위대가목록!F84,0)</f>
        <v>4633</v>
      </c>
      <c r="H1360" s="7">
        <f t="shared" si="147"/>
        <v>240916</v>
      </c>
      <c r="I1360" s="7">
        <f>TRUNC([1]일위대가목록!G84,0)</f>
        <v>0</v>
      </c>
      <c r="J1360" s="7">
        <f t="shared" si="148"/>
        <v>0</v>
      </c>
      <c r="K1360" s="7">
        <f t="shared" si="149"/>
        <v>8845</v>
      </c>
      <c r="L1360" s="7">
        <f t="shared" si="149"/>
        <v>459940</v>
      </c>
      <c r="M1360" s="4" t="s">
        <v>1011</v>
      </c>
      <c r="N1360" s="6" t="s">
        <v>1012</v>
      </c>
      <c r="O1360" s="6" t="s">
        <v>55</v>
      </c>
      <c r="P1360" s="6" t="s">
        <v>55</v>
      </c>
      <c r="Q1360" s="6" t="s">
        <v>2732</v>
      </c>
      <c r="R1360" s="6" t="s">
        <v>57</v>
      </c>
      <c r="S1360" s="6" t="s">
        <v>56</v>
      </c>
      <c r="T1360" s="6" t="s">
        <v>56</v>
      </c>
      <c r="AR1360" s="6" t="s">
        <v>55</v>
      </c>
      <c r="AS1360" s="6" t="s">
        <v>55</v>
      </c>
      <c r="AU1360" s="6" t="s">
        <v>2749</v>
      </c>
      <c r="AV1360">
        <v>734</v>
      </c>
    </row>
    <row r="1361" spans="1:48" ht="30" customHeight="1" x14ac:dyDescent="0.3">
      <c r="A1361" s="4" t="s">
        <v>1046</v>
      </c>
      <c r="B1361" s="4" t="s">
        <v>1047</v>
      </c>
      <c r="C1361" s="4" t="s">
        <v>61</v>
      </c>
      <c r="D1361" s="5">
        <v>195</v>
      </c>
      <c r="E1361" s="7">
        <f>TRUNC([1]일위대가목록!E92,0)</f>
        <v>10850</v>
      </c>
      <c r="F1361" s="7">
        <f t="shared" si="146"/>
        <v>2115750</v>
      </c>
      <c r="G1361" s="7">
        <f>TRUNC([1]일위대가목록!F92,0)</f>
        <v>7090</v>
      </c>
      <c r="H1361" s="7">
        <f t="shared" si="147"/>
        <v>1382550</v>
      </c>
      <c r="I1361" s="7">
        <f>TRUNC([1]일위대가목록!G92,0)</f>
        <v>0</v>
      </c>
      <c r="J1361" s="7">
        <f t="shared" si="148"/>
        <v>0</v>
      </c>
      <c r="K1361" s="7">
        <f t="shared" si="149"/>
        <v>17940</v>
      </c>
      <c r="L1361" s="7">
        <f t="shared" si="149"/>
        <v>3498300</v>
      </c>
      <c r="M1361" s="4" t="s">
        <v>1048</v>
      </c>
      <c r="N1361" s="6" t="s">
        <v>1049</v>
      </c>
      <c r="O1361" s="6" t="s">
        <v>55</v>
      </c>
      <c r="P1361" s="6" t="s">
        <v>55</v>
      </c>
      <c r="Q1361" s="6" t="s">
        <v>2732</v>
      </c>
      <c r="R1361" s="6" t="s">
        <v>57</v>
      </c>
      <c r="S1361" s="6" t="s">
        <v>56</v>
      </c>
      <c r="T1361" s="6" t="s">
        <v>56</v>
      </c>
      <c r="AR1361" s="6" t="s">
        <v>55</v>
      </c>
      <c r="AS1361" s="6" t="s">
        <v>55</v>
      </c>
      <c r="AU1361" s="6" t="s">
        <v>2750</v>
      </c>
      <c r="AV1361">
        <v>738</v>
      </c>
    </row>
    <row r="1362" spans="1:48" ht="30" customHeight="1" x14ac:dyDescent="0.3">
      <c r="A1362" s="4" t="s">
        <v>1051</v>
      </c>
      <c r="B1362" s="4" t="s">
        <v>998</v>
      </c>
      <c r="C1362" s="4" t="s">
        <v>269</v>
      </c>
      <c r="D1362" s="5">
        <v>53</v>
      </c>
      <c r="E1362" s="7">
        <f>TRUNC([1]일위대가목록!E93,0)</f>
        <v>4797</v>
      </c>
      <c r="F1362" s="7">
        <f t="shared" si="146"/>
        <v>254241</v>
      </c>
      <c r="G1362" s="7">
        <f>TRUNC([1]일위대가목록!F93,0)</f>
        <v>1545</v>
      </c>
      <c r="H1362" s="7">
        <f t="shared" si="147"/>
        <v>81885</v>
      </c>
      <c r="I1362" s="7">
        <f>TRUNC([1]일위대가목록!G93,0)</f>
        <v>0</v>
      </c>
      <c r="J1362" s="7">
        <f t="shared" si="148"/>
        <v>0</v>
      </c>
      <c r="K1362" s="7">
        <f t="shared" si="149"/>
        <v>6342</v>
      </c>
      <c r="L1362" s="7">
        <f t="shared" si="149"/>
        <v>336126</v>
      </c>
      <c r="M1362" s="4" t="s">
        <v>1052</v>
      </c>
      <c r="N1362" s="6" t="s">
        <v>1053</v>
      </c>
      <c r="O1362" s="6" t="s">
        <v>55</v>
      </c>
      <c r="P1362" s="6" t="s">
        <v>55</v>
      </c>
      <c r="Q1362" s="6" t="s">
        <v>2732</v>
      </c>
      <c r="R1362" s="6" t="s">
        <v>57</v>
      </c>
      <c r="S1362" s="6" t="s">
        <v>56</v>
      </c>
      <c r="T1362" s="6" t="s">
        <v>56</v>
      </c>
      <c r="AR1362" s="6" t="s">
        <v>55</v>
      </c>
      <c r="AS1362" s="6" t="s">
        <v>55</v>
      </c>
      <c r="AU1362" s="6" t="s">
        <v>2751</v>
      </c>
      <c r="AV1362">
        <v>739</v>
      </c>
    </row>
    <row r="1363" spans="1:48" ht="30" customHeight="1" x14ac:dyDescent="0.3">
      <c r="A1363" s="4" t="s">
        <v>128</v>
      </c>
      <c r="B1363" s="5"/>
      <c r="C1363" s="5"/>
      <c r="D1363" s="5"/>
      <c r="E1363" s="5"/>
      <c r="F1363" s="7">
        <f>SUM(F1344:F1362)</f>
        <v>13873831</v>
      </c>
      <c r="G1363" s="5"/>
      <c r="H1363" s="7">
        <f>SUM(H1344:H1362)</f>
        <v>14641318</v>
      </c>
      <c r="I1363" s="5"/>
      <c r="J1363" s="7">
        <f>SUM(J1344:J1362)</f>
        <v>16910</v>
      </c>
      <c r="K1363" s="5"/>
      <c r="L1363" s="7">
        <f>SUM(L1344:L1362)</f>
        <v>28532059</v>
      </c>
      <c r="M1363" s="5"/>
      <c r="N1363" t="s">
        <v>129</v>
      </c>
    </row>
    <row r="1364" spans="1:48" ht="30" customHeight="1" x14ac:dyDescent="0.3">
      <c r="A1364" s="4" t="s">
        <v>2752</v>
      </c>
      <c r="B1364" s="4" t="s">
        <v>2626</v>
      </c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Q1364" s="6" t="s">
        <v>2753</v>
      </c>
    </row>
    <row r="1365" spans="1:48" ht="30" customHeight="1" x14ac:dyDescent="0.3">
      <c r="A1365" s="4" t="s">
        <v>1078</v>
      </c>
      <c r="B1365" s="4" t="s">
        <v>1079</v>
      </c>
      <c r="C1365" s="4" t="s">
        <v>81</v>
      </c>
      <c r="D1365" s="5">
        <v>4</v>
      </c>
      <c r="E1365" s="7">
        <f>TRUNC([1]단가대비표!O169,0)</f>
        <v>50000</v>
      </c>
      <c r="F1365" s="7">
        <f>TRUNC(E1365*D1365, 0)</f>
        <v>200000</v>
      </c>
      <c r="G1365" s="7">
        <f>TRUNC([1]단가대비표!P169,0)</f>
        <v>0</v>
      </c>
      <c r="H1365" s="7">
        <f>TRUNC(G1365*D1365, 0)</f>
        <v>0</v>
      </c>
      <c r="I1365" s="7">
        <f>TRUNC([1]단가대비표!V169,0)</f>
        <v>0</v>
      </c>
      <c r="J1365" s="7">
        <f>TRUNC(I1365*D1365, 0)</f>
        <v>0</v>
      </c>
      <c r="K1365" s="7">
        <f t="shared" ref="K1365:L1368" si="150">TRUNC(E1365+G1365+I1365, 0)</f>
        <v>50000</v>
      </c>
      <c r="L1365" s="7">
        <f t="shared" si="150"/>
        <v>200000</v>
      </c>
      <c r="M1365" s="4" t="s">
        <v>2754</v>
      </c>
      <c r="N1365" s="6" t="s">
        <v>1080</v>
      </c>
      <c r="O1365" s="6" t="s">
        <v>55</v>
      </c>
      <c r="P1365" s="6" t="s">
        <v>55</v>
      </c>
      <c r="Q1365" s="6" t="s">
        <v>2753</v>
      </c>
      <c r="R1365" s="6" t="s">
        <v>56</v>
      </c>
      <c r="S1365" s="6" t="s">
        <v>56</v>
      </c>
      <c r="T1365" s="6" t="s">
        <v>57</v>
      </c>
      <c r="AR1365" s="6" t="s">
        <v>55</v>
      </c>
      <c r="AS1365" s="6" t="s">
        <v>55</v>
      </c>
      <c r="AU1365" s="6" t="s">
        <v>2755</v>
      </c>
      <c r="AV1365">
        <v>741</v>
      </c>
    </row>
    <row r="1366" spans="1:48" ht="30" customHeight="1" x14ac:dyDescent="0.3">
      <c r="A1366" s="4" t="s">
        <v>1082</v>
      </c>
      <c r="B1366" s="4" t="s">
        <v>1083</v>
      </c>
      <c r="C1366" s="4" t="s">
        <v>269</v>
      </c>
      <c r="D1366" s="5">
        <v>44</v>
      </c>
      <c r="E1366" s="7">
        <f>TRUNC([1]일위대가목록!E94,0)</f>
        <v>24592</v>
      </c>
      <c r="F1366" s="7">
        <f>TRUNC(E1366*D1366, 0)</f>
        <v>1082048</v>
      </c>
      <c r="G1366" s="7">
        <f>TRUNC([1]일위대가목록!F94,0)</f>
        <v>16394</v>
      </c>
      <c r="H1366" s="7">
        <f>TRUNC(G1366*D1366, 0)</f>
        <v>721336</v>
      </c>
      <c r="I1366" s="7">
        <f>TRUNC([1]일위대가목록!G94,0)</f>
        <v>0</v>
      </c>
      <c r="J1366" s="7">
        <f>TRUNC(I1366*D1366, 0)</f>
        <v>0</v>
      </c>
      <c r="K1366" s="7">
        <f t="shared" si="150"/>
        <v>40986</v>
      </c>
      <c r="L1366" s="7">
        <f t="shared" si="150"/>
        <v>1803384</v>
      </c>
      <c r="M1366" s="4" t="s">
        <v>1084</v>
      </c>
      <c r="N1366" s="6" t="s">
        <v>1085</v>
      </c>
      <c r="O1366" s="6" t="s">
        <v>55</v>
      </c>
      <c r="P1366" s="6" t="s">
        <v>55</v>
      </c>
      <c r="Q1366" s="6" t="s">
        <v>2753</v>
      </c>
      <c r="R1366" s="6" t="s">
        <v>57</v>
      </c>
      <c r="S1366" s="6" t="s">
        <v>56</v>
      </c>
      <c r="T1366" s="6" t="s">
        <v>56</v>
      </c>
      <c r="AR1366" s="6" t="s">
        <v>55</v>
      </c>
      <c r="AS1366" s="6" t="s">
        <v>55</v>
      </c>
      <c r="AU1366" s="6" t="s">
        <v>2756</v>
      </c>
      <c r="AV1366">
        <v>2674</v>
      </c>
    </row>
    <row r="1367" spans="1:48" ht="30" customHeight="1" x14ac:dyDescent="0.3">
      <c r="A1367" s="4" t="s">
        <v>1091</v>
      </c>
      <c r="B1367" s="4" t="s">
        <v>1092</v>
      </c>
      <c r="C1367" s="4" t="s">
        <v>81</v>
      </c>
      <c r="D1367" s="5">
        <v>4</v>
      </c>
      <c r="E1367" s="7">
        <f>TRUNC([1]일위대가목록!E215,0)</f>
        <v>22249</v>
      </c>
      <c r="F1367" s="7">
        <f>TRUNC(E1367*D1367, 0)</f>
        <v>88996</v>
      </c>
      <c r="G1367" s="7">
        <f>TRUNC([1]일위대가목록!F215,0)</f>
        <v>28354</v>
      </c>
      <c r="H1367" s="7">
        <f>TRUNC(G1367*D1367, 0)</f>
        <v>113416</v>
      </c>
      <c r="I1367" s="7">
        <f>TRUNC([1]일위대가목록!G215,0)</f>
        <v>1134</v>
      </c>
      <c r="J1367" s="7">
        <f>TRUNC(I1367*D1367, 0)</f>
        <v>4536</v>
      </c>
      <c r="K1367" s="7">
        <f t="shared" si="150"/>
        <v>51737</v>
      </c>
      <c r="L1367" s="7">
        <f t="shared" si="150"/>
        <v>206948</v>
      </c>
      <c r="M1367" s="4" t="s">
        <v>2757</v>
      </c>
      <c r="N1367" s="6" t="s">
        <v>2758</v>
      </c>
      <c r="O1367" s="6" t="s">
        <v>55</v>
      </c>
      <c r="P1367" s="6" t="s">
        <v>55</v>
      </c>
      <c r="Q1367" s="6" t="s">
        <v>2753</v>
      </c>
      <c r="R1367" s="6" t="s">
        <v>57</v>
      </c>
      <c r="S1367" s="6" t="s">
        <v>56</v>
      </c>
      <c r="T1367" s="6" t="s">
        <v>56</v>
      </c>
      <c r="AR1367" s="6" t="s">
        <v>55</v>
      </c>
      <c r="AS1367" s="6" t="s">
        <v>55</v>
      </c>
      <c r="AU1367" s="6" t="s">
        <v>2759</v>
      </c>
      <c r="AV1367">
        <v>743</v>
      </c>
    </row>
    <row r="1368" spans="1:48" ht="30" customHeight="1" x14ac:dyDescent="0.3">
      <c r="A1368" s="4" t="s">
        <v>1096</v>
      </c>
      <c r="B1368" s="4" t="s">
        <v>1097</v>
      </c>
      <c r="C1368" s="4" t="s">
        <v>488</v>
      </c>
      <c r="D1368" s="5">
        <v>4</v>
      </c>
      <c r="E1368" s="7">
        <f>TRUNC([1]일위대가목록!E97,0)</f>
        <v>27523</v>
      </c>
      <c r="F1368" s="7">
        <f>TRUNC(E1368*D1368, 0)</f>
        <v>110092</v>
      </c>
      <c r="G1368" s="7">
        <f>TRUNC([1]일위대가목록!F97,0)</f>
        <v>23444</v>
      </c>
      <c r="H1368" s="7">
        <f>TRUNC(G1368*D1368, 0)</f>
        <v>93776</v>
      </c>
      <c r="I1368" s="7">
        <f>TRUNC([1]일위대가목록!G97,0)</f>
        <v>0</v>
      </c>
      <c r="J1368" s="7">
        <f>TRUNC(I1368*D1368, 0)</f>
        <v>0</v>
      </c>
      <c r="K1368" s="7">
        <f t="shared" si="150"/>
        <v>50967</v>
      </c>
      <c r="L1368" s="7">
        <f t="shared" si="150"/>
        <v>203868</v>
      </c>
      <c r="M1368" s="4" t="s">
        <v>1098</v>
      </c>
      <c r="N1368" s="6" t="s">
        <v>1099</v>
      </c>
      <c r="O1368" s="6" t="s">
        <v>55</v>
      </c>
      <c r="P1368" s="6" t="s">
        <v>55</v>
      </c>
      <c r="Q1368" s="6" t="s">
        <v>2753</v>
      </c>
      <c r="R1368" s="6" t="s">
        <v>57</v>
      </c>
      <c r="S1368" s="6" t="s">
        <v>56</v>
      </c>
      <c r="T1368" s="6" t="s">
        <v>56</v>
      </c>
      <c r="AR1368" s="6" t="s">
        <v>55</v>
      </c>
      <c r="AS1368" s="6" t="s">
        <v>55</v>
      </c>
      <c r="AU1368" s="6" t="s">
        <v>2760</v>
      </c>
      <c r="AV1368">
        <v>2675</v>
      </c>
    </row>
    <row r="1369" spans="1:48" ht="30" customHeight="1" x14ac:dyDescent="0.3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</row>
    <row r="1370" spans="1:48" ht="30" customHeight="1" x14ac:dyDescent="0.3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</row>
    <row r="1371" spans="1:48" ht="30" customHeight="1" x14ac:dyDescent="0.3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</row>
    <row r="1372" spans="1:48" ht="30" customHeight="1" x14ac:dyDescent="0.3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</row>
    <row r="1373" spans="1:48" ht="30" customHeight="1" x14ac:dyDescent="0.3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</row>
    <row r="1374" spans="1:48" ht="30" customHeight="1" x14ac:dyDescent="0.3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</row>
    <row r="1375" spans="1:48" ht="30" customHeight="1" x14ac:dyDescent="0.3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</row>
    <row r="1376" spans="1:48" ht="30" customHeight="1" x14ac:dyDescent="0.3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</row>
    <row r="1377" spans="1:48" ht="30" customHeight="1" x14ac:dyDescent="0.3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</row>
    <row r="1378" spans="1:48" ht="30" customHeight="1" x14ac:dyDescent="0.3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</row>
    <row r="1379" spans="1:48" ht="30" customHeight="1" x14ac:dyDescent="0.3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</row>
    <row r="1380" spans="1:48" ht="30" customHeight="1" x14ac:dyDescent="0.3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</row>
    <row r="1381" spans="1:48" ht="30" customHeight="1" x14ac:dyDescent="0.3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</row>
    <row r="1382" spans="1:48" ht="30" customHeight="1" x14ac:dyDescent="0.3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</row>
    <row r="1383" spans="1:48" ht="30" customHeight="1" x14ac:dyDescent="0.3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</row>
    <row r="1384" spans="1:48" ht="30" customHeight="1" x14ac:dyDescent="0.3">
      <c r="A1384" s="4" t="s">
        <v>128</v>
      </c>
      <c r="B1384" s="5"/>
      <c r="C1384" s="5"/>
      <c r="D1384" s="5"/>
      <c r="E1384" s="5"/>
      <c r="F1384" s="7">
        <f>SUM(F1365:F1383)</f>
        <v>1481136</v>
      </c>
      <c r="G1384" s="5"/>
      <c r="H1384" s="7">
        <f>SUM(H1365:H1383)</f>
        <v>928528</v>
      </c>
      <c r="I1384" s="5"/>
      <c r="J1384" s="7">
        <f>SUM(J1365:J1383)</f>
        <v>4536</v>
      </c>
      <c r="K1384" s="5"/>
      <c r="L1384" s="7">
        <f>SUM(L1365:L1383)</f>
        <v>2414200</v>
      </c>
      <c r="M1384" s="5"/>
      <c r="N1384" t="s">
        <v>129</v>
      </c>
    </row>
    <row r="1385" spans="1:48" ht="30" customHeight="1" x14ac:dyDescent="0.3">
      <c r="A1385" s="4" t="s">
        <v>2761</v>
      </c>
      <c r="B1385" s="4" t="s">
        <v>2626</v>
      </c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Q1385" s="6" t="s">
        <v>2762</v>
      </c>
    </row>
    <row r="1386" spans="1:48" ht="30" customHeight="1" x14ac:dyDescent="0.3">
      <c r="A1386" s="4" t="s">
        <v>1125</v>
      </c>
      <c r="B1386" s="4" t="s">
        <v>1126</v>
      </c>
      <c r="C1386" s="4" t="s">
        <v>269</v>
      </c>
      <c r="D1386" s="5">
        <v>18</v>
      </c>
      <c r="E1386" s="7">
        <f>TRUNC([1]일위대가목록!E102,0)</f>
        <v>1542</v>
      </c>
      <c r="F1386" s="7">
        <f t="shared" ref="F1386:F1402" si="151">TRUNC(E1386*D1386, 0)</f>
        <v>27756</v>
      </c>
      <c r="G1386" s="7">
        <f>TRUNC([1]일위대가목록!F102,0)</f>
        <v>4096</v>
      </c>
      <c r="H1386" s="7">
        <f t="shared" ref="H1386:H1402" si="152">TRUNC(G1386*D1386, 0)</f>
        <v>73728</v>
      </c>
      <c r="I1386" s="7">
        <f>TRUNC([1]일위대가목록!G102,0)</f>
        <v>0</v>
      </c>
      <c r="J1386" s="7">
        <f t="shared" ref="J1386:J1402" si="153">TRUNC(I1386*D1386, 0)</f>
        <v>0</v>
      </c>
      <c r="K1386" s="7">
        <f t="shared" ref="K1386:L1402" si="154">TRUNC(E1386+G1386+I1386, 0)</f>
        <v>5638</v>
      </c>
      <c r="L1386" s="7">
        <f t="shared" si="154"/>
        <v>101484</v>
      </c>
      <c r="M1386" s="4" t="s">
        <v>1127</v>
      </c>
      <c r="N1386" s="6" t="s">
        <v>1128</v>
      </c>
      <c r="O1386" s="6" t="s">
        <v>55</v>
      </c>
      <c r="P1386" s="6" t="s">
        <v>55</v>
      </c>
      <c r="Q1386" s="6" t="s">
        <v>2762</v>
      </c>
      <c r="R1386" s="6" t="s">
        <v>57</v>
      </c>
      <c r="S1386" s="6" t="s">
        <v>56</v>
      </c>
      <c r="T1386" s="6" t="s">
        <v>56</v>
      </c>
      <c r="AR1386" s="6" t="s">
        <v>55</v>
      </c>
      <c r="AS1386" s="6" t="s">
        <v>55</v>
      </c>
      <c r="AU1386" s="6" t="s">
        <v>2763</v>
      </c>
      <c r="AV1386">
        <v>2676</v>
      </c>
    </row>
    <row r="1387" spans="1:48" ht="30" customHeight="1" x14ac:dyDescent="0.3">
      <c r="A1387" s="4" t="s">
        <v>1115</v>
      </c>
      <c r="B1387" s="4" t="s">
        <v>1116</v>
      </c>
      <c r="C1387" s="4" t="s">
        <v>269</v>
      </c>
      <c r="D1387" s="5">
        <v>39</v>
      </c>
      <c r="E1387" s="7">
        <f>TRUNC([1]일위대가목록!E100,0)</f>
        <v>534</v>
      </c>
      <c r="F1387" s="7">
        <f t="shared" si="151"/>
        <v>20826</v>
      </c>
      <c r="G1387" s="7">
        <f>TRUNC([1]일위대가목록!F100,0)</f>
        <v>4096</v>
      </c>
      <c r="H1387" s="7">
        <f t="shared" si="152"/>
        <v>159744</v>
      </c>
      <c r="I1387" s="7">
        <f>TRUNC([1]일위대가목록!G100,0)</f>
        <v>0</v>
      </c>
      <c r="J1387" s="7">
        <f t="shared" si="153"/>
        <v>0</v>
      </c>
      <c r="K1387" s="7">
        <f t="shared" si="154"/>
        <v>4630</v>
      </c>
      <c r="L1387" s="7">
        <f t="shared" si="154"/>
        <v>180570</v>
      </c>
      <c r="M1387" s="4" t="s">
        <v>1117</v>
      </c>
      <c r="N1387" s="6" t="s">
        <v>1118</v>
      </c>
      <c r="O1387" s="6" t="s">
        <v>55</v>
      </c>
      <c r="P1387" s="6" t="s">
        <v>55</v>
      </c>
      <c r="Q1387" s="6" t="s">
        <v>2762</v>
      </c>
      <c r="R1387" s="6" t="s">
        <v>57</v>
      </c>
      <c r="S1387" s="6" t="s">
        <v>56</v>
      </c>
      <c r="T1387" s="6" t="s">
        <v>56</v>
      </c>
      <c r="AR1387" s="6" t="s">
        <v>55</v>
      </c>
      <c r="AS1387" s="6" t="s">
        <v>55</v>
      </c>
      <c r="AU1387" s="6" t="s">
        <v>2764</v>
      </c>
      <c r="AV1387">
        <v>2677</v>
      </c>
    </row>
    <row r="1388" spans="1:48" ht="30" customHeight="1" x14ac:dyDescent="0.3">
      <c r="A1388" s="4" t="s">
        <v>1120</v>
      </c>
      <c r="B1388" s="4" t="s">
        <v>1121</v>
      </c>
      <c r="C1388" s="4" t="s">
        <v>269</v>
      </c>
      <c r="D1388" s="5">
        <v>193</v>
      </c>
      <c r="E1388" s="7">
        <f>TRUNC([1]일위대가목록!E101,0)</f>
        <v>534</v>
      </c>
      <c r="F1388" s="7">
        <f t="shared" si="151"/>
        <v>103062</v>
      </c>
      <c r="G1388" s="7">
        <f>TRUNC([1]일위대가목록!F101,0)</f>
        <v>4096</v>
      </c>
      <c r="H1388" s="7">
        <f t="shared" si="152"/>
        <v>790528</v>
      </c>
      <c r="I1388" s="7">
        <f>TRUNC([1]일위대가목록!G101,0)</f>
        <v>0</v>
      </c>
      <c r="J1388" s="7">
        <f t="shared" si="153"/>
        <v>0</v>
      </c>
      <c r="K1388" s="7">
        <f t="shared" si="154"/>
        <v>4630</v>
      </c>
      <c r="L1388" s="7">
        <f t="shared" si="154"/>
        <v>893590</v>
      </c>
      <c r="M1388" s="4" t="s">
        <v>1122</v>
      </c>
      <c r="N1388" s="6" t="s">
        <v>1123</v>
      </c>
      <c r="O1388" s="6" t="s">
        <v>55</v>
      </c>
      <c r="P1388" s="6" t="s">
        <v>55</v>
      </c>
      <c r="Q1388" s="6" t="s">
        <v>2762</v>
      </c>
      <c r="R1388" s="6" t="s">
        <v>57</v>
      </c>
      <c r="S1388" s="6" t="s">
        <v>56</v>
      </c>
      <c r="T1388" s="6" t="s">
        <v>56</v>
      </c>
      <c r="AR1388" s="6" t="s">
        <v>55</v>
      </c>
      <c r="AS1388" s="6" t="s">
        <v>55</v>
      </c>
      <c r="AU1388" s="6" t="s">
        <v>2765</v>
      </c>
      <c r="AV1388">
        <v>2678</v>
      </c>
    </row>
    <row r="1389" spans="1:48" ht="30" customHeight="1" x14ac:dyDescent="0.3">
      <c r="A1389" s="4" t="s">
        <v>1130</v>
      </c>
      <c r="B1389" s="4" t="s">
        <v>1131</v>
      </c>
      <c r="C1389" s="4" t="s">
        <v>269</v>
      </c>
      <c r="D1389" s="5">
        <v>8</v>
      </c>
      <c r="E1389" s="7">
        <f>TRUNC([1]일위대가목록!E103,0)</f>
        <v>5406</v>
      </c>
      <c r="F1389" s="7">
        <f t="shared" si="151"/>
        <v>43248</v>
      </c>
      <c r="G1389" s="7">
        <f>TRUNC([1]일위대가목록!F103,0)</f>
        <v>16634</v>
      </c>
      <c r="H1389" s="7">
        <f t="shared" si="152"/>
        <v>133072</v>
      </c>
      <c r="I1389" s="7">
        <f>TRUNC([1]일위대가목록!G103,0)</f>
        <v>770</v>
      </c>
      <c r="J1389" s="7">
        <f t="shared" si="153"/>
        <v>6160</v>
      </c>
      <c r="K1389" s="7">
        <f t="shared" si="154"/>
        <v>22810</v>
      </c>
      <c r="L1389" s="7">
        <f t="shared" si="154"/>
        <v>182480</v>
      </c>
      <c r="M1389" s="4" t="s">
        <v>1132</v>
      </c>
      <c r="N1389" s="6" t="s">
        <v>1133</v>
      </c>
      <c r="O1389" s="6" t="s">
        <v>55</v>
      </c>
      <c r="P1389" s="6" t="s">
        <v>55</v>
      </c>
      <c r="Q1389" s="6" t="s">
        <v>2762</v>
      </c>
      <c r="R1389" s="6" t="s">
        <v>57</v>
      </c>
      <c r="S1389" s="6" t="s">
        <v>56</v>
      </c>
      <c r="T1389" s="6" t="s">
        <v>56</v>
      </c>
      <c r="AR1389" s="6" t="s">
        <v>55</v>
      </c>
      <c r="AS1389" s="6" t="s">
        <v>55</v>
      </c>
      <c r="AU1389" s="6" t="s">
        <v>2766</v>
      </c>
      <c r="AV1389">
        <v>2415</v>
      </c>
    </row>
    <row r="1390" spans="1:48" ht="30" customHeight="1" x14ac:dyDescent="0.3">
      <c r="A1390" s="4" t="s">
        <v>1135</v>
      </c>
      <c r="B1390" s="4" t="s">
        <v>1136</v>
      </c>
      <c r="C1390" s="4" t="s">
        <v>125</v>
      </c>
      <c r="D1390" s="5">
        <v>1</v>
      </c>
      <c r="E1390" s="7">
        <f>TRUNC([1]일위대가목록!E216,0)</f>
        <v>50964</v>
      </c>
      <c r="F1390" s="7">
        <f t="shared" si="151"/>
        <v>50964</v>
      </c>
      <c r="G1390" s="7">
        <f>TRUNC([1]일위대가목록!F216,0)</f>
        <v>55914</v>
      </c>
      <c r="H1390" s="7">
        <f t="shared" si="152"/>
        <v>55914</v>
      </c>
      <c r="I1390" s="7">
        <f>TRUNC([1]일위대가목록!G216,0)</f>
        <v>2235</v>
      </c>
      <c r="J1390" s="7">
        <f t="shared" si="153"/>
        <v>2235</v>
      </c>
      <c r="K1390" s="7">
        <f t="shared" si="154"/>
        <v>109113</v>
      </c>
      <c r="L1390" s="7">
        <f t="shared" si="154"/>
        <v>109113</v>
      </c>
      <c r="M1390" s="4" t="s">
        <v>2767</v>
      </c>
      <c r="N1390" s="6" t="s">
        <v>2768</v>
      </c>
      <c r="O1390" s="6" t="s">
        <v>55</v>
      </c>
      <c r="P1390" s="6" t="s">
        <v>55</v>
      </c>
      <c r="Q1390" s="6" t="s">
        <v>2762</v>
      </c>
      <c r="R1390" s="6" t="s">
        <v>57</v>
      </c>
      <c r="S1390" s="6" t="s">
        <v>56</v>
      </c>
      <c r="T1390" s="6" t="s">
        <v>56</v>
      </c>
      <c r="AR1390" s="6" t="s">
        <v>55</v>
      </c>
      <c r="AS1390" s="6" t="s">
        <v>55</v>
      </c>
      <c r="AU1390" s="6" t="s">
        <v>2769</v>
      </c>
      <c r="AV1390">
        <v>750</v>
      </c>
    </row>
    <row r="1391" spans="1:48" ht="30" customHeight="1" x14ac:dyDescent="0.3">
      <c r="A1391" s="4" t="s">
        <v>1140</v>
      </c>
      <c r="B1391" s="4" t="s">
        <v>1141</v>
      </c>
      <c r="C1391" s="4" t="s">
        <v>125</v>
      </c>
      <c r="D1391" s="5">
        <v>2</v>
      </c>
      <c r="E1391" s="7">
        <f>TRUNC([1]일위대가목록!E217,0)</f>
        <v>194202</v>
      </c>
      <c r="F1391" s="7">
        <f t="shared" si="151"/>
        <v>388404</v>
      </c>
      <c r="G1391" s="7">
        <f>TRUNC([1]일위대가목록!F217,0)</f>
        <v>213108</v>
      </c>
      <c r="H1391" s="7">
        <f t="shared" si="152"/>
        <v>426216</v>
      </c>
      <c r="I1391" s="7">
        <f>TRUNC([1]일위대가목록!G217,0)</f>
        <v>8520</v>
      </c>
      <c r="J1391" s="7">
        <f t="shared" si="153"/>
        <v>17040</v>
      </c>
      <c r="K1391" s="7">
        <f t="shared" si="154"/>
        <v>415830</v>
      </c>
      <c r="L1391" s="7">
        <f t="shared" si="154"/>
        <v>831660</v>
      </c>
      <c r="M1391" s="4" t="s">
        <v>2770</v>
      </c>
      <c r="N1391" s="6" t="s">
        <v>2771</v>
      </c>
      <c r="O1391" s="6" t="s">
        <v>55</v>
      </c>
      <c r="P1391" s="6" t="s">
        <v>55</v>
      </c>
      <c r="Q1391" s="6" t="s">
        <v>2762</v>
      </c>
      <c r="R1391" s="6" t="s">
        <v>57</v>
      </c>
      <c r="S1391" s="6" t="s">
        <v>56</v>
      </c>
      <c r="T1391" s="6" t="s">
        <v>56</v>
      </c>
      <c r="AR1391" s="6" t="s">
        <v>55</v>
      </c>
      <c r="AS1391" s="6" t="s">
        <v>55</v>
      </c>
      <c r="AU1391" s="6" t="s">
        <v>2772</v>
      </c>
      <c r="AV1391">
        <v>751</v>
      </c>
    </row>
    <row r="1392" spans="1:48" ht="30" customHeight="1" x14ac:dyDescent="0.3">
      <c r="A1392" s="4" t="s">
        <v>1145</v>
      </c>
      <c r="B1392" s="4" t="s">
        <v>1146</v>
      </c>
      <c r="C1392" s="4" t="s">
        <v>52</v>
      </c>
      <c r="D1392" s="5">
        <v>55</v>
      </c>
      <c r="E1392" s="7">
        <f>TRUNC([1]단가대비표!O239,0)</f>
        <v>2608</v>
      </c>
      <c r="F1392" s="7">
        <f t="shared" si="151"/>
        <v>143440</v>
      </c>
      <c r="G1392" s="7">
        <f>TRUNC([1]단가대비표!P239,0)</f>
        <v>7421</v>
      </c>
      <c r="H1392" s="7">
        <f t="shared" si="152"/>
        <v>408155</v>
      </c>
      <c r="I1392" s="7">
        <f>TRUNC([1]단가대비표!V239,0)</f>
        <v>0</v>
      </c>
      <c r="J1392" s="7">
        <f t="shared" si="153"/>
        <v>0</v>
      </c>
      <c r="K1392" s="7">
        <f t="shared" si="154"/>
        <v>10029</v>
      </c>
      <c r="L1392" s="7">
        <f t="shared" si="154"/>
        <v>551595</v>
      </c>
      <c r="M1392" s="4" t="s">
        <v>1147</v>
      </c>
      <c r="N1392" s="6" t="s">
        <v>1148</v>
      </c>
      <c r="O1392" s="6" t="s">
        <v>55</v>
      </c>
      <c r="P1392" s="6" t="s">
        <v>55</v>
      </c>
      <c r="Q1392" s="6" t="s">
        <v>2762</v>
      </c>
      <c r="R1392" s="6" t="s">
        <v>56</v>
      </c>
      <c r="S1392" s="6" t="s">
        <v>56</v>
      </c>
      <c r="T1392" s="6" t="s">
        <v>57</v>
      </c>
      <c r="AR1392" s="6" t="s">
        <v>55</v>
      </c>
      <c r="AS1392" s="6" t="s">
        <v>55</v>
      </c>
      <c r="AU1392" s="6" t="s">
        <v>2773</v>
      </c>
      <c r="AV1392">
        <v>3130</v>
      </c>
    </row>
    <row r="1393" spans="1:48" ht="30" customHeight="1" x14ac:dyDescent="0.3">
      <c r="A1393" s="4" t="s">
        <v>1182</v>
      </c>
      <c r="B1393" s="4" t="s">
        <v>1183</v>
      </c>
      <c r="C1393" s="4" t="s">
        <v>125</v>
      </c>
      <c r="D1393" s="5">
        <v>21</v>
      </c>
      <c r="E1393" s="7">
        <f>TRUNC([1]일위대가목록!E113,0)</f>
        <v>11404</v>
      </c>
      <c r="F1393" s="7">
        <f t="shared" si="151"/>
        <v>239484</v>
      </c>
      <c r="G1393" s="7">
        <f>TRUNC([1]일위대가목록!F113,0)</f>
        <v>13622</v>
      </c>
      <c r="H1393" s="7">
        <f t="shared" si="152"/>
        <v>286062</v>
      </c>
      <c r="I1393" s="7">
        <f>TRUNC([1]일위대가목록!G113,0)</f>
        <v>544</v>
      </c>
      <c r="J1393" s="7">
        <f t="shared" si="153"/>
        <v>11424</v>
      </c>
      <c r="K1393" s="7">
        <f t="shared" si="154"/>
        <v>25570</v>
      </c>
      <c r="L1393" s="7">
        <f t="shared" si="154"/>
        <v>536970</v>
      </c>
      <c r="M1393" s="4" t="s">
        <v>1184</v>
      </c>
      <c r="N1393" s="6" t="s">
        <v>1185</v>
      </c>
      <c r="O1393" s="6" t="s">
        <v>55</v>
      </c>
      <c r="P1393" s="6" t="s">
        <v>55</v>
      </c>
      <c r="Q1393" s="6" t="s">
        <v>2762</v>
      </c>
      <c r="R1393" s="6" t="s">
        <v>57</v>
      </c>
      <c r="S1393" s="6" t="s">
        <v>56</v>
      </c>
      <c r="T1393" s="6" t="s">
        <v>56</v>
      </c>
      <c r="AR1393" s="6" t="s">
        <v>55</v>
      </c>
      <c r="AS1393" s="6" t="s">
        <v>55</v>
      </c>
      <c r="AU1393" s="6" t="s">
        <v>2774</v>
      </c>
      <c r="AV1393">
        <v>760</v>
      </c>
    </row>
    <row r="1394" spans="1:48" ht="30" customHeight="1" x14ac:dyDescent="0.3">
      <c r="A1394" s="4" t="s">
        <v>1196</v>
      </c>
      <c r="B1394" s="4" t="s">
        <v>1197</v>
      </c>
      <c r="C1394" s="4" t="s">
        <v>269</v>
      </c>
      <c r="D1394" s="5">
        <v>11</v>
      </c>
      <c r="E1394" s="7">
        <f>TRUNC([1]일위대가목록!E205,0)</f>
        <v>8181</v>
      </c>
      <c r="F1394" s="7">
        <f t="shared" si="151"/>
        <v>89991</v>
      </c>
      <c r="G1394" s="7">
        <f>TRUNC([1]일위대가목록!F205,0)</f>
        <v>17976</v>
      </c>
      <c r="H1394" s="7">
        <f t="shared" si="152"/>
        <v>197736</v>
      </c>
      <c r="I1394" s="7">
        <f>TRUNC([1]일위대가목록!G205,0)</f>
        <v>834</v>
      </c>
      <c r="J1394" s="7">
        <f t="shared" si="153"/>
        <v>9174</v>
      </c>
      <c r="K1394" s="7">
        <f t="shared" si="154"/>
        <v>26991</v>
      </c>
      <c r="L1394" s="7">
        <f t="shared" si="154"/>
        <v>296901</v>
      </c>
      <c r="M1394" s="4" t="s">
        <v>2437</v>
      </c>
      <c r="N1394" s="6" t="s">
        <v>2438</v>
      </c>
      <c r="O1394" s="6" t="s">
        <v>55</v>
      </c>
      <c r="P1394" s="6" t="s">
        <v>55</v>
      </c>
      <c r="Q1394" s="6" t="s">
        <v>2762</v>
      </c>
      <c r="R1394" s="6" t="s">
        <v>57</v>
      </c>
      <c r="S1394" s="6" t="s">
        <v>56</v>
      </c>
      <c r="T1394" s="6" t="s">
        <v>56</v>
      </c>
      <c r="AR1394" s="6" t="s">
        <v>55</v>
      </c>
      <c r="AS1394" s="6" t="s">
        <v>55</v>
      </c>
      <c r="AU1394" s="6" t="s">
        <v>2775</v>
      </c>
      <c r="AV1394">
        <v>763</v>
      </c>
    </row>
    <row r="1395" spans="1:48" ht="30" customHeight="1" x14ac:dyDescent="0.3">
      <c r="A1395" s="4" t="s">
        <v>1201</v>
      </c>
      <c r="B1395" s="4" t="s">
        <v>1202</v>
      </c>
      <c r="C1395" s="4" t="s">
        <v>269</v>
      </c>
      <c r="D1395" s="5">
        <v>5</v>
      </c>
      <c r="E1395" s="7">
        <f>TRUNC([1]일위대가목록!E117,0)</f>
        <v>6697</v>
      </c>
      <c r="F1395" s="7">
        <f t="shared" si="151"/>
        <v>33485</v>
      </c>
      <c r="G1395" s="7">
        <f>TRUNC([1]일위대가목록!F117,0)</f>
        <v>27225</v>
      </c>
      <c r="H1395" s="7">
        <f t="shared" si="152"/>
        <v>136125</v>
      </c>
      <c r="I1395" s="7">
        <f>TRUNC([1]일위대가목록!G117,0)</f>
        <v>1045</v>
      </c>
      <c r="J1395" s="7">
        <f t="shared" si="153"/>
        <v>5225</v>
      </c>
      <c r="K1395" s="7">
        <f t="shared" si="154"/>
        <v>34967</v>
      </c>
      <c r="L1395" s="7">
        <f t="shared" si="154"/>
        <v>174835</v>
      </c>
      <c r="M1395" s="4" t="s">
        <v>1203</v>
      </c>
      <c r="N1395" s="6" t="s">
        <v>1204</v>
      </c>
      <c r="O1395" s="6" t="s">
        <v>55</v>
      </c>
      <c r="P1395" s="6" t="s">
        <v>55</v>
      </c>
      <c r="Q1395" s="6" t="s">
        <v>2762</v>
      </c>
      <c r="R1395" s="6" t="s">
        <v>57</v>
      </c>
      <c r="S1395" s="6" t="s">
        <v>56</v>
      </c>
      <c r="T1395" s="6" t="s">
        <v>56</v>
      </c>
      <c r="AR1395" s="6" t="s">
        <v>55</v>
      </c>
      <c r="AS1395" s="6" t="s">
        <v>55</v>
      </c>
      <c r="AU1395" s="6" t="s">
        <v>2776</v>
      </c>
      <c r="AV1395">
        <v>764</v>
      </c>
    </row>
    <row r="1396" spans="1:48" ht="30" customHeight="1" x14ac:dyDescent="0.3">
      <c r="A1396" s="4" t="s">
        <v>1206</v>
      </c>
      <c r="B1396" s="4" t="s">
        <v>1207</v>
      </c>
      <c r="C1396" s="4" t="s">
        <v>269</v>
      </c>
      <c r="D1396" s="5">
        <v>125</v>
      </c>
      <c r="E1396" s="7">
        <f>TRUNC([1]일위대가목록!E118,0)</f>
        <v>2864</v>
      </c>
      <c r="F1396" s="7">
        <f t="shared" si="151"/>
        <v>358000</v>
      </c>
      <c r="G1396" s="7">
        <f>TRUNC([1]일위대가목록!F118,0)</f>
        <v>8010</v>
      </c>
      <c r="H1396" s="7">
        <f t="shared" si="152"/>
        <v>1001250</v>
      </c>
      <c r="I1396" s="7">
        <f>TRUNC([1]일위대가목록!G118,0)</f>
        <v>320</v>
      </c>
      <c r="J1396" s="7">
        <f t="shared" si="153"/>
        <v>40000</v>
      </c>
      <c r="K1396" s="7">
        <f t="shared" si="154"/>
        <v>11194</v>
      </c>
      <c r="L1396" s="7">
        <f t="shared" si="154"/>
        <v>1399250</v>
      </c>
      <c r="M1396" s="4" t="s">
        <v>1208</v>
      </c>
      <c r="N1396" s="6" t="s">
        <v>1209</v>
      </c>
      <c r="O1396" s="6" t="s">
        <v>55</v>
      </c>
      <c r="P1396" s="6" t="s">
        <v>55</v>
      </c>
      <c r="Q1396" s="6" t="s">
        <v>2762</v>
      </c>
      <c r="R1396" s="6" t="s">
        <v>57</v>
      </c>
      <c r="S1396" s="6" t="s">
        <v>56</v>
      </c>
      <c r="T1396" s="6" t="s">
        <v>56</v>
      </c>
      <c r="AR1396" s="6" t="s">
        <v>55</v>
      </c>
      <c r="AS1396" s="6" t="s">
        <v>55</v>
      </c>
      <c r="AU1396" s="6" t="s">
        <v>2777</v>
      </c>
      <c r="AV1396">
        <v>765</v>
      </c>
    </row>
    <row r="1397" spans="1:48" ht="30" customHeight="1" x14ac:dyDescent="0.3">
      <c r="A1397" s="4" t="s">
        <v>55</v>
      </c>
      <c r="B1397" s="4" t="s">
        <v>55</v>
      </c>
      <c r="C1397" s="4" t="s">
        <v>55</v>
      </c>
      <c r="D1397" s="5"/>
      <c r="E1397" s="7">
        <f>TRUNC([1]단가대비표!O894,0)</f>
        <v>0</v>
      </c>
      <c r="F1397" s="7">
        <f t="shared" si="151"/>
        <v>0</v>
      </c>
      <c r="G1397" s="7">
        <f>TRUNC([1]단가대비표!P894,0)</f>
        <v>0</v>
      </c>
      <c r="H1397" s="7">
        <f t="shared" si="152"/>
        <v>0</v>
      </c>
      <c r="I1397" s="7">
        <f>TRUNC([1]단가대비표!V894,0)</f>
        <v>0</v>
      </c>
      <c r="J1397" s="7">
        <f t="shared" si="153"/>
        <v>0</v>
      </c>
      <c r="K1397" s="7">
        <f t="shared" si="154"/>
        <v>0</v>
      </c>
      <c r="L1397" s="7">
        <f t="shared" si="154"/>
        <v>0</v>
      </c>
      <c r="M1397" s="4" t="s">
        <v>55</v>
      </c>
      <c r="N1397" s="6" t="s">
        <v>2778</v>
      </c>
      <c r="O1397" s="6" t="s">
        <v>55</v>
      </c>
      <c r="P1397" s="6" t="s">
        <v>55</v>
      </c>
      <c r="Q1397" s="6" t="s">
        <v>2762</v>
      </c>
      <c r="R1397" s="6" t="s">
        <v>56</v>
      </c>
      <c r="S1397" s="6" t="s">
        <v>56</v>
      </c>
      <c r="T1397" s="6" t="s">
        <v>57</v>
      </c>
      <c r="AR1397" s="6" t="s">
        <v>55</v>
      </c>
      <c r="AS1397" s="6" t="s">
        <v>55</v>
      </c>
      <c r="AU1397" s="6" t="s">
        <v>2779</v>
      </c>
      <c r="AV1397">
        <v>3471</v>
      </c>
    </row>
    <row r="1398" spans="1:48" ht="30" customHeight="1" x14ac:dyDescent="0.3">
      <c r="A1398" s="4" t="s">
        <v>2780</v>
      </c>
      <c r="B1398" s="4" t="s">
        <v>55</v>
      </c>
      <c r="C1398" s="4" t="s">
        <v>55</v>
      </c>
      <c r="D1398" s="5"/>
      <c r="E1398" s="7">
        <f>TRUNC([1]단가대비표!O331,0)</f>
        <v>0</v>
      </c>
      <c r="F1398" s="7">
        <f t="shared" si="151"/>
        <v>0</v>
      </c>
      <c r="G1398" s="7">
        <f>TRUNC([1]단가대비표!P331,0)</f>
        <v>0</v>
      </c>
      <c r="H1398" s="7">
        <f t="shared" si="152"/>
        <v>0</v>
      </c>
      <c r="I1398" s="7">
        <f>TRUNC([1]단가대비표!V331,0)</f>
        <v>0</v>
      </c>
      <c r="J1398" s="7">
        <f t="shared" si="153"/>
        <v>0</v>
      </c>
      <c r="K1398" s="7">
        <f t="shared" si="154"/>
        <v>0</v>
      </c>
      <c r="L1398" s="7">
        <f t="shared" si="154"/>
        <v>0</v>
      </c>
      <c r="M1398" s="4" t="s">
        <v>55</v>
      </c>
      <c r="N1398" s="6" t="s">
        <v>2781</v>
      </c>
      <c r="O1398" s="6" t="s">
        <v>55</v>
      </c>
      <c r="P1398" s="6" t="s">
        <v>55</v>
      </c>
      <c r="Q1398" s="6" t="s">
        <v>2762</v>
      </c>
      <c r="R1398" s="6" t="s">
        <v>56</v>
      </c>
      <c r="S1398" s="6" t="s">
        <v>56</v>
      </c>
      <c r="T1398" s="6" t="s">
        <v>57</v>
      </c>
      <c r="AR1398" s="6" t="s">
        <v>55</v>
      </c>
      <c r="AS1398" s="6" t="s">
        <v>55</v>
      </c>
      <c r="AU1398" s="6" t="s">
        <v>2782</v>
      </c>
      <c r="AV1398">
        <v>3466</v>
      </c>
    </row>
    <row r="1399" spans="1:48" ht="30" customHeight="1" x14ac:dyDescent="0.3">
      <c r="A1399" s="4" t="s">
        <v>1337</v>
      </c>
      <c r="B1399" s="4" t="s">
        <v>1415</v>
      </c>
      <c r="C1399" s="4" t="s">
        <v>61</v>
      </c>
      <c r="D1399" s="5">
        <v>23</v>
      </c>
      <c r="E1399" s="7">
        <f>TRUNC([1]단가대비표!O332,0)</f>
        <v>15000</v>
      </c>
      <c r="F1399" s="7">
        <f t="shared" si="151"/>
        <v>345000</v>
      </c>
      <c r="G1399" s="7">
        <f>TRUNC([1]단가대비표!P332,0)</f>
        <v>0</v>
      </c>
      <c r="H1399" s="7">
        <f t="shared" si="152"/>
        <v>0</v>
      </c>
      <c r="I1399" s="7">
        <f>TRUNC([1]단가대비표!V332,0)</f>
        <v>0</v>
      </c>
      <c r="J1399" s="7">
        <f t="shared" si="153"/>
        <v>0</v>
      </c>
      <c r="K1399" s="7">
        <f t="shared" si="154"/>
        <v>15000</v>
      </c>
      <c r="L1399" s="7">
        <f t="shared" si="154"/>
        <v>345000</v>
      </c>
      <c r="M1399" s="4" t="s">
        <v>115</v>
      </c>
      <c r="N1399" s="6" t="s">
        <v>2783</v>
      </c>
      <c r="O1399" s="6" t="s">
        <v>55</v>
      </c>
      <c r="P1399" s="6" t="s">
        <v>55</v>
      </c>
      <c r="Q1399" s="6" t="s">
        <v>2762</v>
      </c>
      <c r="R1399" s="6" t="s">
        <v>56</v>
      </c>
      <c r="S1399" s="6" t="s">
        <v>56</v>
      </c>
      <c r="T1399" s="6" t="s">
        <v>57</v>
      </c>
      <c r="AR1399" s="6" t="s">
        <v>55</v>
      </c>
      <c r="AS1399" s="6" t="s">
        <v>55</v>
      </c>
      <c r="AU1399" s="6" t="s">
        <v>2784</v>
      </c>
      <c r="AV1399">
        <v>3467</v>
      </c>
    </row>
    <row r="1400" spans="1:48" ht="30" customHeight="1" x14ac:dyDescent="0.3">
      <c r="A1400" s="4" t="s">
        <v>1418</v>
      </c>
      <c r="B1400" s="4" t="s">
        <v>55</v>
      </c>
      <c r="C1400" s="4" t="s">
        <v>120</v>
      </c>
      <c r="D1400" s="5">
        <v>9</v>
      </c>
      <c r="E1400" s="7">
        <f>TRUNC([1]단가대비표!O333,0)</f>
        <v>20300</v>
      </c>
      <c r="F1400" s="7">
        <f t="shared" si="151"/>
        <v>182700</v>
      </c>
      <c r="G1400" s="7">
        <f>TRUNC([1]단가대비표!P333,0)</f>
        <v>0</v>
      </c>
      <c r="H1400" s="7">
        <f t="shared" si="152"/>
        <v>0</v>
      </c>
      <c r="I1400" s="7">
        <f>TRUNC([1]단가대비표!V333,0)</f>
        <v>0</v>
      </c>
      <c r="J1400" s="7">
        <f t="shared" si="153"/>
        <v>0</v>
      </c>
      <c r="K1400" s="7">
        <f t="shared" si="154"/>
        <v>20300</v>
      </c>
      <c r="L1400" s="7">
        <f t="shared" si="154"/>
        <v>182700</v>
      </c>
      <c r="M1400" s="4" t="s">
        <v>115</v>
      </c>
      <c r="N1400" s="6" t="s">
        <v>2785</v>
      </c>
      <c r="O1400" s="6" t="s">
        <v>55</v>
      </c>
      <c r="P1400" s="6" t="s">
        <v>55</v>
      </c>
      <c r="Q1400" s="6" t="s">
        <v>2762</v>
      </c>
      <c r="R1400" s="6" t="s">
        <v>56</v>
      </c>
      <c r="S1400" s="6" t="s">
        <v>56</v>
      </c>
      <c r="T1400" s="6" t="s">
        <v>57</v>
      </c>
      <c r="AR1400" s="6" t="s">
        <v>55</v>
      </c>
      <c r="AS1400" s="6" t="s">
        <v>55</v>
      </c>
      <c r="AU1400" s="6" t="s">
        <v>2786</v>
      </c>
      <c r="AV1400">
        <v>3468</v>
      </c>
    </row>
    <row r="1401" spans="1:48" ht="30" customHeight="1" x14ac:dyDescent="0.3">
      <c r="A1401" s="4" t="s">
        <v>1421</v>
      </c>
      <c r="B1401" s="4" t="s">
        <v>55</v>
      </c>
      <c r="C1401" s="4" t="s">
        <v>61</v>
      </c>
      <c r="D1401" s="5">
        <v>23</v>
      </c>
      <c r="E1401" s="7">
        <f>TRUNC([1]단가대비표!O334,0)</f>
        <v>0</v>
      </c>
      <c r="F1401" s="7">
        <f t="shared" si="151"/>
        <v>0</v>
      </c>
      <c r="G1401" s="7">
        <f>TRUNC([1]단가대비표!P334,0)</f>
        <v>3200</v>
      </c>
      <c r="H1401" s="7">
        <f t="shared" si="152"/>
        <v>73600</v>
      </c>
      <c r="I1401" s="7">
        <f>TRUNC([1]단가대비표!V334,0)</f>
        <v>0</v>
      </c>
      <c r="J1401" s="7">
        <f t="shared" si="153"/>
        <v>0</v>
      </c>
      <c r="K1401" s="7">
        <f t="shared" si="154"/>
        <v>3200</v>
      </c>
      <c r="L1401" s="7">
        <f t="shared" si="154"/>
        <v>73600</v>
      </c>
      <c r="M1401" s="4" t="s">
        <v>115</v>
      </c>
      <c r="N1401" s="6" t="s">
        <v>2787</v>
      </c>
      <c r="O1401" s="6" t="s">
        <v>55</v>
      </c>
      <c r="P1401" s="6" t="s">
        <v>55</v>
      </c>
      <c r="Q1401" s="6" t="s">
        <v>2762</v>
      </c>
      <c r="R1401" s="6" t="s">
        <v>56</v>
      </c>
      <c r="S1401" s="6" t="s">
        <v>56</v>
      </c>
      <c r="T1401" s="6" t="s">
        <v>57</v>
      </c>
      <c r="AR1401" s="6" t="s">
        <v>55</v>
      </c>
      <c r="AS1401" s="6" t="s">
        <v>55</v>
      </c>
      <c r="AU1401" s="6" t="s">
        <v>2788</v>
      </c>
      <c r="AV1401">
        <v>3469</v>
      </c>
    </row>
    <row r="1402" spans="1:48" ht="30" customHeight="1" x14ac:dyDescent="0.3">
      <c r="A1402" s="4" t="s">
        <v>1424</v>
      </c>
      <c r="B1402" s="4" t="s">
        <v>55</v>
      </c>
      <c r="C1402" s="4" t="s">
        <v>61</v>
      </c>
      <c r="D1402" s="5">
        <v>23</v>
      </c>
      <c r="E1402" s="7">
        <f>TRUNC([1]단가대비표!O335,0)</f>
        <v>0</v>
      </c>
      <c r="F1402" s="7">
        <f t="shared" si="151"/>
        <v>0</v>
      </c>
      <c r="G1402" s="7">
        <f>TRUNC([1]단가대비표!P335,0)</f>
        <v>3400</v>
      </c>
      <c r="H1402" s="7">
        <f t="shared" si="152"/>
        <v>78200</v>
      </c>
      <c r="I1402" s="7">
        <f>TRUNC([1]단가대비표!V335,0)</f>
        <v>0</v>
      </c>
      <c r="J1402" s="7">
        <f t="shared" si="153"/>
        <v>0</v>
      </c>
      <c r="K1402" s="7">
        <f t="shared" si="154"/>
        <v>3400</v>
      </c>
      <c r="L1402" s="7">
        <f t="shared" si="154"/>
        <v>78200</v>
      </c>
      <c r="M1402" s="4" t="s">
        <v>115</v>
      </c>
      <c r="N1402" s="6" t="s">
        <v>2789</v>
      </c>
      <c r="O1402" s="6" t="s">
        <v>55</v>
      </c>
      <c r="P1402" s="6" t="s">
        <v>55</v>
      </c>
      <c r="Q1402" s="6" t="s">
        <v>2762</v>
      </c>
      <c r="R1402" s="6" t="s">
        <v>56</v>
      </c>
      <c r="S1402" s="6" t="s">
        <v>56</v>
      </c>
      <c r="T1402" s="6" t="s">
        <v>57</v>
      </c>
      <c r="AR1402" s="6" t="s">
        <v>55</v>
      </c>
      <c r="AS1402" s="6" t="s">
        <v>55</v>
      </c>
      <c r="AU1402" s="6" t="s">
        <v>2790</v>
      </c>
      <c r="AV1402">
        <v>3470</v>
      </c>
    </row>
    <row r="1403" spans="1:48" ht="30" customHeight="1" x14ac:dyDescent="0.3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</row>
    <row r="1404" spans="1:48" ht="30" customHeight="1" x14ac:dyDescent="0.3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</row>
    <row r="1405" spans="1:48" ht="30" customHeight="1" x14ac:dyDescent="0.3">
      <c r="A1405" s="4" t="s">
        <v>128</v>
      </c>
      <c r="B1405" s="5"/>
      <c r="C1405" s="5"/>
      <c r="D1405" s="5"/>
      <c r="E1405" s="5"/>
      <c r="F1405" s="7">
        <f>SUM(F1386:F1404)</f>
        <v>2026360</v>
      </c>
      <c r="G1405" s="5"/>
      <c r="H1405" s="7">
        <f>SUM(H1386:H1404)</f>
        <v>3820330</v>
      </c>
      <c r="I1405" s="5"/>
      <c r="J1405" s="7">
        <f>SUM(J1386:J1404)</f>
        <v>91258</v>
      </c>
      <c r="K1405" s="5"/>
      <c r="L1405" s="7">
        <f>SUM(L1386:L1404)</f>
        <v>5937948</v>
      </c>
      <c r="M1405" s="5"/>
      <c r="N1405" t="s">
        <v>129</v>
      </c>
    </row>
    <row r="1406" spans="1:48" ht="30" customHeight="1" x14ac:dyDescent="0.3">
      <c r="A1406" s="4" t="s">
        <v>2791</v>
      </c>
      <c r="B1406" s="4" t="s">
        <v>2626</v>
      </c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Q1406" s="6" t="s">
        <v>2792</v>
      </c>
    </row>
    <row r="1407" spans="1:48" ht="30" customHeight="1" x14ac:dyDescent="0.3">
      <c r="A1407" s="4" t="s">
        <v>528</v>
      </c>
      <c r="B1407" s="4" t="s">
        <v>1429</v>
      </c>
      <c r="C1407" s="4" t="s">
        <v>61</v>
      </c>
      <c r="D1407" s="5">
        <v>44</v>
      </c>
      <c r="E1407" s="7">
        <f>TRUNC([1]일위대가목록!E119,0)</f>
        <v>257</v>
      </c>
      <c r="F1407" s="7">
        <f t="shared" ref="F1407:F1419" si="155">TRUNC(E1407*D1407, 0)</f>
        <v>11308</v>
      </c>
      <c r="G1407" s="7">
        <f>TRUNC([1]일위대가목록!F119,0)</f>
        <v>13480</v>
      </c>
      <c r="H1407" s="7">
        <f t="shared" ref="H1407:H1419" si="156">TRUNC(G1407*D1407, 0)</f>
        <v>593120</v>
      </c>
      <c r="I1407" s="7">
        <f>TRUNC([1]일위대가목록!G119,0)</f>
        <v>0</v>
      </c>
      <c r="J1407" s="7">
        <f t="shared" ref="J1407:J1419" si="157">TRUNC(I1407*D1407, 0)</f>
        <v>0</v>
      </c>
      <c r="K1407" s="7">
        <f t="shared" ref="K1407:L1419" si="158">TRUNC(E1407+G1407+I1407, 0)</f>
        <v>13737</v>
      </c>
      <c r="L1407" s="7">
        <f t="shared" si="158"/>
        <v>604428</v>
      </c>
      <c r="M1407" s="4" t="s">
        <v>1430</v>
      </c>
      <c r="N1407" s="6" t="s">
        <v>1431</v>
      </c>
      <c r="O1407" s="6" t="s">
        <v>55</v>
      </c>
      <c r="P1407" s="6" t="s">
        <v>55</v>
      </c>
      <c r="Q1407" s="6" t="s">
        <v>2792</v>
      </c>
      <c r="R1407" s="6" t="s">
        <v>57</v>
      </c>
      <c r="S1407" s="6" t="s">
        <v>56</v>
      </c>
      <c r="T1407" s="6" t="s">
        <v>56</v>
      </c>
      <c r="AR1407" s="6" t="s">
        <v>55</v>
      </c>
      <c r="AS1407" s="6" t="s">
        <v>55</v>
      </c>
      <c r="AU1407" s="6" t="s">
        <v>2793</v>
      </c>
      <c r="AV1407">
        <v>2680</v>
      </c>
    </row>
    <row r="1408" spans="1:48" ht="30" customHeight="1" x14ac:dyDescent="0.3">
      <c r="A1408" s="4" t="s">
        <v>528</v>
      </c>
      <c r="B1408" s="4" t="s">
        <v>1433</v>
      </c>
      <c r="C1408" s="4" t="s">
        <v>61</v>
      </c>
      <c r="D1408" s="5">
        <v>2172</v>
      </c>
      <c r="E1408" s="7">
        <f>TRUNC([1]일위대가목록!E120,0)</f>
        <v>364</v>
      </c>
      <c r="F1408" s="7">
        <f t="shared" si="155"/>
        <v>790608</v>
      </c>
      <c r="G1408" s="7">
        <f>TRUNC([1]일위대가목록!F120,0)</f>
        <v>18953</v>
      </c>
      <c r="H1408" s="7">
        <f t="shared" si="156"/>
        <v>41165916</v>
      </c>
      <c r="I1408" s="7">
        <f>TRUNC([1]일위대가목록!G120,0)</f>
        <v>0</v>
      </c>
      <c r="J1408" s="7">
        <f t="shared" si="157"/>
        <v>0</v>
      </c>
      <c r="K1408" s="7">
        <f t="shared" si="158"/>
        <v>19317</v>
      </c>
      <c r="L1408" s="7">
        <f t="shared" si="158"/>
        <v>41956524</v>
      </c>
      <c r="M1408" s="4" t="s">
        <v>1434</v>
      </c>
      <c r="N1408" s="6" t="s">
        <v>1435</v>
      </c>
      <c r="O1408" s="6" t="s">
        <v>55</v>
      </c>
      <c r="P1408" s="6" t="s">
        <v>55</v>
      </c>
      <c r="Q1408" s="6" t="s">
        <v>2792</v>
      </c>
      <c r="R1408" s="6" t="s">
        <v>57</v>
      </c>
      <c r="S1408" s="6" t="s">
        <v>56</v>
      </c>
      <c r="T1408" s="6" t="s">
        <v>56</v>
      </c>
      <c r="AR1408" s="6" t="s">
        <v>55</v>
      </c>
      <c r="AS1408" s="6" t="s">
        <v>55</v>
      </c>
      <c r="AU1408" s="6" t="s">
        <v>2794</v>
      </c>
      <c r="AV1408">
        <v>2681</v>
      </c>
    </row>
    <row r="1409" spans="1:48" ht="30" customHeight="1" x14ac:dyDescent="0.3">
      <c r="A1409" s="4" t="s">
        <v>528</v>
      </c>
      <c r="B1409" s="4" t="s">
        <v>1437</v>
      </c>
      <c r="C1409" s="4" t="s">
        <v>61</v>
      </c>
      <c r="D1409" s="5">
        <v>3</v>
      </c>
      <c r="E1409" s="7">
        <f>TRUNC([1]일위대가목록!E121,0)</f>
        <v>538</v>
      </c>
      <c r="F1409" s="7">
        <f t="shared" si="155"/>
        <v>1614</v>
      </c>
      <c r="G1409" s="7">
        <f>TRUNC([1]일위대가목록!F121,0)</f>
        <v>28188</v>
      </c>
      <c r="H1409" s="7">
        <f t="shared" si="156"/>
        <v>84564</v>
      </c>
      <c r="I1409" s="7">
        <f>TRUNC([1]일위대가목록!G121,0)</f>
        <v>0</v>
      </c>
      <c r="J1409" s="7">
        <f t="shared" si="157"/>
        <v>0</v>
      </c>
      <c r="K1409" s="7">
        <f t="shared" si="158"/>
        <v>28726</v>
      </c>
      <c r="L1409" s="7">
        <f t="shared" si="158"/>
        <v>86178</v>
      </c>
      <c r="M1409" s="4" t="s">
        <v>1438</v>
      </c>
      <c r="N1409" s="6" t="s">
        <v>1439</v>
      </c>
      <c r="O1409" s="6" t="s">
        <v>55</v>
      </c>
      <c r="P1409" s="6" t="s">
        <v>55</v>
      </c>
      <c r="Q1409" s="6" t="s">
        <v>2792</v>
      </c>
      <c r="R1409" s="6" t="s">
        <v>57</v>
      </c>
      <c r="S1409" s="6" t="s">
        <v>56</v>
      </c>
      <c r="T1409" s="6" t="s">
        <v>56</v>
      </c>
      <c r="AR1409" s="6" t="s">
        <v>55</v>
      </c>
      <c r="AS1409" s="6" t="s">
        <v>55</v>
      </c>
      <c r="AU1409" s="6" t="s">
        <v>2795</v>
      </c>
      <c r="AV1409">
        <v>2682</v>
      </c>
    </row>
    <row r="1410" spans="1:48" ht="30" customHeight="1" x14ac:dyDescent="0.3">
      <c r="A1410" s="4" t="s">
        <v>528</v>
      </c>
      <c r="B1410" s="4" t="s">
        <v>2796</v>
      </c>
      <c r="C1410" s="4" t="s">
        <v>61</v>
      </c>
      <c r="D1410" s="5">
        <v>26</v>
      </c>
      <c r="E1410" s="7">
        <f>TRUNC([1]일위대가목록!E218,0)</f>
        <v>0</v>
      </c>
      <c r="F1410" s="7">
        <f t="shared" si="155"/>
        <v>0</v>
      </c>
      <c r="G1410" s="7">
        <f>TRUNC([1]일위대가목록!F218,0)</f>
        <v>11843</v>
      </c>
      <c r="H1410" s="7">
        <f t="shared" si="156"/>
        <v>307918</v>
      </c>
      <c r="I1410" s="7">
        <f>TRUNC([1]일위대가목록!G218,0)</f>
        <v>214</v>
      </c>
      <c r="J1410" s="7">
        <f t="shared" si="157"/>
        <v>5564</v>
      </c>
      <c r="K1410" s="7">
        <f t="shared" si="158"/>
        <v>12057</v>
      </c>
      <c r="L1410" s="7">
        <f t="shared" si="158"/>
        <v>313482</v>
      </c>
      <c r="M1410" s="4" t="s">
        <v>2797</v>
      </c>
      <c r="N1410" s="6" t="s">
        <v>2798</v>
      </c>
      <c r="O1410" s="6" t="s">
        <v>55</v>
      </c>
      <c r="P1410" s="6" t="s">
        <v>55</v>
      </c>
      <c r="Q1410" s="6" t="s">
        <v>2792</v>
      </c>
      <c r="R1410" s="6" t="s">
        <v>57</v>
      </c>
      <c r="S1410" s="6" t="s">
        <v>56</v>
      </c>
      <c r="T1410" s="6" t="s">
        <v>56</v>
      </c>
      <c r="AR1410" s="6" t="s">
        <v>55</v>
      </c>
      <c r="AS1410" s="6" t="s">
        <v>55</v>
      </c>
      <c r="AU1410" s="6" t="s">
        <v>2799</v>
      </c>
      <c r="AV1410">
        <v>773</v>
      </c>
    </row>
    <row r="1411" spans="1:48" ht="30" customHeight="1" x14ac:dyDescent="0.3">
      <c r="A1411" s="4" t="s">
        <v>528</v>
      </c>
      <c r="B1411" s="4" t="s">
        <v>2800</v>
      </c>
      <c r="C1411" s="4" t="s">
        <v>61</v>
      </c>
      <c r="D1411" s="5">
        <v>367</v>
      </c>
      <c r="E1411" s="7">
        <f>TRUNC([1]일위대가목록!E219,0)</f>
        <v>0</v>
      </c>
      <c r="F1411" s="7">
        <f t="shared" si="155"/>
        <v>0</v>
      </c>
      <c r="G1411" s="7">
        <f>TRUNC([1]일위대가목록!F219,0)</f>
        <v>14331</v>
      </c>
      <c r="H1411" s="7">
        <f t="shared" si="156"/>
        <v>5259477</v>
      </c>
      <c r="I1411" s="7">
        <f>TRUNC([1]일위대가목록!G219,0)</f>
        <v>214</v>
      </c>
      <c r="J1411" s="7">
        <f t="shared" si="157"/>
        <v>78538</v>
      </c>
      <c r="K1411" s="7">
        <f t="shared" si="158"/>
        <v>14545</v>
      </c>
      <c r="L1411" s="7">
        <f t="shared" si="158"/>
        <v>5338015</v>
      </c>
      <c r="M1411" s="4" t="s">
        <v>2801</v>
      </c>
      <c r="N1411" s="6" t="s">
        <v>2802</v>
      </c>
      <c r="O1411" s="6" t="s">
        <v>55</v>
      </c>
      <c r="P1411" s="6" t="s">
        <v>55</v>
      </c>
      <c r="Q1411" s="6" t="s">
        <v>2792</v>
      </c>
      <c r="R1411" s="6" t="s">
        <v>57</v>
      </c>
      <c r="S1411" s="6" t="s">
        <v>56</v>
      </c>
      <c r="T1411" s="6" t="s">
        <v>56</v>
      </c>
      <c r="AR1411" s="6" t="s">
        <v>55</v>
      </c>
      <c r="AS1411" s="6" t="s">
        <v>55</v>
      </c>
      <c r="AU1411" s="6" t="s">
        <v>2803</v>
      </c>
      <c r="AV1411">
        <v>774</v>
      </c>
    </row>
    <row r="1412" spans="1:48" ht="30" customHeight="1" x14ac:dyDescent="0.3">
      <c r="A1412" s="4" t="s">
        <v>528</v>
      </c>
      <c r="B1412" s="4" t="s">
        <v>1459</v>
      </c>
      <c r="C1412" s="4" t="s">
        <v>61</v>
      </c>
      <c r="D1412" s="5">
        <v>21</v>
      </c>
      <c r="E1412" s="7">
        <f>TRUNC([1]일위대가목록!E126,0)</f>
        <v>0</v>
      </c>
      <c r="F1412" s="7">
        <f t="shared" si="155"/>
        <v>0</v>
      </c>
      <c r="G1412" s="7">
        <f>TRUNC([1]일위대가목록!F126,0)</f>
        <v>16611</v>
      </c>
      <c r="H1412" s="7">
        <f t="shared" si="156"/>
        <v>348831</v>
      </c>
      <c r="I1412" s="7">
        <f>TRUNC([1]일위대가목록!G126,0)</f>
        <v>214</v>
      </c>
      <c r="J1412" s="7">
        <f t="shared" si="157"/>
        <v>4494</v>
      </c>
      <c r="K1412" s="7">
        <f t="shared" si="158"/>
        <v>16825</v>
      </c>
      <c r="L1412" s="7">
        <f t="shared" si="158"/>
        <v>353325</v>
      </c>
      <c r="M1412" s="4" t="s">
        <v>1460</v>
      </c>
      <c r="N1412" s="6" t="s">
        <v>1461</v>
      </c>
      <c r="O1412" s="6" t="s">
        <v>55</v>
      </c>
      <c r="P1412" s="6" t="s">
        <v>55</v>
      </c>
      <c r="Q1412" s="6" t="s">
        <v>2792</v>
      </c>
      <c r="R1412" s="6" t="s">
        <v>57</v>
      </c>
      <c r="S1412" s="6" t="s">
        <v>56</v>
      </c>
      <c r="T1412" s="6" t="s">
        <v>56</v>
      </c>
      <c r="AR1412" s="6" t="s">
        <v>55</v>
      </c>
      <c r="AS1412" s="6" t="s">
        <v>55</v>
      </c>
      <c r="AU1412" s="6" t="s">
        <v>2804</v>
      </c>
      <c r="AV1412">
        <v>775</v>
      </c>
    </row>
    <row r="1413" spans="1:48" ht="30" customHeight="1" x14ac:dyDescent="0.3">
      <c r="A1413" s="4" t="s">
        <v>528</v>
      </c>
      <c r="B1413" s="4" t="s">
        <v>1463</v>
      </c>
      <c r="C1413" s="4" t="s">
        <v>61</v>
      </c>
      <c r="D1413" s="5">
        <v>750</v>
      </c>
      <c r="E1413" s="7">
        <f>TRUNC([1]일위대가목록!E127,0)</f>
        <v>0</v>
      </c>
      <c r="F1413" s="7">
        <f t="shared" si="155"/>
        <v>0</v>
      </c>
      <c r="G1413" s="7">
        <f>TRUNC([1]일위대가목록!F127,0)</f>
        <v>16922</v>
      </c>
      <c r="H1413" s="7">
        <f t="shared" si="156"/>
        <v>12691500</v>
      </c>
      <c r="I1413" s="7">
        <f>TRUNC([1]일위대가목록!G127,0)</f>
        <v>214</v>
      </c>
      <c r="J1413" s="7">
        <f t="shared" si="157"/>
        <v>160500</v>
      </c>
      <c r="K1413" s="7">
        <f t="shared" si="158"/>
        <v>17136</v>
      </c>
      <c r="L1413" s="7">
        <f t="shared" si="158"/>
        <v>12852000</v>
      </c>
      <c r="M1413" s="4" t="s">
        <v>1464</v>
      </c>
      <c r="N1413" s="6" t="s">
        <v>1465</v>
      </c>
      <c r="O1413" s="6" t="s">
        <v>55</v>
      </c>
      <c r="P1413" s="6" t="s">
        <v>55</v>
      </c>
      <c r="Q1413" s="6" t="s">
        <v>2792</v>
      </c>
      <c r="R1413" s="6" t="s">
        <v>57</v>
      </c>
      <c r="S1413" s="6" t="s">
        <v>56</v>
      </c>
      <c r="T1413" s="6" t="s">
        <v>56</v>
      </c>
      <c r="AR1413" s="6" t="s">
        <v>55</v>
      </c>
      <c r="AS1413" s="6" t="s">
        <v>55</v>
      </c>
      <c r="AU1413" s="6" t="s">
        <v>2805</v>
      </c>
      <c r="AV1413">
        <v>776</v>
      </c>
    </row>
    <row r="1414" spans="1:48" ht="30" customHeight="1" x14ac:dyDescent="0.3">
      <c r="A1414" s="4" t="s">
        <v>1475</v>
      </c>
      <c r="B1414" s="4" t="s">
        <v>1476</v>
      </c>
      <c r="C1414" s="4" t="s">
        <v>61</v>
      </c>
      <c r="D1414" s="5">
        <v>1548</v>
      </c>
      <c r="E1414" s="7">
        <f>TRUNC([1]일위대가목록!E220,0)</f>
        <v>62</v>
      </c>
      <c r="F1414" s="7">
        <f t="shared" si="155"/>
        <v>95976</v>
      </c>
      <c r="G1414" s="7">
        <f>TRUNC([1]일위대가목록!F220,0)</f>
        <v>2094</v>
      </c>
      <c r="H1414" s="7">
        <f t="shared" si="156"/>
        <v>3241512</v>
      </c>
      <c r="I1414" s="7">
        <f>TRUNC([1]일위대가목록!G220,0)</f>
        <v>0</v>
      </c>
      <c r="J1414" s="7">
        <f t="shared" si="157"/>
        <v>0</v>
      </c>
      <c r="K1414" s="7">
        <f t="shared" si="158"/>
        <v>2156</v>
      </c>
      <c r="L1414" s="7">
        <f t="shared" si="158"/>
        <v>3337488</v>
      </c>
      <c r="M1414" s="4" t="s">
        <v>2806</v>
      </c>
      <c r="N1414" s="6" t="s">
        <v>2807</v>
      </c>
      <c r="O1414" s="6" t="s">
        <v>55</v>
      </c>
      <c r="P1414" s="6" t="s">
        <v>55</v>
      </c>
      <c r="Q1414" s="6" t="s">
        <v>2792</v>
      </c>
      <c r="R1414" s="6" t="s">
        <v>57</v>
      </c>
      <c r="S1414" s="6" t="s">
        <v>56</v>
      </c>
      <c r="T1414" s="6" t="s">
        <v>56</v>
      </c>
      <c r="AR1414" s="6" t="s">
        <v>55</v>
      </c>
      <c r="AS1414" s="6" t="s">
        <v>55</v>
      </c>
      <c r="AU1414" s="6" t="s">
        <v>2808</v>
      </c>
      <c r="AV1414">
        <v>777</v>
      </c>
    </row>
    <row r="1415" spans="1:48" ht="30" customHeight="1" x14ac:dyDescent="0.3">
      <c r="A1415" s="4" t="s">
        <v>1475</v>
      </c>
      <c r="B1415" s="4" t="s">
        <v>1484</v>
      </c>
      <c r="C1415" s="4" t="s">
        <v>61</v>
      </c>
      <c r="D1415" s="5">
        <v>1087</v>
      </c>
      <c r="E1415" s="7">
        <f>TRUNC([1]일위대가목록!E132,0)</f>
        <v>481</v>
      </c>
      <c r="F1415" s="7">
        <f t="shared" si="155"/>
        <v>522847</v>
      </c>
      <c r="G1415" s="7">
        <f>TRUNC([1]일위대가목록!F132,0)</f>
        <v>2094</v>
      </c>
      <c r="H1415" s="7">
        <f t="shared" si="156"/>
        <v>2276178</v>
      </c>
      <c r="I1415" s="7">
        <f>TRUNC([1]일위대가목록!G132,0)</f>
        <v>0</v>
      </c>
      <c r="J1415" s="7">
        <f t="shared" si="157"/>
        <v>0</v>
      </c>
      <c r="K1415" s="7">
        <f t="shared" si="158"/>
        <v>2575</v>
      </c>
      <c r="L1415" s="7">
        <f t="shared" si="158"/>
        <v>2799025</v>
      </c>
      <c r="M1415" s="4" t="s">
        <v>1485</v>
      </c>
      <c r="N1415" s="6" t="s">
        <v>1486</v>
      </c>
      <c r="O1415" s="6" t="s">
        <v>55</v>
      </c>
      <c r="P1415" s="6" t="s">
        <v>55</v>
      </c>
      <c r="Q1415" s="6" t="s">
        <v>2792</v>
      </c>
      <c r="R1415" s="6" t="s">
        <v>57</v>
      </c>
      <c r="S1415" s="6" t="s">
        <v>56</v>
      </c>
      <c r="T1415" s="6" t="s">
        <v>56</v>
      </c>
      <c r="AR1415" s="6" t="s">
        <v>55</v>
      </c>
      <c r="AS1415" s="6" t="s">
        <v>55</v>
      </c>
      <c r="AU1415" s="6" t="s">
        <v>2809</v>
      </c>
      <c r="AV1415">
        <v>778</v>
      </c>
    </row>
    <row r="1416" spans="1:48" ht="30" customHeight="1" x14ac:dyDescent="0.3">
      <c r="A1416" s="4" t="s">
        <v>1475</v>
      </c>
      <c r="B1416" s="4" t="s">
        <v>1488</v>
      </c>
      <c r="C1416" s="4" t="s">
        <v>61</v>
      </c>
      <c r="D1416" s="5">
        <v>379</v>
      </c>
      <c r="E1416" s="7">
        <f>TRUNC([1]일위대가목록!E133,0)</f>
        <v>62</v>
      </c>
      <c r="F1416" s="7">
        <f t="shared" si="155"/>
        <v>23498</v>
      </c>
      <c r="G1416" s="7">
        <f>TRUNC([1]일위대가목록!F133,0)</f>
        <v>2094</v>
      </c>
      <c r="H1416" s="7">
        <f t="shared" si="156"/>
        <v>793626</v>
      </c>
      <c r="I1416" s="7">
        <f>TRUNC([1]일위대가목록!G133,0)</f>
        <v>0</v>
      </c>
      <c r="J1416" s="7">
        <f t="shared" si="157"/>
        <v>0</v>
      </c>
      <c r="K1416" s="7">
        <f t="shared" si="158"/>
        <v>2156</v>
      </c>
      <c r="L1416" s="7">
        <f t="shared" si="158"/>
        <v>817124</v>
      </c>
      <c r="M1416" s="4" t="s">
        <v>1489</v>
      </c>
      <c r="N1416" s="6" t="s">
        <v>1490</v>
      </c>
      <c r="O1416" s="6" t="s">
        <v>55</v>
      </c>
      <c r="P1416" s="6" t="s">
        <v>55</v>
      </c>
      <c r="Q1416" s="6" t="s">
        <v>2792</v>
      </c>
      <c r="R1416" s="6" t="s">
        <v>57</v>
      </c>
      <c r="S1416" s="6" t="s">
        <v>56</v>
      </c>
      <c r="T1416" s="6" t="s">
        <v>56</v>
      </c>
      <c r="AR1416" s="6" t="s">
        <v>55</v>
      </c>
      <c r="AS1416" s="6" t="s">
        <v>55</v>
      </c>
      <c r="AU1416" s="6" t="s">
        <v>2810</v>
      </c>
      <c r="AV1416">
        <v>779</v>
      </c>
    </row>
    <row r="1417" spans="1:48" ht="30" customHeight="1" x14ac:dyDescent="0.3">
      <c r="A1417" s="4" t="s">
        <v>1492</v>
      </c>
      <c r="B1417" s="4" t="s">
        <v>1493</v>
      </c>
      <c r="C1417" s="4" t="s">
        <v>61</v>
      </c>
      <c r="D1417" s="5">
        <v>1551</v>
      </c>
      <c r="E1417" s="7">
        <f>TRUNC([1]일위대가목록!E134,0)</f>
        <v>0</v>
      </c>
      <c r="F1417" s="7">
        <f t="shared" si="155"/>
        <v>0</v>
      </c>
      <c r="G1417" s="7">
        <f>TRUNC([1]일위대가목록!F134,0)</f>
        <v>826</v>
      </c>
      <c r="H1417" s="7">
        <f t="shared" si="156"/>
        <v>1281126</v>
      </c>
      <c r="I1417" s="7">
        <f>TRUNC([1]일위대가목록!G134,0)</f>
        <v>0</v>
      </c>
      <c r="J1417" s="7">
        <f t="shared" si="157"/>
        <v>0</v>
      </c>
      <c r="K1417" s="7">
        <f t="shared" si="158"/>
        <v>826</v>
      </c>
      <c r="L1417" s="7">
        <f t="shared" si="158"/>
        <v>1281126</v>
      </c>
      <c r="M1417" s="4" t="s">
        <v>1494</v>
      </c>
      <c r="N1417" s="6" t="s">
        <v>1495</v>
      </c>
      <c r="O1417" s="6" t="s">
        <v>55</v>
      </c>
      <c r="P1417" s="6" t="s">
        <v>55</v>
      </c>
      <c r="Q1417" s="6" t="s">
        <v>2792</v>
      </c>
      <c r="R1417" s="6" t="s">
        <v>57</v>
      </c>
      <c r="S1417" s="6" t="s">
        <v>56</v>
      </c>
      <c r="T1417" s="6" t="s">
        <v>56</v>
      </c>
      <c r="AR1417" s="6" t="s">
        <v>55</v>
      </c>
      <c r="AS1417" s="6" t="s">
        <v>55</v>
      </c>
      <c r="AU1417" s="6" t="s">
        <v>2811</v>
      </c>
      <c r="AV1417">
        <v>2683</v>
      </c>
    </row>
    <row r="1418" spans="1:48" ht="30" customHeight="1" x14ac:dyDescent="0.3">
      <c r="A1418" s="4" t="s">
        <v>1518</v>
      </c>
      <c r="B1418" s="4" t="s">
        <v>55</v>
      </c>
      <c r="C1418" s="4" t="s">
        <v>269</v>
      </c>
      <c r="D1418" s="5">
        <v>314</v>
      </c>
      <c r="E1418" s="7">
        <f>TRUNC([1]일위대가목록!E206,0)</f>
        <v>67</v>
      </c>
      <c r="F1418" s="7">
        <f t="shared" si="155"/>
        <v>21038</v>
      </c>
      <c r="G1418" s="7">
        <f>TRUNC([1]일위대가목록!F206,0)</f>
        <v>3236</v>
      </c>
      <c r="H1418" s="7">
        <f t="shared" si="156"/>
        <v>1016104</v>
      </c>
      <c r="I1418" s="7">
        <f>TRUNC([1]일위대가목록!G206,0)</f>
        <v>0</v>
      </c>
      <c r="J1418" s="7">
        <f t="shared" si="157"/>
        <v>0</v>
      </c>
      <c r="K1418" s="7">
        <f t="shared" si="158"/>
        <v>3303</v>
      </c>
      <c r="L1418" s="7">
        <f t="shared" si="158"/>
        <v>1037142</v>
      </c>
      <c r="M1418" s="4" t="s">
        <v>2477</v>
      </c>
      <c r="N1418" s="6" t="s">
        <v>2478</v>
      </c>
      <c r="O1418" s="6" t="s">
        <v>55</v>
      </c>
      <c r="P1418" s="6" t="s">
        <v>55</v>
      </c>
      <c r="Q1418" s="6" t="s">
        <v>2792</v>
      </c>
      <c r="R1418" s="6" t="s">
        <v>57</v>
      </c>
      <c r="S1418" s="6" t="s">
        <v>56</v>
      </c>
      <c r="T1418" s="6" t="s">
        <v>56</v>
      </c>
      <c r="AR1418" s="6" t="s">
        <v>55</v>
      </c>
      <c r="AS1418" s="6" t="s">
        <v>55</v>
      </c>
      <c r="AU1418" s="6" t="s">
        <v>2812</v>
      </c>
      <c r="AV1418">
        <v>2684</v>
      </c>
    </row>
    <row r="1419" spans="1:48" ht="30" customHeight="1" x14ac:dyDescent="0.3">
      <c r="A1419" s="4" t="s">
        <v>1526</v>
      </c>
      <c r="B1419" s="4" t="s">
        <v>55</v>
      </c>
      <c r="C1419" s="4" t="s">
        <v>269</v>
      </c>
      <c r="D1419" s="5">
        <v>337</v>
      </c>
      <c r="E1419" s="7">
        <f>TRUNC([1]일위대가목록!E207,0)</f>
        <v>42</v>
      </c>
      <c r="F1419" s="7">
        <f t="shared" si="155"/>
        <v>14154</v>
      </c>
      <c r="G1419" s="7">
        <f>TRUNC([1]일위대가목록!F207,0)</f>
        <v>2009</v>
      </c>
      <c r="H1419" s="7">
        <f t="shared" si="156"/>
        <v>677033</v>
      </c>
      <c r="I1419" s="7">
        <f>TRUNC([1]일위대가목록!G207,0)</f>
        <v>0</v>
      </c>
      <c r="J1419" s="7">
        <f t="shared" si="157"/>
        <v>0</v>
      </c>
      <c r="K1419" s="7">
        <f t="shared" si="158"/>
        <v>2051</v>
      </c>
      <c r="L1419" s="7">
        <f t="shared" si="158"/>
        <v>691187</v>
      </c>
      <c r="M1419" s="4" t="s">
        <v>2480</v>
      </c>
      <c r="N1419" s="6" t="s">
        <v>2481</v>
      </c>
      <c r="O1419" s="6" t="s">
        <v>55</v>
      </c>
      <c r="P1419" s="6" t="s">
        <v>55</v>
      </c>
      <c r="Q1419" s="6" t="s">
        <v>2792</v>
      </c>
      <c r="R1419" s="6" t="s">
        <v>57</v>
      </c>
      <c r="S1419" s="6" t="s">
        <v>56</v>
      </c>
      <c r="T1419" s="6" t="s">
        <v>56</v>
      </c>
      <c r="AR1419" s="6" t="s">
        <v>55</v>
      </c>
      <c r="AS1419" s="6" t="s">
        <v>55</v>
      </c>
      <c r="AU1419" s="6" t="s">
        <v>2813</v>
      </c>
      <c r="AV1419">
        <v>2685</v>
      </c>
    </row>
    <row r="1420" spans="1:48" ht="30" customHeight="1" x14ac:dyDescent="0.3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</row>
    <row r="1421" spans="1:48" ht="30" customHeight="1" x14ac:dyDescent="0.3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</row>
    <row r="1422" spans="1:48" ht="30" customHeight="1" x14ac:dyDescent="0.3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</row>
    <row r="1423" spans="1:48" ht="30" customHeight="1" x14ac:dyDescent="0.3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</row>
    <row r="1424" spans="1:48" ht="30" customHeight="1" x14ac:dyDescent="0.3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</row>
    <row r="1425" spans="1:48" ht="30" customHeight="1" x14ac:dyDescent="0.3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</row>
    <row r="1426" spans="1:48" ht="30" customHeight="1" x14ac:dyDescent="0.3">
      <c r="A1426" s="4" t="s">
        <v>128</v>
      </c>
      <c r="B1426" s="5"/>
      <c r="C1426" s="5"/>
      <c r="D1426" s="5"/>
      <c r="E1426" s="5"/>
      <c r="F1426" s="7">
        <f>SUM(F1407:F1425)</f>
        <v>1481043</v>
      </c>
      <c r="G1426" s="5"/>
      <c r="H1426" s="7">
        <f>SUM(H1407:H1425)</f>
        <v>69736905</v>
      </c>
      <c r="I1426" s="5"/>
      <c r="J1426" s="7">
        <f>SUM(J1407:J1425)</f>
        <v>249096</v>
      </c>
      <c r="K1426" s="5"/>
      <c r="L1426" s="7">
        <f>SUM(L1407:L1425)</f>
        <v>71467044</v>
      </c>
      <c r="M1426" s="5"/>
      <c r="N1426" t="s">
        <v>129</v>
      </c>
    </row>
    <row r="1427" spans="1:48" ht="30" customHeight="1" x14ac:dyDescent="0.3">
      <c r="A1427" s="4" t="s">
        <v>2814</v>
      </c>
      <c r="B1427" s="4" t="s">
        <v>2626</v>
      </c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Q1427" s="6" t="s">
        <v>2815</v>
      </c>
    </row>
    <row r="1428" spans="1:48" ht="30" customHeight="1" x14ac:dyDescent="0.3">
      <c r="A1428" s="4" t="s">
        <v>2816</v>
      </c>
      <c r="B1428" s="4" t="s">
        <v>2817</v>
      </c>
      <c r="C1428" s="4" t="s">
        <v>81</v>
      </c>
      <c r="D1428" s="5">
        <v>4</v>
      </c>
      <c r="E1428" s="7">
        <f>TRUNC([1]단가대비표!O706,0)</f>
        <v>1037000</v>
      </c>
      <c r="F1428" s="7">
        <f t="shared" ref="F1428:F1485" si="159">TRUNC(E1428*D1428, 0)</f>
        <v>4148000</v>
      </c>
      <c r="G1428" s="7">
        <f>TRUNC([1]단가대비표!P706,0)</f>
        <v>0</v>
      </c>
      <c r="H1428" s="7">
        <f t="shared" ref="H1428:H1485" si="160">TRUNC(G1428*D1428, 0)</f>
        <v>0</v>
      </c>
      <c r="I1428" s="7">
        <f>TRUNC([1]단가대비표!V706,0)</f>
        <v>0</v>
      </c>
      <c r="J1428" s="7">
        <f t="shared" ref="J1428:J1485" si="161">TRUNC(I1428*D1428, 0)</f>
        <v>0</v>
      </c>
      <c r="K1428" s="7">
        <f t="shared" ref="K1428:L1459" si="162">TRUNC(E1428+G1428+I1428, 0)</f>
        <v>1037000</v>
      </c>
      <c r="L1428" s="7">
        <f t="shared" si="162"/>
        <v>4148000</v>
      </c>
      <c r="M1428" s="4" t="s">
        <v>55</v>
      </c>
      <c r="N1428" s="6" t="s">
        <v>2818</v>
      </c>
      <c r="O1428" s="6" t="s">
        <v>55</v>
      </c>
      <c r="P1428" s="6" t="s">
        <v>55</v>
      </c>
      <c r="Q1428" s="6" t="s">
        <v>2815</v>
      </c>
      <c r="R1428" s="6" t="s">
        <v>56</v>
      </c>
      <c r="S1428" s="6" t="s">
        <v>56</v>
      </c>
      <c r="T1428" s="6" t="s">
        <v>57</v>
      </c>
      <c r="AR1428" s="6" t="s">
        <v>55</v>
      </c>
      <c r="AS1428" s="6" t="s">
        <v>55</v>
      </c>
      <c r="AU1428" s="6" t="s">
        <v>2819</v>
      </c>
      <c r="AV1428">
        <v>2239</v>
      </c>
    </row>
    <row r="1429" spans="1:48" ht="30" customHeight="1" x14ac:dyDescent="0.3">
      <c r="A1429" s="4" t="s">
        <v>2820</v>
      </c>
      <c r="B1429" s="4" t="s">
        <v>1941</v>
      </c>
      <c r="C1429" s="4" t="s">
        <v>81</v>
      </c>
      <c r="D1429" s="5">
        <v>5</v>
      </c>
      <c r="E1429" s="7">
        <f>TRUNC([1]단가대비표!O707,0)</f>
        <v>454000</v>
      </c>
      <c r="F1429" s="7">
        <f t="shared" si="159"/>
        <v>2270000</v>
      </c>
      <c r="G1429" s="7">
        <f>TRUNC([1]단가대비표!P707,0)</f>
        <v>0</v>
      </c>
      <c r="H1429" s="7">
        <f t="shared" si="160"/>
        <v>0</v>
      </c>
      <c r="I1429" s="7">
        <f>TRUNC([1]단가대비표!V707,0)</f>
        <v>0</v>
      </c>
      <c r="J1429" s="7">
        <f t="shared" si="161"/>
        <v>0</v>
      </c>
      <c r="K1429" s="7">
        <f t="shared" si="162"/>
        <v>454000</v>
      </c>
      <c r="L1429" s="7">
        <f t="shared" si="162"/>
        <v>2270000</v>
      </c>
      <c r="M1429" s="4" t="s">
        <v>55</v>
      </c>
      <c r="N1429" s="6" t="s">
        <v>2821</v>
      </c>
      <c r="O1429" s="6" t="s">
        <v>55</v>
      </c>
      <c r="P1429" s="6" t="s">
        <v>55</v>
      </c>
      <c r="Q1429" s="6" t="s">
        <v>2815</v>
      </c>
      <c r="R1429" s="6" t="s">
        <v>56</v>
      </c>
      <c r="S1429" s="6" t="s">
        <v>56</v>
      </c>
      <c r="T1429" s="6" t="s">
        <v>57</v>
      </c>
      <c r="AR1429" s="6" t="s">
        <v>55</v>
      </c>
      <c r="AS1429" s="6" t="s">
        <v>55</v>
      </c>
      <c r="AU1429" s="6" t="s">
        <v>2822</v>
      </c>
      <c r="AV1429">
        <v>2240</v>
      </c>
    </row>
    <row r="1430" spans="1:48" ht="30" customHeight="1" x14ac:dyDescent="0.3">
      <c r="A1430" s="4" t="s">
        <v>2823</v>
      </c>
      <c r="B1430" s="4" t="s">
        <v>2824</v>
      </c>
      <c r="C1430" s="4" t="s">
        <v>81</v>
      </c>
      <c r="D1430" s="5">
        <v>5</v>
      </c>
      <c r="E1430" s="7">
        <f>TRUNC([1]단가대비표!O708,0)</f>
        <v>410000</v>
      </c>
      <c r="F1430" s="7">
        <f t="shared" si="159"/>
        <v>2050000</v>
      </c>
      <c r="G1430" s="7">
        <f>TRUNC([1]단가대비표!P708,0)</f>
        <v>0</v>
      </c>
      <c r="H1430" s="7">
        <f t="shared" si="160"/>
        <v>0</v>
      </c>
      <c r="I1430" s="7">
        <f>TRUNC([1]단가대비표!V708,0)</f>
        <v>0</v>
      </c>
      <c r="J1430" s="7">
        <f t="shared" si="161"/>
        <v>0</v>
      </c>
      <c r="K1430" s="7">
        <f t="shared" si="162"/>
        <v>410000</v>
      </c>
      <c r="L1430" s="7">
        <f t="shared" si="162"/>
        <v>2050000</v>
      </c>
      <c r="M1430" s="4" t="s">
        <v>55</v>
      </c>
      <c r="N1430" s="6" t="s">
        <v>2825</v>
      </c>
      <c r="O1430" s="6" t="s">
        <v>55</v>
      </c>
      <c r="P1430" s="6" t="s">
        <v>55</v>
      </c>
      <c r="Q1430" s="6" t="s">
        <v>2815</v>
      </c>
      <c r="R1430" s="6" t="s">
        <v>56</v>
      </c>
      <c r="S1430" s="6" t="s">
        <v>56</v>
      </c>
      <c r="T1430" s="6" t="s">
        <v>57</v>
      </c>
      <c r="AR1430" s="6" t="s">
        <v>55</v>
      </c>
      <c r="AS1430" s="6" t="s">
        <v>55</v>
      </c>
      <c r="AU1430" s="6" t="s">
        <v>2826</v>
      </c>
      <c r="AV1430">
        <v>2241</v>
      </c>
    </row>
    <row r="1431" spans="1:48" ht="30" customHeight="1" x14ac:dyDescent="0.3">
      <c r="A1431" s="4" t="s">
        <v>1565</v>
      </c>
      <c r="B1431" s="4" t="s">
        <v>2827</v>
      </c>
      <c r="C1431" s="4" t="s">
        <v>81</v>
      </c>
      <c r="D1431" s="5">
        <v>5</v>
      </c>
      <c r="E1431" s="7">
        <f>TRUNC([1]일위대가목록!E221,0)</f>
        <v>121200</v>
      </c>
      <c r="F1431" s="7">
        <f t="shared" si="159"/>
        <v>606000</v>
      </c>
      <c r="G1431" s="7">
        <f>TRUNC([1]일위대가목록!F221,0)</f>
        <v>118421</v>
      </c>
      <c r="H1431" s="7">
        <f t="shared" si="160"/>
        <v>592105</v>
      </c>
      <c r="I1431" s="7">
        <f>TRUNC([1]일위대가목록!G221,0)</f>
        <v>3552</v>
      </c>
      <c r="J1431" s="7">
        <f t="shared" si="161"/>
        <v>17760</v>
      </c>
      <c r="K1431" s="7">
        <f t="shared" si="162"/>
        <v>243173</v>
      </c>
      <c r="L1431" s="7">
        <f t="shared" si="162"/>
        <v>1215865</v>
      </c>
      <c r="M1431" s="4" t="s">
        <v>2828</v>
      </c>
      <c r="N1431" s="6" t="s">
        <v>2829</v>
      </c>
      <c r="O1431" s="6" t="s">
        <v>55</v>
      </c>
      <c r="P1431" s="6" t="s">
        <v>55</v>
      </c>
      <c r="Q1431" s="6" t="s">
        <v>2815</v>
      </c>
      <c r="R1431" s="6" t="s">
        <v>57</v>
      </c>
      <c r="S1431" s="6" t="s">
        <v>56</v>
      </c>
      <c r="T1431" s="6" t="s">
        <v>56</v>
      </c>
      <c r="AR1431" s="6" t="s">
        <v>55</v>
      </c>
      <c r="AS1431" s="6" t="s">
        <v>55</v>
      </c>
      <c r="AU1431" s="6" t="s">
        <v>2830</v>
      </c>
      <c r="AV1431">
        <v>808</v>
      </c>
    </row>
    <row r="1432" spans="1:48" ht="30" customHeight="1" x14ac:dyDescent="0.3">
      <c r="A1432" s="4" t="s">
        <v>2831</v>
      </c>
      <c r="B1432" s="4" t="s">
        <v>2824</v>
      </c>
      <c r="C1432" s="4" t="s">
        <v>81</v>
      </c>
      <c r="D1432" s="5">
        <v>1</v>
      </c>
      <c r="E1432" s="7">
        <f>TRUNC([1]단가대비표!O709,0)</f>
        <v>599000</v>
      </c>
      <c r="F1432" s="7">
        <f t="shared" si="159"/>
        <v>599000</v>
      </c>
      <c r="G1432" s="7">
        <f>TRUNC([1]단가대비표!P709,0)</f>
        <v>0</v>
      </c>
      <c r="H1432" s="7">
        <f t="shared" si="160"/>
        <v>0</v>
      </c>
      <c r="I1432" s="7">
        <f>TRUNC([1]단가대비표!V709,0)</f>
        <v>0</v>
      </c>
      <c r="J1432" s="7">
        <f t="shared" si="161"/>
        <v>0</v>
      </c>
      <c r="K1432" s="7">
        <f t="shared" si="162"/>
        <v>599000</v>
      </c>
      <c r="L1432" s="7">
        <f t="shared" si="162"/>
        <v>599000</v>
      </c>
      <c r="M1432" s="4" t="s">
        <v>55</v>
      </c>
      <c r="N1432" s="6" t="s">
        <v>2832</v>
      </c>
      <c r="O1432" s="6" t="s">
        <v>55</v>
      </c>
      <c r="P1432" s="6" t="s">
        <v>55</v>
      </c>
      <c r="Q1432" s="6" t="s">
        <v>2815</v>
      </c>
      <c r="R1432" s="6" t="s">
        <v>56</v>
      </c>
      <c r="S1432" s="6" t="s">
        <v>56</v>
      </c>
      <c r="T1432" s="6" t="s">
        <v>57</v>
      </c>
      <c r="AR1432" s="6" t="s">
        <v>55</v>
      </c>
      <c r="AS1432" s="6" t="s">
        <v>55</v>
      </c>
      <c r="AU1432" s="6" t="s">
        <v>2833</v>
      </c>
      <c r="AV1432">
        <v>2242</v>
      </c>
    </row>
    <row r="1433" spans="1:48" ht="30" customHeight="1" x14ac:dyDescent="0.3">
      <c r="A1433" s="4" t="s">
        <v>2834</v>
      </c>
      <c r="B1433" s="4" t="s">
        <v>2827</v>
      </c>
      <c r="C1433" s="4" t="s">
        <v>81</v>
      </c>
      <c r="D1433" s="5">
        <v>1</v>
      </c>
      <c r="E1433" s="7">
        <f>TRUNC([1]일위대가목록!E222,0)</f>
        <v>121200</v>
      </c>
      <c r="F1433" s="7">
        <f t="shared" si="159"/>
        <v>121200</v>
      </c>
      <c r="G1433" s="7">
        <f>TRUNC([1]일위대가목록!F222,0)</f>
        <v>118421</v>
      </c>
      <c r="H1433" s="7">
        <f t="shared" si="160"/>
        <v>118421</v>
      </c>
      <c r="I1433" s="7">
        <f>TRUNC([1]일위대가목록!G222,0)</f>
        <v>3552</v>
      </c>
      <c r="J1433" s="7">
        <f t="shared" si="161"/>
        <v>3552</v>
      </c>
      <c r="K1433" s="7">
        <f t="shared" si="162"/>
        <v>243173</v>
      </c>
      <c r="L1433" s="7">
        <f t="shared" si="162"/>
        <v>243173</v>
      </c>
      <c r="M1433" s="4" t="s">
        <v>2835</v>
      </c>
      <c r="N1433" s="6" t="s">
        <v>2836</v>
      </c>
      <c r="O1433" s="6" t="s">
        <v>55</v>
      </c>
      <c r="P1433" s="6" t="s">
        <v>55</v>
      </c>
      <c r="Q1433" s="6" t="s">
        <v>2815</v>
      </c>
      <c r="R1433" s="6" t="s">
        <v>57</v>
      </c>
      <c r="S1433" s="6" t="s">
        <v>56</v>
      </c>
      <c r="T1433" s="6" t="s">
        <v>56</v>
      </c>
      <c r="AR1433" s="6" t="s">
        <v>55</v>
      </c>
      <c r="AS1433" s="6" t="s">
        <v>55</v>
      </c>
      <c r="AU1433" s="6" t="s">
        <v>2837</v>
      </c>
      <c r="AV1433">
        <v>812</v>
      </c>
    </row>
    <row r="1434" spans="1:48" ht="30" customHeight="1" x14ac:dyDescent="0.3">
      <c r="A1434" s="4" t="s">
        <v>2838</v>
      </c>
      <c r="B1434" s="4" t="s">
        <v>2839</v>
      </c>
      <c r="C1434" s="4" t="s">
        <v>81</v>
      </c>
      <c r="D1434" s="5">
        <v>1</v>
      </c>
      <c r="E1434" s="7">
        <f>TRUNC([1]단가대비표!O710,0)</f>
        <v>3422000</v>
      </c>
      <c r="F1434" s="7">
        <f t="shared" si="159"/>
        <v>3422000</v>
      </c>
      <c r="G1434" s="7">
        <f>TRUNC([1]단가대비표!P710,0)</f>
        <v>0</v>
      </c>
      <c r="H1434" s="7">
        <f t="shared" si="160"/>
        <v>0</v>
      </c>
      <c r="I1434" s="7">
        <f>TRUNC([1]단가대비표!V710,0)</f>
        <v>0</v>
      </c>
      <c r="J1434" s="7">
        <f t="shared" si="161"/>
        <v>0</v>
      </c>
      <c r="K1434" s="7">
        <f t="shared" si="162"/>
        <v>3422000</v>
      </c>
      <c r="L1434" s="7">
        <f t="shared" si="162"/>
        <v>3422000</v>
      </c>
      <c r="M1434" s="4" t="s">
        <v>55</v>
      </c>
      <c r="N1434" s="6" t="s">
        <v>2840</v>
      </c>
      <c r="O1434" s="6" t="s">
        <v>55</v>
      </c>
      <c r="P1434" s="6" t="s">
        <v>55</v>
      </c>
      <c r="Q1434" s="6" t="s">
        <v>2815</v>
      </c>
      <c r="R1434" s="6" t="s">
        <v>56</v>
      </c>
      <c r="S1434" s="6" t="s">
        <v>56</v>
      </c>
      <c r="T1434" s="6" t="s">
        <v>57</v>
      </c>
      <c r="AR1434" s="6" t="s">
        <v>55</v>
      </c>
      <c r="AS1434" s="6" t="s">
        <v>55</v>
      </c>
      <c r="AU1434" s="6" t="s">
        <v>2841</v>
      </c>
      <c r="AV1434">
        <v>2243</v>
      </c>
    </row>
    <row r="1435" spans="1:48" ht="30" customHeight="1" x14ac:dyDescent="0.3">
      <c r="A1435" s="4" t="s">
        <v>1570</v>
      </c>
      <c r="B1435" s="4" t="s">
        <v>2842</v>
      </c>
      <c r="C1435" s="4" t="s">
        <v>81</v>
      </c>
      <c r="D1435" s="5">
        <v>1</v>
      </c>
      <c r="E1435" s="7">
        <f>TRUNC([1]일위대가목록!E223,0)</f>
        <v>312990</v>
      </c>
      <c r="F1435" s="7">
        <f t="shared" si="159"/>
        <v>312990</v>
      </c>
      <c r="G1435" s="7">
        <f>TRUNC([1]일위대가목록!F223,0)</f>
        <v>124401</v>
      </c>
      <c r="H1435" s="7">
        <f t="shared" si="160"/>
        <v>124401</v>
      </c>
      <c r="I1435" s="7">
        <f>TRUNC([1]일위대가목록!G223,0)</f>
        <v>0</v>
      </c>
      <c r="J1435" s="7">
        <f t="shared" si="161"/>
        <v>0</v>
      </c>
      <c r="K1435" s="7">
        <f t="shared" si="162"/>
        <v>437391</v>
      </c>
      <c r="L1435" s="7">
        <f t="shared" si="162"/>
        <v>437391</v>
      </c>
      <c r="M1435" s="4" t="s">
        <v>2843</v>
      </c>
      <c r="N1435" s="6" t="s">
        <v>2844</v>
      </c>
      <c r="O1435" s="6" t="s">
        <v>55</v>
      </c>
      <c r="P1435" s="6" t="s">
        <v>55</v>
      </c>
      <c r="Q1435" s="6" t="s">
        <v>2815</v>
      </c>
      <c r="R1435" s="6" t="s">
        <v>57</v>
      </c>
      <c r="S1435" s="6" t="s">
        <v>56</v>
      </c>
      <c r="T1435" s="6" t="s">
        <v>56</v>
      </c>
      <c r="AR1435" s="6" t="s">
        <v>55</v>
      </c>
      <c r="AS1435" s="6" t="s">
        <v>55</v>
      </c>
      <c r="AU1435" s="6" t="s">
        <v>2845</v>
      </c>
      <c r="AV1435">
        <v>810</v>
      </c>
    </row>
    <row r="1436" spans="1:48" ht="30" customHeight="1" x14ac:dyDescent="0.3">
      <c r="A1436" s="4" t="s">
        <v>1532</v>
      </c>
      <c r="B1436" s="4" t="s">
        <v>2846</v>
      </c>
      <c r="C1436" s="4" t="s">
        <v>125</v>
      </c>
      <c r="D1436" s="5">
        <v>1</v>
      </c>
      <c r="E1436" s="7">
        <f>TRUNC([1]단가대비표!O788,0)</f>
        <v>204350</v>
      </c>
      <c r="F1436" s="7">
        <f t="shared" si="159"/>
        <v>204350</v>
      </c>
      <c r="G1436" s="7">
        <f>TRUNC([1]단가대비표!P788,0)</f>
        <v>0</v>
      </c>
      <c r="H1436" s="7">
        <f t="shared" si="160"/>
        <v>0</v>
      </c>
      <c r="I1436" s="7">
        <f>TRUNC([1]단가대비표!V788,0)</f>
        <v>0</v>
      </c>
      <c r="J1436" s="7">
        <f t="shared" si="161"/>
        <v>0</v>
      </c>
      <c r="K1436" s="7">
        <f t="shared" si="162"/>
        <v>204350</v>
      </c>
      <c r="L1436" s="7">
        <f t="shared" si="162"/>
        <v>204350</v>
      </c>
      <c r="M1436" s="4" t="s">
        <v>55</v>
      </c>
      <c r="N1436" s="6" t="s">
        <v>2847</v>
      </c>
      <c r="O1436" s="6" t="s">
        <v>55</v>
      </c>
      <c r="P1436" s="6" t="s">
        <v>55</v>
      </c>
      <c r="Q1436" s="6" t="s">
        <v>2815</v>
      </c>
      <c r="R1436" s="6" t="s">
        <v>56</v>
      </c>
      <c r="S1436" s="6" t="s">
        <v>56</v>
      </c>
      <c r="T1436" s="6" t="s">
        <v>57</v>
      </c>
      <c r="AR1436" s="6" t="s">
        <v>55</v>
      </c>
      <c r="AS1436" s="6" t="s">
        <v>55</v>
      </c>
      <c r="AU1436" s="6" t="s">
        <v>2848</v>
      </c>
      <c r="AV1436">
        <v>2892</v>
      </c>
    </row>
    <row r="1437" spans="1:48" ht="30" customHeight="1" x14ac:dyDescent="0.3">
      <c r="A1437" s="4" t="s">
        <v>1532</v>
      </c>
      <c r="B1437" s="4" t="s">
        <v>2849</v>
      </c>
      <c r="C1437" s="4" t="s">
        <v>125</v>
      </c>
      <c r="D1437" s="5">
        <v>3</v>
      </c>
      <c r="E1437" s="7">
        <f>TRUNC([1]단가대비표!O789,0)</f>
        <v>224786</v>
      </c>
      <c r="F1437" s="7">
        <f t="shared" si="159"/>
        <v>674358</v>
      </c>
      <c r="G1437" s="7">
        <f>TRUNC([1]단가대비표!P789,0)</f>
        <v>0</v>
      </c>
      <c r="H1437" s="7">
        <f t="shared" si="160"/>
        <v>0</v>
      </c>
      <c r="I1437" s="7">
        <f>TRUNC([1]단가대비표!V789,0)</f>
        <v>0</v>
      </c>
      <c r="J1437" s="7">
        <f t="shared" si="161"/>
        <v>0</v>
      </c>
      <c r="K1437" s="7">
        <f t="shared" si="162"/>
        <v>224786</v>
      </c>
      <c r="L1437" s="7">
        <f t="shared" si="162"/>
        <v>674358</v>
      </c>
      <c r="M1437" s="4" t="s">
        <v>55</v>
      </c>
      <c r="N1437" s="6" t="s">
        <v>2850</v>
      </c>
      <c r="O1437" s="6" t="s">
        <v>55</v>
      </c>
      <c r="P1437" s="6" t="s">
        <v>55</v>
      </c>
      <c r="Q1437" s="6" t="s">
        <v>2815</v>
      </c>
      <c r="R1437" s="6" t="s">
        <v>56</v>
      </c>
      <c r="S1437" s="6" t="s">
        <v>56</v>
      </c>
      <c r="T1437" s="6" t="s">
        <v>57</v>
      </c>
      <c r="AR1437" s="6" t="s">
        <v>55</v>
      </c>
      <c r="AS1437" s="6" t="s">
        <v>55</v>
      </c>
      <c r="AU1437" s="6" t="s">
        <v>2851</v>
      </c>
      <c r="AV1437">
        <v>2893</v>
      </c>
    </row>
    <row r="1438" spans="1:48" ht="30" customHeight="1" x14ac:dyDescent="0.3">
      <c r="A1438" s="4" t="s">
        <v>2852</v>
      </c>
      <c r="B1438" s="4" t="s">
        <v>2853</v>
      </c>
      <c r="C1438" s="4" t="s">
        <v>81</v>
      </c>
      <c r="D1438" s="5">
        <v>1</v>
      </c>
      <c r="E1438" s="7">
        <f>TRUNC([1]단가대비표!O901,0)</f>
        <v>1369000</v>
      </c>
      <c r="F1438" s="7">
        <f t="shared" si="159"/>
        <v>1369000</v>
      </c>
      <c r="G1438" s="7">
        <f>TRUNC([1]단가대비표!P901,0)</f>
        <v>0</v>
      </c>
      <c r="H1438" s="7">
        <f t="shared" si="160"/>
        <v>0</v>
      </c>
      <c r="I1438" s="7">
        <f>TRUNC([1]단가대비표!V901,0)</f>
        <v>0</v>
      </c>
      <c r="J1438" s="7">
        <f t="shared" si="161"/>
        <v>0</v>
      </c>
      <c r="K1438" s="7">
        <f t="shared" si="162"/>
        <v>1369000</v>
      </c>
      <c r="L1438" s="7">
        <f t="shared" si="162"/>
        <v>1369000</v>
      </c>
      <c r="M1438" s="4" t="s">
        <v>55</v>
      </c>
      <c r="N1438" s="6" t="s">
        <v>2854</v>
      </c>
      <c r="O1438" s="6" t="s">
        <v>55</v>
      </c>
      <c r="P1438" s="6" t="s">
        <v>55</v>
      </c>
      <c r="Q1438" s="6" t="s">
        <v>2815</v>
      </c>
      <c r="R1438" s="6" t="s">
        <v>56</v>
      </c>
      <c r="S1438" s="6" t="s">
        <v>56</v>
      </c>
      <c r="T1438" s="6" t="s">
        <v>57</v>
      </c>
      <c r="AR1438" s="6" t="s">
        <v>55</v>
      </c>
      <c r="AS1438" s="6" t="s">
        <v>55</v>
      </c>
      <c r="AU1438" s="6" t="s">
        <v>2855</v>
      </c>
      <c r="AV1438">
        <v>3486</v>
      </c>
    </row>
    <row r="1439" spans="1:48" ht="30" customHeight="1" x14ac:dyDescent="0.3">
      <c r="A1439" s="4" t="s">
        <v>55</v>
      </c>
      <c r="B1439" s="4" t="s">
        <v>55</v>
      </c>
      <c r="C1439" s="4" t="s">
        <v>55</v>
      </c>
      <c r="D1439" s="5"/>
      <c r="E1439" s="7">
        <f>TRUNC([1]단가대비표!O779,0)</f>
        <v>0</v>
      </c>
      <c r="F1439" s="7">
        <f t="shared" si="159"/>
        <v>0</v>
      </c>
      <c r="G1439" s="7">
        <f>TRUNC([1]단가대비표!P779,0)</f>
        <v>0</v>
      </c>
      <c r="H1439" s="7">
        <f t="shared" si="160"/>
        <v>0</v>
      </c>
      <c r="I1439" s="7">
        <f>TRUNC([1]단가대비표!V779,0)</f>
        <v>0</v>
      </c>
      <c r="J1439" s="7">
        <f t="shared" si="161"/>
        <v>0</v>
      </c>
      <c r="K1439" s="7">
        <f t="shared" si="162"/>
        <v>0</v>
      </c>
      <c r="L1439" s="7">
        <f t="shared" si="162"/>
        <v>0</v>
      </c>
      <c r="M1439" s="4" t="s">
        <v>55</v>
      </c>
      <c r="N1439" s="6" t="s">
        <v>2856</v>
      </c>
      <c r="O1439" s="6" t="s">
        <v>55</v>
      </c>
      <c r="P1439" s="6" t="s">
        <v>55</v>
      </c>
      <c r="Q1439" s="6" t="s">
        <v>2815</v>
      </c>
      <c r="R1439" s="6" t="s">
        <v>56</v>
      </c>
      <c r="S1439" s="6" t="s">
        <v>56</v>
      </c>
      <c r="T1439" s="6" t="s">
        <v>57</v>
      </c>
      <c r="AR1439" s="6" t="s">
        <v>55</v>
      </c>
      <c r="AS1439" s="6" t="s">
        <v>55</v>
      </c>
      <c r="AU1439" s="6" t="s">
        <v>2857</v>
      </c>
      <c r="AV1439">
        <v>2815</v>
      </c>
    </row>
    <row r="1440" spans="1:48" ht="30" customHeight="1" x14ac:dyDescent="0.3">
      <c r="A1440" s="4" t="s">
        <v>2858</v>
      </c>
      <c r="B1440" s="4" t="s">
        <v>2859</v>
      </c>
      <c r="C1440" s="4" t="s">
        <v>81</v>
      </c>
      <c r="D1440" s="5">
        <v>3</v>
      </c>
      <c r="E1440" s="7">
        <f>TRUNC([1]일위대가목록!E224,0)</f>
        <v>546399</v>
      </c>
      <c r="F1440" s="7">
        <f t="shared" si="159"/>
        <v>1639197</v>
      </c>
      <c r="G1440" s="7">
        <f>TRUNC([1]일위대가목록!F224,0)</f>
        <v>103523</v>
      </c>
      <c r="H1440" s="7">
        <f t="shared" si="160"/>
        <v>310569</v>
      </c>
      <c r="I1440" s="7">
        <f>TRUNC([1]일위대가목록!G224,0)</f>
        <v>2070</v>
      </c>
      <c r="J1440" s="7">
        <f t="shared" si="161"/>
        <v>6210</v>
      </c>
      <c r="K1440" s="7">
        <f t="shared" si="162"/>
        <v>651992</v>
      </c>
      <c r="L1440" s="7">
        <f t="shared" si="162"/>
        <v>1955976</v>
      </c>
      <c r="M1440" s="4" t="s">
        <v>2860</v>
      </c>
      <c r="N1440" s="6" t="s">
        <v>2861</v>
      </c>
      <c r="O1440" s="6" t="s">
        <v>55</v>
      </c>
      <c r="P1440" s="6" t="s">
        <v>55</v>
      </c>
      <c r="Q1440" s="6" t="s">
        <v>2815</v>
      </c>
      <c r="R1440" s="6" t="s">
        <v>57</v>
      </c>
      <c r="S1440" s="6" t="s">
        <v>56</v>
      </c>
      <c r="T1440" s="6" t="s">
        <v>56</v>
      </c>
      <c r="AR1440" s="6" t="s">
        <v>55</v>
      </c>
      <c r="AS1440" s="6" t="s">
        <v>55</v>
      </c>
      <c r="AU1440" s="6" t="s">
        <v>2862</v>
      </c>
      <c r="AV1440">
        <v>815</v>
      </c>
    </row>
    <row r="1441" spans="1:48" ht="30" customHeight="1" x14ac:dyDescent="0.3">
      <c r="A1441" s="4" t="s">
        <v>1588</v>
      </c>
      <c r="B1441" s="4" t="s">
        <v>1555</v>
      </c>
      <c r="C1441" s="4" t="s">
        <v>81</v>
      </c>
      <c r="D1441" s="5">
        <v>11</v>
      </c>
      <c r="E1441" s="7">
        <f>TRUNC([1]일위대가목록!E225,0)</f>
        <v>318888</v>
      </c>
      <c r="F1441" s="7">
        <f t="shared" si="159"/>
        <v>3507768</v>
      </c>
      <c r="G1441" s="7">
        <f>TRUNC([1]일위대가목록!F225,0)</f>
        <v>153585</v>
      </c>
      <c r="H1441" s="7">
        <f t="shared" si="160"/>
        <v>1689435</v>
      </c>
      <c r="I1441" s="7">
        <f>TRUNC([1]일위대가목록!G225,0)</f>
        <v>4607</v>
      </c>
      <c r="J1441" s="7">
        <f t="shared" si="161"/>
        <v>50677</v>
      </c>
      <c r="K1441" s="7">
        <f t="shared" si="162"/>
        <v>477080</v>
      </c>
      <c r="L1441" s="7">
        <f t="shared" si="162"/>
        <v>5247880</v>
      </c>
      <c r="M1441" s="4" t="s">
        <v>2863</v>
      </c>
      <c r="N1441" s="6" t="s">
        <v>2864</v>
      </c>
      <c r="O1441" s="6" t="s">
        <v>55</v>
      </c>
      <c r="P1441" s="6" t="s">
        <v>55</v>
      </c>
      <c r="Q1441" s="6" t="s">
        <v>2815</v>
      </c>
      <c r="R1441" s="6" t="s">
        <v>57</v>
      </c>
      <c r="S1441" s="6" t="s">
        <v>56</v>
      </c>
      <c r="T1441" s="6" t="s">
        <v>56</v>
      </c>
      <c r="AR1441" s="6" t="s">
        <v>55</v>
      </c>
      <c r="AS1441" s="6" t="s">
        <v>55</v>
      </c>
      <c r="AU1441" s="6" t="s">
        <v>2865</v>
      </c>
      <c r="AV1441">
        <v>816</v>
      </c>
    </row>
    <row r="1442" spans="1:48" ht="30" customHeight="1" x14ac:dyDescent="0.3">
      <c r="A1442" s="4" t="s">
        <v>1596</v>
      </c>
      <c r="B1442" s="4" t="s">
        <v>1551</v>
      </c>
      <c r="C1442" s="4" t="s">
        <v>81</v>
      </c>
      <c r="D1442" s="5">
        <v>1</v>
      </c>
      <c r="E1442" s="7">
        <f>TRUNC([1]일위대가목록!E226,0)</f>
        <v>637777</v>
      </c>
      <c r="F1442" s="7">
        <f t="shared" si="159"/>
        <v>637777</v>
      </c>
      <c r="G1442" s="7">
        <f>TRUNC([1]일위대가목록!F226,0)</f>
        <v>153585</v>
      </c>
      <c r="H1442" s="7">
        <f t="shared" si="160"/>
        <v>153585</v>
      </c>
      <c r="I1442" s="7">
        <f>TRUNC([1]일위대가목록!G226,0)</f>
        <v>4607</v>
      </c>
      <c r="J1442" s="7">
        <f t="shared" si="161"/>
        <v>4607</v>
      </c>
      <c r="K1442" s="7">
        <f t="shared" si="162"/>
        <v>795969</v>
      </c>
      <c r="L1442" s="7">
        <f t="shared" si="162"/>
        <v>795969</v>
      </c>
      <c r="M1442" s="4" t="s">
        <v>2866</v>
      </c>
      <c r="N1442" s="6" t="s">
        <v>2867</v>
      </c>
      <c r="O1442" s="6" t="s">
        <v>55</v>
      </c>
      <c r="P1442" s="6" t="s">
        <v>55</v>
      </c>
      <c r="Q1442" s="6" t="s">
        <v>2815</v>
      </c>
      <c r="R1442" s="6" t="s">
        <v>57</v>
      </c>
      <c r="S1442" s="6" t="s">
        <v>56</v>
      </c>
      <c r="T1442" s="6" t="s">
        <v>56</v>
      </c>
      <c r="AR1442" s="6" t="s">
        <v>55</v>
      </c>
      <c r="AS1442" s="6" t="s">
        <v>55</v>
      </c>
      <c r="AU1442" s="6" t="s">
        <v>2868</v>
      </c>
      <c r="AV1442">
        <v>817</v>
      </c>
    </row>
    <row r="1443" spans="1:48" ht="30" customHeight="1" x14ac:dyDescent="0.3">
      <c r="A1443" s="4" t="s">
        <v>1604</v>
      </c>
      <c r="B1443" s="4" t="s">
        <v>2869</v>
      </c>
      <c r="C1443" s="4" t="s">
        <v>81</v>
      </c>
      <c r="D1443" s="5">
        <v>1</v>
      </c>
      <c r="E1443" s="7">
        <f>TRUNC([1]일위대가목록!E227,0)</f>
        <v>364444</v>
      </c>
      <c r="F1443" s="7">
        <f t="shared" si="159"/>
        <v>364444</v>
      </c>
      <c r="G1443" s="7">
        <f>TRUNC([1]일위대가목록!F227,0)</f>
        <v>153585</v>
      </c>
      <c r="H1443" s="7">
        <f t="shared" si="160"/>
        <v>153585</v>
      </c>
      <c r="I1443" s="7">
        <f>TRUNC([1]일위대가목록!G227,0)</f>
        <v>4607</v>
      </c>
      <c r="J1443" s="7">
        <f t="shared" si="161"/>
        <v>4607</v>
      </c>
      <c r="K1443" s="7">
        <f t="shared" si="162"/>
        <v>522636</v>
      </c>
      <c r="L1443" s="7">
        <f t="shared" si="162"/>
        <v>522636</v>
      </c>
      <c r="M1443" s="4" t="s">
        <v>2870</v>
      </c>
      <c r="N1443" s="6" t="s">
        <v>2871</v>
      </c>
      <c r="O1443" s="6" t="s">
        <v>55</v>
      </c>
      <c r="P1443" s="6" t="s">
        <v>55</v>
      </c>
      <c r="Q1443" s="6" t="s">
        <v>2815</v>
      </c>
      <c r="R1443" s="6" t="s">
        <v>57</v>
      </c>
      <c r="S1443" s="6" t="s">
        <v>56</v>
      </c>
      <c r="T1443" s="6" t="s">
        <v>56</v>
      </c>
      <c r="AR1443" s="6" t="s">
        <v>55</v>
      </c>
      <c r="AS1443" s="6" t="s">
        <v>55</v>
      </c>
      <c r="AU1443" s="6" t="s">
        <v>2872</v>
      </c>
      <c r="AV1443">
        <v>818</v>
      </c>
    </row>
    <row r="1444" spans="1:48" ht="30" customHeight="1" x14ac:dyDescent="0.3">
      <c r="A1444" s="4" t="s">
        <v>2873</v>
      </c>
      <c r="B1444" s="4" t="s">
        <v>2874</v>
      </c>
      <c r="C1444" s="4" t="s">
        <v>81</v>
      </c>
      <c r="D1444" s="5">
        <v>16</v>
      </c>
      <c r="E1444" s="7">
        <f>TRUNC([1]일위대가목록!E228,0)</f>
        <v>260908</v>
      </c>
      <c r="F1444" s="7">
        <f t="shared" si="159"/>
        <v>4174528</v>
      </c>
      <c r="G1444" s="7">
        <f>TRUNC([1]일위대가목록!F228,0)</f>
        <v>153585</v>
      </c>
      <c r="H1444" s="7">
        <f t="shared" si="160"/>
        <v>2457360</v>
      </c>
      <c r="I1444" s="7">
        <f>TRUNC([1]일위대가목록!G228,0)</f>
        <v>4607</v>
      </c>
      <c r="J1444" s="7">
        <f t="shared" si="161"/>
        <v>73712</v>
      </c>
      <c r="K1444" s="7">
        <f t="shared" si="162"/>
        <v>419100</v>
      </c>
      <c r="L1444" s="7">
        <f t="shared" si="162"/>
        <v>6705600</v>
      </c>
      <c r="M1444" s="4" t="s">
        <v>2875</v>
      </c>
      <c r="N1444" s="6" t="s">
        <v>2876</v>
      </c>
      <c r="O1444" s="6" t="s">
        <v>55</v>
      </c>
      <c r="P1444" s="6" t="s">
        <v>55</v>
      </c>
      <c r="Q1444" s="6" t="s">
        <v>2815</v>
      </c>
      <c r="R1444" s="6" t="s">
        <v>57</v>
      </c>
      <c r="S1444" s="6" t="s">
        <v>56</v>
      </c>
      <c r="T1444" s="6" t="s">
        <v>56</v>
      </c>
      <c r="AR1444" s="6" t="s">
        <v>55</v>
      </c>
      <c r="AS1444" s="6" t="s">
        <v>55</v>
      </c>
      <c r="AU1444" s="6" t="s">
        <v>2877</v>
      </c>
      <c r="AV1444">
        <v>819</v>
      </c>
    </row>
    <row r="1445" spans="1:48" ht="30" customHeight="1" x14ac:dyDescent="0.3">
      <c r="A1445" s="4" t="s">
        <v>1609</v>
      </c>
      <c r="B1445" s="4" t="s">
        <v>1555</v>
      </c>
      <c r="C1445" s="4" t="s">
        <v>81</v>
      </c>
      <c r="D1445" s="5">
        <v>1</v>
      </c>
      <c r="E1445" s="7">
        <f>TRUNC([1]일위대가목록!E229,0)</f>
        <v>318888</v>
      </c>
      <c r="F1445" s="7">
        <f t="shared" si="159"/>
        <v>318888</v>
      </c>
      <c r="G1445" s="7">
        <f>TRUNC([1]일위대가목록!F229,0)</f>
        <v>153585</v>
      </c>
      <c r="H1445" s="7">
        <f t="shared" si="160"/>
        <v>153585</v>
      </c>
      <c r="I1445" s="7">
        <f>TRUNC([1]일위대가목록!G229,0)</f>
        <v>4607</v>
      </c>
      <c r="J1445" s="7">
        <f t="shared" si="161"/>
        <v>4607</v>
      </c>
      <c r="K1445" s="7">
        <f t="shared" si="162"/>
        <v>477080</v>
      </c>
      <c r="L1445" s="7">
        <f t="shared" si="162"/>
        <v>477080</v>
      </c>
      <c r="M1445" s="4" t="s">
        <v>2878</v>
      </c>
      <c r="N1445" s="6" t="s">
        <v>2879</v>
      </c>
      <c r="O1445" s="6" t="s">
        <v>55</v>
      </c>
      <c r="P1445" s="6" t="s">
        <v>55</v>
      </c>
      <c r="Q1445" s="6" t="s">
        <v>2815</v>
      </c>
      <c r="R1445" s="6" t="s">
        <v>57</v>
      </c>
      <c r="S1445" s="6" t="s">
        <v>56</v>
      </c>
      <c r="T1445" s="6" t="s">
        <v>56</v>
      </c>
      <c r="AR1445" s="6" t="s">
        <v>55</v>
      </c>
      <c r="AS1445" s="6" t="s">
        <v>55</v>
      </c>
      <c r="AU1445" s="6" t="s">
        <v>2880</v>
      </c>
      <c r="AV1445">
        <v>820</v>
      </c>
    </row>
    <row r="1446" spans="1:48" ht="30" customHeight="1" x14ac:dyDescent="0.3">
      <c r="A1446" s="4" t="s">
        <v>2881</v>
      </c>
      <c r="B1446" s="4" t="s">
        <v>2882</v>
      </c>
      <c r="C1446" s="4" t="s">
        <v>81</v>
      </c>
      <c r="D1446" s="5">
        <v>1</v>
      </c>
      <c r="E1446" s="7">
        <f>TRUNC([1]일위대가목록!E230,0)</f>
        <v>1018053</v>
      </c>
      <c r="F1446" s="7">
        <f t="shared" si="159"/>
        <v>1018053</v>
      </c>
      <c r="G1446" s="7">
        <f>TRUNC([1]일위대가목록!F230,0)</f>
        <v>423687</v>
      </c>
      <c r="H1446" s="7">
        <f t="shared" si="160"/>
        <v>423687</v>
      </c>
      <c r="I1446" s="7">
        <f>TRUNC([1]일위대가목록!G230,0)</f>
        <v>0</v>
      </c>
      <c r="J1446" s="7">
        <f t="shared" si="161"/>
        <v>0</v>
      </c>
      <c r="K1446" s="7">
        <f t="shared" si="162"/>
        <v>1441740</v>
      </c>
      <c r="L1446" s="7">
        <f t="shared" si="162"/>
        <v>1441740</v>
      </c>
      <c r="M1446" s="4" t="s">
        <v>2883</v>
      </c>
      <c r="N1446" s="6" t="s">
        <v>2884</v>
      </c>
      <c r="O1446" s="6" t="s">
        <v>55</v>
      </c>
      <c r="P1446" s="6" t="s">
        <v>55</v>
      </c>
      <c r="Q1446" s="6" t="s">
        <v>2815</v>
      </c>
      <c r="R1446" s="6" t="s">
        <v>57</v>
      </c>
      <c r="S1446" s="6" t="s">
        <v>56</v>
      </c>
      <c r="T1446" s="6" t="s">
        <v>56</v>
      </c>
      <c r="AR1446" s="6" t="s">
        <v>55</v>
      </c>
      <c r="AS1446" s="6" t="s">
        <v>55</v>
      </c>
      <c r="AU1446" s="6" t="s">
        <v>2885</v>
      </c>
      <c r="AV1446">
        <v>821</v>
      </c>
    </row>
    <row r="1447" spans="1:48" ht="30" customHeight="1" x14ac:dyDescent="0.3">
      <c r="A1447" s="4" t="s">
        <v>1622</v>
      </c>
      <c r="B1447" s="4" t="s">
        <v>2869</v>
      </c>
      <c r="C1447" s="4" t="s">
        <v>81</v>
      </c>
      <c r="D1447" s="5">
        <v>1</v>
      </c>
      <c r="E1447" s="7">
        <f>TRUNC([1]일위대가목록!E231,0)</f>
        <v>620361</v>
      </c>
      <c r="F1447" s="7">
        <f t="shared" si="159"/>
        <v>620361</v>
      </c>
      <c r="G1447" s="7">
        <f>TRUNC([1]일위대가목록!F231,0)</f>
        <v>261278</v>
      </c>
      <c r="H1447" s="7">
        <f t="shared" si="160"/>
        <v>261278</v>
      </c>
      <c r="I1447" s="7">
        <f>TRUNC([1]일위대가목록!G231,0)</f>
        <v>0</v>
      </c>
      <c r="J1447" s="7">
        <f t="shared" si="161"/>
        <v>0</v>
      </c>
      <c r="K1447" s="7">
        <f t="shared" si="162"/>
        <v>881639</v>
      </c>
      <c r="L1447" s="7">
        <f t="shared" si="162"/>
        <v>881639</v>
      </c>
      <c r="M1447" s="4" t="s">
        <v>2886</v>
      </c>
      <c r="N1447" s="6" t="s">
        <v>2887</v>
      </c>
      <c r="O1447" s="6" t="s">
        <v>55</v>
      </c>
      <c r="P1447" s="6" t="s">
        <v>55</v>
      </c>
      <c r="Q1447" s="6" t="s">
        <v>2815</v>
      </c>
      <c r="R1447" s="6" t="s">
        <v>57</v>
      </c>
      <c r="S1447" s="6" t="s">
        <v>56</v>
      </c>
      <c r="T1447" s="6" t="s">
        <v>56</v>
      </c>
      <c r="AR1447" s="6" t="s">
        <v>55</v>
      </c>
      <c r="AS1447" s="6" t="s">
        <v>55</v>
      </c>
      <c r="AU1447" s="6" t="s">
        <v>2888</v>
      </c>
      <c r="AV1447">
        <v>822</v>
      </c>
    </row>
    <row r="1448" spans="1:48" ht="30" customHeight="1" x14ac:dyDescent="0.3">
      <c r="A1448" s="4" t="s">
        <v>1626</v>
      </c>
      <c r="B1448" s="4" t="s">
        <v>2889</v>
      </c>
      <c r="C1448" s="4" t="s">
        <v>81</v>
      </c>
      <c r="D1448" s="5">
        <v>1</v>
      </c>
      <c r="E1448" s="7">
        <f>TRUNC([1]일위대가목록!E232,0)</f>
        <v>1376478</v>
      </c>
      <c r="F1448" s="7">
        <f t="shared" si="159"/>
        <v>1376478</v>
      </c>
      <c r="G1448" s="7">
        <f>TRUNC([1]일위대가목록!F232,0)</f>
        <v>575032</v>
      </c>
      <c r="H1448" s="7">
        <f t="shared" si="160"/>
        <v>575032</v>
      </c>
      <c r="I1448" s="7">
        <f>TRUNC([1]일위대가목록!G232,0)</f>
        <v>0</v>
      </c>
      <c r="J1448" s="7">
        <f t="shared" si="161"/>
        <v>0</v>
      </c>
      <c r="K1448" s="7">
        <f t="shared" si="162"/>
        <v>1951510</v>
      </c>
      <c r="L1448" s="7">
        <f t="shared" si="162"/>
        <v>1951510</v>
      </c>
      <c r="M1448" s="4" t="s">
        <v>2890</v>
      </c>
      <c r="N1448" s="6" t="s">
        <v>2891</v>
      </c>
      <c r="O1448" s="6" t="s">
        <v>55</v>
      </c>
      <c r="P1448" s="6" t="s">
        <v>55</v>
      </c>
      <c r="Q1448" s="6" t="s">
        <v>2815</v>
      </c>
      <c r="R1448" s="6" t="s">
        <v>57</v>
      </c>
      <c r="S1448" s="6" t="s">
        <v>56</v>
      </c>
      <c r="T1448" s="6" t="s">
        <v>56</v>
      </c>
      <c r="AR1448" s="6" t="s">
        <v>55</v>
      </c>
      <c r="AS1448" s="6" t="s">
        <v>55</v>
      </c>
      <c r="AU1448" s="6" t="s">
        <v>2892</v>
      </c>
      <c r="AV1448">
        <v>823</v>
      </c>
    </row>
    <row r="1449" spans="1:48" ht="30" customHeight="1" x14ac:dyDescent="0.3">
      <c r="A1449" s="4" t="s">
        <v>1699</v>
      </c>
      <c r="B1449" s="4" t="s">
        <v>2893</v>
      </c>
      <c r="C1449" s="4" t="s">
        <v>81</v>
      </c>
      <c r="D1449" s="5">
        <v>1</v>
      </c>
      <c r="E1449" s="7">
        <f>TRUNC([1]일위대가목록!E233,0)</f>
        <v>235980</v>
      </c>
      <c r="F1449" s="7">
        <f t="shared" si="159"/>
        <v>235980</v>
      </c>
      <c r="G1449" s="7">
        <f>TRUNC([1]일위대가목록!F233,0)</f>
        <v>93989</v>
      </c>
      <c r="H1449" s="7">
        <f t="shared" si="160"/>
        <v>93989</v>
      </c>
      <c r="I1449" s="7">
        <f>TRUNC([1]일위대가목록!G233,0)</f>
        <v>0</v>
      </c>
      <c r="J1449" s="7">
        <f t="shared" si="161"/>
        <v>0</v>
      </c>
      <c r="K1449" s="7">
        <f t="shared" si="162"/>
        <v>329969</v>
      </c>
      <c r="L1449" s="7">
        <f t="shared" si="162"/>
        <v>329969</v>
      </c>
      <c r="M1449" s="4" t="s">
        <v>2894</v>
      </c>
      <c r="N1449" s="6" t="s">
        <v>2895</v>
      </c>
      <c r="O1449" s="6" t="s">
        <v>55</v>
      </c>
      <c r="P1449" s="6" t="s">
        <v>55</v>
      </c>
      <c r="Q1449" s="6" t="s">
        <v>2815</v>
      </c>
      <c r="R1449" s="6" t="s">
        <v>57</v>
      </c>
      <c r="S1449" s="6" t="s">
        <v>56</v>
      </c>
      <c r="T1449" s="6" t="s">
        <v>56</v>
      </c>
      <c r="AR1449" s="6" t="s">
        <v>55</v>
      </c>
      <c r="AS1449" s="6" t="s">
        <v>55</v>
      </c>
      <c r="AU1449" s="6" t="s">
        <v>2896</v>
      </c>
      <c r="AV1449">
        <v>824</v>
      </c>
    </row>
    <row r="1450" spans="1:48" ht="30" customHeight="1" x14ac:dyDescent="0.3">
      <c r="A1450" s="4" t="s">
        <v>1704</v>
      </c>
      <c r="B1450" s="4" t="s">
        <v>2897</v>
      </c>
      <c r="C1450" s="4" t="s">
        <v>81</v>
      </c>
      <c r="D1450" s="5">
        <v>1</v>
      </c>
      <c r="E1450" s="7">
        <f>TRUNC([1]일위대가목록!E234,0)</f>
        <v>417607</v>
      </c>
      <c r="F1450" s="7">
        <f t="shared" si="159"/>
        <v>417607</v>
      </c>
      <c r="G1450" s="7">
        <f>TRUNC([1]일위대가목록!F234,0)</f>
        <v>167062</v>
      </c>
      <c r="H1450" s="7">
        <f t="shared" si="160"/>
        <v>167062</v>
      </c>
      <c r="I1450" s="7">
        <f>TRUNC([1]일위대가목록!G234,0)</f>
        <v>0</v>
      </c>
      <c r="J1450" s="7">
        <f t="shared" si="161"/>
        <v>0</v>
      </c>
      <c r="K1450" s="7">
        <f t="shared" si="162"/>
        <v>584669</v>
      </c>
      <c r="L1450" s="7">
        <f t="shared" si="162"/>
        <v>584669</v>
      </c>
      <c r="M1450" s="4" t="s">
        <v>2898</v>
      </c>
      <c r="N1450" s="6" t="s">
        <v>2899</v>
      </c>
      <c r="O1450" s="6" t="s">
        <v>55</v>
      </c>
      <c r="P1450" s="6" t="s">
        <v>55</v>
      </c>
      <c r="Q1450" s="6" t="s">
        <v>2815</v>
      </c>
      <c r="R1450" s="6" t="s">
        <v>57</v>
      </c>
      <c r="S1450" s="6" t="s">
        <v>56</v>
      </c>
      <c r="T1450" s="6" t="s">
        <v>56</v>
      </c>
      <c r="AR1450" s="6" t="s">
        <v>55</v>
      </c>
      <c r="AS1450" s="6" t="s">
        <v>55</v>
      </c>
      <c r="AU1450" s="6" t="s">
        <v>2900</v>
      </c>
      <c r="AV1450">
        <v>825</v>
      </c>
    </row>
    <row r="1451" spans="1:48" ht="30" customHeight="1" x14ac:dyDescent="0.3">
      <c r="A1451" s="4" t="s">
        <v>2901</v>
      </c>
      <c r="B1451" s="4" t="s">
        <v>1555</v>
      </c>
      <c r="C1451" s="4" t="s">
        <v>81</v>
      </c>
      <c r="D1451" s="5">
        <v>1</v>
      </c>
      <c r="E1451" s="7">
        <f>TRUNC([1]단가대비표!O902,0)</f>
        <v>853000</v>
      </c>
      <c r="F1451" s="7">
        <f t="shared" si="159"/>
        <v>853000</v>
      </c>
      <c r="G1451" s="7">
        <f>TRUNC([1]단가대비표!P902,0)</f>
        <v>0</v>
      </c>
      <c r="H1451" s="7">
        <f t="shared" si="160"/>
        <v>0</v>
      </c>
      <c r="I1451" s="7">
        <f>TRUNC([1]단가대비표!V902,0)</f>
        <v>0</v>
      </c>
      <c r="J1451" s="7">
        <f t="shared" si="161"/>
        <v>0</v>
      </c>
      <c r="K1451" s="7">
        <f t="shared" si="162"/>
        <v>853000</v>
      </c>
      <c r="L1451" s="7">
        <f t="shared" si="162"/>
        <v>853000</v>
      </c>
      <c r="M1451" s="4" t="s">
        <v>55</v>
      </c>
      <c r="N1451" s="6" t="s">
        <v>2902</v>
      </c>
      <c r="O1451" s="6" t="s">
        <v>55</v>
      </c>
      <c r="P1451" s="6" t="s">
        <v>55</v>
      </c>
      <c r="Q1451" s="6" t="s">
        <v>2815</v>
      </c>
      <c r="R1451" s="6" t="s">
        <v>56</v>
      </c>
      <c r="S1451" s="6" t="s">
        <v>56</v>
      </c>
      <c r="T1451" s="6" t="s">
        <v>57</v>
      </c>
      <c r="AR1451" s="6" t="s">
        <v>55</v>
      </c>
      <c r="AS1451" s="6" t="s">
        <v>55</v>
      </c>
      <c r="AU1451" s="6" t="s">
        <v>2903</v>
      </c>
      <c r="AV1451">
        <v>3487</v>
      </c>
    </row>
    <row r="1452" spans="1:48" ht="30" customHeight="1" x14ac:dyDescent="0.3">
      <c r="A1452" s="4" t="s">
        <v>2904</v>
      </c>
      <c r="B1452" s="4" t="s">
        <v>2905</v>
      </c>
      <c r="C1452" s="4" t="s">
        <v>81</v>
      </c>
      <c r="D1452" s="5">
        <v>2</v>
      </c>
      <c r="E1452" s="7">
        <f>TRUNC([1]단가대비표!O903,0)</f>
        <v>426000</v>
      </c>
      <c r="F1452" s="7">
        <f t="shared" si="159"/>
        <v>852000</v>
      </c>
      <c r="G1452" s="7">
        <f>TRUNC([1]단가대비표!P903,0)</f>
        <v>0</v>
      </c>
      <c r="H1452" s="7">
        <f t="shared" si="160"/>
        <v>0</v>
      </c>
      <c r="I1452" s="7">
        <f>TRUNC([1]단가대비표!V903,0)</f>
        <v>0</v>
      </c>
      <c r="J1452" s="7">
        <f t="shared" si="161"/>
        <v>0</v>
      </c>
      <c r="K1452" s="7">
        <f t="shared" si="162"/>
        <v>426000</v>
      </c>
      <c r="L1452" s="7">
        <f t="shared" si="162"/>
        <v>852000</v>
      </c>
      <c r="M1452" s="4" t="s">
        <v>55</v>
      </c>
      <c r="N1452" s="6" t="s">
        <v>2906</v>
      </c>
      <c r="O1452" s="6" t="s">
        <v>55</v>
      </c>
      <c r="P1452" s="6" t="s">
        <v>55</v>
      </c>
      <c r="Q1452" s="6" t="s">
        <v>2815</v>
      </c>
      <c r="R1452" s="6" t="s">
        <v>56</v>
      </c>
      <c r="S1452" s="6" t="s">
        <v>56</v>
      </c>
      <c r="T1452" s="6" t="s">
        <v>57</v>
      </c>
      <c r="AR1452" s="6" t="s">
        <v>55</v>
      </c>
      <c r="AS1452" s="6" t="s">
        <v>55</v>
      </c>
      <c r="AU1452" s="6" t="s">
        <v>2907</v>
      </c>
      <c r="AV1452">
        <v>3488</v>
      </c>
    </row>
    <row r="1453" spans="1:48" ht="30" customHeight="1" x14ac:dyDescent="0.3">
      <c r="A1453" s="4" t="s">
        <v>55</v>
      </c>
      <c r="B1453" s="4" t="s">
        <v>55</v>
      </c>
      <c r="C1453" s="4" t="s">
        <v>55</v>
      </c>
      <c r="D1453" s="5"/>
      <c r="E1453" s="7">
        <f>TRUNC([1]단가대비표!O412,0)</f>
        <v>0</v>
      </c>
      <c r="F1453" s="7">
        <f t="shared" si="159"/>
        <v>0</v>
      </c>
      <c r="G1453" s="7">
        <f>TRUNC([1]단가대비표!P412,0)</f>
        <v>0</v>
      </c>
      <c r="H1453" s="7">
        <f t="shared" si="160"/>
        <v>0</v>
      </c>
      <c r="I1453" s="7">
        <f>TRUNC([1]단가대비표!V412,0)</f>
        <v>0</v>
      </c>
      <c r="J1453" s="7">
        <f t="shared" si="161"/>
        <v>0</v>
      </c>
      <c r="K1453" s="7">
        <f t="shared" si="162"/>
        <v>0</v>
      </c>
      <c r="L1453" s="7">
        <f t="shared" si="162"/>
        <v>0</v>
      </c>
      <c r="M1453" s="4" t="s">
        <v>55</v>
      </c>
      <c r="N1453" s="6" t="s">
        <v>2908</v>
      </c>
      <c r="O1453" s="6" t="s">
        <v>55</v>
      </c>
      <c r="P1453" s="6" t="s">
        <v>55</v>
      </c>
      <c r="Q1453" s="6" t="s">
        <v>2815</v>
      </c>
      <c r="R1453" s="6" t="s">
        <v>56</v>
      </c>
      <c r="S1453" s="6" t="s">
        <v>56</v>
      </c>
      <c r="T1453" s="6" t="s">
        <v>57</v>
      </c>
      <c r="AR1453" s="6" t="s">
        <v>55</v>
      </c>
      <c r="AS1453" s="6" t="s">
        <v>55</v>
      </c>
      <c r="AU1453" s="6" t="s">
        <v>2909</v>
      </c>
      <c r="AV1453">
        <v>1404</v>
      </c>
    </row>
    <row r="1454" spans="1:48" ht="30" customHeight="1" x14ac:dyDescent="0.3">
      <c r="A1454" s="4" t="s">
        <v>2910</v>
      </c>
      <c r="B1454" s="4" t="s">
        <v>55</v>
      </c>
      <c r="C1454" s="4" t="s">
        <v>55</v>
      </c>
      <c r="D1454" s="5"/>
      <c r="E1454" s="7">
        <f>TRUNC([1]단가대비표!O413,0)</f>
        <v>0</v>
      </c>
      <c r="F1454" s="7">
        <f t="shared" si="159"/>
        <v>0</v>
      </c>
      <c r="G1454" s="7">
        <f>TRUNC([1]단가대비표!P413,0)</f>
        <v>0</v>
      </c>
      <c r="H1454" s="7">
        <f t="shared" si="160"/>
        <v>0</v>
      </c>
      <c r="I1454" s="7">
        <f>TRUNC([1]단가대비표!V413,0)</f>
        <v>0</v>
      </c>
      <c r="J1454" s="7">
        <f t="shared" si="161"/>
        <v>0</v>
      </c>
      <c r="K1454" s="7">
        <f t="shared" si="162"/>
        <v>0</v>
      </c>
      <c r="L1454" s="7">
        <f t="shared" si="162"/>
        <v>0</v>
      </c>
      <c r="M1454" s="4" t="s">
        <v>55</v>
      </c>
      <c r="N1454" s="6" t="s">
        <v>2911</v>
      </c>
      <c r="O1454" s="6" t="s">
        <v>55</v>
      </c>
      <c r="P1454" s="6" t="s">
        <v>55</v>
      </c>
      <c r="Q1454" s="6" t="s">
        <v>2815</v>
      </c>
      <c r="R1454" s="6" t="s">
        <v>56</v>
      </c>
      <c r="S1454" s="6" t="s">
        <v>56</v>
      </c>
      <c r="T1454" s="6" t="s">
        <v>57</v>
      </c>
      <c r="AR1454" s="6" t="s">
        <v>55</v>
      </c>
      <c r="AS1454" s="6" t="s">
        <v>55</v>
      </c>
      <c r="AU1454" s="6" t="s">
        <v>2912</v>
      </c>
      <c r="AV1454">
        <v>1405</v>
      </c>
    </row>
    <row r="1455" spans="1:48" ht="30" customHeight="1" x14ac:dyDescent="0.3">
      <c r="A1455" s="4" t="s">
        <v>2913</v>
      </c>
      <c r="B1455" s="4" t="s">
        <v>2914</v>
      </c>
      <c r="C1455" s="4" t="s">
        <v>1726</v>
      </c>
      <c r="D1455" s="5">
        <v>10</v>
      </c>
      <c r="E1455" s="7">
        <f>TRUNC([1]단가대비표!O414,0)</f>
        <v>71000</v>
      </c>
      <c r="F1455" s="7">
        <f t="shared" si="159"/>
        <v>710000</v>
      </c>
      <c r="G1455" s="7">
        <f>TRUNC([1]단가대비표!P414,0)</f>
        <v>0</v>
      </c>
      <c r="H1455" s="7">
        <f t="shared" si="160"/>
        <v>0</v>
      </c>
      <c r="I1455" s="7">
        <f>TRUNC([1]단가대비표!V414,0)</f>
        <v>0</v>
      </c>
      <c r="J1455" s="7">
        <f t="shared" si="161"/>
        <v>0</v>
      </c>
      <c r="K1455" s="7">
        <f t="shared" si="162"/>
        <v>71000</v>
      </c>
      <c r="L1455" s="7">
        <f t="shared" si="162"/>
        <v>710000</v>
      </c>
      <c r="M1455" s="4" t="s">
        <v>55</v>
      </c>
      <c r="N1455" s="6" t="s">
        <v>2915</v>
      </c>
      <c r="O1455" s="6" t="s">
        <v>55</v>
      </c>
      <c r="P1455" s="6" t="s">
        <v>55</v>
      </c>
      <c r="Q1455" s="6" t="s">
        <v>2815</v>
      </c>
      <c r="R1455" s="6" t="s">
        <v>56</v>
      </c>
      <c r="S1455" s="6" t="s">
        <v>56</v>
      </c>
      <c r="T1455" s="6" t="s">
        <v>57</v>
      </c>
      <c r="AR1455" s="6" t="s">
        <v>55</v>
      </c>
      <c r="AS1455" s="6" t="s">
        <v>55</v>
      </c>
      <c r="AU1455" s="6" t="s">
        <v>2916</v>
      </c>
      <c r="AV1455">
        <v>1406</v>
      </c>
    </row>
    <row r="1456" spans="1:48" ht="30" customHeight="1" x14ac:dyDescent="0.3">
      <c r="A1456" s="4" t="s">
        <v>2917</v>
      </c>
      <c r="B1456" s="4" t="s">
        <v>2918</v>
      </c>
      <c r="C1456" s="4" t="s">
        <v>1726</v>
      </c>
      <c r="D1456" s="5">
        <v>10</v>
      </c>
      <c r="E1456" s="7">
        <f>TRUNC([1]단가대비표!O415,0)</f>
        <v>115000</v>
      </c>
      <c r="F1456" s="7">
        <f t="shared" si="159"/>
        <v>1150000</v>
      </c>
      <c r="G1456" s="7">
        <f>TRUNC([1]단가대비표!P415,0)</f>
        <v>0</v>
      </c>
      <c r="H1456" s="7">
        <f t="shared" si="160"/>
        <v>0</v>
      </c>
      <c r="I1456" s="7">
        <f>TRUNC([1]단가대비표!V415,0)</f>
        <v>0</v>
      </c>
      <c r="J1456" s="7">
        <f t="shared" si="161"/>
        <v>0</v>
      </c>
      <c r="K1456" s="7">
        <f t="shared" si="162"/>
        <v>115000</v>
      </c>
      <c r="L1456" s="7">
        <f t="shared" si="162"/>
        <v>1150000</v>
      </c>
      <c r="M1456" s="4" t="s">
        <v>55</v>
      </c>
      <c r="N1456" s="6" t="s">
        <v>2919</v>
      </c>
      <c r="O1456" s="6" t="s">
        <v>55</v>
      </c>
      <c r="P1456" s="6" t="s">
        <v>55</v>
      </c>
      <c r="Q1456" s="6" t="s">
        <v>2815</v>
      </c>
      <c r="R1456" s="6" t="s">
        <v>56</v>
      </c>
      <c r="S1456" s="6" t="s">
        <v>56</v>
      </c>
      <c r="T1456" s="6" t="s">
        <v>57</v>
      </c>
      <c r="AR1456" s="6" t="s">
        <v>55</v>
      </c>
      <c r="AS1456" s="6" t="s">
        <v>55</v>
      </c>
      <c r="AU1456" s="6" t="s">
        <v>2920</v>
      </c>
      <c r="AV1456">
        <v>1407</v>
      </c>
    </row>
    <row r="1457" spans="1:48" ht="30" customHeight="1" x14ac:dyDescent="0.3">
      <c r="A1457" s="4" t="s">
        <v>1729</v>
      </c>
      <c r="B1457" s="4" t="s">
        <v>1730</v>
      </c>
      <c r="C1457" s="4" t="s">
        <v>1726</v>
      </c>
      <c r="D1457" s="5">
        <v>45</v>
      </c>
      <c r="E1457" s="7">
        <f>TRUNC([1]단가대비표!O416,0)</f>
        <v>8500</v>
      </c>
      <c r="F1457" s="7">
        <f t="shared" si="159"/>
        <v>382500</v>
      </c>
      <c r="G1457" s="7">
        <f>TRUNC([1]단가대비표!P416,0)</f>
        <v>0</v>
      </c>
      <c r="H1457" s="7">
        <f t="shared" si="160"/>
        <v>0</v>
      </c>
      <c r="I1457" s="7">
        <f>TRUNC([1]단가대비표!V416,0)</f>
        <v>0</v>
      </c>
      <c r="J1457" s="7">
        <f t="shared" si="161"/>
        <v>0</v>
      </c>
      <c r="K1457" s="7">
        <f t="shared" si="162"/>
        <v>8500</v>
      </c>
      <c r="L1457" s="7">
        <f t="shared" si="162"/>
        <v>382500</v>
      </c>
      <c r="M1457" s="4" t="s">
        <v>55</v>
      </c>
      <c r="N1457" s="6" t="s">
        <v>2921</v>
      </c>
      <c r="O1457" s="6" t="s">
        <v>55</v>
      </c>
      <c r="P1457" s="6" t="s">
        <v>55</v>
      </c>
      <c r="Q1457" s="6" t="s">
        <v>2815</v>
      </c>
      <c r="R1457" s="6" t="s">
        <v>56</v>
      </c>
      <c r="S1457" s="6" t="s">
        <v>56</v>
      </c>
      <c r="T1457" s="6" t="s">
        <v>57</v>
      </c>
      <c r="AR1457" s="6" t="s">
        <v>55</v>
      </c>
      <c r="AS1457" s="6" t="s">
        <v>55</v>
      </c>
      <c r="AU1457" s="6" t="s">
        <v>2922</v>
      </c>
      <c r="AV1457">
        <v>1409</v>
      </c>
    </row>
    <row r="1458" spans="1:48" ht="30" customHeight="1" x14ac:dyDescent="0.3">
      <c r="A1458" s="4" t="s">
        <v>1733</v>
      </c>
      <c r="B1458" s="4" t="s">
        <v>1734</v>
      </c>
      <c r="C1458" s="4" t="s">
        <v>1726</v>
      </c>
      <c r="D1458" s="5">
        <v>112</v>
      </c>
      <c r="E1458" s="7">
        <f>TRUNC([1]단가대비표!O417,0)</f>
        <v>9500</v>
      </c>
      <c r="F1458" s="7">
        <f t="shared" si="159"/>
        <v>1064000</v>
      </c>
      <c r="G1458" s="7">
        <f>TRUNC([1]단가대비표!P417,0)</f>
        <v>0</v>
      </c>
      <c r="H1458" s="7">
        <f t="shared" si="160"/>
        <v>0</v>
      </c>
      <c r="I1458" s="7">
        <f>TRUNC([1]단가대비표!V417,0)</f>
        <v>0</v>
      </c>
      <c r="J1458" s="7">
        <f t="shared" si="161"/>
        <v>0</v>
      </c>
      <c r="K1458" s="7">
        <f t="shared" si="162"/>
        <v>9500</v>
      </c>
      <c r="L1458" s="7">
        <f t="shared" si="162"/>
        <v>1064000</v>
      </c>
      <c r="M1458" s="4" t="s">
        <v>55</v>
      </c>
      <c r="N1458" s="6" t="s">
        <v>2923</v>
      </c>
      <c r="O1458" s="6" t="s">
        <v>55</v>
      </c>
      <c r="P1458" s="6" t="s">
        <v>55</v>
      </c>
      <c r="Q1458" s="6" t="s">
        <v>2815</v>
      </c>
      <c r="R1458" s="6" t="s">
        <v>56</v>
      </c>
      <c r="S1458" s="6" t="s">
        <v>56</v>
      </c>
      <c r="T1458" s="6" t="s">
        <v>57</v>
      </c>
      <c r="AR1458" s="6" t="s">
        <v>55</v>
      </c>
      <c r="AS1458" s="6" t="s">
        <v>55</v>
      </c>
      <c r="AU1458" s="6" t="s">
        <v>2924</v>
      </c>
      <c r="AV1458">
        <v>1410</v>
      </c>
    </row>
    <row r="1459" spans="1:48" ht="30" customHeight="1" x14ac:dyDescent="0.3">
      <c r="A1459" s="4" t="s">
        <v>1737</v>
      </c>
      <c r="B1459" s="4" t="s">
        <v>1738</v>
      </c>
      <c r="C1459" s="4" t="s">
        <v>1726</v>
      </c>
      <c r="D1459" s="5">
        <v>9</v>
      </c>
      <c r="E1459" s="7">
        <f>TRUNC([1]단가대비표!O418,0)</f>
        <v>9500</v>
      </c>
      <c r="F1459" s="7">
        <f t="shared" si="159"/>
        <v>85500</v>
      </c>
      <c r="G1459" s="7">
        <f>TRUNC([1]단가대비표!P418,0)</f>
        <v>0</v>
      </c>
      <c r="H1459" s="7">
        <f t="shared" si="160"/>
        <v>0</v>
      </c>
      <c r="I1459" s="7">
        <f>TRUNC([1]단가대비표!V418,0)</f>
        <v>0</v>
      </c>
      <c r="J1459" s="7">
        <f t="shared" si="161"/>
        <v>0</v>
      </c>
      <c r="K1459" s="7">
        <f t="shared" si="162"/>
        <v>9500</v>
      </c>
      <c r="L1459" s="7">
        <f t="shared" si="162"/>
        <v>85500</v>
      </c>
      <c r="M1459" s="4" t="s">
        <v>55</v>
      </c>
      <c r="N1459" s="6" t="s">
        <v>2925</v>
      </c>
      <c r="O1459" s="6" t="s">
        <v>55</v>
      </c>
      <c r="P1459" s="6" t="s">
        <v>55</v>
      </c>
      <c r="Q1459" s="6" t="s">
        <v>2815</v>
      </c>
      <c r="R1459" s="6" t="s">
        <v>56</v>
      </c>
      <c r="S1459" s="6" t="s">
        <v>56</v>
      </c>
      <c r="T1459" s="6" t="s">
        <v>57</v>
      </c>
      <c r="AR1459" s="6" t="s">
        <v>55</v>
      </c>
      <c r="AS1459" s="6" t="s">
        <v>55</v>
      </c>
      <c r="AU1459" s="6" t="s">
        <v>2926</v>
      </c>
      <c r="AV1459">
        <v>1411</v>
      </c>
    </row>
    <row r="1460" spans="1:48" ht="30" customHeight="1" x14ac:dyDescent="0.3">
      <c r="A1460" s="4" t="s">
        <v>1741</v>
      </c>
      <c r="B1460" s="4" t="s">
        <v>1742</v>
      </c>
      <c r="C1460" s="4" t="s">
        <v>1726</v>
      </c>
      <c r="D1460" s="5">
        <v>5</v>
      </c>
      <c r="E1460" s="7">
        <f>TRUNC([1]단가대비표!O419,0)</f>
        <v>23000</v>
      </c>
      <c r="F1460" s="7">
        <f t="shared" si="159"/>
        <v>115000</v>
      </c>
      <c r="G1460" s="7">
        <f>TRUNC([1]단가대비표!P419,0)</f>
        <v>0</v>
      </c>
      <c r="H1460" s="7">
        <f t="shared" si="160"/>
        <v>0</v>
      </c>
      <c r="I1460" s="7">
        <f>TRUNC([1]단가대비표!V419,0)</f>
        <v>0</v>
      </c>
      <c r="J1460" s="7">
        <f t="shared" si="161"/>
        <v>0</v>
      </c>
      <c r="K1460" s="7">
        <f t="shared" ref="K1460:L1485" si="163">TRUNC(E1460+G1460+I1460, 0)</f>
        <v>23000</v>
      </c>
      <c r="L1460" s="7">
        <f t="shared" si="163"/>
        <v>115000</v>
      </c>
      <c r="M1460" s="4" t="s">
        <v>55</v>
      </c>
      <c r="N1460" s="6" t="s">
        <v>2927</v>
      </c>
      <c r="O1460" s="6" t="s">
        <v>55</v>
      </c>
      <c r="P1460" s="6" t="s">
        <v>55</v>
      </c>
      <c r="Q1460" s="6" t="s">
        <v>2815</v>
      </c>
      <c r="R1460" s="6" t="s">
        <v>56</v>
      </c>
      <c r="S1460" s="6" t="s">
        <v>56</v>
      </c>
      <c r="T1460" s="6" t="s">
        <v>57</v>
      </c>
      <c r="AR1460" s="6" t="s">
        <v>55</v>
      </c>
      <c r="AS1460" s="6" t="s">
        <v>55</v>
      </c>
      <c r="AU1460" s="6" t="s">
        <v>2928</v>
      </c>
      <c r="AV1460">
        <v>1412</v>
      </c>
    </row>
    <row r="1461" spans="1:48" ht="30" customHeight="1" x14ac:dyDescent="0.3">
      <c r="A1461" s="4" t="s">
        <v>1745</v>
      </c>
      <c r="B1461" s="4" t="s">
        <v>1746</v>
      </c>
      <c r="C1461" s="4" t="s">
        <v>1726</v>
      </c>
      <c r="D1461" s="5">
        <v>33</v>
      </c>
      <c r="E1461" s="7">
        <f>TRUNC([1]단가대비표!O420,0)</f>
        <v>76000</v>
      </c>
      <c r="F1461" s="7">
        <f t="shared" si="159"/>
        <v>2508000</v>
      </c>
      <c r="G1461" s="7">
        <f>TRUNC([1]단가대비표!P420,0)</f>
        <v>0</v>
      </c>
      <c r="H1461" s="7">
        <f t="shared" si="160"/>
        <v>0</v>
      </c>
      <c r="I1461" s="7">
        <f>TRUNC([1]단가대비표!V420,0)</f>
        <v>0</v>
      </c>
      <c r="J1461" s="7">
        <f t="shared" si="161"/>
        <v>0</v>
      </c>
      <c r="K1461" s="7">
        <f t="shared" si="163"/>
        <v>76000</v>
      </c>
      <c r="L1461" s="7">
        <f t="shared" si="163"/>
        <v>2508000</v>
      </c>
      <c r="M1461" s="4" t="s">
        <v>55</v>
      </c>
      <c r="N1461" s="6" t="s">
        <v>2929</v>
      </c>
      <c r="O1461" s="6" t="s">
        <v>55</v>
      </c>
      <c r="P1461" s="6" t="s">
        <v>55</v>
      </c>
      <c r="Q1461" s="6" t="s">
        <v>2815</v>
      </c>
      <c r="R1461" s="6" t="s">
        <v>56</v>
      </c>
      <c r="S1461" s="6" t="s">
        <v>56</v>
      </c>
      <c r="T1461" s="6" t="s">
        <v>57</v>
      </c>
      <c r="AR1461" s="6" t="s">
        <v>55</v>
      </c>
      <c r="AS1461" s="6" t="s">
        <v>55</v>
      </c>
      <c r="AU1461" s="6" t="s">
        <v>2930</v>
      </c>
      <c r="AV1461">
        <v>1413</v>
      </c>
    </row>
    <row r="1462" spans="1:48" ht="30" customHeight="1" x14ac:dyDescent="0.3">
      <c r="A1462" s="4" t="s">
        <v>1755</v>
      </c>
      <c r="B1462" s="4" t="s">
        <v>1756</v>
      </c>
      <c r="C1462" s="4" t="s">
        <v>1726</v>
      </c>
      <c r="D1462" s="5">
        <v>5</v>
      </c>
      <c r="E1462" s="7">
        <f>TRUNC([1]단가대비표!O421,0)</f>
        <v>42000</v>
      </c>
      <c r="F1462" s="7">
        <f t="shared" si="159"/>
        <v>210000</v>
      </c>
      <c r="G1462" s="7">
        <f>TRUNC([1]단가대비표!P421,0)</f>
        <v>0</v>
      </c>
      <c r="H1462" s="7">
        <f t="shared" si="160"/>
        <v>0</v>
      </c>
      <c r="I1462" s="7">
        <f>TRUNC([1]단가대비표!V421,0)</f>
        <v>0</v>
      </c>
      <c r="J1462" s="7">
        <f t="shared" si="161"/>
        <v>0</v>
      </c>
      <c r="K1462" s="7">
        <f t="shared" si="163"/>
        <v>42000</v>
      </c>
      <c r="L1462" s="7">
        <f t="shared" si="163"/>
        <v>210000</v>
      </c>
      <c r="M1462" s="4" t="s">
        <v>55</v>
      </c>
      <c r="N1462" s="6" t="s">
        <v>2931</v>
      </c>
      <c r="O1462" s="6" t="s">
        <v>55</v>
      </c>
      <c r="P1462" s="6" t="s">
        <v>55</v>
      </c>
      <c r="Q1462" s="6" t="s">
        <v>2815</v>
      </c>
      <c r="R1462" s="6" t="s">
        <v>56</v>
      </c>
      <c r="S1462" s="6" t="s">
        <v>56</v>
      </c>
      <c r="T1462" s="6" t="s">
        <v>57</v>
      </c>
      <c r="AR1462" s="6" t="s">
        <v>55</v>
      </c>
      <c r="AS1462" s="6" t="s">
        <v>55</v>
      </c>
      <c r="AU1462" s="6" t="s">
        <v>2932</v>
      </c>
      <c r="AV1462">
        <v>1416</v>
      </c>
    </row>
    <row r="1463" spans="1:48" ht="30" customHeight="1" x14ac:dyDescent="0.3">
      <c r="A1463" s="4" t="s">
        <v>1759</v>
      </c>
      <c r="B1463" s="4" t="s">
        <v>1760</v>
      </c>
      <c r="C1463" s="4" t="s">
        <v>1726</v>
      </c>
      <c r="D1463" s="5">
        <v>18</v>
      </c>
      <c r="E1463" s="7">
        <f>TRUNC([1]단가대비표!O422,0)</f>
        <v>7500</v>
      </c>
      <c r="F1463" s="7">
        <f t="shared" si="159"/>
        <v>135000</v>
      </c>
      <c r="G1463" s="7">
        <f>TRUNC([1]단가대비표!P422,0)</f>
        <v>0</v>
      </c>
      <c r="H1463" s="7">
        <f t="shared" si="160"/>
        <v>0</v>
      </c>
      <c r="I1463" s="7">
        <f>TRUNC([1]단가대비표!V422,0)</f>
        <v>0</v>
      </c>
      <c r="J1463" s="7">
        <f t="shared" si="161"/>
        <v>0</v>
      </c>
      <c r="K1463" s="7">
        <f t="shared" si="163"/>
        <v>7500</v>
      </c>
      <c r="L1463" s="7">
        <f t="shared" si="163"/>
        <v>135000</v>
      </c>
      <c r="M1463" s="4" t="s">
        <v>55</v>
      </c>
      <c r="N1463" s="6" t="s">
        <v>2933</v>
      </c>
      <c r="O1463" s="6" t="s">
        <v>55</v>
      </c>
      <c r="P1463" s="6" t="s">
        <v>55</v>
      </c>
      <c r="Q1463" s="6" t="s">
        <v>2815</v>
      </c>
      <c r="R1463" s="6" t="s">
        <v>56</v>
      </c>
      <c r="S1463" s="6" t="s">
        <v>56</v>
      </c>
      <c r="T1463" s="6" t="s">
        <v>57</v>
      </c>
      <c r="AR1463" s="6" t="s">
        <v>55</v>
      </c>
      <c r="AS1463" s="6" t="s">
        <v>55</v>
      </c>
      <c r="AU1463" s="6" t="s">
        <v>2934</v>
      </c>
      <c r="AV1463">
        <v>1417</v>
      </c>
    </row>
    <row r="1464" spans="1:48" ht="30" customHeight="1" x14ac:dyDescent="0.3">
      <c r="A1464" s="4" t="s">
        <v>2935</v>
      </c>
      <c r="B1464" s="4" t="s">
        <v>2936</v>
      </c>
      <c r="C1464" s="4" t="s">
        <v>1726</v>
      </c>
      <c r="D1464" s="5">
        <v>10</v>
      </c>
      <c r="E1464" s="7">
        <f>TRUNC([1]단가대비표!O423,0)</f>
        <v>80000</v>
      </c>
      <c r="F1464" s="7">
        <f t="shared" si="159"/>
        <v>800000</v>
      </c>
      <c r="G1464" s="7">
        <f>TRUNC([1]단가대비표!P423,0)</f>
        <v>0</v>
      </c>
      <c r="H1464" s="7">
        <f t="shared" si="160"/>
        <v>0</v>
      </c>
      <c r="I1464" s="7">
        <f>TRUNC([1]단가대비표!V423,0)</f>
        <v>0</v>
      </c>
      <c r="J1464" s="7">
        <f t="shared" si="161"/>
        <v>0</v>
      </c>
      <c r="K1464" s="7">
        <f t="shared" si="163"/>
        <v>80000</v>
      </c>
      <c r="L1464" s="7">
        <f t="shared" si="163"/>
        <v>800000</v>
      </c>
      <c r="M1464" s="4" t="s">
        <v>55</v>
      </c>
      <c r="N1464" s="6" t="s">
        <v>2937</v>
      </c>
      <c r="O1464" s="6" t="s">
        <v>55</v>
      </c>
      <c r="P1464" s="6" t="s">
        <v>55</v>
      </c>
      <c r="Q1464" s="6" t="s">
        <v>2815</v>
      </c>
      <c r="R1464" s="6" t="s">
        <v>56</v>
      </c>
      <c r="S1464" s="6" t="s">
        <v>56</v>
      </c>
      <c r="T1464" s="6" t="s">
        <v>57</v>
      </c>
      <c r="AR1464" s="6" t="s">
        <v>55</v>
      </c>
      <c r="AS1464" s="6" t="s">
        <v>55</v>
      </c>
      <c r="AU1464" s="6" t="s">
        <v>2938</v>
      </c>
      <c r="AV1464">
        <v>1418</v>
      </c>
    </row>
    <row r="1465" spans="1:48" ht="30" customHeight="1" x14ac:dyDescent="0.3">
      <c r="A1465" s="4" t="s">
        <v>1767</v>
      </c>
      <c r="B1465" s="4" t="s">
        <v>1768</v>
      </c>
      <c r="C1465" s="4" t="s">
        <v>1726</v>
      </c>
      <c r="D1465" s="5">
        <v>35</v>
      </c>
      <c r="E1465" s="7">
        <f>TRUNC([1]단가대비표!O424,0)</f>
        <v>7500</v>
      </c>
      <c r="F1465" s="7">
        <f t="shared" si="159"/>
        <v>262500</v>
      </c>
      <c r="G1465" s="7">
        <f>TRUNC([1]단가대비표!P424,0)</f>
        <v>0</v>
      </c>
      <c r="H1465" s="7">
        <f t="shared" si="160"/>
        <v>0</v>
      </c>
      <c r="I1465" s="7">
        <f>TRUNC([1]단가대비표!V424,0)</f>
        <v>0</v>
      </c>
      <c r="J1465" s="7">
        <f t="shared" si="161"/>
        <v>0</v>
      </c>
      <c r="K1465" s="7">
        <f t="shared" si="163"/>
        <v>7500</v>
      </c>
      <c r="L1465" s="7">
        <f t="shared" si="163"/>
        <v>262500</v>
      </c>
      <c r="M1465" s="4" t="s">
        <v>55</v>
      </c>
      <c r="N1465" s="6" t="s">
        <v>2939</v>
      </c>
      <c r="O1465" s="6" t="s">
        <v>55</v>
      </c>
      <c r="P1465" s="6" t="s">
        <v>55</v>
      </c>
      <c r="Q1465" s="6" t="s">
        <v>2815</v>
      </c>
      <c r="R1465" s="6" t="s">
        <v>56</v>
      </c>
      <c r="S1465" s="6" t="s">
        <v>56</v>
      </c>
      <c r="T1465" s="6" t="s">
        <v>57</v>
      </c>
      <c r="AR1465" s="6" t="s">
        <v>55</v>
      </c>
      <c r="AS1465" s="6" t="s">
        <v>55</v>
      </c>
      <c r="AU1465" s="6" t="s">
        <v>2940</v>
      </c>
      <c r="AV1465">
        <v>1420</v>
      </c>
    </row>
    <row r="1466" spans="1:48" ht="30" customHeight="1" x14ac:dyDescent="0.3">
      <c r="A1466" s="4" t="s">
        <v>2941</v>
      </c>
      <c r="B1466" s="4" t="s">
        <v>2942</v>
      </c>
      <c r="C1466" s="4" t="s">
        <v>1726</v>
      </c>
      <c r="D1466" s="5">
        <v>2</v>
      </c>
      <c r="E1466" s="7">
        <f>TRUNC([1]단가대비표!O425,0)</f>
        <v>8500</v>
      </c>
      <c r="F1466" s="7">
        <f t="shared" si="159"/>
        <v>17000</v>
      </c>
      <c r="G1466" s="7">
        <f>TRUNC([1]단가대비표!P425,0)</f>
        <v>0</v>
      </c>
      <c r="H1466" s="7">
        <f t="shared" si="160"/>
        <v>0</v>
      </c>
      <c r="I1466" s="7">
        <f>TRUNC([1]단가대비표!V425,0)</f>
        <v>0</v>
      </c>
      <c r="J1466" s="7">
        <f t="shared" si="161"/>
        <v>0</v>
      </c>
      <c r="K1466" s="7">
        <f t="shared" si="163"/>
        <v>8500</v>
      </c>
      <c r="L1466" s="7">
        <f t="shared" si="163"/>
        <v>17000</v>
      </c>
      <c r="M1466" s="4" t="s">
        <v>55</v>
      </c>
      <c r="N1466" s="6" t="s">
        <v>2943</v>
      </c>
      <c r="O1466" s="6" t="s">
        <v>55</v>
      </c>
      <c r="P1466" s="6" t="s">
        <v>55</v>
      </c>
      <c r="Q1466" s="6" t="s">
        <v>2815</v>
      </c>
      <c r="R1466" s="6" t="s">
        <v>56</v>
      </c>
      <c r="S1466" s="6" t="s">
        <v>56</v>
      </c>
      <c r="T1466" s="6" t="s">
        <v>57</v>
      </c>
      <c r="AR1466" s="6" t="s">
        <v>55</v>
      </c>
      <c r="AS1466" s="6" t="s">
        <v>55</v>
      </c>
      <c r="AU1466" s="6" t="s">
        <v>2944</v>
      </c>
      <c r="AV1466">
        <v>1421</v>
      </c>
    </row>
    <row r="1467" spans="1:48" ht="30" customHeight="1" x14ac:dyDescent="0.3">
      <c r="A1467" s="4" t="s">
        <v>1771</v>
      </c>
      <c r="B1467" s="4" t="s">
        <v>1772</v>
      </c>
      <c r="C1467" s="4" t="s">
        <v>1726</v>
      </c>
      <c r="D1467" s="5">
        <v>16</v>
      </c>
      <c r="E1467" s="7">
        <f>TRUNC([1]단가대비표!O426,0)</f>
        <v>13000</v>
      </c>
      <c r="F1467" s="7">
        <f t="shared" si="159"/>
        <v>208000</v>
      </c>
      <c r="G1467" s="7">
        <f>TRUNC([1]단가대비표!P426,0)</f>
        <v>0</v>
      </c>
      <c r="H1467" s="7">
        <f t="shared" si="160"/>
        <v>0</v>
      </c>
      <c r="I1467" s="7">
        <f>TRUNC([1]단가대비표!V426,0)</f>
        <v>0</v>
      </c>
      <c r="J1467" s="7">
        <f t="shared" si="161"/>
        <v>0</v>
      </c>
      <c r="K1467" s="7">
        <f t="shared" si="163"/>
        <v>13000</v>
      </c>
      <c r="L1467" s="7">
        <f t="shared" si="163"/>
        <v>208000</v>
      </c>
      <c r="M1467" s="4" t="s">
        <v>55</v>
      </c>
      <c r="N1467" s="6" t="s">
        <v>2945</v>
      </c>
      <c r="O1467" s="6" t="s">
        <v>55</v>
      </c>
      <c r="P1467" s="6" t="s">
        <v>55</v>
      </c>
      <c r="Q1467" s="6" t="s">
        <v>2815</v>
      </c>
      <c r="R1467" s="6" t="s">
        <v>56</v>
      </c>
      <c r="S1467" s="6" t="s">
        <v>56</v>
      </c>
      <c r="T1467" s="6" t="s">
        <v>57</v>
      </c>
      <c r="AR1467" s="6" t="s">
        <v>55</v>
      </c>
      <c r="AS1467" s="6" t="s">
        <v>55</v>
      </c>
      <c r="AU1467" s="6" t="s">
        <v>2946</v>
      </c>
      <c r="AV1467">
        <v>1422</v>
      </c>
    </row>
    <row r="1468" spans="1:48" ht="30" customHeight="1" x14ac:dyDescent="0.3">
      <c r="A1468" s="4" t="s">
        <v>1779</v>
      </c>
      <c r="B1468" s="4" t="s">
        <v>1780</v>
      </c>
      <c r="C1468" s="4" t="s">
        <v>1726</v>
      </c>
      <c r="D1468" s="5">
        <v>7</v>
      </c>
      <c r="E1468" s="7">
        <f>TRUNC([1]단가대비표!O427,0)</f>
        <v>62000</v>
      </c>
      <c r="F1468" s="7">
        <f t="shared" si="159"/>
        <v>434000</v>
      </c>
      <c r="G1468" s="7">
        <f>TRUNC([1]단가대비표!P427,0)</f>
        <v>0</v>
      </c>
      <c r="H1468" s="7">
        <f t="shared" si="160"/>
        <v>0</v>
      </c>
      <c r="I1468" s="7">
        <f>TRUNC([1]단가대비표!V427,0)</f>
        <v>0</v>
      </c>
      <c r="J1468" s="7">
        <f t="shared" si="161"/>
        <v>0</v>
      </c>
      <c r="K1468" s="7">
        <f t="shared" si="163"/>
        <v>62000</v>
      </c>
      <c r="L1468" s="7">
        <f t="shared" si="163"/>
        <v>434000</v>
      </c>
      <c r="M1468" s="4" t="s">
        <v>55</v>
      </c>
      <c r="N1468" s="6" t="s">
        <v>2947</v>
      </c>
      <c r="O1468" s="6" t="s">
        <v>55</v>
      </c>
      <c r="P1468" s="6" t="s">
        <v>55</v>
      </c>
      <c r="Q1468" s="6" t="s">
        <v>2815</v>
      </c>
      <c r="R1468" s="6" t="s">
        <v>56</v>
      </c>
      <c r="S1468" s="6" t="s">
        <v>56</v>
      </c>
      <c r="T1468" s="6" t="s">
        <v>57</v>
      </c>
      <c r="AR1468" s="6" t="s">
        <v>55</v>
      </c>
      <c r="AS1468" s="6" t="s">
        <v>55</v>
      </c>
      <c r="AU1468" s="6" t="s">
        <v>2948</v>
      </c>
      <c r="AV1468">
        <v>1424</v>
      </c>
    </row>
    <row r="1469" spans="1:48" ht="30" customHeight="1" x14ac:dyDescent="0.3">
      <c r="A1469" s="4" t="s">
        <v>2949</v>
      </c>
      <c r="B1469" s="4" t="s">
        <v>2950</v>
      </c>
      <c r="C1469" s="4" t="s">
        <v>1726</v>
      </c>
      <c r="D1469" s="5">
        <v>5</v>
      </c>
      <c r="E1469" s="7">
        <f>TRUNC([1]단가대비표!O428,0)</f>
        <v>35000</v>
      </c>
      <c r="F1469" s="7">
        <f t="shared" si="159"/>
        <v>175000</v>
      </c>
      <c r="G1469" s="7">
        <f>TRUNC([1]단가대비표!P428,0)</f>
        <v>0</v>
      </c>
      <c r="H1469" s="7">
        <f t="shared" si="160"/>
        <v>0</v>
      </c>
      <c r="I1469" s="7">
        <f>TRUNC([1]단가대비표!V428,0)</f>
        <v>0</v>
      </c>
      <c r="J1469" s="7">
        <f t="shared" si="161"/>
        <v>0</v>
      </c>
      <c r="K1469" s="7">
        <f t="shared" si="163"/>
        <v>35000</v>
      </c>
      <c r="L1469" s="7">
        <f t="shared" si="163"/>
        <v>175000</v>
      </c>
      <c r="M1469" s="4" t="s">
        <v>55</v>
      </c>
      <c r="N1469" s="6" t="s">
        <v>2951</v>
      </c>
      <c r="O1469" s="6" t="s">
        <v>55</v>
      </c>
      <c r="P1469" s="6" t="s">
        <v>55</v>
      </c>
      <c r="Q1469" s="6" t="s">
        <v>2815</v>
      </c>
      <c r="R1469" s="6" t="s">
        <v>56</v>
      </c>
      <c r="S1469" s="6" t="s">
        <v>56</v>
      </c>
      <c r="T1469" s="6" t="s">
        <v>57</v>
      </c>
      <c r="AR1469" s="6" t="s">
        <v>55</v>
      </c>
      <c r="AS1469" s="6" t="s">
        <v>55</v>
      </c>
      <c r="AU1469" s="6" t="s">
        <v>2952</v>
      </c>
      <c r="AV1469">
        <v>1425</v>
      </c>
    </row>
    <row r="1470" spans="1:48" ht="30" customHeight="1" x14ac:dyDescent="0.3">
      <c r="A1470" s="4" t="s">
        <v>2953</v>
      </c>
      <c r="B1470" s="4" t="s">
        <v>2954</v>
      </c>
      <c r="C1470" s="4" t="s">
        <v>1726</v>
      </c>
      <c r="D1470" s="5">
        <v>5</v>
      </c>
      <c r="E1470" s="7">
        <f>TRUNC([1]단가대비표!O429,0)</f>
        <v>47000</v>
      </c>
      <c r="F1470" s="7">
        <f t="shared" si="159"/>
        <v>235000</v>
      </c>
      <c r="G1470" s="7">
        <f>TRUNC([1]단가대비표!P429,0)</f>
        <v>0</v>
      </c>
      <c r="H1470" s="7">
        <f t="shared" si="160"/>
        <v>0</v>
      </c>
      <c r="I1470" s="7">
        <f>TRUNC([1]단가대비표!V429,0)</f>
        <v>0</v>
      </c>
      <c r="J1470" s="7">
        <f t="shared" si="161"/>
        <v>0</v>
      </c>
      <c r="K1470" s="7">
        <f t="shared" si="163"/>
        <v>47000</v>
      </c>
      <c r="L1470" s="7">
        <f t="shared" si="163"/>
        <v>235000</v>
      </c>
      <c r="M1470" s="4" t="s">
        <v>55</v>
      </c>
      <c r="N1470" s="6" t="s">
        <v>2955</v>
      </c>
      <c r="O1470" s="6" t="s">
        <v>55</v>
      </c>
      <c r="P1470" s="6" t="s">
        <v>55</v>
      </c>
      <c r="Q1470" s="6" t="s">
        <v>2815</v>
      </c>
      <c r="R1470" s="6" t="s">
        <v>56</v>
      </c>
      <c r="S1470" s="6" t="s">
        <v>56</v>
      </c>
      <c r="T1470" s="6" t="s">
        <v>57</v>
      </c>
      <c r="AR1470" s="6" t="s">
        <v>55</v>
      </c>
      <c r="AS1470" s="6" t="s">
        <v>55</v>
      </c>
      <c r="AU1470" s="6" t="s">
        <v>2956</v>
      </c>
      <c r="AV1470">
        <v>1426</v>
      </c>
    </row>
    <row r="1471" spans="1:48" ht="30" customHeight="1" x14ac:dyDescent="0.3">
      <c r="A1471" s="4" t="s">
        <v>1783</v>
      </c>
      <c r="B1471" s="4" t="s">
        <v>1784</v>
      </c>
      <c r="C1471" s="4" t="s">
        <v>1726</v>
      </c>
      <c r="D1471" s="5">
        <v>10</v>
      </c>
      <c r="E1471" s="7">
        <f>TRUNC([1]단가대비표!O430,0)</f>
        <v>66000</v>
      </c>
      <c r="F1471" s="7">
        <f t="shared" si="159"/>
        <v>660000</v>
      </c>
      <c r="G1471" s="7">
        <f>TRUNC([1]단가대비표!P430,0)</f>
        <v>0</v>
      </c>
      <c r="H1471" s="7">
        <f t="shared" si="160"/>
        <v>0</v>
      </c>
      <c r="I1471" s="7">
        <f>TRUNC([1]단가대비표!V430,0)</f>
        <v>0</v>
      </c>
      <c r="J1471" s="7">
        <f t="shared" si="161"/>
        <v>0</v>
      </c>
      <c r="K1471" s="7">
        <f t="shared" si="163"/>
        <v>66000</v>
      </c>
      <c r="L1471" s="7">
        <f t="shared" si="163"/>
        <v>660000</v>
      </c>
      <c r="M1471" s="4" t="s">
        <v>55</v>
      </c>
      <c r="N1471" s="6" t="s">
        <v>2957</v>
      </c>
      <c r="O1471" s="6" t="s">
        <v>55</v>
      </c>
      <c r="P1471" s="6" t="s">
        <v>55</v>
      </c>
      <c r="Q1471" s="6" t="s">
        <v>2815</v>
      </c>
      <c r="R1471" s="6" t="s">
        <v>56</v>
      </c>
      <c r="S1471" s="6" t="s">
        <v>56</v>
      </c>
      <c r="T1471" s="6" t="s">
        <v>57</v>
      </c>
      <c r="AR1471" s="6" t="s">
        <v>55</v>
      </c>
      <c r="AS1471" s="6" t="s">
        <v>55</v>
      </c>
      <c r="AU1471" s="6" t="s">
        <v>2958</v>
      </c>
      <c r="AV1471">
        <v>1427</v>
      </c>
    </row>
    <row r="1472" spans="1:48" ht="30" customHeight="1" x14ac:dyDescent="0.3">
      <c r="A1472" s="4" t="s">
        <v>2959</v>
      </c>
      <c r="B1472" s="4" t="s">
        <v>2960</v>
      </c>
      <c r="C1472" s="4" t="s">
        <v>1726</v>
      </c>
      <c r="D1472" s="5">
        <v>2</v>
      </c>
      <c r="E1472" s="7">
        <f>TRUNC([1]단가대비표!O431,0)</f>
        <v>85000</v>
      </c>
      <c r="F1472" s="7">
        <f t="shared" si="159"/>
        <v>170000</v>
      </c>
      <c r="G1472" s="7">
        <f>TRUNC([1]단가대비표!P431,0)</f>
        <v>0</v>
      </c>
      <c r="H1472" s="7">
        <f t="shared" si="160"/>
        <v>0</v>
      </c>
      <c r="I1472" s="7">
        <f>TRUNC([1]단가대비표!V431,0)</f>
        <v>0</v>
      </c>
      <c r="J1472" s="7">
        <f t="shared" si="161"/>
        <v>0</v>
      </c>
      <c r="K1472" s="7">
        <f t="shared" si="163"/>
        <v>85000</v>
      </c>
      <c r="L1472" s="7">
        <f t="shared" si="163"/>
        <v>170000</v>
      </c>
      <c r="M1472" s="4" t="s">
        <v>55</v>
      </c>
      <c r="N1472" s="6" t="s">
        <v>2961</v>
      </c>
      <c r="O1472" s="6" t="s">
        <v>55</v>
      </c>
      <c r="P1472" s="6" t="s">
        <v>55</v>
      </c>
      <c r="Q1472" s="6" t="s">
        <v>2815</v>
      </c>
      <c r="R1472" s="6" t="s">
        <v>56</v>
      </c>
      <c r="S1472" s="6" t="s">
        <v>56</v>
      </c>
      <c r="T1472" s="6" t="s">
        <v>57</v>
      </c>
      <c r="AR1472" s="6" t="s">
        <v>55</v>
      </c>
      <c r="AS1472" s="6" t="s">
        <v>55</v>
      </c>
      <c r="AU1472" s="6" t="s">
        <v>2962</v>
      </c>
      <c r="AV1472">
        <v>1428</v>
      </c>
    </row>
    <row r="1473" spans="1:48" ht="30" customHeight="1" x14ac:dyDescent="0.3">
      <c r="A1473" s="4" t="s">
        <v>1795</v>
      </c>
      <c r="B1473" s="4" t="s">
        <v>1796</v>
      </c>
      <c r="C1473" s="4" t="s">
        <v>1726</v>
      </c>
      <c r="D1473" s="5">
        <v>5</v>
      </c>
      <c r="E1473" s="7">
        <f>TRUNC([1]단가대비표!O432,0)</f>
        <v>55000</v>
      </c>
      <c r="F1473" s="7">
        <f t="shared" si="159"/>
        <v>275000</v>
      </c>
      <c r="G1473" s="7">
        <f>TRUNC([1]단가대비표!P432,0)</f>
        <v>0</v>
      </c>
      <c r="H1473" s="7">
        <f t="shared" si="160"/>
        <v>0</v>
      </c>
      <c r="I1473" s="7">
        <f>TRUNC([1]단가대비표!V432,0)</f>
        <v>0</v>
      </c>
      <c r="J1473" s="7">
        <f t="shared" si="161"/>
        <v>0</v>
      </c>
      <c r="K1473" s="7">
        <f t="shared" si="163"/>
        <v>55000</v>
      </c>
      <c r="L1473" s="7">
        <f t="shared" si="163"/>
        <v>275000</v>
      </c>
      <c r="M1473" s="4" t="s">
        <v>55</v>
      </c>
      <c r="N1473" s="6" t="s">
        <v>2963</v>
      </c>
      <c r="O1473" s="6" t="s">
        <v>55</v>
      </c>
      <c r="P1473" s="6" t="s">
        <v>55</v>
      </c>
      <c r="Q1473" s="6" t="s">
        <v>2815</v>
      </c>
      <c r="R1473" s="6" t="s">
        <v>56</v>
      </c>
      <c r="S1473" s="6" t="s">
        <v>56</v>
      </c>
      <c r="T1473" s="6" t="s">
        <v>57</v>
      </c>
      <c r="AR1473" s="6" t="s">
        <v>55</v>
      </c>
      <c r="AS1473" s="6" t="s">
        <v>55</v>
      </c>
      <c r="AU1473" s="6" t="s">
        <v>2964</v>
      </c>
      <c r="AV1473">
        <v>1431</v>
      </c>
    </row>
    <row r="1474" spans="1:48" ht="30" customHeight="1" x14ac:dyDescent="0.3">
      <c r="A1474" s="4" t="s">
        <v>1807</v>
      </c>
      <c r="B1474" s="4" t="s">
        <v>1808</v>
      </c>
      <c r="C1474" s="4" t="s">
        <v>1726</v>
      </c>
      <c r="D1474" s="5">
        <v>33</v>
      </c>
      <c r="E1474" s="7">
        <f>TRUNC([1]단가대비표!O433,0)</f>
        <v>90000</v>
      </c>
      <c r="F1474" s="7">
        <f t="shared" si="159"/>
        <v>2970000</v>
      </c>
      <c r="G1474" s="7">
        <f>TRUNC([1]단가대비표!P433,0)</f>
        <v>0</v>
      </c>
      <c r="H1474" s="7">
        <f t="shared" si="160"/>
        <v>0</v>
      </c>
      <c r="I1474" s="7">
        <f>TRUNC([1]단가대비표!V433,0)</f>
        <v>0</v>
      </c>
      <c r="J1474" s="7">
        <f t="shared" si="161"/>
        <v>0</v>
      </c>
      <c r="K1474" s="7">
        <f t="shared" si="163"/>
        <v>90000</v>
      </c>
      <c r="L1474" s="7">
        <f t="shared" si="163"/>
        <v>2970000</v>
      </c>
      <c r="M1474" s="4" t="s">
        <v>55</v>
      </c>
      <c r="N1474" s="6" t="s">
        <v>2965</v>
      </c>
      <c r="O1474" s="6" t="s">
        <v>55</v>
      </c>
      <c r="P1474" s="6" t="s">
        <v>55</v>
      </c>
      <c r="Q1474" s="6" t="s">
        <v>2815</v>
      </c>
      <c r="R1474" s="6" t="s">
        <v>56</v>
      </c>
      <c r="S1474" s="6" t="s">
        <v>56</v>
      </c>
      <c r="T1474" s="6" t="s">
        <v>57</v>
      </c>
      <c r="AR1474" s="6" t="s">
        <v>55</v>
      </c>
      <c r="AS1474" s="6" t="s">
        <v>55</v>
      </c>
      <c r="AU1474" s="6" t="s">
        <v>2966</v>
      </c>
      <c r="AV1474">
        <v>1434</v>
      </c>
    </row>
    <row r="1475" spans="1:48" ht="30" customHeight="1" x14ac:dyDescent="0.3">
      <c r="A1475" s="4" t="s">
        <v>2967</v>
      </c>
      <c r="B1475" s="4" t="s">
        <v>2968</v>
      </c>
      <c r="C1475" s="4" t="s">
        <v>1726</v>
      </c>
      <c r="D1475" s="5">
        <v>2</v>
      </c>
      <c r="E1475" s="7">
        <f>TRUNC([1]단가대비표!O434,0)</f>
        <v>80000</v>
      </c>
      <c r="F1475" s="7">
        <f t="shared" si="159"/>
        <v>160000</v>
      </c>
      <c r="G1475" s="7">
        <f>TRUNC([1]단가대비표!P434,0)</f>
        <v>0</v>
      </c>
      <c r="H1475" s="7">
        <f t="shared" si="160"/>
        <v>0</v>
      </c>
      <c r="I1475" s="7">
        <f>TRUNC([1]단가대비표!V434,0)</f>
        <v>0</v>
      </c>
      <c r="J1475" s="7">
        <f t="shared" si="161"/>
        <v>0</v>
      </c>
      <c r="K1475" s="7">
        <f t="shared" si="163"/>
        <v>80000</v>
      </c>
      <c r="L1475" s="7">
        <f t="shared" si="163"/>
        <v>160000</v>
      </c>
      <c r="M1475" s="4" t="s">
        <v>55</v>
      </c>
      <c r="N1475" s="6" t="s">
        <v>2969</v>
      </c>
      <c r="O1475" s="6" t="s">
        <v>55</v>
      </c>
      <c r="P1475" s="6" t="s">
        <v>55</v>
      </c>
      <c r="Q1475" s="6" t="s">
        <v>2815</v>
      </c>
      <c r="R1475" s="6" t="s">
        <v>56</v>
      </c>
      <c r="S1475" s="6" t="s">
        <v>56</v>
      </c>
      <c r="T1475" s="6" t="s">
        <v>57</v>
      </c>
      <c r="AR1475" s="6" t="s">
        <v>55</v>
      </c>
      <c r="AS1475" s="6" t="s">
        <v>55</v>
      </c>
      <c r="AU1475" s="6" t="s">
        <v>2970</v>
      </c>
      <c r="AV1475">
        <v>1435</v>
      </c>
    </row>
    <row r="1476" spans="1:48" ht="30" customHeight="1" x14ac:dyDescent="0.3">
      <c r="A1476" s="4" t="s">
        <v>1811</v>
      </c>
      <c r="B1476" s="4" t="s">
        <v>1812</v>
      </c>
      <c r="C1476" s="4" t="s">
        <v>1726</v>
      </c>
      <c r="D1476" s="5">
        <v>2</v>
      </c>
      <c r="E1476" s="7">
        <f>TRUNC([1]단가대비표!O435,0)</f>
        <v>76000</v>
      </c>
      <c r="F1476" s="7">
        <f t="shared" si="159"/>
        <v>152000</v>
      </c>
      <c r="G1476" s="7">
        <f>TRUNC([1]단가대비표!P435,0)</f>
        <v>0</v>
      </c>
      <c r="H1476" s="7">
        <f t="shared" si="160"/>
        <v>0</v>
      </c>
      <c r="I1476" s="7">
        <f>TRUNC([1]단가대비표!V435,0)</f>
        <v>0</v>
      </c>
      <c r="J1476" s="7">
        <f t="shared" si="161"/>
        <v>0</v>
      </c>
      <c r="K1476" s="7">
        <f t="shared" si="163"/>
        <v>76000</v>
      </c>
      <c r="L1476" s="7">
        <f t="shared" si="163"/>
        <v>152000</v>
      </c>
      <c r="M1476" s="4" t="s">
        <v>55</v>
      </c>
      <c r="N1476" s="6" t="s">
        <v>2971</v>
      </c>
      <c r="O1476" s="6" t="s">
        <v>55</v>
      </c>
      <c r="P1476" s="6" t="s">
        <v>55</v>
      </c>
      <c r="Q1476" s="6" t="s">
        <v>2815</v>
      </c>
      <c r="R1476" s="6" t="s">
        <v>56</v>
      </c>
      <c r="S1476" s="6" t="s">
        <v>56</v>
      </c>
      <c r="T1476" s="6" t="s">
        <v>57</v>
      </c>
      <c r="AR1476" s="6" t="s">
        <v>55</v>
      </c>
      <c r="AS1476" s="6" t="s">
        <v>55</v>
      </c>
      <c r="AU1476" s="6" t="s">
        <v>2972</v>
      </c>
      <c r="AV1476">
        <v>1436</v>
      </c>
    </row>
    <row r="1477" spans="1:48" ht="30" customHeight="1" x14ac:dyDescent="0.3">
      <c r="A1477" s="4" t="s">
        <v>1831</v>
      </c>
      <c r="B1477" s="4" t="s">
        <v>1832</v>
      </c>
      <c r="C1477" s="4" t="s">
        <v>1726</v>
      </c>
      <c r="D1477" s="5">
        <v>5</v>
      </c>
      <c r="E1477" s="7">
        <f>TRUNC([1]단가대비표!O436,0)</f>
        <v>27000</v>
      </c>
      <c r="F1477" s="7">
        <f t="shared" si="159"/>
        <v>135000</v>
      </c>
      <c r="G1477" s="7">
        <f>TRUNC([1]단가대비표!P436,0)</f>
        <v>0</v>
      </c>
      <c r="H1477" s="7">
        <f t="shared" si="160"/>
        <v>0</v>
      </c>
      <c r="I1477" s="7">
        <f>TRUNC([1]단가대비표!V436,0)</f>
        <v>0</v>
      </c>
      <c r="J1477" s="7">
        <f t="shared" si="161"/>
        <v>0</v>
      </c>
      <c r="K1477" s="7">
        <f t="shared" si="163"/>
        <v>27000</v>
      </c>
      <c r="L1477" s="7">
        <f t="shared" si="163"/>
        <v>135000</v>
      </c>
      <c r="M1477" s="4" t="s">
        <v>55</v>
      </c>
      <c r="N1477" s="6" t="s">
        <v>2973</v>
      </c>
      <c r="O1477" s="6" t="s">
        <v>55</v>
      </c>
      <c r="P1477" s="6" t="s">
        <v>55</v>
      </c>
      <c r="Q1477" s="6" t="s">
        <v>2815</v>
      </c>
      <c r="R1477" s="6" t="s">
        <v>56</v>
      </c>
      <c r="S1477" s="6" t="s">
        <v>56</v>
      </c>
      <c r="T1477" s="6" t="s">
        <v>57</v>
      </c>
      <c r="AR1477" s="6" t="s">
        <v>55</v>
      </c>
      <c r="AS1477" s="6" t="s">
        <v>55</v>
      </c>
      <c r="AU1477" s="6" t="s">
        <v>2974</v>
      </c>
      <c r="AV1477">
        <v>1441</v>
      </c>
    </row>
    <row r="1478" spans="1:48" ht="30" customHeight="1" x14ac:dyDescent="0.3">
      <c r="A1478" s="4" t="s">
        <v>1840</v>
      </c>
      <c r="B1478" s="4" t="s">
        <v>2975</v>
      </c>
      <c r="C1478" s="4" t="s">
        <v>1837</v>
      </c>
      <c r="D1478" s="5">
        <v>3</v>
      </c>
      <c r="E1478" s="7">
        <f>TRUNC([1]단가대비표!O437,0)</f>
        <v>105000</v>
      </c>
      <c r="F1478" s="7">
        <f t="shared" si="159"/>
        <v>315000</v>
      </c>
      <c r="G1478" s="7">
        <f>TRUNC([1]단가대비표!P437,0)</f>
        <v>0</v>
      </c>
      <c r="H1478" s="7">
        <f t="shared" si="160"/>
        <v>0</v>
      </c>
      <c r="I1478" s="7">
        <f>TRUNC([1]단가대비표!V437,0)</f>
        <v>0</v>
      </c>
      <c r="J1478" s="7">
        <f t="shared" si="161"/>
        <v>0</v>
      </c>
      <c r="K1478" s="7">
        <f t="shared" si="163"/>
        <v>105000</v>
      </c>
      <c r="L1478" s="7">
        <f t="shared" si="163"/>
        <v>315000</v>
      </c>
      <c r="M1478" s="4" t="s">
        <v>55</v>
      </c>
      <c r="N1478" s="6" t="s">
        <v>2976</v>
      </c>
      <c r="O1478" s="6" t="s">
        <v>55</v>
      </c>
      <c r="P1478" s="6" t="s">
        <v>55</v>
      </c>
      <c r="Q1478" s="6" t="s">
        <v>2815</v>
      </c>
      <c r="R1478" s="6" t="s">
        <v>56</v>
      </c>
      <c r="S1478" s="6" t="s">
        <v>56</v>
      </c>
      <c r="T1478" s="6" t="s">
        <v>57</v>
      </c>
      <c r="AR1478" s="6" t="s">
        <v>55</v>
      </c>
      <c r="AS1478" s="6" t="s">
        <v>55</v>
      </c>
      <c r="AU1478" s="6" t="s">
        <v>2977</v>
      </c>
      <c r="AV1478">
        <v>1443</v>
      </c>
    </row>
    <row r="1479" spans="1:48" ht="30" customHeight="1" x14ac:dyDescent="0.3">
      <c r="A1479" s="4" t="s">
        <v>1840</v>
      </c>
      <c r="B1479" s="4" t="s">
        <v>1841</v>
      </c>
      <c r="C1479" s="4" t="s">
        <v>1837</v>
      </c>
      <c r="D1479" s="5">
        <v>4</v>
      </c>
      <c r="E1479" s="7">
        <f>TRUNC([1]단가대비표!O438,0)</f>
        <v>100000</v>
      </c>
      <c r="F1479" s="7">
        <f t="shared" si="159"/>
        <v>400000</v>
      </c>
      <c r="G1479" s="7">
        <f>TRUNC([1]단가대비표!P438,0)</f>
        <v>0</v>
      </c>
      <c r="H1479" s="7">
        <f t="shared" si="160"/>
        <v>0</v>
      </c>
      <c r="I1479" s="7">
        <f>TRUNC([1]단가대비표!V438,0)</f>
        <v>0</v>
      </c>
      <c r="J1479" s="7">
        <f t="shared" si="161"/>
        <v>0</v>
      </c>
      <c r="K1479" s="7">
        <f t="shared" si="163"/>
        <v>100000</v>
      </c>
      <c r="L1479" s="7">
        <f t="shared" si="163"/>
        <v>400000</v>
      </c>
      <c r="M1479" s="4" t="s">
        <v>55</v>
      </c>
      <c r="N1479" s="6" t="s">
        <v>2978</v>
      </c>
      <c r="O1479" s="6" t="s">
        <v>55</v>
      </c>
      <c r="P1479" s="6" t="s">
        <v>55</v>
      </c>
      <c r="Q1479" s="6" t="s">
        <v>2815</v>
      </c>
      <c r="R1479" s="6" t="s">
        <v>56</v>
      </c>
      <c r="S1479" s="6" t="s">
        <v>56</v>
      </c>
      <c r="T1479" s="6" t="s">
        <v>57</v>
      </c>
      <c r="AR1479" s="6" t="s">
        <v>55</v>
      </c>
      <c r="AS1479" s="6" t="s">
        <v>55</v>
      </c>
      <c r="AU1479" s="6" t="s">
        <v>2979</v>
      </c>
      <c r="AV1479">
        <v>1444</v>
      </c>
    </row>
    <row r="1480" spans="1:48" ht="30" customHeight="1" x14ac:dyDescent="0.3">
      <c r="A1480" s="4" t="s">
        <v>1848</v>
      </c>
      <c r="B1480" s="4" t="s">
        <v>1849</v>
      </c>
      <c r="C1480" s="4" t="s">
        <v>1726</v>
      </c>
      <c r="D1480" s="5">
        <v>1</v>
      </c>
      <c r="E1480" s="7">
        <f>TRUNC([1]단가대비표!O439,0)</f>
        <v>33000</v>
      </c>
      <c r="F1480" s="7">
        <f t="shared" si="159"/>
        <v>33000</v>
      </c>
      <c r="G1480" s="7">
        <f>TRUNC([1]단가대비표!P439,0)</f>
        <v>0</v>
      </c>
      <c r="H1480" s="7">
        <f t="shared" si="160"/>
        <v>0</v>
      </c>
      <c r="I1480" s="7">
        <f>TRUNC([1]단가대비표!V439,0)</f>
        <v>0</v>
      </c>
      <c r="J1480" s="7">
        <f t="shared" si="161"/>
        <v>0</v>
      </c>
      <c r="K1480" s="7">
        <f t="shared" si="163"/>
        <v>33000</v>
      </c>
      <c r="L1480" s="7">
        <f t="shared" si="163"/>
        <v>33000</v>
      </c>
      <c r="M1480" s="4" t="s">
        <v>55</v>
      </c>
      <c r="N1480" s="6" t="s">
        <v>2980</v>
      </c>
      <c r="O1480" s="6" t="s">
        <v>55</v>
      </c>
      <c r="P1480" s="6" t="s">
        <v>55</v>
      </c>
      <c r="Q1480" s="6" t="s">
        <v>2815</v>
      </c>
      <c r="R1480" s="6" t="s">
        <v>56</v>
      </c>
      <c r="S1480" s="6" t="s">
        <v>56</v>
      </c>
      <c r="T1480" s="6" t="s">
        <v>57</v>
      </c>
      <c r="AR1480" s="6" t="s">
        <v>55</v>
      </c>
      <c r="AS1480" s="6" t="s">
        <v>55</v>
      </c>
      <c r="AU1480" s="6" t="s">
        <v>2981</v>
      </c>
      <c r="AV1480">
        <v>1446</v>
      </c>
    </row>
    <row r="1481" spans="1:48" ht="30" customHeight="1" x14ac:dyDescent="0.3">
      <c r="A1481" s="4" t="s">
        <v>1852</v>
      </c>
      <c r="B1481" s="4" t="s">
        <v>1853</v>
      </c>
      <c r="C1481" s="4" t="s">
        <v>1726</v>
      </c>
      <c r="D1481" s="5">
        <v>3</v>
      </c>
      <c r="E1481" s="7">
        <f>TRUNC([1]단가대비표!O440,0)</f>
        <v>38000</v>
      </c>
      <c r="F1481" s="7">
        <f t="shared" si="159"/>
        <v>114000</v>
      </c>
      <c r="G1481" s="7">
        <f>TRUNC([1]단가대비표!P440,0)</f>
        <v>0</v>
      </c>
      <c r="H1481" s="7">
        <f t="shared" si="160"/>
        <v>0</v>
      </c>
      <c r="I1481" s="7">
        <f>TRUNC([1]단가대비표!V440,0)</f>
        <v>0</v>
      </c>
      <c r="J1481" s="7">
        <f t="shared" si="161"/>
        <v>0</v>
      </c>
      <c r="K1481" s="7">
        <f t="shared" si="163"/>
        <v>38000</v>
      </c>
      <c r="L1481" s="7">
        <f t="shared" si="163"/>
        <v>114000</v>
      </c>
      <c r="M1481" s="4" t="s">
        <v>55</v>
      </c>
      <c r="N1481" s="6" t="s">
        <v>2982</v>
      </c>
      <c r="O1481" s="6" t="s">
        <v>55</v>
      </c>
      <c r="P1481" s="6" t="s">
        <v>55</v>
      </c>
      <c r="Q1481" s="6" t="s">
        <v>2815</v>
      </c>
      <c r="R1481" s="6" t="s">
        <v>56</v>
      </c>
      <c r="S1481" s="6" t="s">
        <v>56</v>
      </c>
      <c r="T1481" s="6" t="s">
        <v>57</v>
      </c>
      <c r="AR1481" s="6" t="s">
        <v>55</v>
      </c>
      <c r="AS1481" s="6" t="s">
        <v>55</v>
      </c>
      <c r="AU1481" s="6" t="s">
        <v>2983</v>
      </c>
      <c r="AV1481">
        <v>1447</v>
      </c>
    </row>
    <row r="1482" spans="1:48" ht="30" customHeight="1" x14ac:dyDescent="0.3">
      <c r="A1482" s="4" t="s">
        <v>1856</v>
      </c>
      <c r="B1482" s="4" t="s">
        <v>2984</v>
      </c>
      <c r="C1482" s="4" t="s">
        <v>1726</v>
      </c>
      <c r="D1482" s="5">
        <v>1</v>
      </c>
      <c r="E1482" s="7">
        <f>TRUNC([1]단가대비표!O441,0)</f>
        <v>80000</v>
      </c>
      <c r="F1482" s="7">
        <f t="shared" si="159"/>
        <v>80000</v>
      </c>
      <c r="G1482" s="7">
        <f>TRUNC([1]단가대비표!P441,0)</f>
        <v>0</v>
      </c>
      <c r="H1482" s="7">
        <f t="shared" si="160"/>
        <v>0</v>
      </c>
      <c r="I1482" s="7">
        <f>TRUNC([1]단가대비표!V441,0)</f>
        <v>0</v>
      </c>
      <c r="J1482" s="7">
        <f t="shared" si="161"/>
        <v>0</v>
      </c>
      <c r="K1482" s="7">
        <f t="shared" si="163"/>
        <v>80000</v>
      </c>
      <c r="L1482" s="7">
        <f t="shared" si="163"/>
        <v>80000</v>
      </c>
      <c r="M1482" s="4" t="s">
        <v>55</v>
      </c>
      <c r="N1482" s="6" t="s">
        <v>2985</v>
      </c>
      <c r="O1482" s="6" t="s">
        <v>55</v>
      </c>
      <c r="P1482" s="6" t="s">
        <v>55</v>
      </c>
      <c r="Q1482" s="6" t="s">
        <v>2815</v>
      </c>
      <c r="R1482" s="6" t="s">
        <v>56</v>
      </c>
      <c r="S1482" s="6" t="s">
        <v>56</v>
      </c>
      <c r="T1482" s="6" t="s">
        <v>57</v>
      </c>
      <c r="AR1482" s="6" t="s">
        <v>55</v>
      </c>
      <c r="AS1482" s="6" t="s">
        <v>55</v>
      </c>
      <c r="AU1482" s="6" t="s">
        <v>2986</v>
      </c>
      <c r="AV1482">
        <v>1449</v>
      </c>
    </row>
    <row r="1483" spans="1:48" ht="30" customHeight="1" x14ac:dyDescent="0.3">
      <c r="A1483" s="4" t="s">
        <v>55</v>
      </c>
      <c r="B1483" s="4" t="s">
        <v>55</v>
      </c>
      <c r="C1483" s="4" t="s">
        <v>55</v>
      </c>
      <c r="D1483" s="5"/>
      <c r="E1483" s="7">
        <f>TRUNC([1]단가대비표!O833,0)</f>
        <v>0</v>
      </c>
      <c r="F1483" s="7">
        <f t="shared" si="159"/>
        <v>0</v>
      </c>
      <c r="G1483" s="7">
        <f>TRUNC([1]단가대비표!P833,0)</f>
        <v>0</v>
      </c>
      <c r="H1483" s="7">
        <f t="shared" si="160"/>
        <v>0</v>
      </c>
      <c r="I1483" s="7">
        <f>TRUNC([1]단가대비표!V833,0)</f>
        <v>0</v>
      </c>
      <c r="J1483" s="7">
        <f t="shared" si="161"/>
        <v>0</v>
      </c>
      <c r="K1483" s="7">
        <f t="shared" si="163"/>
        <v>0</v>
      </c>
      <c r="L1483" s="7">
        <f t="shared" si="163"/>
        <v>0</v>
      </c>
      <c r="M1483" s="4" t="s">
        <v>55</v>
      </c>
      <c r="N1483" s="6" t="s">
        <v>2987</v>
      </c>
      <c r="O1483" s="6" t="s">
        <v>55</v>
      </c>
      <c r="P1483" s="6" t="s">
        <v>55</v>
      </c>
      <c r="Q1483" s="6" t="s">
        <v>2815</v>
      </c>
      <c r="R1483" s="6" t="s">
        <v>56</v>
      </c>
      <c r="S1483" s="6" t="s">
        <v>56</v>
      </c>
      <c r="T1483" s="6" t="s">
        <v>57</v>
      </c>
      <c r="AR1483" s="6" t="s">
        <v>55</v>
      </c>
      <c r="AS1483" s="6" t="s">
        <v>55</v>
      </c>
      <c r="AU1483" s="6" t="s">
        <v>2988</v>
      </c>
      <c r="AV1483">
        <v>3028</v>
      </c>
    </row>
    <row r="1484" spans="1:48" ht="30" customHeight="1" x14ac:dyDescent="0.3">
      <c r="A1484" s="4" t="s">
        <v>1862</v>
      </c>
      <c r="B1484" s="4" t="s">
        <v>55</v>
      </c>
      <c r="C1484" s="4" t="s">
        <v>55</v>
      </c>
      <c r="D1484" s="5"/>
      <c r="E1484" s="7">
        <f>TRUNC([1]단가대비표!O834,0)</f>
        <v>0</v>
      </c>
      <c r="F1484" s="7">
        <f t="shared" si="159"/>
        <v>0</v>
      </c>
      <c r="G1484" s="7">
        <f>TRUNC([1]단가대비표!P834,0)</f>
        <v>0</v>
      </c>
      <c r="H1484" s="7">
        <f t="shared" si="160"/>
        <v>0</v>
      </c>
      <c r="I1484" s="7">
        <f>TRUNC([1]단가대비표!V834,0)</f>
        <v>0</v>
      </c>
      <c r="J1484" s="7">
        <f t="shared" si="161"/>
        <v>0</v>
      </c>
      <c r="K1484" s="7">
        <f t="shared" si="163"/>
        <v>0</v>
      </c>
      <c r="L1484" s="7">
        <f t="shared" si="163"/>
        <v>0</v>
      </c>
      <c r="M1484" s="4" t="s">
        <v>55</v>
      </c>
      <c r="N1484" s="6" t="s">
        <v>2989</v>
      </c>
      <c r="O1484" s="6" t="s">
        <v>55</v>
      </c>
      <c r="P1484" s="6" t="s">
        <v>55</v>
      </c>
      <c r="Q1484" s="6" t="s">
        <v>2815</v>
      </c>
      <c r="R1484" s="6" t="s">
        <v>56</v>
      </c>
      <c r="S1484" s="6" t="s">
        <v>56</v>
      </c>
      <c r="T1484" s="6" t="s">
        <v>57</v>
      </c>
      <c r="AR1484" s="6" t="s">
        <v>55</v>
      </c>
      <c r="AS1484" s="6" t="s">
        <v>55</v>
      </c>
      <c r="AU1484" s="6" t="s">
        <v>2990</v>
      </c>
      <c r="AV1484">
        <v>3029</v>
      </c>
    </row>
    <row r="1485" spans="1:48" ht="30" customHeight="1" x14ac:dyDescent="0.3">
      <c r="A1485" s="4" t="s">
        <v>2991</v>
      </c>
      <c r="B1485" s="4" t="s">
        <v>2992</v>
      </c>
      <c r="C1485" s="4" t="s">
        <v>81</v>
      </c>
      <c r="D1485" s="5">
        <v>1</v>
      </c>
      <c r="E1485" s="7">
        <f>TRUNC([1]단가대비표!O505,0)</f>
        <v>6857420</v>
      </c>
      <c r="F1485" s="7">
        <f t="shared" si="159"/>
        <v>6857420</v>
      </c>
      <c r="G1485" s="7">
        <f>TRUNC([1]단가대비표!P505,0)</f>
        <v>0</v>
      </c>
      <c r="H1485" s="7">
        <f t="shared" si="160"/>
        <v>0</v>
      </c>
      <c r="I1485" s="7">
        <f>TRUNC([1]단가대비표!V505,0)</f>
        <v>0</v>
      </c>
      <c r="J1485" s="7">
        <f t="shared" si="161"/>
        <v>0</v>
      </c>
      <c r="K1485" s="7">
        <f t="shared" si="163"/>
        <v>6857420</v>
      </c>
      <c r="L1485" s="7">
        <f t="shared" si="163"/>
        <v>6857420</v>
      </c>
      <c r="M1485" s="4" t="s">
        <v>115</v>
      </c>
      <c r="N1485" s="6" t="s">
        <v>2993</v>
      </c>
      <c r="O1485" s="6" t="s">
        <v>55</v>
      </c>
      <c r="P1485" s="6" t="s">
        <v>55</v>
      </c>
      <c r="Q1485" s="6" t="s">
        <v>2815</v>
      </c>
      <c r="R1485" s="6" t="s">
        <v>56</v>
      </c>
      <c r="S1485" s="6" t="s">
        <v>56</v>
      </c>
      <c r="T1485" s="6" t="s">
        <v>57</v>
      </c>
      <c r="AR1485" s="6" t="s">
        <v>55</v>
      </c>
      <c r="AS1485" s="6" t="s">
        <v>55</v>
      </c>
      <c r="AU1485" s="6" t="s">
        <v>2994</v>
      </c>
      <c r="AV1485">
        <v>1841</v>
      </c>
    </row>
    <row r="1486" spans="1:48" ht="30" customHeight="1" x14ac:dyDescent="0.3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</row>
    <row r="1487" spans="1:48" ht="30" customHeight="1" x14ac:dyDescent="0.3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</row>
    <row r="1488" spans="1:48" ht="30" customHeight="1" x14ac:dyDescent="0.3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</row>
    <row r="1489" spans="1:48" ht="30" customHeight="1" x14ac:dyDescent="0.3">
      <c r="A1489" s="4" t="s">
        <v>128</v>
      </c>
      <c r="B1489" s="5"/>
      <c r="C1489" s="5"/>
      <c r="D1489" s="5"/>
      <c r="E1489" s="5"/>
      <c r="F1489" s="7">
        <f>SUM(F1428:F1488)</f>
        <v>52605899</v>
      </c>
      <c r="G1489" s="5"/>
      <c r="H1489" s="7">
        <f>SUM(H1428:H1488)</f>
        <v>7274094</v>
      </c>
      <c r="I1489" s="5"/>
      <c r="J1489" s="7">
        <f>SUM(J1428:J1488)</f>
        <v>165732</v>
      </c>
      <c r="K1489" s="5"/>
      <c r="L1489" s="7">
        <f>SUM(L1428:L1488)</f>
        <v>60045725</v>
      </c>
      <c r="M1489" s="5"/>
      <c r="N1489" t="s">
        <v>129</v>
      </c>
    </row>
    <row r="1490" spans="1:48" ht="30" customHeight="1" x14ac:dyDescent="0.3">
      <c r="A1490" s="4" t="s">
        <v>2995</v>
      </c>
      <c r="B1490" s="4" t="s">
        <v>2626</v>
      </c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Q1490" s="6" t="s">
        <v>2996</v>
      </c>
    </row>
    <row r="1491" spans="1:48" ht="30" customHeight="1" x14ac:dyDescent="0.3">
      <c r="A1491" s="4" t="s">
        <v>1532</v>
      </c>
      <c r="B1491" s="4" t="s">
        <v>2031</v>
      </c>
      <c r="C1491" s="4" t="s">
        <v>125</v>
      </c>
      <c r="D1491" s="5">
        <v>1</v>
      </c>
      <c r="E1491" s="7">
        <f>TRUNC([1]단가대비표!O133,0)</f>
        <v>280982</v>
      </c>
      <c r="F1491" s="7">
        <f t="shared" ref="F1491:F1505" si="164">TRUNC(E1491*D1491, 0)</f>
        <v>280982</v>
      </c>
      <c r="G1491" s="7">
        <f>TRUNC([1]단가대비표!P133,0)</f>
        <v>0</v>
      </c>
      <c r="H1491" s="7">
        <f t="shared" ref="H1491:H1505" si="165">TRUNC(G1491*D1491, 0)</f>
        <v>0</v>
      </c>
      <c r="I1491" s="7">
        <f>TRUNC([1]단가대비표!V133,0)</f>
        <v>0</v>
      </c>
      <c r="J1491" s="7">
        <f t="shared" ref="J1491:J1505" si="166">TRUNC(I1491*D1491, 0)</f>
        <v>0</v>
      </c>
      <c r="K1491" s="7">
        <f t="shared" ref="K1491:L1505" si="167">TRUNC(E1491+G1491+I1491, 0)</f>
        <v>280982</v>
      </c>
      <c r="L1491" s="7">
        <f t="shared" si="167"/>
        <v>280982</v>
      </c>
      <c r="M1491" s="4" t="s">
        <v>55</v>
      </c>
      <c r="N1491" s="6" t="s">
        <v>2032</v>
      </c>
      <c r="O1491" s="6" t="s">
        <v>55</v>
      </c>
      <c r="P1491" s="6" t="s">
        <v>55</v>
      </c>
      <c r="Q1491" s="6" t="s">
        <v>2996</v>
      </c>
      <c r="R1491" s="6" t="s">
        <v>56</v>
      </c>
      <c r="S1491" s="6" t="s">
        <v>56</v>
      </c>
      <c r="T1491" s="6" t="s">
        <v>57</v>
      </c>
      <c r="AR1491" s="6" t="s">
        <v>55</v>
      </c>
      <c r="AS1491" s="6" t="s">
        <v>55</v>
      </c>
      <c r="AU1491" s="6" t="s">
        <v>2997</v>
      </c>
      <c r="AV1491">
        <v>830</v>
      </c>
    </row>
    <row r="1492" spans="1:48" ht="30" customHeight="1" x14ac:dyDescent="0.3">
      <c r="A1492" s="4" t="s">
        <v>1532</v>
      </c>
      <c r="B1492" s="4" t="s">
        <v>2037</v>
      </c>
      <c r="C1492" s="4" t="s">
        <v>125</v>
      </c>
      <c r="D1492" s="5">
        <v>3</v>
      </c>
      <c r="E1492" s="7">
        <f>TRUNC([1]단가대비표!O134,0)</f>
        <v>353235</v>
      </c>
      <c r="F1492" s="7">
        <f t="shared" si="164"/>
        <v>1059705</v>
      </c>
      <c r="G1492" s="7">
        <f>TRUNC([1]단가대비표!P134,0)</f>
        <v>0</v>
      </c>
      <c r="H1492" s="7">
        <f t="shared" si="165"/>
        <v>0</v>
      </c>
      <c r="I1492" s="7">
        <f>TRUNC([1]단가대비표!V134,0)</f>
        <v>0</v>
      </c>
      <c r="J1492" s="7">
        <f t="shared" si="166"/>
        <v>0</v>
      </c>
      <c r="K1492" s="7">
        <f t="shared" si="167"/>
        <v>353235</v>
      </c>
      <c r="L1492" s="7">
        <f t="shared" si="167"/>
        <v>1059705</v>
      </c>
      <c r="M1492" s="4" t="s">
        <v>55</v>
      </c>
      <c r="N1492" s="6" t="s">
        <v>2038</v>
      </c>
      <c r="O1492" s="6" t="s">
        <v>55</v>
      </c>
      <c r="P1492" s="6" t="s">
        <v>55</v>
      </c>
      <c r="Q1492" s="6" t="s">
        <v>2996</v>
      </c>
      <c r="R1492" s="6" t="s">
        <v>56</v>
      </c>
      <c r="S1492" s="6" t="s">
        <v>56</v>
      </c>
      <c r="T1492" s="6" t="s">
        <v>57</v>
      </c>
      <c r="AR1492" s="6" t="s">
        <v>55</v>
      </c>
      <c r="AS1492" s="6" t="s">
        <v>55</v>
      </c>
      <c r="AU1492" s="6" t="s">
        <v>2998</v>
      </c>
      <c r="AV1492">
        <v>831</v>
      </c>
    </row>
    <row r="1493" spans="1:48" ht="30" customHeight="1" x14ac:dyDescent="0.3">
      <c r="A1493" s="4" t="s">
        <v>1542</v>
      </c>
      <c r="B1493" s="4" t="s">
        <v>2043</v>
      </c>
      <c r="C1493" s="4" t="s">
        <v>61</v>
      </c>
      <c r="D1493" s="5">
        <v>21</v>
      </c>
      <c r="E1493" s="7">
        <f>TRUNC([1]단가대비표!O714,0)</f>
        <v>34000</v>
      </c>
      <c r="F1493" s="7">
        <f t="shared" si="164"/>
        <v>714000</v>
      </c>
      <c r="G1493" s="7">
        <f>TRUNC([1]단가대비표!P714,0)</f>
        <v>0</v>
      </c>
      <c r="H1493" s="7">
        <f t="shared" si="165"/>
        <v>0</v>
      </c>
      <c r="I1493" s="7">
        <f>TRUNC([1]단가대비표!V714,0)</f>
        <v>0</v>
      </c>
      <c r="J1493" s="7">
        <f t="shared" si="166"/>
        <v>0</v>
      </c>
      <c r="K1493" s="7">
        <f t="shared" si="167"/>
        <v>34000</v>
      </c>
      <c r="L1493" s="7">
        <f t="shared" si="167"/>
        <v>714000</v>
      </c>
      <c r="M1493" s="4" t="s">
        <v>55</v>
      </c>
      <c r="N1493" s="6" t="s">
        <v>2999</v>
      </c>
      <c r="O1493" s="6" t="s">
        <v>55</v>
      </c>
      <c r="P1493" s="6" t="s">
        <v>55</v>
      </c>
      <c r="Q1493" s="6" t="s">
        <v>2996</v>
      </c>
      <c r="R1493" s="6" t="s">
        <v>56</v>
      </c>
      <c r="S1493" s="6" t="s">
        <v>56</v>
      </c>
      <c r="T1493" s="6" t="s">
        <v>57</v>
      </c>
      <c r="AR1493" s="6" t="s">
        <v>55</v>
      </c>
      <c r="AS1493" s="6" t="s">
        <v>55</v>
      </c>
      <c r="AU1493" s="6" t="s">
        <v>3000</v>
      </c>
      <c r="AV1493">
        <v>2278</v>
      </c>
    </row>
    <row r="1494" spans="1:48" ht="30" customHeight="1" x14ac:dyDescent="0.3">
      <c r="A1494" s="4" t="s">
        <v>1542</v>
      </c>
      <c r="B1494" s="4" t="s">
        <v>2049</v>
      </c>
      <c r="C1494" s="4" t="s">
        <v>61</v>
      </c>
      <c r="D1494" s="5">
        <v>1</v>
      </c>
      <c r="E1494" s="7">
        <f>TRUNC([1]단가대비표!O715,0)</f>
        <v>42000</v>
      </c>
      <c r="F1494" s="7">
        <f t="shared" si="164"/>
        <v>42000</v>
      </c>
      <c r="G1494" s="7">
        <f>TRUNC([1]단가대비표!P715,0)</f>
        <v>0</v>
      </c>
      <c r="H1494" s="7">
        <f t="shared" si="165"/>
        <v>0</v>
      </c>
      <c r="I1494" s="7">
        <f>TRUNC([1]단가대비표!V715,0)</f>
        <v>0</v>
      </c>
      <c r="J1494" s="7">
        <f t="shared" si="166"/>
        <v>0</v>
      </c>
      <c r="K1494" s="7">
        <f t="shared" si="167"/>
        <v>42000</v>
      </c>
      <c r="L1494" s="7">
        <f t="shared" si="167"/>
        <v>42000</v>
      </c>
      <c r="M1494" s="4" t="s">
        <v>55</v>
      </c>
      <c r="N1494" s="6" t="s">
        <v>3001</v>
      </c>
      <c r="O1494" s="6" t="s">
        <v>55</v>
      </c>
      <c r="P1494" s="6" t="s">
        <v>55</v>
      </c>
      <c r="Q1494" s="6" t="s">
        <v>2996</v>
      </c>
      <c r="R1494" s="6" t="s">
        <v>56</v>
      </c>
      <c r="S1494" s="6" t="s">
        <v>56</v>
      </c>
      <c r="T1494" s="6" t="s">
        <v>57</v>
      </c>
      <c r="AR1494" s="6" t="s">
        <v>55</v>
      </c>
      <c r="AS1494" s="6" t="s">
        <v>55</v>
      </c>
      <c r="AU1494" s="6" t="s">
        <v>3002</v>
      </c>
      <c r="AV1494">
        <v>2279</v>
      </c>
    </row>
    <row r="1495" spans="1:48" ht="30" customHeight="1" x14ac:dyDescent="0.3">
      <c r="A1495" s="4" t="s">
        <v>2052</v>
      </c>
      <c r="B1495" s="4" t="s">
        <v>2056</v>
      </c>
      <c r="C1495" s="4" t="s">
        <v>61</v>
      </c>
      <c r="D1495" s="5">
        <v>100</v>
      </c>
      <c r="E1495" s="7">
        <f>TRUNC([1]단가대비표!O716,0)</f>
        <v>55000</v>
      </c>
      <c r="F1495" s="7">
        <f t="shared" si="164"/>
        <v>5500000</v>
      </c>
      <c r="G1495" s="7">
        <f>TRUNC([1]단가대비표!P716,0)</f>
        <v>0</v>
      </c>
      <c r="H1495" s="7">
        <f t="shared" si="165"/>
        <v>0</v>
      </c>
      <c r="I1495" s="7">
        <f>TRUNC([1]단가대비표!V716,0)</f>
        <v>0</v>
      </c>
      <c r="J1495" s="7">
        <f t="shared" si="166"/>
        <v>0</v>
      </c>
      <c r="K1495" s="7">
        <f t="shared" si="167"/>
        <v>55000</v>
      </c>
      <c r="L1495" s="7">
        <f t="shared" si="167"/>
        <v>5500000</v>
      </c>
      <c r="M1495" s="4" t="s">
        <v>55</v>
      </c>
      <c r="N1495" s="6" t="s">
        <v>3003</v>
      </c>
      <c r="O1495" s="6" t="s">
        <v>55</v>
      </c>
      <c r="P1495" s="6" t="s">
        <v>55</v>
      </c>
      <c r="Q1495" s="6" t="s">
        <v>2996</v>
      </c>
      <c r="R1495" s="6" t="s">
        <v>56</v>
      </c>
      <c r="S1495" s="6" t="s">
        <v>56</v>
      </c>
      <c r="T1495" s="6" t="s">
        <v>57</v>
      </c>
      <c r="AR1495" s="6" t="s">
        <v>55</v>
      </c>
      <c r="AS1495" s="6" t="s">
        <v>55</v>
      </c>
      <c r="AU1495" s="6" t="s">
        <v>3004</v>
      </c>
      <c r="AV1495">
        <v>2280</v>
      </c>
    </row>
    <row r="1496" spans="1:48" ht="30" customHeight="1" x14ac:dyDescent="0.3">
      <c r="A1496" s="4" t="s">
        <v>2052</v>
      </c>
      <c r="B1496" s="4" t="s">
        <v>2059</v>
      </c>
      <c r="C1496" s="4" t="s">
        <v>61</v>
      </c>
      <c r="D1496" s="5">
        <v>24</v>
      </c>
      <c r="E1496" s="7">
        <f>TRUNC([1]단가대비표!O717,0)</f>
        <v>56000</v>
      </c>
      <c r="F1496" s="7">
        <f t="shared" si="164"/>
        <v>1344000</v>
      </c>
      <c r="G1496" s="7">
        <f>TRUNC([1]단가대비표!P717,0)</f>
        <v>0</v>
      </c>
      <c r="H1496" s="7">
        <f t="shared" si="165"/>
        <v>0</v>
      </c>
      <c r="I1496" s="7">
        <f>TRUNC([1]단가대비표!V717,0)</f>
        <v>0</v>
      </c>
      <c r="J1496" s="7">
        <f t="shared" si="166"/>
        <v>0</v>
      </c>
      <c r="K1496" s="7">
        <f t="shared" si="167"/>
        <v>56000</v>
      </c>
      <c r="L1496" s="7">
        <f t="shared" si="167"/>
        <v>1344000</v>
      </c>
      <c r="M1496" s="4" t="s">
        <v>55</v>
      </c>
      <c r="N1496" s="6" t="s">
        <v>3005</v>
      </c>
      <c r="O1496" s="6" t="s">
        <v>55</v>
      </c>
      <c r="P1496" s="6" t="s">
        <v>55</v>
      </c>
      <c r="Q1496" s="6" t="s">
        <v>2996</v>
      </c>
      <c r="R1496" s="6" t="s">
        <v>56</v>
      </c>
      <c r="S1496" s="6" t="s">
        <v>56</v>
      </c>
      <c r="T1496" s="6" t="s">
        <v>57</v>
      </c>
      <c r="AR1496" s="6" t="s">
        <v>55</v>
      </c>
      <c r="AS1496" s="6" t="s">
        <v>55</v>
      </c>
      <c r="AU1496" s="6" t="s">
        <v>3006</v>
      </c>
      <c r="AV1496">
        <v>2281</v>
      </c>
    </row>
    <row r="1497" spans="1:48" ht="30" customHeight="1" x14ac:dyDescent="0.3">
      <c r="A1497" s="4" t="s">
        <v>2065</v>
      </c>
      <c r="B1497" s="4" t="s">
        <v>2066</v>
      </c>
      <c r="C1497" s="4" t="s">
        <v>61</v>
      </c>
      <c r="D1497" s="5">
        <v>5</v>
      </c>
      <c r="E1497" s="7">
        <f>TRUNC([1]일위대가목록!E175,0)</f>
        <v>21048</v>
      </c>
      <c r="F1497" s="7">
        <f t="shared" si="164"/>
        <v>105240</v>
      </c>
      <c r="G1497" s="7">
        <f>TRUNC([1]일위대가목록!F175,0)</f>
        <v>17655</v>
      </c>
      <c r="H1497" s="7">
        <f t="shared" si="165"/>
        <v>88275</v>
      </c>
      <c r="I1497" s="7">
        <f>TRUNC([1]일위대가목록!G175,0)</f>
        <v>353</v>
      </c>
      <c r="J1497" s="7">
        <f t="shared" si="166"/>
        <v>1765</v>
      </c>
      <c r="K1497" s="7">
        <f t="shared" si="167"/>
        <v>39056</v>
      </c>
      <c r="L1497" s="7">
        <f t="shared" si="167"/>
        <v>195280</v>
      </c>
      <c r="M1497" s="4" t="s">
        <v>2067</v>
      </c>
      <c r="N1497" s="6" t="s">
        <v>2068</v>
      </c>
      <c r="O1497" s="6" t="s">
        <v>55</v>
      </c>
      <c r="P1497" s="6" t="s">
        <v>55</v>
      </c>
      <c r="Q1497" s="6" t="s">
        <v>2996</v>
      </c>
      <c r="R1497" s="6" t="s">
        <v>57</v>
      </c>
      <c r="S1497" s="6" t="s">
        <v>56</v>
      </c>
      <c r="T1497" s="6" t="s">
        <v>56</v>
      </c>
      <c r="AR1497" s="6" t="s">
        <v>55</v>
      </c>
      <c r="AS1497" s="6" t="s">
        <v>55</v>
      </c>
      <c r="AU1497" s="6" t="s">
        <v>3007</v>
      </c>
      <c r="AV1497">
        <v>2277</v>
      </c>
    </row>
    <row r="1498" spans="1:48" ht="30" customHeight="1" x14ac:dyDescent="0.3">
      <c r="A1498" s="4" t="s">
        <v>2070</v>
      </c>
      <c r="B1498" s="4" t="s">
        <v>2071</v>
      </c>
      <c r="C1498" s="4" t="s">
        <v>269</v>
      </c>
      <c r="D1498" s="5">
        <v>382</v>
      </c>
      <c r="E1498" s="7">
        <f>TRUNC([1]일위대가목록!E176,0)</f>
        <v>383</v>
      </c>
      <c r="F1498" s="7">
        <f t="shared" si="164"/>
        <v>146306</v>
      </c>
      <c r="G1498" s="7">
        <f>TRUNC([1]일위대가목록!F176,0)</f>
        <v>0</v>
      </c>
      <c r="H1498" s="7">
        <f t="shared" si="165"/>
        <v>0</v>
      </c>
      <c r="I1498" s="7">
        <f>TRUNC([1]일위대가목록!G176,0)</f>
        <v>0</v>
      </c>
      <c r="J1498" s="7">
        <f t="shared" si="166"/>
        <v>0</v>
      </c>
      <c r="K1498" s="7">
        <f t="shared" si="167"/>
        <v>383</v>
      </c>
      <c r="L1498" s="7">
        <f t="shared" si="167"/>
        <v>146306</v>
      </c>
      <c r="M1498" s="4" t="s">
        <v>2072</v>
      </c>
      <c r="N1498" s="6" t="s">
        <v>2073</v>
      </c>
      <c r="O1498" s="6" t="s">
        <v>55</v>
      </c>
      <c r="P1498" s="6" t="s">
        <v>55</v>
      </c>
      <c r="Q1498" s="6" t="s">
        <v>2996</v>
      </c>
      <c r="R1498" s="6" t="s">
        <v>57</v>
      </c>
      <c r="S1498" s="6" t="s">
        <v>56</v>
      </c>
      <c r="T1498" s="6" t="s">
        <v>56</v>
      </c>
      <c r="AR1498" s="6" t="s">
        <v>55</v>
      </c>
      <c r="AS1498" s="6" t="s">
        <v>55</v>
      </c>
      <c r="AU1498" s="6" t="s">
        <v>3008</v>
      </c>
      <c r="AV1498">
        <v>837</v>
      </c>
    </row>
    <row r="1499" spans="1:48" ht="30" customHeight="1" x14ac:dyDescent="0.3">
      <c r="A1499" s="4" t="s">
        <v>2075</v>
      </c>
      <c r="B1499" s="4" t="s">
        <v>2076</v>
      </c>
      <c r="C1499" s="4" t="s">
        <v>269</v>
      </c>
      <c r="D1499" s="5">
        <v>375</v>
      </c>
      <c r="E1499" s="7">
        <f>TRUNC([1]일위대가목록!E177,0)</f>
        <v>2295</v>
      </c>
      <c r="F1499" s="7">
        <f t="shared" si="164"/>
        <v>860625</v>
      </c>
      <c r="G1499" s="7">
        <f>TRUNC([1]일위대가목록!F177,0)</f>
        <v>0</v>
      </c>
      <c r="H1499" s="7">
        <f t="shared" si="165"/>
        <v>0</v>
      </c>
      <c r="I1499" s="7">
        <f>TRUNC([1]일위대가목록!G177,0)</f>
        <v>0</v>
      </c>
      <c r="J1499" s="7">
        <f t="shared" si="166"/>
        <v>0</v>
      </c>
      <c r="K1499" s="7">
        <f t="shared" si="167"/>
        <v>2295</v>
      </c>
      <c r="L1499" s="7">
        <f t="shared" si="167"/>
        <v>860625</v>
      </c>
      <c r="M1499" s="4" t="s">
        <v>2077</v>
      </c>
      <c r="N1499" s="6" t="s">
        <v>2078</v>
      </c>
      <c r="O1499" s="6" t="s">
        <v>55</v>
      </c>
      <c r="P1499" s="6" t="s">
        <v>55</v>
      </c>
      <c r="Q1499" s="6" t="s">
        <v>2996</v>
      </c>
      <c r="R1499" s="6" t="s">
        <v>57</v>
      </c>
      <c r="S1499" s="6" t="s">
        <v>56</v>
      </c>
      <c r="T1499" s="6" t="s">
        <v>56</v>
      </c>
      <c r="AR1499" s="6" t="s">
        <v>55</v>
      </c>
      <c r="AS1499" s="6" t="s">
        <v>55</v>
      </c>
      <c r="AU1499" s="6" t="s">
        <v>3009</v>
      </c>
      <c r="AV1499">
        <v>838</v>
      </c>
    </row>
    <row r="1500" spans="1:48" ht="30" customHeight="1" x14ac:dyDescent="0.3">
      <c r="A1500" s="4" t="s">
        <v>1714</v>
      </c>
      <c r="B1500" s="4" t="s">
        <v>2080</v>
      </c>
      <c r="C1500" s="4" t="s">
        <v>61</v>
      </c>
      <c r="D1500" s="5">
        <v>21</v>
      </c>
      <c r="E1500" s="7">
        <f>TRUNC([1]일위대가목록!E178,0)</f>
        <v>0</v>
      </c>
      <c r="F1500" s="7">
        <f t="shared" si="164"/>
        <v>0</v>
      </c>
      <c r="G1500" s="7">
        <f>TRUNC([1]일위대가목록!F178,0)</f>
        <v>31833</v>
      </c>
      <c r="H1500" s="7">
        <f t="shared" si="165"/>
        <v>668493</v>
      </c>
      <c r="I1500" s="7">
        <f>TRUNC([1]일위대가목록!G178,0)</f>
        <v>0</v>
      </c>
      <c r="J1500" s="7">
        <f t="shared" si="166"/>
        <v>0</v>
      </c>
      <c r="K1500" s="7">
        <f t="shared" si="167"/>
        <v>31833</v>
      </c>
      <c r="L1500" s="7">
        <f t="shared" si="167"/>
        <v>668493</v>
      </c>
      <c r="M1500" s="4" t="s">
        <v>2081</v>
      </c>
      <c r="N1500" s="6" t="s">
        <v>2082</v>
      </c>
      <c r="O1500" s="6" t="s">
        <v>55</v>
      </c>
      <c r="P1500" s="6" t="s">
        <v>55</v>
      </c>
      <c r="Q1500" s="6" t="s">
        <v>2996</v>
      </c>
      <c r="R1500" s="6" t="s">
        <v>57</v>
      </c>
      <c r="S1500" s="6" t="s">
        <v>56</v>
      </c>
      <c r="T1500" s="6" t="s">
        <v>56</v>
      </c>
      <c r="AR1500" s="6" t="s">
        <v>55</v>
      </c>
      <c r="AS1500" s="6" t="s">
        <v>55</v>
      </c>
      <c r="AU1500" s="6" t="s">
        <v>3010</v>
      </c>
      <c r="AV1500">
        <v>839</v>
      </c>
    </row>
    <row r="1501" spans="1:48" ht="30" customHeight="1" x14ac:dyDescent="0.3">
      <c r="A1501" s="4" t="s">
        <v>2084</v>
      </c>
      <c r="B1501" s="4" t="s">
        <v>2089</v>
      </c>
      <c r="C1501" s="4" t="s">
        <v>61</v>
      </c>
      <c r="D1501" s="5">
        <v>123</v>
      </c>
      <c r="E1501" s="7">
        <f>TRUNC([1]일위대가목록!E180,0)</f>
        <v>780</v>
      </c>
      <c r="F1501" s="7">
        <f t="shared" si="164"/>
        <v>95940</v>
      </c>
      <c r="G1501" s="7">
        <f>TRUNC([1]일위대가목록!F180,0)</f>
        <v>25201</v>
      </c>
      <c r="H1501" s="7">
        <f t="shared" si="165"/>
        <v>3099723</v>
      </c>
      <c r="I1501" s="7">
        <f>TRUNC([1]일위대가목록!G180,0)</f>
        <v>0</v>
      </c>
      <c r="J1501" s="7">
        <f t="shared" si="166"/>
        <v>0</v>
      </c>
      <c r="K1501" s="7">
        <f t="shared" si="167"/>
        <v>25981</v>
      </c>
      <c r="L1501" s="7">
        <f t="shared" si="167"/>
        <v>3195663</v>
      </c>
      <c r="M1501" s="4" t="s">
        <v>2090</v>
      </c>
      <c r="N1501" s="6" t="s">
        <v>2091</v>
      </c>
      <c r="O1501" s="6" t="s">
        <v>55</v>
      </c>
      <c r="P1501" s="6" t="s">
        <v>55</v>
      </c>
      <c r="Q1501" s="6" t="s">
        <v>2996</v>
      </c>
      <c r="R1501" s="6" t="s">
        <v>57</v>
      </c>
      <c r="S1501" s="6" t="s">
        <v>56</v>
      </c>
      <c r="T1501" s="6" t="s">
        <v>56</v>
      </c>
      <c r="AR1501" s="6" t="s">
        <v>55</v>
      </c>
      <c r="AS1501" s="6" t="s">
        <v>55</v>
      </c>
      <c r="AU1501" s="6" t="s">
        <v>3011</v>
      </c>
      <c r="AV1501">
        <v>2686</v>
      </c>
    </row>
    <row r="1502" spans="1:48" ht="30" customHeight="1" x14ac:dyDescent="0.3">
      <c r="A1502" s="4" t="s">
        <v>2093</v>
      </c>
      <c r="B1502" s="4" t="s">
        <v>2071</v>
      </c>
      <c r="C1502" s="4" t="s">
        <v>269</v>
      </c>
      <c r="D1502" s="5">
        <v>108</v>
      </c>
      <c r="E1502" s="7">
        <f>TRUNC([1]일위대가목록!E181,0)</f>
        <v>383</v>
      </c>
      <c r="F1502" s="7">
        <f t="shared" si="164"/>
        <v>41364</v>
      </c>
      <c r="G1502" s="7">
        <f>TRUNC([1]일위대가목록!F181,0)</f>
        <v>0</v>
      </c>
      <c r="H1502" s="7">
        <f t="shared" si="165"/>
        <v>0</v>
      </c>
      <c r="I1502" s="7">
        <f>TRUNC([1]일위대가목록!G181,0)</f>
        <v>0</v>
      </c>
      <c r="J1502" s="7">
        <f t="shared" si="166"/>
        <v>0</v>
      </c>
      <c r="K1502" s="7">
        <f t="shared" si="167"/>
        <v>383</v>
      </c>
      <c r="L1502" s="7">
        <f t="shared" si="167"/>
        <v>41364</v>
      </c>
      <c r="M1502" s="4" t="s">
        <v>2094</v>
      </c>
      <c r="N1502" s="6" t="s">
        <v>2095</v>
      </c>
      <c r="O1502" s="6" t="s">
        <v>55</v>
      </c>
      <c r="P1502" s="6" t="s">
        <v>55</v>
      </c>
      <c r="Q1502" s="6" t="s">
        <v>2996</v>
      </c>
      <c r="R1502" s="6" t="s">
        <v>57</v>
      </c>
      <c r="S1502" s="6" t="s">
        <v>56</v>
      </c>
      <c r="T1502" s="6" t="s">
        <v>56</v>
      </c>
      <c r="AR1502" s="6" t="s">
        <v>55</v>
      </c>
      <c r="AS1502" s="6" t="s">
        <v>55</v>
      </c>
      <c r="AU1502" s="6" t="s">
        <v>3012</v>
      </c>
      <c r="AV1502">
        <v>841</v>
      </c>
    </row>
    <row r="1503" spans="1:48" ht="30" customHeight="1" x14ac:dyDescent="0.3">
      <c r="A1503" s="4" t="s">
        <v>2097</v>
      </c>
      <c r="B1503" s="4" t="s">
        <v>55</v>
      </c>
      <c r="C1503" s="4" t="s">
        <v>269</v>
      </c>
      <c r="D1503" s="5">
        <v>293</v>
      </c>
      <c r="E1503" s="7">
        <f>TRUNC([1]일위대가목록!E182,0)</f>
        <v>3996</v>
      </c>
      <c r="F1503" s="7">
        <f t="shared" si="164"/>
        <v>1170828</v>
      </c>
      <c r="G1503" s="7">
        <f>TRUNC([1]일위대가목록!F182,0)</f>
        <v>3587</v>
      </c>
      <c r="H1503" s="7">
        <f t="shared" si="165"/>
        <v>1050991</v>
      </c>
      <c r="I1503" s="7">
        <f>TRUNC([1]일위대가목록!G182,0)</f>
        <v>0</v>
      </c>
      <c r="J1503" s="7">
        <f t="shared" si="166"/>
        <v>0</v>
      </c>
      <c r="K1503" s="7">
        <f t="shared" si="167"/>
        <v>7583</v>
      </c>
      <c r="L1503" s="7">
        <f t="shared" si="167"/>
        <v>2221819</v>
      </c>
      <c r="M1503" s="4" t="s">
        <v>2098</v>
      </c>
      <c r="N1503" s="6" t="s">
        <v>2099</v>
      </c>
      <c r="O1503" s="6" t="s">
        <v>55</v>
      </c>
      <c r="P1503" s="6" t="s">
        <v>55</v>
      </c>
      <c r="Q1503" s="6" t="s">
        <v>2996</v>
      </c>
      <c r="R1503" s="6" t="s">
        <v>57</v>
      </c>
      <c r="S1503" s="6" t="s">
        <v>56</v>
      </c>
      <c r="T1503" s="6" t="s">
        <v>56</v>
      </c>
      <c r="AR1503" s="6" t="s">
        <v>55</v>
      </c>
      <c r="AS1503" s="6" t="s">
        <v>55</v>
      </c>
      <c r="AU1503" s="6" t="s">
        <v>3013</v>
      </c>
      <c r="AV1503">
        <v>2687</v>
      </c>
    </row>
    <row r="1504" spans="1:48" ht="30" customHeight="1" x14ac:dyDescent="0.3">
      <c r="A1504" s="4" t="s">
        <v>2101</v>
      </c>
      <c r="B1504" s="4" t="s">
        <v>55</v>
      </c>
      <c r="C1504" s="4" t="s">
        <v>269</v>
      </c>
      <c r="D1504" s="5">
        <v>375</v>
      </c>
      <c r="E1504" s="7">
        <f>TRUNC([1]일위대가목록!E183,0)</f>
        <v>150</v>
      </c>
      <c r="F1504" s="7">
        <f t="shared" si="164"/>
        <v>56250</v>
      </c>
      <c r="G1504" s="7">
        <f>TRUNC([1]일위대가목록!F183,0)</f>
        <v>0</v>
      </c>
      <c r="H1504" s="7">
        <f t="shared" si="165"/>
        <v>0</v>
      </c>
      <c r="I1504" s="7">
        <f>TRUNC([1]일위대가목록!G183,0)</f>
        <v>0</v>
      </c>
      <c r="J1504" s="7">
        <f t="shared" si="166"/>
        <v>0</v>
      </c>
      <c r="K1504" s="7">
        <f t="shared" si="167"/>
        <v>150</v>
      </c>
      <c r="L1504" s="7">
        <f t="shared" si="167"/>
        <v>56250</v>
      </c>
      <c r="M1504" s="4" t="s">
        <v>2102</v>
      </c>
      <c r="N1504" s="6" t="s">
        <v>2103</v>
      </c>
      <c r="O1504" s="6" t="s">
        <v>55</v>
      </c>
      <c r="P1504" s="6" t="s">
        <v>55</v>
      </c>
      <c r="Q1504" s="6" t="s">
        <v>2996</v>
      </c>
      <c r="R1504" s="6" t="s">
        <v>57</v>
      </c>
      <c r="S1504" s="6" t="s">
        <v>56</v>
      </c>
      <c r="T1504" s="6" t="s">
        <v>56</v>
      </c>
      <c r="AR1504" s="6" t="s">
        <v>55</v>
      </c>
      <c r="AS1504" s="6" t="s">
        <v>55</v>
      </c>
      <c r="AU1504" s="6" t="s">
        <v>3014</v>
      </c>
      <c r="AV1504">
        <v>843</v>
      </c>
    </row>
    <row r="1505" spans="1:48" ht="30" customHeight="1" x14ac:dyDescent="0.3">
      <c r="A1505" s="4" t="s">
        <v>2105</v>
      </c>
      <c r="B1505" s="4" t="s">
        <v>2106</v>
      </c>
      <c r="C1505" s="4" t="s">
        <v>61</v>
      </c>
      <c r="D1505" s="5">
        <v>3</v>
      </c>
      <c r="E1505" s="7">
        <f>TRUNC([1]일위대가목록!E184,0)</f>
        <v>50471</v>
      </c>
      <c r="F1505" s="7">
        <f t="shared" si="164"/>
        <v>151413</v>
      </c>
      <c r="G1505" s="7">
        <f>TRUNC([1]일위대가목록!F184,0)</f>
        <v>58966</v>
      </c>
      <c r="H1505" s="7">
        <f t="shared" si="165"/>
        <v>176898</v>
      </c>
      <c r="I1505" s="7">
        <f>TRUNC([1]일위대가목록!G184,0)</f>
        <v>343</v>
      </c>
      <c r="J1505" s="7">
        <f t="shared" si="166"/>
        <v>1029</v>
      </c>
      <c r="K1505" s="7">
        <f t="shared" si="167"/>
        <v>109780</v>
      </c>
      <c r="L1505" s="7">
        <f t="shared" si="167"/>
        <v>329340</v>
      </c>
      <c r="M1505" s="4" t="s">
        <v>2107</v>
      </c>
      <c r="N1505" s="6" t="s">
        <v>2108</v>
      </c>
      <c r="O1505" s="6" t="s">
        <v>55</v>
      </c>
      <c r="P1505" s="6" t="s">
        <v>55</v>
      </c>
      <c r="Q1505" s="6" t="s">
        <v>2996</v>
      </c>
      <c r="R1505" s="6" t="s">
        <v>57</v>
      </c>
      <c r="S1505" s="6" t="s">
        <v>56</v>
      </c>
      <c r="T1505" s="6" t="s">
        <v>56</v>
      </c>
      <c r="AR1505" s="6" t="s">
        <v>55</v>
      </c>
      <c r="AS1505" s="6" t="s">
        <v>55</v>
      </c>
      <c r="AU1505" s="6" t="s">
        <v>3015</v>
      </c>
      <c r="AV1505">
        <v>844</v>
      </c>
    </row>
    <row r="1506" spans="1:48" ht="30" customHeight="1" x14ac:dyDescent="0.3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</row>
    <row r="1507" spans="1:48" ht="30" customHeight="1" x14ac:dyDescent="0.3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</row>
    <row r="1508" spans="1:48" ht="30" customHeight="1" x14ac:dyDescent="0.3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</row>
    <row r="1509" spans="1:48" ht="30" customHeight="1" x14ac:dyDescent="0.3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</row>
    <row r="1510" spans="1:48" ht="30" customHeight="1" x14ac:dyDescent="0.3">
      <c r="A1510" s="4" t="s">
        <v>128</v>
      </c>
      <c r="B1510" s="5"/>
      <c r="C1510" s="5"/>
      <c r="D1510" s="5"/>
      <c r="E1510" s="5"/>
      <c r="F1510" s="7">
        <f>SUM(F1491:F1509)</f>
        <v>11568653</v>
      </c>
      <c r="G1510" s="5"/>
      <c r="H1510" s="7">
        <f>SUM(H1491:H1509)</f>
        <v>5084380</v>
      </c>
      <c r="I1510" s="5"/>
      <c r="J1510" s="7">
        <f>SUM(J1491:J1509)</f>
        <v>2794</v>
      </c>
      <c r="K1510" s="5"/>
      <c r="L1510" s="7">
        <f>SUM(L1491:L1509)</f>
        <v>16655827</v>
      </c>
      <c r="M1510" s="5"/>
      <c r="N1510" t="s">
        <v>129</v>
      </c>
    </row>
    <row r="1511" spans="1:48" ht="30" customHeight="1" x14ac:dyDescent="0.3">
      <c r="A1511" s="4" t="s">
        <v>3016</v>
      </c>
      <c r="B1511" s="4" t="s">
        <v>2626</v>
      </c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Q1511" s="6" t="s">
        <v>3017</v>
      </c>
    </row>
    <row r="1512" spans="1:48" ht="30" customHeight="1" x14ac:dyDescent="0.3">
      <c r="A1512" s="4" t="s">
        <v>409</v>
      </c>
      <c r="B1512" s="4" t="s">
        <v>2112</v>
      </c>
      <c r="C1512" s="4" t="s">
        <v>61</v>
      </c>
      <c r="D1512" s="5">
        <v>370</v>
      </c>
      <c r="E1512" s="7">
        <f>TRUNC([1]일위대가목록!E185,0)</f>
        <v>1133</v>
      </c>
      <c r="F1512" s="7">
        <f t="shared" ref="F1512:F1521" si="168">TRUNC(E1512*D1512, 0)</f>
        <v>419210</v>
      </c>
      <c r="G1512" s="7">
        <f>TRUNC([1]일위대가목록!F185,0)</f>
        <v>2904</v>
      </c>
      <c r="H1512" s="7">
        <f t="shared" ref="H1512:H1521" si="169">TRUNC(G1512*D1512, 0)</f>
        <v>1074480</v>
      </c>
      <c r="I1512" s="7">
        <f>TRUNC([1]일위대가목록!G185,0)</f>
        <v>119</v>
      </c>
      <c r="J1512" s="7">
        <f t="shared" ref="J1512:J1521" si="170">TRUNC(I1512*D1512, 0)</f>
        <v>44030</v>
      </c>
      <c r="K1512" s="7">
        <f t="shared" ref="K1512:L1521" si="171">TRUNC(E1512+G1512+I1512, 0)</f>
        <v>4156</v>
      </c>
      <c r="L1512" s="7">
        <f t="shared" si="171"/>
        <v>1537720</v>
      </c>
      <c r="M1512" s="4" t="s">
        <v>2113</v>
      </c>
      <c r="N1512" s="6" t="s">
        <v>2114</v>
      </c>
      <c r="O1512" s="6" t="s">
        <v>55</v>
      </c>
      <c r="P1512" s="6" t="s">
        <v>55</v>
      </c>
      <c r="Q1512" s="6" t="s">
        <v>3017</v>
      </c>
      <c r="R1512" s="6" t="s">
        <v>57</v>
      </c>
      <c r="S1512" s="6" t="s">
        <v>56</v>
      </c>
      <c r="T1512" s="6" t="s">
        <v>56</v>
      </c>
      <c r="AR1512" s="6" t="s">
        <v>55</v>
      </c>
      <c r="AS1512" s="6" t="s">
        <v>55</v>
      </c>
      <c r="AU1512" s="6" t="s">
        <v>3018</v>
      </c>
      <c r="AV1512">
        <v>846</v>
      </c>
    </row>
    <row r="1513" spans="1:48" ht="30" customHeight="1" x14ac:dyDescent="0.3">
      <c r="A1513" s="4" t="s">
        <v>2116</v>
      </c>
      <c r="B1513" s="4" t="s">
        <v>2117</v>
      </c>
      <c r="C1513" s="4" t="s">
        <v>61</v>
      </c>
      <c r="D1513" s="5">
        <v>370</v>
      </c>
      <c r="E1513" s="7">
        <f>TRUNC([1]일위대가목록!E186,0)</f>
        <v>1694</v>
      </c>
      <c r="F1513" s="7">
        <f t="shared" si="168"/>
        <v>626780</v>
      </c>
      <c r="G1513" s="7">
        <f>TRUNC([1]일위대가목록!F186,0)</f>
        <v>968</v>
      </c>
      <c r="H1513" s="7">
        <f t="shared" si="169"/>
        <v>358160</v>
      </c>
      <c r="I1513" s="7">
        <f>TRUNC([1]일위대가목록!G186,0)</f>
        <v>238</v>
      </c>
      <c r="J1513" s="7">
        <f t="shared" si="170"/>
        <v>88060</v>
      </c>
      <c r="K1513" s="7">
        <f t="shared" si="171"/>
        <v>2900</v>
      </c>
      <c r="L1513" s="7">
        <f t="shared" si="171"/>
        <v>1073000</v>
      </c>
      <c r="M1513" s="4" t="s">
        <v>2118</v>
      </c>
      <c r="N1513" s="6" t="s">
        <v>2119</v>
      </c>
      <c r="O1513" s="6" t="s">
        <v>55</v>
      </c>
      <c r="P1513" s="6" t="s">
        <v>55</v>
      </c>
      <c r="Q1513" s="6" t="s">
        <v>3017</v>
      </c>
      <c r="R1513" s="6" t="s">
        <v>57</v>
      </c>
      <c r="S1513" s="6" t="s">
        <v>56</v>
      </c>
      <c r="T1513" s="6" t="s">
        <v>56</v>
      </c>
      <c r="AR1513" s="6" t="s">
        <v>55</v>
      </c>
      <c r="AS1513" s="6" t="s">
        <v>55</v>
      </c>
      <c r="AU1513" s="6" t="s">
        <v>3019</v>
      </c>
      <c r="AV1513">
        <v>847</v>
      </c>
    </row>
    <row r="1514" spans="1:48" ht="30" customHeight="1" x14ac:dyDescent="0.3">
      <c r="A1514" s="4" t="s">
        <v>2121</v>
      </c>
      <c r="B1514" s="4" t="s">
        <v>2122</v>
      </c>
      <c r="C1514" s="4" t="s">
        <v>269</v>
      </c>
      <c r="D1514" s="5">
        <v>603</v>
      </c>
      <c r="E1514" s="7">
        <f>TRUNC([1]일위대가목록!E187,0)</f>
        <v>1081</v>
      </c>
      <c r="F1514" s="7">
        <f t="shared" si="168"/>
        <v>651843</v>
      </c>
      <c r="G1514" s="7">
        <f>TRUNC([1]일위대가목록!F187,0)</f>
        <v>2052</v>
      </c>
      <c r="H1514" s="7">
        <f t="shared" si="169"/>
        <v>1237356</v>
      </c>
      <c r="I1514" s="7">
        <f>TRUNC([1]일위대가목록!G187,0)</f>
        <v>0</v>
      </c>
      <c r="J1514" s="7">
        <f t="shared" si="170"/>
        <v>0</v>
      </c>
      <c r="K1514" s="7">
        <f t="shared" si="171"/>
        <v>3133</v>
      </c>
      <c r="L1514" s="7">
        <f t="shared" si="171"/>
        <v>1889199</v>
      </c>
      <c r="M1514" s="4" t="s">
        <v>2123</v>
      </c>
      <c r="N1514" s="6" t="s">
        <v>2124</v>
      </c>
      <c r="O1514" s="6" t="s">
        <v>55</v>
      </c>
      <c r="P1514" s="6" t="s">
        <v>55</v>
      </c>
      <c r="Q1514" s="6" t="s">
        <v>3017</v>
      </c>
      <c r="R1514" s="6" t="s">
        <v>57</v>
      </c>
      <c r="S1514" s="6" t="s">
        <v>56</v>
      </c>
      <c r="T1514" s="6" t="s">
        <v>56</v>
      </c>
      <c r="AR1514" s="6" t="s">
        <v>55</v>
      </c>
      <c r="AS1514" s="6" t="s">
        <v>55</v>
      </c>
      <c r="AU1514" s="6" t="s">
        <v>3020</v>
      </c>
      <c r="AV1514">
        <v>848</v>
      </c>
    </row>
    <row r="1515" spans="1:48" ht="30" customHeight="1" x14ac:dyDescent="0.3">
      <c r="A1515" s="4" t="s">
        <v>2121</v>
      </c>
      <c r="B1515" s="4" t="s">
        <v>2126</v>
      </c>
      <c r="C1515" s="4" t="s">
        <v>269</v>
      </c>
      <c r="D1515" s="5">
        <v>13</v>
      </c>
      <c r="E1515" s="7">
        <f>TRUNC([1]일위대가목록!E188,0)</f>
        <v>1081</v>
      </c>
      <c r="F1515" s="7">
        <f t="shared" si="168"/>
        <v>14053</v>
      </c>
      <c r="G1515" s="7">
        <f>TRUNC([1]일위대가목록!F188,0)</f>
        <v>2052</v>
      </c>
      <c r="H1515" s="7">
        <f t="shared" si="169"/>
        <v>26676</v>
      </c>
      <c r="I1515" s="7">
        <f>TRUNC([1]일위대가목록!G188,0)</f>
        <v>0</v>
      </c>
      <c r="J1515" s="7">
        <f t="shared" si="170"/>
        <v>0</v>
      </c>
      <c r="K1515" s="7">
        <f t="shared" si="171"/>
        <v>3133</v>
      </c>
      <c r="L1515" s="7">
        <f t="shared" si="171"/>
        <v>40729</v>
      </c>
      <c r="M1515" s="4" t="s">
        <v>2127</v>
      </c>
      <c r="N1515" s="6" t="s">
        <v>2128</v>
      </c>
      <c r="O1515" s="6" t="s">
        <v>55</v>
      </c>
      <c r="P1515" s="6" t="s">
        <v>55</v>
      </c>
      <c r="Q1515" s="6" t="s">
        <v>3017</v>
      </c>
      <c r="R1515" s="6" t="s">
        <v>57</v>
      </c>
      <c r="S1515" s="6" t="s">
        <v>56</v>
      </c>
      <c r="T1515" s="6" t="s">
        <v>56</v>
      </c>
      <c r="AR1515" s="6" t="s">
        <v>55</v>
      </c>
      <c r="AS1515" s="6" t="s">
        <v>55</v>
      </c>
      <c r="AU1515" s="6" t="s">
        <v>3021</v>
      </c>
      <c r="AV1515">
        <v>849</v>
      </c>
    </row>
    <row r="1516" spans="1:48" ht="30" customHeight="1" x14ac:dyDescent="0.3">
      <c r="A1516" s="4" t="s">
        <v>2130</v>
      </c>
      <c r="B1516" s="4" t="s">
        <v>2131</v>
      </c>
      <c r="C1516" s="4" t="s">
        <v>61</v>
      </c>
      <c r="D1516" s="5">
        <v>1551</v>
      </c>
      <c r="E1516" s="7">
        <f>TRUNC([1]일위대가목록!E189,0)</f>
        <v>1951</v>
      </c>
      <c r="F1516" s="7">
        <f t="shared" si="168"/>
        <v>3026001</v>
      </c>
      <c r="G1516" s="7">
        <f>TRUNC([1]일위대가목록!F189,0)</f>
        <v>9655</v>
      </c>
      <c r="H1516" s="7">
        <f t="shared" si="169"/>
        <v>14974905</v>
      </c>
      <c r="I1516" s="7">
        <f>TRUNC([1]일위대가목록!G189,0)</f>
        <v>0</v>
      </c>
      <c r="J1516" s="7">
        <f t="shared" si="170"/>
        <v>0</v>
      </c>
      <c r="K1516" s="7">
        <f t="shared" si="171"/>
        <v>11606</v>
      </c>
      <c r="L1516" s="7">
        <f t="shared" si="171"/>
        <v>18000906</v>
      </c>
      <c r="M1516" s="4" t="s">
        <v>2132</v>
      </c>
      <c r="N1516" s="6" t="s">
        <v>2133</v>
      </c>
      <c r="O1516" s="6" t="s">
        <v>55</v>
      </c>
      <c r="P1516" s="6" t="s">
        <v>55</v>
      </c>
      <c r="Q1516" s="6" t="s">
        <v>3017</v>
      </c>
      <c r="R1516" s="6" t="s">
        <v>57</v>
      </c>
      <c r="S1516" s="6" t="s">
        <v>56</v>
      </c>
      <c r="T1516" s="6" t="s">
        <v>56</v>
      </c>
      <c r="AR1516" s="6" t="s">
        <v>55</v>
      </c>
      <c r="AS1516" s="6" t="s">
        <v>55</v>
      </c>
      <c r="AU1516" s="6" t="s">
        <v>3022</v>
      </c>
      <c r="AV1516">
        <v>850</v>
      </c>
    </row>
    <row r="1517" spans="1:48" ht="30" customHeight="1" x14ac:dyDescent="0.3">
      <c r="A1517" s="4" t="s">
        <v>2130</v>
      </c>
      <c r="B1517" s="4" t="s">
        <v>2139</v>
      </c>
      <c r="C1517" s="4" t="s">
        <v>61</v>
      </c>
      <c r="D1517" s="5">
        <v>1677</v>
      </c>
      <c r="E1517" s="7">
        <f>TRUNC([1]일위대가목록!E191,0)</f>
        <v>1202</v>
      </c>
      <c r="F1517" s="7">
        <f t="shared" si="168"/>
        <v>2015754</v>
      </c>
      <c r="G1517" s="7">
        <f>TRUNC([1]일위대가목록!F191,0)</f>
        <v>5260</v>
      </c>
      <c r="H1517" s="7">
        <f t="shared" si="169"/>
        <v>8821020</v>
      </c>
      <c r="I1517" s="7">
        <f>TRUNC([1]일위대가목록!G191,0)</f>
        <v>0</v>
      </c>
      <c r="J1517" s="7">
        <f t="shared" si="170"/>
        <v>0</v>
      </c>
      <c r="K1517" s="7">
        <f t="shared" si="171"/>
        <v>6462</v>
      </c>
      <c r="L1517" s="7">
        <f t="shared" si="171"/>
        <v>10836774</v>
      </c>
      <c r="M1517" s="4" t="s">
        <v>2140</v>
      </c>
      <c r="N1517" s="6" t="s">
        <v>2141</v>
      </c>
      <c r="O1517" s="6" t="s">
        <v>55</v>
      </c>
      <c r="P1517" s="6" t="s">
        <v>55</v>
      </c>
      <c r="Q1517" s="6" t="s">
        <v>3017</v>
      </c>
      <c r="R1517" s="6" t="s">
        <v>57</v>
      </c>
      <c r="S1517" s="6" t="s">
        <v>56</v>
      </c>
      <c r="T1517" s="6" t="s">
        <v>56</v>
      </c>
      <c r="AR1517" s="6" t="s">
        <v>55</v>
      </c>
      <c r="AS1517" s="6" t="s">
        <v>55</v>
      </c>
      <c r="AU1517" s="6" t="s">
        <v>3023</v>
      </c>
      <c r="AV1517">
        <v>851</v>
      </c>
    </row>
    <row r="1518" spans="1:48" ht="30" customHeight="1" x14ac:dyDescent="0.3">
      <c r="A1518" s="4" t="s">
        <v>2130</v>
      </c>
      <c r="B1518" s="4" t="s">
        <v>2143</v>
      </c>
      <c r="C1518" s="4" t="s">
        <v>61</v>
      </c>
      <c r="D1518" s="5">
        <v>496</v>
      </c>
      <c r="E1518" s="7">
        <f>TRUNC([1]일위대가목록!E192,0)</f>
        <v>1246</v>
      </c>
      <c r="F1518" s="7">
        <f t="shared" si="168"/>
        <v>618016</v>
      </c>
      <c r="G1518" s="7">
        <f>TRUNC([1]일위대가목록!F192,0)</f>
        <v>6292</v>
      </c>
      <c r="H1518" s="7">
        <f t="shared" si="169"/>
        <v>3120832</v>
      </c>
      <c r="I1518" s="7">
        <f>TRUNC([1]일위대가목록!G192,0)</f>
        <v>0</v>
      </c>
      <c r="J1518" s="7">
        <f t="shared" si="170"/>
        <v>0</v>
      </c>
      <c r="K1518" s="7">
        <f t="shared" si="171"/>
        <v>7538</v>
      </c>
      <c r="L1518" s="7">
        <f t="shared" si="171"/>
        <v>3738848</v>
      </c>
      <c r="M1518" s="4" t="s">
        <v>2144</v>
      </c>
      <c r="N1518" s="6" t="s">
        <v>2145</v>
      </c>
      <c r="O1518" s="6" t="s">
        <v>55</v>
      </c>
      <c r="P1518" s="6" t="s">
        <v>55</v>
      </c>
      <c r="Q1518" s="6" t="s">
        <v>3017</v>
      </c>
      <c r="R1518" s="6" t="s">
        <v>57</v>
      </c>
      <c r="S1518" s="6" t="s">
        <v>56</v>
      </c>
      <c r="T1518" s="6" t="s">
        <v>56</v>
      </c>
      <c r="AR1518" s="6" t="s">
        <v>55</v>
      </c>
      <c r="AS1518" s="6" t="s">
        <v>55</v>
      </c>
      <c r="AU1518" s="6" t="s">
        <v>3024</v>
      </c>
      <c r="AV1518">
        <v>853</v>
      </c>
    </row>
    <row r="1519" spans="1:48" ht="30" customHeight="1" x14ac:dyDescent="0.3">
      <c r="A1519" s="4" t="s">
        <v>2147</v>
      </c>
      <c r="B1519" s="4" t="s">
        <v>2148</v>
      </c>
      <c r="C1519" s="4" t="s">
        <v>61</v>
      </c>
      <c r="D1519" s="5">
        <v>41</v>
      </c>
      <c r="E1519" s="7">
        <f>TRUNC([1]일위대가목록!E193,0)</f>
        <v>1373</v>
      </c>
      <c r="F1519" s="7">
        <f t="shared" si="168"/>
        <v>56293</v>
      </c>
      <c r="G1519" s="7">
        <f>TRUNC([1]일위대가목록!F193,0)</f>
        <v>13609</v>
      </c>
      <c r="H1519" s="7">
        <f t="shared" si="169"/>
        <v>557969</v>
      </c>
      <c r="I1519" s="7">
        <f>TRUNC([1]일위대가목록!G193,0)</f>
        <v>0</v>
      </c>
      <c r="J1519" s="7">
        <f t="shared" si="170"/>
        <v>0</v>
      </c>
      <c r="K1519" s="7">
        <f t="shared" si="171"/>
        <v>14982</v>
      </c>
      <c r="L1519" s="7">
        <f t="shared" si="171"/>
        <v>614262</v>
      </c>
      <c r="M1519" s="4" t="s">
        <v>2149</v>
      </c>
      <c r="N1519" s="6" t="s">
        <v>2150</v>
      </c>
      <c r="O1519" s="6" t="s">
        <v>55</v>
      </c>
      <c r="P1519" s="6" t="s">
        <v>55</v>
      </c>
      <c r="Q1519" s="6" t="s">
        <v>3017</v>
      </c>
      <c r="R1519" s="6" t="s">
        <v>57</v>
      </c>
      <c r="S1519" s="6" t="s">
        <v>56</v>
      </c>
      <c r="T1519" s="6" t="s">
        <v>56</v>
      </c>
      <c r="AR1519" s="6" t="s">
        <v>55</v>
      </c>
      <c r="AS1519" s="6" t="s">
        <v>55</v>
      </c>
      <c r="AU1519" s="6" t="s">
        <v>3025</v>
      </c>
      <c r="AV1519">
        <v>852</v>
      </c>
    </row>
    <row r="1520" spans="1:48" ht="30" customHeight="1" x14ac:dyDescent="0.3">
      <c r="A1520" s="4" t="s">
        <v>2147</v>
      </c>
      <c r="B1520" s="4" t="s">
        <v>2152</v>
      </c>
      <c r="C1520" s="4" t="s">
        <v>61</v>
      </c>
      <c r="D1520" s="5">
        <v>127</v>
      </c>
      <c r="E1520" s="7">
        <f>TRUNC([1]일위대가목록!E194,0)</f>
        <v>1451</v>
      </c>
      <c r="F1520" s="7">
        <f t="shared" si="168"/>
        <v>184277</v>
      </c>
      <c r="G1520" s="7">
        <f>TRUNC([1]일위대가목록!F194,0)</f>
        <v>16304</v>
      </c>
      <c r="H1520" s="7">
        <f t="shared" si="169"/>
        <v>2070608</v>
      </c>
      <c r="I1520" s="7">
        <f>TRUNC([1]일위대가목록!G194,0)</f>
        <v>0</v>
      </c>
      <c r="J1520" s="7">
        <f t="shared" si="170"/>
        <v>0</v>
      </c>
      <c r="K1520" s="7">
        <f t="shared" si="171"/>
        <v>17755</v>
      </c>
      <c r="L1520" s="7">
        <f t="shared" si="171"/>
        <v>2254885</v>
      </c>
      <c r="M1520" s="4" t="s">
        <v>2153</v>
      </c>
      <c r="N1520" s="6" t="s">
        <v>2154</v>
      </c>
      <c r="O1520" s="6" t="s">
        <v>55</v>
      </c>
      <c r="P1520" s="6" t="s">
        <v>55</v>
      </c>
      <c r="Q1520" s="6" t="s">
        <v>3017</v>
      </c>
      <c r="R1520" s="6" t="s">
        <v>57</v>
      </c>
      <c r="S1520" s="6" t="s">
        <v>56</v>
      </c>
      <c r="T1520" s="6" t="s">
        <v>56</v>
      </c>
      <c r="AR1520" s="6" t="s">
        <v>55</v>
      </c>
      <c r="AS1520" s="6" t="s">
        <v>55</v>
      </c>
      <c r="AU1520" s="6" t="s">
        <v>3026</v>
      </c>
      <c r="AV1520">
        <v>854</v>
      </c>
    </row>
    <row r="1521" spans="1:48" ht="30" customHeight="1" x14ac:dyDescent="0.3">
      <c r="A1521" s="4" t="s">
        <v>2156</v>
      </c>
      <c r="B1521" s="4" t="s">
        <v>2157</v>
      </c>
      <c r="C1521" s="4" t="s">
        <v>61</v>
      </c>
      <c r="D1521" s="5">
        <v>997</v>
      </c>
      <c r="E1521" s="7">
        <f>TRUNC([1]일위대가목록!E195,0)</f>
        <v>3624</v>
      </c>
      <c r="F1521" s="7">
        <f t="shared" si="168"/>
        <v>3613128</v>
      </c>
      <c r="G1521" s="7">
        <f>TRUNC([1]일위대가목록!F195,0)</f>
        <v>0</v>
      </c>
      <c r="H1521" s="7">
        <f t="shared" si="169"/>
        <v>0</v>
      </c>
      <c r="I1521" s="7">
        <f>TRUNC([1]일위대가목록!G195,0)</f>
        <v>0</v>
      </c>
      <c r="J1521" s="7">
        <f t="shared" si="170"/>
        <v>0</v>
      </c>
      <c r="K1521" s="7">
        <f t="shared" si="171"/>
        <v>3624</v>
      </c>
      <c r="L1521" s="7">
        <f t="shared" si="171"/>
        <v>3613128</v>
      </c>
      <c r="M1521" s="4" t="s">
        <v>2158</v>
      </c>
      <c r="N1521" s="6" t="s">
        <v>2159</v>
      </c>
      <c r="O1521" s="6" t="s">
        <v>55</v>
      </c>
      <c r="P1521" s="6" t="s">
        <v>55</v>
      </c>
      <c r="Q1521" s="6" t="s">
        <v>3017</v>
      </c>
      <c r="R1521" s="6" t="s">
        <v>57</v>
      </c>
      <c r="S1521" s="6" t="s">
        <v>56</v>
      </c>
      <c r="T1521" s="6" t="s">
        <v>56</v>
      </c>
      <c r="AR1521" s="6" t="s">
        <v>55</v>
      </c>
      <c r="AS1521" s="6" t="s">
        <v>55</v>
      </c>
      <c r="AU1521" s="6" t="s">
        <v>3027</v>
      </c>
      <c r="AV1521">
        <v>855</v>
      </c>
    </row>
    <row r="1522" spans="1:48" ht="30" customHeight="1" x14ac:dyDescent="0.3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</row>
    <row r="1523" spans="1:48" ht="30" customHeight="1" x14ac:dyDescent="0.3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</row>
    <row r="1524" spans="1:48" ht="30" customHeight="1" x14ac:dyDescent="0.3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</row>
    <row r="1525" spans="1:48" ht="30" customHeight="1" x14ac:dyDescent="0.3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</row>
    <row r="1526" spans="1:48" ht="30" customHeight="1" x14ac:dyDescent="0.3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</row>
    <row r="1527" spans="1:48" ht="30" customHeight="1" x14ac:dyDescent="0.3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</row>
    <row r="1528" spans="1:48" ht="30" customHeight="1" x14ac:dyDescent="0.3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</row>
    <row r="1529" spans="1:48" ht="30" customHeight="1" x14ac:dyDescent="0.3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</row>
    <row r="1530" spans="1:48" ht="30" customHeight="1" x14ac:dyDescent="0.3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</row>
    <row r="1531" spans="1:48" ht="30" customHeight="1" x14ac:dyDescent="0.3">
      <c r="A1531" s="4" t="s">
        <v>128</v>
      </c>
      <c r="B1531" s="5"/>
      <c r="C1531" s="5"/>
      <c r="D1531" s="5"/>
      <c r="E1531" s="5"/>
      <c r="F1531" s="7">
        <f>SUM(F1512:F1530)</f>
        <v>11225355</v>
      </c>
      <c r="G1531" s="5"/>
      <c r="H1531" s="7">
        <f>SUM(H1512:H1530)</f>
        <v>32242006</v>
      </c>
      <c r="I1531" s="5"/>
      <c r="J1531" s="7">
        <f>SUM(J1512:J1530)</f>
        <v>132090</v>
      </c>
      <c r="K1531" s="5"/>
      <c r="L1531" s="7">
        <f>SUM(L1512:L1530)</f>
        <v>43599451</v>
      </c>
      <c r="M1531" s="5"/>
      <c r="N1531" t="s">
        <v>129</v>
      </c>
    </row>
    <row r="1532" spans="1:48" ht="30" customHeight="1" x14ac:dyDescent="0.3">
      <c r="A1532" s="4" t="s">
        <v>3028</v>
      </c>
      <c r="B1532" s="4" t="s">
        <v>2626</v>
      </c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Q1532" s="6" t="s">
        <v>3029</v>
      </c>
    </row>
    <row r="1533" spans="1:48" ht="30" customHeight="1" x14ac:dyDescent="0.3">
      <c r="A1533" s="4" t="s">
        <v>2173</v>
      </c>
      <c r="B1533" s="4" t="s">
        <v>2174</v>
      </c>
      <c r="C1533" s="4" t="s">
        <v>223</v>
      </c>
      <c r="D1533" s="5">
        <v>269</v>
      </c>
      <c r="E1533" s="7">
        <f>TRUNC([1]단가대비표!O20,0)</f>
        <v>29000</v>
      </c>
      <c r="F1533" s="7">
        <f>TRUNC(E1533*D1533, 0)</f>
        <v>7801000</v>
      </c>
      <c r="G1533" s="7">
        <f>TRUNC([1]단가대비표!P20,0)</f>
        <v>0</v>
      </c>
      <c r="H1533" s="7">
        <f>TRUNC(G1533*D1533, 0)</f>
        <v>0</v>
      </c>
      <c r="I1533" s="7">
        <f>TRUNC([1]단가대비표!V20,0)</f>
        <v>0</v>
      </c>
      <c r="J1533" s="7">
        <f>TRUNC(I1533*D1533, 0)</f>
        <v>0</v>
      </c>
      <c r="K1533" s="7">
        <f>TRUNC(E1533+G1533+I1533, 0)</f>
        <v>29000</v>
      </c>
      <c r="L1533" s="7">
        <f>TRUNC(F1533+H1533+J1533, 0)</f>
        <v>7801000</v>
      </c>
      <c r="M1533" s="4" t="s">
        <v>55</v>
      </c>
      <c r="N1533" s="6" t="s">
        <v>2175</v>
      </c>
      <c r="O1533" s="6" t="s">
        <v>55</v>
      </c>
      <c r="P1533" s="6" t="s">
        <v>55</v>
      </c>
      <c r="Q1533" s="6" t="s">
        <v>3029</v>
      </c>
      <c r="R1533" s="6" t="s">
        <v>56</v>
      </c>
      <c r="S1533" s="6" t="s">
        <v>56</v>
      </c>
      <c r="T1533" s="6" t="s">
        <v>57</v>
      </c>
      <c r="AR1533" s="6" t="s">
        <v>55</v>
      </c>
      <c r="AS1533" s="6" t="s">
        <v>55</v>
      </c>
      <c r="AU1533" s="6" t="s">
        <v>3030</v>
      </c>
      <c r="AV1533">
        <v>2439</v>
      </c>
    </row>
    <row r="1534" spans="1:48" ht="30" customHeight="1" x14ac:dyDescent="0.3">
      <c r="A1534" s="4" t="s">
        <v>2177</v>
      </c>
      <c r="B1534" s="4" t="s">
        <v>2178</v>
      </c>
      <c r="C1534" s="4" t="s">
        <v>856</v>
      </c>
      <c r="D1534" s="5">
        <v>3095</v>
      </c>
      <c r="E1534" s="7">
        <f>TRUNC([1]단가대비표!O790,0)</f>
        <v>0</v>
      </c>
      <c r="F1534" s="7">
        <f>TRUNC(E1534*D1534, 0)</f>
        <v>0</v>
      </c>
      <c r="G1534" s="7">
        <f>TRUNC([1]단가대비표!P790,0)</f>
        <v>0</v>
      </c>
      <c r="H1534" s="7">
        <f>TRUNC(G1534*D1534, 0)</f>
        <v>0</v>
      </c>
      <c r="I1534" s="7">
        <f>TRUNC([1]단가대비표!V790,0)</f>
        <v>0</v>
      </c>
      <c r="J1534" s="7">
        <f>TRUNC(I1534*D1534, 0)</f>
        <v>0</v>
      </c>
      <c r="K1534" s="7">
        <f>TRUNC(E1534+G1534+I1534, 0)</f>
        <v>0</v>
      </c>
      <c r="L1534" s="7">
        <f>TRUNC(F1534+H1534+J1534, 0)</f>
        <v>0</v>
      </c>
      <c r="M1534" s="4" t="s">
        <v>55</v>
      </c>
      <c r="N1534" s="6" t="s">
        <v>3031</v>
      </c>
      <c r="O1534" s="6" t="s">
        <v>55</v>
      </c>
      <c r="P1534" s="6" t="s">
        <v>55</v>
      </c>
      <c r="Q1534" s="6" t="s">
        <v>3029</v>
      </c>
      <c r="R1534" s="6" t="s">
        <v>56</v>
      </c>
      <c r="S1534" s="6" t="s">
        <v>56</v>
      </c>
      <c r="T1534" s="6" t="s">
        <v>57</v>
      </c>
      <c r="AR1534" s="6" t="s">
        <v>55</v>
      </c>
      <c r="AS1534" s="6" t="s">
        <v>55</v>
      </c>
      <c r="AU1534" s="6" t="s">
        <v>3032</v>
      </c>
      <c r="AV1534">
        <v>2894</v>
      </c>
    </row>
    <row r="1535" spans="1:48" ht="30" customHeight="1" x14ac:dyDescent="0.3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</row>
    <row r="1536" spans="1:48" ht="30" customHeight="1" x14ac:dyDescent="0.3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</row>
    <row r="1537" spans="1:14" ht="30" customHeight="1" x14ac:dyDescent="0.3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</row>
    <row r="1538" spans="1:14" ht="30" customHeight="1" x14ac:dyDescent="0.3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</row>
    <row r="1539" spans="1:14" ht="30" customHeight="1" x14ac:dyDescent="0.3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</row>
    <row r="1540" spans="1:14" ht="30" customHeight="1" x14ac:dyDescent="0.3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</row>
    <row r="1541" spans="1:14" ht="30" customHeight="1" x14ac:dyDescent="0.3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</row>
    <row r="1542" spans="1:14" ht="30" customHeight="1" x14ac:dyDescent="0.3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</row>
    <row r="1543" spans="1:14" ht="30" customHeight="1" x14ac:dyDescent="0.3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</row>
    <row r="1544" spans="1:14" ht="30" customHeight="1" x14ac:dyDescent="0.3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</row>
    <row r="1545" spans="1:14" ht="30" customHeight="1" x14ac:dyDescent="0.3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</row>
    <row r="1546" spans="1:14" ht="30" customHeight="1" x14ac:dyDescent="0.3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</row>
    <row r="1547" spans="1:14" ht="30" customHeight="1" x14ac:dyDescent="0.3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</row>
    <row r="1548" spans="1:14" ht="30" customHeight="1" x14ac:dyDescent="0.3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</row>
    <row r="1549" spans="1:14" ht="30" customHeight="1" x14ac:dyDescent="0.3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</row>
    <row r="1550" spans="1:14" ht="30" customHeight="1" x14ac:dyDescent="0.3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</row>
    <row r="1551" spans="1:14" ht="30" customHeight="1" x14ac:dyDescent="0.3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</row>
    <row r="1552" spans="1:14" ht="30" customHeight="1" x14ac:dyDescent="0.3">
      <c r="A1552" s="4" t="s">
        <v>128</v>
      </c>
      <c r="B1552" s="5"/>
      <c r="C1552" s="5"/>
      <c r="D1552" s="5"/>
      <c r="E1552" s="5"/>
      <c r="F1552" s="7">
        <f>SUM(F1533:F1551)</f>
        <v>7801000</v>
      </c>
      <c r="G1552" s="5"/>
      <c r="H1552" s="7">
        <f>SUM(H1533:H1551)</f>
        <v>0</v>
      </c>
      <c r="I1552" s="5"/>
      <c r="J1552" s="7">
        <f>SUM(J1533:J1551)</f>
        <v>0</v>
      </c>
      <c r="K1552" s="5"/>
      <c r="L1552" s="7">
        <f>SUM(L1533:L1551)</f>
        <v>7801000</v>
      </c>
      <c r="M1552" s="5"/>
      <c r="N1552" t="s">
        <v>129</v>
      </c>
    </row>
    <row r="1553" spans="1:48" ht="30" customHeight="1" x14ac:dyDescent="0.3">
      <c r="A1553" s="4" t="s">
        <v>3033</v>
      </c>
      <c r="B1553" s="4" t="s">
        <v>2626</v>
      </c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Q1553" s="6" t="s">
        <v>3034</v>
      </c>
    </row>
    <row r="1554" spans="1:48" ht="30" customHeight="1" x14ac:dyDescent="0.3">
      <c r="A1554" s="4" t="s">
        <v>2183</v>
      </c>
      <c r="B1554" s="4" t="s">
        <v>2184</v>
      </c>
      <c r="C1554" s="4" t="s">
        <v>856</v>
      </c>
      <c r="D1554" s="5">
        <v>3095</v>
      </c>
      <c r="E1554" s="7">
        <f>TRUNC([1]중기단가목록!E4,0)</f>
        <v>0</v>
      </c>
      <c r="F1554" s="7">
        <f>TRUNC(E1554*D1554, 0)</f>
        <v>0</v>
      </c>
      <c r="G1554" s="7">
        <f>TRUNC([1]중기단가목록!F4,0)</f>
        <v>0</v>
      </c>
      <c r="H1554" s="7">
        <f>TRUNC(G1554*D1554, 0)</f>
        <v>0</v>
      </c>
      <c r="I1554" s="7">
        <f>TRUNC([1]중기단가목록!G4,0)</f>
        <v>1556</v>
      </c>
      <c r="J1554" s="7">
        <f>TRUNC(I1554*D1554, 0)</f>
        <v>4815820</v>
      </c>
      <c r="K1554" s="7">
        <f t="shared" ref="K1554:L1557" si="172">TRUNC(E1554+G1554+I1554, 0)</f>
        <v>1556</v>
      </c>
      <c r="L1554" s="7">
        <f t="shared" si="172"/>
        <v>4815820</v>
      </c>
      <c r="M1554" s="4" t="s">
        <v>2185</v>
      </c>
      <c r="N1554" s="6" t="s">
        <v>2186</v>
      </c>
      <c r="O1554" s="6" t="s">
        <v>55</v>
      </c>
      <c r="P1554" s="6" t="s">
        <v>55</v>
      </c>
      <c r="Q1554" s="6" t="s">
        <v>3034</v>
      </c>
      <c r="R1554" s="6" t="s">
        <v>56</v>
      </c>
      <c r="S1554" s="6" t="s">
        <v>57</v>
      </c>
      <c r="T1554" s="6" t="s">
        <v>56</v>
      </c>
      <c r="AR1554" s="6" t="s">
        <v>55</v>
      </c>
      <c r="AS1554" s="6" t="s">
        <v>55</v>
      </c>
      <c r="AU1554" s="6" t="s">
        <v>3035</v>
      </c>
      <c r="AV1554">
        <v>2441</v>
      </c>
    </row>
    <row r="1555" spans="1:48" ht="30" customHeight="1" x14ac:dyDescent="0.3">
      <c r="A1555" s="4" t="s">
        <v>2188</v>
      </c>
      <c r="B1555" s="4" t="s">
        <v>2189</v>
      </c>
      <c r="C1555" s="4" t="s">
        <v>106</v>
      </c>
      <c r="D1555" s="5">
        <v>105.139</v>
      </c>
      <c r="E1555" s="7">
        <f>TRUNC([1]중기단가목록!E5,0)</f>
        <v>0</v>
      </c>
      <c r="F1555" s="7">
        <f>TRUNC(E1555*D1555, 0)</f>
        <v>0</v>
      </c>
      <c r="G1555" s="7">
        <f>TRUNC([1]중기단가목록!F5,0)</f>
        <v>0</v>
      </c>
      <c r="H1555" s="7">
        <f>TRUNC(G1555*D1555, 0)</f>
        <v>0</v>
      </c>
      <c r="I1555" s="7">
        <f>TRUNC([1]중기단가목록!G5,0)</f>
        <v>12020</v>
      </c>
      <c r="J1555" s="7">
        <f>TRUNC(I1555*D1555, 0)</f>
        <v>1263770</v>
      </c>
      <c r="K1555" s="7">
        <f t="shared" si="172"/>
        <v>12020</v>
      </c>
      <c r="L1555" s="7">
        <f t="shared" si="172"/>
        <v>1263770</v>
      </c>
      <c r="M1555" s="4" t="s">
        <v>2190</v>
      </c>
      <c r="N1555" s="6" t="s">
        <v>2191</v>
      </c>
      <c r="O1555" s="6" t="s">
        <v>55</v>
      </c>
      <c r="P1555" s="6" t="s">
        <v>55</v>
      </c>
      <c r="Q1555" s="6" t="s">
        <v>3034</v>
      </c>
      <c r="R1555" s="6" t="s">
        <v>56</v>
      </c>
      <c r="S1555" s="6" t="s">
        <v>57</v>
      </c>
      <c r="T1555" s="6" t="s">
        <v>56</v>
      </c>
      <c r="AR1555" s="6" t="s">
        <v>55</v>
      </c>
      <c r="AS1555" s="6" t="s">
        <v>55</v>
      </c>
      <c r="AU1555" s="6" t="s">
        <v>3036</v>
      </c>
      <c r="AV1555">
        <v>2442</v>
      </c>
    </row>
    <row r="1556" spans="1:48" ht="30" customHeight="1" x14ac:dyDescent="0.3">
      <c r="A1556" s="4" t="s">
        <v>2193</v>
      </c>
      <c r="B1556" s="4" t="s">
        <v>2189</v>
      </c>
      <c r="C1556" s="4" t="s">
        <v>106</v>
      </c>
      <c r="D1556" s="5">
        <v>102.07899999999999</v>
      </c>
      <c r="E1556" s="7">
        <f>TRUNC([1]중기단가목록!E6,0)</f>
        <v>0</v>
      </c>
      <c r="F1556" s="7">
        <f>TRUNC(E1556*D1556, 0)</f>
        <v>0</v>
      </c>
      <c r="G1556" s="7">
        <f>TRUNC([1]중기단가목록!F6,0)</f>
        <v>0</v>
      </c>
      <c r="H1556" s="7">
        <f>TRUNC(G1556*D1556, 0)</f>
        <v>0</v>
      </c>
      <c r="I1556" s="7">
        <f>TRUNC([1]중기단가목록!G6,0)</f>
        <v>12020</v>
      </c>
      <c r="J1556" s="7">
        <f>TRUNC(I1556*D1556, 0)</f>
        <v>1226989</v>
      </c>
      <c r="K1556" s="7">
        <f t="shared" si="172"/>
        <v>12020</v>
      </c>
      <c r="L1556" s="7">
        <f t="shared" si="172"/>
        <v>1226989</v>
      </c>
      <c r="M1556" s="4" t="s">
        <v>2194</v>
      </c>
      <c r="N1556" s="6" t="s">
        <v>2195</v>
      </c>
      <c r="O1556" s="6" t="s">
        <v>55</v>
      </c>
      <c r="P1556" s="6" t="s">
        <v>55</v>
      </c>
      <c r="Q1556" s="6" t="s">
        <v>3034</v>
      </c>
      <c r="R1556" s="6" t="s">
        <v>56</v>
      </c>
      <c r="S1556" s="6" t="s">
        <v>57</v>
      </c>
      <c r="T1556" s="6" t="s">
        <v>56</v>
      </c>
      <c r="AR1556" s="6" t="s">
        <v>55</v>
      </c>
      <c r="AS1556" s="6" t="s">
        <v>55</v>
      </c>
      <c r="AU1556" s="6" t="s">
        <v>3037</v>
      </c>
      <c r="AV1556">
        <v>3183</v>
      </c>
    </row>
    <row r="1557" spans="1:48" ht="30" customHeight="1" x14ac:dyDescent="0.3">
      <c r="A1557" s="4" t="s">
        <v>2202</v>
      </c>
      <c r="B1557" s="4" t="s">
        <v>2203</v>
      </c>
      <c r="C1557" s="4" t="s">
        <v>2204</v>
      </c>
      <c r="D1557" s="5">
        <v>84</v>
      </c>
      <c r="E1557" s="7">
        <f>TRUNC([1]중기단가목록!E8,0)</f>
        <v>0</v>
      </c>
      <c r="F1557" s="7">
        <f>TRUNC(E1557*D1557, 0)</f>
        <v>0</v>
      </c>
      <c r="G1557" s="7">
        <f>TRUNC([1]중기단가목록!F8,0)</f>
        <v>0</v>
      </c>
      <c r="H1557" s="7">
        <f>TRUNC(G1557*D1557, 0)</f>
        <v>0</v>
      </c>
      <c r="I1557" s="7">
        <f>TRUNC([1]중기단가목록!G8,0)</f>
        <v>20318</v>
      </c>
      <c r="J1557" s="7">
        <f>TRUNC(I1557*D1557, 0)</f>
        <v>1706712</v>
      </c>
      <c r="K1557" s="7">
        <f t="shared" si="172"/>
        <v>20318</v>
      </c>
      <c r="L1557" s="7">
        <f t="shared" si="172"/>
        <v>1706712</v>
      </c>
      <c r="M1557" s="4" t="s">
        <v>2205</v>
      </c>
      <c r="N1557" s="6" t="s">
        <v>2206</v>
      </c>
      <c r="O1557" s="6" t="s">
        <v>55</v>
      </c>
      <c r="P1557" s="6" t="s">
        <v>55</v>
      </c>
      <c r="Q1557" s="6" t="s">
        <v>3034</v>
      </c>
      <c r="R1557" s="6" t="s">
        <v>56</v>
      </c>
      <c r="S1557" s="6" t="s">
        <v>57</v>
      </c>
      <c r="T1557" s="6" t="s">
        <v>56</v>
      </c>
      <c r="AR1557" s="6" t="s">
        <v>55</v>
      </c>
      <c r="AS1557" s="6" t="s">
        <v>55</v>
      </c>
      <c r="AU1557" s="6" t="s">
        <v>3038</v>
      </c>
      <c r="AV1557">
        <v>2444</v>
      </c>
    </row>
    <row r="1558" spans="1:48" ht="30" customHeight="1" x14ac:dyDescent="0.3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</row>
    <row r="1559" spans="1:48" ht="30" customHeight="1" x14ac:dyDescent="0.3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</row>
    <row r="1560" spans="1:48" ht="30" customHeight="1" x14ac:dyDescent="0.3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</row>
    <row r="1561" spans="1:48" ht="30" customHeight="1" x14ac:dyDescent="0.3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</row>
    <row r="1562" spans="1:48" ht="30" customHeight="1" x14ac:dyDescent="0.3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</row>
    <row r="1563" spans="1:48" ht="30" customHeight="1" x14ac:dyDescent="0.3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</row>
    <row r="1564" spans="1:48" ht="30" customHeight="1" x14ac:dyDescent="0.3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</row>
    <row r="1565" spans="1:48" ht="30" customHeight="1" x14ac:dyDescent="0.3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</row>
    <row r="1566" spans="1:48" ht="30" customHeight="1" x14ac:dyDescent="0.3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</row>
    <row r="1567" spans="1:48" ht="30" customHeight="1" x14ac:dyDescent="0.3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</row>
    <row r="1568" spans="1:48" ht="30" customHeight="1" x14ac:dyDescent="0.3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</row>
    <row r="1569" spans="1:48" ht="30" customHeight="1" x14ac:dyDescent="0.3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</row>
    <row r="1570" spans="1:48" ht="30" customHeight="1" x14ac:dyDescent="0.3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</row>
    <row r="1571" spans="1:48" ht="30" customHeight="1" x14ac:dyDescent="0.3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</row>
    <row r="1572" spans="1:48" ht="30" customHeight="1" x14ac:dyDescent="0.3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</row>
    <row r="1573" spans="1:48" ht="30" customHeight="1" x14ac:dyDescent="0.3">
      <c r="A1573" s="4" t="s">
        <v>128</v>
      </c>
      <c r="B1573" s="5"/>
      <c r="C1573" s="5"/>
      <c r="D1573" s="5"/>
      <c r="E1573" s="5"/>
      <c r="F1573" s="7">
        <f>SUM(F1554:F1572)</f>
        <v>0</v>
      </c>
      <c r="G1573" s="5"/>
      <c r="H1573" s="7">
        <f>SUM(H1554:H1572)</f>
        <v>0</v>
      </c>
      <c r="I1573" s="5"/>
      <c r="J1573" s="7">
        <f>SUM(J1554:J1572)</f>
        <v>9013291</v>
      </c>
      <c r="K1573" s="5"/>
      <c r="L1573" s="7">
        <f>SUM(L1554:L1572)</f>
        <v>9013291</v>
      </c>
      <c r="M1573" s="5"/>
      <c r="N1573" t="s">
        <v>129</v>
      </c>
    </row>
    <row r="1574" spans="1:48" ht="30" customHeight="1" x14ac:dyDescent="0.3">
      <c r="A1574" s="4" t="s">
        <v>3039</v>
      </c>
      <c r="B1574" s="4" t="s">
        <v>2626</v>
      </c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Q1574" s="6" t="s">
        <v>3040</v>
      </c>
    </row>
    <row r="1575" spans="1:48" ht="30" customHeight="1" x14ac:dyDescent="0.3">
      <c r="A1575" s="4" t="s">
        <v>2210</v>
      </c>
      <c r="B1575" s="4" t="s">
        <v>2211</v>
      </c>
      <c r="C1575" s="4" t="s">
        <v>106</v>
      </c>
      <c r="D1575" s="5">
        <v>-2.6640000000000001</v>
      </c>
      <c r="E1575" s="7">
        <f>TRUNC([1]단가대비표!O25,0)</f>
        <v>385000</v>
      </c>
      <c r="F1575" s="7">
        <f>TRUNC(E1575*D1575, 0)</f>
        <v>-1025640</v>
      </c>
      <c r="G1575" s="7">
        <f>TRUNC([1]단가대비표!P25,0)</f>
        <v>0</v>
      </c>
      <c r="H1575" s="7">
        <f>TRUNC(G1575*D1575, 0)</f>
        <v>0</v>
      </c>
      <c r="I1575" s="7">
        <f>TRUNC([1]단가대비표!V25,0)</f>
        <v>0</v>
      </c>
      <c r="J1575" s="7">
        <f>TRUNC(I1575*D1575, 0)</f>
        <v>0</v>
      </c>
      <c r="K1575" s="7">
        <f>TRUNC(E1575+G1575+I1575, 0)</f>
        <v>385000</v>
      </c>
      <c r="L1575" s="7">
        <f>TRUNC(F1575+H1575+J1575, 0)</f>
        <v>-1025640</v>
      </c>
      <c r="M1575" s="4" t="s">
        <v>2212</v>
      </c>
      <c r="N1575" s="6" t="s">
        <v>2213</v>
      </c>
      <c r="O1575" s="6" t="s">
        <v>55</v>
      </c>
      <c r="P1575" s="6" t="s">
        <v>55</v>
      </c>
      <c r="Q1575" s="6" t="s">
        <v>3040</v>
      </c>
      <c r="R1575" s="6" t="s">
        <v>56</v>
      </c>
      <c r="S1575" s="6" t="s">
        <v>56</v>
      </c>
      <c r="T1575" s="6" t="s">
        <v>57</v>
      </c>
      <c r="AR1575" s="6" t="s">
        <v>55</v>
      </c>
      <c r="AS1575" s="6" t="s">
        <v>55</v>
      </c>
      <c r="AU1575" s="6" t="s">
        <v>3041</v>
      </c>
      <c r="AV1575">
        <v>2445</v>
      </c>
    </row>
    <row r="1576" spans="1:48" ht="30" customHeight="1" x14ac:dyDescent="0.3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</row>
    <row r="1577" spans="1:48" ht="30" customHeight="1" x14ac:dyDescent="0.3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</row>
    <row r="1578" spans="1:48" ht="30" customHeight="1" x14ac:dyDescent="0.3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</row>
    <row r="1579" spans="1:48" ht="30" customHeight="1" x14ac:dyDescent="0.3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</row>
    <row r="1580" spans="1:48" ht="30" customHeight="1" x14ac:dyDescent="0.3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</row>
    <row r="1581" spans="1:48" ht="30" customHeight="1" x14ac:dyDescent="0.3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</row>
    <row r="1582" spans="1:48" ht="30" customHeight="1" x14ac:dyDescent="0.3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</row>
    <row r="1583" spans="1:48" ht="30" customHeight="1" x14ac:dyDescent="0.3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</row>
    <row r="1584" spans="1:48" ht="30" customHeight="1" x14ac:dyDescent="0.3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</row>
    <row r="1585" spans="1:48" ht="30" customHeight="1" x14ac:dyDescent="0.3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</row>
    <row r="1586" spans="1:48" ht="30" customHeight="1" x14ac:dyDescent="0.3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</row>
    <row r="1587" spans="1:48" ht="30" customHeight="1" x14ac:dyDescent="0.3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</row>
    <row r="1588" spans="1:48" ht="30" customHeight="1" x14ac:dyDescent="0.3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</row>
    <row r="1589" spans="1:48" ht="30" customHeight="1" x14ac:dyDescent="0.3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</row>
    <row r="1590" spans="1:48" ht="30" customHeight="1" x14ac:dyDescent="0.3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</row>
    <row r="1591" spans="1:48" ht="30" customHeight="1" x14ac:dyDescent="0.3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</row>
    <row r="1592" spans="1:48" ht="30" customHeight="1" x14ac:dyDescent="0.3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</row>
    <row r="1593" spans="1:48" ht="30" customHeight="1" x14ac:dyDescent="0.3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</row>
    <row r="1594" spans="1:48" ht="30" customHeight="1" x14ac:dyDescent="0.3">
      <c r="A1594" s="4" t="s">
        <v>128</v>
      </c>
      <c r="B1594" s="5"/>
      <c r="C1594" s="5"/>
      <c r="D1594" s="5"/>
      <c r="E1594" s="5"/>
      <c r="F1594" s="7">
        <f>SUM(F1575:F1593)</f>
        <v>-1025640</v>
      </c>
      <c r="G1594" s="5"/>
      <c r="H1594" s="7">
        <f>SUM(H1575:H1593)</f>
        <v>0</v>
      </c>
      <c r="I1594" s="5"/>
      <c r="J1594" s="7">
        <f>SUM(J1575:J1593)</f>
        <v>0</v>
      </c>
      <c r="K1594" s="5"/>
      <c r="L1594" s="7">
        <f>SUM(L1575:L1593)</f>
        <v>-1025640</v>
      </c>
      <c r="M1594" s="5"/>
      <c r="N1594" t="s">
        <v>129</v>
      </c>
    </row>
    <row r="1595" spans="1:48" ht="30" customHeight="1" x14ac:dyDescent="0.3">
      <c r="A1595" s="4" t="s">
        <v>3042</v>
      </c>
      <c r="B1595" s="4" t="s">
        <v>3043</v>
      </c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Q1595" s="6" t="s">
        <v>3044</v>
      </c>
    </row>
    <row r="1596" spans="1:48" ht="30" customHeight="1" x14ac:dyDescent="0.3">
      <c r="A1596" s="4" t="s">
        <v>2232</v>
      </c>
      <c r="B1596" s="4" t="s">
        <v>191</v>
      </c>
      <c r="C1596" s="4" t="s">
        <v>106</v>
      </c>
      <c r="D1596" s="5">
        <v>30.155999999999999</v>
      </c>
      <c r="E1596" s="7">
        <f>TRUNC([1]단가대비표!O43,0)</f>
        <v>1013920</v>
      </c>
      <c r="F1596" s="7">
        <f t="shared" ref="F1596:F1616" si="173">TRUNC(E1596*D1596, 0)</f>
        <v>30575771</v>
      </c>
      <c r="G1596" s="7">
        <f>TRUNC([1]단가대비표!P43,0)</f>
        <v>0</v>
      </c>
      <c r="H1596" s="7">
        <f t="shared" ref="H1596:H1616" si="174">TRUNC(G1596*D1596, 0)</f>
        <v>0</v>
      </c>
      <c r="I1596" s="7">
        <f>TRUNC([1]단가대비표!V43,0)</f>
        <v>0</v>
      </c>
      <c r="J1596" s="7">
        <f t="shared" ref="J1596:J1616" si="175">TRUNC(I1596*D1596, 0)</f>
        <v>0</v>
      </c>
      <c r="K1596" s="7">
        <f t="shared" ref="K1596:L1616" si="176">TRUNC(E1596+G1596+I1596, 0)</f>
        <v>1013920</v>
      </c>
      <c r="L1596" s="7">
        <f t="shared" si="176"/>
        <v>30575771</v>
      </c>
      <c r="M1596" s="4" t="s">
        <v>55</v>
      </c>
      <c r="N1596" s="6" t="s">
        <v>2233</v>
      </c>
      <c r="O1596" s="6" t="s">
        <v>55</v>
      </c>
      <c r="P1596" s="6" t="s">
        <v>55</v>
      </c>
      <c r="Q1596" s="6" t="s">
        <v>3044</v>
      </c>
      <c r="R1596" s="6" t="s">
        <v>56</v>
      </c>
      <c r="S1596" s="6" t="s">
        <v>56</v>
      </c>
      <c r="T1596" s="6" t="s">
        <v>57</v>
      </c>
      <c r="X1596">
        <v>1</v>
      </c>
      <c r="AR1596" s="6" t="s">
        <v>55</v>
      </c>
      <c r="AS1596" s="6" t="s">
        <v>55</v>
      </c>
      <c r="AU1596" s="6" t="s">
        <v>3045</v>
      </c>
      <c r="AV1596">
        <v>652</v>
      </c>
    </row>
    <row r="1597" spans="1:48" ht="30" customHeight="1" x14ac:dyDescent="0.3">
      <c r="A1597" s="4" t="s">
        <v>2232</v>
      </c>
      <c r="B1597" s="4" t="s">
        <v>194</v>
      </c>
      <c r="C1597" s="4" t="s">
        <v>106</v>
      </c>
      <c r="D1597" s="5">
        <v>23.863</v>
      </c>
      <c r="E1597" s="7">
        <f>TRUNC([1]단가대비표!O44,0)</f>
        <v>1008450</v>
      </c>
      <c r="F1597" s="7">
        <f t="shared" si="173"/>
        <v>24064642</v>
      </c>
      <c r="G1597" s="7">
        <f>TRUNC([1]단가대비표!P44,0)</f>
        <v>0</v>
      </c>
      <c r="H1597" s="7">
        <f t="shared" si="174"/>
        <v>0</v>
      </c>
      <c r="I1597" s="7">
        <f>TRUNC([1]단가대비표!V44,0)</f>
        <v>0</v>
      </c>
      <c r="J1597" s="7">
        <f t="shared" si="175"/>
        <v>0</v>
      </c>
      <c r="K1597" s="7">
        <f t="shared" si="176"/>
        <v>1008450</v>
      </c>
      <c r="L1597" s="7">
        <f t="shared" si="176"/>
        <v>24064642</v>
      </c>
      <c r="M1597" s="4" t="s">
        <v>55</v>
      </c>
      <c r="N1597" s="6" t="s">
        <v>2235</v>
      </c>
      <c r="O1597" s="6" t="s">
        <v>55</v>
      </c>
      <c r="P1597" s="6" t="s">
        <v>55</v>
      </c>
      <c r="Q1597" s="6" t="s">
        <v>3044</v>
      </c>
      <c r="R1597" s="6" t="s">
        <v>56</v>
      </c>
      <c r="S1597" s="6" t="s">
        <v>56</v>
      </c>
      <c r="T1597" s="6" t="s">
        <v>57</v>
      </c>
      <c r="X1597">
        <v>1</v>
      </c>
      <c r="AR1597" s="6" t="s">
        <v>55</v>
      </c>
      <c r="AS1597" s="6" t="s">
        <v>55</v>
      </c>
      <c r="AU1597" s="6" t="s">
        <v>3046</v>
      </c>
      <c r="AV1597">
        <v>653</v>
      </c>
    </row>
    <row r="1598" spans="1:48" ht="30" customHeight="1" x14ac:dyDescent="0.3">
      <c r="A1598" s="4" t="s">
        <v>2232</v>
      </c>
      <c r="B1598" s="4" t="s">
        <v>197</v>
      </c>
      <c r="C1598" s="4" t="s">
        <v>106</v>
      </c>
      <c r="D1598" s="5">
        <v>0.19800000000000001</v>
      </c>
      <c r="E1598" s="7">
        <f>TRUNC([1]단가대비표!O45,0)</f>
        <v>1052230</v>
      </c>
      <c r="F1598" s="7">
        <f t="shared" si="173"/>
        <v>208341</v>
      </c>
      <c r="G1598" s="7">
        <f>TRUNC([1]단가대비표!P45,0)</f>
        <v>0</v>
      </c>
      <c r="H1598" s="7">
        <f t="shared" si="174"/>
        <v>0</v>
      </c>
      <c r="I1598" s="7">
        <f>TRUNC([1]단가대비표!V45,0)</f>
        <v>0</v>
      </c>
      <c r="J1598" s="7">
        <f t="shared" si="175"/>
        <v>0</v>
      </c>
      <c r="K1598" s="7">
        <f t="shared" si="176"/>
        <v>1052230</v>
      </c>
      <c r="L1598" s="7">
        <f t="shared" si="176"/>
        <v>208341</v>
      </c>
      <c r="M1598" s="4" t="s">
        <v>55</v>
      </c>
      <c r="N1598" s="6" t="s">
        <v>2237</v>
      </c>
      <c r="O1598" s="6" t="s">
        <v>55</v>
      </c>
      <c r="P1598" s="6" t="s">
        <v>55</v>
      </c>
      <c r="Q1598" s="6" t="s">
        <v>3044</v>
      </c>
      <c r="R1598" s="6" t="s">
        <v>56</v>
      </c>
      <c r="S1598" s="6" t="s">
        <v>56</v>
      </c>
      <c r="T1598" s="6" t="s">
        <v>57</v>
      </c>
      <c r="X1598">
        <v>1</v>
      </c>
      <c r="AR1598" s="6" t="s">
        <v>55</v>
      </c>
      <c r="AS1598" s="6" t="s">
        <v>55</v>
      </c>
      <c r="AU1598" s="6" t="s">
        <v>3047</v>
      </c>
      <c r="AV1598">
        <v>654</v>
      </c>
    </row>
    <row r="1599" spans="1:48" ht="30" customHeight="1" x14ac:dyDescent="0.3">
      <c r="A1599" s="4" t="s">
        <v>2232</v>
      </c>
      <c r="B1599" s="4" t="s">
        <v>200</v>
      </c>
      <c r="C1599" s="4" t="s">
        <v>106</v>
      </c>
      <c r="D1599" s="5">
        <v>19.571999999999999</v>
      </c>
      <c r="E1599" s="7">
        <f>TRUNC([1]단가대비표!O46,0)</f>
        <v>1052230</v>
      </c>
      <c r="F1599" s="7">
        <f t="shared" si="173"/>
        <v>20594245</v>
      </c>
      <c r="G1599" s="7">
        <f>TRUNC([1]단가대비표!P46,0)</f>
        <v>0</v>
      </c>
      <c r="H1599" s="7">
        <f t="shared" si="174"/>
        <v>0</v>
      </c>
      <c r="I1599" s="7">
        <f>TRUNC([1]단가대비표!V46,0)</f>
        <v>0</v>
      </c>
      <c r="J1599" s="7">
        <f t="shared" si="175"/>
        <v>0</v>
      </c>
      <c r="K1599" s="7">
        <f t="shared" si="176"/>
        <v>1052230</v>
      </c>
      <c r="L1599" s="7">
        <f t="shared" si="176"/>
        <v>20594245</v>
      </c>
      <c r="M1599" s="4" t="s">
        <v>55</v>
      </c>
      <c r="N1599" s="6" t="s">
        <v>2239</v>
      </c>
      <c r="O1599" s="6" t="s">
        <v>55</v>
      </c>
      <c r="P1599" s="6" t="s">
        <v>55</v>
      </c>
      <c r="Q1599" s="6" t="s">
        <v>3044</v>
      </c>
      <c r="R1599" s="6" t="s">
        <v>56</v>
      </c>
      <c r="S1599" s="6" t="s">
        <v>56</v>
      </c>
      <c r="T1599" s="6" t="s">
        <v>57</v>
      </c>
      <c r="X1599">
        <v>1</v>
      </c>
      <c r="AR1599" s="6" t="s">
        <v>55</v>
      </c>
      <c r="AS1599" s="6" t="s">
        <v>55</v>
      </c>
      <c r="AU1599" s="6" t="s">
        <v>3048</v>
      </c>
      <c r="AV1599">
        <v>655</v>
      </c>
    </row>
    <row r="1600" spans="1:48" ht="30" customHeight="1" x14ac:dyDescent="0.3">
      <c r="A1600" s="4" t="s">
        <v>2232</v>
      </c>
      <c r="B1600" s="4" t="s">
        <v>203</v>
      </c>
      <c r="C1600" s="4" t="s">
        <v>106</v>
      </c>
      <c r="D1600" s="5">
        <v>31.395</v>
      </c>
      <c r="E1600" s="7">
        <f>TRUNC([1]단가대비표!O47,0)</f>
        <v>1052230</v>
      </c>
      <c r="F1600" s="7">
        <f t="shared" si="173"/>
        <v>33034760</v>
      </c>
      <c r="G1600" s="7">
        <f>TRUNC([1]단가대비표!P47,0)</f>
        <v>0</v>
      </c>
      <c r="H1600" s="7">
        <f t="shared" si="174"/>
        <v>0</v>
      </c>
      <c r="I1600" s="7">
        <f>TRUNC([1]단가대비표!V47,0)</f>
        <v>0</v>
      </c>
      <c r="J1600" s="7">
        <f t="shared" si="175"/>
        <v>0</v>
      </c>
      <c r="K1600" s="7">
        <f t="shared" si="176"/>
        <v>1052230</v>
      </c>
      <c r="L1600" s="7">
        <f t="shared" si="176"/>
        <v>33034760</v>
      </c>
      <c r="M1600" s="4" t="s">
        <v>55</v>
      </c>
      <c r="N1600" s="6" t="s">
        <v>2241</v>
      </c>
      <c r="O1600" s="6" t="s">
        <v>55</v>
      </c>
      <c r="P1600" s="6" t="s">
        <v>55</v>
      </c>
      <c r="Q1600" s="6" t="s">
        <v>3044</v>
      </c>
      <c r="R1600" s="6" t="s">
        <v>56</v>
      </c>
      <c r="S1600" s="6" t="s">
        <v>56</v>
      </c>
      <c r="T1600" s="6" t="s">
        <v>57</v>
      </c>
      <c r="X1600">
        <v>1</v>
      </c>
      <c r="AR1600" s="6" t="s">
        <v>55</v>
      </c>
      <c r="AS1600" s="6" t="s">
        <v>55</v>
      </c>
      <c r="AU1600" s="6" t="s">
        <v>3049</v>
      </c>
      <c r="AV1600">
        <v>656</v>
      </c>
    </row>
    <row r="1601" spans="1:48" ht="30" customHeight="1" x14ac:dyDescent="0.3">
      <c r="A1601" s="4" t="s">
        <v>2228</v>
      </c>
      <c r="B1601" s="4" t="s">
        <v>2229</v>
      </c>
      <c r="C1601" s="4" t="s">
        <v>92</v>
      </c>
      <c r="D1601" s="5">
        <v>1</v>
      </c>
      <c r="E1601" s="7">
        <f>ROUNDDOWN(SUMIF(X1596:X1616, RIGHTB(N1601, 1), F1596:F1616)*W1601, 0)</f>
        <v>585779</v>
      </c>
      <c r="F1601" s="7">
        <f t="shared" si="173"/>
        <v>585779</v>
      </c>
      <c r="G1601" s="7">
        <v>0</v>
      </c>
      <c r="H1601" s="7">
        <f t="shared" si="174"/>
        <v>0</v>
      </c>
      <c r="I1601" s="7">
        <v>0</v>
      </c>
      <c r="J1601" s="7">
        <f t="shared" si="175"/>
        <v>0</v>
      </c>
      <c r="K1601" s="7">
        <f t="shared" si="176"/>
        <v>585779</v>
      </c>
      <c r="L1601" s="7">
        <f t="shared" si="176"/>
        <v>585779</v>
      </c>
      <c r="M1601" s="4" t="s">
        <v>55</v>
      </c>
      <c r="N1601" s="6" t="s">
        <v>2230</v>
      </c>
      <c r="O1601" s="6" t="s">
        <v>55</v>
      </c>
      <c r="P1601" s="6" t="s">
        <v>55</v>
      </c>
      <c r="Q1601" s="6" t="s">
        <v>3044</v>
      </c>
      <c r="R1601" s="6" t="s">
        <v>56</v>
      </c>
      <c r="S1601" s="6" t="s">
        <v>56</v>
      </c>
      <c r="T1601" s="6" t="s">
        <v>56</v>
      </c>
      <c r="U1601">
        <v>0</v>
      </c>
      <c r="V1601">
        <v>0</v>
      </c>
      <c r="W1601">
        <v>5.4000000000000003E-3</v>
      </c>
      <c r="AR1601" s="6" t="s">
        <v>55</v>
      </c>
      <c r="AS1601" s="6" t="s">
        <v>55</v>
      </c>
      <c r="AU1601" s="6" t="s">
        <v>3050</v>
      </c>
      <c r="AV1601">
        <v>3496</v>
      </c>
    </row>
    <row r="1602" spans="1:48" ht="30" customHeight="1" x14ac:dyDescent="0.3">
      <c r="A1602" s="4" t="s">
        <v>2247</v>
      </c>
      <c r="B1602" s="4" t="s">
        <v>222</v>
      </c>
      <c r="C1602" s="4" t="s">
        <v>223</v>
      </c>
      <c r="D1602" s="5">
        <v>16</v>
      </c>
      <c r="E1602" s="7">
        <f>TRUNC([1]단가대비표!O84,0)</f>
        <v>77800</v>
      </c>
      <c r="F1602" s="7">
        <f t="shared" si="173"/>
        <v>1244800</v>
      </c>
      <c r="G1602" s="7">
        <f>TRUNC([1]단가대비표!P84,0)</f>
        <v>0</v>
      </c>
      <c r="H1602" s="7">
        <f t="shared" si="174"/>
        <v>0</v>
      </c>
      <c r="I1602" s="7">
        <f>TRUNC([1]단가대비표!V84,0)</f>
        <v>0</v>
      </c>
      <c r="J1602" s="7">
        <f t="shared" si="175"/>
        <v>0</v>
      </c>
      <c r="K1602" s="7">
        <f t="shared" si="176"/>
        <v>77800</v>
      </c>
      <c r="L1602" s="7">
        <f t="shared" si="176"/>
        <v>1244800</v>
      </c>
      <c r="M1602" s="4" t="s">
        <v>55</v>
      </c>
      <c r="N1602" s="6" t="s">
        <v>2248</v>
      </c>
      <c r="O1602" s="6" t="s">
        <v>55</v>
      </c>
      <c r="P1602" s="6" t="s">
        <v>55</v>
      </c>
      <c r="Q1602" s="6" t="s">
        <v>3044</v>
      </c>
      <c r="R1602" s="6" t="s">
        <v>56</v>
      </c>
      <c r="S1602" s="6" t="s">
        <v>56</v>
      </c>
      <c r="T1602" s="6" t="s">
        <v>57</v>
      </c>
      <c r="Y1602">
        <v>2</v>
      </c>
      <c r="AR1602" s="6" t="s">
        <v>55</v>
      </c>
      <c r="AS1602" s="6" t="s">
        <v>55</v>
      </c>
      <c r="AU1602" s="6" t="s">
        <v>3051</v>
      </c>
      <c r="AV1602">
        <v>657</v>
      </c>
    </row>
    <row r="1603" spans="1:48" ht="30" customHeight="1" x14ac:dyDescent="0.3">
      <c r="A1603" s="4" t="s">
        <v>2247</v>
      </c>
      <c r="B1603" s="4" t="s">
        <v>226</v>
      </c>
      <c r="C1603" s="4" t="s">
        <v>223</v>
      </c>
      <c r="D1603" s="5">
        <v>60</v>
      </c>
      <c r="E1603" s="7">
        <f>TRUNC([1]단가대비표!O85,0)</f>
        <v>78180</v>
      </c>
      <c r="F1603" s="7">
        <f t="shared" si="173"/>
        <v>4690800</v>
      </c>
      <c r="G1603" s="7">
        <f>TRUNC([1]단가대비표!P85,0)</f>
        <v>0</v>
      </c>
      <c r="H1603" s="7">
        <f t="shared" si="174"/>
        <v>0</v>
      </c>
      <c r="I1603" s="7">
        <f>TRUNC([1]단가대비표!V85,0)</f>
        <v>0</v>
      </c>
      <c r="J1603" s="7">
        <f t="shared" si="175"/>
        <v>0</v>
      </c>
      <c r="K1603" s="7">
        <f t="shared" si="176"/>
        <v>78180</v>
      </c>
      <c r="L1603" s="7">
        <f t="shared" si="176"/>
        <v>4690800</v>
      </c>
      <c r="M1603" s="4" t="s">
        <v>55</v>
      </c>
      <c r="N1603" s="6" t="s">
        <v>2250</v>
      </c>
      <c r="O1603" s="6" t="s">
        <v>55</v>
      </c>
      <c r="P1603" s="6" t="s">
        <v>55</v>
      </c>
      <c r="Q1603" s="6" t="s">
        <v>3044</v>
      </c>
      <c r="R1603" s="6" t="s">
        <v>56</v>
      </c>
      <c r="S1603" s="6" t="s">
        <v>56</v>
      </c>
      <c r="T1603" s="6" t="s">
        <v>57</v>
      </c>
      <c r="Y1603">
        <v>2</v>
      </c>
      <c r="AR1603" s="6" t="s">
        <v>55</v>
      </c>
      <c r="AS1603" s="6" t="s">
        <v>55</v>
      </c>
      <c r="AU1603" s="6" t="s">
        <v>3052</v>
      </c>
      <c r="AV1603">
        <v>658</v>
      </c>
    </row>
    <row r="1604" spans="1:48" ht="30" customHeight="1" x14ac:dyDescent="0.3">
      <c r="A1604" s="4" t="s">
        <v>2247</v>
      </c>
      <c r="B1604" s="4" t="s">
        <v>2662</v>
      </c>
      <c r="C1604" s="4" t="s">
        <v>223</v>
      </c>
      <c r="D1604" s="5">
        <v>1057</v>
      </c>
      <c r="E1604" s="7">
        <f>TRUNC([1]단가대비표!O87,0)</f>
        <v>79110</v>
      </c>
      <c r="F1604" s="7">
        <f t="shared" si="173"/>
        <v>83619270</v>
      </c>
      <c r="G1604" s="7">
        <f>TRUNC([1]단가대비표!P87,0)</f>
        <v>0</v>
      </c>
      <c r="H1604" s="7">
        <f t="shared" si="174"/>
        <v>0</v>
      </c>
      <c r="I1604" s="7">
        <f>TRUNC([1]단가대비표!V87,0)</f>
        <v>0</v>
      </c>
      <c r="J1604" s="7">
        <f t="shared" si="175"/>
        <v>0</v>
      </c>
      <c r="K1604" s="7">
        <f t="shared" si="176"/>
        <v>79110</v>
      </c>
      <c r="L1604" s="7">
        <f t="shared" si="176"/>
        <v>83619270</v>
      </c>
      <c r="M1604" s="4" t="s">
        <v>55</v>
      </c>
      <c r="N1604" s="6" t="s">
        <v>3053</v>
      </c>
      <c r="O1604" s="6" t="s">
        <v>55</v>
      </c>
      <c r="P1604" s="6" t="s">
        <v>55</v>
      </c>
      <c r="Q1604" s="6" t="s">
        <v>3044</v>
      </c>
      <c r="R1604" s="6" t="s">
        <v>56</v>
      </c>
      <c r="S1604" s="6" t="s">
        <v>56</v>
      </c>
      <c r="T1604" s="6" t="s">
        <v>57</v>
      </c>
      <c r="Y1604">
        <v>2</v>
      </c>
      <c r="AR1604" s="6" t="s">
        <v>55</v>
      </c>
      <c r="AS1604" s="6" t="s">
        <v>55</v>
      </c>
      <c r="AU1604" s="6" t="s">
        <v>3054</v>
      </c>
      <c r="AV1604">
        <v>3139</v>
      </c>
    </row>
    <row r="1605" spans="1:48" ht="30" customHeight="1" x14ac:dyDescent="0.3">
      <c r="A1605" s="4" t="s">
        <v>3055</v>
      </c>
      <c r="B1605" s="4" t="s">
        <v>2229</v>
      </c>
      <c r="C1605" s="4" t="s">
        <v>92</v>
      </c>
      <c r="D1605" s="5">
        <v>1</v>
      </c>
      <c r="E1605" s="7">
        <f>ROUNDDOWN(SUMIF(Y1596:Y1616, RIGHTB(N1605, 1), F1596:F1616)*W1605, 0)</f>
        <v>483596</v>
      </c>
      <c r="F1605" s="7">
        <f t="shared" si="173"/>
        <v>483596</v>
      </c>
      <c r="G1605" s="7">
        <v>0</v>
      </c>
      <c r="H1605" s="7">
        <f t="shared" si="174"/>
        <v>0</v>
      </c>
      <c r="I1605" s="7">
        <v>0</v>
      </c>
      <c r="J1605" s="7">
        <f t="shared" si="175"/>
        <v>0</v>
      </c>
      <c r="K1605" s="7">
        <f t="shared" si="176"/>
        <v>483596</v>
      </c>
      <c r="L1605" s="7">
        <f t="shared" si="176"/>
        <v>483596</v>
      </c>
      <c r="M1605" s="4" t="s">
        <v>55</v>
      </c>
      <c r="N1605" s="6" t="s">
        <v>2245</v>
      </c>
      <c r="O1605" s="6" t="s">
        <v>55</v>
      </c>
      <c r="P1605" s="6" t="s">
        <v>55</v>
      </c>
      <c r="Q1605" s="6" t="s">
        <v>3044</v>
      </c>
      <c r="R1605" s="6" t="s">
        <v>56</v>
      </c>
      <c r="S1605" s="6" t="s">
        <v>56</v>
      </c>
      <c r="T1605" s="6" t="s">
        <v>56</v>
      </c>
      <c r="U1605">
        <v>0</v>
      </c>
      <c r="V1605">
        <v>0</v>
      </c>
      <c r="W1605">
        <v>5.4000000000000003E-3</v>
      </c>
      <c r="AR1605" s="6" t="s">
        <v>55</v>
      </c>
      <c r="AS1605" s="6" t="s">
        <v>55</v>
      </c>
      <c r="AU1605" s="6" t="s">
        <v>3056</v>
      </c>
      <c r="AV1605">
        <v>3497</v>
      </c>
    </row>
    <row r="1606" spans="1:48" ht="30" customHeight="1" x14ac:dyDescent="0.3">
      <c r="A1606" s="4" t="s">
        <v>2221</v>
      </c>
      <c r="B1606" s="4" t="s">
        <v>315</v>
      </c>
      <c r="C1606" s="4" t="s">
        <v>140</v>
      </c>
      <c r="D1606" s="5">
        <v>204</v>
      </c>
      <c r="E1606" s="7">
        <f>TRUNC([1]단가대비표!O477,0)</f>
        <v>29500</v>
      </c>
      <c r="F1606" s="7">
        <f t="shared" si="173"/>
        <v>6018000</v>
      </c>
      <c r="G1606" s="7">
        <f>TRUNC([1]단가대비표!P477,0)</f>
        <v>0</v>
      </c>
      <c r="H1606" s="7">
        <f t="shared" si="174"/>
        <v>0</v>
      </c>
      <c r="I1606" s="7">
        <f>TRUNC([1]단가대비표!V477,0)</f>
        <v>0</v>
      </c>
      <c r="J1606" s="7">
        <f t="shared" si="175"/>
        <v>0</v>
      </c>
      <c r="K1606" s="7">
        <f t="shared" si="176"/>
        <v>29500</v>
      </c>
      <c r="L1606" s="7">
        <f t="shared" si="176"/>
        <v>6018000</v>
      </c>
      <c r="M1606" s="4" t="s">
        <v>316</v>
      </c>
      <c r="N1606" s="6" t="s">
        <v>3057</v>
      </c>
      <c r="O1606" s="6" t="s">
        <v>55</v>
      </c>
      <c r="P1606" s="6" t="s">
        <v>55</v>
      </c>
      <c r="Q1606" s="6" t="s">
        <v>3044</v>
      </c>
      <c r="R1606" s="6" t="s">
        <v>56</v>
      </c>
      <c r="S1606" s="6" t="s">
        <v>56</v>
      </c>
      <c r="T1606" s="6" t="s">
        <v>57</v>
      </c>
      <c r="Z1606">
        <v>3</v>
      </c>
      <c r="AR1606" s="6" t="s">
        <v>55</v>
      </c>
      <c r="AS1606" s="6" t="s">
        <v>55</v>
      </c>
      <c r="AU1606" s="6" t="s">
        <v>3058</v>
      </c>
      <c r="AV1606">
        <v>1655</v>
      </c>
    </row>
    <row r="1607" spans="1:48" ht="30" customHeight="1" x14ac:dyDescent="0.3">
      <c r="A1607" s="4" t="s">
        <v>2221</v>
      </c>
      <c r="B1607" s="4" t="s">
        <v>319</v>
      </c>
      <c r="C1607" s="4" t="s">
        <v>140</v>
      </c>
      <c r="D1607" s="5">
        <v>452</v>
      </c>
      <c r="E1607" s="7">
        <f>TRUNC([1]단가대비표!O478,0)</f>
        <v>33500</v>
      </c>
      <c r="F1607" s="7">
        <f t="shared" si="173"/>
        <v>15142000</v>
      </c>
      <c r="G1607" s="7">
        <f>TRUNC([1]단가대비표!P478,0)</f>
        <v>0</v>
      </c>
      <c r="H1607" s="7">
        <f t="shared" si="174"/>
        <v>0</v>
      </c>
      <c r="I1607" s="7">
        <f>TRUNC([1]단가대비표!V478,0)</f>
        <v>0</v>
      </c>
      <c r="J1607" s="7">
        <f t="shared" si="175"/>
        <v>0</v>
      </c>
      <c r="K1607" s="7">
        <f t="shared" si="176"/>
        <v>33500</v>
      </c>
      <c r="L1607" s="7">
        <f t="shared" si="176"/>
        <v>15142000</v>
      </c>
      <c r="M1607" s="4" t="s">
        <v>320</v>
      </c>
      <c r="N1607" s="6" t="s">
        <v>3059</v>
      </c>
      <c r="O1607" s="6" t="s">
        <v>55</v>
      </c>
      <c r="P1607" s="6" t="s">
        <v>55</v>
      </c>
      <c r="Q1607" s="6" t="s">
        <v>3044</v>
      </c>
      <c r="R1607" s="6" t="s">
        <v>56</v>
      </c>
      <c r="S1607" s="6" t="s">
        <v>56</v>
      </c>
      <c r="T1607" s="6" t="s">
        <v>57</v>
      </c>
      <c r="Z1607">
        <v>3</v>
      </c>
      <c r="AR1607" s="6" t="s">
        <v>55</v>
      </c>
      <c r="AS1607" s="6" t="s">
        <v>55</v>
      </c>
      <c r="AU1607" s="6" t="s">
        <v>3060</v>
      </c>
      <c r="AV1607">
        <v>1656</v>
      </c>
    </row>
    <row r="1608" spans="1:48" ht="30" customHeight="1" x14ac:dyDescent="0.3">
      <c r="A1608" s="4" t="s">
        <v>2228</v>
      </c>
      <c r="B1608" s="4" t="s">
        <v>2229</v>
      </c>
      <c r="C1608" s="4" t="s">
        <v>92</v>
      </c>
      <c r="D1608" s="5">
        <v>1</v>
      </c>
      <c r="E1608" s="7">
        <f>ROUNDDOWN(SUMIF(Z1596:Z1616, RIGHTB(N1608, 1), F1596:F1616)*W1608, 0)</f>
        <v>114264</v>
      </c>
      <c r="F1608" s="7">
        <f t="shared" si="173"/>
        <v>114264</v>
      </c>
      <c r="G1608" s="7">
        <v>0</v>
      </c>
      <c r="H1608" s="7">
        <f t="shared" si="174"/>
        <v>0</v>
      </c>
      <c r="I1608" s="7">
        <v>0</v>
      </c>
      <c r="J1608" s="7">
        <f t="shared" si="175"/>
        <v>0</v>
      </c>
      <c r="K1608" s="7">
        <f t="shared" si="176"/>
        <v>114264</v>
      </c>
      <c r="L1608" s="7">
        <f t="shared" si="176"/>
        <v>114264</v>
      </c>
      <c r="M1608" s="4" t="s">
        <v>55</v>
      </c>
      <c r="N1608" s="6" t="s">
        <v>2254</v>
      </c>
      <c r="O1608" s="6" t="s">
        <v>55</v>
      </c>
      <c r="P1608" s="6" t="s">
        <v>55</v>
      </c>
      <c r="Q1608" s="6" t="s">
        <v>3044</v>
      </c>
      <c r="R1608" s="6" t="s">
        <v>56</v>
      </c>
      <c r="S1608" s="6" t="s">
        <v>56</v>
      </c>
      <c r="T1608" s="6" t="s">
        <v>56</v>
      </c>
      <c r="U1608">
        <v>0</v>
      </c>
      <c r="V1608">
        <v>0</v>
      </c>
      <c r="W1608">
        <v>5.4000000000000003E-3</v>
      </c>
      <c r="AR1608" s="6" t="s">
        <v>55</v>
      </c>
      <c r="AS1608" s="6" t="s">
        <v>55</v>
      </c>
      <c r="AU1608" s="6" t="s">
        <v>3061</v>
      </c>
      <c r="AV1608">
        <v>3142</v>
      </c>
    </row>
    <row r="1609" spans="1:48" ht="30" customHeight="1" x14ac:dyDescent="0.3">
      <c r="A1609" s="4" t="s">
        <v>2256</v>
      </c>
      <c r="B1609" s="4" t="s">
        <v>2257</v>
      </c>
      <c r="C1609" s="4" t="s">
        <v>2258</v>
      </c>
      <c r="D1609" s="5">
        <v>83748.027000000002</v>
      </c>
      <c r="E1609" s="7">
        <f>TRUNC([1]단가대비표!O99,0)</f>
        <v>50</v>
      </c>
      <c r="F1609" s="7">
        <f t="shared" si="173"/>
        <v>4187401</v>
      </c>
      <c r="G1609" s="7">
        <f>TRUNC([1]단가대비표!P99,0)</f>
        <v>0</v>
      </c>
      <c r="H1609" s="7">
        <f t="shared" si="174"/>
        <v>0</v>
      </c>
      <c r="I1609" s="7">
        <f>TRUNC([1]단가대비표!V99,0)</f>
        <v>0</v>
      </c>
      <c r="J1609" s="7">
        <f t="shared" si="175"/>
        <v>0</v>
      </c>
      <c r="K1609" s="7">
        <f t="shared" si="176"/>
        <v>50</v>
      </c>
      <c r="L1609" s="7">
        <f t="shared" si="176"/>
        <v>4187401</v>
      </c>
      <c r="M1609" s="4" t="s">
        <v>2259</v>
      </c>
      <c r="N1609" s="6" t="s">
        <v>2260</v>
      </c>
      <c r="O1609" s="6" t="s">
        <v>55</v>
      </c>
      <c r="P1609" s="6" t="s">
        <v>55</v>
      </c>
      <c r="Q1609" s="6" t="s">
        <v>3044</v>
      </c>
      <c r="R1609" s="6" t="s">
        <v>56</v>
      </c>
      <c r="S1609" s="6" t="s">
        <v>56</v>
      </c>
      <c r="T1609" s="6" t="s">
        <v>57</v>
      </c>
      <c r="AA1609">
        <v>4</v>
      </c>
      <c r="AR1609" s="6" t="s">
        <v>55</v>
      </c>
      <c r="AS1609" s="6" t="s">
        <v>55</v>
      </c>
      <c r="AU1609" s="6" t="s">
        <v>3062</v>
      </c>
      <c r="AV1609">
        <v>675</v>
      </c>
    </row>
    <row r="1610" spans="1:48" ht="30" customHeight="1" x14ac:dyDescent="0.3">
      <c r="A1610" s="4" t="s">
        <v>2228</v>
      </c>
      <c r="B1610" s="4" t="s">
        <v>2229</v>
      </c>
      <c r="C1610" s="4" t="s">
        <v>92</v>
      </c>
      <c r="D1610" s="5">
        <v>1</v>
      </c>
      <c r="E1610" s="7">
        <f>ROUNDDOWN(SUMIF(AA1596:AA1616, RIGHTB(N1610, 1), F1596:F1616)*W1610, 0)</f>
        <v>22611</v>
      </c>
      <c r="F1610" s="7">
        <f t="shared" si="173"/>
        <v>22611</v>
      </c>
      <c r="G1610" s="7">
        <v>0</v>
      </c>
      <c r="H1610" s="7">
        <f t="shared" si="174"/>
        <v>0</v>
      </c>
      <c r="I1610" s="7">
        <v>0</v>
      </c>
      <c r="J1610" s="7">
        <f t="shared" si="175"/>
        <v>0</v>
      </c>
      <c r="K1610" s="7">
        <f t="shared" si="176"/>
        <v>22611</v>
      </c>
      <c r="L1610" s="7">
        <f t="shared" si="176"/>
        <v>22611</v>
      </c>
      <c r="M1610" s="4" t="s">
        <v>55</v>
      </c>
      <c r="N1610" s="6" t="s">
        <v>2262</v>
      </c>
      <c r="O1610" s="6" t="s">
        <v>55</v>
      </c>
      <c r="P1610" s="6" t="s">
        <v>55</v>
      </c>
      <c r="Q1610" s="6" t="s">
        <v>3044</v>
      </c>
      <c r="R1610" s="6" t="s">
        <v>56</v>
      </c>
      <c r="S1610" s="6" t="s">
        <v>56</v>
      </c>
      <c r="T1610" s="6" t="s">
        <v>56</v>
      </c>
      <c r="U1610">
        <v>0</v>
      </c>
      <c r="V1610">
        <v>0</v>
      </c>
      <c r="W1610">
        <v>5.4000000000000003E-3</v>
      </c>
      <c r="AR1610" s="6" t="s">
        <v>55</v>
      </c>
      <c r="AS1610" s="6" t="s">
        <v>55</v>
      </c>
      <c r="AU1610" s="6" t="s">
        <v>3063</v>
      </c>
      <c r="AV1610">
        <v>3143</v>
      </c>
    </row>
    <row r="1611" spans="1:48" ht="30" customHeight="1" x14ac:dyDescent="0.3">
      <c r="A1611" s="4" t="s">
        <v>2264</v>
      </c>
      <c r="B1611" s="4" t="s">
        <v>2178</v>
      </c>
      <c r="C1611" s="4" t="s">
        <v>856</v>
      </c>
      <c r="D1611" s="5">
        <v>3095</v>
      </c>
      <c r="E1611" s="7">
        <f>TRUNC([1]단가대비표!O93,0)</f>
        <v>5330</v>
      </c>
      <c r="F1611" s="7">
        <f t="shared" si="173"/>
        <v>16496350</v>
      </c>
      <c r="G1611" s="7">
        <f>TRUNC([1]단가대비표!P93,0)</f>
        <v>0</v>
      </c>
      <c r="H1611" s="7">
        <f t="shared" si="174"/>
        <v>0</v>
      </c>
      <c r="I1611" s="7">
        <f>TRUNC([1]단가대비표!V93,0)</f>
        <v>0</v>
      </c>
      <c r="J1611" s="7">
        <f t="shared" si="175"/>
        <v>0</v>
      </c>
      <c r="K1611" s="7">
        <f t="shared" si="176"/>
        <v>5330</v>
      </c>
      <c r="L1611" s="7">
        <f t="shared" si="176"/>
        <v>16496350</v>
      </c>
      <c r="M1611" s="4" t="s">
        <v>55</v>
      </c>
      <c r="N1611" s="6" t="s">
        <v>2265</v>
      </c>
      <c r="O1611" s="6" t="s">
        <v>55</v>
      </c>
      <c r="P1611" s="6" t="s">
        <v>55</v>
      </c>
      <c r="Q1611" s="6" t="s">
        <v>3044</v>
      </c>
      <c r="R1611" s="6" t="s">
        <v>56</v>
      </c>
      <c r="S1611" s="6" t="s">
        <v>56</v>
      </c>
      <c r="T1611" s="6" t="s">
        <v>57</v>
      </c>
      <c r="AB1611">
        <v>5</v>
      </c>
      <c r="AR1611" s="6" t="s">
        <v>55</v>
      </c>
      <c r="AS1611" s="6" t="s">
        <v>55</v>
      </c>
      <c r="AU1611" s="6" t="s">
        <v>3064</v>
      </c>
      <c r="AV1611">
        <v>3505</v>
      </c>
    </row>
    <row r="1612" spans="1:48" ht="30" customHeight="1" x14ac:dyDescent="0.3">
      <c r="A1612" s="4" t="s">
        <v>2228</v>
      </c>
      <c r="B1612" s="4" t="s">
        <v>2229</v>
      </c>
      <c r="C1612" s="4" t="s">
        <v>92</v>
      </c>
      <c r="D1612" s="5">
        <v>1</v>
      </c>
      <c r="E1612" s="7">
        <f>ROUNDDOWN(SUMIF(AB1596:AB1616, RIGHTB(N1612, 1), F1596:F1616)*W1612, 0)</f>
        <v>89080</v>
      </c>
      <c r="F1612" s="7">
        <f t="shared" si="173"/>
        <v>89080</v>
      </c>
      <c r="G1612" s="7">
        <v>0</v>
      </c>
      <c r="H1612" s="7">
        <f t="shared" si="174"/>
        <v>0</v>
      </c>
      <c r="I1612" s="7">
        <v>0</v>
      </c>
      <c r="J1612" s="7">
        <f t="shared" si="175"/>
        <v>0</v>
      </c>
      <c r="K1612" s="7">
        <f t="shared" si="176"/>
        <v>89080</v>
      </c>
      <c r="L1612" s="7">
        <f t="shared" si="176"/>
        <v>89080</v>
      </c>
      <c r="M1612" s="4" t="s">
        <v>55</v>
      </c>
      <c r="N1612" s="6" t="s">
        <v>2267</v>
      </c>
      <c r="O1612" s="6" t="s">
        <v>55</v>
      </c>
      <c r="P1612" s="6" t="s">
        <v>55</v>
      </c>
      <c r="Q1612" s="6" t="s">
        <v>3044</v>
      </c>
      <c r="R1612" s="6" t="s">
        <v>56</v>
      </c>
      <c r="S1612" s="6" t="s">
        <v>56</v>
      </c>
      <c r="T1612" s="6" t="s">
        <v>56</v>
      </c>
      <c r="U1612">
        <v>0</v>
      </c>
      <c r="V1612">
        <v>0</v>
      </c>
      <c r="W1612">
        <v>5.4000000000000003E-3</v>
      </c>
      <c r="AR1612" s="6" t="s">
        <v>55</v>
      </c>
      <c r="AS1612" s="6" t="s">
        <v>55</v>
      </c>
      <c r="AU1612" s="6" t="s">
        <v>3065</v>
      </c>
      <c r="AV1612">
        <v>3506</v>
      </c>
    </row>
    <row r="1613" spans="1:48" ht="30" customHeight="1" x14ac:dyDescent="0.3">
      <c r="A1613" s="4" t="s">
        <v>2275</v>
      </c>
      <c r="B1613" s="4" t="s">
        <v>2276</v>
      </c>
      <c r="C1613" s="4" t="s">
        <v>61</v>
      </c>
      <c r="D1613" s="5">
        <v>126</v>
      </c>
      <c r="E1613" s="7">
        <f>TRUNC([1]단가대비표!O107,0)</f>
        <v>10800</v>
      </c>
      <c r="F1613" s="7">
        <f t="shared" si="173"/>
        <v>1360800</v>
      </c>
      <c r="G1613" s="7">
        <f>TRUNC([1]단가대비표!P107,0)</f>
        <v>0</v>
      </c>
      <c r="H1613" s="7">
        <f t="shared" si="174"/>
        <v>0</v>
      </c>
      <c r="I1613" s="7">
        <f>TRUNC([1]단가대비표!V107,0)</f>
        <v>0</v>
      </c>
      <c r="J1613" s="7">
        <f t="shared" si="175"/>
        <v>0</v>
      </c>
      <c r="K1613" s="7">
        <f t="shared" si="176"/>
        <v>10800</v>
      </c>
      <c r="L1613" s="7">
        <f t="shared" si="176"/>
        <v>1360800</v>
      </c>
      <c r="M1613" s="4" t="s">
        <v>55</v>
      </c>
      <c r="N1613" s="6" t="s">
        <v>2277</v>
      </c>
      <c r="O1613" s="6" t="s">
        <v>55</v>
      </c>
      <c r="P1613" s="6" t="s">
        <v>55</v>
      </c>
      <c r="Q1613" s="6" t="s">
        <v>3044</v>
      </c>
      <c r="R1613" s="6" t="s">
        <v>56</v>
      </c>
      <c r="S1613" s="6" t="s">
        <v>56</v>
      </c>
      <c r="T1613" s="6" t="s">
        <v>57</v>
      </c>
      <c r="AC1613">
        <v>6</v>
      </c>
      <c r="AR1613" s="6" t="s">
        <v>55</v>
      </c>
      <c r="AS1613" s="6" t="s">
        <v>55</v>
      </c>
      <c r="AU1613" s="6" t="s">
        <v>3066</v>
      </c>
      <c r="AV1613">
        <v>3380</v>
      </c>
    </row>
    <row r="1614" spans="1:48" ht="30" customHeight="1" x14ac:dyDescent="0.3">
      <c r="A1614" s="4" t="s">
        <v>2228</v>
      </c>
      <c r="B1614" s="4" t="s">
        <v>2229</v>
      </c>
      <c r="C1614" s="4" t="s">
        <v>92</v>
      </c>
      <c r="D1614" s="5">
        <v>1</v>
      </c>
      <c r="E1614" s="7">
        <f>ROUNDDOWN(SUMIF(AC1596:AC1616, RIGHTB(N1614, 1), F1596:F1616)*W1614, 0)</f>
        <v>7348</v>
      </c>
      <c r="F1614" s="7">
        <f t="shared" si="173"/>
        <v>7348</v>
      </c>
      <c r="G1614" s="7">
        <v>0</v>
      </c>
      <c r="H1614" s="7">
        <f t="shared" si="174"/>
        <v>0</v>
      </c>
      <c r="I1614" s="7">
        <v>0</v>
      </c>
      <c r="J1614" s="7">
        <f t="shared" si="175"/>
        <v>0</v>
      </c>
      <c r="K1614" s="7">
        <f t="shared" si="176"/>
        <v>7348</v>
      </c>
      <c r="L1614" s="7">
        <f t="shared" si="176"/>
        <v>7348</v>
      </c>
      <c r="M1614" s="4" t="s">
        <v>55</v>
      </c>
      <c r="N1614" s="6" t="s">
        <v>2273</v>
      </c>
      <c r="O1614" s="6" t="s">
        <v>55</v>
      </c>
      <c r="P1614" s="6" t="s">
        <v>55</v>
      </c>
      <c r="Q1614" s="6" t="s">
        <v>3044</v>
      </c>
      <c r="R1614" s="6" t="s">
        <v>56</v>
      </c>
      <c r="S1614" s="6" t="s">
        <v>56</v>
      </c>
      <c r="T1614" s="6" t="s">
        <v>56</v>
      </c>
      <c r="U1614">
        <v>0</v>
      </c>
      <c r="V1614">
        <v>0</v>
      </c>
      <c r="W1614">
        <v>5.4000000000000003E-3</v>
      </c>
      <c r="AR1614" s="6" t="s">
        <v>55</v>
      </c>
      <c r="AS1614" s="6" t="s">
        <v>55</v>
      </c>
      <c r="AU1614" s="6" t="s">
        <v>3067</v>
      </c>
      <c r="AV1614">
        <v>3395</v>
      </c>
    </row>
    <row r="1615" spans="1:48" ht="30" customHeight="1" x14ac:dyDescent="0.3">
      <c r="A1615" s="4" t="s">
        <v>2281</v>
      </c>
      <c r="B1615" s="4" t="s">
        <v>2282</v>
      </c>
      <c r="C1615" s="4" t="s">
        <v>61</v>
      </c>
      <c r="D1615" s="5">
        <v>1</v>
      </c>
      <c r="E1615" s="7">
        <f>TRUNC([1]단가대비표!O102,0)</f>
        <v>75900</v>
      </c>
      <c r="F1615" s="7">
        <f t="shared" si="173"/>
        <v>75900</v>
      </c>
      <c r="G1615" s="7">
        <f>TRUNC([1]단가대비표!P102,0)</f>
        <v>0</v>
      </c>
      <c r="H1615" s="7">
        <f t="shared" si="174"/>
        <v>0</v>
      </c>
      <c r="I1615" s="7">
        <f>TRUNC([1]단가대비표!V102,0)</f>
        <v>0</v>
      </c>
      <c r="J1615" s="7">
        <f t="shared" si="175"/>
        <v>0</v>
      </c>
      <c r="K1615" s="7">
        <f t="shared" si="176"/>
        <v>75900</v>
      </c>
      <c r="L1615" s="7">
        <f t="shared" si="176"/>
        <v>75900</v>
      </c>
      <c r="M1615" s="4" t="s">
        <v>55</v>
      </c>
      <c r="N1615" s="6" t="s">
        <v>2283</v>
      </c>
      <c r="O1615" s="6" t="s">
        <v>55</v>
      </c>
      <c r="P1615" s="6" t="s">
        <v>55</v>
      </c>
      <c r="Q1615" s="6" t="s">
        <v>3044</v>
      </c>
      <c r="R1615" s="6" t="s">
        <v>56</v>
      </c>
      <c r="S1615" s="6" t="s">
        <v>56</v>
      </c>
      <c r="T1615" s="6" t="s">
        <v>57</v>
      </c>
      <c r="AD1615">
        <v>7</v>
      </c>
      <c r="AR1615" s="6" t="s">
        <v>55</v>
      </c>
      <c r="AS1615" s="6" t="s">
        <v>55</v>
      </c>
      <c r="AU1615" s="6" t="s">
        <v>3068</v>
      </c>
      <c r="AV1615">
        <v>3394</v>
      </c>
    </row>
    <row r="1616" spans="1:48" ht="30" customHeight="1" x14ac:dyDescent="0.3">
      <c r="A1616" s="4" t="s">
        <v>2228</v>
      </c>
      <c r="B1616" s="4" t="s">
        <v>2229</v>
      </c>
      <c r="C1616" s="4" t="s">
        <v>92</v>
      </c>
      <c r="D1616" s="5">
        <v>1</v>
      </c>
      <c r="E1616" s="7">
        <f>ROUNDDOWN(SUMIF(AD1596:AD1616, RIGHTB(N1616, 1), F1596:F1616)*W1616, 0)</f>
        <v>409</v>
      </c>
      <c r="F1616" s="7">
        <f t="shared" si="173"/>
        <v>409</v>
      </c>
      <c r="G1616" s="7">
        <v>0</v>
      </c>
      <c r="H1616" s="7">
        <f t="shared" si="174"/>
        <v>0</v>
      </c>
      <c r="I1616" s="7">
        <v>0</v>
      </c>
      <c r="J1616" s="7">
        <f t="shared" si="175"/>
        <v>0</v>
      </c>
      <c r="K1616" s="7">
        <f t="shared" si="176"/>
        <v>409</v>
      </c>
      <c r="L1616" s="7">
        <f t="shared" si="176"/>
        <v>409</v>
      </c>
      <c r="M1616" s="4" t="s">
        <v>55</v>
      </c>
      <c r="N1616" s="6" t="s">
        <v>2279</v>
      </c>
      <c r="O1616" s="6" t="s">
        <v>55</v>
      </c>
      <c r="P1616" s="6" t="s">
        <v>55</v>
      </c>
      <c r="Q1616" s="6" t="s">
        <v>3044</v>
      </c>
      <c r="R1616" s="6" t="s">
        <v>56</v>
      </c>
      <c r="S1616" s="6" t="s">
        <v>56</v>
      </c>
      <c r="T1616" s="6" t="s">
        <v>56</v>
      </c>
      <c r="U1616">
        <v>0</v>
      </c>
      <c r="V1616">
        <v>0</v>
      </c>
      <c r="W1616">
        <v>5.4000000000000003E-3</v>
      </c>
      <c r="AR1616" s="6" t="s">
        <v>55</v>
      </c>
      <c r="AS1616" s="6" t="s">
        <v>55</v>
      </c>
      <c r="AU1616" s="6" t="s">
        <v>3069</v>
      </c>
      <c r="AV1616">
        <v>3396</v>
      </c>
    </row>
    <row r="1617" spans="1:13" ht="30" customHeight="1" x14ac:dyDescent="0.3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</row>
    <row r="1618" spans="1:13" ht="30" customHeight="1" x14ac:dyDescent="0.3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</row>
    <row r="1619" spans="1:13" ht="30" customHeight="1" x14ac:dyDescent="0.3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</row>
    <row r="1620" spans="1:13" ht="30" customHeight="1" x14ac:dyDescent="0.3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</row>
    <row r="1621" spans="1:13" ht="30" customHeight="1" x14ac:dyDescent="0.3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</row>
    <row r="1622" spans="1:13" ht="30" customHeight="1" x14ac:dyDescent="0.3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</row>
    <row r="1623" spans="1:13" ht="30" customHeight="1" x14ac:dyDescent="0.3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</row>
    <row r="1624" spans="1:13" ht="30" customHeight="1" x14ac:dyDescent="0.3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</row>
    <row r="1625" spans="1:13" ht="30" customHeight="1" x14ac:dyDescent="0.3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</row>
    <row r="1626" spans="1:13" ht="30" customHeight="1" x14ac:dyDescent="0.3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</row>
    <row r="1627" spans="1:13" ht="30" customHeight="1" x14ac:dyDescent="0.3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</row>
    <row r="1628" spans="1:13" ht="30" customHeight="1" x14ac:dyDescent="0.3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</row>
    <row r="1629" spans="1:13" ht="30" customHeight="1" x14ac:dyDescent="0.3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</row>
    <row r="1630" spans="1:13" ht="30" customHeight="1" x14ac:dyDescent="0.3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</row>
    <row r="1631" spans="1:13" ht="30" customHeight="1" x14ac:dyDescent="0.3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</row>
    <row r="1632" spans="1:13" ht="30" customHeight="1" x14ac:dyDescent="0.3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</row>
    <row r="1633" spans="1:48" ht="30" customHeight="1" x14ac:dyDescent="0.3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</row>
    <row r="1634" spans="1:48" ht="30" customHeight="1" x14ac:dyDescent="0.3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</row>
    <row r="1635" spans="1:48" ht="30" customHeight="1" x14ac:dyDescent="0.3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</row>
    <row r="1636" spans="1:48" ht="30" customHeight="1" x14ac:dyDescent="0.3">
      <c r="A1636" s="4" t="s">
        <v>128</v>
      </c>
      <c r="B1636" s="5"/>
      <c r="C1636" s="5"/>
      <c r="D1636" s="5"/>
      <c r="E1636" s="5"/>
      <c r="F1636" s="7">
        <f>SUM(F1596:F1635)</f>
        <v>242616167</v>
      </c>
      <c r="G1636" s="5"/>
      <c r="H1636" s="7">
        <f>SUM(H1596:H1635)</f>
        <v>0</v>
      </c>
      <c r="I1636" s="5"/>
      <c r="J1636" s="7">
        <f>SUM(J1596:J1635)</f>
        <v>0</v>
      </c>
      <c r="K1636" s="5"/>
      <c r="L1636" s="7">
        <f>SUM(L1596:L1635)</f>
        <v>242616167</v>
      </c>
      <c r="M1636" s="5"/>
      <c r="N1636" t="s">
        <v>129</v>
      </c>
    </row>
    <row r="1637" spans="1:48" ht="30" customHeight="1" x14ac:dyDescent="0.3">
      <c r="A1637" s="4" t="s">
        <v>3070</v>
      </c>
      <c r="B1637" s="4" t="s">
        <v>3071</v>
      </c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Q1637" s="6" t="s">
        <v>3072</v>
      </c>
    </row>
    <row r="1638" spans="1:48" ht="30" customHeight="1" x14ac:dyDescent="0.3">
      <c r="A1638" s="4" t="s">
        <v>132</v>
      </c>
      <c r="B1638" s="4" t="s">
        <v>133</v>
      </c>
      <c r="C1638" s="4" t="s">
        <v>134</v>
      </c>
      <c r="D1638" s="5">
        <v>1</v>
      </c>
      <c r="E1638" s="7">
        <f>TRUNC([1]단가대비표!O200,0)</f>
        <v>23445</v>
      </c>
      <c r="F1638" s="7">
        <f t="shared" ref="F1638:F1646" si="177">TRUNC(E1638*D1638, 0)</f>
        <v>23445</v>
      </c>
      <c r="G1638" s="7">
        <f>TRUNC([1]단가대비표!P200,0)</f>
        <v>74241</v>
      </c>
      <c r="H1638" s="7">
        <f t="shared" ref="H1638:H1646" si="178">TRUNC(G1638*D1638, 0)</f>
        <v>74241</v>
      </c>
      <c r="I1638" s="7">
        <f>TRUNC([1]단가대비표!V200,0)</f>
        <v>0</v>
      </c>
      <c r="J1638" s="7">
        <f t="shared" ref="J1638:J1646" si="179">TRUNC(I1638*D1638, 0)</f>
        <v>0</v>
      </c>
      <c r="K1638" s="7">
        <f t="shared" ref="K1638:L1646" si="180">TRUNC(E1638+G1638+I1638, 0)</f>
        <v>97686</v>
      </c>
      <c r="L1638" s="7">
        <f t="shared" si="180"/>
        <v>97686</v>
      </c>
      <c r="M1638" s="4" t="s">
        <v>135</v>
      </c>
      <c r="N1638" s="6" t="s">
        <v>136</v>
      </c>
      <c r="O1638" s="6" t="s">
        <v>55</v>
      </c>
      <c r="P1638" s="6" t="s">
        <v>55</v>
      </c>
      <c r="Q1638" s="6" t="s">
        <v>3072</v>
      </c>
      <c r="R1638" s="6" t="s">
        <v>56</v>
      </c>
      <c r="S1638" s="6" t="s">
        <v>56</v>
      </c>
      <c r="T1638" s="6" t="s">
        <v>57</v>
      </c>
      <c r="AR1638" s="6" t="s">
        <v>55</v>
      </c>
      <c r="AS1638" s="6" t="s">
        <v>55</v>
      </c>
      <c r="AU1638" s="6" t="s">
        <v>3073</v>
      </c>
      <c r="AV1638">
        <v>3152</v>
      </c>
    </row>
    <row r="1639" spans="1:48" ht="30" customHeight="1" x14ac:dyDescent="0.3">
      <c r="A1639" s="4" t="s">
        <v>138</v>
      </c>
      <c r="B1639" s="4" t="s">
        <v>3074</v>
      </c>
      <c r="C1639" s="4" t="s">
        <v>140</v>
      </c>
      <c r="D1639" s="5">
        <v>411</v>
      </c>
      <c r="E1639" s="7">
        <f>TRUNC([1]단가대비표!O198,0)</f>
        <v>453</v>
      </c>
      <c r="F1639" s="7">
        <f t="shared" si="177"/>
        <v>186183</v>
      </c>
      <c r="G1639" s="7">
        <f>TRUNC([1]단가대비표!P198,0)</f>
        <v>14635</v>
      </c>
      <c r="H1639" s="7">
        <f t="shared" si="178"/>
        <v>6014985</v>
      </c>
      <c r="I1639" s="7">
        <f>TRUNC([1]단가대비표!V198,0)</f>
        <v>0</v>
      </c>
      <c r="J1639" s="7">
        <f t="shared" si="179"/>
        <v>0</v>
      </c>
      <c r="K1639" s="7">
        <f t="shared" si="180"/>
        <v>15088</v>
      </c>
      <c r="L1639" s="7">
        <f t="shared" si="180"/>
        <v>6201168</v>
      </c>
      <c r="M1639" s="4" t="s">
        <v>141</v>
      </c>
      <c r="N1639" s="6" t="s">
        <v>3075</v>
      </c>
      <c r="O1639" s="6" t="s">
        <v>55</v>
      </c>
      <c r="P1639" s="6" t="s">
        <v>55</v>
      </c>
      <c r="Q1639" s="6" t="s">
        <v>3072</v>
      </c>
      <c r="R1639" s="6" t="s">
        <v>56</v>
      </c>
      <c r="S1639" s="6" t="s">
        <v>56</v>
      </c>
      <c r="T1639" s="6" t="s">
        <v>57</v>
      </c>
      <c r="AR1639" s="6" t="s">
        <v>55</v>
      </c>
      <c r="AS1639" s="6" t="s">
        <v>55</v>
      </c>
      <c r="AU1639" s="6" t="s">
        <v>3076</v>
      </c>
      <c r="AV1639">
        <v>3153</v>
      </c>
    </row>
    <row r="1640" spans="1:48" ht="30" customHeight="1" x14ac:dyDescent="0.3">
      <c r="A1640" s="4" t="s">
        <v>144</v>
      </c>
      <c r="B1640" s="4" t="s">
        <v>149</v>
      </c>
      <c r="C1640" s="4" t="s">
        <v>140</v>
      </c>
      <c r="D1640" s="5">
        <v>96</v>
      </c>
      <c r="E1640" s="7">
        <f>TRUNC([1]단가대비표!O202,0)</f>
        <v>2665</v>
      </c>
      <c r="F1640" s="7">
        <f t="shared" si="177"/>
        <v>255840</v>
      </c>
      <c r="G1640" s="7">
        <f>TRUNC([1]단가대비표!P202,0)</f>
        <v>10657</v>
      </c>
      <c r="H1640" s="7">
        <f t="shared" si="178"/>
        <v>1023072</v>
      </c>
      <c r="I1640" s="7">
        <f>TRUNC([1]단가대비표!V202,0)</f>
        <v>0</v>
      </c>
      <c r="J1640" s="7">
        <f t="shared" si="179"/>
        <v>0</v>
      </c>
      <c r="K1640" s="7">
        <f t="shared" si="180"/>
        <v>13322</v>
      </c>
      <c r="L1640" s="7">
        <f t="shared" si="180"/>
        <v>1278912</v>
      </c>
      <c r="M1640" s="4" t="s">
        <v>150</v>
      </c>
      <c r="N1640" s="6" t="s">
        <v>151</v>
      </c>
      <c r="O1640" s="6" t="s">
        <v>55</v>
      </c>
      <c r="P1640" s="6" t="s">
        <v>55</v>
      </c>
      <c r="Q1640" s="6" t="s">
        <v>3072</v>
      </c>
      <c r="R1640" s="6" t="s">
        <v>56</v>
      </c>
      <c r="S1640" s="6" t="s">
        <v>56</v>
      </c>
      <c r="T1640" s="6" t="s">
        <v>57</v>
      </c>
      <c r="AR1640" s="6" t="s">
        <v>55</v>
      </c>
      <c r="AS1640" s="6" t="s">
        <v>55</v>
      </c>
      <c r="AU1640" s="6" t="s">
        <v>3077</v>
      </c>
      <c r="AV1640">
        <v>3154</v>
      </c>
    </row>
    <row r="1641" spans="1:48" ht="30" customHeight="1" x14ac:dyDescent="0.3">
      <c r="A1641" s="4" t="s">
        <v>144</v>
      </c>
      <c r="B1641" s="4" t="s">
        <v>145</v>
      </c>
      <c r="C1641" s="4" t="s">
        <v>140</v>
      </c>
      <c r="D1641" s="5">
        <v>60</v>
      </c>
      <c r="E1641" s="7">
        <f>TRUNC([1]단가대비표!O201,0)</f>
        <v>2637</v>
      </c>
      <c r="F1641" s="7">
        <f t="shared" si="177"/>
        <v>158220</v>
      </c>
      <c r="G1641" s="7">
        <f>TRUNC([1]단가대비표!P201,0)</f>
        <v>8828</v>
      </c>
      <c r="H1641" s="7">
        <f t="shared" si="178"/>
        <v>529680</v>
      </c>
      <c r="I1641" s="7">
        <f>TRUNC([1]단가대비표!V201,0)</f>
        <v>0</v>
      </c>
      <c r="J1641" s="7">
        <f t="shared" si="179"/>
        <v>0</v>
      </c>
      <c r="K1641" s="7">
        <f t="shared" si="180"/>
        <v>11465</v>
      </c>
      <c r="L1641" s="7">
        <f t="shared" si="180"/>
        <v>687900</v>
      </c>
      <c r="M1641" s="4" t="s">
        <v>146</v>
      </c>
      <c r="N1641" s="6" t="s">
        <v>147</v>
      </c>
      <c r="O1641" s="6" t="s">
        <v>55</v>
      </c>
      <c r="P1641" s="6" t="s">
        <v>55</v>
      </c>
      <c r="Q1641" s="6" t="s">
        <v>3072</v>
      </c>
      <c r="R1641" s="6" t="s">
        <v>56</v>
      </c>
      <c r="S1641" s="6" t="s">
        <v>56</v>
      </c>
      <c r="T1641" s="6" t="s">
        <v>57</v>
      </c>
      <c r="AR1641" s="6" t="s">
        <v>55</v>
      </c>
      <c r="AS1641" s="6" t="s">
        <v>55</v>
      </c>
      <c r="AU1641" s="6" t="s">
        <v>3078</v>
      </c>
      <c r="AV1641">
        <v>3155</v>
      </c>
    </row>
    <row r="1642" spans="1:48" ht="30" customHeight="1" x14ac:dyDescent="0.3">
      <c r="A1642" s="4" t="s">
        <v>159</v>
      </c>
      <c r="B1642" s="4" t="s">
        <v>160</v>
      </c>
      <c r="C1642" s="4" t="s">
        <v>140</v>
      </c>
      <c r="D1642" s="5">
        <v>120</v>
      </c>
      <c r="E1642" s="7">
        <f>TRUNC([1]단가대비표!O206,0)</f>
        <v>129</v>
      </c>
      <c r="F1642" s="7">
        <f t="shared" si="177"/>
        <v>15480</v>
      </c>
      <c r="G1642" s="7">
        <f>TRUNC([1]단가대비표!P206,0)</f>
        <v>12741</v>
      </c>
      <c r="H1642" s="7">
        <f t="shared" si="178"/>
        <v>1528920</v>
      </c>
      <c r="I1642" s="7">
        <f>TRUNC([1]단가대비표!V206,0)</f>
        <v>0</v>
      </c>
      <c r="J1642" s="7">
        <f t="shared" si="179"/>
        <v>0</v>
      </c>
      <c r="K1642" s="7">
        <f t="shared" si="180"/>
        <v>12870</v>
      </c>
      <c r="L1642" s="7">
        <f t="shared" si="180"/>
        <v>1544400</v>
      </c>
      <c r="M1642" s="4" t="s">
        <v>161</v>
      </c>
      <c r="N1642" s="6" t="s">
        <v>162</v>
      </c>
      <c r="O1642" s="6" t="s">
        <v>55</v>
      </c>
      <c r="P1642" s="6" t="s">
        <v>55</v>
      </c>
      <c r="Q1642" s="6" t="s">
        <v>3072</v>
      </c>
      <c r="R1642" s="6" t="s">
        <v>56</v>
      </c>
      <c r="S1642" s="6" t="s">
        <v>56</v>
      </c>
      <c r="T1642" s="6" t="s">
        <v>57</v>
      </c>
      <c r="AR1642" s="6" t="s">
        <v>55</v>
      </c>
      <c r="AS1642" s="6" t="s">
        <v>55</v>
      </c>
      <c r="AU1642" s="6" t="s">
        <v>3079</v>
      </c>
      <c r="AV1642">
        <v>3156</v>
      </c>
    </row>
    <row r="1643" spans="1:48" ht="30" customHeight="1" x14ac:dyDescent="0.3">
      <c r="A1643" s="4" t="s">
        <v>164</v>
      </c>
      <c r="B1643" s="4" t="s">
        <v>165</v>
      </c>
      <c r="C1643" s="4" t="s">
        <v>61</v>
      </c>
      <c r="D1643" s="5">
        <v>120</v>
      </c>
      <c r="E1643" s="7">
        <f>TRUNC([1]일위대가목록!E14,0)</f>
        <v>0</v>
      </c>
      <c r="F1643" s="7">
        <f t="shared" si="177"/>
        <v>0</v>
      </c>
      <c r="G1643" s="7">
        <f>TRUNC([1]일위대가목록!F14,0)</f>
        <v>897</v>
      </c>
      <c r="H1643" s="7">
        <f t="shared" si="178"/>
        <v>107640</v>
      </c>
      <c r="I1643" s="7">
        <f>TRUNC([1]일위대가목록!G14,0)</f>
        <v>0</v>
      </c>
      <c r="J1643" s="7">
        <f t="shared" si="179"/>
        <v>0</v>
      </c>
      <c r="K1643" s="7">
        <f t="shared" si="180"/>
        <v>897</v>
      </c>
      <c r="L1643" s="7">
        <f t="shared" si="180"/>
        <v>107640</v>
      </c>
      <c r="M1643" s="4" t="s">
        <v>166</v>
      </c>
      <c r="N1643" s="6" t="s">
        <v>167</v>
      </c>
      <c r="O1643" s="6" t="s">
        <v>55</v>
      </c>
      <c r="P1643" s="6" t="s">
        <v>55</v>
      </c>
      <c r="Q1643" s="6" t="s">
        <v>3072</v>
      </c>
      <c r="R1643" s="6" t="s">
        <v>57</v>
      </c>
      <c r="S1643" s="6" t="s">
        <v>56</v>
      </c>
      <c r="T1643" s="6" t="s">
        <v>56</v>
      </c>
      <c r="AR1643" s="6" t="s">
        <v>55</v>
      </c>
      <c r="AS1643" s="6" t="s">
        <v>55</v>
      </c>
      <c r="AU1643" s="6" t="s">
        <v>3080</v>
      </c>
      <c r="AV1643">
        <v>2693</v>
      </c>
    </row>
    <row r="1644" spans="1:48" ht="30" customHeight="1" x14ac:dyDescent="0.3">
      <c r="A1644" s="4" t="s">
        <v>169</v>
      </c>
      <c r="B1644" s="4" t="s">
        <v>165</v>
      </c>
      <c r="C1644" s="4" t="s">
        <v>61</v>
      </c>
      <c r="D1644" s="5">
        <v>120</v>
      </c>
      <c r="E1644" s="7">
        <f>TRUNC([1]일위대가목록!E15,0)</f>
        <v>0</v>
      </c>
      <c r="F1644" s="7">
        <f t="shared" si="177"/>
        <v>0</v>
      </c>
      <c r="G1644" s="7">
        <f>TRUNC([1]일위대가목록!F15,0)</f>
        <v>2093</v>
      </c>
      <c r="H1644" s="7">
        <f t="shared" si="178"/>
        <v>251160</v>
      </c>
      <c r="I1644" s="7">
        <f>TRUNC([1]일위대가목록!G15,0)</f>
        <v>0</v>
      </c>
      <c r="J1644" s="7">
        <f t="shared" si="179"/>
        <v>0</v>
      </c>
      <c r="K1644" s="7">
        <f t="shared" si="180"/>
        <v>2093</v>
      </c>
      <c r="L1644" s="7">
        <f t="shared" si="180"/>
        <v>251160</v>
      </c>
      <c r="M1644" s="4" t="s">
        <v>170</v>
      </c>
      <c r="N1644" s="6" t="s">
        <v>171</v>
      </c>
      <c r="O1644" s="6" t="s">
        <v>55</v>
      </c>
      <c r="P1644" s="6" t="s">
        <v>55</v>
      </c>
      <c r="Q1644" s="6" t="s">
        <v>3072</v>
      </c>
      <c r="R1644" s="6" t="s">
        <v>57</v>
      </c>
      <c r="S1644" s="6" t="s">
        <v>56</v>
      </c>
      <c r="T1644" s="6" t="s">
        <v>56</v>
      </c>
      <c r="AR1644" s="6" t="s">
        <v>55</v>
      </c>
      <c r="AS1644" s="6" t="s">
        <v>55</v>
      </c>
      <c r="AU1644" s="6" t="s">
        <v>3081</v>
      </c>
      <c r="AV1644">
        <v>2694</v>
      </c>
    </row>
    <row r="1645" spans="1:48" ht="30" customHeight="1" x14ac:dyDescent="0.3">
      <c r="A1645" s="4" t="s">
        <v>173</v>
      </c>
      <c r="B1645" s="4" t="s">
        <v>174</v>
      </c>
      <c r="C1645" s="4" t="s">
        <v>61</v>
      </c>
      <c r="D1645" s="5">
        <v>225</v>
      </c>
      <c r="E1645" s="7">
        <f>TRUNC([1]일위대가목록!E16,0)</f>
        <v>0</v>
      </c>
      <c r="F1645" s="7">
        <f t="shared" si="177"/>
        <v>0</v>
      </c>
      <c r="G1645" s="7">
        <f>TRUNC([1]일위대가목록!F16,0)</f>
        <v>512</v>
      </c>
      <c r="H1645" s="7">
        <f t="shared" si="178"/>
        <v>115200</v>
      </c>
      <c r="I1645" s="7">
        <f>TRUNC([1]일위대가목록!G16,0)</f>
        <v>0</v>
      </c>
      <c r="J1645" s="7">
        <f t="shared" si="179"/>
        <v>0</v>
      </c>
      <c r="K1645" s="7">
        <f t="shared" si="180"/>
        <v>512</v>
      </c>
      <c r="L1645" s="7">
        <f t="shared" si="180"/>
        <v>115200</v>
      </c>
      <c r="M1645" s="4" t="s">
        <v>175</v>
      </c>
      <c r="N1645" s="6" t="s">
        <v>176</v>
      </c>
      <c r="O1645" s="6" t="s">
        <v>55</v>
      </c>
      <c r="P1645" s="6" t="s">
        <v>55</v>
      </c>
      <c r="Q1645" s="6" t="s">
        <v>3072</v>
      </c>
      <c r="R1645" s="6" t="s">
        <v>57</v>
      </c>
      <c r="S1645" s="6" t="s">
        <v>56</v>
      </c>
      <c r="T1645" s="6" t="s">
        <v>56</v>
      </c>
      <c r="AR1645" s="6" t="s">
        <v>55</v>
      </c>
      <c r="AS1645" s="6" t="s">
        <v>55</v>
      </c>
      <c r="AU1645" s="6" t="s">
        <v>3082</v>
      </c>
      <c r="AV1645">
        <v>2695</v>
      </c>
    </row>
    <row r="1646" spans="1:48" ht="30" customHeight="1" x14ac:dyDescent="0.3">
      <c r="A1646" s="4" t="s">
        <v>183</v>
      </c>
      <c r="B1646" s="4" t="s">
        <v>184</v>
      </c>
      <c r="C1646" s="4" t="s">
        <v>61</v>
      </c>
      <c r="D1646" s="5">
        <v>3</v>
      </c>
      <c r="E1646" s="7">
        <f>TRUNC([1]일위대가목록!E18,0)</f>
        <v>998</v>
      </c>
      <c r="F1646" s="7">
        <f t="shared" si="177"/>
        <v>2994</v>
      </c>
      <c r="G1646" s="7">
        <f>TRUNC([1]일위대가목록!F18,0)</f>
        <v>175</v>
      </c>
      <c r="H1646" s="7">
        <f t="shared" si="178"/>
        <v>525</v>
      </c>
      <c r="I1646" s="7">
        <f>TRUNC([1]일위대가목록!G18,0)</f>
        <v>0</v>
      </c>
      <c r="J1646" s="7">
        <f t="shared" si="179"/>
        <v>0</v>
      </c>
      <c r="K1646" s="7">
        <f t="shared" si="180"/>
        <v>1173</v>
      </c>
      <c r="L1646" s="7">
        <f t="shared" si="180"/>
        <v>3519</v>
      </c>
      <c r="M1646" s="4" t="s">
        <v>185</v>
      </c>
      <c r="N1646" s="6" t="s">
        <v>186</v>
      </c>
      <c r="O1646" s="6" t="s">
        <v>55</v>
      </c>
      <c r="P1646" s="6" t="s">
        <v>55</v>
      </c>
      <c r="Q1646" s="6" t="s">
        <v>3072</v>
      </c>
      <c r="R1646" s="6" t="s">
        <v>57</v>
      </c>
      <c r="S1646" s="6" t="s">
        <v>56</v>
      </c>
      <c r="T1646" s="6" t="s">
        <v>56</v>
      </c>
      <c r="AR1646" s="6" t="s">
        <v>55</v>
      </c>
      <c r="AS1646" s="6" t="s">
        <v>55</v>
      </c>
      <c r="AU1646" s="6" t="s">
        <v>3083</v>
      </c>
      <c r="AV1646">
        <v>2696</v>
      </c>
    </row>
    <row r="1647" spans="1:48" ht="30" customHeight="1" x14ac:dyDescent="0.3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</row>
    <row r="1648" spans="1:48" ht="30" customHeight="1" x14ac:dyDescent="0.3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</row>
    <row r="1649" spans="1:48" ht="30" customHeight="1" x14ac:dyDescent="0.3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</row>
    <row r="1650" spans="1:48" ht="30" customHeight="1" x14ac:dyDescent="0.3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</row>
    <row r="1651" spans="1:48" ht="30" customHeight="1" x14ac:dyDescent="0.3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</row>
    <row r="1652" spans="1:48" ht="30" customHeight="1" x14ac:dyDescent="0.3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</row>
    <row r="1653" spans="1:48" ht="30" customHeight="1" x14ac:dyDescent="0.3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</row>
    <row r="1654" spans="1:48" ht="30" customHeight="1" x14ac:dyDescent="0.3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</row>
    <row r="1655" spans="1:48" ht="30" customHeight="1" x14ac:dyDescent="0.3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</row>
    <row r="1656" spans="1:48" ht="30" customHeight="1" x14ac:dyDescent="0.3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</row>
    <row r="1657" spans="1:48" ht="30" customHeight="1" x14ac:dyDescent="0.3">
      <c r="A1657" s="4" t="s">
        <v>128</v>
      </c>
      <c r="B1657" s="5"/>
      <c r="C1657" s="5"/>
      <c r="D1657" s="5"/>
      <c r="E1657" s="5"/>
      <c r="F1657" s="7">
        <f>SUM(F1638:F1656)</f>
        <v>642162</v>
      </c>
      <c r="G1657" s="5"/>
      <c r="H1657" s="7">
        <f>SUM(H1638:H1656)</f>
        <v>9645423</v>
      </c>
      <c r="I1657" s="5"/>
      <c r="J1657" s="7">
        <f>SUM(J1638:J1656)</f>
        <v>0</v>
      </c>
      <c r="K1657" s="5"/>
      <c r="L1657" s="7">
        <f>SUM(L1638:L1656)</f>
        <v>10287585</v>
      </c>
      <c r="M1657" s="5"/>
      <c r="N1657" t="s">
        <v>129</v>
      </c>
    </row>
    <row r="1658" spans="1:48" ht="30" customHeight="1" x14ac:dyDescent="0.3">
      <c r="A1658" s="4" t="s">
        <v>3084</v>
      </c>
      <c r="B1658" s="4" t="s">
        <v>3071</v>
      </c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Q1658" s="6" t="s">
        <v>3085</v>
      </c>
    </row>
    <row r="1659" spans="1:48" ht="30" customHeight="1" x14ac:dyDescent="0.3">
      <c r="A1659" s="4" t="s">
        <v>2232</v>
      </c>
      <c r="B1659" s="4" t="s">
        <v>191</v>
      </c>
      <c r="C1659" s="4" t="s">
        <v>106</v>
      </c>
      <c r="D1659" s="5">
        <v>6.133</v>
      </c>
      <c r="E1659" s="7">
        <f>TRUNC([1]단가대비표!O844,0)</f>
        <v>0</v>
      </c>
      <c r="F1659" s="7">
        <f t="shared" ref="F1659:F1680" si="181">TRUNC(E1659*D1659, 0)</f>
        <v>0</v>
      </c>
      <c r="G1659" s="7">
        <f>TRUNC([1]단가대비표!P844,0)</f>
        <v>0</v>
      </c>
      <c r="H1659" s="7">
        <f t="shared" ref="H1659:H1680" si="182">TRUNC(G1659*D1659, 0)</f>
        <v>0</v>
      </c>
      <c r="I1659" s="7">
        <f>TRUNC([1]단가대비표!V844,0)</f>
        <v>0</v>
      </c>
      <c r="J1659" s="7">
        <f t="shared" ref="J1659:J1680" si="183">TRUNC(I1659*D1659, 0)</f>
        <v>0</v>
      </c>
      <c r="K1659" s="7">
        <f t="shared" ref="K1659:L1680" si="184">TRUNC(E1659+G1659+I1659, 0)</f>
        <v>0</v>
      </c>
      <c r="L1659" s="7">
        <f t="shared" si="184"/>
        <v>0</v>
      </c>
      <c r="M1659" s="4" t="s">
        <v>55</v>
      </c>
      <c r="N1659" s="6" t="s">
        <v>3086</v>
      </c>
      <c r="O1659" s="6" t="s">
        <v>55</v>
      </c>
      <c r="P1659" s="6" t="s">
        <v>55</v>
      </c>
      <c r="Q1659" s="6" t="s">
        <v>3085</v>
      </c>
      <c r="R1659" s="6" t="s">
        <v>56</v>
      </c>
      <c r="S1659" s="6" t="s">
        <v>56</v>
      </c>
      <c r="T1659" s="6" t="s">
        <v>57</v>
      </c>
      <c r="AR1659" s="6" t="s">
        <v>55</v>
      </c>
      <c r="AS1659" s="6" t="s">
        <v>55</v>
      </c>
      <c r="AU1659" s="6" t="s">
        <v>3087</v>
      </c>
      <c r="AV1659">
        <v>3158</v>
      </c>
    </row>
    <row r="1660" spans="1:48" ht="30" customHeight="1" x14ac:dyDescent="0.3">
      <c r="A1660" s="4" t="s">
        <v>2232</v>
      </c>
      <c r="B1660" s="4" t="s">
        <v>194</v>
      </c>
      <c r="C1660" s="4" t="s">
        <v>106</v>
      </c>
      <c r="D1660" s="5">
        <v>4.5220000000000002</v>
      </c>
      <c r="E1660" s="7">
        <f>TRUNC([1]단가대비표!O845,0)</f>
        <v>0</v>
      </c>
      <c r="F1660" s="7">
        <f t="shared" si="181"/>
        <v>0</v>
      </c>
      <c r="G1660" s="7">
        <f>TRUNC([1]단가대비표!P845,0)</f>
        <v>0</v>
      </c>
      <c r="H1660" s="7">
        <f t="shared" si="182"/>
        <v>0</v>
      </c>
      <c r="I1660" s="7">
        <f>TRUNC([1]단가대비표!V845,0)</f>
        <v>0</v>
      </c>
      <c r="J1660" s="7">
        <f t="shared" si="183"/>
        <v>0</v>
      </c>
      <c r="K1660" s="7">
        <f t="shared" si="184"/>
        <v>0</v>
      </c>
      <c r="L1660" s="7">
        <f t="shared" si="184"/>
        <v>0</v>
      </c>
      <c r="M1660" s="4" t="s">
        <v>55</v>
      </c>
      <c r="N1660" s="6" t="s">
        <v>3088</v>
      </c>
      <c r="O1660" s="6" t="s">
        <v>55</v>
      </c>
      <c r="P1660" s="6" t="s">
        <v>55</v>
      </c>
      <c r="Q1660" s="6" t="s">
        <v>3085</v>
      </c>
      <c r="R1660" s="6" t="s">
        <v>56</v>
      </c>
      <c r="S1660" s="6" t="s">
        <v>56</v>
      </c>
      <c r="T1660" s="6" t="s">
        <v>57</v>
      </c>
      <c r="AR1660" s="6" t="s">
        <v>55</v>
      </c>
      <c r="AS1660" s="6" t="s">
        <v>55</v>
      </c>
      <c r="AU1660" s="6" t="s">
        <v>3089</v>
      </c>
      <c r="AV1660">
        <v>3159</v>
      </c>
    </row>
    <row r="1661" spans="1:48" ht="30" customHeight="1" x14ac:dyDescent="0.3">
      <c r="A1661" s="4" t="s">
        <v>2232</v>
      </c>
      <c r="B1661" s="4" t="s">
        <v>197</v>
      </c>
      <c r="C1661" s="4" t="s">
        <v>106</v>
      </c>
      <c r="D1661" s="5">
        <v>5.593</v>
      </c>
      <c r="E1661" s="7">
        <f>TRUNC([1]단가대비표!O846,0)</f>
        <v>0</v>
      </c>
      <c r="F1661" s="7">
        <f t="shared" si="181"/>
        <v>0</v>
      </c>
      <c r="G1661" s="7">
        <f>TRUNC([1]단가대비표!P846,0)</f>
        <v>0</v>
      </c>
      <c r="H1661" s="7">
        <f t="shared" si="182"/>
        <v>0</v>
      </c>
      <c r="I1661" s="7">
        <f>TRUNC([1]단가대비표!V846,0)</f>
        <v>0</v>
      </c>
      <c r="J1661" s="7">
        <f t="shared" si="183"/>
        <v>0</v>
      </c>
      <c r="K1661" s="7">
        <f t="shared" si="184"/>
        <v>0</v>
      </c>
      <c r="L1661" s="7">
        <f t="shared" si="184"/>
        <v>0</v>
      </c>
      <c r="M1661" s="4" t="s">
        <v>55</v>
      </c>
      <c r="N1661" s="6" t="s">
        <v>3090</v>
      </c>
      <c r="O1661" s="6" t="s">
        <v>55</v>
      </c>
      <c r="P1661" s="6" t="s">
        <v>55</v>
      </c>
      <c r="Q1661" s="6" t="s">
        <v>3085</v>
      </c>
      <c r="R1661" s="6" t="s">
        <v>56</v>
      </c>
      <c r="S1661" s="6" t="s">
        <v>56</v>
      </c>
      <c r="T1661" s="6" t="s">
        <v>57</v>
      </c>
      <c r="AR1661" s="6" t="s">
        <v>55</v>
      </c>
      <c r="AS1661" s="6" t="s">
        <v>55</v>
      </c>
      <c r="AU1661" s="6" t="s">
        <v>3091</v>
      </c>
      <c r="AV1661">
        <v>3160</v>
      </c>
    </row>
    <row r="1662" spans="1:48" ht="30" customHeight="1" x14ac:dyDescent="0.3">
      <c r="A1662" s="4" t="s">
        <v>2232</v>
      </c>
      <c r="B1662" s="4" t="s">
        <v>200</v>
      </c>
      <c r="C1662" s="4" t="s">
        <v>106</v>
      </c>
      <c r="D1662" s="5">
        <v>7.6920000000000002</v>
      </c>
      <c r="E1662" s="7">
        <f>TRUNC([1]단가대비표!O847,0)</f>
        <v>0</v>
      </c>
      <c r="F1662" s="7">
        <f t="shared" si="181"/>
        <v>0</v>
      </c>
      <c r="G1662" s="7">
        <f>TRUNC([1]단가대비표!P847,0)</f>
        <v>0</v>
      </c>
      <c r="H1662" s="7">
        <f t="shared" si="182"/>
        <v>0</v>
      </c>
      <c r="I1662" s="7">
        <f>TRUNC([1]단가대비표!V847,0)</f>
        <v>0</v>
      </c>
      <c r="J1662" s="7">
        <f t="shared" si="183"/>
        <v>0</v>
      </c>
      <c r="K1662" s="7">
        <f t="shared" si="184"/>
        <v>0</v>
      </c>
      <c r="L1662" s="7">
        <f t="shared" si="184"/>
        <v>0</v>
      </c>
      <c r="M1662" s="4" t="s">
        <v>55</v>
      </c>
      <c r="N1662" s="6" t="s">
        <v>3092</v>
      </c>
      <c r="O1662" s="6" t="s">
        <v>55</v>
      </c>
      <c r="P1662" s="6" t="s">
        <v>55</v>
      </c>
      <c r="Q1662" s="6" t="s">
        <v>3085</v>
      </c>
      <c r="R1662" s="6" t="s">
        <v>56</v>
      </c>
      <c r="S1662" s="6" t="s">
        <v>56</v>
      </c>
      <c r="T1662" s="6" t="s">
        <v>57</v>
      </c>
      <c r="AR1662" s="6" t="s">
        <v>55</v>
      </c>
      <c r="AS1662" s="6" t="s">
        <v>55</v>
      </c>
      <c r="AU1662" s="6" t="s">
        <v>3093</v>
      </c>
      <c r="AV1662">
        <v>3161</v>
      </c>
    </row>
    <row r="1663" spans="1:48" ht="30" customHeight="1" x14ac:dyDescent="0.3">
      <c r="A1663" s="4" t="s">
        <v>2232</v>
      </c>
      <c r="B1663" s="4" t="s">
        <v>203</v>
      </c>
      <c r="C1663" s="4" t="s">
        <v>106</v>
      </c>
      <c r="D1663" s="5">
        <v>9.66</v>
      </c>
      <c r="E1663" s="7">
        <f>TRUNC([1]단가대비표!O848,0)</f>
        <v>0</v>
      </c>
      <c r="F1663" s="7">
        <f t="shared" si="181"/>
        <v>0</v>
      </c>
      <c r="G1663" s="7">
        <f>TRUNC([1]단가대비표!P848,0)</f>
        <v>0</v>
      </c>
      <c r="H1663" s="7">
        <f t="shared" si="182"/>
        <v>0</v>
      </c>
      <c r="I1663" s="7">
        <f>TRUNC([1]단가대비표!V848,0)</f>
        <v>0</v>
      </c>
      <c r="J1663" s="7">
        <f t="shared" si="183"/>
        <v>0</v>
      </c>
      <c r="K1663" s="7">
        <f t="shared" si="184"/>
        <v>0</v>
      </c>
      <c r="L1663" s="7">
        <f t="shared" si="184"/>
        <v>0</v>
      </c>
      <c r="M1663" s="4" t="s">
        <v>55</v>
      </c>
      <c r="N1663" s="6" t="s">
        <v>3094</v>
      </c>
      <c r="O1663" s="6" t="s">
        <v>55</v>
      </c>
      <c r="P1663" s="6" t="s">
        <v>55</v>
      </c>
      <c r="Q1663" s="6" t="s">
        <v>3085</v>
      </c>
      <c r="R1663" s="6" t="s">
        <v>56</v>
      </c>
      <c r="S1663" s="6" t="s">
        <v>56</v>
      </c>
      <c r="T1663" s="6" t="s">
        <v>57</v>
      </c>
      <c r="AR1663" s="6" t="s">
        <v>55</v>
      </c>
      <c r="AS1663" s="6" t="s">
        <v>55</v>
      </c>
      <c r="AU1663" s="6" t="s">
        <v>3095</v>
      </c>
      <c r="AV1663">
        <v>3162</v>
      </c>
    </row>
    <row r="1664" spans="1:48" ht="30" customHeight="1" x14ac:dyDescent="0.3">
      <c r="A1664" s="4" t="s">
        <v>209</v>
      </c>
      <c r="B1664" s="4" t="s">
        <v>210</v>
      </c>
      <c r="C1664" s="4" t="s">
        <v>106</v>
      </c>
      <c r="D1664" s="5">
        <v>32.624000000000002</v>
      </c>
      <c r="E1664" s="7">
        <f>TRUNC([1]일위대가목록!E19,0)</f>
        <v>88376</v>
      </c>
      <c r="F1664" s="7">
        <f t="shared" si="181"/>
        <v>2883178</v>
      </c>
      <c r="G1664" s="7">
        <f>TRUNC([1]일위대가목록!F19,0)</f>
        <v>542881</v>
      </c>
      <c r="H1664" s="7">
        <f t="shared" si="182"/>
        <v>17710949</v>
      </c>
      <c r="I1664" s="7">
        <f>TRUNC([1]일위대가목록!G19,0)</f>
        <v>0</v>
      </c>
      <c r="J1664" s="7">
        <f t="shared" si="183"/>
        <v>0</v>
      </c>
      <c r="K1664" s="7">
        <f t="shared" si="184"/>
        <v>631257</v>
      </c>
      <c r="L1664" s="7">
        <f t="shared" si="184"/>
        <v>20594127</v>
      </c>
      <c r="M1664" s="4" t="s">
        <v>211</v>
      </c>
      <c r="N1664" s="6" t="s">
        <v>212</v>
      </c>
      <c r="O1664" s="6" t="s">
        <v>55</v>
      </c>
      <c r="P1664" s="6" t="s">
        <v>55</v>
      </c>
      <c r="Q1664" s="6" t="s">
        <v>3085</v>
      </c>
      <c r="R1664" s="6" t="s">
        <v>57</v>
      </c>
      <c r="S1664" s="6" t="s">
        <v>56</v>
      </c>
      <c r="T1664" s="6" t="s">
        <v>56</v>
      </c>
      <c r="AR1664" s="6" t="s">
        <v>55</v>
      </c>
      <c r="AS1664" s="6" t="s">
        <v>55</v>
      </c>
      <c r="AU1664" s="6" t="s">
        <v>3096</v>
      </c>
      <c r="AV1664">
        <v>2921</v>
      </c>
    </row>
    <row r="1665" spans="1:48" ht="30" customHeight="1" x14ac:dyDescent="0.3">
      <c r="A1665" s="4" t="s">
        <v>214</v>
      </c>
      <c r="B1665" s="4" t="s">
        <v>215</v>
      </c>
      <c r="C1665" s="4" t="s">
        <v>106</v>
      </c>
      <c r="D1665" s="5">
        <v>32.624000000000002</v>
      </c>
      <c r="E1665" s="7">
        <f>TRUNC([1]단가대비표!O799,0)</f>
        <v>9000</v>
      </c>
      <c r="F1665" s="7">
        <f t="shared" si="181"/>
        <v>293616</v>
      </c>
      <c r="G1665" s="7">
        <f>TRUNC([1]단가대비표!P799,0)</f>
        <v>0</v>
      </c>
      <c r="H1665" s="7">
        <f t="shared" si="182"/>
        <v>0</v>
      </c>
      <c r="I1665" s="7">
        <f>TRUNC([1]단가대비표!V799,0)</f>
        <v>0</v>
      </c>
      <c r="J1665" s="7">
        <f t="shared" si="183"/>
        <v>0</v>
      </c>
      <c r="K1665" s="7">
        <f t="shared" si="184"/>
        <v>9000</v>
      </c>
      <c r="L1665" s="7">
        <f t="shared" si="184"/>
        <v>293616</v>
      </c>
      <c r="M1665" s="4" t="s">
        <v>55</v>
      </c>
      <c r="N1665" s="6" t="s">
        <v>216</v>
      </c>
      <c r="O1665" s="6" t="s">
        <v>55</v>
      </c>
      <c r="P1665" s="6" t="s">
        <v>55</v>
      </c>
      <c r="Q1665" s="6" t="s">
        <v>3085</v>
      </c>
      <c r="R1665" s="6" t="s">
        <v>56</v>
      </c>
      <c r="S1665" s="6" t="s">
        <v>56</v>
      </c>
      <c r="T1665" s="6" t="s">
        <v>57</v>
      </c>
      <c r="AR1665" s="6" t="s">
        <v>55</v>
      </c>
      <c r="AS1665" s="6" t="s">
        <v>55</v>
      </c>
      <c r="AU1665" s="6" t="s">
        <v>3097</v>
      </c>
      <c r="AV1665">
        <v>3164</v>
      </c>
    </row>
    <row r="1666" spans="1:48" ht="30" customHeight="1" x14ac:dyDescent="0.3">
      <c r="A1666" s="4" t="s">
        <v>218</v>
      </c>
      <c r="B1666" s="4" t="s">
        <v>215</v>
      </c>
      <c r="C1666" s="4" t="s">
        <v>106</v>
      </c>
      <c r="D1666" s="5">
        <v>32.624000000000002</v>
      </c>
      <c r="E1666" s="7">
        <f>TRUNC([1]단가대비표!O800,0)</f>
        <v>0</v>
      </c>
      <c r="F1666" s="7">
        <f t="shared" si="181"/>
        <v>0</v>
      </c>
      <c r="G1666" s="7">
        <f>TRUNC([1]단가대비표!P800,0)</f>
        <v>9730</v>
      </c>
      <c r="H1666" s="7">
        <f t="shared" si="182"/>
        <v>317431</v>
      </c>
      <c r="I1666" s="7">
        <f>TRUNC([1]단가대비표!V800,0)</f>
        <v>2258</v>
      </c>
      <c r="J1666" s="7">
        <f t="shared" si="183"/>
        <v>73664</v>
      </c>
      <c r="K1666" s="7">
        <f t="shared" si="184"/>
        <v>11988</v>
      </c>
      <c r="L1666" s="7">
        <f t="shared" si="184"/>
        <v>391095</v>
      </c>
      <c r="M1666" s="4" t="s">
        <v>55</v>
      </c>
      <c r="N1666" s="6" t="s">
        <v>219</v>
      </c>
      <c r="O1666" s="6" t="s">
        <v>55</v>
      </c>
      <c r="P1666" s="6" t="s">
        <v>55</v>
      </c>
      <c r="Q1666" s="6" t="s">
        <v>3085</v>
      </c>
      <c r="R1666" s="6" t="s">
        <v>56</v>
      </c>
      <c r="S1666" s="6" t="s">
        <v>56</v>
      </c>
      <c r="T1666" s="6" t="s">
        <v>57</v>
      </c>
      <c r="AR1666" s="6" t="s">
        <v>55</v>
      </c>
      <c r="AS1666" s="6" t="s">
        <v>55</v>
      </c>
      <c r="AU1666" s="6" t="s">
        <v>3098</v>
      </c>
      <c r="AV1666">
        <v>3165</v>
      </c>
    </row>
    <row r="1667" spans="1:48" ht="30" customHeight="1" x14ac:dyDescent="0.3">
      <c r="A1667" s="4" t="s">
        <v>2247</v>
      </c>
      <c r="B1667" s="4" t="s">
        <v>222</v>
      </c>
      <c r="C1667" s="4" t="s">
        <v>223</v>
      </c>
      <c r="D1667" s="5">
        <v>10</v>
      </c>
      <c r="E1667" s="7">
        <f>TRUNC([1]단가대비표!O849,0)</f>
        <v>0</v>
      </c>
      <c r="F1667" s="7">
        <f t="shared" si="181"/>
        <v>0</v>
      </c>
      <c r="G1667" s="7">
        <f>TRUNC([1]단가대비표!P849,0)</f>
        <v>0</v>
      </c>
      <c r="H1667" s="7">
        <f t="shared" si="182"/>
        <v>0</v>
      </c>
      <c r="I1667" s="7">
        <f>TRUNC([1]단가대비표!V849,0)</f>
        <v>0</v>
      </c>
      <c r="J1667" s="7">
        <f t="shared" si="183"/>
        <v>0</v>
      </c>
      <c r="K1667" s="7">
        <f t="shared" si="184"/>
        <v>0</v>
      </c>
      <c r="L1667" s="7">
        <f t="shared" si="184"/>
        <v>0</v>
      </c>
      <c r="M1667" s="4" t="s">
        <v>55</v>
      </c>
      <c r="N1667" s="6" t="s">
        <v>3099</v>
      </c>
      <c r="O1667" s="6" t="s">
        <v>55</v>
      </c>
      <c r="P1667" s="6" t="s">
        <v>55</v>
      </c>
      <c r="Q1667" s="6" t="s">
        <v>3085</v>
      </c>
      <c r="R1667" s="6" t="s">
        <v>56</v>
      </c>
      <c r="S1667" s="6" t="s">
        <v>56</v>
      </c>
      <c r="T1667" s="6" t="s">
        <v>57</v>
      </c>
      <c r="AR1667" s="6" t="s">
        <v>55</v>
      </c>
      <c r="AS1667" s="6" t="s">
        <v>55</v>
      </c>
      <c r="AU1667" s="6" t="s">
        <v>3100</v>
      </c>
      <c r="AV1667">
        <v>3166</v>
      </c>
    </row>
    <row r="1668" spans="1:48" ht="30" customHeight="1" x14ac:dyDescent="0.3">
      <c r="A1668" s="4" t="s">
        <v>2247</v>
      </c>
      <c r="B1668" s="4" t="s">
        <v>226</v>
      </c>
      <c r="C1668" s="4" t="s">
        <v>223</v>
      </c>
      <c r="D1668" s="5">
        <v>22</v>
      </c>
      <c r="E1668" s="7">
        <f>TRUNC([1]단가대비표!O850,0)</f>
        <v>0</v>
      </c>
      <c r="F1668" s="7">
        <f t="shared" si="181"/>
        <v>0</v>
      </c>
      <c r="G1668" s="7">
        <f>TRUNC([1]단가대비표!P850,0)</f>
        <v>0</v>
      </c>
      <c r="H1668" s="7">
        <f t="shared" si="182"/>
        <v>0</v>
      </c>
      <c r="I1668" s="7">
        <f>TRUNC([1]단가대비표!V850,0)</f>
        <v>0</v>
      </c>
      <c r="J1668" s="7">
        <f t="shared" si="183"/>
        <v>0</v>
      </c>
      <c r="K1668" s="7">
        <f t="shared" si="184"/>
        <v>0</v>
      </c>
      <c r="L1668" s="7">
        <f t="shared" si="184"/>
        <v>0</v>
      </c>
      <c r="M1668" s="4" t="s">
        <v>55</v>
      </c>
      <c r="N1668" s="6" t="s">
        <v>3101</v>
      </c>
      <c r="O1668" s="6" t="s">
        <v>55</v>
      </c>
      <c r="P1668" s="6" t="s">
        <v>55</v>
      </c>
      <c r="Q1668" s="6" t="s">
        <v>3085</v>
      </c>
      <c r="R1668" s="6" t="s">
        <v>56</v>
      </c>
      <c r="S1668" s="6" t="s">
        <v>56</v>
      </c>
      <c r="T1668" s="6" t="s">
        <v>57</v>
      </c>
      <c r="AR1668" s="6" t="s">
        <v>55</v>
      </c>
      <c r="AS1668" s="6" t="s">
        <v>55</v>
      </c>
      <c r="AU1668" s="6" t="s">
        <v>3102</v>
      </c>
      <c r="AV1668">
        <v>3167</v>
      </c>
    </row>
    <row r="1669" spans="1:48" ht="30" customHeight="1" x14ac:dyDescent="0.3">
      <c r="A1669" s="4" t="s">
        <v>2247</v>
      </c>
      <c r="B1669" s="4" t="s">
        <v>229</v>
      </c>
      <c r="C1669" s="4" t="s">
        <v>223</v>
      </c>
      <c r="D1669" s="5">
        <v>272</v>
      </c>
      <c r="E1669" s="7">
        <f>TRUNC([1]단가대비표!O851,0)</f>
        <v>0</v>
      </c>
      <c r="F1669" s="7">
        <f t="shared" si="181"/>
        <v>0</v>
      </c>
      <c r="G1669" s="7">
        <f>TRUNC([1]단가대비표!P851,0)</f>
        <v>0</v>
      </c>
      <c r="H1669" s="7">
        <f t="shared" si="182"/>
        <v>0</v>
      </c>
      <c r="I1669" s="7">
        <f>TRUNC([1]단가대비표!V851,0)</f>
        <v>0</v>
      </c>
      <c r="J1669" s="7">
        <f t="shared" si="183"/>
        <v>0</v>
      </c>
      <c r="K1669" s="7">
        <f t="shared" si="184"/>
        <v>0</v>
      </c>
      <c r="L1669" s="7">
        <f t="shared" si="184"/>
        <v>0</v>
      </c>
      <c r="M1669" s="4" t="s">
        <v>55</v>
      </c>
      <c r="N1669" s="6" t="s">
        <v>3103</v>
      </c>
      <c r="O1669" s="6" t="s">
        <v>55</v>
      </c>
      <c r="P1669" s="6" t="s">
        <v>55</v>
      </c>
      <c r="Q1669" s="6" t="s">
        <v>3085</v>
      </c>
      <c r="R1669" s="6" t="s">
        <v>56</v>
      </c>
      <c r="S1669" s="6" t="s">
        <v>56</v>
      </c>
      <c r="T1669" s="6" t="s">
        <v>57</v>
      </c>
      <c r="AR1669" s="6" t="s">
        <v>55</v>
      </c>
      <c r="AS1669" s="6" t="s">
        <v>55</v>
      </c>
      <c r="AU1669" s="6" t="s">
        <v>3104</v>
      </c>
      <c r="AV1669">
        <v>3168</v>
      </c>
    </row>
    <row r="1670" spans="1:48" ht="30" customHeight="1" x14ac:dyDescent="0.3">
      <c r="A1670" s="4" t="s">
        <v>232</v>
      </c>
      <c r="B1670" s="4" t="s">
        <v>233</v>
      </c>
      <c r="C1670" s="4" t="s">
        <v>223</v>
      </c>
      <c r="D1670" s="5">
        <v>30</v>
      </c>
      <c r="E1670" s="7">
        <f>TRUNC([1]일위대가목록!E20,0)</f>
        <v>1610</v>
      </c>
      <c r="F1670" s="7">
        <f t="shared" si="181"/>
        <v>48300</v>
      </c>
      <c r="G1670" s="7">
        <f>TRUNC([1]일위대가목록!F20,0)</f>
        <v>10379</v>
      </c>
      <c r="H1670" s="7">
        <f t="shared" si="182"/>
        <v>311370</v>
      </c>
      <c r="I1670" s="7">
        <f>TRUNC([1]일위대가목록!G20,0)</f>
        <v>3347</v>
      </c>
      <c r="J1670" s="7">
        <f t="shared" si="183"/>
        <v>100410</v>
      </c>
      <c r="K1670" s="7">
        <f t="shared" si="184"/>
        <v>15336</v>
      </c>
      <c r="L1670" s="7">
        <f t="shared" si="184"/>
        <v>460080</v>
      </c>
      <c r="M1670" s="4" t="s">
        <v>234</v>
      </c>
      <c r="N1670" s="6" t="s">
        <v>235</v>
      </c>
      <c r="O1670" s="6" t="s">
        <v>55</v>
      </c>
      <c r="P1670" s="6" t="s">
        <v>55</v>
      </c>
      <c r="Q1670" s="6" t="s">
        <v>3085</v>
      </c>
      <c r="R1670" s="6" t="s">
        <v>57</v>
      </c>
      <c r="S1670" s="6" t="s">
        <v>56</v>
      </c>
      <c r="T1670" s="6" t="s">
        <v>56</v>
      </c>
      <c r="AR1670" s="6" t="s">
        <v>55</v>
      </c>
      <c r="AS1670" s="6" t="s">
        <v>55</v>
      </c>
      <c r="AU1670" s="6" t="s">
        <v>3105</v>
      </c>
      <c r="AV1670">
        <v>2698</v>
      </c>
    </row>
    <row r="1671" spans="1:48" ht="30" customHeight="1" x14ac:dyDescent="0.3">
      <c r="A1671" s="4" t="s">
        <v>237</v>
      </c>
      <c r="B1671" s="4" t="s">
        <v>238</v>
      </c>
      <c r="C1671" s="4" t="s">
        <v>223</v>
      </c>
      <c r="D1671" s="5">
        <v>270</v>
      </c>
      <c r="E1671" s="7">
        <f>TRUNC([1]일위대가목록!E21,0)</f>
        <v>1638</v>
      </c>
      <c r="F1671" s="7">
        <f t="shared" si="181"/>
        <v>442260</v>
      </c>
      <c r="G1671" s="7">
        <f>TRUNC([1]일위대가목록!F21,0)</f>
        <v>11011</v>
      </c>
      <c r="H1671" s="7">
        <f t="shared" si="182"/>
        <v>2972970</v>
      </c>
      <c r="I1671" s="7">
        <f>TRUNC([1]일위대가목록!G21,0)</f>
        <v>3385</v>
      </c>
      <c r="J1671" s="7">
        <f t="shared" si="183"/>
        <v>913950</v>
      </c>
      <c r="K1671" s="7">
        <f t="shared" si="184"/>
        <v>16034</v>
      </c>
      <c r="L1671" s="7">
        <f t="shared" si="184"/>
        <v>4329180</v>
      </c>
      <c r="M1671" s="4" t="s">
        <v>239</v>
      </c>
      <c r="N1671" s="6" t="s">
        <v>240</v>
      </c>
      <c r="O1671" s="6" t="s">
        <v>55</v>
      </c>
      <c r="P1671" s="6" t="s">
        <v>55</v>
      </c>
      <c r="Q1671" s="6" t="s">
        <v>3085</v>
      </c>
      <c r="R1671" s="6" t="s">
        <v>57</v>
      </c>
      <c r="S1671" s="6" t="s">
        <v>56</v>
      </c>
      <c r="T1671" s="6" t="s">
        <v>56</v>
      </c>
      <c r="AR1671" s="6" t="s">
        <v>55</v>
      </c>
      <c r="AS1671" s="6" t="s">
        <v>55</v>
      </c>
      <c r="AU1671" s="6" t="s">
        <v>3106</v>
      </c>
      <c r="AV1671">
        <v>2699</v>
      </c>
    </row>
    <row r="1672" spans="1:48" ht="30" customHeight="1" x14ac:dyDescent="0.3">
      <c r="A1672" s="4" t="s">
        <v>242</v>
      </c>
      <c r="B1672" s="4" t="s">
        <v>55</v>
      </c>
      <c r="C1672" s="4" t="s">
        <v>223</v>
      </c>
      <c r="D1672" s="5">
        <v>21</v>
      </c>
      <c r="E1672" s="7">
        <f>TRUNC([1]단가대비표!O88,0)</f>
        <v>7000</v>
      </c>
      <c r="F1672" s="7">
        <f t="shared" si="181"/>
        <v>147000</v>
      </c>
      <c r="G1672" s="7">
        <f>TRUNC([1]단가대비표!P88,0)</f>
        <v>0</v>
      </c>
      <c r="H1672" s="7">
        <f t="shared" si="182"/>
        <v>0</v>
      </c>
      <c r="I1672" s="7">
        <f>TRUNC([1]단가대비표!V88,0)</f>
        <v>0</v>
      </c>
      <c r="J1672" s="7">
        <f t="shared" si="183"/>
        <v>0</v>
      </c>
      <c r="K1672" s="7">
        <f t="shared" si="184"/>
        <v>7000</v>
      </c>
      <c r="L1672" s="7">
        <f t="shared" si="184"/>
        <v>147000</v>
      </c>
      <c r="M1672" s="4" t="s">
        <v>55</v>
      </c>
      <c r="N1672" s="6" t="s">
        <v>2326</v>
      </c>
      <c r="O1672" s="6" t="s">
        <v>55</v>
      </c>
      <c r="P1672" s="6" t="s">
        <v>55</v>
      </c>
      <c r="Q1672" s="6" t="s">
        <v>3085</v>
      </c>
      <c r="R1672" s="6" t="s">
        <v>56</v>
      </c>
      <c r="S1672" s="6" t="s">
        <v>56</v>
      </c>
      <c r="T1672" s="6" t="s">
        <v>57</v>
      </c>
      <c r="AR1672" s="6" t="s">
        <v>55</v>
      </c>
      <c r="AS1672" s="6" t="s">
        <v>55</v>
      </c>
      <c r="AU1672" s="6" t="s">
        <v>3107</v>
      </c>
      <c r="AV1672">
        <v>878</v>
      </c>
    </row>
    <row r="1673" spans="1:48" ht="30" customHeight="1" x14ac:dyDescent="0.3">
      <c r="A1673" s="4" t="s">
        <v>249</v>
      </c>
      <c r="B1673" s="4" t="s">
        <v>250</v>
      </c>
      <c r="C1673" s="4" t="s">
        <v>61</v>
      </c>
      <c r="D1673" s="5">
        <v>271</v>
      </c>
      <c r="E1673" s="7">
        <f>TRUNC([1]일위대가목록!E22,0)</f>
        <v>18262</v>
      </c>
      <c r="F1673" s="7">
        <f t="shared" si="181"/>
        <v>4949002</v>
      </c>
      <c r="G1673" s="7">
        <f>TRUNC([1]일위대가목록!F22,0)</f>
        <v>37076</v>
      </c>
      <c r="H1673" s="7">
        <f t="shared" si="182"/>
        <v>10047596</v>
      </c>
      <c r="I1673" s="7">
        <f>TRUNC([1]일위대가목록!G22,0)</f>
        <v>0</v>
      </c>
      <c r="J1673" s="7">
        <f t="shared" si="183"/>
        <v>0</v>
      </c>
      <c r="K1673" s="7">
        <f t="shared" si="184"/>
        <v>55338</v>
      </c>
      <c r="L1673" s="7">
        <f t="shared" si="184"/>
        <v>14996598</v>
      </c>
      <c r="M1673" s="4" t="s">
        <v>251</v>
      </c>
      <c r="N1673" s="6" t="s">
        <v>252</v>
      </c>
      <c r="O1673" s="6" t="s">
        <v>55</v>
      </c>
      <c r="P1673" s="6" t="s">
        <v>55</v>
      </c>
      <c r="Q1673" s="6" t="s">
        <v>3085</v>
      </c>
      <c r="R1673" s="6" t="s">
        <v>57</v>
      </c>
      <c r="S1673" s="6" t="s">
        <v>56</v>
      </c>
      <c r="T1673" s="6" t="s">
        <v>56</v>
      </c>
      <c r="AR1673" s="6" t="s">
        <v>55</v>
      </c>
      <c r="AS1673" s="6" t="s">
        <v>55</v>
      </c>
      <c r="AU1673" s="6" t="s">
        <v>3108</v>
      </c>
      <c r="AV1673">
        <v>2700</v>
      </c>
    </row>
    <row r="1674" spans="1:48" ht="30" customHeight="1" x14ac:dyDescent="0.3">
      <c r="A1674" s="4" t="s">
        <v>249</v>
      </c>
      <c r="B1674" s="4" t="s">
        <v>254</v>
      </c>
      <c r="C1674" s="4" t="s">
        <v>61</v>
      </c>
      <c r="D1674" s="5">
        <v>25</v>
      </c>
      <c r="E1674" s="7">
        <f>TRUNC([1]일위대가목록!E23,0)</f>
        <v>18262</v>
      </c>
      <c r="F1674" s="7">
        <f t="shared" si="181"/>
        <v>456550</v>
      </c>
      <c r="G1674" s="7">
        <f>TRUNC([1]일위대가목록!F23,0)</f>
        <v>37076</v>
      </c>
      <c r="H1674" s="7">
        <f t="shared" si="182"/>
        <v>926900</v>
      </c>
      <c r="I1674" s="7">
        <f>TRUNC([1]일위대가목록!G23,0)</f>
        <v>0</v>
      </c>
      <c r="J1674" s="7">
        <f t="shared" si="183"/>
        <v>0</v>
      </c>
      <c r="K1674" s="7">
        <f t="shared" si="184"/>
        <v>55338</v>
      </c>
      <c r="L1674" s="7">
        <f t="shared" si="184"/>
        <v>1383450</v>
      </c>
      <c r="M1674" s="4" t="s">
        <v>255</v>
      </c>
      <c r="N1674" s="6" t="s">
        <v>256</v>
      </c>
      <c r="O1674" s="6" t="s">
        <v>55</v>
      </c>
      <c r="P1674" s="6" t="s">
        <v>55</v>
      </c>
      <c r="Q1674" s="6" t="s">
        <v>3085</v>
      </c>
      <c r="R1674" s="6" t="s">
        <v>57</v>
      </c>
      <c r="S1674" s="6" t="s">
        <v>56</v>
      </c>
      <c r="T1674" s="6" t="s">
        <v>56</v>
      </c>
      <c r="AR1674" s="6" t="s">
        <v>55</v>
      </c>
      <c r="AS1674" s="6" t="s">
        <v>55</v>
      </c>
      <c r="AU1674" s="6" t="s">
        <v>3109</v>
      </c>
      <c r="AV1674">
        <v>2701</v>
      </c>
    </row>
    <row r="1675" spans="1:48" ht="30" customHeight="1" x14ac:dyDescent="0.3">
      <c r="A1675" s="4" t="s">
        <v>249</v>
      </c>
      <c r="B1675" s="4" t="s">
        <v>258</v>
      </c>
      <c r="C1675" s="4" t="s">
        <v>61</v>
      </c>
      <c r="D1675" s="5">
        <v>39</v>
      </c>
      <c r="E1675" s="7">
        <f>TRUNC([1]일위대가목록!E24,0)</f>
        <v>14961</v>
      </c>
      <c r="F1675" s="7">
        <f t="shared" si="181"/>
        <v>583479</v>
      </c>
      <c r="G1675" s="7">
        <f>TRUNC([1]일위대가목록!F24,0)</f>
        <v>25472</v>
      </c>
      <c r="H1675" s="7">
        <f t="shared" si="182"/>
        <v>993408</v>
      </c>
      <c r="I1675" s="7">
        <f>TRUNC([1]일위대가목록!G24,0)</f>
        <v>0</v>
      </c>
      <c r="J1675" s="7">
        <f t="shared" si="183"/>
        <v>0</v>
      </c>
      <c r="K1675" s="7">
        <f t="shared" si="184"/>
        <v>40433</v>
      </c>
      <c r="L1675" s="7">
        <f t="shared" si="184"/>
        <v>1576887</v>
      </c>
      <c r="M1675" s="4" t="s">
        <v>259</v>
      </c>
      <c r="N1675" s="6" t="s">
        <v>260</v>
      </c>
      <c r="O1675" s="6" t="s">
        <v>55</v>
      </c>
      <c r="P1675" s="6" t="s">
        <v>55</v>
      </c>
      <c r="Q1675" s="6" t="s">
        <v>3085</v>
      </c>
      <c r="R1675" s="6" t="s">
        <v>57</v>
      </c>
      <c r="S1675" s="6" t="s">
        <v>56</v>
      </c>
      <c r="T1675" s="6" t="s">
        <v>56</v>
      </c>
      <c r="AR1675" s="6" t="s">
        <v>55</v>
      </c>
      <c r="AS1675" s="6" t="s">
        <v>55</v>
      </c>
      <c r="AU1675" s="6" t="s">
        <v>3110</v>
      </c>
      <c r="AV1675">
        <v>2702</v>
      </c>
    </row>
    <row r="1676" spans="1:48" ht="30" customHeight="1" x14ac:dyDescent="0.3">
      <c r="A1676" s="4" t="s">
        <v>262</v>
      </c>
      <c r="B1676" s="4" t="s">
        <v>263</v>
      </c>
      <c r="C1676" s="4" t="s">
        <v>61</v>
      </c>
      <c r="D1676" s="5">
        <v>959</v>
      </c>
      <c r="E1676" s="7">
        <f>TRUNC([1]일위대가목록!E25,0)</f>
        <v>5626</v>
      </c>
      <c r="F1676" s="7">
        <f t="shared" si="181"/>
        <v>5395334</v>
      </c>
      <c r="G1676" s="7">
        <f>TRUNC([1]일위대가목록!F25,0)</f>
        <v>29534</v>
      </c>
      <c r="H1676" s="7">
        <f t="shared" si="182"/>
        <v>28323106</v>
      </c>
      <c r="I1676" s="7">
        <f>TRUNC([1]일위대가목록!G25,0)</f>
        <v>0</v>
      </c>
      <c r="J1676" s="7">
        <f t="shared" si="183"/>
        <v>0</v>
      </c>
      <c r="K1676" s="7">
        <f t="shared" si="184"/>
        <v>35160</v>
      </c>
      <c r="L1676" s="7">
        <f t="shared" si="184"/>
        <v>33718440</v>
      </c>
      <c r="M1676" s="4" t="s">
        <v>264</v>
      </c>
      <c r="N1676" s="6" t="s">
        <v>265</v>
      </c>
      <c r="O1676" s="6" t="s">
        <v>55</v>
      </c>
      <c r="P1676" s="6" t="s">
        <v>55</v>
      </c>
      <c r="Q1676" s="6" t="s">
        <v>3085</v>
      </c>
      <c r="R1676" s="6" t="s">
        <v>57</v>
      </c>
      <c r="S1676" s="6" t="s">
        <v>56</v>
      </c>
      <c r="T1676" s="6" t="s">
        <v>56</v>
      </c>
      <c r="AR1676" s="6" t="s">
        <v>55</v>
      </c>
      <c r="AS1676" s="6" t="s">
        <v>55</v>
      </c>
      <c r="AU1676" s="6" t="s">
        <v>3111</v>
      </c>
      <c r="AV1676">
        <v>2703</v>
      </c>
    </row>
    <row r="1677" spans="1:48" ht="30" customHeight="1" x14ac:dyDescent="0.3">
      <c r="A1677" s="4" t="s">
        <v>55</v>
      </c>
      <c r="B1677" s="4" t="s">
        <v>55</v>
      </c>
      <c r="C1677" s="4" t="s">
        <v>55</v>
      </c>
      <c r="D1677" s="5"/>
      <c r="E1677" s="7">
        <f>TRUNC([1]단가대비표!O852,0)</f>
        <v>0</v>
      </c>
      <c r="F1677" s="7">
        <f t="shared" si="181"/>
        <v>0</v>
      </c>
      <c r="G1677" s="7">
        <f>TRUNC([1]단가대비표!P852,0)</f>
        <v>0</v>
      </c>
      <c r="H1677" s="7">
        <f t="shared" si="182"/>
        <v>0</v>
      </c>
      <c r="I1677" s="7">
        <f>TRUNC([1]단가대비표!V852,0)</f>
        <v>0</v>
      </c>
      <c r="J1677" s="7">
        <f t="shared" si="183"/>
        <v>0</v>
      </c>
      <c r="K1677" s="7">
        <f t="shared" si="184"/>
        <v>0</v>
      </c>
      <c r="L1677" s="7">
        <f t="shared" si="184"/>
        <v>0</v>
      </c>
      <c r="M1677" s="4" t="s">
        <v>55</v>
      </c>
      <c r="N1677" s="6" t="s">
        <v>3112</v>
      </c>
      <c r="O1677" s="6" t="s">
        <v>55</v>
      </c>
      <c r="P1677" s="6" t="s">
        <v>55</v>
      </c>
      <c r="Q1677" s="6" t="s">
        <v>3085</v>
      </c>
      <c r="R1677" s="6" t="s">
        <v>56</v>
      </c>
      <c r="S1677" s="6" t="s">
        <v>56</v>
      </c>
      <c r="T1677" s="6" t="s">
        <v>57</v>
      </c>
      <c r="AR1677" s="6" t="s">
        <v>55</v>
      </c>
      <c r="AS1677" s="6" t="s">
        <v>55</v>
      </c>
      <c r="AU1677" s="6" t="s">
        <v>3113</v>
      </c>
      <c r="AV1677">
        <v>3171</v>
      </c>
    </row>
    <row r="1678" spans="1:48" ht="30" customHeight="1" x14ac:dyDescent="0.3">
      <c r="A1678" s="4" t="s">
        <v>3114</v>
      </c>
      <c r="B1678" s="4" t="s">
        <v>55</v>
      </c>
      <c r="C1678" s="4" t="s">
        <v>55</v>
      </c>
      <c r="D1678" s="5"/>
      <c r="E1678" s="7">
        <f>TRUNC([1]단가대비표!O853,0)</f>
        <v>0</v>
      </c>
      <c r="F1678" s="7">
        <f t="shared" si="181"/>
        <v>0</v>
      </c>
      <c r="G1678" s="7">
        <f>TRUNC([1]단가대비표!P853,0)</f>
        <v>0</v>
      </c>
      <c r="H1678" s="7">
        <f t="shared" si="182"/>
        <v>0</v>
      </c>
      <c r="I1678" s="7">
        <f>TRUNC([1]단가대비표!V853,0)</f>
        <v>0</v>
      </c>
      <c r="J1678" s="7">
        <f t="shared" si="183"/>
        <v>0</v>
      </c>
      <c r="K1678" s="7">
        <f t="shared" si="184"/>
        <v>0</v>
      </c>
      <c r="L1678" s="7">
        <f t="shared" si="184"/>
        <v>0</v>
      </c>
      <c r="M1678" s="4" t="s">
        <v>55</v>
      </c>
      <c r="N1678" s="6" t="s">
        <v>3115</v>
      </c>
      <c r="O1678" s="6" t="s">
        <v>55</v>
      </c>
      <c r="P1678" s="6" t="s">
        <v>55</v>
      </c>
      <c r="Q1678" s="6" t="s">
        <v>3085</v>
      </c>
      <c r="R1678" s="6" t="s">
        <v>56</v>
      </c>
      <c r="S1678" s="6" t="s">
        <v>56</v>
      </c>
      <c r="T1678" s="6" t="s">
        <v>57</v>
      </c>
      <c r="AR1678" s="6" t="s">
        <v>55</v>
      </c>
      <c r="AS1678" s="6" t="s">
        <v>55</v>
      </c>
      <c r="AU1678" s="6" t="s">
        <v>3116</v>
      </c>
      <c r="AV1678">
        <v>3172</v>
      </c>
    </row>
    <row r="1679" spans="1:48" ht="30" customHeight="1" x14ac:dyDescent="0.3">
      <c r="A1679" s="4" t="s">
        <v>314</v>
      </c>
      <c r="B1679" s="4" t="s">
        <v>3117</v>
      </c>
      <c r="C1679" s="4" t="s">
        <v>140</v>
      </c>
      <c r="D1679" s="5">
        <v>84</v>
      </c>
      <c r="E1679" s="7">
        <f>TRUNC([1]단가대비표!O483,0)</f>
        <v>0</v>
      </c>
      <c r="F1679" s="7">
        <f t="shared" si="181"/>
        <v>0</v>
      </c>
      <c r="G1679" s="7">
        <f>TRUNC([1]단가대비표!P483,0)</f>
        <v>0</v>
      </c>
      <c r="H1679" s="7">
        <f t="shared" si="182"/>
        <v>0</v>
      </c>
      <c r="I1679" s="7">
        <f>TRUNC([1]단가대비표!V483,0)</f>
        <v>0</v>
      </c>
      <c r="J1679" s="7">
        <f t="shared" si="183"/>
        <v>0</v>
      </c>
      <c r="K1679" s="7">
        <f t="shared" si="184"/>
        <v>0</v>
      </c>
      <c r="L1679" s="7">
        <f t="shared" si="184"/>
        <v>0</v>
      </c>
      <c r="M1679" s="4" t="s">
        <v>3118</v>
      </c>
      <c r="N1679" s="6" t="s">
        <v>3119</v>
      </c>
      <c r="O1679" s="6" t="s">
        <v>55</v>
      </c>
      <c r="P1679" s="6" t="s">
        <v>55</v>
      </c>
      <c r="Q1679" s="6" t="s">
        <v>3085</v>
      </c>
      <c r="R1679" s="6" t="s">
        <v>56</v>
      </c>
      <c r="S1679" s="6" t="s">
        <v>56</v>
      </c>
      <c r="T1679" s="6" t="s">
        <v>57</v>
      </c>
      <c r="AR1679" s="6" t="s">
        <v>55</v>
      </c>
      <c r="AS1679" s="6" t="s">
        <v>55</v>
      </c>
      <c r="AU1679" s="6" t="s">
        <v>3120</v>
      </c>
      <c r="AV1679">
        <v>1686</v>
      </c>
    </row>
    <row r="1680" spans="1:48" ht="30" customHeight="1" x14ac:dyDescent="0.3">
      <c r="A1680" s="4" t="s">
        <v>327</v>
      </c>
      <c r="B1680" s="4" t="s">
        <v>328</v>
      </c>
      <c r="C1680" s="4" t="s">
        <v>61</v>
      </c>
      <c r="D1680" s="5">
        <v>84</v>
      </c>
      <c r="E1680" s="7">
        <f>TRUNC([1]단가대비표!O898,0)</f>
        <v>8000</v>
      </c>
      <c r="F1680" s="7">
        <f t="shared" si="181"/>
        <v>672000</v>
      </c>
      <c r="G1680" s="7">
        <f>TRUNC([1]단가대비표!P898,0)</f>
        <v>0</v>
      </c>
      <c r="H1680" s="7">
        <f t="shared" si="182"/>
        <v>0</v>
      </c>
      <c r="I1680" s="7">
        <f>TRUNC([1]단가대비표!V898,0)</f>
        <v>0</v>
      </c>
      <c r="J1680" s="7">
        <f t="shared" si="183"/>
        <v>0</v>
      </c>
      <c r="K1680" s="7">
        <f t="shared" si="184"/>
        <v>8000</v>
      </c>
      <c r="L1680" s="7">
        <f t="shared" si="184"/>
        <v>672000</v>
      </c>
      <c r="M1680" s="4" t="s">
        <v>115</v>
      </c>
      <c r="N1680" s="6" t="s">
        <v>329</v>
      </c>
      <c r="O1680" s="6" t="s">
        <v>55</v>
      </c>
      <c r="P1680" s="6" t="s">
        <v>55</v>
      </c>
      <c r="Q1680" s="6" t="s">
        <v>3085</v>
      </c>
      <c r="R1680" s="6" t="s">
        <v>56</v>
      </c>
      <c r="S1680" s="6" t="s">
        <v>56</v>
      </c>
      <c r="T1680" s="6" t="s">
        <v>57</v>
      </c>
      <c r="AR1680" s="6" t="s">
        <v>55</v>
      </c>
      <c r="AS1680" s="6" t="s">
        <v>55</v>
      </c>
      <c r="AU1680" s="6" t="s">
        <v>3121</v>
      </c>
      <c r="AV1680">
        <v>3509</v>
      </c>
    </row>
    <row r="1681" spans="1:13" ht="30" customHeight="1" x14ac:dyDescent="0.3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</row>
    <row r="1682" spans="1:13" ht="30" customHeight="1" x14ac:dyDescent="0.3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</row>
    <row r="1683" spans="1:13" ht="30" customHeight="1" x14ac:dyDescent="0.3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</row>
    <row r="1684" spans="1:13" ht="30" customHeight="1" x14ac:dyDescent="0.3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</row>
    <row r="1685" spans="1:13" ht="30" customHeight="1" x14ac:dyDescent="0.3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</row>
    <row r="1686" spans="1:13" ht="30" customHeight="1" x14ac:dyDescent="0.3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</row>
    <row r="1687" spans="1:13" ht="30" customHeight="1" x14ac:dyDescent="0.3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</row>
    <row r="1688" spans="1:13" ht="30" customHeight="1" x14ac:dyDescent="0.3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</row>
    <row r="1689" spans="1:13" ht="30" customHeight="1" x14ac:dyDescent="0.3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</row>
    <row r="1690" spans="1:13" ht="30" customHeight="1" x14ac:dyDescent="0.3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</row>
    <row r="1691" spans="1:13" ht="30" customHeight="1" x14ac:dyDescent="0.3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</row>
    <row r="1692" spans="1:13" ht="30" customHeight="1" x14ac:dyDescent="0.3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</row>
    <row r="1693" spans="1:13" ht="30" customHeight="1" x14ac:dyDescent="0.3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</row>
    <row r="1694" spans="1:13" ht="30" customHeight="1" x14ac:dyDescent="0.3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</row>
    <row r="1695" spans="1:13" ht="30" customHeight="1" x14ac:dyDescent="0.3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</row>
    <row r="1696" spans="1:13" ht="30" customHeight="1" x14ac:dyDescent="0.3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</row>
    <row r="1697" spans="1:48" ht="30" customHeight="1" x14ac:dyDescent="0.3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</row>
    <row r="1698" spans="1:48" ht="30" customHeight="1" x14ac:dyDescent="0.3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</row>
    <row r="1699" spans="1:48" ht="30" customHeight="1" x14ac:dyDescent="0.3">
      <c r="A1699" s="4" t="s">
        <v>128</v>
      </c>
      <c r="B1699" s="5"/>
      <c r="C1699" s="5"/>
      <c r="D1699" s="5"/>
      <c r="E1699" s="5"/>
      <c r="F1699" s="7">
        <f>SUM(F1659:F1698)</f>
        <v>15870719</v>
      </c>
      <c r="G1699" s="5"/>
      <c r="H1699" s="7">
        <f>SUM(H1659:H1698)</f>
        <v>61603730</v>
      </c>
      <c r="I1699" s="5"/>
      <c r="J1699" s="7">
        <f>SUM(J1659:J1698)</f>
        <v>1088024</v>
      </c>
      <c r="K1699" s="5"/>
      <c r="L1699" s="7">
        <f>SUM(L1659:L1698)</f>
        <v>78562473</v>
      </c>
      <c r="M1699" s="5"/>
      <c r="N1699" t="s">
        <v>129</v>
      </c>
    </row>
    <row r="1700" spans="1:48" ht="30" customHeight="1" x14ac:dyDescent="0.3">
      <c r="A1700" s="4" t="s">
        <v>3122</v>
      </c>
      <c r="B1700" s="4" t="s">
        <v>3071</v>
      </c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Q1700" s="6" t="s">
        <v>3123</v>
      </c>
    </row>
    <row r="1701" spans="1:48" ht="30" customHeight="1" x14ac:dyDescent="0.3">
      <c r="A1701" s="4" t="s">
        <v>3124</v>
      </c>
      <c r="B1701" s="4" t="s">
        <v>3125</v>
      </c>
      <c r="C1701" s="4" t="s">
        <v>106</v>
      </c>
      <c r="D1701" s="5">
        <v>0.19500000000000001</v>
      </c>
      <c r="E1701" s="7">
        <f>TRUNC([1]단가대비표!O52,0)</f>
        <v>1270000</v>
      </c>
      <c r="F1701" s="7">
        <f t="shared" ref="F1701:F1714" si="185">TRUNC(E1701*D1701, 0)</f>
        <v>247650</v>
      </c>
      <c r="G1701" s="7">
        <f>TRUNC([1]단가대비표!P52,0)</f>
        <v>0</v>
      </c>
      <c r="H1701" s="7">
        <f t="shared" ref="H1701:H1714" si="186">TRUNC(G1701*D1701, 0)</f>
        <v>0</v>
      </c>
      <c r="I1701" s="7">
        <f>TRUNC([1]단가대비표!V52,0)</f>
        <v>0</v>
      </c>
      <c r="J1701" s="7">
        <f t="shared" ref="J1701:J1714" si="187">TRUNC(I1701*D1701, 0)</f>
        <v>0</v>
      </c>
      <c r="K1701" s="7">
        <f t="shared" ref="K1701:L1714" si="188">TRUNC(E1701+G1701+I1701, 0)</f>
        <v>1270000</v>
      </c>
      <c r="L1701" s="7">
        <f t="shared" si="188"/>
        <v>247650</v>
      </c>
      <c r="M1701" s="4" t="s">
        <v>3126</v>
      </c>
      <c r="N1701" s="6" t="s">
        <v>3127</v>
      </c>
      <c r="O1701" s="6" t="s">
        <v>55</v>
      </c>
      <c r="P1701" s="6" t="s">
        <v>55</v>
      </c>
      <c r="Q1701" s="6" t="s">
        <v>3123</v>
      </c>
      <c r="R1701" s="6" t="s">
        <v>56</v>
      </c>
      <c r="S1701" s="6" t="s">
        <v>56</v>
      </c>
      <c r="T1701" s="6" t="s">
        <v>57</v>
      </c>
      <c r="AR1701" s="6" t="s">
        <v>55</v>
      </c>
      <c r="AS1701" s="6" t="s">
        <v>55</v>
      </c>
      <c r="AU1701" s="6" t="s">
        <v>3128</v>
      </c>
      <c r="AV1701">
        <v>887</v>
      </c>
    </row>
    <row r="1702" spans="1:48" ht="30" customHeight="1" x14ac:dyDescent="0.3">
      <c r="A1702" s="4" t="s">
        <v>3124</v>
      </c>
      <c r="B1702" s="4" t="s">
        <v>3129</v>
      </c>
      <c r="C1702" s="4" t="s">
        <v>106</v>
      </c>
      <c r="D1702" s="5">
        <v>3.843</v>
      </c>
      <c r="E1702" s="7">
        <f>TRUNC([1]단가대비표!O59,0)</f>
        <v>1270000</v>
      </c>
      <c r="F1702" s="7">
        <f t="shared" si="185"/>
        <v>4880610</v>
      </c>
      <c r="G1702" s="7">
        <f>TRUNC([1]단가대비표!P59,0)</f>
        <v>0</v>
      </c>
      <c r="H1702" s="7">
        <f t="shared" si="186"/>
        <v>0</v>
      </c>
      <c r="I1702" s="7">
        <f>TRUNC([1]단가대비표!V59,0)</f>
        <v>0</v>
      </c>
      <c r="J1702" s="7">
        <f t="shared" si="187"/>
        <v>0</v>
      </c>
      <c r="K1702" s="7">
        <f t="shared" si="188"/>
        <v>1270000</v>
      </c>
      <c r="L1702" s="7">
        <f t="shared" si="188"/>
        <v>4880610</v>
      </c>
      <c r="M1702" s="4" t="s">
        <v>3130</v>
      </c>
      <c r="N1702" s="6" t="s">
        <v>3131</v>
      </c>
      <c r="O1702" s="6" t="s">
        <v>55</v>
      </c>
      <c r="P1702" s="6" t="s">
        <v>55</v>
      </c>
      <c r="Q1702" s="6" t="s">
        <v>3123</v>
      </c>
      <c r="R1702" s="6" t="s">
        <v>56</v>
      </c>
      <c r="S1702" s="6" t="s">
        <v>56</v>
      </c>
      <c r="T1702" s="6" t="s">
        <v>57</v>
      </c>
      <c r="AR1702" s="6" t="s">
        <v>55</v>
      </c>
      <c r="AS1702" s="6" t="s">
        <v>55</v>
      </c>
      <c r="AU1702" s="6" t="s">
        <v>3132</v>
      </c>
      <c r="AV1702">
        <v>888</v>
      </c>
    </row>
    <row r="1703" spans="1:48" ht="30" customHeight="1" x14ac:dyDescent="0.3">
      <c r="A1703" s="4" t="s">
        <v>3124</v>
      </c>
      <c r="B1703" s="4" t="s">
        <v>3133</v>
      </c>
      <c r="C1703" s="4" t="s">
        <v>106</v>
      </c>
      <c r="D1703" s="5">
        <v>3.141</v>
      </c>
      <c r="E1703" s="7">
        <f>TRUNC([1]단가대비표!O60,0)</f>
        <v>1270000</v>
      </c>
      <c r="F1703" s="7">
        <f t="shared" si="185"/>
        <v>3989070</v>
      </c>
      <c r="G1703" s="7">
        <f>TRUNC([1]단가대비표!P60,0)</f>
        <v>0</v>
      </c>
      <c r="H1703" s="7">
        <f t="shared" si="186"/>
        <v>0</v>
      </c>
      <c r="I1703" s="7">
        <f>TRUNC([1]단가대비표!V60,0)</f>
        <v>0</v>
      </c>
      <c r="J1703" s="7">
        <f t="shared" si="187"/>
        <v>0</v>
      </c>
      <c r="K1703" s="7">
        <f t="shared" si="188"/>
        <v>1270000</v>
      </c>
      <c r="L1703" s="7">
        <f t="shared" si="188"/>
        <v>3989070</v>
      </c>
      <c r="M1703" s="4" t="s">
        <v>3134</v>
      </c>
      <c r="N1703" s="6" t="s">
        <v>3135</v>
      </c>
      <c r="O1703" s="6" t="s">
        <v>55</v>
      </c>
      <c r="P1703" s="6" t="s">
        <v>55</v>
      </c>
      <c r="Q1703" s="6" t="s">
        <v>3123</v>
      </c>
      <c r="R1703" s="6" t="s">
        <v>56</v>
      </c>
      <c r="S1703" s="6" t="s">
        <v>56</v>
      </c>
      <c r="T1703" s="6" t="s">
        <v>57</v>
      </c>
      <c r="AR1703" s="6" t="s">
        <v>55</v>
      </c>
      <c r="AS1703" s="6" t="s">
        <v>55</v>
      </c>
      <c r="AU1703" s="6" t="s">
        <v>3136</v>
      </c>
      <c r="AV1703">
        <v>889</v>
      </c>
    </row>
    <row r="1704" spans="1:48" ht="30" customHeight="1" x14ac:dyDescent="0.3">
      <c r="A1704" s="4" t="s">
        <v>3124</v>
      </c>
      <c r="B1704" s="4" t="s">
        <v>3137</v>
      </c>
      <c r="C1704" s="4" t="s">
        <v>106</v>
      </c>
      <c r="D1704" s="5">
        <v>3.7349999999999999</v>
      </c>
      <c r="E1704" s="7">
        <f>TRUNC([1]단가대비표!O61,0)</f>
        <v>1309670</v>
      </c>
      <c r="F1704" s="7">
        <f t="shared" si="185"/>
        <v>4891617</v>
      </c>
      <c r="G1704" s="7">
        <f>TRUNC([1]단가대비표!P61,0)</f>
        <v>0</v>
      </c>
      <c r="H1704" s="7">
        <f t="shared" si="186"/>
        <v>0</v>
      </c>
      <c r="I1704" s="7">
        <f>TRUNC([1]단가대비표!V61,0)</f>
        <v>0</v>
      </c>
      <c r="J1704" s="7">
        <f t="shared" si="187"/>
        <v>0</v>
      </c>
      <c r="K1704" s="7">
        <f t="shared" si="188"/>
        <v>1309670</v>
      </c>
      <c r="L1704" s="7">
        <f t="shared" si="188"/>
        <v>4891617</v>
      </c>
      <c r="M1704" s="4" t="s">
        <v>55</v>
      </c>
      <c r="N1704" s="6" t="s">
        <v>3138</v>
      </c>
      <c r="O1704" s="6" t="s">
        <v>55</v>
      </c>
      <c r="P1704" s="6" t="s">
        <v>55</v>
      </c>
      <c r="Q1704" s="6" t="s">
        <v>3123</v>
      </c>
      <c r="R1704" s="6" t="s">
        <v>56</v>
      </c>
      <c r="S1704" s="6" t="s">
        <v>56</v>
      </c>
      <c r="T1704" s="6" t="s">
        <v>57</v>
      </c>
      <c r="AR1704" s="6" t="s">
        <v>55</v>
      </c>
      <c r="AS1704" s="6" t="s">
        <v>55</v>
      </c>
      <c r="AU1704" s="6" t="s">
        <v>3139</v>
      </c>
      <c r="AV1704">
        <v>890</v>
      </c>
    </row>
    <row r="1705" spans="1:48" ht="30" customHeight="1" x14ac:dyDescent="0.3">
      <c r="A1705" s="4" t="s">
        <v>359</v>
      </c>
      <c r="B1705" s="4" t="s">
        <v>3140</v>
      </c>
      <c r="C1705" s="4" t="s">
        <v>106</v>
      </c>
      <c r="D1705" s="5">
        <v>8.0000000000000002E-3</v>
      </c>
      <c r="E1705" s="7">
        <f>TRUNC([1]단가대비표!O64,0)</f>
        <v>1158300</v>
      </c>
      <c r="F1705" s="7">
        <f t="shared" si="185"/>
        <v>9266</v>
      </c>
      <c r="G1705" s="7">
        <f>TRUNC([1]단가대비표!P64,0)</f>
        <v>0</v>
      </c>
      <c r="H1705" s="7">
        <f t="shared" si="186"/>
        <v>0</v>
      </c>
      <c r="I1705" s="7">
        <f>TRUNC([1]단가대비표!V64,0)</f>
        <v>0</v>
      </c>
      <c r="J1705" s="7">
        <f t="shared" si="187"/>
        <v>0</v>
      </c>
      <c r="K1705" s="7">
        <f t="shared" si="188"/>
        <v>1158300</v>
      </c>
      <c r="L1705" s="7">
        <f t="shared" si="188"/>
        <v>9266</v>
      </c>
      <c r="M1705" s="4" t="s">
        <v>55</v>
      </c>
      <c r="N1705" s="6" t="s">
        <v>3141</v>
      </c>
      <c r="O1705" s="6" t="s">
        <v>55</v>
      </c>
      <c r="P1705" s="6" t="s">
        <v>55</v>
      </c>
      <c r="Q1705" s="6" t="s">
        <v>3123</v>
      </c>
      <c r="R1705" s="6" t="s">
        <v>56</v>
      </c>
      <c r="S1705" s="6" t="s">
        <v>56</v>
      </c>
      <c r="T1705" s="6" t="s">
        <v>57</v>
      </c>
      <c r="AR1705" s="6" t="s">
        <v>55</v>
      </c>
      <c r="AS1705" s="6" t="s">
        <v>55</v>
      </c>
      <c r="AU1705" s="6" t="s">
        <v>3142</v>
      </c>
      <c r="AV1705">
        <v>891</v>
      </c>
    </row>
    <row r="1706" spans="1:48" ht="30" customHeight="1" x14ac:dyDescent="0.3">
      <c r="A1706" s="4" t="s">
        <v>359</v>
      </c>
      <c r="B1706" s="4" t="s">
        <v>3143</v>
      </c>
      <c r="C1706" s="4" t="s">
        <v>106</v>
      </c>
      <c r="D1706" s="5">
        <v>0.18099999999999999</v>
      </c>
      <c r="E1706" s="7">
        <f>TRUNC([1]단가대비표!O65,0)</f>
        <v>1168893</v>
      </c>
      <c r="F1706" s="7">
        <f t="shared" si="185"/>
        <v>211569</v>
      </c>
      <c r="G1706" s="7">
        <f>TRUNC([1]단가대비표!P65,0)</f>
        <v>0</v>
      </c>
      <c r="H1706" s="7">
        <f t="shared" si="186"/>
        <v>0</v>
      </c>
      <c r="I1706" s="7">
        <f>TRUNC([1]단가대비표!V65,0)</f>
        <v>0</v>
      </c>
      <c r="J1706" s="7">
        <f t="shared" si="187"/>
        <v>0</v>
      </c>
      <c r="K1706" s="7">
        <f t="shared" si="188"/>
        <v>1168893</v>
      </c>
      <c r="L1706" s="7">
        <f t="shared" si="188"/>
        <v>211569</v>
      </c>
      <c r="M1706" s="4" t="s">
        <v>55</v>
      </c>
      <c r="N1706" s="6" t="s">
        <v>3144</v>
      </c>
      <c r="O1706" s="6" t="s">
        <v>55</v>
      </c>
      <c r="P1706" s="6" t="s">
        <v>55</v>
      </c>
      <c r="Q1706" s="6" t="s">
        <v>3123</v>
      </c>
      <c r="R1706" s="6" t="s">
        <v>56</v>
      </c>
      <c r="S1706" s="6" t="s">
        <v>56</v>
      </c>
      <c r="T1706" s="6" t="s">
        <v>57</v>
      </c>
      <c r="AR1706" s="6" t="s">
        <v>55</v>
      </c>
      <c r="AS1706" s="6" t="s">
        <v>55</v>
      </c>
      <c r="AU1706" s="6" t="s">
        <v>3145</v>
      </c>
      <c r="AV1706">
        <v>892</v>
      </c>
    </row>
    <row r="1707" spans="1:48" ht="30" customHeight="1" x14ac:dyDescent="0.3">
      <c r="A1707" s="4" t="s">
        <v>363</v>
      </c>
      <c r="B1707" s="4" t="s">
        <v>364</v>
      </c>
      <c r="C1707" s="4" t="s">
        <v>106</v>
      </c>
      <c r="D1707" s="5">
        <v>1.1399999999999999</v>
      </c>
      <c r="E1707" s="7">
        <f>TRUNC([1]단가대비표!O73,0)</f>
        <v>1236824</v>
      </c>
      <c r="F1707" s="7">
        <f t="shared" si="185"/>
        <v>1409979</v>
      </c>
      <c r="G1707" s="7">
        <f>TRUNC([1]단가대비표!P73,0)</f>
        <v>0</v>
      </c>
      <c r="H1707" s="7">
        <f t="shared" si="186"/>
        <v>0</v>
      </c>
      <c r="I1707" s="7">
        <f>TRUNC([1]단가대비표!V73,0)</f>
        <v>0</v>
      </c>
      <c r="J1707" s="7">
        <f t="shared" si="187"/>
        <v>0</v>
      </c>
      <c r="K1707" s="7">
        <f t="shared" si="188"/>
        <v>1236824</v>
      </c>
      <c r="L1707" s="7">
        <f t="shared" si="188"/>
        <v>1409979</v>
      </c>
      <c r="M1707" s="4" t="s">
        <v>55</v>
      </c>
      <c r="N1707" s="6" t="s">
        <v>3146</v>
      </c>
      <c r="O1707" s="6" t="s">
        <v>55</v>
      </c>
      <c r="P1707" s="6" t="s">
        <v>55</v>
      </c>
      <c r="Q1707" s="6" t="s">
        <v>3123</v>
      </c>
      <c r="R1707" s="6" t="s">
        <v>56</v>
      </c>
      <c r="S1707" s="6" t="s">
        <v>56</v>
      </c>
      <c r="T1707" s="6" t="s">
        <v>57</v>
      </c>
      <c r="AR1707" s="6" t="s">
        <v>55</v>
      </c>
      <c r="AS1707" s="6" t="s">
        <v>55</v>
      </c>
      <c r="AU1707" s="6" t="s">
        <v>3147</v>
      </c>
      <c r="AV1707">
        <v>893</v>
      </c>
    </row>
    <row r="1708" spans="1:48" ht="30" customHeight="1" x14ac:dyDescent="0.3">
      <c r="A1708" s="4" t="s">
        <v>367</v>
      </c>
      <c r="B1708" s="4" t="s">
        <v>368</v>
      </c>
      <c r="C1708" s="4" t="s">
        <v>369</v>
      </c>
      <c r="D1708" s="5">
        <v>415.12</v>
      </c>
      <c r="E1708" s="7">
        <f>TRUNC([1]단가대비표!O74,0)</f>
        <v>1543</v>
      </c>
      <c r="F1708" s="7">
        <f t="shared" si="185"/>
        <v>640530</v>
      </c>
      <c r="G1708" s="7">
        <f>TRUNC([1]단가대비표!P74,0)</f>
        <v>0</v>
      </c>
      <c r="H1708" s="7">
        <f t="shared" si="186"/>
        <v>0</v>
      </c>
      <c r="I1708" s="7">
        <f>TRUNC([1]단가대비표!V74,0)</f>
        <v>0</v>
      </c>
      <c r="J1708" s="7">
        <f t="shared" si="187"/>
        <v>0</v>
      </c>
      <c r="K1708" s="7">
        <f t="shared" si="188"/>
        <v>1543</v>
      </c>
      <c r="L1708" s="7">
        <f t="shared" si="188"/>
        <v>640530</v>
      </c>
      <c r="M1708" s="4" t="s">
        <v>55</v>
      </c>
      <c r="N1708" s="6" t="s">
        <v>3148</v>
      </c>
      <c r="O1708" s="6" t="s">
        <v>55</v>
      </c>
      <c r="P1708" s="6" t="s">
        <v>55</v>
      </c>
      <c r="Q1708" s="6" t="s">
        <v>3123</v>
      </c>
      <c r="R1708" s="6" t="s">
        <v>56</v>
      </c>
      <c r="S1708" s="6" t="s">
        <v>56</v>
      </c>
      <c r="T1708" s="6" t="s">
        <v>57</v>
      </c>
      <c r="AR1708" s="6" t="s">
        <v>55</v>
      </c>
      <c r="AS1708" s="6" t="s">
        <v>55</v>
      </c>
      <c r="AU1708" s="6" t="s">
        <v>3149</v>
      </c>
      <c r="AV1708">
        <v>894</v>
      </c>
    </row>
    <row r="1709" spans="1:48" ht="30" customHeight="1" x14ac:dyDescent="0.3">
      <c r="A1709" s="4" t="s">
        <v>381</v>
      </c>
      <c r="B1709" s="4" t="s">
        <v>3150</v>
      </c>
      <c r="C1709" s="4" t="s">
        <v>125</v>
      </c>
      <c r="D1709" s="5">
        <v>25.2</v>
      </c>
      <c r="E1709" s="7">
        <f>TRUNC([1]단가대비표!O156,0)</f>
        <v>7075</v>
      </c>
      <c r="F1709" s="7">
        <f t="shared" si="185"/>
        <v>178290</v>
      </c>
      <c r="G1709" s="7">
        <f>TRUNC([1]단가대비표!P156,0)</f>
        <v>0</v>
      </c>
      <c r="H1709" s="7">
        <f t="shared" si="186"/>
        <v>0</v>
      </c>
      <c r="I1709" s="7">
        <f>TRUNC([1]단가대비표!V156,0)</f>
        <v>0</v>
      </c>
      <c r="J1709" s="7">
        <f t="shared" si="187"/>
        <v>0</v>
      </c>
      <c r="K1709" s="7">
        <f t="shared" si="188"/>
        <v>7075</v>
      </c>
      <c r="L1709" s="7">
        <f t="shared" si="188"/>
        <v>178290</v>
      </c>
      <c r="M1709" s="4" t="s">
        <v>55</v>
      </c>
      <c r="N1709" s="6" t="s">
        <v>3151</v>
      </c>
      <c r="O1709" s="6" t="s">
        <v>55</v>
      </c>
      <c r="P1709" s="6" t="s">
        <v>55</v>
      </c>
      <c r="Q1709" s="6" t="s">
        <v>3123</v>
      </c>
      <c r="R1709" s="6" t="s">
        <v>56</v>
      </c>
      <c r="S1709" s="6" t="s">
        <v>56</v>
      </c>
      <c r="T1709" s="6" t="s">
        <v>57</v>
      </c>
      <c r="AR1709" s="6" t="s">
        <v>55</v>
      </c>
      <c r="AS1709" s="6" t="s">
        <v>55</v>
      </c>
      <c r="AU1709" s="6" t="s">
        <v>3152</v>
      </c>
      <c r="AV1709">
        <v>895</v>
      </c>
    </row>
    <row r="1710" spans="1:48" ht="30" customHeight="1" x14ac:dyDescent="0.3">
      <c r="A1710" s="4" t="s">
        <v>385</v>
      </c>
      <c r="B1710" s="4" t="s">
        <v>3153</v>
      </c>
      <c r="C1710" s="4" t="s">
        <v>125</v>
      </c>
      <c r="D1710" s="5">
        <v>24</v>
      </c>
      <c r="E1710" s="7">
        <f>TRUNC([1]일위대가목록!E235,0)</f>
        <v>872</v>
      </c>
      <c r="F1710" s="7">
        <f t="shared" si="185"/>
        <v>20928</v>
      </c>
      <c r="G1710" s="7">
        <f>TRUNC([1]일위대가목록!F235,0)</f>
        <v>42706</v>
      </c>
      <c r="H1710" s="7">
        <f t="shared" si="186"/>
        <v>1024944</v>
      </c>
      <c r="I1710" s="7">
        <f>TRUNC([1]일위대가목록!G235,0)</f>
        <v>0</v>
      </c>
      <c r="J1710" s="7">
        <f t="shared" si="187"/>
        <v>0</v>
      </c>
      <c r="K1710" s="7">
        <f t="shared" si="188"/>
        <v>43578</v>
      </c>
      <c r="L1710" s="7">
        <f t="shared" si="188"/>
        <v>1045872</v>
      </c>
      <c r="M1710" s="4" t="s">
        <v>3154</v>
      </c>
      <c r="N1710" s="6" t="s">
        <v>3155</v>
      </c>
      <c r="O1710" s="6" t="s">
        <v>55</v>
      </c>
      <c r="P1710" s="6" t="s">
        <v>55</v>
      </c>
      <c r="Q1710" s="6" t="s">
        <v>3123</v>
      </c>
      <c r="R1710" s="6" t="s">
        <v>57</v>
      </c>
      <c r="S1710" s="6" t="s">
        <v>56</v>
      </c>
      <c r="T1710" s="6" t="s">
        <v>56</v>
      </c>
      <c r="AR1710" s="6" t="s">
        <v>55</v>
      </c>
      <c r="AS1710" s="6" t="s">
        <v>55</v>
      </c>
      <c r="AU1710" s="6" t="s">
        <v>3156</v>
      </c>
      <c r="AV1710">
        <v>2704</v>
      </c>
    </row>
    <row r="1711" spans="1:48" ht="30" customHeight="1" x14ac:dyDescent="0.3">
      <c r="A1711" s="4" t="s">
        <v>390</v>
      </c>
      <c r="B1711" s="4" t="s">
        <v>391</v>
      </c>
      <c r="C1711" s="4" t="s">
        <v>106</v>
      </c>
      <c r="D1711" s="5">
        <v>11.414999999999999</v>
      </c>
      <c r="E1711" s="7">
        <f>TRUNC([1]일위대가목록!E31,0)</f>
        <v>37959</v>
      </c>
      <c r="F1711" s="7">
        <f t="shared" si="185"/>
        <v>433301</v>
      </c>
      <c r="G1711" s="7">
        <f>TRUNC([1]일위대가목록!F31,0)</f>
        <v>377460</v>
      </c>
      <c r="H1711" s="7">
        <f t="shared" si="186"/>
        <v>4308705</v>
      </c>
      <c r="I1711" s="7">
        <f>TRUNC([1]일위대가목록!G31,0)</f>
        <v>226476</v>
      </c>
      <c r="J1711" s="7">
        <f t="shared" si="187"/>
        <v>2585223</v>
      </c>
      <c r="K1711" s="7">
        <f t="shared" si="188"/>
        <v>641895</v>
      </c>
      <c r="L1711" s="7">
        <f t="shared" si="188"/>
        <v>7327229</v>
      </c>
      <c r="M1711" s="4" t="s">
        <v>392</v>
      </c>
      <c r="N1711" s="6" t="s">
        <v>393</v>
      </c>
      <c r="O1711" s="6" t="s">
        <v>55</v>
      </c>
      <c r="P1711" s="6" t="s">
        <v>55</v>
      </c>
      <c r="Q1711" s="6" t="s">
        <v>3123</v>
      </c>
      <c r="R1711" s="6" t="s">
        <v>57</v>
      </c>
      <c r="S1711" s="6" t="s">
        <v>56</v>
      </c>
      <c r="T1711" s="6" t="s">
        <v>56</v>
      </c>
      <c r="AR1711" s="6" t="s">
        <v>55</v>
      </c>
      <c r="AS1711" s="6" t="s">
        <v>55</v>
      </c>
      <c r="AU1711" s="6" t="s">
        <v>3157</v>
      </c>
      <c r="AV1711">
        <v>898</v>
      </c>
    </row>
    <row r="1712" spans="1:48" ht="30" customHeight="1" x14ac:dyDescent="0.3">
      <c r="A1712" s="4" t="s">
        <v>399</v>
      </c>
      <c r="B1712" s="4" t="s">
        <v>400</v>
      </c>
      <c r="C1712" s="4" t="s">
        <v>401</v>
      </c>
      <c r="D1712" s="5">
        <v>11.414999999999999</v>
      </c>
      <c r="E1712" s="7">
        <f>TRUNC([1]단가대비표!O218,0)</f>
        <v>2517</v>
      </c>
      <c r="F1712" s="7">
        <f t="shared" si="185"/>
        <v>28731</v>
      </c>
      <c r="G1712" s="7">
        <f>TRUNC([1]단가대비표!P218,0)</f>
        <v>123315</v>
      </c>
      <c r="H1712" s="7">
        <f t="shared" si="186"/>
        <v>1407640</v>
      </c>
      <c r="I1712" s="7">
        <f>TRUNC([1]단가대비표!V218,0)</f>
        <v>0</v>
      </c>
      <c r="J1712" s="7">
        <f t="shared" si="187"/>
        <v>0</v>
      </c>
      <c r="K1712" s="7">
        <f t="shared" si="188"/>
        <v>125832</v>
      </c>
      <c r="L1712" s="7">
        <f t="shared" si="188"/>
        <v>1436371</v>
      </c>
      <c r="M1712" s="4" t="s">
        <v>246</v>
      </c>
      <c r="N1712" s="6" t="s">
        <v>402</v>
      </c>
      <c r="O1712" s="6" t="s">
        <v>55</v>
      </c>
      <c r="P1712" s="6" t="s">
        <v>55</v>
      </c>
      <c r="Q1712" s="6" t="s">
        <v>3123</v>
      </c>
      <c r="R1712" s="6" t="s">
        <v>56</v>
      </c>
      <c r="S1712" s="6" t="s">
        <v>56</v>
      </c>
      <c r="T1712" s="6" t="s">
        <v>57</v>
      </c>
      <c r="AR1712" s="6" t="s">
        <v>55</v>
      </c>
      <c r="AS1712" s="6" t="s">
        <v>55</v>
      </c>
      <c r="AU1712" s="6" t="s">
        <v>3158</v>
      </c>
      <c r="AV1712">
        <v>3173</v>
      </c>
    </row>
    <row r="1713" spans="1:48" ht="30" customHeight="1" x14ac:dyDescent="0.3">
      <c r="A1713" s="4" t="s">
        <v>404</v>
      </c>
      <c r="B1713" s="4" t="s">
        <v>405</v>
      </c>
      <c r="C1713" s="4" t="s">
        <v>106</v>
      </c>
      <c r="D1713" s="5">
        <v>11.414999999999999</v>
      </c>
      <c r="E1713" s="7">
        <f>TRUNC([1]일위대가목록!E33,0)</f>
        <v>3383</v>
      </c>
      <c r="F1713" s="7">
        <f t="shared" si="185"/>
        <v>38616</v>
      </c>
      <c r="G1713" s="7">
        <f>TRUNC([1]일위대가목록!F33,0)</f>
        <v>109353</v>
      </c>
      <c r="H1713" s="7">
        <f t="shared" si="186"/>
        <v>1248264</v>
      </c>
      <c r="I1713" s="7">
        <f>TRUNC([1]일위대가목록!G33,0)</f>
        <v>0</v>
      </c>
      <c r="J1713" s="7">
        <f t="shared" si="187"/>
        <v>0</v>
      </c>
      <c r="K1713" s="7">
        <f t="shared" si="188"/>
        <v>112736</v>
      </c>
      <c r="L1713" s="7">
        <f t="shared" si="188"/>
        <v>1286880</v>
      </c>
      <c r="M1713" s="4" t="s">
        <v>406</v>
      </c>
      <c r="N1713" s="6" t="s">
        <v>407</v>
      </c>
      <c r="O1713" s="6" t="s">
        <v>55</v>
      </c>
      <c r="P1713" s="6" t="s">
        <v>55</v>
      </c>
      <c r="Q1713" s="6" t="s">
        <v>3123</v>
      </c>
      <c r="R1713" s="6" t="s">
        <v>57</v>
      </c>
      <c r="S1713" s="6" t="s">
        <v>56</v>
      </c>
      <c r="T1713" s="6" t="s">
        <v>56</v>
      </c>
      <c r="AR1713" s="6" t="s">
        <v>55</v>
      </c>
      <c r="AS1713" s="6" t="s">
        <v>55</v>
      </c>
      <c r="AU1713" s="6" t="s">
        <v>3159</v>
      </c>
      <c r="AV1713">
        <v>2706</v>
      </c>
    </row>
    <row r="1714" spans="1:48" ht="30" customHeight="1" x14ac:dyDescent="0.3">
      <c r="A1714" s="4" t="s">
        <v>409</v>
      </c>
      <c r="B1714" s="4" t="s">
        <v>410</v>
      </c>
      <c r="C1714" s="4" t="s">
        <v>61</v>
      </c>
      <c r="D1714" s="5">
        <v>190</v>
      </c>
      <c r="E1714" s="7">
        <f>TRUNC([1]일위대가목록!E236,0)</f>
        <v>1123</v>
      </c>
      <c r="F1714" s="7">
        <f t="shared" si="185"/>
        <v>213370</v>
      </c>
      <c r="G1714" s="7">
        <f>TRUNC([1]일위대가목록!F236,0)</f>
        <v>3146</v>
      </c>
      <c r="H1714" s="7">
        <f t="shared" si="186"/>
        <v>597740</v>
      </c>
      <c r="I1714" s="7">
        <f>TRUNC([1]일위대가목록!G236,0)</f>
        <v>119</v>
      </c>
      <c r="J1714" s="7">
        <f t="shared" si="187"/>
        <v>22610</v>
      </c>
      <c r="K1714" s="7">
        <f t="shared" si="188"/>
        <v>4388</v>
      </c>
      <c r="L1714" s="7">
        <f t="shared" si="188"/>
        <v>833720</v>
      </c>
      <c r="M1714" s="4" t="s">
        <v>3160</v>
      </c>
      <c r="N1714" s="6" t="s">
        <v>3161</v>
      </c>
      <c r="O1714" s="6" t="s">
        <v>55</v>
      </c>
      <c r="P1714" s="6" t="s">
        <v>55</v>
      </c>
      <c r="Q1714" s="6" t="s">
        <v>3123</v>
      </c>
      <c r="R1714" s="6" t="s">
        <v>57</v>
      </c>
      <c r="S1714" s="6" t="s">
        <v>56</v>
      </c>
      <c r="T1714" s="6" t="s">
        <v>56</v>
      </c>
      <c r="AR1714" s="6" t="s">
        <v>55</v>
      </c>
      <c r="AS1714" s="6" t="s">
        <v>55</v>
      </c>
      <c r="AU1714" s="6" t="s">
        <v>3162</v>
      </c>
      <c r="AV1714">
        <v>2896</v>
      </c>
    </row>
    <row r="1715" spans="1:48" ht="30" customHeight="1" x14ac:dyDescent="0.3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</row>
    <row r="1716" spans="1:48" ht="30" customHeight="1" x14ac:dyDescent="0.3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</row>
    <row r="1717" spans="1:48" ht="30" customHeight="1" x14ac:dyDescent="0.3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</row>
    <row r="1718" spans="1:48" ht="30" customHeight="1" x14ac:dyDescent="0.3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</row>
    <row r="1719" spans="1:48" ht="30" customHeight="1" x14ac:dyDescent="0.3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</row>
    <row r="1720" spans="1:48" ht="30" customHeight="1" x14ac:dyDescent="0.3">
      <c r="A1720" s="4" t="s">
        <v>128</v>
      </c>
      <c r="B1720" s="5"/>
      <c r="C1720" s="5"/>
      <c r="D1720" s="5"/>
      <c r="E1720" s="5"/>
      <c r="F1720" s="7">
        <f>SUM(F1701:F1719)</f>
        <v>17193527</v>
      </c>
      <c r="G1720" s="5"/>
      <c r="H1720" s="7">
        <f>SUM(H1701:H1719)</f>
        <v>8587293</v>
      </c>
      <c r="I1720" s="5"/>
      <c r="J1720" s="7">
        <f>SUM(J1701:J1719)</f>
        <v>2607833</v>
      </c>
      <c r="K1720" s="5"/>
      <c r="L1720" s="7">
        <f>SUM(L1701:L1719)</f>
        <v>28388653</v>
      </c>
      <c r="M1720" s="5"/>
      <c r="N1720" t="s">
        <v>129</v>
      </c>
    </row>
    <row r="1721" spans="1:48" ht="30" customHeight="1" x14ac:dyDescent="0.3">
      <c r="A1721" s="4" t="s">
        <v>3163</v>
      </c>
      <c r="B1721" s="4" t="s">
        <v>3071</v>
      </c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Q1721" s="6" t="s">
        <v>3164</v>
      </c>
    </row>
    <row r="1722" spans="1:48" ht="30" customHeight="1" x14ac:dyDescent="0.3">
      <c r="A1722" s="4" t="s">
        <v>416</v>
      </c>
      <c r="B1722" s="4" t="s">
        <v>421</v>
      </c>
      <c r="C1722" s="4" t="s">
        <v>61</v>
      </c>
      <c r="D1722" s="5">
        <v>16</v>
      </c>
      <c r="E1722" s="7">
        <f>TRUNC([1]일위대가목록!E36,0)</f>
        <v>645</v>
      </c>
      <c r="F1722" s="7">
        <f>TRUNC(E1722*D1722, 0)</f>
        <v>10320</v>
      </c>
      <c r="G1722" s="7">
        <f>TRUNC([1]일위대가목록!F36,0)</f>
        <v>34301</v>
      </c>
      <c r="H1722" s="7">
        <f>TRUNC(G1722*D1722, 0)</f>
        <v>548816</v>
      </c>
      <c r="I1722" s="7">
        <f>TRUNC([1]일위대가목록!G36,0)</f>
        <v>0</v>
      </c>
      <c r="J1722" s="7">
        <f>TRUNC(I1722*D1722, 0)</f>
        <v>0</v>
      </c>
      <c r="K1722" s="7">
        <f t="shared" ref="K1722:L1724" si="189">TRUNC(E1722+G1722+I1722, 0)</f>
        <v>34946</v>
      </c>
      <c r="L1722" s="7">
        <f t="shared" si="189"/>
        <v>559136</v>
      </c>
      <c r="M1722" s="4" t="s">
        <v>422</v>
      </c>
      <c r="N1722" s="6" t="s">
        <v>423</v>
      </c>
      <c r="O1722" s="6" t="s">
        <v>55</v>
      </c>
      <c r="P1722" s="6" t="s">
        <v>55</v>
      </c>
      <c r="Q1722" s="6" t="s">
        <v>3164</v>
      </c>
      <c r="R1722" s="6" t="s">
        <v>57</v>
      </c>
      <c r="S1722" s="6" t="s">
        <v>56</v>
      </c>
      <c r="T1722" s="6" t="s">
        <v>56</v>
      </c>
      <c r="AR1722" s="6" t="s">
        <v>55</v>
      </c>
      <c r="AS1722" s="6" t="s">
        <v>55</v>
      </c>
      <c r="AU1722" s="6" t="s">
        <v>3165</v>
      </c>
      <c r="AV1722">
        <v>2707</v>
      </c>
    </row>
    <row r="1723" spans="1:48" ht="30" customHeight="1" x14ac:dyDescent="0.3">
      <c r="A1723" s="4" t="s">
        <v>438</v>
      </c>
      <c r="B1723" s="4" t="s">
        <v>439</v>
      </c>
      <c r="C1723" s="4" t="s">
        <v>269</v>
      </c>
      <c r="D1723" s="5">
        <v>2</v>
      </c>
      <c r="E1723" s="7">
        <f>TRUNC([1]일위대가목록!E40,0)</f>
        <v>9831</v>
      </c>
      <c r="F1723" s="7">
        <f>TRUNC(E1723*D1723, 0)</f>
        <v>19662</v>
      </c>
      <c r="G1723" s="7">
        <f>TRUNC([1]일위대가목록!F40,0)</f>
        <v>39872</v>
      </c>
      <c r="H1723" s="7">
        <f>TRUNC(G1723*D1723, 0)</f>
        <v>79744</v>
      </c>
      <c r="I1723" s="7">
        <f>TRUNC([1]일위대가목록!G40,0)</f>
        <v>572</v>
      </c>
      <c r="J1723" s="7">
        <f>TRUNC(I1723*D1723, 0)</f>
        <v>1144</v>
      </c>
      <c r="K1723" s="7">
        <f t="shared" si="189"/>
        <v>50275</v>
      </c>
      <c r="L1723" s="7">
        <f t="shared" si="189"/>
        <v>100550</v>
      </c>
      <c r="M1723" s="4" t="s">
        <v>440</v>
      </c>
      <c r="N1723" s="6" t="s">
        <v>441</v>
      </c>
      <c r="O1723" s="6" t="s">
        <v>55</v>
      </c>
      <c r="P1723" s="6" t="s">
        <v>55</v>
      </c>
      <c r="Q1723" s="6" t="s">
        <v>3164</v>
      </c>
      <c r="R1723" s="6" t="s">
        <v>57</v>
      </c>
      <c r="S1723" s="6" t="s">
        <v>56</v>
      </c>
      <c r="T1723" s="6" t="s">
        <v>56</v>
      </c>
      <c r="AR1723" s="6" t="s">
        <v>55</v>
      </c>
      <c r="AS1723" s="6" t="s">
        <v>55</v>
      </c>
      <c r="AU1723" s="6" t="s">
        <v>3166</v>
      </c>
      <c r="AV1723">
        <v>911</v>
      </c>
    </row>
    <row r="1724" spans="1:48" ht="30" customHeight="1" x14ac:dyDescent="0.3">
      <c r="A1724" s="4" t="s">
        <v>447</v>
      </c>
      <c r="B1724" s="4" t="s">
        <v>448</v>
      </c>
      <c r="C1724" s="4" t="s">
        <v>269</v>
      </c>
      <c r="D1724" s="5">
        <v>4</v>
      </c>
      <c r="E1724" s="7">
        <f>TRUNC([1]일위대가목록!E42,0)</f>
        <v>2744</v>
      </c>
      <c r="F1724" s="7">
        <f>TRUNC(E1724*D1724, 0)</f>
        <v>10976</v>
      </c>
      <c r="G1724" s="7">
        <f>TRUNC([1]일위대가목록!F42,0)</f>
        <v>8857</v>
      </c>
      <c r="H1724" s="7">
        <f>TRUNC(G1724*D1724, 0)</f>
        <v>35428</v>
      </c>
      <c r="I1724" s="7">
        <f>TRUNC([1]일위대가목록!G42,0)</f>
        <v>115</v>
      </c>
      <c r="J1724" s="7">
        <f>TRUNC(I1724*D1724, 0)</f>
        <v>460</v>
      </c>
      <c r="K1724" s="7">
        <f t="shared" si="189"/>
        <v>11716</v>
      </c>
      <c r="L1724" s="7">
        <f t="shared" si="189"/>
        <v>46864</v>
      </c>
      <c r="M1724" s="4" t="s">
        <v>449</v>
      </c>
      <c r="N1724" s="6" t="s">
        <v>450</v>
      </c>
      <c r="O1724" s="6" t="s">
        <v>55</v>
      </c>
      <c r="P1724" s="6" t="s">
        <v>55</v>
      </c>
      <c r="Q1724" s="6" t="s">
        <v>3164</v>
      </c>
      <c r="R1724" s="6" t="s">
        <v>57</v>
      </c>
      <c r="S1724" s="6" t="s">
        <v>56</v>
      </c>
      <c r="T1724" s="6" t="s">
        <v>56</v>
      </c>
      <c r="AR1724" s="6" t="s">
        <v>55</v>
      </c>
      <c r="AS1724" s="6" t="s">
        <v>55</v>
      </c>
      <c r="AU1724" s="6" t="s">
        <v>3167</v>
      </c>
      <c r="AV1724">
        <v>912</v>
      </c>
    </row>
    <row r="1725" spans="1:48" ht="30" customHeight="1" x14ac:dyDescent="0.3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</row>
    <row r="1726" spans="1:48" ht="30" customHeight="1" x14ac:dyDescent="0.3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</row>
    <row r="1727" spans="1:48" ht="30" customHeight="1" x14ac:dyDescent="0.3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</row>
    <row r="1728" spans="1:48" ht="30" customHeight="1" x14ac:dyDescent="0.3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</row>
    <row r="1729" spans="1:48" ht="30" customHeight="1" x14ac:dyDescent="0.3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</row>
    <row r="1730" spans="1:48" ht="30" customHeight="1" x14ac:dyDescent="0.3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</row>
    <row r="1731" spans="1:48" ht="30" customHeight="1" x14ac:dyDescent="0.3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</row>
    <row r="1732" spans="1:48" ht="30" customHeight="1" x14ac:dyDescent="0.3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</row>
    <row r="1733" spans="1:48" ht="30" customHeight="1" x14ac:dyDescent="0.3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</row>
    <row r="1734" spans="1:48" ht="30" customHeight="1" x14ac:dyDescent="0.3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</row>
    <row r="1735" spans="1:48" ht="30" customHeight="1" x14ac:dyDescent="0.3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</row>
    <row r="1736" spans="1:48" ht="30" customHeight="1" x14ac:dyDescent="0.3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</row>
    <row r="1737" spans="1:48" ht="30" customHeight="1" x14ac:dyDescent="0.3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</row>
    <row r="1738" spans="1:48" ht="30" customHeight="1" x14ac:dyDescent="0.3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</row>
    <row r="1739" spans="1:48" ht="30" customHeight="1" x14ac:dyDescent="0.3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</row>
    <row r="1740" spans="1:48" ht="30" customHeight="1" x14ac:dyDescent="0.3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</row>
    <row r="1741" spans="1:48" ht="30" customHeight="1" x14ac:dyDescent="0.3">
      <c r="A1741" s="4" t="s">
        <v>128</v>
      </c>
      <c r="B1741" s="5"/>
      <c r="C1741" s="5"/>
      <c r="D1741" s="5"/>
      <c r="E1741" s="5"/>
      <c r="F1741" s="7">
        <f>SUM(F1722:F1740)</f>
        <v>40958</v>
      </c>
      <c r="G1741" s="5"/>
      <c r="H1741" s="7">
        <f>SUM(H1722:H1740)</f>
        <v>663988</v>
      </c>
      <c r="I1741" s="5"/>
      <c r="J1741" s="7">
        <f>SUM(J1722:J1740)</f>
        <v>1604</v>
      </c>
      <c r="K1741" s="5"/>
      <c r="L1741" s="7">
        <f>SUM(L1722:L1740)</f>
        <v>706550</v>
      </c>
      <c r="M1741" s="5"/>
      <c r="N1741" t="s">
        <v>129</v>
      </c>
    </row>
    <row r="1742" spans="1:48" ht="30" customHeight="1" x14ac:dyDescent="0.3">
      <c r="A1742" s="4" t="s">
        <v>3168</v>
      </c>
      <c r="B1742" s="4" t="s">
        <v>3071</v>
      </c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Q1742" s="6" t="s">
        <v>3169</v>
      </c>
    </row>
    <row r="1743" spans="1:48" ht="30" customHeight="1" x14ac:dyDescent="0.3">
      <c r="A1743" s="4" t="s">
        <v>521</v>
      </c>
      <c r="B1743" s="4" t="s">
        <v>522</v>
      </c>
      <c r="C1743" s="4" t="s">
        <v>61</v>
      </c>
      <c r="D1743" s="5">
        <v>3</v>
      </c>
      <c r="E1743" s="7">
        <f>TRUNC([1]단가대비표!O108,0)</f>
        <v>10800</v>
      </c>
      <c r="F1743" s="7">
        <f>TRUNC(E1743*D1743, 0)</f>
        <v>32400</v>
      </c>
      <c r="G1743" s="7">
        <f>TRUNC([1]단가대비표!P108,0)</f>
        <v>0</v>
      </c>
      <c r="H1743" s="7">
        <f>TRUNC(G1743*D1743, 0)</f>
        <v>0</v>
      </c>
      <c r="I1743" s="7">
        <f>TRUNC([1]단가대비표!V108,0)</f>
        <v>0</v>
      </c>
      <c r="J1743" s="7">
        <f>TRUNC(I1743*D1743, 0)</f>
        <v>0</v>
      </c>
      <c r="K1743" s="7">
        <f t="shared" ref="K1743:L1747" si="190">TRUNC(E1743+G1743+I1743, 0)</f>
        <v>10800</v>
      </c>
      <c r="L1743" s="7">
        <f t="shared" si="190"/>
        <v>32400</v>
      </c>
      <c r="M1743" s="4" t="s">
        <v>55</v>
      </c>
      <c r="N1743" s="6" t="s">
        <v>523</v>
      </c>
      <c r="O1743" s="6" t="s">
        <v>55</v>
      </c>
      <c r="P1743" s="6" t="s">
        <v>55</v>
      </c>
      <c r="Q1743" s="6" t="s">
        <v>3169</v>
      </c>
      <c r="R1743" s="6" t="s">
        <v>56</v>
      </c>
      <c r="S1743" s="6" t="s">
        <v>56</v>
      </c>
      <c r="T1743" s="6" t="s">
        <v>57</v>
      </c>
      <c r="AR1743" s="6" t="s">
        <v>55</v>
      </c>
      <c r="AS1743" s="6" t="s">
        <v>55</v>
      </c>
      <c r="AU1743" s="6" t="s">
        <v>3170</v>
      </c>
      <c r="AV1743">
        <v>917</v>
      </c>
    </row>
    <row r="1744" spans="1:48" ht="30" customHeight="1" x14ac:dyDescent="0.3">
      <c r="A1744" s="4" t="s">
        <v>528</v>
      </c>
      <c r="B1744" s="4" t="s">
        <v>529</v>
      </c>
      <c r="C1744" s="4" t="s">
        <v>61</v>
      </c>
      <c r="D1744" s="5">
        <v>14</v>
      </c>
      <c r="E1744" s="7">
        <f>TRUNC([1]일위대가목록!E55,0)</f>
        <v>0</v>
      </c>
      <c r="F1744" s="7">
        <f>TRUNC(E1744*D1744, 0)</f>
        <v>0</v>
      </c>
      <c r="G1744" s="7">
        <f>TRUNC([1]일위대가목록!F55,0)</f>
        <v>24112</v>
      </c>
      <c r="H1744" s="7">
        <f>TRUNC(G1744*D1744, 0)</f>
        <v>337568</v>
      </c>
      <c r="I1744" s="7">
        <f>TRUNC([1]일위대가목록!G55,0)</f>
        <v>447</v>
      </c>
      <c r="J1744" s="7">
        <f>TRUNC(I1744*D1744, 0)</f>
        <v>6258</v>
      </c>
      <c r="K1744" s="7">
        <f t="shared" si="190"/>
        <v>24559</v>
      </c>
      <c r="L1744" s="7">
        <f t="shared" si="190"/>
        <v>343826</v>
      </c>
      <c r="M1744" s="4" t="s">
        <v>530</v>
      </c>
      <c r="N1744" s="6" t="s">
        <v>531</v>
      </c>
      <c r="O1744" s="6" t="s">
        <v>55</v>
      </c>
      <c r="P1744" s="6" t="s">
        <v>55</v>
      </c>
      <c r="Q1744" s="6" t="s">
        <v>3169</v>
      </c>
      <c r="R1744" s="6" t="s">
        <v>57</v>
      </c>
      <c r="S1744" s="6" t="s">
        <v>56</v>
      </c>
      <c r="T1744" s="6" t="s">
        <v>56</v>
      </c>
      <c r="AR1744" s="6" t="s">
        <v>55</v>
      </c>
      <c r="AS1744" s="6" t="s">
        <v>55</v>
      </c>
      <c r="AU1744" s="6" t="s">
        <v>3171</v>
      </c>
      <c r="AV1744">
        <v>3174</v>
      </c>
    </row>
    <row r="1745" spans="1:48" ht="30" customHeight="1" x14ac:dyDescent="0.3">
      <c r="A1745" s="4" t="s">
        <v>528</v>
      </c>
      <c r="B1745" s="4" t="s">
        <v>557</v>
      </c>
      <c r="C1745" s="4" t="s">
        <v>61</v>
      </c>
      <c r="D1745" s="5">
        <v>3</v>
      </c>
      <c r="E1745" s="7">
        <f>TRUNC([1]일위대가목록!E62,0)</f>
        <v>0</v>
      </c>
      <c r="F1745" s="7">
        <f>TRUNC(E1745*D1745, 0)</f>
        <v>0</v>
      </c>
      <c r="G1745" s="7">
        <f>TRUNC([1]일위대가목록!F62,0)</f>
        <v>16508</v>
      </c>
      <c r="H1745" s="7">
        <f>TRUNC(G1745*D1745, 0)</f>
        <v>49524</v>
      </c>
      <c r="I1745" s="7">
        <f>TRUNC([1]일위대가목록!G62,0)</f>
        <v>214</v>
      </c>
      <c r="J1745" s="7">
        <f>TRUNC(I1745*D1745, 0)</f>
        <v>642</v>
      </c>
      <c r="K1745" s="7">
        <f t="shared" si="190"/>
        <v>16722</v>
      </c>
      <c r="L1745" s="7">
        <f t="shared" si="190"/>
        <v>50166</v>
      </c>
      <c r="M1745" s="4" t="s">
        <v>558</v>
      </c>
      <c r="N1745" s="6" t="s">
        <v>559</v>
      </c>
      <c r="O1745" s="6" t="s">
        <v>55</v>
      </c>
      <c r="P1745" s="6" t="s">
        <v>55</v>
      </c>
      <c r="Q1745" s="6" t="s">
        <v>3169</v>
      </c>
      <c r="R1745" s="6" t="s">
        <v>57</v>
      </c>
      <c r="S1745" s="6" t="s">
        <v>56</v>
      </c>
      <c r="T1745" s="6" t="s">
        <v>56</v>
      </c>
      <c r="AR1745" s="6" t="s">
        <v>55</v>
      </c>
      <c r="AS1745" s="6" t="s">
        <v>55</v>
      </c>
      <c r="AU1745" s="6" t="s">
        <v>3172</v>
      </c>
      <c r="AV1745">
        <v>3175</v>
      </c>
    </row>
    <row r="1746" spans="1:48" ht="30" customHeight="1" x14ac:dyDescent="0.3">
      <c r="A1746" s="4" t="s">
        <v>569</v>
      </c>
      <c r="B1746" s="4" t="s">
        <v>570</v>
      </c>
      <c r="C1746" s="4" t="s">
        <v>140</v>
      </c>
      <c r="D1746" s="5">
        <v>14</v>
      </c>
      <c r="E1746" s="7">
        <f>TRUNC([1]단가대비표!O249,0)</f>
        <v>1079</v>
      </c>
      <c r="F1746" s="7">
        <f>TRUNC(E1746*D1746, 0)</f>
        <v>15106</v>
      </c>
      <c r="G1746" s="7">
        <f>TRUNC([1]단가대비표!P249,0)</f>
        <v>34877</v>
      </c>
      <c r="H1746" s="7">
        <f>TRUNC(G1746*D1746, 0)</f>
        <v>488278</v>
      </c>
      <c r="I1746" s="7">
        <f>TRUNC([1]단가대비표!V249,0)</f>
        <v>0</v>
      </c>
      <c r="J1746" s="7">
        <f>TRUNC(I1746*D1746, 0)</f>
        <v>0</v>
      </c>
      <c r="K1746" s="7">
        <f t="shared" si="190"/>
        <v>35956</v>
      </c>
      <c r="L1746" s="7">
        <f t="shared" si="190"/>
        <v>503384</v>
      </c>
      <c r="M1746" s="4" t="s">
        <v>141</v>
      </c>
      <c r="N1746" s="6" t="s">
        <v>571</v>
      </c>
      <c r="O1746" s="6" t="s">
        <v>55</v>
      </c>
      <c r="P1746" s="6" t="s">
        <v>55</v>
      </c>
      <c r="Q1746" s="6" t="s">
        <v>3169</v>
      </c>
      <c r="R1746" s="6" t="s">
        <v>56</v>
      </c>
      <c r="S1746" s="6" t="s">
        <v>56</v>
      </c>
      <c r="T1746" s="6" t="s">
        <v>57</v>
      </c>
      <c r="AR1746" s="6" t="s">
        <v>55</v>
      </c>
      <c r="AS1746" s="6" t="s">
        <v>55</v>
      </c>
      <c r="AU1746" s="6" t="s">
        <v>3173</v>
      </c>
      <c r="AV1746">
        <v>3176</v>
      </c>
    </row>
    <row r="1747" spans="1:48" ht="30" customHeight="1" x14ac:dyDescent="0.3">
      <c r="A1747" s="4" t="s">
        <v>573</v>
      </c>
      <c r="B1747" s="4" t="s">
        <v>570</v>
      </c>
      <c r="C1747" s="4" t="s">
        <v>140</v>
      </c>
      <c r="D1747" s="5">
        <v>3</v>
      </c>
      <c r="E1747" s="7">
        <f>TRUNC([1]단가대비표!O252,0)</f>
        <v>888</v>
      </c>
      <c r="F1747" s="7">
        <f>TRUNC(E1747*D1747, 0)</f>
        <v>2664</v>
      </c>
      <c r="G1747" s="7">
        <f>TRUNC([1]단가대비표!P252,0)</f>
        <v>28692</v>
      </c>
      <c r="H1747" s="7">
        <f>TRUNC(G1747*D1747, 0)</f>
        <v>86076</v>
      </c>
      <c r="I1747" s="7">
        <f>TRUNC([1]단가대비표!V252,0)</f>
        <v>0</v>
      </c>
      <c r="J1747" s="7">
        <f>TRUNC(I1747*D1747, 0)</f>
        <v>0</v>
      </c>
      <c r="K1747" s="7">
        <f t="shared" si="190"/>
        <v>29580</v>
      </c>
      <c r="L1747" s="7">
        <f t="shared" si="190"/>
        <v>88740</v>
      </c>
      <c r="M1747" s="4" t="s">
        <v>141</v>
      </c>
      <c r="N1747" s="6" t="s">
        <v>574</v>
      </c>
      <c r="O1747" s="6" t="s">
        <v>55</v>
      </c>
      <c r="P1747" s="6" t="s">
        <v>55</v>
      </c>
      <c r="Q1747" s="6" t="s">
        <v>3169</v>
      </c>
      <c r="R1747" s="6" t="s">
        <v>56</v>
      </c>
      <c r="S1747" s="6" t="s">
        <v>56</v>
      </c>
      <c r="T1747" s="6" t="s">
        <v>57</v>
      </c>
      <c r="AR1747" s="6" t="s">
        <v>55</v>
      </c>
      <c r="AS1747" s="6" t="s">
        <v>55</v>
      </c>
      <c r="AU1747" s="6" t="s">
        <v>3174</v>
      </c>
      <c r="AV1747">
        <v>3177</v>
      </c>
    </row>
    <row r="1748" spans="1:48" ht="30" customHeight="1" x14ac:dyDescent="0.3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</row>
    <row r="1749" spans="1:48" ht="30" customHeight="1" x14ac:dyDescent="0.3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</row>
    <row r="1750" spans="1:48" ht="30" customHeight="1" x14ac:dyDescent="0.3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</row>
    <row r="1751" spans="1:48" ht="30" customHeight="1" x14ac:dyDescent="0.3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</row>
    <row r="1752" spans="1:48" ht="30" customHeight="1" x14ac:dyDescent="0.3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</row>
    <row r="1753" spans="1:48" ht="30" customHeight="1" x14ac:dyDescent="0.3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</row>
    <row r="1754" spans="1:48" ht="30" customHeight="1" x14ac:dyDescent="0.3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</row>
    <row r="1755" spans="1:48" ht="30" customHeight="1" x14ac:dyDescent="0.3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</row>
    <row r="1756" spans="1:48" ht="30" customHeight="1" x14ac:dyDescent="0.3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</row>
    <row r="1757" spans="1:48" ht="30" customHeight="1" x14ac:dyDescent="0.3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</row>
    <row r="1758" spans="1:48" ht="30" customHeight="1" x14ac:dyDescent="0.3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</row>
    <row r="1759" spans="1:48" ht="30" customHeight="1" x14ac:dyDescent="0.3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</row>
    <row r="1760" spans="1:48" ht="30" customHeight="1" x14ac:dyDescent="0.3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</row>
    <row r="1761" spans="1:48" ht="30" customHeight="1" x14ac:dyDescent="0.3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</row>
    <row r="1762" spans="1:48" ht="30" customHeight="1" x14ac:dyDescent="0.3">
      <c r="A1762" s="4" t="s">
        <v>128</v>
      </c>
      <c r="B1762" s="5"/>
      <c r="C1762" s="5"/>
      <c r="D1762" s="5"/>
      <c r="E1762" s="5"/>
      <c r="F1762" s="7">
        <f>SUM(F1743:F1761)</f>
        <v>50170</v>
      </c>
      <c r="G1762" s="5"/>
      <c r="H1762" s="7">
        <f>SUM(H1743:H1761)</f>
        <v>961446</v>
      </c>
      <c r="I1762" s="5"/>
      <c r="J1762" s="7">
        <f>SUM(J1743:J1761)</f>
        <v>6900</v>
      </c>
      <c r="K1762" s="5"/>
      <c r="L1762" s="7">
        <f>SUM(L1743:L1761)</f>
        <v>1018516</v>
      </c>
      <c r="M1762" s="5"/>
      <c r="N1762" t="s">
        <v>129</v>
      </c>
    </row>
    <row r="1763" spans="1:48" ht="30" customHeight="1" x14ac:dyDescent="0.3">
      <c r="A1763" s="4" t="s">
        <v>3175</v>
      </c>
      <c r="B1763" s="4" t="s">
        <v>3071</v>
      </c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Q1763" s="6" t="s">
        <v>3176</v>
      </c>
    </row>
    <row r="1764" spans="1:48" ht="30" customHeight="1" x14ac:dyDescent="0.3">
      <c r="A1764" s="4" t="s">
        <v>578</v>
      </c>
      <c r="B1764" s="4" t="s">
        <v>579</v>
      </c>
      <c r="C1764" s="4" t="s">
        <v>61</v>
      </c>
      <c r="D1764" s="5">
        <v>11</v>
      </c>
      <c r="E1764" s="7">
        <f>TRUNC([1]일위대가목록!E65,0)</f>
        <v>12500</v>
      </c>
      <c r="F1764" s="7">
        <f t="shared" ref="F1764:F1770" si="191">TRUNC(E1764*D1764, 0)</f>
        <v>137500</v>
      </c>
      <c r="G1764" s="7">
        <f>TRUNC([1]일위대가목록!F65,0)</f>
        <v>5000</v>
      </c>
      <c r="H1764" s="7">
        <f t="shared" ref="H1764:H1770" si="192">TRUNC(G1764*D1764, 0)</f>
        <v>55000</v>
      </c>
      <c r="I1764" s="7">
        <f>TRUNC([1]일위대가목록!G65,0)</f>
        <v>0</v>
      </c>
      <c r="J1764" s="7">
        <f t="shared" ref="J1764:J1770" si="193">TRUNC(I1764*D1764, 0)</f>
        <v>0</v>
      </c>
      <c r="K1764" s="7">
        <f t="shared" ref="K1764:L1770" si="194">TRUNC(E1764+G1764+I1764, 0)</f>
        <v>17500</v>
      </c>
      <c r="L1764" s="7">
        <f t="shared" si="194"/>
        <v>192500</v>
      </c>
      <c r="M1764" s="4" t="s">
        <v>580</v>
      </c>
      <c r="N1764" s="6" t="s">
        <v>581</v>
      </c>
      <c r="O1764" s="6" t="s">
        <v>55</v>
      </c>
      <c r="P1764" s="6" t="s">
        <v>55</v>
      </c>
      <c r="Q1764" s="6" t="s">
        <v>3176</v>
      </c>
      <c r="R1764" s="6" t="s">
        <v>57</v>
      </c>
      <c r="S1764" s="6" t="s">
        <v>56</v>
      </c>
      <c r="T1764" s="6" t="s">
        <v>56</v>
      </c>
      <c r="AR1764" s="6" t="s">
        <v>55</v>
      </c>
      <c r="AS1764" s="6" t="s">
        <v>55</v>
      </c>
      <c r="AU1764" s="6" t="s">
        <v>3177</v>
      </c>
      <c r="AV1764">
        <v>926</v>
      </c>
    </row>
    <row r="1765" spans="1:48" ht="30" customHeight="1" x14ac:dyDescent="0.3">
      <c r="A1765" s="4" t="s">
        <v>602</v>
      </c>
      <c r="B1765" s="4" t="s">
        <v>606</v>
      </c>
      <c r="C1765" s="4" t="s">
        <v>61</v>
      </c>
      <c r="D1765" s="5">
        <v>3</v>
      </c>
      <c r="E1765" s="7">
        <f>TRUNC([1]단가대비표!O129,0)</f>
        <v>50000</v>
      </c>
      <c r="F1765" s="7">
        <f t="shared" si="191"/>
        <v>150000</v>
      </c>
      <c r="G1765" s="7">
        <f>TRUNC([1]단가대비표!P129,0)</f>
        <v>0</v>
      </c>
      <c r="H1765" s="7">
        <f t="shared" si="192"/>
        <v>0</v>
      </c>
      <c r="I1765" s="7">
        <f>TRUNC([1]단가대비표!V129,0)</f>
        <v>0</v>
      </c>
      <c r="J1765" s="7">
        <f t="shared" si="193"/>
        <v>0</v>
      </c>
      <c r="K1765" s="7">
        <f t="shared" si="194"/>
        <v>50000</v>
      </c>
      <c r="L1765" s="7">
        <f t="shared" si="194"/>
        <v>150000</v>
      </c>
      <c r="M1765" s="4" t="s">
        <v>55</v>
      </c>
      <c r="N1765" s="6" t="s">
        <v>607</v>
      </c>
      <c r="O1765" s="6" t="s">
        <v>55</v>
      </c>
      <c r="P1765" s="6" t="s">
        <v>55</v>
      </c>
      <c r="Q1765" s="6" t="s">
        <v>3176</v>
      </c>
      <c r="R1765" s="6" t="s">
        <v>56</v>
      </c>
      <c r="S1765" s="6" t="s">
        <v>56</v>
      </c>
      <c r="T1765" s="6" t="s">
        <v>57</v>
      </c>
      <c r="AR1765" s="6" t="s">
        <v>55</v>
      </c>
      <c r="AS1765" s="6" t="s">
        <v>55</v>
      </c>
      <c r="AU1765" s="6" t="s">
        <v>3178</v>
      </c>
      <c r="AV1765">
        <v>3178</v>
      </c>
    </row>
    <row r="1766" spans="1:48" ht="30" customHeight="1" x14ac:dyDescent="0.3">
      <c r="A1766" s="4" t="s">
        <v>628</v>
      </c>
      <c r="B1766" s="4" t="s">
        <v>637</v>
      </c>
      <c r="C1766" s="4" t="s">
        <v>61</v>
      </c>
      <c r="D1766" s="5">
        <v>23</v>
      </c>
      <c r="E1766" s="7">
        <f>TRUNC([1]일위대가목록!E73,0)</f>
        <v>40546</v>
      </c>
      <c r="F1766" s="7">
        <f t="shared" si="191"/>
        <v>932558</v>
      </c>
      <c r="G1766" s="7">
        <f>TRUNC([1]일위대가목록!F73,0)</f>
        <v>8338</v>
      </c>
      <c r="H1766" s="7">
        <f t="shared" si="192"/>
        <v>191774</v>
      </c>
      <c r="I1766" s="7">
        <f>TRUNC([1]일위대가목록!G73,0)</f>
        <v>166</v>
      </c>
      <c r="J1766" s="7">
        <f t="shared" si="193"/>
        <v>3818</v>
      </c>
      <c r="K1766" s="7">
        <f t="shared" si="194"/>
        <v>49050</v>
      </c>
      <c r="L1766" s="7">
        <f t="shared" si="194"/>
        <v>1128150</v>
      </c>
      <c r="M1766" s="4" t="s">
        <v>638</v>
      </c>
      <c r="N1766" s="6" t="s">
        <v>639</v>
      </c>
      <c r="O1766" s="6" t="s">
        <v>55</v>
      </c>
      <c r="P1766" s="6" t="s">
        <v>55</v>
      </c>
      <c r="Q1766" s="6" t="s">
        <v>3176</v>
      </c>
      <c r="R1766" s="6" t="s">
        <v>57</v>
      </c>
      <c r="S1766" s="6" t="s">
        <v>56</v>
      </c>
      <c r="T1766" s="6" t="s">
        <v>56</v>
      </c>
      <c r="AR1766" s="6" t="s">
        <v>55</v>
      </c>
      <c r="AS1766" s="6" t="s">
        <v>55</v>
      </c>
      <c r="AU1766" s="6" t="s">
        <v>3179</v>
      </c>
      <c r="AV1766">
        <v>3246</v>
      </c>
    </row>
    <row r="1767" spans="1:48" ht="30" customHeight="1" x14ac:dyDescent="0.3">
      <c r="A1767" s="4" t="s">
        <v>649</v>
      </c>
      <c r="B1767" s="4" t="s">
        <v>650</v>
      </c>
      <c r="C1767" s="4" t="s">
        <v>61</v>
      </c>
      <c r="D1767" s="5">
        <v>158</v>
      </c>
      <c r="E1767" s="7">
        <f>TRUNC([1]일위대가목록!E76,0)</f>
        <v>443</v>
      </c>
      <c r="F1767" s="7">
        <f t="shared" si="191"/>
        <v>69994</v>
      </c>
      <c r="G1767" s="7">
        <f>TRUNC([1]일위대가목록!F76,0)</f>
        <v>1301</v>
      </c>
      <c r="H1767" s="7">
        <f t="shared" si="192"/>
        <v>205558</v>
      </c>
      <c r="I1767" s="7">
        <f>TRUNC([1]일위대가목록!G76,0)</f>
        <v>0</v>
      </c>
      <c r="J1767" s="7">
        <f t="shared" si="193"/>
        <v>0</v>
      </c>
      <c r="K1767" s="7">
        <f t="shared" si="194"/>
        <v>1744</v>
      </c>
      <c r="L1767" s="7">
        <f t="shared" si="194"/>
        <v>275552</v>
      </c>
      <c r="M1767" s="4" t="s">
        <v>651</v>
      </c>
      <c r="N1767" s="6" t="s">
        <v>652</v>
      </c>
      <c r="O1767" s="6" t="s">
        <v>55</v>
      </c>
      <c r="P1767" s="6" t="s">
        <v>55</v>
      </c>
      <c r="Q1767" s="6" t="s">
        <v>3176</v>
      </c>
      <c r="R1767" s="6" t="s">
        <v>57</v>
      </c>
      <c r="S1767" s="6" t="s">
        <v>56</v>
      </c>
      <c r="T1767" s="6" t="s">
        <v>56</v>
      </c>
      <c r="AR1767" s="6" t="s">
        <v>55</v>
      </c>
      <c r="AS1767" s="6" t="s">
        <v>55</v>
      </c>
      <c r="AU1767" s="6" t="s">
        <v>3180</v>
      </c>
      <c r="AV1767">
        <v>929</v>
      </c>
    </row>
    <row r="1768" spans="1:48" ht="30" customHeight="1" x14ac:dyDescent="0.3">
      <c r="A1768" s="4" t="s">
        <v>55</v>
      </c>
      <c r="B1768" s="4" t="s">
        <v>55</v>
      </c>
      <c r="C1768" s="4" t="s">
        <v>55</v>
      </c>
      <c r="D1768" s="5"/>
      <c r="E1768" s="7">
        <f>TRUNC([1]단가대비표!O870,0)</f>
        <v>0</v>
      </c>
      <c r="F1768" s="7">
        <f t="shared" si="191"/>
        <v>0</v>
      </c>
      <c r="G1768" s="7">
        <f>TRUNC([1]단가대비표!P870,0)</f>
        <v>0</v>
      </c>
      <c r="H1768" s="7">
        <f t="shared" si="192"/>
        <v>0</v>
      </c>
      <c r="I1768" s="7">
        <f>TRUNC([1]단가대비표!V870,0)</f>
        <v>0</v>
      </c>
      <c r="J1768" s="7">
        <f t="shared" si="193"/>
        <v>0</v>
      </c>
      <c r="K1768" s="7">
        <f t="shared" si="194"/>
        <v>0</v>
      </c>
      <c r="L1768" s="7">
        <f t="shared" si="194"/>
        <v>0</v>
      </c>
      <c r="M1768" s="4" t="s">
        <v>55</v>
      </c>
      <c r="N1768" s="6" t="s">
        <v>3181</v>
      </c>
      <c r="O1768" s="6" t="s">
        <v>55</v>
      </c>
      <c r="P1768" s="6" t="s">
        <v>55</v>
      </c>
      <c r="Q1768" s="6" t="s">
        <v>3176</v>
      </c>
      <c r="R1768" s="6" t="s">
        <v>56</v>
      </c>
      <c r="S1768" s="6" t="s">
        <v>56</v>
      </c>
      <c r="T1768" s="6" t="s">
        <v>57</v>
      </c>
      <c r="AR1768" s="6" t="s">
        <v>55</v>
      </c>
      <c r="AS1768" s="6" t="s">
        <v>55</v>
      </c>
      <c r="AU1768" s="6" t="s">
        <v>3182</v>
      </c>
      <c r="AV1768">
        <v>3247</v>
      </c>
    </row>
    <row r="1769" spans="1:48" ht="30" customHeight="1" x14ac:dyDescent="0.3">
      <c r="A1769" s="4" t="s">
        <v>949</v>
      </c>
      <c r="B1769" s="4" t="s">
        <v>55</v>
      </c>
      <c r="C1769" s="4" t="s">
        <v>55</v>
      </c>
      <c r="D1769" s="5"/>
      <c r="E1769" s="7">
        <f>TRUNC([1]단가대비표!O871,0)</f>
        <v>0</v>
      </c>
      <c r="F1769" s="7">
        <f t="shared" si="191"/>
        <v>0</v>
      </c>
      <c r="G1769" s="7">
        <f>TRUNC([1]단가대비표!P871,0)</f>
        <v>0</v>
      </c>
      <c r="H1769" s="7">
        <f t="shared" si="192"/>
        <v>0</v>
      </c>
      <c r="I1769" s="7">
        <f>TRUNC([1]단가대비표!V871,0)</f>
        <v>0</v>
      </c>
      <c r="J1769" s="7">
        <f t="shared" si="193"/>
        <v>0</v>
      </c>
      <c r="K1769" s="7">
        <f t="shared" si="194"/>
        <v>0</v>
      </c>
      <c r="L1769" s="7">
        <f t="shared" si="194"/>
        <v>0</v>
      </c>
      <c r="M1769" s="4" t="s">
        <v>55</v>
      </c>
      <c r="N1769" s="6" t="s">
        <v>3183</v>
      </c>
      <c r="O1769" s="6" t="s">
        <v>55</v>
      </c>
      <c r="P1769" s="6" t="s">
        <v>55</v>
      </c>
      <c r="Q1769" s="6" t="s">
        <v>3176</v>
      </c>
      <c r="R1769" s="6" t="s">
        <v>56</v>
      </c>
      <c r="S1769" s="6" t="s">
        <v>56</v>
      </c>
      <c r="T1769" s="6" t="s">
        <v>57</v>
      </c>
      <c r="AR1769" s="6" t="s">
        <v>55</v>
      </c>
      <c r="AS1769" s="6" t="s">
        <v>55</v>
      </c>
      <c r="AU1769" s="6" t="s">
        <v>3184</v>
      </c>
      <c r="AV1769">
        <v>3248</v>
      </c>
    </row>
    <row r="1770" spans="1:48" ht="30" customHeight="1" x14ac:dyDescent="0.3">
      <c r="A1770" s="4" t="s">
        <v>952</v>
      </c>
      <c r="B1770" s="4" t="s">
        <v>3185</v>
      </c>
      <c r="C1770" s="4" t="s">
        <v>61</v>
      </c>
      <c r="D1770" s="5">
        <v>67</v>
      </c>
      <c r="E1770" s="7">
        <f>TRUNC([1]단가대비표!O872,0)</f>
        <v>32000</v>
      </c>
      <c r="F1770" s="7">
        <f t="shared" si="191"/>
        <v>2144000</v>
      </c>
      <c r="G1770" s="7">
        <f>TRUNC([1]단가대비표!P872,0)</f>
        <v>0</v>
      </c>
      <c r="H1770" s="7">
        <f t="shared" si="192"/>
        <v>0</v>
      </c>
      <c r="I1770" s="7">
        <f>TRUNC([1]단가대비표!V872,0)</f>
        <v>0</v>
      </c>
      <c r="J1770" s="7">
        <f t="shared" si="193"/>
        <v>0</v>
      </c>
      <c r="K1770" s="7">
        <f t="shared" si="194"/>
        <v>32000</v>
      </c>
      <c r="L1770" s="7">
        <f t="shared" si="194"/>
        <v>2144000</v>
      </c>
      <c r="M1770" s="4" t="s">
        <v>115</v>
      </c>
      <c r="N1770" s="6" t="s">
        <v>3186</v>
      </c>
      <c r="O1770" s="6" t="s">
        <v>55</v>
      </c>
      <c r="P1770" s="6" t="s">
        <v>55</v>
      </c>
      <c r="Q1770" s="6" t="s">
        <v>3176</v>
      </c>
      <c r="R1770" s="6" t="s">
        <v>56</v>
      </c>
      <c r="S1770" s="6" t="s">
        <v>56</v>
      </c>
      <c r="T1770" s="6" t="s">
        <v>57</v>
      </c>
      <c r="AR1770" s="6" t="s">
        <v>55</v>
      </c>
      <c r="AS1770" s="6" t="s">
        <v>55</v>
      </c>
      <c r="AU1770" s="6" t="s">
        <v>3187</v>
      </c>
      <c r="AV1770">
        <v>3249</v>
      </c>
    </row>
    <row r="1771" spans="1:48" ht="30" customHeight="1" x14ac:dyDescent="0.3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</row>
    <row r="1772" spans="1:48" ht="30" customHeight="1" x14ac:dyDescent="0.3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</row>
    <row r="1773" spans="1:48" ht="30" customHeight="1" x14ac:dyDescent="0.3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</row>
    <row r="1774" spans="1:48" ht="30" customHeight="1" x14ac:dyDescent="0.3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</row>
    <row r="1775" spans="1:48" ht="30" customHeight="1" x14ac:dyDescent="0.3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</row>
    <row r="1776" spans="1:48" ht="30" customHeight="1" x14ac:dyDescent="0.3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</row>
    <row r="1777" spans="1:48" ht="30" customHeight="1" x14ac:dyDescent="0.3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</row>
    <row r="1778" spans="1:48" ht="30" customHeight="1" x14ac:dyDescent="0.3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</row>
    <row r="1779" spans="1:48" ht="30" customHeight="1" x14ac:dyDescent="0.3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</row>
    <row r="1780" spans="1:48" ht="30" customHeight="1" x14ac:dyDescent="0.3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</row>
    <row r="1781" spans="1:48" ht="30" customHeight="1" x14ac:dyDescent="0.3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</row>
    <row r="1782" spans="1:48" ht="30" customHeight="1" x14ac:dyDescent="0.3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</row>
    <row r="1783" spans="1:48" ht="30" customHeight="1" x14ac:dyDescent="0.3">
      <c r="A1783" s="4" t="s">
        <v>128</v>
      </c>
      <c r="B1783" s="5"/>
      <c r="C1783" s="5"/>
      <c r="D1783" s="5"/>
      <c r="E1783" s="5"/>
      <c r="F1783" s="7">
        <f>SUM(F1764:F1782)</f>
        <v>3434052</v>
      </c>
      <c r="G1783" s="5"/>
      <c r="H1783" s="7">
        <f>SUM(H1764:H1782)</f>
        <v>452332</v>
      </c>
      <c r="I1783" s="5"/>
      <c r="J1783" s="7">
        <f>SUM(J1764:J1782)</f>
        <v>3818</v>
      </c>
      <c r="K1783" s="5"/>
      <c r="L1783" s="7">
        <f>SUM(L1764:L1782)</f>
        <v>3890202</v>
      </c>
      <c r="M1783" s="5"/>
      <c r="N1783" t="s">
        <v>129</v>
      </c>
    </row>
    <row r="1784" spans="1:48" ht="30" customHeight="1" x14ac:dyDescent="0.3">
      <c r="A1784" s="4" t="s">
        <v>3188</v>
      </c>
      <c r="B1784" s="4" t="s">
        <v>3071</v>
      </c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Q1784" s="6" t="s">
        <v>3189</v>
      </c>
    </row>
    <row r="1785" spans="1:48" ht="30" customHeight="1" x14ac:dyDescent="0.3">
      <c r="A1785" s="4" t="s">
        <v>962</v>
      </c>
      <c r="B1785" s="4" t="s">
        <v>966</v>
      </c>
      <c r="C1785" s="4" t="s">
        <v>61</v>
      </c>
      <c r="D1785" s="5">
        <v>17</v>
      </c>
      <c r="E1785" s="7">
        <f>TRUNC([1]단가대비표!O880,0)</f>
        <v>19441</v>
      </c>
      <c r="F1785" s="7">
        <f t="shared" ref="F1785:F1800" si="195">TRUNC(E1785*D1785, 0)</f>
        <v>330497</v>
      </c>
      <c r="G1785" s="7">
        <f>TRUNC([1]단가대비표!P880,0)</f>
        <v>6669</v>
      </c>
      <c r="H1785" s="7">
        <f t="shared" ref="H1785:H1800" si="196">TRUNC(G1785*D1785, 0)</f>
        <v>113373</v>
      </c>
      <c r="I1785" s="7">
        <f>TRUNC([1]단가대비표!V880,0)</f>
        <v>0</v>
      </c>
      <c r="J1785" s="7">
        <f t="shared" ref="J1785:J1800" si="197">TRUNC(I1785*D1785, 0)</f>
        <v>0</v>
      </c>
      <c r="K1785" s="7">
        <f t="shared" ref="K1785:L1800" si="198">TRUNC(E1785+G1785+I1785, 0)</f>
        <v>26110</v>
      </c>
      <c r="L1785" s="7">
        <f t="shared" si="198"/>
        <v>443870</v>
      </c>
      <c r="M1785" s="4" t="s">
        <v>115</v>
      </c>
      <c r="N1785" s="6" t="s">
        <v>967</v>
      </c>
      <c r="O1785" s="6" t="s">
        <v>55</v>
      </c>
      <c r="P1785" s="6" t="s">
        <v>55</v>
      </c>
      <c r="Q1785" s="6" t="s">
        <v>3189</v>
      </c>
      <c r="R1785" s="6" t="s">
        <v>56</v>
      </c>
      <c r="S1785" s="6" t="s">
        <v>56</v>
      </c>
      <c r="T1785" s="6" t="s">
        <v>57</v>
      </c>
      <c r="AR1785" s="6" t="s">
        <v>55</v>
      </c>
      <c r="AS1785" s="6" t="s">
        <v>55</v>
      </c>
      <c r="AU1785" s="6" t="s">
        <v>3190</v>
      </c>
      <c r="AV1785">
        <v>3290</v>
      </c>
    </row>
    <row r="1786" spans="1:48" ht="30" customHeight="1" x14ac:dyDescent="0.3">
      <c r="A1786" s="4" t="s">
        <v>987</v>
      </c>
      <c r="B1786" s="4" t="s">
        <v>991</v>
      </c>
      <c r="C1786" s="4" t="s">
        <v>61</v>
      </c>
      <c r="D1786" s="5">
        <v>43</v>
      </c>
      <c r="E1786" s="7">
        <f>TRUNC([1]단가대비표!O887,0)</f>
        <v>2250</v>
      </c>
      <c r="F1786" s="7">
        <f t="shared" si="195"/>
        <v>96750</v>
      </c>
      <c r="G1786" s="7">
        <f>TRUNC([1]단가대비표!P887,0)</f>
        <v>7836</v>
      </c>
      <c r="H1786" s="7">
        <f t="shared" si="196"/>
        <v>336948</v>
      </c>
      <c r="I1786" s="7">
        <f>TRUNC([1]단가대비표!V887,0)</f>
        <v>0</v>
      </c>
      <c r="J1786" s="7">
        <f t="shared" si="197"/>
        <v>0</v>
      </c>
      <c r="K1786" s="7">
        <f t="shared" si="198"/>
        <v>10086</v>
      </c>
      <c r="L1786" s="7">
        <f t="shared" si="198"/>
        <v>433698</v>
      </c>
      <c r="M1786" s="4" t="s">
        <v>115</v>
      </c>
      <c r="N1786" s="6" t="s">
        <v>992</v>
      </c>
      <c r="O1786" s="6" t="s">
        <v>55</v>
      </c>
      <c r="P1786" s="6" t="s">
        <v>55</v>
      </c>
      <c r="Q1786" s="6" t="s">
        <v>3189</v>
      </c>
      <c r="R1786" s="6" t="s">
        <v>56</v>
      </c>
      <c r="S1786" s="6" t="s">
        <v>56</v>
      </c>
      <c r="T1786" s="6" t="s">
        <v>57</v>
      </c>
      <c r="AR1786" s="6" t="s">
        <v>55</v>
      </c>
      <c r="AS1786" s="6" t="s">
        <v>55</v>
      </c>
      <c r="AU1786" s="6" t="s">
        <v>3191</v>
      </c>
      <c r="AV1786">
        <v>3291</v>
      </c>
    </row>
    <row r="1787" spans="1:48" ht="30" customHeight="1" x14ac:dyDescent="0.3">
      <c r="A1787" s="4" t="s">
        <v>980</v>
      </c>
      <c r="B1787" s="4" t="s">
        <v>981</v>
      </c>
      <c r="C1787" s="4" t="s">
        <v>61</v>
      </c>
      <c r="D1787" s="5">
        <v>93</v>
      </c>
      <c r="E1787" s="7">
        <f>TRUNC([1]단가대비표!O881,0)</f>
        <v>32918</v>
      </c>
      <c r="F1787" s="7">
        <f t="shared" si="195"/>
        <v>3061374</v>
      </c>
      <c r="G1787" s="7">
        <f>TRUNC([1]단가대비표!P881,0)</f>
        <v>7813</v>
      </c>
      <c r="H1787" s="7">
        <f t="shared" si="196"/>
        <v>726609</v>
      </c>
      <c r="I1787" s="7">
        <f>TRUNC([1]단가대비표!V881,0)</f>
        <v>0</v>
      </c>
      <c r="J1787" s="7">
        <f t="shared" si="197"/>
        <v>0</v>
      </c>
      <c r="K1787" s="7">
        <f t="shared" si="198"/>
        <v>40731</v>
      </c>
      <c r="L1787" s="7">
        <f t="shared" si="198"/>
        <v>3787983</v>
      </c>
      <c r="M1787" s="4" t="s">
        <v>115</v>
      </c>
      <c r="N1787" s="6" t="s">
        <v>982</v>
      </c>
      <c r="O1787" s="6" t="s">
        <v>55</v>
      </c>
      <c r="P1787" s="6" t="s">
        <v>55</v>
      </c>
      <c r="Q1787" s="6" t="s">
        <v>3189</v>
      </c>
      <c r="R1787" s="6" t="s">
        <v>56</v>
      </c>
      <c r="S1787" s="6" t="s">
        <v>56</v>
      </c>
      <c r="T1787" s="6" t="s">
        <v>57</v>
      </c>
      <c r="AR1787" s="6" t="s">
        <v>55</v>
      </c>
      <c r="AS1787" s="6" t="s">
        <v>55</v>
      </c>
      <c r="AU1787" s="6" t="s">
        <v>3192</v>
      </c>
      <c r="AV1787">
        <v>3292</v>
      </c>
    </row>
    <row r="1788" spans="1:48" ht="30" customHeight="1" x14ac:dyDescent="0.3">
      <c r="A1788" s="4" t="s">
        <v>980</v>
      </c>
      <c r="B1788" s="4" t="s">
        <v>984</v>
      </c>
      <c r="C1788" s="4" t="s">
        <v>61</v>
      </c>
      <c r="D1788" s="5">
        <v>694</v>
      </c>
      <c r="E1788" s="7">
        <f>TRUNC([1]단가대비표!O882,0)</f>
        <v>32918</v>
      </c>
      <c r="F1788" s="7">
        <f t="shared" si="195"/>
        <v>22845092</v>
      </c>
      <c r="G1788" s="7">
        <f>TRUNC([1]단가대비표!P882,0)</f>
        <v>8855</v>
      </c>
      <c r="H1788" s="7">
        <f t="shared" si="196"/>
        <v>6145370</v>
      </c>
      <c r="I1788" s="7">
        <f>TRUNC([1]단가대비표!V882,0)</f>
        <v>0</v>
      </c>
      <c r="J1788" s="7">
        <f t="shared" si="197"/>
        <v>0</v>
      </c>
      <c r="K1788" s="7">
        <f t="shared" si="198"/>
        <v>41773</v>
      </c>
      <c r="L1788" s="7">
        <f t="shared" si="198"/>
        <v>28990462</v>
      </c>
      <c r="M1788" s="4" t="s">
        <v>115</v>
      </c>
      <c r="N1788" s="6" t="s">
        <v>985</v>
      </c>
      <c r="O1788" s="6" t="s">
        <v>55</v>
      </c>
      <c r="P1788" s="6" t="s">
        <v>55</v>
      </c>
      <c r="Q1788" s="6" t="s">
        <v>3189</v>
      </c>
      <c r="R1788" s="6" t="s">
        <v>56</v>
      </c>
      <c r="S1788" s="6" t="s">
        <v>56</v>
      </c>
      <c r="T1788" s="6" t="s">
        <v>57</v>
      </c>
      <c r="AR1788" s="6" t="s">
        <v>55</v>
      </c>
      <c r="AS1788" s="6" t="s">
        <v>55</v>
      </c>
      <c r="AU1788" s="6" t="s">
        <v>3193</v>
      </c>
      <c r="AV1788">
        <v>3293</v>
      </c>
    </row>
    <row r="1789" spans="1:48" ht="30" customHeight="1" x14ac:dyDescent="0.3">
      <c r="A1789" s="4" t="s">
        <v>1060</v>
      </c>
      <c r="B1789" s="4" t="s">
        <v>55</v>
      </c>
      <c r="C1789" s="4" t="s">
        <v>61</v>
      </c>
      <c r="D1789" s="5">
        <v>190</v>
      </c>
      <c r="E1789" s="7">
        <f>TRUNC([1]단가대비표!O873,0)</f>
        <v>7920</v>
      </c>
      <c r="F1789" s="7">
        <f t="shared" si="195"/>
        <v>1504800</v>
      </c>
      <c r="G1789" s="7">
        <f>TRUNC([1]단가대비표!P873,0)</f>
        <v>0</v>
      </c>
      <c r="H1789" s="7">
        <f t="shared" si="196"/>
        <v>0</v>
      </c>
      <c r="I1789" s="7">
        <f>TRUNC([1]단가대비표!V873,0)</f>
        <v>0</v>
      </c>
      <c r="J1789" s="7">
        <f t="shared" si="197"/>
        <v>0</v>
      </c>
      <c r="K1789" s="7">
        <f t="shared" si="198"/>
        <v>7920</v>
      </c>
      <c r="L1789" s="7">
        <f t="shared" si="198"/>
        <v>1504800</v>
      </c>
      <c r="M1789" s="4" t="s">
        <v>115</v>
      </c>
      <c r="N1789" s="6" t="s">
        <v>3194</v>
      </c>
      <c r="O1789" s="6" t="s">
        <v>55</v>
      </c>
      <c r="P1789" s="6" t="s">
        <v>55</v>
      </c>
      <c r="Q1789" s="6" t="s">
        <v>3189</v>
      </c>
      <c r="R1789" s="6" t="s">
        <v>56</v>
      </c>
      <c r="S1789" s="6" t="s">
        <v>56</v>
      </c>
      <c r="T1789" s="6" t="s">
        <v>57</v>
      </c>
      <c r="AR1789" s="6" t="s">
        <v>55</v>
      </c>
      <c r="AS1789" s="6" t="s">
        <v>55</v>
      </c>
      <c r="AU1789" s="6" t="s">
        <v>3195</v>
      </c>
      <c r="AV1789">
        <v>3250</v>
      </c>
    </row>
    <row r="1790" spans="1:48" ht="30" customHeight="1" x14ac:dyDescent="0.3">
      <c r="A1790" s="4" t="s">
        <v>994</v>
      </c>
      <c r="B1790" s="4" t="s">
        <v>55</v>
      </c>
      <c r="C1790" s="4" t="s">
        <v>269</v>
      </c>
      <c r="D1790" s="5">
        <v>42</v>
      </c>
      <c r="E1790" s="7">
        <f>TRUNC([1]일위대가목록!E201,0)</f>
        <v>12900</v>
      </c>
      <c r="F1790" s="7">
        <f t="shared" si="195"/>
        <v>541800</v>
      </c>
      <c r="G1790" s="7">
        <f>TRUNC([1]일위대가목록!F201,0)</f>
        <v>12695</v>
      </c>
      <c r="H1790" s="7">
        <f t="shared" si="196"/>
        <v>533190</v>
      </c>
      <c r="I1790" s="7">
        <f>TRUNC([1]일위대가목록!G201,0)</f>
        <v>254</v>
      </c>
      <c r="J1790" s="7">
        <f t="shared" si="197"/>
        <v>10668</v>
      </c>
      <c r="K1790" s="7">
        <f t="shared" si="198"/>
        <v>25849</v>
      </c>
      <c r="L1790" s="7">
        <f t="shared" si="198"/>
        <v>1085658</v>
      </c>
      <c r="M1790" s="4" t="s">
        <v>2396</v>
      </c>
      <c r="N1790" s="6" t="s">
        <v>2397</v>
      </c>
      <c r="O1790" s="6" t="s">
        <v>55</v>
      </c>
      <c r="P1790" s="6" t="s">
        <v>55</v>
      </c>
      <c r="Q1790" s="6" t="s">
        <v>3189</v>
      </c>
      <c r="R1790" s="6" t="s">
        <v>57</v>
      </c>
      <c r="S1790" s="6" t="s">
        <v>56</v>
      </c>
      <c r="T1790" s="6" t="s">
        <v>56</v>
      </c>
      <c r="AR1790" s="6" t="s">
        <v>55</v>
      </c>
      <c r="AS1790" s="6" t="s">
        <v>55</v>
      </c>
      <c r="AU1790" s="6" t="s">
        <v>3196</v>
      </c>
      <c r="AV1790">
        <v>942</v>
      </c>
    </row>
    <row r="1791" spans="1:48" ht="30" customHeight="1" x14ac:dyDescent="0.3">
      <c r="A1791" s="4" t="s">
        <v>1014</v>
      </c>
      <c r="B1791" s="4" t="s">
        <v>1015</v>
      </c>
      <c r="C1791" s="4" t="s">
        <v>269</v>
      </c>
      <c r="D1791" s="5">
        <v>92</v>
      </c>
      <c r="E1791" s="7">
        <f>TRUNC([1]일위대가목록!E85,0)</f>
        <v>1151</v>
      </c>
      <c r="F1791" s="7">
        <f t="shared" si="195"/>
        <v>105892</v>
      </c>
      <c r="G1791" s="7">
        <f>TRUNC([1]일위대가목록!F85,0)</f>
        <v>7267</v>
      </c>
      <c r="H1791" s="7">
        <f t="shared" si="196"/>
        <v>668564</v>
      </c>
      <c r="I1791" s="7">
        <f>TRUNC([1]일위대가목록!G85,0)</f>
        <v>60</v>
      </c>
      <c r="J1791" s="7">
        <f t="shared" si="197"/>
        <v>5520</v>
      </c>
      <c r="K1791" s="7">
        <f t="shared" si="198"/>
        <v>8478</v>
      </c>
      <c r="L1791" s="7">
        <f t="shared" si="198"/>
        <v>779976</v>
      </c>
      <c r="M1791" s="4" t="s">
        <v>1016</v>
      </c>
      <c r="N1791" s="6" t="s">
        <v>1017</v>
      </c>
      <c r="O1791" s="6" t="s">
        <v>55</v>
      </c>
      <c r="P1791" s="6" t="s">
        <v>55</v>
      </c>
      <c r="Q1791" s="6" t="s">
        <v>3189</v>
      </c>
      <c r="R1791" s="6" t="s">
        <v>57</v>
      </c>
      <c r="S1791" s="6" t="s">
        <v>56</v>
      </c>
      <c r="T1791" s="6" t="s">
        <v>56</v>
      </c>
      <c r="AR1791" s="6" t="s">
        <v>55</v>
      </c>
      <c r="AS1791" s="6" t="s">
        <v>55</v>
      </c>
      <c r="AU1791" s="6" t="s">
        <v>3197</v>
      </c>
      <c r="AV1791">
        <v>933</v>
      </c>
    </row>
    <row r="1792" spans="1:48" ht="30" customHeight="1" x14ac:dyDescent="0.3">
      <c r="A1792" s="4" t="s">
        <v>1019</v>
      </c>
      <c r="B1792" s="4" t="s">
        <v>1020</v>
      </c>
      <c r="C1792" s="4" t="s">
        <v>269</v>
      </c>
      <c r="D1792" s="5">
        <v>3</v>
      </c>
      <c r="E1792" s="7">
        <f>TRUNC([1]일위대가목록!E86,0)</f>
        <v>248</v>
      </c>
      <c r="F1792" s="7">
        <f t="shared" si="195"/>
        <v>744</v>
      </c>
      <c r="G1792" s="7">
        <f>TRUNC([1]일위대가목록!F86,0)</f>
        <v>3221</v>
      </c>
      <c r="H1792" s="7">
        <f t="shared" si="196"/>
        <v>9663</v>
      </c>
      <c r="I1792" s="7">
        <f>TRUNC([1]일위대가목록!G86,0)</f>
        <v>0</v>
      </c>
      <c r="J1792" s="7">
        <f t="shared" si="197"/>
        <v>0</v>
      </c>
      <c r="K1792" s="7">
        <f t="shared" si="198"/>
        <v>3469</v>
      </c>
      <c r="L1792" s="7">
        <f t="shared" si="198"/>
        <v>10407</v>
      </c>
      <c r="M1792" s="4" t="s">
        <v>1021</v>
      </c>
      <c r="N1792" s="6" t="s">
        <v>1022</v>
      </c>
      <c r="O1792" s="6" t="s">
        <v>55</v>
      </c>
      <c r="P1792" s="6" t="s">
        <v>55</v>
      </c>
      <c r="Q1792" s="6" t="s">
        <v>3189</v>
      </c>
      <c r="R1792" s="6" t="s">
        <v>57</v>
      </c>
      <c r="S1792" s="6" t="s">
        <v>56</v>
      </c>
      <c r="T1792" s="6" t="s">
        <v>56</v>
      </c>
      <c r="AR1792" s="6" t="s">
        <v>55</v>
      </c>
      <c r="AS1792" s="6" t="s">
        <v>55</v>
      </c>
      <c r="AU1792" s="6" t="s">
        <v>3198</v>
      </c>
      <c r="AV1792">
        <v>2708</v>
      </c>
    </row>
    <row r="1793" spans="1:48" ht="30" customHeight="1" x14ac:dyDescent="0.3">
      <c r="A1793" s="4" t="s">
        <v>1019</v>
      </c>
      <c r="B1793" s="4" t="s">
        <v>1024</v>
      </c>
      <c r="C1793" s="4" t="s">
        <v>269</v>
      </c>
      <c r="D1793" s="5">
        <v>10</v>
      </c>
      <c r="E1793" s="7">
        <f>TRUNC([1]일위대가목록!E87,0)</f>
        <v>2404</v>
      </c>
      <c r="F1793" s="7">
        <f t="shared" si="195"/>
        <v>24040</v>
      </c>
      <c r="G1793" s="7">
        <f>TRUNC([1]일위대가목록!F87,0)</f>
        <v>3221</v>
      </c>
      <c r="H1793" s="7">
        <f t="shared" si="196"/>
        <v>32210</v>
      </c>
      <c r="I1793" s="7">
        <f>TRUNC([1]일위대가목록!G87,0)</f>
        <v>0</v>
      </c>
      <c r="J1793" s="7">
        <f t="shared" si="197"/>
        <v>0</v>
      </c>
      <c r="K1793" s="7">
        <f t="shared" si="198"/>
        <v>5625</v>
      </c>
      <c r="L1793" s="7">
        <f t="shared" si="198"/>
        <v>56250</v>
      </c>
      <c r="M1793" s="4" t="s">
        <v>1025</v>
      </c>
      <c r="N1793" s="6" t="s">
        <v>1026</v>
      </c>
      <c r="O1793" s="6" t="s">
        <v>55</v>
      </c>
      <c r="P1793" s="6" t="s">
        <v>55</v>
      </c>
      <c r="Q1793" s="6" t="s">
        <v>3189</v>
      </c>
      <c r="R1793" s="6" t="s">
        <v>57</v>
      </c>
      <c r="S1793" s="6" t="s">
        <v>56</v>
      </c>
      <c r="T1793" s="6" t="s">
        <v>56</v>
      </c>
      <c r="AR1793" s="6" t="s">
        <v>55</v>
      </c>
      <c r="AS1793" s="6" t="s">
        <v>55</v>
      </c>
      <c r="AU1793" s="6" t="s">
        <v>3199</v>
      </c>
      <c r="AV1793">
        <v>2709</v>
      </c>
    </row>
    <row r="1794" spans="1:48" ht="30" customHeight="1" x14ac:dyDescent="0.3">
      <c r="A1794" s="4" t="s">
        <v>1019</v>
      </c>
      <c r="B1794" s="4" t="s">
        <v>1028</v>
      </c>
      <c r="C1794" s="4" t="s">
        <v>269</v>
      </c>
      <c r="D1794" s="5">
        <v>55</v>
      </c>
      <c r="E1794" s="7">
        <f>TRUNC([1]일위대가목록!E88,0)</f>
        <v>767</v>
      </c>
      <c r="F1794" s="7">
        <f t="shared" si="195"/>
        <v>42185</v>
      </c>
      <c r="G1794" s="7">
        <f>TRUNC([1]일위대가목록!F88,0)</f>
        <v>3221</v>
      </c>
      <c r="H1794" s="7">
        <f t="shared" si="196"/>
        <v>177155</v>
      </c>
      <c r="I1794" s="7">
        <f>TRUNC([1]일위대가목록!G88,0)</f>
        <v>0</v>
      </c>
      <c r="J1794" s="7">
        <f t="shared" si="197"/>
        <v>0</v>
      </c>
      <c r="K1794" s="7">
        <f t="shared" si="198"/>
        <v>3988</v>
      </c>
      <c r="L1794" s="7">
        <f t="shared" si="198"/>
        <v>219340</v>
      </c>
      <c r="M1794" s="4" t="s">
        <v>1029</v>
      </c>
      <c r="N1794" s="6" t="s">
        <v>1030</v>
      </c>
      <c r="O1794" s="6" t="s">
        <v>55</v>
      </c>
      <c r="P1794" s="6" t="s">
        <v>55</v>
      </c>
      <c r="Q1794" s="6" t="s">
        <v>3189</v>
      </c>
      <c r="R1794" s="6" t="s">
        <v>57</v>
      </c>
      <c r="S1794" s="6" t="s">
        <v>56</v>
      </c>
      <c r="T1794" s="6" t="s">
        <v>56</v>
      </c>
      <c r="AR1794" s="6" t="s">
        <v>55</v>
      </c>
      <c r="AS1794" s="6" t="s">
        <v>55</v>
      </c>
      <c r="AU1794" s="6" t="s">
        <v>3200</v>
      </c>
      <c r="AV1794">
        <v>2710</v>
      </c>
    </row>
    <row r="1795" spans="1:48" ht="30" customHeight="1" x14ac:dyDescent="0.3">
      <c r="A1795" s="4" t="s">
        <v>1004</v>
      </c>
      <c r="B1795" s="4" t="s">
        <v>1005</v>
      </c>
      <c r="C1795" s="4" t="s">
        <v>61</v>
      </c>
      <c r="D1795" s="5">
        <v>124</v>
      </c>
      <c r="E1795" s="7">
        <f>TRUNC([1]일위대가목록!E203,0)</f>
        <v>4212</v>
      </c>
      <c r="F1795" s="7">
        <f t="shared" si="195"/>
        <v>522288</v>
      </c>
      <c r="G1795" s="7">
        <f>TRUNC([1]일위대가목록!F203,0)</f>
        <v>3564</v>
      </c>
      <c r="H1795" s="7">
        <f t="shared" si="196"/>
        <v>441936</v>
      </c>
      <c r="I1795" s="7">
        <f>TRUNC([1]일위대가목록!G203,0)</f>
        <v>0</v>
      </c>
      <c r="J1795" s="7">
        <f t="shared" si="197"/>
        <v>0</v>
      </c>
      <c r="K1795" s="7">
        <f t="shared" si="198"/>
        <v>7776</v>
      </c>
      <c r="L1795" s="7">
        <f t="shared" si="198"/>
        <v>964224</v>
      </c>
      <c r="M1795" s="4" t="s">
        <v>2411</v>
      </c>
      <c r="N1795" s="6" t="s">
        <v>2412</v>
      </c>
      <c r="O1795" s="6" t="s">
        <v>55</v>
      </c>
      <c r="P1795" s="6" t="s">
        <v>55</v>
      </c>
      <c r="Q1795" s="6" t="s">
        <v>3189</v>
      </c>
      <c r="R1795" s="6" t="s">
        <v>57</v>
      </c>
      <c r="S1795" s="6" t="s">
        <v>56</v>
      </c>
      <c r="T1795" s="6" t="s">
        <v>56</v>
      </c>
      <c r="AR1795" s="6" t="s">
        <v>55</v>
      </c>
      <c r="AS1795" s="6" t="s">
        <v>55</v>
      </c>
      <c r="AU1795" s="6" t="s">
        <v>3201</v>
      </c>
      <c r="AV1795">
        <v>940</v>
      </c>
    </row>
    <row r="1796" spans="1:48" ht="30" customHeight="1" x14ac:dyDescent="0.3">
      <c r="A1796" s="4" t="s">
        <v>1009</v>
      </c>
      <c r="B1796" s="4" t="s">
        <v>1010</v>
      </c>
      <c r="C1796" s="4" t="s">
        <v>61</v>
      </c>
      <c r="D1796" s="5">
        <v>17</v>
      </c>
      <c r="E1796" s="7">
        <f>TRUNC([1]일위대가목록!E84,0)</f>
        <v>4212</v>
      </c>
      <c r="F1796" s="7">
        <f t="shared" si="195"/>
        <v>71604</v>
      </c>
      <c r="G1796" s="7">
        <f>TRUNC([1]일위대가목록!F84,0)</f>
        <v>4633</v>
      </c>
      <c r="H1796" s="7">
        <f t="shared" si="196"/>
        <v>78761</v>
      </c>
      <c r="I1796" s="7">
        <f>TRUNC([1]일위대가목록!G84,0)</f>
        <v>0</v>
      </c>
      <c r="J1796" s="7">
        <f t="shared" si="197"/>
        <v>0</v>
      </c>
      <c r="K1796" s="7">
        <f t="shared" si="198"/>
        <v>8845</v>
      </c>
      <c r="L1796" s="7">
        <f t="shared" si="198"/>
        <v>150365</v>
      </c>
      <c r="M1796" s="4" t="s">
        <v>1011</v>
      </c>
      <c r="N1796" s="6" t="s">
        <v>1012</v>
      </c>
      <c r="O1796" s="6" t="s">
        <v>55</v>
      </c>
      <c r="P1796" s="6" t="s">
        <v>55</v>
      </c>
      <c r="Q1796" s="6" t="s">
        <v>3189</v>
      </c>
      <c r="R1796" s="6" t="s">
        <v>57</v>
      </c>
      <c r="S1796" s="6" t="s">
        <v>56</v>
      </c>
      <c r="T1796" s="6" t="s">
        <v>56</v>
      </c>
      <c r="AR1796" s="6" t="s">
        <v>55</v>
      </c>
      <c r="AS1796" s="6" t="s">
        <v>55</v>
      </c>
      <c r="AU1796" s="6" t="s">
        <v>3202</v>
      </c>
      <c r="AV1796">
        <v>941</v>
      </c>
    </row>
    <row r="1797" spans="1:48" ht="30" customHeight="1" x14ac:dyDescent="0.3">
      <c r="A1797" s="4" t="s">
        <v>1051</v>
      </c>
      <c r="B1797" s="4" t="s">
        <v>998</v>
      </c>
      <c r="C1797" s="4" t="s">
        <v>269</v>
      </c>
      <c r="D1797" s="5">
        <v>10</v>
      </c>
      <c r="E1797" s="7">
        <f>TRUNC([1]일위대가목록!E93,0)</f>
        <v>4797</v>
      </c>
      <c r="F1797" s="7">
        <f t="shared" si="195"/>
        <v>47970</v>
      </c>
      <c r="G1797" s="7">
        <f>TRUNC([1]일위대가목록!F93,0)</f>
        <v>1545</v>
      </c>
      <c r="H1797" s="7">
        <f t="shared" si="196"/>
        <v>15450</v>
      </c>
      <c r="I1797" s="7">
        <f>TRUNC([1]일위대가목록!G93,0)</f>
        <v>0</v>
      </c>
      <c r="J1797" s="7">
        <f t="shared" si="197"/>
        <v>0</v>
      </c>
      <c r="K1797" s="7">
        <f t="shared" si="198"/>
        <v>6342</v>
      </c>
      <c r="L1797" s="7">
        <f t="shared" si="198"/>
        <v>63420</v>
      </c>
      <c r="M1797" s="4" t="s">
        <v>1052</v>
      </c>
      <c r="N1797" s="6" t="s">
        <v>1053</v>
      </c>
      <c r="O1797" s="6" t="s">
        <v>55</v>
      </c>
      <c r="P1797" s="6" t="s">
        <v>55</v>
      </c>
      <c r="Q1797" s="6" t="s">
        <v>3189</v>
      </c>
      <c r="R1797" s="6" t="s">
        <v>57</v>
      </c>
      <c r="S1797" s="6" t="s">
        <v>56</v>
      </c>
      <c r="T1797" s="6" t="s">
        <v>56</v>
      </c>
      <c r="AR1797" s="6" t="s">
        <v>55</v>
      </c>
      <c r="AS1797" s="6" t="s">
        <v>55</v>
      </c>
      <c r="AU1797" s="6" t="s">
        <v>3203</v>
      </c>
      <c r="AV1797">
        <v>945</v>
      </c>
    </row>
    <row r="1798" spans="1:48" ht="30" customHeight="1" x14ac:dyDescent="0.3">
      <c r="A1798" s="4" t="s">
        <v>55</v>
      </c>
      <c r="B1798" s="4" t="s">
        <v>55</v>
      </c>
      <c r="C1798" s="4" t="s">
        <v>55</v>
      </c>
      <c r="D1798" s="5"/>
      <c r="E1798" s="7">
        <f>TRUNC([1]단가대비표!O874,0)</f>
        <v>0</v>
      </c>
      <c r="F1798" s="7">
        <f t="shared" si="195"/>
        <v>0</v>
      </c>
      <c r="G1798" s="7">
        <f>TRUNC([1]단가대비표!P874,0)</f>
        <v>0</v>
      </c>
      <c r="H1798" s="7">
        <f t="shared" si="196"/>
        <v>0</v>
      </c>
      <c r="I1798" s="7">
        <f>TRUNC([1]단가대비표!V874,0)</f>
        <v>0</v>
      </c>
      <c r="J1798" s="7">
        <f t="shared" si="197"/>
        <v>0</v>
      </c>
      <c r="K1798" s="7">
        <f t="shared" si="198"/>
        <v>0</v>
      </c>
      <c r="L1798" s="7">
        <f t="shared" si="198"/>
        <v>0</v>
      </c>
      <c r="M1798" s="4" t="s">
        <v>55</v>
      </c>
      <c r="N1798" s="6" t="s">
        <v>3204</v>
      </c>
      <c r="O1798" s="6" t="s">
        <v>55</v>
      </c>
      <c r="P1798" s="6" t="s">
        <v>55</v>
      </c>
      <c r="Q1798" s="6" t="s">
        <v>3189</v>
      </c>
      <c r="R1798" s="6" t="s">
        <v>56</v>
      </c>
      <c r="S1798" s="6" t="s">
        <v>56</v>
      </c>
      <c r="T1798" s="6" t="s">
        <v>57</v>
      </c>
      <c r="AR1798" s="6" t="s">
        <v>55</v>
      </c>
      <c r="AS1798" s="6" t="s">
        <v>55</v>
      </c>
      <c r="AU1798" s="6" t="s">
        <v>3205</v>
      </c>
      <c r="AV1798">
        <v>3251</v>
      </c>
    </row>
    <row r="1799" spans="1:48" ht="30" customHeight="1" x14ac:dyDescent="0.3">
      <c r="A1799" s="4" t="s">
        <v>1069</v>
      </c>
      <c r="B1799" s="4" t="s">
        <v>55</v>
      </c>
      <c r="C1799" s="4" t="s">
        <v>55</v>
      </c>
      <c r="D1799" s="5"/>
      <c r="E1799" s="7">
        <f>TRUNC([1]단가대비표!O875,0)</f>
        <v>0</v>
      </c>
      <c r="F1799" s="7">
        <f t="shared" si="195"/>
        <v>0</v>
      </c>
      <c r="G1799" s="7">
        <f>TRUNC([1]단가대비표!P875,0)</f>
        <v>0</v>
      </c>
      <c r="H1799" s="7">
        <f t="shared" si="196"/>
        <v>0</v>
      </c>
      <c r="I1799" s="7">
        <f>TRUNC([1]단가대비표!V875,0)</f>
        <v>0</v>
      </c>
      <c r="J1799" s="7">
        <f t="shared" si="197"/>
        <v>0</v>
      </c>
      <c r="K1799" s="7">
        <f t="shared" si="198"/>
        <v>0</v>
      </c>
      <c r="L1799" s="7">
        <f t="shared" si="198"/>
        <v>0</v>
      </c>
      <c r="M1799" s="4" t="s">
        <v>55</v>
      </c>
      <c r="N1799" s="6" t="s">
        <v>3206</v>
      </c>
      <c r="O1799" s="6" t="s">
        <v>55</v>
      </c>
      <c r="P1799" s="6" t="s">
        <v>55</v>
      </c>
      <c r="Q1799" s="6" t="s">
        <v>3189</v>
      </c>
      <c r="R1799" s="6" t="s">
        <v>56</v>
      </c>
      <c r="S1799" s="6" t="s">
        <v>56</v>
      </c>
      <c r="T1799" s="6" t="s">
        <v>57</v>
      </c>
      <c r="AR1799" s="6" t="s">
        <v>55</v>
      </c>
      <c r="AS1799" s="6" t="s">
        <v>55</v>
      </c>
      <c r="AU1799" s="6" t="s">
        <v>3207</v>
      </c>
      <c r="AV1799">
        <v>3252</v>
      </c>
    </row>
    <row r="1800" spans="1:48" ht="30" customHeight="1" x14ac:dyDescent="0.3">
      <c r="A1800" s="4" t="s">
        <v>2421</v>
      </c>
      <c r="B1800" s="4" t="s">
        <v>2422</v>
      </c>
      <c r="C1800" s="4" t="s">
        <v>61</v>
      </c>
      <c r="D1800" s="5">
        <v>13</v>
      </c>
      <c r="E1800" s="7">
        <f>TRUNC([1]단가대비표!O876,0)</f>
        <v>28000</v>
      </c>
      <c r="F1800" s="7">
        <f t="shared" si="195"/>
        <v>364000</v>
      </c>
      <c r="G1800" s="7">
        <f>TRUNC([1]단가대비표!P876,0)</f>
        <v>0</v>
      </c>
      <c r="H1800" s="7">
        <f t="shared" si="196"/>
        <v>0</v>
      </c>
      <c r="I1800" s="7">
        <f>TRUNC([1]단가대비표!V876,0)</f>
        <v>0</v>
      </c>
      <c r="J1800" s="7">
        <f t="shared" si="197"/>
        <v>0</v>
      </c>
      <c r="K1800" s="7">
        <f t="shared" si="198"/>
        <v>28000</v>
      </c>
      <c r="L1800" s="7">
        <f t="shared" si="198"/>
        <v>364000</v>
      </c>
      <c r="M1800" s="4" t="s">
        <v>115</v>
      </c>
      <c r="N1800" s="6" t="s">
        <v>3208</v>
      </c>
      <c r="O1800" s="6" t="s">
        <v>55</v>
      </c>
      <c r="P1800" s="6" t="s">
        <v>55</v>
      </c>
      <c r="Q1800" s="6" t="s">
        <v>3189</v>
      </c>
      <c r="R1800" s="6" t="s">
        <v>56</v>
      </c>
      <c r="S1800" s="6" t="s">
        <v>56</v>
      </c>
      <c r="T1800" s="6" t="s">
        <v>57</v>
      </c>
      <c r="AR1800" s="6" t="s">
        <v>55</v>
      </c>
      <c r="AS1800" s="6" t="s">
        <v>55</v>
      </c>
      <c r="AU1800" s="6" t="s">
        <v>3209</v>
      </c>
      <c r="AV1800">
        <v>3253</v>
      </c>
    </row>
    <row r="1801" spans="1:48" ht="30" customHeight="1" x14ac:dyDescent="0.3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</row>
    <row r="1802" spans="1:48" ht="30" customHeight="1" x14ac:dyDescent="0.3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</row>
    <row r="1803" spans="1:48" ht="30" customHeight="1" x14ac:dyDescent="0.3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</row>
    <row r="1804" spans="1:48" ht="30" customHeight="1" x14ac:dyDescent="0.3">
      <c r="A1804" s="4" t="s">
        <v>128</v>
      </c>
      <c r="B1804" s="5"/>
      <c r="C1804" s="5"/>
      <c r="D1804" s="5"/>
      <c r="E1804" s="5"/>
      <c r="F1804" s="7">
        <f>SUM(F1785:F1803)</f>
        <v>29559036</v>
      </c>
      <c r="G1804" s="5"/>
      <c r="H1804" s="7">
        <f>SUM(H1785:H1803)</f>
        <v>9279229</v>
      </c>
      <c r="I1804" s="5"/>
      <c r="J1804" s="7">
        <f>SUM(J1785:J1803)</f>
        <v>16188</v>
      </c>
      <c r="K1804" s="5"/>
      <c r="L1804" s="7">
        <f>SUM(L1785:L1803)</f>
        <v>38854453</v>
      </c>
      <c r="M1804" s="5"/>
      <c r="N1804" t="s">
        <v>129</v>
      </c>
    </row>
    <row r="1805" spans="1:48" ht="30" customHeight="1" x14ac:dyDescent="0.3">
      <c r="A1805" s="4" t="s">
        <v>3210</v>
      </c>
      <c r="B1805" s="4" t="s">
        <v>3071</v>
      </c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Q1805" s="6" t="s">
        <v>3211</v>
      </c>
    </row>
    <row r="1806" spans="1:48" ht="30" customHeight="1" x14ac:dyDescent="0.3">
      <c r="A1806" s="4" t="s">
        <v>1120</v>
      </c>
      <c r="B1806" s="4" t="s">
        <v>1121</v>
      </c>
      <c r="C1806" s="4" t="s">
        <v>269</v>
      </c>
      <c r="D1806" s="5">
        <v>13</v>
      </c>
      <c r="E1806" s="7">
        <f>TRUNC([1]일위대가목록!E101,0)</f>
        <v>534</v>
      </c>
      <c r="F1806" s="7">
        <f>TRUNC(E1806*D1806, 0)</f>
        <v>6942</v>
      </c>
      <c r="G1806" s="7">
        <f>TRUNC([1]일위대가목록!F101,0)</f>
        <v>4096</v>
      </c>
      <c r="H1806" s="7">
        <f>TRUNC(G1806*D1806, 0)</f>
        <v>53248</v>
      </c>
      <c r="I1806" s="7">
        <f>TRUNC([1]일위대가목록!G101,0)</f>
        <v>0</v>
      </c>
      <c r="J1806" s="7">
        <f>TRUNC(I1806*D1806, 0)</f>
        <v>0</v>
      </c>
      <c r="K1806" s="7">
        <f>TRUNC(E1806+G1806+I1806, 0)</f>
        <v>4630</v>
      </c>
      <c r="L1806" s="7">
        <f>TRUNC(F1806+H1806+J1806, 0)</f>
        <v>60190</v>
      </c>
      <c r="M1806" s="4" t="s">
        <v>1122</v>
      </c>
      <c r="N1806" s="6" t="s">
        <v>1123</v>
      </c>
      <c r="O1806" s="6" t="s">
        <v>55</v>
      </c>
      <c r="P1806" s="6" t="s">
        <v>55</v>
      </c>
      <c r="Q1806" s="6" t="s">
        <v>3211</v>
      </c>
      <c r="R1806" s="6" t="s">
        <v>57</v>
      </c>
      <c r="S1806" s="6" t="s">
        <v>56</v>
      </c>
      <c r="T1806" s="6" t="s">
        <v>56</v>
      </c>
      <c r="AR1806" s="6" t="s">
        <v>55</v>
      </c>
      <c r="AS1806" s="6" t="s">
        <v>55</v>
      </c>
      <c r="AU1806" s="6" t="s">
        <v>3212</v>
      </c>
      <c r="AV1806">
        <v>2711</v>
      </c>
    </row>
    <row r="1807" spans="1:48" ht="30" customHeight="1" x14ac:dyDescent="0.3">
      <c r="A1807" s="4" t="s">
        <v>1130</v>
      </c>
      <c r="B1807" s="4" t="s">
        <v>1131</v>
      </c>
      <c r="C1807" s="4" t="s">
        <v>269</v>
      </c>
      <c r="D1807" s="5">
        <v>13</v>
      </c>
      <c r="E1807" s="7">
        <f>TRUNC([1]일위대가목록!E103,0)</f>
        <v>5406</v>
      </c>
      <c r="F1807" s="7">
        <f>TRUNC(E1807*D1807, 0)</f>
        <v>70278</v>
      </c>
      <c r="G1807" s="7">
        <f>TRUNC([1]일위대가목록!F103,0)</f>
        <v>16634</v>
      </c>
      <c r="H1807" s="7">
        <f>TRUNC(G1807*D1807, 0)</f>
        <v>216242</v>
      </c>
      <c r="I1807" s="7">
        <f>TRUNC([1]일위대가목록!G103,0)</f>
        <v>770</v>
      </c>
      <c r="J1807" s="7">
        <f>TRUNC(I1807*D1807, 0)</f>
        <v>10010</v>
      </c>
      <c r="K1807" s="7">
        <f>TRUNC(E1807+G1807+I1807, 0)</f>
        <v>22810</v>
      </c>
      <c r="L1807" s="7">
        <f>TRUNC(F1807+H1807+J1807, 0)</f>
        <v>296530</v>
      </c>
      <c r="M1807" s="4" t="s">
        <v>1132</v>
      </c>
      <c r="N1807" s="6" t="s">
        <v>1133</v>
      </c>
      <c r="O1807" s="6" t="s">
        <v>55</v>
      </c>
      <c r="P1807" s="6" t="s">
        <v>55</v>
      </c>
      <c r="Q1807" s="6" t="s">
        <v>3211</v>
      </c>
      <c r="R1807" s="6" t="s">
        <v>57</v>
      </c>
      <c r="S1807" s="6" t="s">
        <v>56</v>
      </c>
      <c r="T1807" s="6" t="s">
        <v>56</v>
      </c>
      <c r="AR1807" s="6" t="s">
        <v>55</v>
      </c>
      <c r="AS1807" s="6" t="s">
        <v>55</v>
      </c>
      <c r="AU1807" s="6" t="s">
        <v>3213</v>
      </c>
      <c r="AV1807">
        <v>3179</v>
      </c>
    </row>
    <row r="1808" spans="1:48" ht="30" customHeight="1" x14ac:dyDescent="0.3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</row>
    <row r="1809" spans="1:13" ht="30" customHeight="1" x14ac:dyDescent="0.3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</row>
    <row r="1810" spans="1:13" ht="30" customHeight="1" x14ac:dyDescent="0.3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</row>
    <row r="1811" spans="1:13" ht="30" customHeight="1" x14ac:dyDescent="0.3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</row>
    <row r="1812" spans="1:13" ht="30" customHeight="1" x14ac:dyDescent="0.3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</row>
    <row r="1813" spans="1:13" ht="30" customHeight="1" x14ac:dyDescent="0.3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</row>
    <row r="1814" spans="1:13" ht="30" customHeight="1" x14ac:dyDescent="0.3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</row>
    <row r="1815" spans="1:13" ht="30" customHeight="1" x14ac:dyDescent="0.3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</row>
    <row r="1816" spans="1:13" ht="30" customHeight="1" x14ac:dyDescent="0.3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</row>
    <row r="1817" spans="1:13" ht="30" customHeight="1" x14ac:dyDescent="0.3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</row>
    <row r="1818" spans="1:13" ht="30" customHeight="1" x14ac:dyDescent="0.3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</row>
    <row r="1819" spans="1:13" ht="30" customHeight="1" x14ac:dyDescent="0.3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</row>
    <row r="1820" spans="1:13" ht="30" customHeight="1" x14ac:dyDescent="0.3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</row>
    <row r="1821" spans="1:13" ht="30" customHeight="1" x14ac:dyDescent="0.3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</row>
    <row r="1822" spans="1:13" ht="30" customHeight="1" x14ac:dyDescent="0.3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</row>
    <row r="1823" spans="1:13" ht="30" customHeight="1" x14ac:dyDescent="0.3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</row>
    <row r="1824" spans="1:13" ht="30" customHeight="1" x14ac:dyDescent="0.3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</row>
    <row r="1825" spans="1:48" ht="30" customHeight="1" x14ac:dyDescent="0.3">
      <c r="A1825" s="4" t="s">
        <v>128</v>
      </c>
      <c r="B1825" s="5"/>
      <c r="C1825" s="5"/>
      <c r="D1825" s="5"/>
      <c r="E1825" s="5"/>
      <c r="F1825" s="7">
        <f>SUM(F1806:F1824)</f>
        <v>77220</v>
      </c>
      <c r="G1825" s="5"/>
      <c r="H1825" s="7">
        <f>SUM(H1806:H1824)</f>
        <v>269490</v>
      </c>
      <c r="I1825" s="5"/>
      <c r="J1825" s="7">
        <f>SUM(J1806:J1824)</f>
        <v>10010</v>
      </c>
      <c r="K1825" s="5"/>
      <c r="L1825" s="7">
        <f>SUM(L1806:L1824)</f>
        <v>356720</v>
      </c>
      <c r="M1825" s="5"/>
      <c r="N1825" t="s">
        <v>129</v>
      </c>
    </row>
    <row r="1826" spans="1:48" ht="30" customHeight="1" x14ac:dyDescent="0.3">
      <c r="A1826" s="4" t="s">
        <v>3214</v>
      </c>
      <c r="B1826" s="4" t="s">
        <v>3071</v>
      </c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Q1826" s="6" t="s">
        <v>3215</v>
      </c>
    </row>
    <row r="1827" spans="1:48" ht="30" customHeight="1" x14ac:dyDescent="0.3">
      <c r="A1827" s="4" t="s">
        <v>528</v>
      </c>
      <c r="B1827" s="4" t="s">
        <v>3216</v>
      </c>
      <c r="C1827" s="4" t="s">
        <v>61</v>
      </c>
      <c r="D1827" s="5">
        <v>3</v>
      </c>
      <c r="E1827" s="7">
        <f>TRUNC([1]일위대가목록!E237,0)</f>
        <v>0</v>
      </c>
      <c r="F1827" s="7">
        <f t="shared" ref="F1827:F1835" si="199">TRUNC(E1827*D1827, 0)</f>
        <v>0</v>
      </c>
      <c r="G1827" s="7">
        <f>TRUNC([1]일위대가목록!F237,0)</f>
        <v>16672</v>
      </c>
      <c r="H1827" s="7">
        <f t="shared" ref="H1827:H1835" si="200">TRUNC(G1827*D1827, 0)</f>
        <v>50016</v>
      </c>
      <c r="I1827" s="7">
        <f>TRUNC([1]일위대가목록!G237,0)</f>
        <v>314</v>
      </c>
      <c r="J1827" s="7">
        <f t="shared" ref="J1827:J1835" si="201">TRUNC(I1827*D1827, 0)</f>
        <v>942</v>
      </c>
      <c r="K1827" s="7">
        <f t="shared" ref="K1827:L1835" si="202">TRUNC(E1827+G1827+I1827, 0)</f>
        <v>16986</v>
      </c>
      <c r="L1827" s="7">
        <f t="shared" si="202"/>
        <v>50958</v>
      </c>
      <c r="M1827" s="4" t="s">
        <v>3217</v>
      </c>
      <c r="N1827" s="6" t="s">
        <v>3218</v>
      </c>
      <c r="O1827" s="6" t="s">
        <v>55</v>
      </c>
      <c r="P1827" s="6" t="s">
        <v>55</v>
      </c>
      <c r="Q1827" s="6" t="s">
        <v>3215</v>
      </c>
      <c r="R1827" s="6" t="s">
        <v>57</v>
      </c>
      <c r="S1827" s="6" t="s">
        <v>56</v>
      </c>
      <c r="T1827" s="6" t="s">
        <v>56</v>
      </c>
      <c r="AR1827" s="6" t="s">
        <v>55</v>
      </c>
      <c r="AS1827" s="6" t="s">
        <v>55</v>
      </c>
      <c r="AU1827" s="6" t="s">
        <v>3219</v>
      </c>
      <c r="AV1827">
        <v>959</v>
      </c>
    </row>
    <row r="1828" spans="1:48" ht="30" customHeight="1" x14ac:dyDescent="0.3">
      <c r="A1828" s="4" t="s">
        <v>528</v>
      </c>
      <c r="B1828" s="4" t="s">
        <v>1433</v>
      </c>
      <c r="C1828" s="4" t="s">
        <v>61</v>
      </c>
      <c r="D1828" s="5">
        <v>32</v>
      </c>
      <c r="E1828" s="7">
        <f>TRUNC([1]일위대가목록!E238,0)</f>
        <v>0</v>
      </c>
      <c r="F1828" s="7">
        <f t="shared" si="199"/>
        <v>0</v>
      </c>
      <c r="G1828" s="7">
        <f>TRUNC([1]일위대가목록!F238,0)</f>
        <v>23490</v>
      </c>
      <c r="H1828" s="7">
        <f t="shared" si="200"/>
        <v>751680</v>
      </c>
      <c r="I1828" s="7">
        <f>TRUNC([1]일위대가목록!G238,0)</f>
        <v>447</v>
      </c>
      <c r="J1828" s="7">
        <f t="shared" si="201"/>
        <v>14304</v>
      </c>
      <c r="K1828" s="7">
        <f t="shared" si="202"/>
        <v>23937</v>
      </c>
      <c r="L1828" s="7">
        <f t="shared" si="202"/>
        <v>765984</v>
      </c>
      <c r="M1828" s="4" t="s">
        <v>3220</v>
      </c>
      <c r="N1828" s="6" t="s">
        <v>3221</v>
      </c>
      <c r="O1828" s="6" t="s">
        <v>55</v>
      </c>
      <c r="P1828" s="6" t="s">
        <v>55</v>
      </c>
      <c r="Q1828" s="6" t="s">
        <v>3215</v>
      </c>
      <c r="R1828" s="6" t="s">
        <v>57</v>
      </c>
      <c r="S1828" s="6" t="s">
        <v>56</v>
      </c>
      <c r="T1828" s="6" t="s">
        <v>56</v>
      </c>
      <c r="AR1828" s="6" t="s">
        <v>55</v>
      </c>
      <c r="AS1828" s="6" t="s">
        <v>55</v>
      </c>
      <c r="AU1828" s="6" t="s">
        <v>3222</v>
      </c>
      <c r="AV1828">
        <v>960</v>
      </c>
    </row>
    <row r="1829" spans="1:48" ht="30" customHeight="1" x14ac:dyDescent="0.3">
      <c r="A1829" s="4" t="s">
        <v>528</v>
      </c>
      <c r="B1829" s="4" t="s">
        <v>1445</v>
      </c>
      <c r="C1829" s="4" t="s">
        <v>61</v>
      </c>
      <c r="D1829" s="5">
        <v>11</v>
      </c>
      <c r="E1829" s="7">
        <f>TRUNC([1]일위대가목록!E123,0)</f>
        <v>0</v>
      </c>
      <c r="F1829" s="7">
        <f t="shared" si="199"/>
        <v>0</v>
      </c>
      <c r="G1829" s="7">
        <f>TRUNC([1]일위대가목록!F123,0)</f>
        <v>14538</v>
      </c>
      <c r="H1829" s="7">
        <f t="shared" si="200"/>
        <v>159918</v>
      </c>
      <c r="I1829" s="7">
        <f>TRUNC([1]일위대가목록!G123,0)</f>
        <v>214</v>
      </c>
      <c r="J1829" s="7">
        <f t="shared" si="201"/>
        <v>2354</v>
      </c>
      <c r="K1829" s="7">
        <f t="shared" si="202"/>
        <v>14752</v>
      </c>
      <c r="L1829" s="7">
        <f t="shared" si="202"/>
        <v>162272</v>
      </c>
      <c r="M1829" s="4" t="s">
        <v>1446</v>
      </c>
      <c r="N1829" s="6" t="s">
        <v>1447</v>
      </c>
      <c r="O1829" s="6" t="s">
        <v>55</v>
      </c>
      <c r="P1829" s="6" t="s">
        <v>55</v>
      </c>
      <c r="Q1829" s="6" t="s">
        <v>3215</v>
      </c>
      <c r="R1829" s="6" t="s">
        <v>57</v>
      </c>
      <c r="S1829" s="6" t="s">
        <v>56</v>
      </c>
      <c r="T1829" s="6" t="s">
        <v>56</v>
      </c>
      <c r="AR1829" s="6" t="s">
        <v>55</v>
      </c>
      <c r="AS1829" s="6" t="s">
        <v>55</v>
      </c>
      <c r="AU1829" s="6" t="s">
        <v>3223</v>
      </c>
      <c r="AV1829">
        <v>961</v>
      </c>
    </row>
    <row r="1830" spans="1:48" ht="30" customHeight="1" x14ac:dyDescent="0.3">
      <c r="A1830" s="4" t="s">
        <v>1475</v>
      </c>
      <c r="B1830" s="4" t="s">
        <v>1476</v>
      </c>
      <c r="C1830" s="4" t="s">
        <v>61</v>
      </c>
      <c r="D1830" s="5">
        <v>104</v>
      </c>
      <c r="E1830" s="7">
        <f>TRUNC([1]일위대가목록!E220,0)</f>
        <v>62</v>
      </c>
      <c r="F1830" s="7">
        <f t="shared" si="199"/>
        <v>6448</v>
      </c>
      <c r="G1830" s="7">
        <f>TRUNC([1]일위대가목록!F220,0)</f>
        <v>2094</v>
      </c>
      <c r="H1830" s="7">
        <f t="shared" si="200"/>
        <v>217776</v>
      </c>
      <c r="I1830" s="7">
        <f>TRUNC([1]일위대가목록!G220,0)</f>
        <v>0</v>
      </c>
      <c r="J1830" s="7">
        <f t="shared" si="201"/>
        <v>0</v>
      </c>
      <c r="K1830" s="7">
        <f t="shared" si="202"/>
        <v>2156</v>
      </c>
      <c r="L1830" s="7">
        <f t="shared" si="202"/>
        <v>224224</v>
      </c>
      <c r="M1830" s="4" t="s">
        <v>2806</v>
      </c>
      <c r="N1830" s="6" t="s">
        <v>2807</v>
      </c>
      <c r="O1830" s="6" t="s">
        <v>55</v>
      </c>
      <c r="P1830" s="6" t="s">
        <v>55</v>
      </c>
      <c r="Q1830" s="6" t="s">
        <v>3215</v>
      </c>
      <c r="R1830" s="6" t="s">
        <v>57</v>
      </c>
      <c r="S1830" s="6" t="s">
        <v>56</v>
      </c>
      <c r="T1830" s="6" t="s">
        <v>56</v>
      </c>
      <c r="AR1830" s="6" t="s">
        <v>55</v>
      </c>
      <c r="AS1830" s="6" t="s">
        <v>55</v>
      </c>
      <c r="AU1830" s="6" t="s">
        <v>3224</v>
      </c>
      <c r="AV1830">
        <v>962</v>
      </c>
    </row>
    <row r="1831" spans="1:48" ht="30" customHeight="1" x14ac:dyDescent="0.3">
      <c r="A1831" s="4" t="s">
        <v>1475</v>
      </c>
      <c r="B1831" s="4" t="s">
        <v>1484</v>
      </c>
      <c r="C1831" s="4" t="s">
        <v>61</v>
      </c>
      <c r="D1831" s="5">
        <v>191</v>
      </c>
      <c r="E1831" s="7">
        <f>TRUNC([1]일위대가목록!E132,0)</f>
        <v>481</v>
      </c>
      <c r="F1831" s="7">
        <f t="shared" si="199"/>
        <v>91871</v>
      </c>
      <c r="G1831" s="7">
        <f>TRUNC([1]일위대가목록!F132,0)</f>
        <v>2094</v>
      </c>
      <c r="H1831" s="7">
        <f t="shared" si="200"/>
        <v>399954</v>
      </c>
      <c r="I1831" s="7">
        <f>TRUNC([1]일위대가목록!G132,0)</f>
        <v>0</v>
      </c>
      <c r="J1831" s="7">
        <f t="shared" si="201"/>
        <v>0</v>
      </c>
      <c r="K1831" s="7">
        <f t="shared" si="202"/>
        <v>2575</v>
      </c>
      <c r="L1831" s="7">
        <f t="shared" si="202"/>
        <v>491825</v>
      </c>
      <c r="M1831" s="4" t="s">
        <v>1485</v>
      </c>
      <c r="N1831" s="6" t="s">
        <v>1486</v>
      </c>
      <c r="O1831" s="6" t="s">
        <v>55</v>
      </c>
      <c r="P1831" s="6" t="s">
        <v>55</v>
      </c>
      <c r="Q1831" s="6" t="s">
        <v>3215</v>
      </c>
      <c r="R1831" s="6" t="s">
        <v>57</v>
      </c>
      <c r="S1831" s="6" t="s">
        <v>56</v>
      </c>
      <c r="T1831" s="6" t="s">
        <v>56</v>
      </c>
      <c r="AR1831" s="6" t="s">
        <v>55</v>
      </c>
      <c r="AS1831" s="6" t="s">
        <v>55</v>
      </c>
      <c r="AU1831" s="6" t="s">
        <v>3225</v>
      </c>
      <c r="AV1831">
        <v>963</v>
      </c>
    </row>
    <row r="1832" spans="1:48" ht="30" customHeight="1" x14ac:dyDescent="0.3">
      <c r="A1832" s="4" t="s">
        <v>1475</v>
      </c>
      <c r="B1832" s="4" t="s">
        <v>1488</v>
      </c>
      <c r="C1832" s="4" t="s">
        <v>61</v>
      </c>
      <c r="D1832" s="5">
        <v>478</v>
      </c>
      <c r="E1832" s="7">
        <f>TRUNC([1]일위대가목록!E133,0)</f>
        <v>62</v>
      </c>
      <c r="F1832" s="7">
        <f t="shared" si="199"/>
        <v>29636</v>
      </c>
      <c r="G1832" s="7">
        <f>TRUNC([1]일위대가목록!F133,0)</f>
        <v>2094</v>
      </c>
      <c r="H1832" s="7">
        <f t="shared" si="200"/>
        <v>1000932</v>
      </c>
      <c r="I1832" s="7">
        <f>TRUNC([1]일위대가목록!G133,0)</f>
        <v>0</v>
      </c>
      <c r="J1832" s="7">
        <f t="shared" si="201"/>
        <v>0</v>
      </c>
      <c r="K1832" s="7">
        <f t="shared" si="202"/>
        <v>2156</v>
      </c>
      <c r="L1832" s="7">
        <f t="shared" si="202"/>
        <v>1030568</v>
      </c>
      <c r="M1832" s="4" t="s">
        <v>1489</v>
      </c>
      <c r="N1832" s="6" t="s">
        <v>1490</v>
      </c>
      <c r="O1832" s="6" t="s">
        <v>55</v>
      </c>
      <c r="P1832" s="6" t="s">
        <v>55</v>
      </c>
      <c r="Q1832" s="6" t="s">
        <v>3215</v>
      </c>
      <c r="R1832" s="6" t="s">
        <v>57</v>
      </c>
      <c r="S1832" s="6" t="s">
        <v>56</v>
      </c>
      <c r="T1832" s="6" t="s">
        <v>56</v>
      </c>
      <c r="AR1832" s="6" t="s">
        <v>55</v>
      </c>
      <c r="AS1832" s="6" t="s">
        <v>55</v>
      </c>
      <c r="AU1832" s="6" t="s">
        <v>3226</v>
      </c>
      <c r="AV1832">
        <v>964</v>
      </c>
    </row>
    <row r="1833" spans="1:48" ht="30" customHeight="1" x14ac:dyDescent="0.3">
      <c r="A1833" s="4" t="s">
        <v>1492</v>
      </c>
      <c r="B1833" s="4" t="s">
        <v>1493</v>
      </c>
      <c r="C1833" s="4" t="s">
        <v>61</v>
      </c>
      <c r="D1833" s="5">
        <v>448</v>
      </c>
      <c r="E1833" s="7">
        <f>TRUNC([1]일위대가목록!E239,0)</f>
        <v>0</v>
      </c>
      <c r="F1833" s="7">
        <f t="shared" si="199"/>
        <v>0</v>
      </c>
      <c r="G1833" s="7">
        <f>TRUNC([1]일위대가목록!F239,0)</f>
        <v>755</v>
      </c>
      <c r="H1833" s="7">
        <f t="shared" si="200"/>
        <v>338240</v>
      </c>
      <c r="I1833" s="7">
        <f>TRUNC([1]일위대가목록!G239,0)</f>
        <v>0</v>
      </c>
      <c r="J1833" s="7">
        <f t="shared" si="201"/>
        <v>0</v>
      </c>
      <c r="K1833" s="7">
        <f t="shared" si="202"/>
        <v>755</v>
      </c>
      <c r="L1833" s="7">
        <f t="shared" si="202"/>
        <v>338240</v>
      </c>
      <c r="M1833" s="4" t="s">
        <v>3227</v>
      </c>
      <c r="N1833" s="6" t="s">
        <v>3228</v>
      </c>
      <c r="O1833" s="6" t="s">
        <v>55</v>
      </c>
      <c r="P1833" s="6" t="s">
        <v>55</v>
      </c>
      <c r="Q1833" s="6" t="s">
        <v>3215</v>
      </c>
      <c r="R1833" s="6" t="s">
        <v>57</v>
      </c>
      <c r="S1833" s="6" t="s">
        <v>56</v>
      </c>
      <c r="T1833" s="6" t="s">
        <v>56</v>
      </c>
      <c r="AR1833" s="6" t="s">
        <v>55</v>
      </c>
      <c r="AS1833" s="6" t="s">
        <v>55</v>
      </c>
      <c r="AU1833" s="6" t="s">
        <v>3229</v>
      </c>
      <c r="AV1833">
        <v>965</v>
      </c>
    </row>
    <row r="1834" spans="1:48" ht="30" customHeight="1" x14ac:dyDescent="0.3">
      <c r="A1834" s="4" t="s">
        <v>1518</v>
      </c>
      <c r="B1834" s="4" t="s">
        <v>55</v>
      </c>
      <c r="C1834" s="4" t="s">
        <v>269</v>
      </c>
      <c r="D1834" s="5">
        <v>13</v>
      </c>
      <c r="E1834" s="7">
        <f>TRUNC([1]일위대가목록!E240,0)</f>
        <v>0</v>
      </c>
      <c r="F1834" s="7">
        <f t="shared" si="199"/>
        <v>0</v>
      </c>
      <c r="G1834" s="7">
        <f>TRUNC([1]일위대가목록!F240,0)</f>
        <v>4155</v>
      </c>
      <c r="H1834" s="7">
        <f t="shared" si="200"/>
        <v>54015</v>
      </c>
      <c r="I1834" s="7">
        <f>TRUNC([1]일위대가목록!G240,0)</f>
        <v>83</v>
      </c>
      <c r="J1834" s="7">
        <f t="shared" si="201"/>
        <v>1079</v>
      </c>
      <c r="K1834" s="7">
        <f t="shared" si="202"/>
        <v>4238</v>
      </c>
      <c r="L1834" s="7">
        <f t="shared" si="202"/>
        <v>55094</v>
      </c>
      <c r="M1834" s="4" t="s">
        <v>3230</v>
      </c>
      <c r="N1834" s="6" t="s">
        <v>3231</v>
      </c>
      <c r="O1834" s="6" t="s">
        <v>55</v>
      </c>
      <c r="P1834" s="6" t="s">
        <v>55</v>
      </c>
      <c r="Q1834" s="6" t="s">
        <v>3215</v>
      </c>
      <c r="R1834" s="6" t="s">
        <v>57</v>
      </c>
      <c r="S1834" s="6" t="s">
        <v>56</v>
      </c>
      <c r="T1834" s="6" t="s">
        <v>56</v>
      </c>
      <c r="AR1834" s="6" t="s">
        <v>55</v>
      </c>
      <c r="AS1834" s="6" t="s">
        <v>55</v>
      </c>
      <c r="AU1834" s="6" t="s">
        <v>3232</v>
      </c>
      <c r="AV1834">
        <v>966</v>
      </c>
    </row>
    <row r="1835" spans="1:48" ht="30" customHeight="1" x14ac:dyDescent="0.3">
      <c r="A1835" s="4" t="s">
        <v>1526</v>
      </c>
      <c r="B1835" s="4" t="s">
        <v>55</v>
      </c>
      <c r="C1835" s="4" t="s">
        <v>269</v>
      </c>
      <c r="D1835" s="5">
        <v>16</v>
      </c>
      <c r="E1835" s="7">
        <f>TRUNC([1]일위대가목록!E241,0)</f>
        <v>0</v>
      </c>
      <c r="F1835" s="7">
        <f t="shared" si="199"/>
        <v>0</v>
      </c>
      <c r="G1835" s="7">
        <f>TRUNC([1]일위대가목록!F241,0)</f>
        <v>2487</v>
      </c>
      <c r="H1835" s="7">
        <f t="shared" si="200"/>
        <v>39792</v>
      </c>
      <c r="I1835" s="7">
        <f>TRUNC([1]일위대가목록!G241,0)</f>
        <v>0</v>
      </c>
      <c r="J1835" s="7">
        <f t="shared" si="201"/>
        <v>0</v>
      </c>
      <c r="K1835" s="7">
        <f t="shared" si="202"/>
        <v>2487</v>
      </c>
      <c r="L1835" s="7">
        <f t="shared" si="202"/>
        <v>39792</v>
      </c>
      <c r="M1835" s="4" t="s">
        <v>3233</v>
      </c>
      <c r="N1835" s="6" t="s">
        <v>3234</v>
      </c>
      <c r="O1835" s="6" t="s">
        <v>55</v>
      </c>
      <c r="P1835" s="6" t="s">
        <v>55</v>
      </c>
      <c r="Q1835" s="6" t="s">
        <v>3215</v>
      </c>
      <c r="R1835" s="6" t="s">
        <v>57</v>
      </c>
      <c r="S1835" s="6" t="s">
        <v>56</v>
      </c>
      <c r="T1835" s="6" t="s">
        <v>56</v>
      </c>
      <c r="AR1835" s="6" t="s">
        <v>55</v>
      </c>
      <c r="AS1835" s="6" t="s">
        <v>55</v>
      </c>
      <c r="AU1835" s="6" t="s">
        <v>3235</v>
      </c>
      <c r="AV1835">
        <v>967</v>
      </c>
    </row>
    <row r="1836" spans="1:48" ht="30" customHeight="1" x14ac:dyDescent="0.3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</row>
    <row r="1837" spans="1:48" ht="30" customHeight="1" x14ac:dyDescent="0.3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</row>
    <row r="1838" spans="1:48" ht="30" customHeight="1" x14ac:dyDescent="0.3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</row>
    <row r="1839" spans="1:48" ht="30" customHeight="1" x14ac:dyDescent="0.3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</row>
    <row r="1840" spans="1:48" ht="30" customHeight="1" x14ac:dyDescent="0.3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</row>
    <row r="1841" spans="1:48" ht="30" customHeight="1" x14ac:dyDescent="0.3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</row>
    <row r="1842" spans="1:48" ht="30" customHeight="1" x14ac:dyDescent="0.3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</row>
    <row r="1843" spans="1:48" ht="30" customHeight="1" x14ac:dyDescent="0.3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</row>
    <row r="1844" spans="1:48" ht="30" customHeight="1" x14ac:dyDescent="0.3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</row>
    <row r="1845" spans="1:48" ht="30" customHeight="1" x14ac:dyDescent="0.3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</row>
    <row r="1846" spans="1:48" ht="30" customHeight="1" x14ac:dyDescent="0.3">
      <c r="A1846" s="4" t="s">
        <v>128</v>
      </c>
      <c r="B1846" s="5"/>
      <c r="C1846" s="5"/>
      <c r="D1846" s="5"/>
      <c r="E1846" s="5"/>
      <c r="F1846" s="7">
        <f>SUM(F1827:F1845)</f>
        <v>127955</v>
      </c>
      <c r="G1846" s="5"/>
      <c r="H1846" s="7">
        <f>SUM(H1827:H1845)</f>
        <v>3012323</v>
      </c>
      <c r="I1846" s="5"/>
      <c r="J1846" s="7">
        <f>SUM(J1827:J1845)</f>
        <v>18679</v>
      </c>
      <c r="K1846" s="5"/>
      <c r="L1846" s="7">
        <f>SUM(L1827:L1845)</f>
        <v>3158957</v>
      </c>
      <c r="M1846" s="5"/>
      <c r="N1846" t="s">
        <v>129</v>
      </c>
    </row>
    <row r="1847" spans="1:48" ht="30" customHeight="1" x14ac:dyDescent="0.3">
      <c r="A1847" s="4" t="s">
        <v>3236</v>
      </c>
      <c r="B1847" s="4" t="s">
        <v>3071</v>
      </c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Q1847" s="6" t="s">
        <v>3237</v>
      </c>
    </row>
    <row r="1848" spans="1:48" ht="30" customHeight="1" x14ac:dyDescent="0.3">
      <c r="A1848" s="4" t="s">
        <v>2901</v>
      </c>
      <c r="B1848" s="4" t="s">
        <v>1555</v>
      </c>
      <c r="C1848" s="4" t="s">
        <v>81</v>
      </c>
      <c r="D1848" s="5">
        <v>1</v>
      </c>
      <c r="E1848" s="7">
        <f>TRUNC([1]단가대비표!O693,0)</f>
        <v>853000</v>
      </c>
      <c r="F1848" s="7">
        <f t="shared" ref="F1848:F1870" si="203">TRUNC(E1848*D1848, 0)</f>
        <v>853000</v>
      </c>
      <c r="G1848" s="7">
        <f>TRUNC([1]단가대비표!P693,0)</f>
        <v>0</v>
      </c>
      <c r="H1848" s="7">
        <f t="shared" ref="H1848:H1870" si="204">TRUNC(G1848*D1848, 0)</f>
        <v>0</v>
      </c>
      <c r="I1848" s="7">
        <f>TRUNC([1]단가대비표!V693,0)</f>
        <v>0</v>
      </c>
      <c r="J1848" s="7">
        <f t="shared" ref="J1848:J1870" si="205">TRUNC(I1848*D1848, 0)</f>
        <v>0</v>
      </c>
      <c r="K1848" s="7">
        <f t="shared" ref="K1848:L1870" si="206">TRUNC(E1848+G1848+I1848, 0)</f>
        <v>853000</v>
      </c>
      <c r="L1848" s="7">
        <f t="shared" si="206"/>
        <v>853000</v>
      </c>
      <c r="M1848" s="4" t="s">
        <v>55</v>
      </c>
      <c r="N1848" s="6" t="s">
        <v>3238</v>
      </c>
      <c r="O1848" s="6" t="s">
        <v>55</v>
      </c>
      <c r="P1848" s="6" t="s">
        <v>55</v>
      </c>
      <c r="Q1848" s="6" t="s">
        <v>3237</v>
      </c>
      <c r="R1848" s="6" t="s">
        <v>56</v>
      </c>
      <c r="S1848" s="6" t="s">
        <v>56</v>
      </c>
      <c r="T1848" s="6" t="s">
        <v>57</v>
      </c>
      <c r="AR1848" s="6" t="s">
        <v>55</v>
      </c>
      <c r="AS1848" s="6" t="s">
        <v>55</v>
      </c>
      <c r="AU1848" s="6" t="s">
        <v>3239</v>
      </c>
      <c r="AV1848">
        <v>2198</v>
      </c>
    </row>
    <row r="1849" spans="1:48" ht="30" customHeight="1" x14ac:dyDescent="0.3">
      <c r="A1849" s="4" t="s">
        <v>1579</v>
      </c>
      <c r="B1849" s="4" t="s">
        <v>1580</v>
      </c>
      <c r="C1849" s="4" t="s">
        <v>81</v>
      </c>
      <c r="D1849" s="5">
        <v>1</v>
      </c>
      <c r="E1849" s="7">
        <f>TRUNC([1]일위대가목록!E242,0)</f>
        <v>208152</v>
      </c>
      <c r="F1849" s="7">
        <f t="shared" si="203"/>
        <v>208152</v>
      </c>
      <c r="G1849" s="7">
        <f>TRUNC([1]일위대가목록!F242,0)</f>
        <v>67097</v>
      </c>
      <c r="H1849" s="7">
        <f t="shared" si="204"/>
        <v>67097</v>
      </c>
      <c r="I1849" s="7">
        <f>TRUNC([1]일위대가목록!G242,0)</f>
        <v>1341</v>
      </c>
      <c r="J1849" s="7">
        <f t="shared" si="205"/>
        <v>1341</v>
      </c>
      <c r="K1849" s="7">
        <f t="shared" si="206"/>
        <v>276590</v>
      </c>
      <c r="L1849" s="7">
        <f t="shared" si="206"/>
        <v>276590</v>
      </c>
      <c r="M1849" s="4" t="s">
        <v>3240</v>
      </c>
      <c r="N1849" s="6" t="s">
        <v>3241</v>
      </c>
      <c r="O1849" s="6" t="s">
        <v>55</v>
      </c>
      <c r="P1849" s="6" t="s">
        <v>55</v>
      </c>
      <c r="Q1849" s="6" t="s">
        <v>3237</v>
      </c>
      <c r="R1849" s="6" t="s">
        <v>57</v>
      </c>
      <c r="S1849" s="6" t="s">
        <v>56</v>
      </c>
      <c r="T1849" s="6" t="s">
        <v>56</v>
      </c>
      <c r="AR1849" s="6" t="s">
        <v>55</v>
      </c>
      <c r="AS1849" s="6" t="s">
        <v>55</v>
      </c>
      <c r="AU1849" s="6" t="s">
        <v>3242</v>
      </c>
      <c r="AV1849">
        <v>979</v>
      </c>
    </row>
    <row r="1850" spans="1:48" ht="30" customHeight="1" x14ac:dyDescent="0.3">
      <c r="A1850" s="4" t="s">
        <v>3243</v>
      </c>
      <c r="B1850" s="4" t="s">
        <v>2853</v>
      </c>
      <c r="C1850" s="4" t="s">
        <v>81</v>
      </c>
      <c r="D1850" s="5">
        <v>1</v>
      </c>
      <c r="E1850" s="7">
        <f>TRUNC([1]일위대가목록!E243,0)</f>
        <v>728888</v>
      </c>
      <c r="F1850" s="7">
        <f t="shared" si="203"/>
        <v>728888</v>
      </c>
      <c r="G1850" s="7">
        <f>TRUNC([1]일위대가목록!F243,0)</f>
        <v>153585</v>
      </c>
      <c r="H1850" s="7">
        <f t="shared" si="204"/>
        <v>153585</v>
      </c>
      <c r="I1850" s="7">
        <f>TRUNC([1]일위대가목록!G243,0)</f>
        <v>4607</v>
      </c>
      <c r="J1850" s="7">
        <f t="shared" si="205"/>
        <v>4607</v>
      </c>
      <c r="K1850" s="7">
        <f t="shared" si="206"/>
        <v>887080</v>
      </c>
      <c r="L1850" s="7">
        <f t="shared" si="206"/>
        <v>887080</v>
      </c>
      <c r="M1850" s="4" t="s">
        <v>3244</v>
      </c>
      <c r="N1850" s="6" t="s">
        <v>3245</v>
      </c>
      <c r="O1850" s="6" t="s">
        <v>55</v>
      </c>
      <c r="P1850" s="6" t="s">
        <v>55</v>
      </c>
      <c r="Q1850" s="6" t="s">
        <v>3237</v>
      </c>
      <c r="R1850" s="6" t="s">
        <v>57</v>
      </c>
      <c r="S1850" s="6" t="s">
        <v>56</v>
      </c>
      <c r="T1850" s="6" t="s">
        <v>56</v>
      </c>
      <c r="AR1850" s="6" t="s">
        <v>55</v>
      </c>
      <c r="AS1850" s="6" t="s">
        <v>55</v>
      </c>
      <c r="AU1850" s="6" t="s">
        <v>3246</v>
      </c>
      <c r="AV1850">
        <v>980</v>
      </c>
    </row>
    <row r="1851" spans="1:48" ht="30" customHeight="1" x14ac:dyDescent="0.3">
      <c r="A1851" s="4" t="s">
        <v>55</v>
      </c>
      <c r="B1851" s="4" t="s">
        <v>55</v>
      </c>
      <c r="C1851" s="4" t="s">
        <v>55</v>
      </c>
      <c r="D1851" s="5"/>
      <c r="E1851" s="7">
        <f>TRUNC([1]단가대비표!O504,0)</f>
        <v>0</v>
      </c>
      <c r="F1851" s="7">
        <f t="shared" si="203"/>
        <v>0</v>
      </c>
      <c r="G1851" s="7">
        <f>TRUNC([1]단가대비표!P504,0)</f>
        <v>0</v>
      </c>
      <c r="H1851" s="7">
        <f t="shared" si="204"/>
        <v>0</v>
      </c>
      <c r="I1851" s="7">
        <f>TRUNC([1]단가대비표!V504,0)</f>
        <v>0</v>
      </c>
      <c r="J1851" s="7">
        <f t="shared" si="205"/>
        <v>0</v>
      </c>
      <c r="K1851" s="7">
        <f t="shared" si="206"/>
        <v>0</v>
      </c>
      <c r="L1851" s="7">
        <f t="shared" si="206"/>
        <v>0</v>
      </c>
      <c r="M1851" s="4" t="s">
        <v>55</v>
      </c>
      <c r="N1851" s="6" t="s">
        <v>3247</v>
      </c>
      <c r="O1851" s="6" t="s">
        <v>55</v>
      </c>
      <c r="P1851" s="6" t="s">
        <v>55</v>
      </c>
      <c r="Q1851" s="6" t="s">
        <v>3237</v>
      </c>
      <c r="R1851" s="6" t="s">
        <v>56</v>
      </c>
      <c r="S1851" s="6" t="s">
        <v>56</v>
      </c>
      <c r="T1851" s="6" t="s">
        <v>57</v>
      </c>
      <c r="AR1851" s="6" t="s">
        <v>55</v>
      </c>
      <c r="AS1851" s="6" t="s">
        <v>55</v>
      </c>
      <c r="AU1851" s="6" t="s">
        <v>3248</v>
      </c>
      <c r="AV1851">
        <v>1828</v>
      </c>
    </row>
    <row r="1852" spans="1:48" ht="30" customHeight="1" x14ac:dyDescent="0.3">
      <c r="A1852" s="4" t="s">
        <v>3249</v>
      </c>
      <c r="B1852" s="4" t="s">
        <v>55</v>
      </c>
      <c r="C1852" s="4" t="s">
        <v>55</v>
      </c>
      <c r="D1852" s="5"/>
      <c r="E1852" s="7">
        <f>TRUNC([1]단가대비표!O692,0)</f>
        <v>0</v>
      </c>
      <c r="F1852" s="7">
        <f t="shared" si="203"/>
        <v>0</v>
      </c>
      <c r="G1852" s="7">
        <f>TRUNC([1]단가대비표!P692,0)</f>
        <v>0</v>
      </c>
      <c r="H1852" s="7">
        <f t="shared" si="204"/>
        <v>0</v>
      </c>
      <c r="I1852" s="7">
        <f>TRUNC([1]단가대비표!V692,0)</f>
        <v>0</v>
      </c>
      <c r="J1852" s="7">
        <f t="shared" si="205"/>
        <v>0</v>
      </c>
      <c r="K1852" s="7">
        <f t="shared" si="206"/>
        <v>0</v>
      </c>
      <c r="L1852" s="7">
        <f t="shared" si="206"/>
        <v>0</v>
      </c>
      <c r="M1852" s="4" t="s">
        <v>55</v>
      </c>
      <c r="N1852" s="6" t="s">
        <v>3250</v>
      </c>
      <c r="O1852" s="6" t="s">
        <v>55</v>
      </c>
      <c r="P1852" s="6" t="s">
        <v>55</v>
      </c>
      <c r="Q1852" s="6" t="s">
        <v>3237</v>
      </c>
      <c r="R1852" s="6" t="s">
        <v>56</v>
      </c>
      <c r="S1852" s="6" t="s">
        <v>56</v>
      </c>
      <c r="T1852" s="6" t="s">
        <v>57</v>
      </c>
      <c r="AR1852" s="6" t="s">
        <v>55</v>
      </c>
      <c r="AS1852" s="6" t="s">
        <v>55</v>
      </c>
      <c r="AU1852" s="6" t="s">
        <v>3251</v>
      </c>
      <c r="AV1852">
        <v>2165</v>
      </c>
    </row>
    <row r="1853" spans="1:48" ht="30" customHeight="1" x14ac:dyDescent="0.3">
      <c r="A1853" s="4" t="s">
        <v>1724</v>
      </c>
      <c r="B1853" s="4" t="s">
        <v>1725</v>
      </c>
      <c r="C1853" s="4" t="s">
        <v>1726</v>
      </c>
      <c r="D1853" s="5">
        <v>3</v>
      </c>
      <c r="E1853" s="7">
        <f>TRUNC([1]단가대비표!O761,0)</f>
        <v>7500</v>
      </c>
      <c r="F1853" s="7">
        <f t="shared" si="203"/>
        <v>22500</v>
      </c>
      <c r="G1853" s="7">
        <f>TRUNC([1]단가대비표!P761,0)</f>
        <v>0</v>
      </c>
      <c r="H1853" s="7">
        <f t="shared" si="204"/>
        <v>0</v>
      </c>
      <c r="I1853" s="7">
        <f>TRUNC([1]단가대비표!V761,0)</f>
        <v>0</v>
      </c>
      <c r="J1853" s="7">
        <f t="shared" si="205"/>
        <v>0</v>
      </c>
      <c r="K1853" s="7">
        <f t="shared" si="206"/>
        <v>7500</v>
      </c>
      <c r="L1853" s="7">
        <f t="shared" si="206"/>
        <v>22500</v>
      </c>
      <c r="M1853" s="4" t="s">
        <v>115</v>
      </c>
      <c r="N1853" s="6" t="s">
        <v>3252</v>
      </c>
      <c r="O1853" s="6" t="s">
        <v>55</v>
      </c>
      <c r="P1853" s="6" t="s">
        <v>55</v>
      </c>
      <c r="Q1853" s="6" t="s">
        <v>3237</v>
      </c>
      <c r="R1853" s="6" t="s">
        <v>56</v>
      </c>
      <c r="S1853" s="6" t="s">
        <v>56</v>
      </c>
      <c r="T1853" s="6" t="s">
        <v>57</v>
      </c>
      <c r="AR1853" s="6" t="s">
        <v>55</v>
      </c>
      <c r="AS1853" s="6" t="s">
        <v>55</v>
      </c>
      <c r="AU1853" s="6" t="s">
        <v>3253</v>
      </c>
      <c r="AV1853">
        <v>2714</v>
      </c>
    </row>
    <row r="1854" spans="1:48" ht="30" customHeight="1" x14ac:dyDescent="0.3">
      <c r="A1854" s="4" t="s">
        <v>1733</v>
      </c>
      <c r="B1854" s="4" t="s">
        <v>1734</v>
      </c>
      <c r="C1854" s="4" t="s">
        <v>1726</v>
      </c>
      <c r="D1854" s="5">
        <v>32</v>
      </c>
      <c r="E1854" s="7">
        <f>TRUNC([1]단가대비표!O762,0)</f>
        <v>9500</v>
      </c>
      <c r="F1854" s="7">
        <f t="shared" si="203"/>
        <v>304000</v>
      </c>
      <c r="G1854" s="7">
        <f>TRUNC([1]단가대비표!P762,0)</f>
        <v>0</v>
      </c>
      <c r="H1854" s="7">
        <f t="shared" si="204"/>
        <v>0</v>
      </c>
      <c r="I1854" s="7">
        <f>TRUNC([1]단가대비표!V762,0)</f>
        <v>0</v>
      </c>
      <c r="J1854" s="7">
        <f t="shared" si="205"/>
        <v>0</v>
      </c>
      <c r="K1854" s="7">
        <f t="shared" si="206"/>
        <v>9500</v>
      </c>
      <c r="L1854" s="7">
        <f t="shared" si="206"/>
        <v>304000</v>
      </c>
      <c r="M1854" s="4" t="s">
        <v>115</v>
      </c>
      <c r="N1854" s="6" t="s">
        <v>3254</v>
      </c>
      <c r="O1854" s="6" t="s">
        <v>55</v>
      </c>
      <c r="P1854" s="6" t="s">
        <v>55</v>
      </c>
      <c r="Q1854" s="6" t="s">
        <v>3237</v>
      </c>
      <c r="R1854" s="6" t="s">
        <v>56</v>
      </c>
      <c r="S1854" s="6" t="s">
        <v>56</v>
      </c>
      <c r="T1854" s="6" t="s">
        <v>57</v>
      </c>
      <c r="AR1854" s="6" t="s">
        <v>55</v>
      </c>
      <c r="AS1854" s="6" t="s">
        <v>55</v>
      </c>
      <c r="AU1854" s="6" t="s">
        <v>3255</v>
      </c>
      <c r="AV1854">
        <v>2716</v>
      </c>
    </row>
    <row r="1855" spans="1:48" ht="30" customHeight="1" x14ac:dyDescent="0.3">
      <c r="A1855" s="4" t="s">
        <v>1737</v>
      </c>
      <c r="B1855" s="4" t="s">
        <v>1738</v>
      </c>
      <c r="C1855" s="4" t="s">
        <v>1726</v>
      </c>
      <c r="D1855" s="5">
        <v>9</v>
      </c>
      <c r="E1855" s="7">
        <f>TRUNC([1]단가대비표!O763,0)</f>
        <v>9500</v>
      </c>
      <c r="F1855" s="7">
        <f t="shared" si="203"/>
        <v>85500</v>
      </c>
      <c r="G1855" s="7">
        <f>TRUNC([1]단가대비표!P763,0)</f>
        <v>0</v>
      </c>
      <c r="H1855" s="7">
        <f t="shared" si="204"/>
        <v>0</v>
      </c>
      <c r="I1855" s="7">
        <f>TRUNC([1]단가대비표!V763,0)</f>
        <v>0</v>
      </c>
      <c r="J1855" s="7">
        <f t="shared" si="205"/>
        <v>0</v>
      </c>
      <c r="K1855" s="7">
        <f t="shared" si="206"/>
        <v>9500</v>
      </c>
      <c r="L1855" s="7">
        <f t="shared" si="206"/>
        <v>85500</v>
      </c>
      <c r="M1855" s="4" t="s">
        <v>115</v>
      </c>
      <c r="N1855" s="6" t="s">
        <v>3256</v>
      </c>
      <c r="O1855" s="6" t="s">
        <v>55</v>
      </c>
      <c r="P1855" s="6" t="s">
        <v>55</v>
      </c>
      <c r="Q1855" s="6" t="s">
        <v>3237</v>
      </c>
      <c r="R1855" s="6" t="s">
        <v>56</v>
      </c>
      <c r="S1855" s="6" t="s">
        <v>56</v>
      </c>
      <c r="T1855" s="6" t="s">
        <v>57</v>
      </c>
      <c r="AR1855" s="6" t="s">
        <v>55</v>
      </c>
      <c r="AS1855" s="6" t="s">
        <v>55</v>
      </c>
      <c r="AU1855" s="6" t="s">
        <v>3257</v>
      </c>
      <c r="AV1855">
        <v>2717</v>
      </c>
    </row>
    <row r="1856" spans="1:48" ht="30" customHeight="1" x14ac:dyDescent="0.3">
      <c r="A1856" s="4" t="s">
        <v>1741</v>
      </c>
      <c r="B1856" s="4" t="s">
        <v>1742</v>
      </c>
      <c r="C1856" s="4" t="s">
        <v>1726</v>
      </c>
      <c r="D1856" s="5">
        <v>2</v>
      </c>
      <c r="E1856" s="7">
        <f>TRUNC([1]단가대비표!O764,0)</f>
        <v>23000</v>
      </c>
      <c r="F1856" s="7">
        <f t="shared" si="203"/>
        <v>46000</v>
      </c>
      <c r="G1856" s="7">
        <f>TRUNC([1]단가대비표!P764,0)</f>
        <v>0</v>
      </c>
      <c r="H1856" s="7">
        <f t="shared" si="204"/>
        <v>0</v>
      </c>
      <c r="I1856" s="7">
        <f>TRUNC([1]단가대비표!V764,0)</f>
        <v>0</v>
      </c>
      <c r="J1856" s="7">
        <f t="shared" si="205"/>
        <v>0</v>
      </c>
      <c r="K1856" s="7">
        <f t="shared" si="206"/>
        <v>23000</v>
      </c>
      <c r="L1856" s="7">
        <f t="shared" si="206"/>
        <v>46000</v>
      </c>
      <c r="M1856" s="4" t="s">
        <v>115</v>
      </c>
      <c r="N1856" s="6" t="s">
        <v>3258</v>
      </c>
      <c r="O1856" s="6" t="s">
        <v>55</v>
      </c>
      <c r="P1856" s="6" t="s">
        <v>55</v>
      </c>
      <c r="Q1856" s="6" t="s">
        <v>3237</v>
      </c>
      <c r="R1856" s="6" t="s">
        <v>56</v>
      </c>
      <c r="S1856" s="6" t="s">
        <v>56</v>
      </c>
      <c r="T1856" s="6" t="s">
        <v>57</v>
      </c>
      <c r="AR1856" s="6" t="s">
        <v>55</v>
      </c>
      <c r="AS1856" s="6" t="s">
        <v>55</v>
      </c>
      <c r="AU1856" s="6" t="s">
        <v>3259</v>
      </c>
      <c r="AV1856">
        <v>2718</v>
      </c>
    </row>
    <row r="1857" spans="1:48" ht="30" customHeight="1" x14ac:dyDescent="0.3">
      <c r="A1857" s="4" t="s">
        <v>1745</v>
      </c>
      <c r="B1857" s="4" t="s">
        <v>1746</v>
      </c>
      <c r="C1857" s="4" t="s">
        <v>1726</v>
      </c>
      <c r="D1857" s="5">
        <v>8</v>
      </c>
      <c r="E1857" s="7">
        <f>TRUNC([1]단가대비표!O765,0)</f>
        <v>76000</v>
      </c>
      <c r="F1857" s="7">
        <f t="shared" si="203"/>
        <v>608000</v>
      </c>
      <c r="G1857" s="7">
        <f>TRUNC([1]단가대비표!P765,0)</f>
        <v>0</v>
      </c>
      <c r="H1857" s="7">
        <f t="shared" si="204"/>
        <v>0</v>
      </c>
      <c r="I1857" s="7">
        <f>TRUNC([1]단가대비표!V765,0)</f>
        <v>0</v>
      </c>
      <c r="J1857" s="7">
        <f t="shared" si="205"/>
        <v>0</v>
      </c>
      <c r="K1857" s="7">
        <f t="shared" si="206"/>
        <v>76000</v>
      </c>
      <c r="L1857" s="7">
        <f t="shared" si="206"/>
        <v>608000</v>
      </c>
      <c r="M1857" s="4" t="s">
        <v>115</v>
      </c>
      <c r="N1857" s="6" t="s">
        <v>3260</v>
      </c>
      <c r="O1857" s="6" t="s">
        <v>55</v>
      </c>
      <c r="P1857" s="6" t="s">
        <v>55</v>
      </c>
      <c r="Q1857" s="6" t="s">
        <v>3237</v>
      </c>
      <c r="R1857" s="6" t="s">
        <v>56</v>
      </c>
      <c r="S1857" s="6" t="s">
        <v>56</v>
      </c>
      <c r="T1857" s="6" t="s">
        <v>57</v>
      </c>
      <c r="AR1857" s="6" t="s">
        <v>55</v>
      </c>
      <c r="AS1857" s="6" t="s">
        <v>55</v>
      </c>
      <c r="AU1857" s="6" t="s">
        <v>3261</v>
      </c>
      <c r="AV1857">
        <v>2719</v>
      </c>
    </row>
    <row r="1858" spans="1:48" ht="30" customHeight="1" x14ac:dyDescent="0.3">
      <c r="A1858" s="4" t="s">
        <v>1759</v>
      </c>
      <c r="B1858" s="4" t="s">
        <v>1760</v>
      </c>
      <c r="C1858" s="4" t="s">
        <v>1726</v>
      </c>
      <c r="D1858" s="5">
        <v>7</v>
      </c>
      <c r="E1858" s="7">
        <f>TRUNC([1]단가대비표!O766,0)</f>
        <v>7500</v>
      </c>
      <c r="F1858" s="7">
        <f t="shared" si="203"/>
        <v>52500</v>
      </c>
      <c r="G1858" s="7">
        <f>TRUNC([1]단가대비표!P766,0)</f>
        <v>0</v>
      </c>
      <c r="H1858" s="7">
        <f t="shared" si="204"/>
        <v>0</v>
      </c>
      <c r="I1858" s="7">
        <f>TRUNC([1]단가대비표!V766,0)</f>
        <v>0</v>
      </c>
      <c r="J1858" s="7">
        <f t="shared" si="205"/>
        <v>0</v>
      </c>
      <c r="K1858" s="7">
        <f t="shared" si="206"/>
        <v>7500</v>
      </c>
      <c r="L1858" s="7">
        <f t="shared" si="206"/>
        <v>52500</v>
      </c>
      <c r="M1858" s="4" t="s">
        <v>115</v>
      </c>
      <c r="N1858" s="6" t="s">
        <v>3262</v>
      </c>
      <c r="O1858" s="6" t="s">
        <v>55</v>
      </c>
      <c r="P1858" s="6" t="s">
        <v>55</v>
      </c>
      <c r="Q1858" s="6" t="s">
        <v>3237</v>
      </c>
      <c r="R1858" s="6" t="s">
        <v>56</v>
      </c>
      <c r="S1858" s="6" t="s">
        <v>56</v>
      </c>
      <c r="T1858" s="6" t="s">
        <v>57</v>
      </c>
      <c r="AR1858" s="6" t="s">
        <v>55</v>
      </c>
      <c r="AS1858" s="6" t="s">
        <v>55</v>
      </c>
      <c r="AU1858" s="6" t="s">
        <v>3263</v>
      </c>
      <c r="AV1858">
        <v>2723</v>
      </c>
    </row>
    <row r="1859" spans="1:48" ht="30" customHeight="1" x14ac:dyDescent="0.3">
      <c r="A1859" s="4" t="s">
        <v>1763</v>
      </c>
      <c r="B1859" s="4" t="s">
        <v>1764</v>
      </c>
      <c r="C1859" s="4" t="s">
        <v>1726</v>
      </c>
      <c r="D1859" s="5">
        <v>1</v>
      </c>
      <c r="E1859" s="7">
        <f>TRUNC([1]단가대비표!O767,0)</f>
        <v>7500</v>
      </c>
      <c r="F1859" s="7">
        <f t="shared" si="203"/>
        <v>7500</v>
      </c>
      <c r="G1859" s="7">
        <f>TRUNC([1]단가대비표!P767,0)</f>
        <v>0</v>
      </c>
      <c r="H1859" s="7">
        <f t="shared" si="204"/>
        <v>0</v>
      </c>
      <c r="I1859" s="7">
        <f>TRUNC([1]단가대비표!V767,0)</f>
        <v>0</v>
      </c>
      <c r="J1859" s="7">
        <f t="shared" si="205"/>
        <v>0</v>
      </c>
      <c r="K1859" s="7">
        <f t="shared" si="206"/>
        <v>7500</v>
      </c>
      <c r="L1859" s="7">
        <f t="shared" si="206"/>
        <v>7500</v>
      </c>
      <c r="M1859" s="4" t="s">
        <v>115</v>
      </c>
      <c r="N1859" s="6" t="s">
        <v>3264</v>
      </c>
      <c r="O1859" s="6" t="s">
        <v>55</v>
      </c>
      <c r="P1859" s="6" t="s">
        <v>55</v>
      </c>
      <c r="Q1859" s="6" t="s">
        <v>3237</v>
      </c>
      <c r="R1859" s="6" t="s">
        <v>56</v>
      </c>
      <c r="S1859" s="6" t="s">
        <v>56</v>
      </c>
      <c r="T1859" s="6" t="s">
        <v>57</v>
      </c>
      <c r="AR1859" s="6" t="s">
        <v>55</v>
      </c>
      <c r="AS1859" s="6" t="s">
        <v>55</v>
      </c>
      <c r="AU1859" s="6" t="s">
        <v>3265</v>
      </c>
      <c r="AV1859">
        <v>2725</v>
      </c>
    </row>
    <row r="1860" spans="1:48" ht="30" customHeight="1" x14ac:dyDescent="0.3">
      <c r="A1860" s="4" t="s">
        <v>1767</v>
      </c>
      <c r="B1860" s="4" t="s">
        <v>1768</v>
      </c>
      <c r="C1860" s="4" t="s">
        <v>1726</v>
      </c>
      <c r="D1860" s="5">
        <v>13</v>
      </c>
      <c r="E1860" s="7">
        <f>TRUNC([1]단가대비표!O768,0)</f>
        <v>7500</v>
      </c>
      <c r="F1860" s="7">
        <f t="shared" si="203"/>
        <v>97500</v>
      </c>
      <c r="G1860" s="7">
        <f>TRUNC([1]단가대비표!P768,0)</f>
        <v>0</v>
      </c>
      <c r="H1860" s="7">
        <f t="shared" si="204"/>
        <v>0</v>
      </c>
      <c r="I1860" s="7">
        <f>TRUNC([1]단가대비표!V768,0)</f>
        <v>0</v>
      </c>
      <c r="J1860" s="7">
        <f t="shared" si="205"/>
        <v>0</v>
      </c>
      <c r="K1860" s="7">
        <f t="shared" si="206"/>
        <v>7500</v>
      </c>
      <c r="L1860" s="7">
        <f t="shared" si="206"/>
        <v>97500</v>
      </c>
      <c r="M1860" s="4" t="s">
        <v>115</v>
      </c>
      <c r="N1860" s="6" t="s">
        <v>3266</v>
      </c>
      <c r="O1860" s="6" t="s">
        <v>55</v>
      </c>
      <c r="P1860" s="6" t="s">
        <v>55</v>
      </c>
      <c r="Q1860" s="6" t="s">
        <v>3237</v>
      </c>
      <c r="R1860" s="6" t="s">
        <v>56</v>
      </c>
      <c r="S1860" s="6" t="s">
        <v>56</v>
      </c>
      <c r="T1860" s="6" t="s">
        <v>57</v>
      </c>
      <c r="AR1860" s="6" t="s">
        <v>55</v>
      </c>
      <c r="AS1860" s="6" t="s">
        <v>55</v>
      </c>
      <c r="AU1860" s="6" t="s">
        <v>3267</v>
      </c>
      <c r="AV1860">
        <v>2726</v>
      </c>
    </row>
    <row r="1861" spans="1:48" ht="30" customHeight="1" x14ac:dyDescent="0.3">
      <c r="A1861" s="4" t="s">
        <v>1771</v>
      </c>
      <c r="B1861" s="4" t="s">
        <v>1772</v>
      </c>
      <c r="C1861" s="4" t="s">
        <v>1726</v>
      </c>
      <c r="D1861" s="5">
        <v>9</v>
      </c>
      <c r="E1861" s="7">
        <f>TRUNC([1]단가대비표!O769,0)</f>
        <v>13000</v>
      </c>
      <c r="F1861" s="7">
        <f t="shared" si="203"/>
        <v>117000</v>
      </c>
      <c r="G1861" s="7">
        <f>TRUNC([1]단가대비표!P769,0)</f>
        <v>0</v>
      </c>
      <c r="H1861" s="7">
        <f t="shared" si="204"/>
        <v>0</v>
      </c>
      <c r="I1861" s="7">
        <f>TRUNC([1]단가대비표!V769,0)</f>
        <v>0</v>
      </c>
      <c r="J1861" s="7">
        <f t="shared" si="205"/>
        <v>0</v>
      </c>
      <c r="K1861" s="7">
        <f t="shared" si="206"/>
        <v>13000</v>
      </c>
      <c r="L1861" s="7">
        <f t="shared" si="206"/>
        <v>117000</v>
      </c>
      <c r="M1861" s="4" t="s">
        <v>115</v>
      </c>
      <c r="N1861" s="6" t="s">
        <v>3268</v>
      </c>
      <c r="O1861" s="6" t="s">
        <v>55</v>
      </c>
      <c r="P1861" s="6" t="s">
        <v>55</v>
      </c>
      <c r="Q1861" s="6" t="s">
        <v>3237</v>
      </c>
      <c r="R1861" s="6" t="s">
        <v>56</v>
      </c>
      <c r="S1861" s="6" t="s">
        <v>56</v>
      </c>
      <c r="T1861" s="6" t="s">
        <v>57</v>
      </c>
      <c r="AR1861" s="6" t="s">
        <v>55</v>
      </c>
      <c r="AS1861" s="6" t="s">
        <v>55</v>
      </c>
      <c r="AU1861" s="6" t="s">
        <v>3269</v>
      </c>
      <c r="AV1861">
        <v>2728</v>
      </c>
    </row>
    <row r="1862" spans="1:48" ht="30" customHeight="1" x14ac:dyDescent="0.3">
      <c r="A1862" s="4" t="s">
        <v>1775</v>
      </c>
      <c r="B1862" s="4" t="s">
        <v>1776</v>
      </c>
      <c r="C1862" s="4" t="s">
        <v>1726</v>
      </c>
      <c r="D1862" s="5">
        <v>1</v>
      </c>
      <c r="E1862" s="7">
        <f>TRUNC([1]단가대비표!O770,0)</f>
        <v>15000</v>
      </c>
      <c r="F1862" s="7">
        <f t="shared" si="203"/>
        <v>15000</v>
      </c>
      <c r="G1862" s="7">
        <f>TRUNC([1]단가대비표!P770,0)</f>
        <v>0</v>
      </c>
      <c r="H1862" s="7">
        <f t="shared" si="204"/>
        <v>0</v>
      </c>
      <c r="I1862" s="7">
        <f>TRUNC([1]단가대비표!V770,0)</f>
        <v>0</v>
      </c>
      <c r="J1862" s="7">
        <f t="shared" si="205"/>
        <v>0</v>
      </c>
      <c r="K1862" s="7">
        <f t="shared" si="206"/>
        <v>15000</v>
      </c>
      <c r="L1862" s="7">
        <f t="shared" si="206"/>
        <v>15000</v>
      </c>
      <c r="M1862" s="4" t="s">
        <v>115</v>
      </c>
      <c r="N1862" s="6" t="s">
        <v>3270</v>
      </c>
      <c r="O1862" s="6" t="s">
        <v>55</v>
      </c>
      <c r="P1862" s="6" t="s">
        <v>55</v>
      </c>
      <c r="Q1862" s="6" t="s">
        <v>3237</v>
      </c>
      <c r="R1862" s="6" t="s">
        <v>56</v>
      </c>
      <c r="S1862" s="6" t="s">
        <v>56</v>
      </c>
      <c r="T1862" s="6" t="s">
        <v>57</v>
      </c>
      <c r="AR1862" s="6" t="s">
        <v>55</v>
      </c>
      <c r="AS1862" s="6" t="s">
        <v>55</v>
      </c>
      <c r="AU1862" s="6" t="s">
        <v>3271</v>
      </c>
      <c r="AV1862">
        <v>2729</v>
      </c>
    </row>
    <row r="1863" spans="1:48" ht="30" customHeight="1" x14ac:dyDescent="0.3">
      <c r="A1863" s="4" t="s">
        <v>1779</v>
      </c>
      <c r="B1863" s="4" t="s">
        <v>1780</v>
      </c>
      <c r="C1863" s="4" t="s">
        <v>1726</v>
      </c>
      <c r="D1863" s="5">
        <v>6</v>
      </c>
      <c r="E1863" s="7">
        <f>TRUNC([1]단가대비표!O771,0)</f>
        <v>62000</v>
      </c>
      <c r="F1863" s="7">
        <f t="shared" si="203"/>
        <v>372000</v>
      </c>
      <c r="G1863" s="7">
        <f>TRUNC([1]단가대비표!P771,0)</f>
        <v>0</v>
      </c>
      <c r="H1863" s="7">
        <f t="shared" si="204"/>
        <v>0</v>
      </c>
      <c r="I1863" s="7">
        <f>TRUNC([1]단가대비표!V771,0)</f>
        <v>0</v>
      </c>
      <c r="J1863" s="7">
        <f t="shared" si="205"/>
        <v>0</v>
      </c>
      <c r="K1863" s="7">
        <f t="shared" si="206"/>
        <v>62000</v>
      </c>
      <c r="L1863" s="7">
        <f t="shared" si="206"/>
        <v>372000</v>
      </c>
      <c r="M1863" s="4" t="s">
        <v>115</v>
      </c>
      <c r="N1863" s="6" t="s">
        <v>3272</v>
      </c>
      <c r="O1863" s="6" t="s">
        <v>55</v>
      </c>
      <c r="P1863" s="6" t="s">
        <v>55</v>
      </c>
      <c r="Q1863" s="6" t="s">
        <v>3237</v>
      </c>
      <c r="R1863" s="6" t="s">
        <v>56</v>
      </c>
      <c r="S1863" s="6" t="s">
        <v>56</v>
      </c>
      <c r="T1863" s="6" t="s">
        <v>57</v>
      </c>
      <c r="AR1863" s="6" t="s">
        <v>55</v>
      </c>
      <c r="AS1863" s="6" t="s">
        <v>55</v>
      </c>
      <c r="AU1863" s="6" t="s">
        <v>3273</v>
      </c>
      <c r="AV1863">
        <v>2730</v>
      </c>
    </row>
    <row r="1864" spans="1:48" ht="30" customHeight="1" x14ac:dyDescent="0.3">
      <c r="A1864" s="4" t="s">
        <v>1791</v>
      </c>
      <c r="B1864" s="4" t="s">
        <v>1792</v>
      </c>
      <c r="C1864" s="4" t="s">
        <v>1726</v>
      </c>
      <c r="D1864" s="5">
        <v>1</v>
      </c>
      <c r="E1864" s="7">
        <f>TRUNC([1]단가대비표!O772,0)</f>
        <v>33000</v>
      </c>
      <c r="F1864" s="7">
        <f t="shared" si="203"/>
        <v>33000</v>
      </c>
      <c r="G1864" s="7">
        <f>TRUNC([1]단가대비표!P772,0)</f>
        <v>0</v>
      </c>
      <c r="H1864" s="7">
        <f t="shared" si="204"/>
        <v>0</v>
      </c>
      <c r="I1864" s="7">
        <f>TRUNC([1]단가대비표!V772,0)</f>
        <v>0</v>
      </c>
      <c r="J1864" s="7">
        <f t="shared" si="205"/>
        <v>0</v>
      </c>
      <c r="K1864" s="7">
        <f t="shared" si="206"/>
        <v>33000</v>
      </c>
      <c r="L1864" s="7">
        <f t="shared" si="206"/>
        <v>33000</v>
      </c>
      <c r="M1864" s="4" t="s">
        <v>115</v>
      </c>
      <c r="N1864" s="6" t="s">
        <v>3274</v>
      </c>
      <c r="O1864" s="6" t="s">
        <v>55</v>
      </c>
      <c r="P1864" s="6" t="s">
        <v>55</v>
      </c>
      <c r="Q1864" s="6" t="s">
        <v>3237</v>
      </c>
      <c r="R1864" s="6" t="s">
        <v>56</v>
      </c>
      <c r="S1864" s="6" t="s">
        <v>56</v>
      </c>
      <c r="T1864" s="6" t="s">
        <v>57</v>
      </c>
      <c r="AR1864" s="6" t="s">
        <v>55</v>
      </c>
      <c r="AS1864" s="6" t="s">
        <v>55</v>
      </c>
      <c r="AU1864" s="6" t="s">
        <v>3275</v>
      </c>
      <c r="AV1864">
        <v>2736</v>
      </c>
    </row>
    <row r="1865" spans="1:48" ht="30" customHeight="1" x14ac:dyDescent="0.3">
      <c r="A1865" s="4" t="s">
        <v>1795</v>
      </c>
      <c r="B1865" s="4" t="s">
        <v>1796</v>
      </c>
      <c r="C1865" s="4" t="s">
        <v>1726</v>
      </c>
      <c r="D1865" s="5">
        <v>2</v>
      </c>
      <c r="E1865" s="7">
        <f>TRUNC([1]단가대비표!O773,0)</f>
        <v>55000</v>
      </c>
      <c r="F1865" s="7">
        <f t="shared" si="203"/>
        <v>110000</v>
      </c>
      <c r="G1865" s="7">
        <f>TRUNC([1]단가대비표!P773,0)</f>
        <v>0</v>
      </c>
      <c r="H1865" s="7">
        <f t="shared" si="204"/>
        <v>0</v>
      </c>
      <c r="I1865" s="7">
        <f>TRUNC([1]단가대비표!V773,0)</f>
        <v>0</v>
      </c>
      <c r="J1865" s="7">
        <f t="shared" si="205"/>
        <v>0</v>
      </c>
      <c r="K1865" s="7">
        <f t="shared" si="206"/>
        <v>55000</v>
      </c>
      <c r="L1865" s="7">
        <f t="shared" si="206"/>
        <v>110000</v>
      </c>
      <c r="M1865" s="4" t="s">
        <v>115</v>
      </c>
      <c r="N1865" s="6" t="s">
        <v>3276</v>
      </c>
      <c r="O1865" s="6" t="s">
        <v>55</v>
      </c>
      <c r="P1865" s="6" t="s">
        <v>55</v>
      </c>
      <c r="Q1865" s="6" t="s">
        <v>3237</v>
      </c>
      <c r="R1865" s="6" t="s">
        <v>56</v>
      </c>
      <c r="S1865" s="6" t="s">
        <v>56</v>
      </c>
      <c r="T1865" s="6" t="s">
        <v>57</v>
      </c>
      <c r="AR1865" s="6" t="s">
        <v>55</v>
      </c>
      <c r="AS1865" s="6" t="s">
        <v>55</v>
      </c>
      <c r="AU1865" s="6" t="s">
        <v>3277</v>
      </c>
      <c r="AV1865">
        <v>2737</v>
      </c>
    </row>
    <row r="1866" spans="1:48" ht="30" customHeight="1" x14ac:dyDescent="0.3">
      <c r="A1866" s="4" t="s">
        <v>1807</v>
      </c>
      <c r="B1866" s="4" t="s">
        <v>1808</v>
      </c>
      <c r="C1866" s="4" t="s">
        <v>1726</v>
      </c>
      <c r="D1866" s="5">
        <v>5</v>
      </c>
      <c r="E1866" s="7">
        <f>TRUNC([1]단가대비표!O774,0)</f>
        <v>90000</v>
      </c>
      <c r="F1866" s="7">
        <f t="shared" si="203"/>
        <v>450000</v>
      </c>
      <c r="G1866" s="7">
        <f>TRUNC([1]단가대비표!P774,0)</f>
        <v>0</v>
      </c>
      <c r="H1866" s="7">
        <f t="shared" si="204"/>
        <v>0</v>
      </c>
      <c r="I1866" s="7">
        <f>TRUNC([1]단가대비표!V774,0)</f>
        <v>0</v>
      </c>
      <c r="J1866" s="7">
        <f t="shared" si="205"/>
        <v>0</v>
      </c>
      <c r="K1866" s="7">
        <f t="shared" si="206"/>
        <v>90000</v>
      </c>
      <c r="L1866" s="7">
        <f t="shared" si="206"/>
        <v>450000</v>
      </c>
      <c r="M1866" s="4" t="s">
        <v>115</v>
      </c>
      <c r="N1866" s="6" t="s">
        <v>3278</v>
      </c>
      <c r="O1866" s="6" t="s">
        <v>55</v>
      </c>
      <c r="P1866" s="6" t="s">
        <v>55</v>
      </c>
      <c r="Q1866" s="6" t="s">
        <v>3237</v>
      </c>
      <c r="R1866" s="6" t="s">
        <v>56</v>
      </c>
      <c r="S1866" s="6" t="s">
        <v>56</v>
      </c>
      <c r="T1866" s="6" t="s">
        <v>57</v>
      </c>
      <c r="AR1866" s="6" t="s">
        <v>55</v>
      </c>
      <c r="AS1866" s="6" t="s">
        <v>55</v>
      </c>
      <c r="AU1866" s="6" t="s">
        <v>3279</v>
      </c>
      <c r="AV1866">
        <v>2740</v>
      </c>
    </row>
    <row r="1867" spans="1:48" ht="30" customHeight="1" x14ac:dyDescent="0.3">
      <c r="A1867" s="4" t="s">
        <v>1811</v>
      </c>
      <c r="B1867" s="4" t="s">
        <v>1812</v>
      </c>
      <c r="C1867" s="4" t="s">
        <v>1726</v>
      </c>
      <c r="D1867" s="5">
        <v>5</v>
      </c>
      <c r="E1867" s="7">
        <f>TRUNC([1]단가대비표!O775,0)</f>
        <v>76000</v>
      </c>
      <c r="F1867" s="7">
        <f t="shared" si="203"/>
        <v>380000</v>
      </c>
      <c r="G1867" s="7">
        <f>TRUNC([1]단가대비표!P775,0)</f>
        <v>0</v>
      </c>
      <c r="H1867" s="7">
        <f t="shared" si="204"/>
        <v>0</v>
      </c>
      <c r="I1867" s="7">
        <f>TRUNC([1]단가대비표!V775,0)</f>
        <v>0</v>
      </c>
      <c r="J1867" s="7">
        <f t="shared" si="205"/>
        <v>0</v>
      </c>
      <c r="K1867" s="7">
        <f t="shared" si="206"/>
        <v>76000</v>
      </c>
      <c r="L1867" s="7">
        <f t="shared" si="206"/>
        <v>380000</v>
      </c>
      <c r="M1867" s="4" t="s">
        <v>115</v>
      </c>
      <c r="N1867" s="6" t="s">
        <v>3280</v>
      </c>
      <c r="O1867" s="6" t="s">
        <v>55</v>
      </c>
      <c r="P1867" s="6" t="s">
        <v>55</v>
      </c>
      <c r="Q1867" s="6" t="s">
        <v>3237</v>
      </c>
      <c r="R1867" s="6" t="s">
        <v>56</v>
      </c>
      <c r="S1867" s="6" t="s">
        <v>56</v>
      </c>
      <c r="T1867" s="6" t="s">
        <v>57</v>
      </c>
      <c r="AR1867" s="6" t="s">
        <v>55</v>
      </c>
      <c r="AS1867" s="6" t="s">
        <v>55</v>
      </c>
      <c r="AU1867" s="6" t="s">
        <v>3281</v>
      </c>
      <c r="AV1867">
        <v>2742</v>
      </c>
    </row>
    <row r="1868" spans="1:48" ht="30" customHeight="1" x14ac:dyDescent="0.3">
      <c r="A1868" s="4" t="s">
        <v>1815</v>
      </c>
      <c r="B1868" s="4" t="s">
        <v>1816</v>
      </c>
      <c r="C1868" s="4" t="s">
        <v>1726</v>
      </c>
      <c r="D1868" s="5">
        <v>3</v>
      </c>
      <c r="E1868" s="7">
        <f>TRUNC([1]단가대비표!O776,0)</f>
        <v>123000</v>
      </c>
      <c r="F1868" s="7">
        <f t="shared" si="203"/>
        <v>369000</v>
      </c>
      <c r="G1868" s="7">
        <f>TRUNC([1]단가대비표!P776,0)</f>
        <v>0</v>
      </c>
      <c r="H1868" s="7">
        <f t="shared" si="204"/>
        <v>0</v>
      </c>
      <c r="I1868" s="7">
        <f>TRUNC([1]단가대비표!V776,0)</f>
        <v>0</v>
      </c>
      <c r="J1868" s="7">
        <f t="shared" si="205"/>
        <v>0</v>
      </c>
      <c r="K1868" s="7">
        <f t="shared" si="206"/>
        <v>123000</v>
      </c>
      <c r="L1868" s="7">
        <f t="shared" si="206"/>
        <v>369000</v>
      </c>
      <c r="M1868" s="4" t="s">
        <v>115</v>
      </c>
      <c r="N1868" s="6" t="s">
        <v>3282</v>
      </c>
      <c r="O1868" s="6" t="s">
        <v>55</v>
      </c>
      <c r="P1868" s="6" t="s">
        <v>55</v>
      </c>
      <c r="Q1868" s="6" t="s">
        <v>3237</v>
      </c>
      <c r="R1868" s="6" t="s">
        <v>56</v>
      </c>
      <c r="S1868" s="6" t="s">
        <v>56</v>
      </c>
      <c r="T1868" s="6" t="s">
        <v>57</v>
      </c>
      <c r="AR1868" s="6" t="s">
        <v>55</v>
      </c>
      <c r="AS1868" s="6" t="s">
        <v>55</v>
      </c>
      <c r="AU1868" s="6" t="s">
        <v>3283</v>
      </c>
      <c r="AV1868">
        <v>2743</v>
      </c>
    </row>
    <row r="1869" spans="1:48" ht="30" customHeight="1" x14ac:dyDescent="0.3">
      <c r="A1869" s="4" t="s">
        <v>1831</v>
      </c>
      <c r="B1869" s="4" t="s">
        <v>1832</v>
      </c>
      <c r="C1869" s="4" t="s">
        <v>1726</v>
      </c>
      <c r="D1869" s="5">
        <v>2</v>
      </c>
      <c r="E1869" s="7">
        <f>TRUNC([1]단가대비표!O777,0)</f>
        <v>27000</v>
      </c>
      <c r="F1869" s="7">
        <f t="shared" si="203"/>
        <v>54000</v>
      </c>
      <c r="G1869" s="7">
        <f>TRUNC([1]단가대비표!P777,0)</f>
        <v>0</v>
      </c>
      <c r="H1869" s="7">
        <f t="shared" si="204"/>
        <v>0</v>
      </c>
      <c r="I1869" s="7">
        <f>TRUNC([1]단가대비표!V777,0)</f>
        <v>0</v>
      </c>
      <c r="J1869" s="7">
        <f t="shared" si="205"/>
        <v>0</v>
      </c>
      <c r="K1869" s="7">
        <f t="shared" si="206"/>
        <v>27000</v>
      </c>
      <c r="L1869" s="7">
        <f t="shared" si="206"/>
        <v>54000</v>
      </c>
      <c r="M1869" s="4" t="s">
        <v>115</v>
      </c>
      <c r="N1869" s="6" t="s">
        <v>3284</v>
      </c>
      <c r="O1869" s="6" t="s">
        <v>55</v>
      </c>
      <c r="P1869" s="6" t="s">
        <v>55</v>
      </c>
      <c r="Q1869" s="6" t="s">
        <v>3237</v>
      </c>
      <c r="R1869" s="6" t="s">
        <v>56</v>
      </c>
      <c r="S1869" s="6" t="s">
        <v>56</v>
      </c>
      <c r="T1869" s="6" t="s">
        <v>57</v>
      </c>
      <c r="AR1869" s="6" t="s">
        <v>55</v>
      </c>
      <c r="AS1869" s="6" t="s">
        <v>55</v>
      </c>
      <c r="AU1869" s="6" t="s">
        <v>3285</v>
      </c>
      <c r="AV1869">
        <v>2747</v>
      </c>
    </row>
    <row r="1870" spans="1:48" ht="30" customHeight="1" x14ac:dyDescent="0.3">
      <c r="A1870" s="4" t="s">
        <v>1840</v>
      </c>
      <c r="B1870" s="4" t="s">
        <v>1841</v>
      </c>
      <c r="C1870" s="4" t="s">
        <v>1837</v>
      </c>
      <c r="D1870" s="5">
        <v>6</v>
      </c>
      <c r="E1870" s="7">
        <f>TRUNC([1]단가대비표!O778,0)</f>
        <v>100000</v>
      </c>
      <c r="F1870" s="7">
        <f t="shared" si="203"/>
        <v>600000</v>
      </c>
      <c r="G1870" s="7">
        <f>TRUNC([1]단가대비표!P778,0)</f>
        <v>0</v>
      </c>
      <c r="H1870" s="7">
        <f t="shared" si="204"/>
        <v>0</v>
      </c>
      <c r="I1870" s="7">
        <f>TRUNC([1]단가대비표!V778,0)</f>
        <v>0</v>
      </c>
      <c r="J1870" s="7">
        <f t="shared" si="205"/>
        <v>0</v>
      </c>
      <c r="K1870" s="7">
        <f t="shared" si="206"/>
        <v>100000</v>
      </c>
      <c r="L1870" s="7">
        <f t="shared" si="206"/>
        <v>600000</v>
      </c>
      <c r="M1870" s="4" t="s">
        <v>115</v>
      </c>
      <c r="N1870" s="6" t="s">
        <v>3286</v>
      </c>
      <c r="O1870" s="6" t="s">
        <v>55</v>
      </c>
      <c r="P1870" s="6" t="s">
        <v>55</v>
      </c>
      <c r="Q1870" s="6" t="s">
        <v>3237</v>
      </c>
      <c r="R1870" s="6" t="s">
        <v>56</v>
      </c>
      <c r="S1870" s="6" t="s">
        <v>56</v>
      </c>
      <c r="T1870" s="6" t="s">
        <v>57</v>
      </c>
      <c r="AR1870" s="6" t="s">
        <v>55</v>
      </c>
      <c r="AS1870" s="6" t="s">
        <v>55</v>
      </c>
      <c r="AU1870" s="6" t="s">
        <v>3287</v>
      </c>
      <c r="AV1870">
        <v>2750</v>
      </c>
    </row>
    <row r="1871" spans="1:48" ht="30" customHeight="1" x14ac:dyDescent="0.3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</row>
    <row r="1872" spans="1:48" ht="30" customHeight="1" x14ac:dyDescent="0.3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</row>
    <row r="1873" spans="1:14" ht="30" customHeight="1" x14ac:dyDescent="0.3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</row>
    <row r="1874" spans="1:14" ht="30" customHeight="1" x14ac:dyDescent="0.3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</row>
    <row r="1875" spans="1:14" ht="30" customHeight="1" x14ac:dyDescent="0.3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</row>
    <row r="1876" spans="1:14" ht="30" customHeight="1" x14ac:dyDescent="0.3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</row>
    <row r="1877" spans="1:14" ht="30" customHeight="1" x14ac:dyDescent="0.3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</row>
    <row r="1878" spans="1:14" ht="30" customHeight="1" x14ac:dyDescent="0.3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</row>
    <row r="1879" spans="1:14" ht="30" customHeight="1" x14ac:dyDescent="0.3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</row>
    <row r="1880" spans="1:14" ht="30" customHeight="1" x14ac:dyDescent="0.3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</row>
    <row r="1881" spans="1:14" ht="30" customHeight="1" x14ac:dyDescent="0.3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</row>
    <row r="1882" spans="1:14" ht="30" customHeight="1" x14ac:dyDescent="0.3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</row>
    <row r="1883" spans="1:14" ht="30" customHeight="1" x14ac:dyDescent="0.3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</row>
    <row r="1884" spans="1:14" ht="30" customHeight="1" x14ac:dyDescent="0.3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</row>
    <row r="1885" spans="1:14" ht="30" customHeight="1" x14ac:dyDescent="0.3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</row>
    <row r="1886" spans="1:14" ht="30" customHeight="1" x14ac:dyDescent="0.3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</row>
    <row r="1887" spans="1:14" ht="30" customHeight="1" x14ac:dyDescent="0.3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</row>
    <row r="1888" spans="1:14" ht="30" customHeight="1" x14ac:dyDescent="0.3">
      <c r="A1888" s="4" t="s">
        <v>128</v>
      </c>
      <c r="B1888" s="5"/>
      <c r="C1888" s="5"/>
      <c r="D1888" s="5"/>
      <c r="E1888" s="5"/>
      <c r="F1888" s="7">
        <f>SUM(F1848:F1887)</f>
        <v>5513540</v>
      </c>
      <c r="G1888" s="5"/>
      <c r="H1888" s="7">
        <f>SUM(H1848:H1887)</f>
        <v>220682</v>
      </c>
      <c r="I1888" s="5"/>
      <c r="J1888" s="7">
        <f>SUM(J1848:J1887)</f>
        <v>5948</v>
      </c>
      <c r="K1888" s="5"/>
      <c r="L1888" s="7">
        <f>SUM(L1848:L1887)</f>
        <v>5740170</v>
      </c>
      <c r="M1888" s="5"/>
      <c r="N1888" t="s">
        <v>129</v>
      </c>
    </row>
    <row r="1889" spans="1:48" ht="30" customHeight="1" x14ac:dyDescent="0.3">
      <c r="A1889" s="4" t="s">
        <v>3288</v>
      </c>
      <c r="B1889" s="4" t="s">
        <v>3071</v>
      </c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Q1889" s="6" t="s">
        <v>3289</v>
      </c>
    </row>
    <row r="1890" spans="1:48" ht="30" customHeight="1" x14ac:dyDescent="0.3">
      <c r="A1890" s="4" t="s">
        <v>2052</v>
      </c>
      <c r="B1890" s="4" t="s">
        <v>2056</v>
      </c>
      <c r="C1890" s="4" t="s">
        <v>61</v>
      </c>
      <c r="D1890" s="5">
        <v>7</v>
      </c>
      <c r="E1890" s="7">
        <f>TRUNC([1]단가대비표!O719,0)</f>
        <v>55000</v>
      </c>
      <c r="F1890" s="7">
        <f t="shared" ref="F1890:F1898" si="207">TRUNC(E1890*D1890, 0)</f>
        <v>385000</v>
      </c>
      <c r="G1890" s="7">
        <f>TRUNC([1]단가대비표!P719,0)</f>
        <v>0</v>
      </c>
      <c r="H1890" s="7">
        <f t="shared" ref="H1890:H1898" si="208">TRUNC(G1890*D1890, 0)</f>
        <v>0</v>
      </c>
      <c r="I1890" s="7">
        <f>TRUNC([1]단가대비표!V719,0)</f>
        <v>0</v>
      </c>
      <c r="J1890" s="7">
        <f t="shared" ref="J1890:J1898" si="209">TRUNC(I1890*D1890, 0)</f>
        <v>0</v>
      </c>
      <c r="K1890" s="7">
        <f t="shared" ref="K1890:L1898" si="210">TRUNC(E1890+G1890+I1890, 0)</f>
        <v>55000</v>
      </c>
      <c r="L1890" s="7">
        <f t="shared" si="210"/>
        <v>385000</v>
      </c>
      <c r="M1890" s="4" t="s">
        <v>55</v>
      </c>
      <c r="N1890" s="6" t="s">
        <v>3290</v>
      </c>
      <c r="O1890" s="6" t="s">
        <v>55</v>
      </c>
      <c r="P1890" s="6" t="s">
        <v>55</v>
      </c>
      <c r="Q1890" s="6" t="s">
        <v>3289</v>
      </c>
      <c r="R1890" s="6" t="s">
        <v>56</v>
      </c>
      <c r="S1890" s="6" t="s">
        <v>56</v>
      </c>
      <c r="T1890" s="6" t="s">
        <v>57</v>
      </c>
      <c r="AR1890" s="6" t="s">
        <v>55</v>
      </c>
      <c r="AS1890" s="6" t="s">
        <v>55</v>
      </c>
      <c r="AU1890" s="6" t="s">
        <v>3291</v>
      </c>
      <c r="AV1890">
        <v>2283</v>
      </c>
    </row>
    <row r="1891" spans="1:48" ht="30" customHeight="1" x14ac:dyDescent="0.3">
      <c r="A1891" s="4" t="s">
        <v>3292</v>
      </c>
      <c r="B1891" s="4" t="s">
        <v>3293</v>
      </c>
      <c r="C1891" s="4" t="s">
        <v>61</v>
      </c>
      <c r="D1891" s="5">
        <v>1</v>
      </c>
      <c r="E1891" s="7">
        <f>TRUNC([1]단가대비표!O718,0)</f>
        <v>95000</v>
      </c>
      <c r="F1891" s="7">
        <f t="shared" si="207"/>
        <v>95000</v>
      </c>
      <c r="G1891" s="7">
        <f>TRUNC([1]단가대비표!P718,0)</f>
        <v>0</v>
      </c>
      <c r="H1891" s="7">
        <f t="shared" si="208"/>
        <v>0</v>
      </c>
      <c r="I1891" s="7">
        <f>TRUNC([1]단가대비표!V718,0)</f>
        <v>0</v>
      </c>
      <c r="J1891" s="7">
        <f t="shared" si="209"/>
        <v>0</v>
      </c>
      <c r="K1891" s="7">
        <f t="shared" si="210"/>
        <v>95000</v>
      </c>
      <c r="L1891" s="7">
        <f t="shared" si="210"/>
        <v>95000</v>
      </c>
      <c r="M1891" s="4" t="s">
        <v>55</v>
      </c>
      <c r="N1891" s="6" t="s">
        <v>3294</v>
      </c>
      <c r="O1891" s="6" t="s">
        <v>55</v>
      </c>
      <c r="P1891" s="6" t="s">
        <v>55</v>
      </c>
      <c r="Q1891" s="6" t="s">
        <v>3289</v>
      </c>
      <c r="R1891" s="6" t="s">
        <v>56</v>
      </c>
      <c r="S1891" s="6" t="s">
        <v>56</v>
      </c>
      <c r="T1891" s="6" t="s">
        <v>57</v>
      </c>
      <c r="AR1891" s="6" t="s">
        <v>55</v>
      </c>
      <c r="AS1891" s="6" t="s">
        <v>55</v>
      </c>
      <c r="AU1891" s="6" t="s">
        <v>3295</v>
      </c>
      <c r="AV1891">
        <v>2282</v>
      </c>
    </row>
    <row r="1892" spans="1:48" ht="30" customHeight="1" x14ac:dyDescent="0.3">
      <c r="A1892" s="4" t="s">
        <v>2070</v>
      </c>
      <c r="B1892" s="4" t="s">
        <v>2071</v>
      </c>
      <c r="C1892" s="4" t="s">
        <v>269</v>
      </c>
      <c r="D1892" s="5">
        <v>24</v>
      </c>
      <c r="E1892" s="7">
        <f>TRUNC([1]일위대가목록!E176,0)</f>
        <v>383</v>
      </c>
      <c r="F1892" s="7">
        <f t="shared" si="207"/>
        <v>9192</v>
      </c>
      <c r="G1892" s="7">
        <f>TRUNC([1]일위대가목록!F176,0)</f>
        <v>0</v>
      </c>
      <c r="H1892" s="7">
        <f t="shared" si="208"/>
        <v>0</v>
      </c>
      <c r="I1892" s="7">
        <f>TRUNC([1]일위대가목록!G176,0)</f>
        <v>0</v>
      </c>
      <c r="J1892" s="7">
        <f t="shared" si="209"/>
        <v>0</v>
      </c>
      <c r="K1892" s="7">
        <f t="shared" si="210"/>
        <v>383</v>
      </c>
      <c r="L1892" s="7">
        <f t="shared" si="210"/>
        <v>9192</v>
      </c>
      <c r="M1892" s="4" t="s">
        <v>2072</v>
      </c>
      <c r="N1892" s="6" t="s">
        <v>2073</v>
      </c>
      <c r="O1892" s="6" t="s">
        <v>55</v>
      </c>
      <c r="P1892" s="6" t="s">
        <v>55</v>
      </c>
      <c r="Q1892" s="6" t="s">
        <v>3289</v>
      </c>
      <c r="R1892" s="6" t="s">
        <v>57</v>
      </c>
      <c r="S1892" s="6" t="s">
        <v>56</v>
      </c>
      <c r="T1892" s="6" t="s">
        <v>56</v>
      </c>
      <c r="AR1892" s="6" t="s">
        <v>55</v>
      </c>
      <c r="AS1892" s="6" t="s">
        <v>55</v>
      </c>
      <c r="AU1892" s="6" t="s">
        <v>3296</v>
      </c>
      <c r="AV1892">
        <v>986</v>
      </c>
    </row>
    <row r="1893" spans="1:48" ht="30" customHeight="1" x14ac:dyDescent="0.3">
      <c r="A1893" s="4" t="s">
        <v>2075</v>
      </c>
      <c r="B1893" s="4" t="s">
        <v>2076</v>
      </c>
      <c r="C1893" s="4" t="s">
        <v>269</v>
      </c>
      <c r="D1893" s="5">
        <v>22</v>
      </c>
      <c r="E1893" s="7">
        <f>TRUNC([1]일위대가목록!E177,0)</f>
        <v>2295</v>
      </c>
      <c r="F1893" s="7">
        <f t="shared" si="207"/>
        <v>50490</v>
      </c>
      <c r="G1893" s="7">
        <f>TRUNC([1]일위대가목록!F177,0)</f>
        <v>0</v>
      </c>
      <c r="H1893" s="7">
        <f t="shared" si="208"/>
        <v>0</v>
      </c>
      <c r="I1893" s="7">
        <f>TRUNC([1]일위대가목록!G177,0)</f>
        <v>0</v>
      </c>
      <c r="J1893" s="7">
        <f t="shared" si="209"/>
        <v>0</v>
      </c>
      <c r="K1893" s="7">
        <f t="shared" si="210"/>
        <v>2295</v>
      </c>
      <c r="L1893" s="7">
        <f t="shared" si="210"/>
        <v>50490</v>
      </c>
      <c r="M1893" s="4" t="s">
        <v>2077</v>
      </c>
      <c r="N1893" s="6" t="s">
        <v>2078</v>
      </c>
      <c r="O1893" s="6" t="s">
        <v>55</v>
      </c>
      <c r="P1893" s="6" t="s">
        <v>55</v>
      </c>
      <c r="Q1893" s="6" t="s">
        <v>3289</v>
      </c>
      <c r="R1893" s="6" t="s">
        <v>57</v>
      </c>
      <c r="S1893" s="6" t="s">
        <v>56</v>
      </c>
      <c r="T1893" s="6" t="s">
        <v>56</v>
      </c>
      <c r="AR1893" s="6" t="s">
        <v>55</v>
      </c>
      <c r="AS1893" s="6" t="s">
        <v>55</v>
      </c>
      <c r="AU1893" s="6" t="s">
        <v>3297</v>
      </c>
      <c r="AV1893">
        <v>987</v>
      </c>
    </row>
    <row r="1894" spans="1:48" ht="30" customHeight="1" x14ac:dyDescent="0.3">
      <c r="A1894" s="4" t="s">
        <v>2084</v>
      </c>
      <c r="B1894" s="4" t="s">
        <v>2089</v>
      </c>
      <c r="C1894" s="4" t="s">
        <v>61</v>
      </c>
      <c r="D1894" s="5">
        <v>8</v>
      </c>
      <c r="E1894" s="7">
        <f>TRUNC([1]일위대가목록!E180,0)</f>
        <v>780</v>
      </c>
      <c r="F1894" s="7">
        <f t="shared" si="207"/>
        <v>6240</v>
      </c>
      <c r="G1894" s="7">
        <f>TRUNC([1]일위대가목록!F180,0)</f>
        <v>25201</v>
      </c>
      <c r="H1894" s="7">
        <f t="shared" si="208"/>
        <v>201608</v>
      </c>
      <c r="I1894" s="7">
        <f>TRUNC([1]일위대가목록!G180,0)</f>
        <v>0</v>
      </c>
      <c r="J1894" s="7">
        <f t="shared" si="209"/>
        <v>0</v>
      </c>
      <c r="K1894" s="7">
        <f t="shared" si="210"/>
        <v>25981</v>
      </c>
      <c r="L1894" s="7">
        <f t="shared" si="210"/>
        <v>207848</v>
      </c>
      <c r="M1894" s="4" t="s">
        <v>2090</v>
      </c>
      <c r="N1894" s="6" t="s">
        <v>2091</v>
      </c>
      <c r="O1894" s="6" t="s">
        <v>55</v>
      </c>
      <c r="P1894" s="6" t="s">
        <v>55</v>
      </c>
      <c r="Q1894" s="6" t="s">
        <v>3289</v>
      </c>
      <c r="R1894" s="6" t="s">
        <v>57</v>
      </c>
      <c r="S1894" s="6" t="s">
        <v>56</v>
      </c>
      <c r="T1894" s="6" t="s">
        <v>56</v>
      </c>
      <c r="AR1894" s="6" t="s">
        <v>55</v>
      </c>
      <c r="AS1894" s="6" t="s">
        <v>55</v>
      </c>
      <c r="AU1894" s="6" t="s">
        <v>3298</v>
      </c>
      <c r="AV1894">
        <v>2751</v>
      </c>
    </row>
    <row r="1895" spans="1:48" ht="30" customHeight="1" x14ac:dyDescent="0.3">
      <c r="A1895" s="4" t="s">
        <v>2093</v>
      </c>
      <c r="B1895" s="4" t="s">
        <v>2071</v>
      </c>
      <c r="C1895" s="4" t="s">
        <v>269</v>
      </c>
      <c r="D1895" s="5">
        <v>20</v>
      </c>
      <c r="E1895" s="7">
        <f>TRUNC([1]일위대가목록!E181,0)</f>
        <v>383</v>
      </c>
      <c r="F1895" s="7">
        <f t="shared" si="207"/>
        <v>7660</v>
      </c>
      <c r="G1895" s="7">
        <f>TRUNC([1]일위대가목록!F181,0)</f>
        <v>0</v>
      </c>
      <c r="H1895" s="7">
        <f t="shared" si="208"/>
        <v>0</v>
      </c>
      <c r="I1895" s="7">
        <f>TRUNC([1]일위대가목록!G181,0)</f>
        <v>0</v>
      </c>
      <c r="J1895" s="7">
        <f t="shared" si="209"/>
        <v>0</v>
      </c>
      <c r="K1895" s="7">
        <f t="shared" si="210"/>
        <v>383</v>
      </c>
      <c r="L1895" s="7">
        <f t="shared" si="210"/>
        <v>7660</v>
      </c>
      <c r="M1895" s="4" t="s">
        <v>2094</v>
      </c>
      <c r="N1895" s="6" t="s">
        <v>2095</v>
      </c>
      <c r="O1895" s="6" t="s">
        <v>55</v>
      </c>
      <c r="P1895" s="6" t="s">
        <v>55</v>
      </c>
      <c r="Q1895" s="6" t="s">
        <v>3289</v>
      </c>
      <c r="R1895" s="6" t="s">
        <v>57</v>
      </c>
      <c r="S1895" s="6" t="s">
        <v>56</v>
      </c>
      <c r="T1895" s="6" t="s">
        <v>56</v>
      </c>
      <c r="AR1895" s="6" t="s">
        <v>55</v>
      </c>
      <c r="AS1895" s="6" t="s">
        <v>55</v>
      </c>
      <c r="AU1895" s="6" t="s">
        <v>3299</v>
      </c>
      <c r="AV1895">
        <v>989</v>
      </c>
    </row>
    <row r="1896" spans="1:48" ht="30" customHeight="1" x14ac:dyDescent="0.3">
      <c r="A1896" s="4" t="s">
        <v>2097</v>
      </c>
      <c r="B1896" s="4" t="s">
        <v>55</v>
      </c>
      <c r="C1896" s="4" t="s">
        <v>269</v>
      </c>
      <c r="D1896" s="5">
        <v>22</v>
      </c>
      <c r="E1896" s="7">
        <f>TRUNC([1]일위대가목록!E182,0)</f>
        <v>3996</v>
      </c>
      <c r="F1896" s="7">
        <f t="shared" si="207"/>
        <v>87912</v>
      </c>
      <c r="G1896" s="7">
        <f>TRUNC([1]일위대가목록!F182,0)</f>
        <v>3587</v>
      </c>
      <c r="H1896" s="7">
        <f t="shared" si="208"/>
        <v>78914</v>
      </c>
      <c r="I1896" s="7">
        <f>TRUNC([1]일위대가목록!G182,0)</f>
        <v>0</v>
      </c>
      <c r="J1896" s="7">
        <f t="shared" si="209"/>
        <v>0</v>
      </c>
      <c r="K1896" s="7">
        <f t="shared" si="210"/>
        <v>7583</v>
      </c>
      <c r="L1896" s="7">
        <f t="shared" si="210"/>
        <v>166826</v>
      </c>
      <c r="M1896" s="4" t="s">
        <v>2098</v>
      </c>
      <c r="N1896" s="6" t="s">
        <v>2099</v>
      </c>
      <c r="O1896" s="6" t="s">
        <v>55</v>
      </c>
      <c r="P1896" s="6" t="s">
        <v>55</v>
      </c>
      <c r="Q1896" s="6" t="s">
        <v>3289</v>
      </c>
      <c r="R1896" s="6" t="s">
        <v>57</v>
      </c>
      <c r="S1896" s="6" t="s">
        <v>56</v>
      </c>
      <c r="T1896" s="6" t="s">
        <v>56</v>
      </c>
      <c r="AR1896" s="6" t="s">
        <v>55</v>
      </c>
      <c r="AS1896" s="6" t="s">
        <v>55</v>
      </c>
      <c r="AU1896" s="6" t="s">
        <v>3300</v>
      </c>
      <c r="AV1896">
        <v>2752</v>
      </c>
    </row>
    <row r="1897" spans="1:48" ht="30" customHeight="1" x14ac:dyDescent="0.3">
      <c r="A1897" s="4" t="s">
        <v>2101</v>
      </c>
      <c r="B1897" s="4" t="s">
        <v>55</v>
      </c>
      <c r="C1897" s="4" t="s">
        <v>269</v>
      </c>
      <c r="D1897" s="5">
        <v>17</v>
      </c>
      <c r="E1897" s="7">
        <f>TRUNC([1]일위대가목록!E183,0)</f>
        <v>150</v>
      </c>
      <c r="F1897" s="7">
        <f t="shared" si="207"/>
        <v>2550</v>
      </c>
      <c r="G1897" s="7">
        <f>TRUNC([1]일위대가목록!F183,0)</f>
        <v>0</v>
      </c>
      <c r="H1897" s="7">
        <f t="shared" si="208"/>
        <v>0</v>
      </c>
      <c r="I1897" s="7">
        <f>TRUNC([1]일위대가목록!G183,0)</f>
        <v>0</v>
      </c>
      <c r="J1897" s="7">
        <f t="shared" si="209"/>
        <v>0</v>
      </c>
      <c r="K1897" s="7">
        <f t="shared" si="210"/>
        <v>150</v>
      </c>
      <c r="L1897" s="7">
        <f t="shared" si="210"/>
        <v>2550</v>
      </c>
      <c r="M1897" s="4" t="s">
        <v>2102</v>
      </c>
      <c r="N1897" s="6" t="s">
        <v>2103</v>
      </c>
      <c r="O1897" s="6" t="s">
        <v>55</v>
      </c>
      <c r="P1897" s="6" t="s">
        <v>55</v>
      </c>
      <c r="Q1897" s="6" t="s">
        <v>3289</v>
      </c>
      <c r="R1897" s="6" t="s">
        <v>57</v>
      </c>
      <c r="S1897" s="6" t="s">
        <v>56</v>
      </c>
      <c r="T1897" s="6" t="s">
        <v>56</v>
      </c>
      <c r="AR1897" s="6" t="s">
        <v>55</v>
      </c>
      <c r="AS1897" s="6" t="s">
        <v>55</v>
      </c>
      <c r="AU1897" s="6" t="s">
        <v>3301</v>
      </c>
      <c r="AV1897">
        <v>991</v>
      </c>
    </row>
    <row r="1898" spans="1:48" ht="30" customHeight="1" x14ac:dyDescent="0.3">
      <c r="A1898" s="4" t="s">
        <v>2105</v>
      </c>
      <c r="B1898" s="4" t="s">
        <v>2106</v>
      </c>
      <c r="C1898" s="4" t="s">
        <v>61</v>
      </c>
      <c r="D1898" s="5">
        <v>1</v>
      </c>
      <c r="E1898" s="7">
        <f>TRUNC([1]일위대가목록!E184,0)</f>
        <v>50471</v>
      </c>
      <c r="F1898" s="7">
        <f t="shared" si="207"/>
        <v>50471</v>
      </c>
      <c r="G1898" s="7">
        <f>TRUNC([1]일위대가목록!F184,0)</f>
        <v>58966</v>
      </c>
      <c r="H1898" s="7">
        <f t="shared" si="208"/>
        <v>58966</v>
      </c>
      <c r="I1898" s="7">
        <f>TRUNC([1]일위대가목록!G184,0)</f>
        <v>343</v>
      </c>
      <c r="J1898" s="7">
        <f t="shared" si="209"/>
        <v>343</v>
      </c>
      <c r="K1898" s="7">
        <f t="shared" si="210"/>
        <v>109780</v>
      </c>
      <c r="L1898" s="7">
        <f t="shared" si="210"/>
        <v>109780</v>
      </c>
      <c r="M1898" s="4" t="s">
        <v>2107</v>
      </c>
      <c r="N1898" s="6" t="s">
        <v>2108</v>
      </c>
      <c r="O1898" s="6" t="s">
        <v>55</v>
      </c>
      <c r="P1898" s="6" t="s">
        <v>55</v>
      </c>
      <c r="Q1898" s="6" t="s">
        <v>3289</v>
      </c>
      <c r="R1898" s="6" t="s">
        <v>57</v>
      </c>
      <c r="S1898" s="6" t="s">
        <v>56</v>
      </c>
      <c r="T1898" s="6" t="s">
        <v>56</v>
      </c>
      <c r="AR1898" s="6" t="s">
        <v>55</v>
      </c>
      <c r="AS1898" s="6" t="s">
        <v>55</v>
      </c>
      <c r="AU1898" s="6" t="s">
        <v>3302</v>
      </c>
      <c r="AV1898">
        <v>992</v>
      </c>
    </row>
    <row r="1899" spans="1:48" ht="30" customHeight="1" x14ac:dyDescent="0.3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</row>
    <row r="1900" spans="1:48" ht="30" customHeight="1" x14ac:dyDescent="0.3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</row>
    <row r="1901" spans="1:48" ht="30" customHeight="1" x14ac:dyDescent="0.3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</row>
    <row r="1902" spans="1:48" ht="30" customHeight="1" x14ac:dyDescent="0.3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</row>
    <row r="1903" spans="1:48" ht="30" customHeight="1" x14ac:dyDescent="0.3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</row>
    <row r="1904" spans="1:48" ht="30" customHeight="1" x14ac:dyDescent="0.3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</row>
    <row r="1905" spans="1:48" ht="30" customHeight="1" x14ac:dyDescent="0.3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</row>
    <row r="1906" spans="1:48" ht="30" customHeight="1" x14ac:dyDescent="0.3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</row>
    <row r="1907" spans="1:48" ht="30" customHeight="1" x14ac:dyDescent="0.3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</row>
    <row r="1908" spans="1:48" ht="30" customHeight="1" x14ac:dyDescent="0.3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</row>
    <row r="1909" spans="1:48" ht="30" customHeight="1" x14ac:dyDescent="0.3">
      <c r="A1909" s="4" t="s">
        <v>128</v>
      </c>
      <c r="B1909" s="5"/>
      <c r="C1909" s="5"/>
      <c r="D1909" s="5"/>
      <c r="E1909" s="5"/>
      <c r="F1909" s="7">
        <f>SUM(F1890:F1908)</f>
        <v>694515</v>
      </c>
      <c r="G1909" s="5"/>
      <c r="H1909" s="7">
        <f>SUM(H1890:H1908)</f>
        <v>339488</v>
      </c>
      <c r="I1909" s="5"/>
      <c r="J1909" s="7">
        <f>SUM(J1890:J1908)</f>
        <v>343</v>
      </c>
      <c r="K1909" s="5"/>
      <c r="L1909" s="7">
        <f>SUM(L1890:L1908)</f>
        <v>1034346</v>
      </c>
      <c r="M1909" s="5"/>
      <c r="N1909" t="s">
        <v>129</v>
      </c>
    </row>
    <row r="1910" spans="1:48" ht="30" customHeight="1" x14ac:dyDescent="0.3">
      <c r="A1910" s="4" t="s">
        <v>3303</v>
      </c>
      <c r="B1910" s="4" t="s">
        <v>3071</v>
      </c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Q1910" s="6" t="s">
        <v>3304</v>
      </c>
    </row>
    <row r="1911" spans="1:48" ht="30" customHeight="1" x14ac:dyDescent="0.3">
      <c r="A1911" s="4" t="s">
        <v>409</v>
      </c>
      <c r="B1911" s="4" t="s">
        <v>2112</v>
      </c>
      <c r="C1911" s="4" t="s">
        <v>61</v>
      </c>
      <c r="D1911" s="5">
        <v>19</v>
      </c>
      <c r="E1911" s="7">
        <f>TRUNC([1]일위대가목록!E185,0)</f>
        <v>1133</v>
      </c>
      <c r="F1911" s="7">
        <f t="shared" ref="F1911:F1916" si="211">TRUNC(E1911*D1911, 0)</f>
        <v>21527</v>
      </c>
      <c r="G1911" s="7">
        <f>TRUNC([1]일위대가목록!F185,0)</f>
        <v>2904</v>
      </c>
      <c r="H1911" s="7">
        <f t="shared" ref="H1911:H1916" si="212">TRUNC(G1911*D1911, 0)</f>
        <v>55176</v>
      </c>
      <c r="I1911" s="7">
        <f>TRUNC([1]일위대가목록!G185,0)</f>
        <v>119</v>
      </c>
      <c r="J1911" s="7">
        <f t="shared" ref="J1911:J1916" si="213">TRUNC(I1911*D1911, 0)</f>
        <v>2261</v>
      </c>
      <c r="K1911" s="7">
        <f t="shared" ref="K1911:L1916" si="214">TRUNC(E1911+G1911+I1911, 0)</f>
        <v>4156</v>
      </c>
      <c r="L1911" s="7">
        <f t="shared" si="214"/>
        <v>78964</v>
      </c>
      <c r="M1911" s="4" t="s">
        <v>2113</v>
      </c>
      <c r="N1911" s="6" t="s">
        <v>2114</v>
      </c>
      <c r="O1911" s="6" t="s">
        <v>55</v>
      </c>
      <c r="P1911" s="6" t="s">
        <v>55</v>
      </c>
      <c r="Q1911" s="6" t="s">
        <v>3304</v>
      </c>
      <c r="R1911" s="6" t="s">
        <v>57</v>
      </c>
      <c r="S1911" s="6" t="s">
        <v>56</v>
      </c>
      <c r="T1911" s="6" t="s">
        <v>56</v>
      </c>
      <c r="AR1911" s="6" t="s">
        <v>55</v>
      </c>
      <c r="AS1911" s="6" t="s">
        <v>55</v>
      </c>
      <c r="AU1911" s="6" t="s">
        <v>3305</v>
      </c>
      <c r="AV1911">
        <v>994</v>
      </c>
    </row>
    <row r="1912" spans="1:48" ht="30" customHeight="1" x14ac:dyDescent="0.3">
      <c r="A1912" s="4" t="s">
        <v>2116</v>
      </c>
      <c r="B1912" s="4" t="s">
        <v>2117</v>
      </c>
      <c r="C1912" s="4" t="s">
        <v>61</v>
      </c>
      <c r="D1912" s="5">
        <v>19</v>
      </c>
      <c r="E1912" s="7">
        <f>TRUNC([1]일위대가목록!E186,0)</f>
        <v>1694</v>
      </c>
      <c r="F1912" s="7">
        <f t="shared" si="211"/>
        <v>32186</v>
      </c>
      <c r="G1912" s="7">
        <f>TRUNC([1]일위대가목록!F186,0)</f>
        <v>968</v>
      </c>
      <c r="H1912" s="7">
        <f t="shared" si="212"/>
        <v>18392</v>
      </c>
      <c r="I1912" s="7">
        <f>TRUNC([1]일위대가목록!G186,0)</f>
        <v>238</v>
      </c>
      <c r="J1912" s="7">
        <f t="shared" si="213"/>
        <v>4522</v>
      </c>
      <c r="K1912" s="7">
        <f t="shared" si="214"/>
        <v>2900</v>
      </c>
      <c r="L1912" s="7">
        <f t="shared" si="214"/>
        <v>55100</v>
      </c>
      <c r="M1912" s="4" t="s">
        <v>2118</v>
      </c>
      <c r="N1912" s="6" t="s">
        <v>2119</v>
      </c>
      <c r="O1912" s="6" t="s">
        <v>55</v>
      </c>
      <c r="P1912" s="6" t="s">
        <v>55</v>
      </c>
      <c r="Q1912" s="6" t="s">
        <v>3304</v>
      </c>
      <c r="R1912" s="6" t="s">
        <v>57</v>
      </c>
      <c r="S1912" s="6" t="s">
        <v>56</v>
      </c>
      <c r="T1912" s="6" t="s">
        <v>56</v>
      </c>
      <c r="AR1912" s="6" t="s">
        <v>55</v>
      </c>
      <c r="AS1912" s="6" t="s">
        <v>55</v>
      </c>
      <c r="AU1912" s="6" t="s">
        <v>3306</v>
      </c>
      <c r="AV1912">
        <v>995</v>
      </c>
    </row>
    <row r="1913" spans="1:48" ht="30" customHeight="1" x14ac:dyDescent="0.3">
      <c r="A1913" s="4" t="s">
        <v>2121</v>
      </c>
      <c r="B1913" s="4" t="s">
        <v>2122</v>
      </c>
      <c r="C1913" s="4" t="s">
        <v>269</v>
      </c>
      <c r="D1913" s="5">
        <v>13</v>
      </c>
      <c r="E1913" s="7">
        <f>TRUNC([1]일위대가목록!E187,0)</f>
        <v>1081</v>
      </c>
      <c r="F1913" s="7">
        <f t="shared" si="211"/>
        <v>14053</v>
      </c>
      <c r="G1913" s="7">
        <f>TRUNC([1]일위대가목록!F187,0)</f>
        <v>2052</v>
      </c>
      <c r="H1913" s="7">
        <f t="shared" si="212"/>
        <v>26676</v>
      </c>
      <c r="I1913" s="7">
        <f>TRUNC([1]일위대가목록!G187,0)</f>
        <v>0</v>
      </c>
      <c r="J1913" s="7">
        <f t="shared" si="213"/>
        <v>0</v>
      </c>
      <c r="K1913" s="7">
        <f t="shared" si="214"/>
        <v>3133</v>
      </c>
      <c r="L1913" s="7">
        <f t="shared" si="214"/>
        <v>40729</v>
      </c>
      <c r="M1913" s="4" t="s">
        <v>2123</v>
      </c>
      <c r="N1913" s="6" t="s">
        <v>2124</v>
      </c>
      <c r="O1913" s="6" t="s">
        <v>55</v>
      </c>
      <c r="P1913" s="6" t="s">
        <v>55</v>
      </c>
      <c r="Q1913" s="6" t="s">
        <v>3304</v>
      </c>
      <c r="R1913" s="6" t="s">
        <v>57</v>
      </c>
      <c r="S1913" s="6" t="s">
        <v>56</v>
      </c>
      <c r="T1913" s="6" t="s">
        <v>56</v>
      </c>
      <c r="AR1913" s="6" t="s">
        <v>55</v>
      </c>
      <c r="AS1913" s="6" t="s">
        <v>55</v>
      </c>
      <c r="AU1913" s="6" t="s">
        <v>3307</v>
      </c>
      <c r="AV1913">
        <v>996</v>
      </c>
    </row>
    <row r="1914" spans="1:48" ht="30" customHeight="1" x14ac:dyDescent="0.3">
      <c r="A1914" s="4" t="s">
        <v>2130</v>
      </c>
      <c r="B1914" s="4" t="s">
        <v>2131</v>
      </c>
      <c r="C1914" s="4" t="s">
        <v>61</v>
      </c>
      <c r="D1914" s="5">
        <v>104</v>
      </c>
      <c r="E1914" s="7">
        <f>TRUNC([1]일위대가목록!E189,0)</f>
        <v>1951</v>
      </c>
      <c r="F1914" s="7">
        <f t="shared" si="211"/>
        <v>202904</v>
      </c>
      <c r="G1914" s="7">
        <f>TRUNC([1]일위대가목록!F189,0)</f>
        <v>9655</v>
      </c>
      <c r="H1914" s="7">
        <f t="shared" si="212"/>
        <v>1004120</v>
      </c>
      <c r="I1914" s="7">
        <f>TRUNC([1]일위대가목록!G189,0)</f>
        <v>0</v>
      </c>
      <c r="J1914" s="7">
        <f t="shared" si="213"/>
        <v>0</v>
      </c>
      <c r="K1914" s="7">
        <f t="shared" si="214"/>
        <v>11606</v>
      </c>
      <c r="L1914" s="7">
        <f t="shared" si="214"/>
        <v>1207024</v>
      </c>
      <c r="M1914" s="4" t="s">
        <v>2132</v>
      </c>
      <c r="N1914" s="6" t="s">
        <v>2133</v>
      </c>
      <c r="O1914" s="6" t="s">
        <v>55</v>
      </c>
      <c r="P1914" s="6" t="s">
        <v>55</v>
      </c>
      <c r="Q1914" s="6" t="s">
        <v>3304</v>
      </c>
      <c r="R1914" s="6" t="s">
        <v>57</v>
      </c>
      <c r="S1914" s="6" t="s">
        <v>56</v>
      </c>
      <c r="T1914" s="6" t="s">
        <v>56</v>
      </c>
      <c r="AR1914" s="6" t="s">
        <v>55</v>
      </c>
      <c r="AS1914" s="6" t="s">
        <v>55</v>
      </c>
      <c r="AU1914" s="6" t="s">
        <v>3308</v>
      </c>
      <c r="AV1914">
        <v>997</v>
      </c>
    </row>
    <row r="1915" spans="1:48" ht="30" customHeight="1" x14ac:dyDescent="0.3">
      <c r="A1915" s="4" t="s">
        <v>2130</v>
      </c>
      <c r="B1915" s="4" t="s">
        <v>2139</v>
      </c>
      <c r="C1915" s="4" t="s">
        <v>61</v>
      </c>
      <c r="D1915" s="5">
        <v>30</v>
      </c>
      <c r="E1915" s="7">
        <f>TRUNC([1]일위대가목록!E191,0)</f>
        <v>1202</v>
      </c>
      <c r="F1915" s="7">
        <f t="shared" si="211"/>
        <v>36060</v>
      </c>
      <c r="G1915" s="7">
        <f>TRUNC([1]일위대가목록!F191,0)</f>
        <v>5260</v>
      </c>
      <c r="H1915" s="7">
        <f t="shared" si="212"/>
        <v>157800</v>
      </c>
      <c r="I1915" s="7">
        <f>TRUNC([1]일위대가목록!G191,0)</f>
        <v>0</v>
      </c>
      <c r="J1915" s="7">
        <f t="shared" si="213"/>
        <v>0</v>
      </c>
      <c r="K1915" s="7">
        <f t="shared" si="214"/>
        <v>6462</v>
      </c>
      <c r="L1915" s="7">
        <f t="shared" si="214"/>
        <v>193860</v>
      </c>
      <c r="M1915" s="4" t="s">
        <v>2140</v>
      </c>
      <c r="N1915" s="6" t="s">
        <v>2141</v>
      </c>
      <c r="O1915" s="6" t="s">
        <v>55</v>
      </c>
      <c r="P1915" s="6" t="s">
        <v>55</v>
      </c>
      <c r="Q1915" s="6" t="s">
        <v>3304</v>
      </c>
      <c r="R1915" s="6" t="s">
        <v>57</v>
      </c>
      <c r="S1915" s="6" t="s">
        <v>56</v>
      </c>
      <c r="T1915" s="6" t="s">
        <v>56</v>
      </c>
      <c r="AR1915" s="6" t="s">
        <v>55</v>
      </c>
      <c r="AS1915" s="6" t="s">
        <v>55</v>
      </c>
      <c r="AU1915" s="6" t="s">
        <v>3309</v>
      </c>
      <c r="AV1915">
        <v>998</v>
      </c>
    </row>
    <row r="1916" spans="1:48" ht="30" customHeight="1" x14ac:dyDescent="0.3">
      <c r="A1916" s="4" t="s">
        <v>2156</v>
      </c>
      <c r="B1916" s="4" t="s">
        <v>2157</v>
      </c>
      <c r="C1916" s="4" t="s">
        <v>61</v>
      </c>
      <c r="D1916" s="5">
        <v>3</v>
      </c>
      <c r="E1916" s="7">
        <f>TRUNC([1]일위대가목록!E195,0)</f>
        <v>3624</v>
      </c>
      <c r="F1916" s="7">
        <f t="shared" si="211"/>
        <v>10872</v>
      </c>
      <c r="G1916" s="7">
        <f>TRUNC([1]일위대가목록!F195,0)</f>
        <v>0</v>
      </c>
      <c r="H1916" s="7">
        <f t="shared" si="212"/>
        <v>0</v>
      </c>
      <c r="I1916" s="7">
        <f>TRUNC([1]일위대가목록!G195,0)</f>
        <v>0</v>
      </c>
      <c r="J1916" s="7">
        <f t="shared" si="213"/>
        <v>0</v>
      </c>
      <c r="K1916" s="7">
        <f t="shared" si="214"/>
        <v>3624</v>
      </c>
      <c r="L1916" s="7">
        <f t="shared" si="214"/>
        <v>10872</v>
      </c>
      <c r="M1916" s="4" t="s">
        <v>2158</v>
      </c>
      <c r="N1916" s="6" t="s">
        <v>2159</v>
      </c>
      <c r="O1916" s="6" t="s">
        <v>55</v>
      </c>
      <c r="P1916" s="6" t="s">
        <v>55</v>
      </c>
      <c r="Q1916" s="6" t="s">
        <v>3304</v>
      </c>
      <c r="R1916" s="6" t="s">
        <v>57</v>
      </c>
      <c r="S1916" s="6" t="s">
        <v>56</v>
      </c>
      <c r="T1916" s="6" t="s">
        <v>56</v>
      </c>
      <c r="AR1916" s="6" t="s">
        <v>55</v>
      </c>
      <c r="AS1916" s="6" t="s">
        <v>55</v>
      </c>
      <c r="AU1916" s="6" t="s">
        <v>3310</v>
      </c>
      <c r="AV1916">
        <v>3181</v>
      </c>
    </row>
    <row r="1917" spans="1:48" ht="30" customHeight="1" x14ac:dyDescent="0.3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</row>
    <row r="1918" spans="1:48" ht="30" customHeight="1" x14ac:dyDescent="0.3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</row>
    <row r="1919" spans="1:48" ht="30" customHeight="1" x14ac:dyDescent="0.3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</row>
    <row r="1920" spans="1:48" ht="30" customHeight="1" x14ac:dyDescent="0.3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</row>
    <row r="1921" spans="1:48" ht="30" customHeight="1" x14ac:dyDescent="0.3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</row>
    <row r="1922" spans="1:48" ht="30" customHeight="1" x14ac:dyDescent="0.3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</row>
    <row r="1923" spans="1:48" ht="30" customHeight="1" x14ac:dyDescent="0.3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</row>
    <row r="1924" spans="1:48" ht="30" customHeight="1" x14ac:dyDescent="0.3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</row>
    <row r="1925" spans="1:48" ht="30" customHeight="1" x14ac:dyDescent="0.3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</row>
    <row r="1926" spans="1:48" ht="30" customHeight="1" x14ac:dyDescent="0.3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</row>
    <row r="1927" spans="1:48" ht="30" customHeight="1" x14ac:dyDescent="0.3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</row>
    <row r="1928" spans="1:48" ht="30" customHeight="1" x14ac:dyDescent="0.3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</row>
    <row r="1929" spans="1:48" ht="30" customHeight="1" x14ac:dyDescent="0.3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</row>
    <row r="1930" spans="1:48" ht="30" customHeight="1" x14ac:dyDescent="0.3">
      <c r="A1930" s="4" t="s">
        <v>128</v>
      </c>
      <c r="B1930" s="5"/>
      <c r="C1930" s="5"/>
      <c r="D1930" s="5"/>
      <c r="E1930" s="5"/>
      <c r="F1930" s="7">
        <f>SUM(F1911:F1929)</f>
        <v>317602</v>
      </c>
      <c r="G1930" s="5"/>
      <c r="H1930" s="7">
        <f>SUM(H1911:H1929)</f>
        <v>1262164</v>
      </c>
      <c r="I1930" s="5"/>
      <c r="J1930" s="7">
        <f>SUM(J1911:J1929)</f>
        <v>6783</v>
      </c>
      <c r="K1930" s="5"/>
      <c r="L1930" s="7">
        <f>SUM(L1911:L1929)</f>
        <v>1586549</v>
      </c>
      <c r="M1930" s="5"/>
      <c r="N1930" t="s">
        <v>129</v>
      </c>
    </row>
    <row r="1931" spans="1:48" ht="30" customHeight="1" x14ac:dyDescent="0.3">
      <c r="A1931" s="4" t="s">
        <v>3311</v>
      </c>
      <c r="B1931" s="4" t="s">
        <v>3071</v>
      </c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Q1931" s="6" t="s">
        <v>3312</v>
      </c>
    </row>
    <row r="1932" spans="1:48" ht="30" customHeight="1" x14ac:dyDescent="0.3">
      <c r="A1932" s="4" t="s">
        <v>2173</v>
      </c>
      <c r="B1932" s="4" t="s">
        <v>2174</v>
      </c>
      <c r="C1932" s="4" t="s">
        <v>223</v>
      </c>
      <c r="D1932" s="5">
        <v>6</v>
      </c>
      <c r="E1932" s="7">
        <f>TRUNC([1]단가대비표!O20,0)</f>
        <v>29000</v>
      </c>
      <c r="F1932" s="7">
        <f>TRUNC(E1932*D1932, 0)</f>
        <v>174000</v>
      </c>
      <c r="G1932" s="7">
        <f>TRUNC([1]단가대비표!P20,0)</f>
        <v>0</v>
      </c>
      <c r="H1932" s="7">
        <f>TRUNC(G1932*D1932, 0)</f>
        <v>0</v>
      </c>
      <c r="I1932" s="7">
        <f>TRUNC([1]단가대비표!V20,0)</f>
        <v>0</v>
      </c>
      <c r="J1932" s="7">
        <f>TRUNC(I1932*D1932, 0)</f>
        <v>0</v>
      </c>
      <c r="K1932" s="7">
        <f>TRUNC(E1932+G1932+I1932, 0)</f>
        <v>29000</v>
      </c>
      <c r="L1932" s="7">
        <f>TRUNC(F1932+H1932+J1932, 0)</f>
        <v>174000</v>
      </c>
      <c r="M1932" s="4" t="s">
        <v>55</v>
      </c>
      <c r="N1932" s="6" t="s">
        <v>2175</v>
      </c>
      <c r="O1932" s="6" t="s">
        <v>55</v>
      </c>
      <c r="P1932" s="6" t="s">
        <v>55</v>
      </c>
      <c r="Q1932" s="6" t="s">
        <v>3312</v>
      </c>
      <c r="R1932" s="6" t="s">
        <v>56</v>
      </c>
      <c r="S1932" s="6" t="s">
        <v>56</v>
      </c>
      <c r="T1932" s="6" t="s">
        <v>57</v>
      </c>
      <c r="AR1932" s="6" t="s">
        <v>55</v>
      </c>
      <c r="AS1932" s="6" t="s">
        <v>55</v>
      </c>
      <c r="AU1932" s="6" t="s">
        <v>3313</v>
      </c>
      <c r="AV1932">
        <v>2451</v>
      </c>
    </row>
    <row r="1933" spans="1:48" ht="30" customHeight="1" x14ac:dyDescent="0.3">
      <c r="A1933" s="4" t="s">
        <v>2177</v>
      </c>
      <c r="B1933" s="4" t="s">
        <v>2178</v>
      </c>
      <c r="C1933" s="4" t="s">
        <v>856</v>
      </c>
      <c r="D1933" s="5">
        <v>46</v>
      </c>
      <c r="E1933" s="7">
        <f>TRUNC([1]단가대비표!O791,0)</f>
        <v>0</v>
      </c>
      <c r="F1933" s="7">
        <f>TRUNC(E1933*D1933, 0)</f>
        <v>0</v>
      </c>
      <c r="G1933" s="7">
        <f>TRUNC([1]단가대비표!P791,0)</f>
        <v>0</v>
      </c>
      <c r="H1933" s="7">
        <f>TRUNC(G1933*D1933, 0)</f>
        <v>0</v>
      </c>
      <c r="I1933" s="7">
        <f>TRUNC([1]단가대비표!V791,0)</f>
        <v>0</v>
      </c>
      <c r="J1933" s="7">
        <f>TRUNC(I1933*D1933, 0)</f>
        <v>0</v>
      </c>
      <c r="K1933" s="7">
        <f>TRUNC(E1933+G1933+I1933, 0)</f>
        <v>0</v>
      </c>
      <c r="L1933" s="7">
        <f>TRUNC(F1933+H1933+J1933, 0)</f>
        <v>0</v>
      </c>
      <c r="M1933" s="4" t="s">
        <v>55</v>
      </c>
      <c r="N1933" s="6" t="s">
        <v>3314</v>
      </c>
      <c r="O1933" s="6" t="s">
        <v>55</v>
      </c>
      <c r="P1933" s="6" t="s">
        <v>55</v>
      </c>
      <c r="Q1933" s="6" t="s">
        <v>3312</v>
      </c>
      <c r="R1933" s="6" t="s">
        <v>56</v>
      </c>
      <c r="S1933" s="6" t="s">
        <v>56</v>
      </c>
      <c r="T1933" s="6" t="s">
        <v>57</v>
      </c>
      <c r="AR1933" s="6" t="s">
        <v>55</v>
      </c>
      <c r="AS1933" s="6" t="s">
        <v>55</v>
      </c>
      <c r="AU1933" s="6" t="s">
        <v>3315</v>
      </c>
      <c r="AV1933">
        <v>2897</v>
      </c>
    </row>
    <row r="1934" spans="1:48" ht="30" customHeight="1" x14ac:dyDescent="0.3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</row>
    <row r="1935" spans="1:48" ht="30" customHeight="1" x14ac:dyDescent="0.3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</row>
    <row r="1936" spans="1:48" ht="30" customHeight="1" x14ac:dyDescent="0.3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</row>
    <row r="1937" spans="1:17" ht="30" customHeight="1" x14ac:dyDescent="0.3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</row>
    <row r="1938" spans="1:17" ht="30" customHeight="1" x14ac:dyDescent="0.3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</row>
    <row r="1939" spans="1:17" ht="30" customHeight="1" x14ac:dyDescent="0.3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</row>
    <row r="1940" spans="1:17" ht="30" customHeight="1" x14ac:dyDescent="0.3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</row>
    <row r="1941" spans="1:17" ht="30" customHeight="1" x14ac:dyDescent="0.3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</row>
    <row r="1942" spans="1:17" ht="30" customHeight="1" x14ac:dyDescent="0.3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</row>
    <row r="1943" spans="1:17" ht="30" customHeight="1" x14ac:dyDescent="0.3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</row>
    <row r="1944" spans="1:17" ht="30" customHeight="1" x14ac:dyDescent="0.3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</row>
    <row r="1945" spans="1:17" ht="30" customHeight="1" x14ac:dyDescent="0.3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</row>
    <row r="1946" spans="1:17" ht="30" customHeight="1" x14ac:dyDescent="0.3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</row>
    <row r="1947" spans="1:17" ht="30" customHeight="1" x14ac:dyDescent="0.3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</row>
    <row r="1948" spans="1:17" ht="30" customHeight="1" x14ac:dyDescent="0.3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</row>
    <row r="1949" spans="1:17" ht="30" customHeight="1" x14ac:dyDescent="0.3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</row>
    <row r="1950" spans="1:17" ht="30" customHeight="1" x14ac:dyDescent="0.3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</row>
    <row r="1951" spans="1:17" ht="30" customHeight="1" x14ac:dyDescent="0.3">
      <c r="A1951" s="4" t="s">
        <v>128</v>
      </c>
      <c r="B1951" s="5"/>
      <c r="C1951" s="5"/>
      <c r="D1951" s="5"/>
      <c r="E1951" s="5"/>
      <c r="F1951" s="7">
        <f>SUM(F1932:F1950)</f>
        <v>174000</v>
      </c>
      <c r="G1951" s="5"/>
      <c r="H1951" s="7">
        <f>SUM(H1932:H1950)</f>
        <v>0</v>
      </c>
      <c r="I1951" s="5"/>
      <c r="J1951" s="7">
        <f>SUM(J1932:J1950)</f>
        <v>0</v>
      </c>
      <c r="K1951" s="5"/>
      <c r="L1951" s="7">
        <f>SUM(L1932:L1950)</f>
        <v>174000</v>
      </c>
      <c r="M1951" s="5"/>
      <c r="N1951" t="s">
        <v>129</v>
      </c>
    </row>
    <row r="1952" spans="1:17" ht="30" customHeight="1" x14ac:dyDescent="0.3">
      <c r="A1952" s="4" t="s">
        <v>3316</v>
      </c>
      <c r="B1952" s="4" t="s">
        <v>3071</v>
      </c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Q1952" s="6" t="s">
        <v>3317</v>
      </c>
    </row>
    <row r="1953" spans="1:48" ht="30" customHeight="1" x14ac:dyDescent="0.3">
      <c r="A1953" s="4" t="s">
        <v>2183</v>
      </c>
      <c r="B1953" s="4" t="s">
        <v>2184</v>
      </c>
      <c r="C1953" s="4" t="s">
        <v>856</v>
      </c>
      <c r="D1953" s="5">
        <v>46</v>
      </c>
      <c r="E1953" s="7">
        <f>TRUNC([1]중기단가목록!E4,0)</f>
        <v>0</v>
      </c>
      <c r="F1953" s="7">
        <f>TRUNC(E1953*D1953, 0)</f>
        <v>0</v>
      </c>
      <c r="G1953" s="7">
        <f>TRUNC([1]중기단가목록!F4,0)</f>
        <v>0</v>
      </c>
      <c r="H1953" s="7">
        <f>TRUNC(G1953*D1953, 0)</f>
        <v>0</v>
      </c>
      <c r="I1953" s="7">
        <f>TRUNC([1]중기단가목록!G4,0)</f>
        <v>1556</v>
      </c>
      <c r="J1953" s="7">
        <f>TRUNC(I1953*D1953, 0)</f>
        <v>71576</v>
      </c>
      <c r="K1953" s="7">
        <f t="shared" ref="K1953:L1957" si="215">TRUNC(E1953+G1953+I1953, 0)</f>
        <v>1556</v>
      </c>
      <c r="L1953" s="7">
        <f t="shared" si="215"/>
        <v>71576</v>
      </c>
      <c r="M1953" s="4" t="s">
        <v>2185</v>
      </c>
      <c r="N1953" s="6" t="s">
        <v>2186</v>
      </c>
      <c r="O1953" s="6" t="s">
        <v>55</v>
      </c>
      <c r="P1953" s="6" t="s">
        <v>55</v>
      </c>
      <c r="Q1953" s="6" t="s">
        <v>3317</v>
      </c>
      <c r="R1953" s="6" t="s">
        <v>56</v>
      </c>
      <c r="S1953" s="6" t="s">
        <v>57</v>
      </c>
      <c r="T1953" s="6" t="s">
        <v>56</v>
      </c>
      <c r="AR1953" s="6" t="s">
        <v>55</v>
      </c>
      <c r="AS1953" s="6" t="s">
        <v>55</v>
      </c>
      <c r="AU1953" s="6" t="s">
        <v>3318</v>
      </c>
      <c r="AV1953">
        <v>2453</v>
      </c>
    </row>
    <row r="1954" spans="1:48" ht="30" customHeight="1" x14ac:dyDescent="0.3">
      <c r="A1954" s="4" t="s">
        <v>2188</v>
      </c>
      <c r="B1954" s="4" t="s">
        <v>2189</v>
      </c>
      <c r="C1954" s="4" t="s">
        <v>106</v>
      </c>
      <c r="D1954" s="5">
        <v>33.6</v>
      </c>
      <c r="E1954" s="7">
        <f>TRUNC([1]중기단가목록!E5,0)</f>
        <v>0</v>
      </c>
      <c r="F1954" s="7">
        <f>TRUNC(E1954*D1954, 0)</f>
        <v>0</v>
      </c>
      <c r="G1954" s="7">
        <f>TRUNC([1]중기단가목록!F5,0)</f>
        <v>0</v>
      </c>
      <c r="H1954" s="7">
        <f>TRUNC(G1954*D1954, 0)</f>
        <v>0</v>
      </c>
      <c r="I1954" s="7">
        <f>TRUNC([1]중기단가목록!G5,0)</f>
        <v>12020</v>
      </c>
      <c r="J1954" s="7">
        <f>TRUNC(I1954*D1954, 0)</f>
        <v>403872</v>
      </c>
      <c r="K1954" s="7">
        <f t="shared" si="215"/>
        <v>12020</v>
      </c>
      <c r="L1954" s="7">
        <f t="shared" si="215"/>
        <v>403872</v>
      </c>
      <c r="M1954" s="4" t="s">
        <v>2190</v>
      </c>
      <c r="N1954" s="6" t="s">
        <v>2191</v>
      </c>
      <c r="O1954" s="6" t="s">
        <v>55</v>
      </c>
      <c r="P1954" s="6" t="s">
        <v>55</v>
      </c>
      <c r="Q1954" s="6" t="s">
        <v>3317</v>
      </c>
      <c r="R1954" s="6" t="s">
        <v>56</v>
      </c>
      <c r="S1954" s="6" t="s">
        <v>57</v>
      </c>
      <c r="T1954" s="6" t="s">
        <v>56</v>
      </c>
      <c r="AR1954" s="6" t="s">
        <v>55</v>
      </c>
      <c r="AS1954" s="6" t="s">
        <v>55</v>
      </c>
      <c r="AU1954" s="6" t="s">
        <v>3319</v>
      </c>
      <c r="AV1954">
        <v>2454</v>
      </c>
    </row>
    <row r="1955" spans="1:48" ht="30" customHeight="1" x14ac:dyDescent="0.3">
      <c r="A1955" s="4" t="s">
        <v>2193</v>
      </c>
      <c r="B1955" s="4" t="s">
        <v>2189</v>
      </c>
      <c r="C1955" s="4" t="s">
        <v>106</v>
      </c>
      <c r="D1955" s="5">
        <v>32.624000000000002</v>
      </c>
      <c r="E1955" s="7">
        <f>TRUNC([1]중기단가목록!E6,0)</f>
        <v>0</v>
      </c>
      <c r="F1955" s="7">
        <f>TRUNC(E1955*D1955, 0)</f>
        <v>0</v>
      </c>
      <c r="G1955" s="7">
        <f>TRUNC([1]중기단가목록!F6,0)</f>
        <v>0</v>
      </c>
      <c r="H1955" s="7">
        <f>TRUNC(G1955*D1955, 0)</f>
        <v>0</v>
      </c>
      <c r="I1955" s="7">
        <f>TRUNC([1]중기단가목록!G6,0)</f>
        <v>12020</v>
      </c>
      <c r="J1955" s="7">
        <f>TRUNC(I1955*D1955, 0)</f>
        <v>392140</v>
      </c>
      <c r="K1955" s="7">
        <f t="shared" si="215"/>
        <v>12020</v>
      </c>
      <c r="L1955" s="7">
        <f t="shared" si="215"/>
        <v>392140</v>
      </c>
      <c r="M1955" s="4" t="s">
        <v>2194</v>
      </c>
      <c r="N1955" s="6" t="s">
        <v>2195</v>
      </c>
      <c r="O1955" s="6" t="s">
        <v>55</v>
      </c>
      <c r="P1955" s="6" t="s">
        <v>55</v>
      </c>
      <c r="Q1955" s="6" t="s">
        <v>3317</v>
      </c>
      <c r="R1955" s="6" t="s">
        <v>56</v>
      </c>
      <c r="S1955" s="6" t="s">
        <v>57</v>
      </c>
      <c r="T1955" s="6" t="s">
        <v>56</v>
      </c>
      <c r="AR1955" s="6" t="s">
        <v>55</v>
      </c>
      <c r="AS1955" s="6" t="s">
        <v>55</v>
      </c>
      <c r="AU1955" s="6" t="s">
        <v>3320</v>
      </c>
      <c r="AV1955">
        <v>3182</v>
      </c>
    </row>
    <row r="1956" spans="1:48" ht="30" customHeight="1" x14ac:dyDescent="0.3">
      <c r="A1956" s="4" t="s">
        <v>2197</v>
      </c>
      <c r="B1956" s="4" t="s">
        <v>2198</v>
      </c>
      <c r="C1956" s="4" t="s">
        <v>106</v>
      </c>
      <c r="D1956" s="5">
        <v>10.718999999999999</v>
      </c>
      <c r="E1956" s="7">
        <f>TRUNC([1]중기단가목록!E7,0)</f>
        <v>0</v>
      </c>
      <c r="F1956" s="7">
        <f>TRUNC(E1956*D1956, 0)</f>
        <v>0</v>
      </c>
      <c r="G1956" s="7">
        <f>TRUNC([1]중기단가목록!F7,0)</f>
        <v>0</v>
      </c>
      <c r="H1956" s="7">
        <f>TRUNC(G1956*D1956, 0)</f>
        <v>0</v>
      </c>
      <c r="I1956" s="7">
        <f>TRUNC([1]중기단가목록!G7,0)</f>
        <v>12020</v>
      </c>
      <c r="J1956" s="7">
        <f>TRUNC(I1956*D1956, 0)</f>
        <v>128842</v>
      </c>
      <c r="K1956" s="7">
        <f t="shared" si="215"/>
        <v>12020</v>
      </c>
      <c r="L1956" s="7">
        <f t="shared" si="215"/>
        <v>128842</v>
      </c>
      <c r="M1956" s="4" t="s">
        <v>2199</v>
      </c>
      <c r="N1956" s="6" t="s">
        <v>2200</v>
      </c>
      <c r="O1956" s="6" t="s">
        <v>55</v>
      </c>
      <c r="P1956" s="6" t="s">
        <v>55</v>
      </c>
      <c r="Q1956" s="6" t="s">
        <v>3317</v>
      </c>
      <c r="R1956" s="6" t="s">
        <v>56</v>
      </c>
      <c r="S1956" s="6" t="s">
        <v>57</v>
      </c>
      <c r="T1956" s="6" t="s">
        <v>56</v>
      </c>
      <c r="AR1956" s="6" t="s">
        <v>55</v>
      </c>
      <c r="AS1956" s="6" t="s">
        <v>55</v>
      </c>
      <c r="AU1956" s="6" t="s">
        <v>3321</v>
      </c>
      <c r="AV1956">
        <v>2455</v>
      </c>
    </row>
    <row r="1957" spans="1:48" ht="30" customHeight="1" x14ac:dyDescent="0.3">
      <c r="A1957" s="4" t="s">
        <v>2202</v>
      </c>
      <c r="B1957" s="4" t="s">
        <v>2203</v>
      </c>
      <c r="C1957" s="4" t="s">
        <v>2204</v>
      </c>
      <c r="D1957" s="5">
        <v>2</v>
      </c>
      <c r="E1957" s="7">
        <f>TRUNC([1]중기단가목록!E8,0)</f>
        <v>0</v>
      </c>
      <c r="F1957" s="7">
        <f>TRUNC(E1957*D1957, 0)</f>
        <v>0</v>
      </c>
      <c r="G1957" s="7">
        <f>TRUNC([1]중기단가목록!F8,0)</f>
        <v>0</v>
      </c>
      <c r="H1957" s="7">
        <f>TRUNC(G1957*D1957, 0)</f>
        <v>0</v>
      </c>
      <c r="I1957" s="7">
        <f>TRUNC([1]중기단가목록!G8,0)</f>
        <v>20318</v>
      </c>
      <c r="J1957" s="7">
        <f>TRUNC(I1957*D1957, 0)</f>
        <v>40636</v>
      </c>
      <c r="K1957" s="7">
        <f t="shared" si="215"/>
        <v>20318</v>
      </c>
      <c r="L1957" s="7">
        <f t="shared" si="215"/>
        <v>40636</v>
      </c>
      <c r="M1957" s="4" t="s">
        <v>2205</v>
      </c>
      <c r="N1957" s="6" t="s">
        <v>2206</v>
      </c>
      <c r="O1957" s="6" t="s">
        <v>55</v>
      </c>
      <c r="P1957" s="6" t="s">
        <v>55</v>
      </c>
      <c r="Q1957" s="6" t="s">
        <v>3317</v>
      </c>
      <c r="R1957" s="6" t="s">
        <v>56</v>
      </c>
      <c r="S1957" s="6" t="s">
        <v>57</v>
      </c>
      <c r="T1957" s="6" t="s">
        <v>56</v>
      </c>
      <c r="AR1957" s="6" t="s">
        <v>55</v>
      </c>
      <c r="AS1957" s="6" t="s">
        <v>55</v>
      </c>
      <c r="AU1957" s="6" t="s">
        <v>3322</v>
      </c>
      <c r="AV1957">
        <v>2456</v>
      </c>
    </row>
    <row r="1958" spans="1:48" ht="30" customHeight="1" x14ac:dyDescent="0.3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</row>
    <row r="1959" spans="1:48" ht="30" customHeight="1" x14ac:dyDescent="0.3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</row>
    <row r="1960" spans="1:48" ht="30" customHeight="1" x14ac:dyDescent="0.3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</row>
    <row r="1961" spans="1:48" ht="30" customHeight="1" x14ac:dyDescent="0.3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</row>
    <row r="1962" spans="1:48" ht="30" customHeight="1" x14ac:dyDescent="0.3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</row>
    <row r="1963" spans="1:48" ht="30" customHeight="1" x14ac:dyDescent="0.3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</row>
    <row r="1964" spans="1:48" ht="30" customHeight="1" x14ac:dyDescent="0.3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</row>
    <row r="1965" spans="1:48" ht="30" customHeight="1" x14ac:dyDescent="0.3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</row>
    <row r="1966" spans="1:48" ht="30" customHeight="1" x14ac:dyDescent="0.3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</row>
    <row r="1967" spans="1:48" ht="30" customHeight="1" x14ac:dyDescent="0.3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</row>
    <row r="1968" spans="1:48" ht="30" customHeight="1" x14ac:dyDescent="0.3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</row>
    <row r="1969" spans="1:48" ht="30" customHeight="1" x14ac:dyDescent="0.3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</row>
    <row r="1970" spans="1:48" ht="30" customHeight="1" x14ac:dyDescent="0.3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</row>
    <row r="1971" spans="1:48" ht="30" customHeight="1" x14ac:dyDescent="0.3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</row>
    <row r="1972" spans="1:48" ht="30" customHeight="1" x14ac:dyDescent="0.3">
      <c r="A1972" s="4" t="s">
        <v>128</v>
      </c>
      <c r="B1972" s="5"/>
      <c r="C1972" s="5"/>
      <c r="D1972" s="5"/>
      <c r="E1972" s="5"/>
      <c r="F1972" s="7">
        <f>SUM(F1953:F1971)</f>
        <v>0</v>
      </c>
      <c r="G1972" s="5"/>
      <c r="H1972" s="7">
        <f>SUM(H1953:H1971)</f>
        <v>0</v>
      </c>
      <c r="I1972" s="5"/>
      <c r="J1972" s="7">
        <f>SUM(J1953:J1971)</f>
        <v>1037066</v>
      </c>
      <c r="K1972" s="5"/>
      <c r="L1972" s="7">
        <f>SUM(L1953:L1971)</f>
        <v>1037066</v>
      </c>
      <c r="M1972" s="5"/>
      <c r="N1972" t="s">
        <v>129</v>
      </c>
    </row>
    <row r="1973" spans="1:48" ht="30" customHeight="1" x14ac:dyDescent="0.3">
      <c r="A1973" s="4" t="s">
        <v>3323</v>
      </c>
      <c r="B1973" s="4" t="s">
        <v>3071</v>
      </c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Q1973" s="6" t="s">
        <v>3324</v>
      </c>
    </row>
    <row r="1974" spans="1:48" ht="30" customHeight="1" x14ac:dyDescent="0.3">
      <c r="A1974" s="4" t="s">
        <v>2210</v>
      </c>
      <c r="B1974" s="4" t="s">
        <v>2211</v>
      </c>
      <c r="C1974" s="4" t="s">
        <v>106</v>
      </c>
      <c r="D1974" s="5">
        <v>-0.63100000000000001</v>
      </c>
      <c r="E1974" s="7">
        <f>TRUNC([1]단가대비표!O25,0)</f>
        <v>385000</v>
      </c>
      <c r="F1974" s="7">
        <f>TRUNC(E1974*D1974, 0)</f>
        <v>-242935</v>
      </c>
      <c r="G1974" s="7">
        <f>TRUNC([1]단가대비표!P25,0)</f>
        <v>0</v>
      </c>
      <c r="H1974" s="7">
        <f>TRUNC(G1974*D1974, 0)</f>
        <v>0</v>
      </c>
      <c r="I1974" s="7">
        <f>TRUNC([1]단가대비표!V25,0)</f>
        <v>0</v>
      </c>
      <c r="J1974" s="7">
        <f>TRUNC(I1974*D1974, 0)</f>
        <v>0</v>
      </c>
      <c r="K1974" s="7">
        <f>TRUNC(E1974+G1974+I1974, 0)</f>
        <v>385000</v>
      </c>
      <c r="L1974" s="7">
        <f>TRUNC(F1974+H1974+J1974, 0)</f>
        <v>-242935</v>
      </c>
      <c r="M1974" s="4" t="s">
        <v>2212</v>
      </c>
      <c r="N1974" s="6" t="s">
        <v>2213</v>
      </c>
      <c r="O1974" s="6" t="s">
        <v>55</v>
      </c>
      <c r="P1974" s="6" t="s">
        <v>55</v>
      </c>
      <c r="Q1974" s="6" t="s">
        <v>3324</v>
      </c>
      <c r="R1974" s="6" t="s">
        <v>56</v>
      </c>
      <c r="S1974" s="6" t="s">
        <v>56</v>
      </c>
      <c r="T1974" s="6" t="s">
        <v>57</v>
      </c>
      <c r="AR1974" s="6" t="s">
        <v>55</v>
      </c>
      <c r="AS1974" s="6" t="s">
        <v>55</v>
      </c>
      <c r="AU1974" s="6" t="s">
        <v>3325</v>
      </c>
      <c r="AV1974">
        <v>2458</v>
      </c>
    </row>
    <row r="1975" spans="1:48" ht="30" customHeight="1" x14ac:dyDescent="0.3">
      <c r="A1975" s="4" t="s">
        <v>2210</v>
      </c>
      <c r="B1975" s="4" t="s">
        <v>2215</v>
      </c>
      <c r="C1975" s="4" t="s">
        <v>106</v>
      </c>
      <c r="D1975" s="5">
        <v>-0.218</v>
      </c>
      <c r="E1975" s="7">
        <f>TRUNC([1]단가대비표!O26,0)</f>
        <v>385000</v>
      </c>
      <c r="F1975" s="7">
        <f>TRUNC(E1975*D1975, 0)</f>
        <v>-83930</v>
      </c>
      <c r="G1975" s="7">
        <f>TRUNC([1]단가대비표!P26,0)</f>
        <v>0</v>
      </c>
      <c r="H1975" s="7">
        <f>TRUNC(G1975*D1975, 0)</f>
        <v>0</v>
      </c>
      <c r="I1975" s="7">
        <f>TRUNC([1]단가대비표!V26,0)</f>
        <v>0</v>
      </c>
      <c r="J1975" s="7">
        <f>TRUNC(I1975*D1975, 0)</f>
        <v>0</v>
      </c>
      <c r="K1975" s="7">
        <f>TRUNC(E1975+G1975+I1975, 0)</f>
        <v>385000</v>
      </c>
      <c r="L1975" s="7">
        <f>TRUNC(F1975+H1975+J1975, 0)</f>
        <v>-83930</v>
      </c>
      <c r="M1975" s="4" t="s">
        <v>2212</v>
      </c>
      <c r="N1975" s="6" t="s">
        <v>2216</v>
      </c>
      <c r="O1975" s="6" t="s">
        <v>55</v>
      </c>
      <c r="P1975" s="6" t="s">
        <v>55</v>
      </c>
      <c r="Q1975" s="6" t="s">
        <v>3324</v>
      </c>
      <c r="R1975" s="6" t="s">
        <v>56</v>
      </c>
      <c r="S1975" s="6" t="s">
        <v>56</v>
      </c>
      <c r="T1975" s="6" t="s">
        <v>57</v>
      </c>
      <c r="AR1975" s="6" t="s">
        <v>55</v>
      </c>
      <c r="AS1975" s="6" t="s">
        <v>55</v>
      </c>
      <c r="AU1975" s="6" t="s">
        <v>3326</v>
      </c>
      <c r="AV1975">
        <v>2459</v>
      </c>
    </row>
    <row r="1976" spans="1:48" ht="30" customHeight="1" x14ac:dyDescent="0.3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</row>
    <row r="1977" spans="1:48" ht="30" customHeight="1" x14ac:dyDescent="0.3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</row>
    <row r="1978" spans="1:48" ht="30" customHeight="1" x14ac:dyDescent="0.3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</row>
    <row r="1979" spans="1:48" ht="30" customHeight="1" x14ac:dyDescent="0.3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</row>
    <row r="1980" spans="1:48" ht="30" customHeight="1" x14ac:dyDescent="0.3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</row>
    <row r="1981" spans="1:48" ht="30" customHeight="1" x14ac:dyDescent="0.3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</row>
    <row r="1982" spans="1:48" ht="30" customHeight="1" x14ac:dyDescent="0.3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</row>
    <row r="1983" spans="1:48" ht="30" customHeight="1" x14ac:dyDescent="0.3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</row>
    <row r="1984" spans="1:48" ht="30" customHeight="1" x14ac:dyDescent="0.3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</row>
    <row r="1985" spans="1:48" ht="30" customHeight="1" x14ac:dyDescent="0.3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</row>
    <row r="1986" spans="1:48" ht="30" customHeight="1" x14ac:dyDescent="0.3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</row>
    <row r="1987" spans="1:48" ht="30" customHeight="1" x14ac:dyDescent="0.3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</row>
    <row r="1988" spans="1:48" ht="30" customHeight="1" x14ac:dyDescent="0.3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</row>
    <row r="1989" spans="1:48" ht="30" customHeight="1" x14ac:dyDescent="0.3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</row>
    <row r="1990" spans="1:48" ht="30" customHeight="1" x14ac:dyDescent="0.3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</row>
    <row r="1991" spans="1:48" ht="30" customHeight="1" x14ac:dyDescent="0.3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</row>
    <row r="1992" spans="1:48" ht="30" customHeight="1" x14ac:dyDescent="0.3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</row>
    <row r="1993" spans="1:48" ht="30" customHeight="1" x14ac:dyDescent="0.3">
      <c r="A1993" s="4" t="s">
        <v>128</v>
      </c>
      <c r="B1993" s="5"/>
      <c r="C1993" s="5"/>
      <c r="D1993" s="5"/>
      <c r="E1993" s="5"/>
      <c r="F1993" s="7">
        <f>SUM(F1974:F1992)</f>
        <v>-326865</v>
      </c>
      <c r="G1993" s="5"/>
      <c r="H1993" s="7">
        <f>SUM(H1974:H1992)</f>
        <v>0</v>
      </c>
      <c r="I1993" s="5"/>
      <c r="J1993" s="7">
        <f>SUM(J1974:J1992)</f>
        <v>0</v>
      </c>
      <c r="K1993" s="5"/>
      <c r="L1993" s="7">
        <f>SUM(L1974:L1992)</f>
        <v>-326865</v>
      </c>
      <c r="M1993" s="5"/>
      <c r="N1993" t="s">
        <v>129</v>
      </c>
    </row>
    <row r="1994" spans="1:48" ht="30" customHeight="1" x14ac:dyDescent="0.3">
      <c r="A1994" s="4" t="s">
        <v>3327</v>
      </c>
      <c r="B1994" s="4" t="s">
        <v>3328</v>
      </c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Q1994" s="6" t="s">
        <v>3329</v>
      </c>
    </row>
    <row r="1995" spans="1:48" ht="30" customHeight="1" x14ac:dyDescent="0.3">
      <c r="A1995" s="4" t="s">
        <v>2232</v>
      </c>
      <c r="B1995" s="4" t="s">
        <v>191</v>
      </c>
      <c r="C1995" s="4" t="s">
        <v>106</v>
      </c>
      <c r="D1995" s="5">
        <v>6.133</v>
      </c>
      <c r="E1995" s="7">
        <f>TRUNC([1]단가대비표!O43,0)</f>
        <v>1013920</v>
      </c>
      <c r="F1995" s="7">
        <f t="shared" ref="F1995:F2012" si="216">TRUNC(E1995*D1995, 0)</f>
        <v>6218371</v>
      </c>
      <c r="G1995" s="7">
        <f>TRUNC([1]단가대비표!P43,0)</f>
        <v>0</v>
      </c>
      <c r="H1995" s="7">
        <f t="shared" ref="H1995:H2012" si="217">TRUNC(G1995*D1995, 0)</f>
        <v>0</v>
      </c>
      <c r="I1995" s="7">
        <f>TRUNC([1]단가대비표!V43,0)</f>
        <v>0</v>
      </c>
      <c r="J1995" s="7">
        <f t="shared" ref="J1995:J2012" si="218">TRUNC(I1995*D1995, 0)</f>
        <v>0</v>
      </c>
      <c r="K1995" s="7">
        <f t="shared" ref="K1995:L2012" si="219">TRUNC(E1995+G1995+I1995, 0)</f>
        <v>1013920</v>
      </c>
      <c r="L1995" s="7">
        <f t="shared" si="219"/>
        <v>6218371</v>
      </c>
      <c r="M1995" s="4" t="s">
        <v>55</v>
      </c>
      <c r="N1995" s="6" t="s">
        <v>2233</v>
      </c>
      <c r="O1995" s="6" t="s">
        <v>55</v>
      </c>
      <c r="P1995" s="6" t="s">
        <v>55</v>
      </c>
      <c r="Q1995" s="6" t="s">
        <v>3329</v>
      </c>
      <c r="R1995" s="6" t="s">
        <v>56</v>
      </c>
      <c r="S1995" s="6" t="s">
        <v>56</v>
      </c>
      <c r="T1995" s="6" t="s">
        <v>57</v>
      </c>
      <c r="X1995">
        <v>1</v>
      </c>
      <c r="AR1995" s="6" t="s">
        <v>55</v>
      </c>
      <c r="AS1995" s="6" t="s">
        <v>55</v>
      </c>
      <c r="AU1995" s="6" t="s">
        <v>3330</v>
      </c>
      <c r="AV1995">
        <v>870</v>
      </c>
    </row>
    <row r="1996" spans="1:48" ht="30" customHeight="1" x14ac:dyDescent="0.3">
      <c r="A1996" s="4" t="s">
        <v>2232</v>
      </c>
      <c r="B1996" s="4" t="s">
        <v>194</v>
      </c>
      <c r="C1996" s="4" t="s">
        <v>106</v>
      </c>
      <c r="D1996" s="5">
        <v>4.5220000000000002</v>
      </c>
      <c r="E1996" s="7">
        <f>TRUNC([1]단가대비표!O44,0)</f>
        <v>1008450</v>
      </c>
      <c r="F1996" s="7">
        <f t="shared" si="216"/>
        <v>4560210</v>
      </c>
      <c r="G1996" s="7">
        <f>TRUNC([1]단가대비표!P44,0)</f>
        <v>0</v>
      </c>
      <c r="H1996" s="7">
        <f t="shared" si="217"/>
        <v>0</v>
      </c>
      <c r="I1996" s="7">
        <f>TRUNC([1]단가대비표!V44,0)</f>
        <v>0</v>
      </c>
      <c r="J1996" s="7">
        <f t="shared" si="218"/>
        <v>0</v>
      </c>
      <c r="K1996" s="7">
        <f t="shared" si="219"/>
        <v>1008450</v>
      </c>
      <c r="L1996" s="7">
        <f t="shared" si="219"/>
        <v>4560210</v>
      </c>
      <c r="M1996" s="4" t="s">
        <v>55</v>
      </c>
      <c r="N1996" s="6" t="s">
        <v>2235</v>
      </c>
      <c r="O1996" s="6" t="s">
        <v>55</v>
      </c>
      <c r="P1996" s="6" t="s">
        <v>55</v>
      </c>
      <c r="Q1996" s="6" t="s">
        <v>3329</v>
      </c>
      <c r="R1996" s="6" t="s">
        <v>56</v>
      </c>
      <c r="S1996" s="6" t="s">
        <v>56</v>
      </c>
      <c r="T1996" s="6" t="s">
        <v>57</v>
      </c>
      <c r="X1996">
        <v>1</v>
      </c>
      <c r="AR1996" s="6" t="s">
        <v>55</v>
      </c>
      <c r="AS1996" s="6" t="s">
        <v>55</v>
      </c>
      <c r="AU1996" s="6" t="s">
        <v>3331</v>
      </c>
      <c r="AV1996">
        <v>871</v>
      </c>
    </row>
    <row r="1997" spans="1:48" ht="30" customHeight="1" x14ac:dyDescent="0.3">
      <c r="A1997" s="4" t="s">
        <v>2232</v>
      </c>
      <c r="B1997" s="4" t="s">
        <v>197</v>
      </c>
      <c r="C1997" s="4" t="s">
        <v>106</v>
      </c>
      <c r="D1997" s="5">
        <v>5.593</v>
      </c>
      <c r="E1997" s="7">
        <f>TRUNC([1]단가대비표!O45,0)</f>
        <v>1052230</v>
      </c>
      <c r="F1997" s="7">
        <f t="shared" si="216"/>
        <v>5885122</v>
      </c>
      <c r="G1997" s="7">
        <f>TRUNC([1]단가대비표!P45,0)</f>
        <v>0</v>
      </c>
      <c r="H1997" s="7">
        <f t="shared" si="217"/>
        <v>0</v>
      </c>
      <c r="I1997" s="7">
        <f>TRUNC([1]단가대비표!V45,0)</f>
        <v>0</v>
      </c>
      <c r="J1997" s="7">
        <f t="shared" si="218"/>
        <v>0</v>
      </c>
      <c r="K1997" s="7">
        <f t="shared" si="219"/>
        <v>1052230</v>
      </c>
      <c r="L1997" s="7">
        <f t="shared" si="219"/>
        <v>5885122</v>
      </c>
      <c r="M1997" s="4" t="s">
        <v>55</v>
      </c>
      <c r="N1997" s="6" t="s">
        <v>2237</v>
      </c>
      <c r="O1997" s="6" t="s">
        <v>55</v>
      </c>
      <c r="P1997" s="6" t="s">
        <v>55</v>
      </c>
      <c r="Q1997" s="6" t="s">
        <v>3329</v>
      </c>
      <c r="R1997" s="6" t="s">
        <v>56</v>
      </c>
      <c r="S1997" s="6" t="s">
        <v>56</v>
      </c>
      <c r="T1997" s="6" t="s">
        <v>57</v>
      </c>
      <c r="X1997">
        <v>1</v>
      </c>
      <c r="AR1997" s="6" t="s">
        <v>55</v>
      </c>
      <c r="AS1997" s="6" t="s">
        <v>55</v>
      </c>
      <c r="AU1997" s="6" t="s">
        <v>3332</v>
      </c>
      <c r="AV1997">
        <v>872</v>
      </c>
    </row>
    <row r="1998" spans="1:48" ht="30" customHeight="1" x14ac:dyDescent="0.3">
      <c r="A1998" s="4" t="s">
        <v>2232</v>
      </c>
      <c r="B1998" s="4" t="s">
        <v>200</v>
      </c>
      <c r="C1998" s="4" t="s">
        <v>106</v>
      </c>
      <c r="D1998" s="5">
        <v>7.6920000000000002</v>
      </c>
      <c r="E1998" s="7">
        <f>TRUNC([1]단가대비표!O46,0)</f>
        <v>1052230</v>
      </c>
      <c r="F1998" s="7">
        <f t="shared" si="216"/>
        <v>8093753</v>
      </c>
      <c r="G1998" s="7">
        <f>TRUNC([1]단가대비표!P46,0)</f>
        <v>0</v>
      </c>
      <c r="H1998" s="7">
        <f t="shared" si="217"/>
        <v>0</v>
      </c>
      <c r="I1998" s="7">
        <f>TRUNC([1]단가대비표!V46,0)</f>
        <v>0</v>
      </c>
      <c r="J1998" s="7">
        <f t="shared" si="218"/>
        <v>0</v>
      </c>
      <c r="K1998" s="7">
        <f t="shared" si="219"/>
        <v>1052230</v>
      </c>
      <c r="L1998" s="7">
        <f t="shared" si="219"/>
        <v>8093753</v>
      </c>
      <c r="M1998" s="4" t="s">
        <v>55</v>
      </c>
      <c r="N1998" s="6" t="s">
        <v>2239</v>
      </c>
      <c r="O1998" s="6" t="s">
        <v>55</v>
      </c>
      <c r="P1998" s="6" t="s">
        <v>55</v>
      </c>
      <c r="Q1998" s="6" t="s">
        <v>3329</v>
      </c>
      <c r="R1998" s="6" t="s">
        <v>56</v>
      </c>
      <c r="S1998" s="6" t="s">
        <v>56</v>
      </c>
      <c r="T1998" s="6" t="s">
        <v>57</v>
      </c>
      <c r="X1998">
        <v>1</v>
      </c>
      <c r="AR1998" s="6" t="s">
        <v>55</v>
      </c>
      <c r="AS1998" s="6" t="s">
        <v>55</v>
      </c>
      <c r="AU1998" s="6" t="s">
        <v>3333</v>
      </c>
      <c r="AV1998">
        <v>3157</v>
      </c>
    </row>
    <row r="1999" spans="1:48" ht="30" customHeight="1" x14ac:dyDescent="0.3">
      <c r="A1999" s="4" t="s">
        <v>2232</v>
      </c>
      <c r="B1999" s="4" t="s">
        <v>203</v>
      </c>
      <c r="C1999" s="4" t="s">
        <v>106</v>
      </c>
      <c r="D1999" s="5">
        <v>9.66</v>
      </c>
      <c r="E1999" s="7">
        <f>TRUNC([1]단가대비표!O47,0)</f>
        <v>1052230</v>
      </c>
      <c r="F1999" s="7">
        <f t="shared" si="216"/>
        <v>10164541</v>
      </c>
      <c r="G1999" s="7">
        <f>TRUNC([1]단가대비표!P47,0)</f>
        <v>0</v>
      </c>
      <c r="H1999" s="7">
        <f t="shared" si="217"/>
        <v>0</v>
      </c>
      <c r="I1999" s="7">
        <f>TRUNC([1]단가대비표!V47,0)</f>
        <v>0</v>
      </c>
      <c r="J1999" s="7">
        <f t="shared" si="218"/>
        <v>0</v>
      </c>
      <c r="K1999" s="7">
        <f t="shared" si="219"/>
        <v>1052230</v>
      </c>
      <c r="L1999" s="7">
        <f t="shared" si="219"/>
        <v>10164541</v>
      </c>
      <c r="M1999" s="4" t="s">
        <v>55</v>
      </c>
      <c r="N1999" s="6" t="s">
        <v>2241</v>
      </c>
      <c r="O1999" s="6" t="s">
        <v>55</v>
      </c>
      <c r="P1999" s="6" t="s">
        <v>55</v>
      </c>
      <c r="Q1999" s="6" t="s">
        <v>3329</v>
      </c>
      <c r="R1999" s="6" t="s">
        <v>56</v>
      </c>
      <c r="S1999" s="6" t="s">
        <v>56</v>
      </c>
      <c r="T1999" s="6" t="s">
        <v>57</v>
      </c>
      <c r="X1999">
        <v>1</v>
      </c>
      <c r="AR1999" s="6" t="s">
        <v>55</v>
      </c>
      <c r="AS1999" s="6" t="s">
        <v>55</v>
      </c>
      <c r="AU1999" s="6" t="s">
        <v>3334</v>
      </c>
      <c r="AV1999">
        <v>873</v>
      </c>
    </row>
    <row r="2000" spans="1:48" ht="30" customHeight="1" x14ac:dyDescent="0.3">
      <c r="A2000" s="4" t="s">
        <v>2228</v>
      </c>
      <c r="B2000" s="4" t="s">
        <v>2229</v>
      </c>
      <c r="C2000" s="4" t="s">
        <v>92</v>
      </c>
      <c r="D2000" s="5">
        <v>1</v>
      </c>
      <c r="E2000" s="7">
        <f>ROUNDDOWN(SUMIF(X1995:X2012, RIGHTB(N2000, 1), F1995:F2012)*W2000, 0)</f>
        <v>188578</v>
      </c>
      <c r="F2000" s="7">
        <f t="shared" si="216"/>
        <v>188578</v>
      </c>
      <c r="G2000" s="7">
        <v>0</v>
      </c>
      <c r="H2000" s="7">
        <f t="shared" si="217"/>
        <v>0</v>
      </c>
      <c r="I2000" s="7">
        <v>0</v>
      </c>
      <c r="J2000" s="7">
        <f t="shared" si="218"/>
        <v>0</v>
      </c>
      <c r="K2000" s="7">
        <f t="shared" si="219"/>
        <v>188578</v>
      </c>
      <c r="L2000" s="7">
        <f t="shared" si="219"/>
        <v>188578</v>
      </c>
      <c r="M2000" s="4" t="s">
        <v>55</v>
      </c>
      <c r="N2000" s="6" t="s">
        <v>2230</v>
      </c>
      <c r="O2000" s="6" t="s">
        <v>55</v>
      </c>
      <c r="P2000" s="6" t="s">
        <v>55</v>
      </c>
      <c r="Q2000" s="6" t="s">
        <v>3329</v>
      </c>
      <c r="R2000" s="6" t="s">
        <v>56</v>
      </c>
      <c r="S2000" s="6" t="s">
        <v>56</v>
      </c>
      <c r="T2000" s="6" t="s">
        <v>56</v>
      </c>
      <c r="U2000">
        <v>0</v>
      </c>
      <c r="V2000">
        <v>0</v>
      </c>
      <c r="W2000">
        <v>5.4000000000000003E-3</v>
      </c>
      <c r="AR2000" s="6" t="s">
        <v>55</v>
      </c>
      <c r="AS2000" s="6" t="s">
        <v>55</v>
      </c>
      <c r="AU2000" s="6" t="s">
        <v>3335</v>
      </c>
      <c r="AV2000">
        <v>3163</v>
      </c>
    </row>
    <row r="2001" spans="1:48" ht="30" customHeight="1" x14ac:dyDescent="0.3">
      <c r="A2001" s="4" t="s">
        <v>2247</v>
      </c>
      <c r="B2001" s="4" t="s">
        <v>222</v>
      </c>
      <c r="C2001" s="4" t="s">
        <v>223</v>
      </c>
      <c r="D2001" s="5">
        <v>9</v>
      </c>
      <c r="E2001" s="7">
        <f>TRUNC([1]단가대비표!O84,0)</f>
        <v>77800</v>
      </c>
      <c r="F2001" s="7">
        <f t="shared" si="216"/>
        <v>700200</v>
      </c>
      <c r="G2001" s="7">
        <f>TRUNC([1]단가대비표!P84,0)</f>
        <v>0</v>
      </c>
      <c r="H2001" s="7">
        <f t="shared" si="217"/>
        <v>0</v>
      </c>
      <c r="I2001" s="7">
        <f>TRUNC([1]단가대비표!V84,0)</f>
        <v>0</v>
      </c>
      <c r="J2001" s="7">
        <f t="shared" si="218"/>
        <v>0</v>
      </c>
      <c r="K2001" s="7">
        <f t="shared" si="219"/>
        <v>77800</v>
      </c>
      <c r="L2001" s="7">
        <f t="shared" si="219"/>
        <v>700200</v>
      </c>
      <c r="M2001" s="4" t="s">
        <v>55</v>
      </c>
      <c r="N2001" s="6" t="s">
        <v>2248</v>
      </c>
      <c r="O2001" s="6" t="s">
        <v>55</v>
      </c>
      <c r="P2001" s="6" t="s">
        <v>55</v>
      </c>
      <c r="Q2001" s="6" t="s">
        <v>3329</v>
      </c>
      <c r="R2001" s="6" t="s">
        <v>56</v>
      </c>
      <c r="S2001" s="6" t="s">
        <v>56</v>
      </c>
      <c r="T2001" s="6" t="s">
        <v>57</v>
      </c>
      <c r="Y2001">
        <v>2</v>
      </c>
      <c r="AR2001" s="6" t="s">
        <v>55</v>
      </c>
      <c r="AS2001" s="6" t="s">
        <v>55</v>
      </c>
      <c r="AU2001" s="6" t="s">
        <v>3336</v>
      </c>
      <c r="AV2001">
        <v>874</v>
      </c>
    </row>
    <row r="2002" spans="1:48" ht="30" customHeight="1" x14ac:dyDescent="0.3">
      <c r="A2002" s="4" t="s">
        <v>2247</v>
      </c>
      <c r="B2002" s="4" t="s">
        <v>226</v>
      </c>
      <c r="C2002" s="4" t="s">
        <v>223</v>
      </c>
      <c r="D2002" s="5">
        <v>22</v>
      </c>
      <c r="E2002" s="7">
        <f>TRUNC([1]단가대비표!O85,0)</f>
        <v>78180</v>
      </c>
      <c r="F2002" s="7">
        <f t="shared" si="216"/>
        <v>1719960</v>
      </c>
      <c r="G2002" s="7">
        <f>TRUNC([1]단가대비표!P85,0)</f>
        <v>0</v>
      </c>
      <c r="H2002" s="7">
        <f t="shared" si="217"/>
        <v>0</v>
      </c>
      <c r="I2002" s="7">
        <f>TRUNC([1]단가대비표!V85,0)</f>
        <v>0</v>
      </c>
      <c r="J2002" s="7">
        <f t="shared" si="218"/>
        <v>0</v>
      </c>
      <c r="K2002" s="7">
        <f t="shared" si="219"/>
        <v>78180</v>
      </c>
      <c r="L2002" s="7">
        <f t="shared" si="219"/>
        <v>1719960</v>
      </c>
      <c r="M2002" s="4" t="s">
        <v>55</v>
      </c>
      <c r="N2002" s="6" t="s">
        <v>2250</v>
      </c>
      <c r="O2002" s="6" t="s">
        <v>55</v>
      </c>
      <c r="P2002" s="6" t="s">
        <v>55</v>
      </c>
      <c r="Q2002" s="6" t="s">
        <v>3329</v>
      </c>
      <c r="R2002" s="6" t="s">
        <v>56</v>
      </c>
      <c r="S2002" s="6" t="s">
        <v>56</v>
      </c>
      <c r="T2002" s="6" t="s">
        <v>57</v>
      </c>
      <c r="Y2002">
        <v>2</v>
      </c>
      <c r="AR2002" s="6" t="s">
        <v>55</v>
      </c>
      <c r="AS2002" s="6" t="s">
        <v>55</v>
      </c>
      <c r="AU2002" s="6" t="s">
        <v>3337</v>
      </c>
      <c r="AV2002">
        <v>875</v>
      </c>
    </row>
    <row r="2003" spans="1:48" ht="30" customHeight="1" x14ac:dyDescent="0.3">
      <c r="A2003" s="4" t="s">
        <v>2247</v>
      </c>
      <c r="B2003" s="4" t="s">
        <v>229</v>
      </c>
      <c r="C2003" s="4" t="s">
        <v>223</v>
      </c>
      <c r="D2003" s="5">
        <v>272</v>
      </c>
      <c r="E2003" s="7">
        <f>TRUNC([1]단가대비표!O86,0)</f>
        <v>90400</v>
      </c>
      <c r="F2003" s="7">
        <f t="shared" si="216"/>
        <v>24588800</v>
      </c>
      <c r="G2003" s="7">
        <f>TRUNC([1]단가대비표!P86,0)</f>
        <v>0</v>
      </c>
      <c r="H2003" s="7">
        <f t="shared" si="217"/>
        <v>0</v>
      </c>
      <c r="I2003" s="7">
        <f>TRUNC([1]단가대비표!V86,0)</f>
        <v>0</v>
      </c>
      <c r="J2003" s="7">
        <f t="shared" si="218"/>
        <v>0</v>
      </c>
      <c r="K2003" s="7">
        <f t="shared" si="219"/>
        <v>90400</v>
      </c>
      <c r="L2003" s="7">
        <f t="shared" si="219"/>
        <v>24588800</v>
      </c>
      <c r="M2003" s="4" t="s">
        <v>55</v>
      </c>
      <c r="N2003" s="6" t="s">
        <v>2252</v>
      </c>
      <c r="O2003" s="6" t="s">
        <v>55</v>
      </c>
      <c r="P2003" s="6" t="s">
        <v>55</v>
      </c>
      <c r="Q2003" s="6" t="s">
        <v>3329</v>
      </c>
      <c r="R2003" s="6" t="s">
        <v>56</v>
      </c>
      <c r="S2003" s="6" t="s">
        <v>56</v>
      </c>
      <c r="T2003" s="6" t="s">
        <v>57</v>
      </c>
      <c r="Y2003">
        <v>2</v>
      </c>
      <c r="AR2003" s="6" t="s">
        <v>55</v>
      </c>
      <c r="AS2003" s="6" t="s">
        <v>55</v>
      </c>
      <c r="AU2003" s="6" t="s">
        <v>3338</v>
      </c>
      <c r="AV2003">
        <v>877</v>
      </c>
    </row>
    <row r="2004" spans="1:48" ht="30" customHeight="1" x14ac:dyDescent="0.3">
      <c r="A2004" s="4" t="s">
        <v>2228</v>
      </c>
      <c r="B2004" s="4" t="s">
        <v>2229</v>
      </c>
      <c r="C2004" s="4" t="s">
        <v>92</v>
      </c>
      <c r="D2004" s="5">
        <v>1</v>
      </c>
      <c r="E2004" s="7">
        <f>ROUNDDOWN(SUMIF(Y1995:Y2012, RIGHTB(N2004, 1), F1995:F2012)*W2004, 0)</f>
        <v>145848</v>
      </c>
      <c r="F2004" s="7">
        <f t="shared" si="216"/>
        <v>145848</v>
      </c>
      <c r="G2004" s="7">
        <v>0</v>
      </c>
      <c r="H2004" s="7">
        <f t="shared" si="217"/>
        <v>0</v>
      </c>
      <c r="I2004" s="7">
        <v>0</v>
      </c>
      <c r="J2004" s="7">
        <f t="shared" si="218"/>
        <v>0</v>
      </c>
      <c r="K2004" s="7">
        <f t="shared" si="219"/>
        <v>145848</v>
      </c>
      <c r="L2004" s="7">
        <f t="shared" si="219"/>
        <v>145848</v>
      </c>
      <c r="M2004" s="4" t="s">
        <v>55</v>
      </c>
      <c r="N2004" s="6" t="s">
        <v>2245</v>
      </c>
      <c r="O2004" s="6" t="s">
        <v>55</v>
      </c>
      <c r="P2004" s="6" t="s">
        <v>55</v>
      </c>
      <c r="Q2004" s="6" t="s">
        <v>3329</v>
      </c>
      <c r="R2004" s="6" t="s">
        <v>56</v>
      </c>
      <c r="S2004" s="6" t="s">
        <v>56</v>
      </c>
      <c r="T2004" s="6" t="s">
        <v>56</v>
      </c>
      <c r="U2004">
        <v>0</v>
      </c>
      <c r="V2004">
        <v>0</v>
      </c>
      <c r="W2004">
        <v>5.4000000000000003E-3</v>
      </c>
      <c r="AR2004" s="6" t="s">
        <v>55</v>
      </c>
      <c r="AS2004" s="6" t="s">
        <v>55</v>
      </c>
      <c r="AU2004" s="6" t="s">
        <v>3339</v>
      </c>
      <c r="AV2004">
        <v>3169</v>
      </c>
    </row>
    <row r="2005" spans="1:48" ht="30" customHeight="1" x14ac:dyDescent="0.3">
      <c r="A2005" s="4" t="s">
        <v>2256</v>
      </c>
      <c r="B2005" s="4" t="s">
        <v>2257</v>
      </c>
      <c r="C2005" s="4" t="s">
        <v>2258</v>
      </c>
      <c r="D2005" s="5">
        <v>1190.7</v>
      </c>
      <c r="E2005" s="7">
        <f>TRUNC([1]단가대비표!O99,0)</f>
        <v>50</v>
      </c>
      <c r="F2005" s="7">
        <f t="shared" si="216"/>
        <v>59535</v>
      </c>
      <c r="G2005" s="7">
        <f>TRUNC([1]단가대비표!P99,0)</f>
        <v>0</v>
      </c>
      <c r="H2005" s="7">
        <f t="shared" si="217"/>
        <v>0</v>
      </c>
      <c r="I2005" s="7">
        <f>TRUNC([1]단가대비표!V99,0)</f>
        <v>0</v>
      </c>
      <c r="J2005" s="7">
        <f t="shared" si="218"/>
        <v>0</v>
      </c>
      <c r="K2005" s="7">
        <f t="shared" si="219"/>
        <v>50</v>
      </c>
      <c r="L2005" s="7">
        <f t="shared" si="219"/>
        <v>59535</v>
      </c>
      <c r="M2005" s="4" t="s">
        <v>2259</v>
      </c>
      <c r="N2005" s="6" t="s">
        <v>2260</v>
      </c>
      <c r="O2005" s="6" t="s">
        <v>55</v>
      </c>
      <c r="P2005" s="6" t="s">
        <v>55</v>
      </c>
      <c r="Q2005" s="6" t="s">
        <v>3329</v>
      </c>
      <c r="R2005" s="6" t="s">
        <v>56</v>
      </c>
      <c r="S2005" s="6" t="s">
        <v>56</v>
      </c>
      <c r="T2005" s="6" t="s">
        <v>57</v>
      </c>
      <c r="Z2005">
        <v>3</v>
      </c>
      <c r="AR2005" s="6" t="s">
        <v>55</v>
      </c>
      <c r="AS2005" s="6" t="s">
        <v>55</v>
      </c>
      <c r="AU2005" s="6" t="s">
        <v>3340</v>
      </c>
      <c r="AV2005">
        <v>909</v>
      </c>
    </row>
    <row r="2006" spans="1:48" ht="30" customHeight="1" x14ac:dyDescent="0.3">
      <c r="A2006" s="4" t="s">
        <v>2228</v>
      </c>
      <c r="B2006" s="4" t="s">
        <v>2229</v>
      </c>
      <c r="C2006" s="4" t="s">
        <v>92</v>
      </c>
      <c r="D2006" s="5">
        <v>1</v>
      </c>
      <c r="E2006" s="7">
        <f>ROUNDDOWN(SUMIF(Z1995:Z2012, RIGHTB(N2006, 1), F1995:F2012)*W2006, 0)</f>
        <v>321</v>
      </c>
      <c r="F2006" s="7">
        <f t="shared" si="216"/>
        <v>321</v>
      </c>
      <c r="G2006" s="7">
        <v>0</v>
      </c>
      <c r="H2006" s="7">
        <f t="shared" si="217"/>
        <v>0</v>
      </c>
      <c r="I2006" s="7">
        <v>0</v>
      </c>
      <c r="J2006" s="7">
        <f t="shared" si="218"/>
        <v>0</v>
      </c>
      <c r="K2006" s="7">
        <f t="shared" si="219"/>
        <v>321</v>
      </c>
      <c r="L2006" s="7">
        <f t="shared" si="219"/>
        <v>321</v>
      </c>
      <c r="M2006" s="4" t="s">
        <v>55</v>
      </c>
      <c r="N2006" s="6" t="s">
        <v>2254</v>
      </c>
      <c r="O2006" s="6" t="s">
        <v>55</v>
      </c>
      <c r="P2006" s="6" t="s">
        <v>55</v>
      </c>
      <c r="Q2006" s="6" t="s">
        <v>3329</v>
      </c>
      <c r="R2006" s="6" t="s">
        <v>56</v>
      </c>
      <c r="S2006" s="6" t="s">
        <v>56</v>
      </c>
      <c r="T2006" s="6" t="s">
        <v>56</v>
      </c>
      <c r="U2006">
        <v>0</v>
      </c>
      <c r="V2006">
        <v>0</v>
      </c>
      <c r="W2006">
        <v>5.4000000000000003E-3</v>
      </c>
      <c r="AR2006" s="6" t="s">
        <v>55</v>
      </c>
      <c r="AS2006" s="6" t="s">
        <v>55</v>
      </c>
      <c r="AU2006" s="6" t="s">
        <v>3341</v>
      </c>
      <c r="AV2006">
        <v>3254</v>
      </c>
    </row>
    <row r="2007" spans="1:48" ht="30" customHeight="1" x14ac:dyDescent="0.3">
      <c r="A2007" s="4" t="s">
        <v>2264</v>
      </c>
      <c r="B2007" s="4" t="s">
        <v>2178</v>
      </c>
      <c r="C2007" s="4" t="s">
        <v>856</v>
      </c>
      <c r="D2007" s="5">
        <v>46</v>
      </c>
      <c r="E2007" s="7">
        <f>TRUNC([1]단가대비표!O93,0)</f>
        <v>5330</v>
      </c>
      <c r="F2007" s="7">
        <f t="shared" si="216"/>
        <v>245180</v>
      </c>
      <c r="G2007" s="7">
        <f>TRUNC([1]단가대비표!P93,0)</f>
        <v>0</v>
      </c>
      <c r="H2007" s="7">
        <f t="shared" si="217"/>
        <v>0</v>
      </c>
      <c r="I2007" s="7">
        <f>TRUNC([1]단가대비표!V93,0)</f>
        <v>0</v>
      </c>
      <c r="J2007" s="7">
        <f t="shared" si="218"/>
        <v>0</v>
      </c>
      <c r="K2007" s="7">
        <f t="shared" si="219"/>
        <v>5330</v>
      </c>
      <c r="L2007" s="7">
        <f t="shared" si="219"/>
        <v>245180</v>
      </c>
      <c r="M2007" s="4" t="s">
        <v>55</v>
      </c>
      <c r="N2007" s="6" t="s">
        <v>2265</v>
      </c>
      <c r="O2007" s="6" t="s">
        <v>55</v>
      </c>
      <c r="P2007" s="6" t="s">
        <v>55</v>
      </c>
      <c r="Q2007" s="6" t="s">
        <v>3329</v>
      </c>
      <c r="R2007" s="6" t="s">
        <v>56</v>
      </c>
      <c r="S2007" s="6" t="s">
        <v>56</v>
      </c>
      <c r="T2007" s="6" t="s">
        <v>57</v>
      </c>
      <c r="AA2007">
        <v>4</v>
      </c>
      <c r="AR2007" s="6" t="s">
        <v>55</v>
      </c>
      <c r="AS2007" s="6" t="s">
        <v>55</v>
      </c>
      <c r="AU2007" s="6" t="s">
        <v>3342</v>
      </c>
      <c r="AV2007">
        <v>2452</v>
      </c>
    </row>
    <row r="2008" spans="1:48" ht="30" customHeight="1" x14ac:dyDescent="0.3">
      <c r="A2008" s="4" t="s">
        <v>2228</v>
      </c>
      <c r="B2008" s="4" t="s">
        <v>2229</v>
      </c>
      <c r="C2008" s="4" t="s">
        <v>92</v>
      </c>
      <c r="D2008" s="5">
        <v>1</v>
      </c>
      <c r="E2008" s="7">
        <f>ROUNDDOWN(SUMIF(AA1995:AA2012, RIGHTB(N2008, 1), F1995:F2012)*W2008, 0)</f>
        <v>1323</v>
      </c>
      <c r="F2008" s="7">
        <f t="shared" si="216"/>
        <v>1323</v>
      </c>
      <c r="G2008" s="7">
        <v>0</v>
      </c>
      <c r="H2008" s="7">
        <f t="shared" si="217"/>
        <v>0</v>
      </c>
      <c r="I2008" s="7">
        <v>0</v>
      </c>
      <c r="J2008" s="7">
        <f t="shared" si="218"/>
        <v>0</v>
      </c>
      <c r="K2008" s="7">
        <f t="shared" si="219"/>
        <v>1323</v>
      </c>
      <c r="L2008" s="7">
        <f t="shared" si="219"/>
        <v>1323</v>
      </c>
      <c r="M2008" s="4" t="s">
        <v>55</v>
      </c>
      <c r="N2008" s="6" t="s">
        <v>2262</v>
      </c>
      <c r="O2008" s="6" t="s">
        <v>55</v>
      </c>
      <c r="P2008" s="6" t="s">
        <v>55</v>
      </c>
      <c r="Q2008" s="6" t="s">
        <v>3329</v>
      </c>
      <c r="R2008" s="6" t="s">
        <v>56</v>
      </c>
      <c r="S2008" s="6" t="s">
        <v>56</v>
      </c>
      <c r="T2008" s="6" t="s">
        <v>56</v>
      </c>
      <c r="U2008">
        <v>0</v>
      </c>
      <c r="V2008">
        <v>0</v>
      </c>
      <c r="W2008">
        <v>5.4000000000000003E-3</v>
      </c>
      <c r="AR2008" s="6" t="s">
        <v>55</v>
      </c>
      <c r="AS2008" s="6" t="s">
        <v>55</v>
      </c>
      <c r="AU2008" s="6" t="s">
        <v>3343</v>
      </c>
      <c r="AV2008">
        <v>3255</v>
      </c>
    </row>
    <row r="2009" spans="1:48" ht="30" customHeight="1" x14ac:dyDescent="0.3">
      <c r="A2009" s="4" t="s">
        <v>2221</v>
      </c>
      <c r="B2009" s="4" t="s">
        <v>3117</v>
      </c>
      <c r="C2009" s="4" t="s">
        <v>140</v>
      </c>
      <c r="D2009" s="5">
        <v>84</v>
      </c>
      <c r="E2009" s="7">
        <f>TRUNC([1]단가대비표!O485,0)</f>
        <v>34900</v>
      </c>
      <c r="F2009" s="7">
        <f t="shared" si="216"/>
        <v>2931600</v>
      </c>
      <c r="G2009" s="7">
        <f>TRUNC([1]단가대비표!P485,0)</f>
        <v>0</v>
      </c>
      <c r="H2009" s="7">
        <f t="shared" si="217"/>
        <v>0</v>
      </c>
      <c r="I2009" s="7">
        <f>TRUNC([1]단가대비표!V485,0)</f>
        <v>0</v>
      </c>
      <c r="J2009" s="7">
        <f t="shared" si="218"/>
        <v>0</v>
      </c>
      <c r="K2009" s="7">
        <f t="shared" si="219"/>
        <v>34900</v>
      </c>
      <c r="L2009" s="7">
        <f t="shared" si="219"/>
        <v>2931600</v>
      </c>
      <c r="M2009" s="4" t="s">
        <v>3118</v>
      </c>
      <c r="N2009" s="6" t="s">
        <v>3344</v>
      </c>
      <c r="O2009" s="6" t="s">
        <v>55</v>
      </c>
      <c r="P2009" s="6" t="s">
        <v>55</v>
      </c>
      <c r="Q2009" s="6" t="s">
        <v>3329</v>
      </c>
      <c r="R2009" s="6" t="s">
        <v>56</v>
      </c>
      <c r="S2009" s="6" t="s">
        <v>56</v>
      </c>
      <c r="T2009" s="6" t="s">
        <v>57</v>
      </c>
      <c r="AB2009">
        <v>5</v>
      </c>
      <c r="AR2009" s="6" t="s">
        <v>55</v>
      </c>
      <c r="AS2009" s="6" t="s">
        <v>55</v>
      </c>
      <c r="AU2009" s="6" t="s">
        <v>3345</v>
      </c>
      <c r="AV2009">
        <v>1696</v>
      </c>
    </row>
    <row r="2010" spans="1:48" ht="30" customHeight="1" x14ac:dyDescent="0.3">
      <c r="A2010" s="4" t="s">
        <v>2228</v>
      </c>
      <c r="B2010" s="4" t="s">
        <v>2229</v>
      </c>
      <c r="C2010" s="4" t="s">
        <v>92</v>
      </c>
      <c r="D2010" s="5">
        <v>1</v>
      </c>
      <c r="E2010" s="7">
        <f>ROUNDDOWN(SUMIF(AB1995:AB2012, RIGHTB(N2010, 1), F1995:F2012)*W2010, 0)</f>
        <v>15830</v>
      </c>
      <c r="F2010" s="7">
        <f t="shared" si="216"/>
        <v>15830</v>
      </c>
      <c r="G2010" s="7">
        <v>0</v>
      </c>
      <c r="H2010" s="7">
        <f t="shared" si="217"/>
        <v>0</v>
      </c>
      <c r="I2010" s="7">
        <v>0</v>
      </c>
      <c r="J2010" s="7">
        <f t="shared" si="218"/>
        <v>0</v>
      </c>
      <c r="K2010" s="7">
        <f t="shared" si="219"/>
        <v>15830</v>
      </c>
      <c r="L2010" s="7">
        <f t="shared" si="219"/>
        <v>15830</v>
      </c>
      <c r="M2010" s="4" t="s">
        <v>55</v>
      </c>
      <c r="N2010" s="6" t="s">
        <v>2267</v>
      </c>
      <c r="O2010" s="6" t="s">
        <v>55</v>
      </c>
      <c r="P2010" s="6" t="s">
        <v>55</v>
      </c>
      <c r="Q2010" s="6" t="s">
        <v>3329</v>
      </c>
      <c r="R2010" s="6" t="s">
        <v>56</v>
      </c>
      <c r="S2010" s="6" t="s">
        <v>56</v>
      </c>
      <c r="T2010" s="6" t="s">
        <v>56</v>
      </c>
      <c r="U2010">
        <v>0</v>
      </c>
      <c r="V2010">
        <v>0</v>
      </c>
      <c r="W2010">
        <v>5.4000000000000003E-3</v>
      </c>
      <c r="AR2010" s="6" t="s">
        <v>55</v>
      </c>
      <c r="AS2010" s="6" t="s">
        <v>55</v>
      </c>
      <c r="AU2010" s="6" t="s">
        <v>3346</v>
      </c>
      <c r="AV2010">
        <v>3256</v>
      </c>
    </row>
    <row r="2011" spans="1:48" ht="30" customHeight="1" x14ac:dyDescent="0.3">
      <c r="A2011" s="4" t="s">
        <v>2275</v>
      </c>
      <c r="B2011" s="4" t="s">
        <v>2276</v>
      </c>
      <c r="C2011" s="4" t="s">
        <v>61</v>
      </c>
      <c r="D2011" s="5">
        <v>14</v>
      </c>
      <c r="E2011" s="7">
        <f>TRUNC([1]단가대비표!O107,0)</f>
        <v>10800</v>
      </c>
      <c r="F2011" s="7">
        <f t="shared" si="216"/>
        <v>151200</v>
      </c>
      <c r="G2011" s="7">
        <f>TRUNC([1]단가대비표!P107,0)</f>
        <v>0</v>
      </c>
      <c r="H2011" s="7">
        <f t="shared" si="217"/>
        <v>0</v>
      </c>
      <c r="I2011" s="7">
        <f>TRUNC([1]단가대비표!V107,0)</f>
        <v>0</v>
      </c>
      <c r="J2011" s="7">
        <f t="shared" si="218"/>
        <v>0</v>
      </c>
      <c r="K2011" s="7">
        <f t="shared" si="219"/>
        <v>10800</v>
      </c>
      <c r="L2011" s="7">
        <f t="shared" si="219"/>
        <v>151200</v>
      </c>
      <c r="M2011" s="4" t="s">
        <v>55</v>
      </c>
      <c r="N2011" s="6" t="s">
        <v>2277</v>
      </c>
      <c r="O2011" s="6" t="s">
        <v>55</v>
      </c>
      <c r="P2011" s="6" t="s">
        <v>55</v>
      </c>
      <c r="Q2011" s="6" t="s">
        <v>3329</v>
      </c>
      <c r="R2011" s="6" t="s">
        <v>56</v>
      </c>
      <c r="S2011" s="6" t="s">
        <v>56</v>
      </c>
      <c r="T2011" s="6" t="s">
        <v>57</v>
      </c>
      <c r="AC2011">
        <v>6</v>
      </c>
      <c r="AR2011" s="6" t="s">
        <v>55</v>
      </c>
      <c r="AS2011" s="6" t="s">
        <v>55</v>
      </c>
      <c r="AU2011" s="6" t="s">
        <v>3347</v>
      </c>
      <c r="AV2011">
        <v>3381</v>
      </c>
    </row>
    <row r="2012" spans="1:48" ht="30" customHeight="1" x14ac:dyDescent="0.3">
      <c r="A2012" s="4" t="s">
        <v>2228</v>
      </c>
      <c r="B2012" s="4" t="s">
        <v>2229</v>
      </c>
      <c r="C2012" s="4" t="s">
        <v>92</v>
      </c>
      <c r="D2012" s="5">
        <v>1</v>
      </c>
      <c r="E2012" s="7">
        <f>ROUNDDOWN(SUMIF(AC1995:AC2012, RIGHTB(N2012, 1), F1995:F2012)*W2012, 0)</f>
        <v>816</v>
      </c>
      <c r="F2012" s="7">
        <f t="shared" si="216"/>
        <v>816</v>
      </c>
      <c r="G2012" s="7">
        <v>0</v>
      </c>
      <c r="H2012" s="7">
        <f t="shared" si="217"/>
        <v>0</v>
      </c>
      <c r="I2012" s="7">
        <v>0</v>
      </c>
      <c r="J2012" s="7">
        <f t="shared" si="218"/>
        <v>0</v>
      </c>
      <c r="K2012" s="7">
        <f t="shared" si="219"/>
        <v>816</v>
      </c>
      <c r="L2012" s="7">
        <f t="shared" si="219"/>
        <v>816</v>
      </c>
      <c r="M2012" s="4" t="s">
        <v>55</v>
      </c>
      <c r="N2012" s="6" t="s">
        <v>2273</v>
      </c>
      <c r="O2012" s="6" t="s">
        <v>55</v>
      </c>
      <c r="P2012" s="6" t="s">
        <v>55</v>
      </c>
      <c r="Q2012" s="6" t="s">
        <v>3329</v>
      </c>
      <c r="R2012" s="6" t="s">
        <v>56</v>
      </c>
      <c r="S2012" s="6" t="s">
        <v>56</v>
      </c>
      <c r="T2012" s="6" t="s">
        <v>56</v>
      </c>
      <c r="U2012">
        <v>0</v>
      </c>
      <c r="V2012">
        <v>0</v>
      </c>
      <c r="W2012">
        <v>5.4000000000000003E-3</v>
      </c>
      <c r="AR2012" s="6" t="s">
        <v>55</v>
      </c>
      <c r="AS2012" s="6" t="s">
        <v>55</v>
      </c>
      <c r="AU2012" s="6" t="s">
        <v>3348</v>
      </c>
      <c r="AV2012">
        <v>3399</v>
      </c>
    </row>
    <row r="2013" spans="1:48" ht="30" customHeight="1" x14ac:dyDescent="0.3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</row>
    <row r="2014" spans="1:48" ht="30" customHeight="1" x14ac:dyDescent="0.3">
      <c r="A2014" s="4" t="s">
        <v>128</v>
      </c>
      <c r="B2014" s="5"/>
      <c r="C2014" s="5"/>
      <c r="D2014" s="5"/>
      <c r="E2014" s="5"/>
      <c r="F2014" s="7">
        <f>SUM(F1995:F2013)</f>
        <v>65671188</v>
      </c>
      <c r="G2014" s="5"/>
      <c r="H2014" s="7">
        <f>SUM(H1995:H2013)</f>
        <v>0</v>
      </c>
      <c r="I2014" s="5"/>
      <c r="J2014" s="7">
        <f>SUM(J1995:J2013)</f>
        <v>0</v>
      </c>
      <c r="K2014" s="5"/>
      <c r="L2014" s="7">
        <f>SUM(L1995:L2013)</f>
        <v>65671188</v>
      </c>
      <c r="M2014" s="5"/>
      <c r="N2014" t="s">
        <v>129</v>
      </c>
    </row>
    <row r="2015" spans="1:48" ht="30" customHeight="1" x14ac:dyDescent="0.3">
      <c r="A2015" s="4" t="s">
        <v>3349</v>
      </c>
      <c r="B2015" s="4" t="s">
        <v>3350</v>
      </c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Q2015" s="6" t="s">
        <v>3351</v>
      </c>
    </row>
    <row r="2016" spans="1:48" ht="30" customHeight="1" x14ac:dyDescent="0.3">
      <c r="A2016" s="4" t="s">
        <v>132</v>
      </c>
      <c r="B2016" s="4" t="s">
        <v>133</v>
      </c>
      <c r="C2016" s="4" t="s">
        <v>134</v>
      </c>
      <c r="D2016" s="5">
        <v>5</v>
      </c>
      <c r="E2016" s="7">
        <f>TRUNC([1]단가대비표!O200,0)</f>
        <v>23445</v>
      </c>
      <c r="F2016" s="7">
        <f t="shared" ref="F2016:F2026" si="220">TRUNC(E2016*D2016, 0)</f>
        <v>117225</v>
      </c>
      <c r="G2016" s="7">
        <f>TRUNC([1]단가대비표!P200,0)</f>
        <v>74241</v>
      </c>
      <c r="H2016" s="7">
        <f t="shared" ref="H2016:H2026" si="221">TRUNC(G2016*D2016, 0)</f>
        <v>371205</v>
      </c>
      <c r="I2016" s="7">
        <f>TRUNC([1]단가대비표!V200,0)</f>
        <v>0</v>
      </c>
      <c r="J2016" s="7">
        <f t="shared" ref="J2016:J2026" si="222">TRUNC(I2016*D2016, 0)</f>
        <v>0</v>
      </c>
      <c r="K2016" s="7">
        <f t="shared" ref="K2016:L2026" si="223">TRUNC(E2016+G2016+I2016, 0)</f>
        <v>97686</v>
      </c>
      <c r="L2016" s="7">
        <f t="shared" si="223"/>
        <v>488430</v>
      </c>
      <c r="M2016" s="4" t="s">
        <v>135</v>
      </c>
      <c r="N2016" s="6" t="s">
        <v>136</v>
      </c>
      <c r="O2016" s="6" t="s">
        <v>55</v>
      </c>
      <c r="P2016" s="6" t="s">
        <v>55</v>
      </c>
      <c r="Q2016" s="6" t="s">
        <v>3351</v>
      </c>
      <c r="R2016" s="6" t="s">
        <v>56</v>
      </c>
      <c r="S2016" s="6" t="s">
        <v>56</v>
      </c>
      <c r="T2016" s="6" t="s">
        <v>57</v>
      </c>
      <c r="AR2016" s="6" t="s">
        <v>55</v>
      </c>
      <c r="AS2016" s="6" t="s">
        <v>55</v>
      </c>
      <c r="AU2016" s="6" t="s">
        <v>3352</v>
      </c>
      <c r="AV2016">
        <v>3184</v>
      </c>
    </row>
    <row r="2017" spans="1:48" ht="30" customHeight="1" x14ac:dyDescent="0.3">
      <c r="A2017" s="4" t="s">
        <v>138</v>
      </c>
      <c r="B2017" s="4" t="s">
        <v>3074</v>
      </c>
      <c r="C2017" s="4" t="s">
        <v>140</v>
      </c>
      <c r="D2017" s="5">
        <v>1194</v>
      </c>
      <c r="E2017" s="7">
        <f>TRUNC([1]단가대비표!O198,0)</f>
        <v>453</v>
      </c>
      <c r="F2017" s="7">
        <f t="shared" si="220"/>
        <v>540882</v>
      </c>
      <c r="G2017" s="7">
        <f>TRUNC([1]단가대비표!P198,0)</f>
        <v>14635</v>
      </c>
      <c r="H2017" s="7">
        <f t="shared" si="221"/>
        <v>17474190</v>
      </c>
      <c r="I2017" s="7">
        <f>TRUNC([1]단가대비표!V198,0)</f>
        <v>0</v>
      </c>
      <c r="J2017" s="7">
        <f t="shared" si="222"/>
        <v>0</v>
      </c>
      <c r="K2017" s="7">
        <f t="shared" si="223"/>
        <v>15088</v>
      </c>
      <c r="L2017" s="7">
        <f t="shared" si="223"/>
        <v>18015072</v>
      </c>
      <c r="M2017" s="4" t="s">
        <v>141</v>
      </c>
      <c r="N2017" s="6" t="s">
        <v>3075</v>
      </c>
      <c r="O2017" s="6" t="s">
        <v>55</v>
      </c>
      <c r="P2017" s="6" t="s">
        <v>55</v>
      </c>
      <c r="Q2017" s="6" t="s">
        <v>3351</v>
      </c>
      <c r="R2017" s="6" t="s">
        <v>56</v>
      </c>
      <c r="S2017" s="6" t="s">
        <v>56</v>
      </c>
      <c r="T2017" s="6" t="s">
        <v>57</v>
      </c>
      <c r="AR2017" s="6" t="s">
        <v>55</v>
      </c>
      <c r="AS2017" s="6" t="s">
        <v>55</v>
      </c>
      <c r="AU2017" s="6" t="s">
        <v>3353</v>
      </c>
      <c r="AV2017">
        <v>3185</v>
      </c>
    </row>
    <row r="2018" spans="1:48" ht="30" customHeight="1" x14ac:dyDescent="0.3">
      <c r="A2018" s="4" t="s">
        <v>144</v>
      </c>
      <c r="B2018" s="4" t="s">
        <v>145</v>
      </c>
      <c r="C2018" s="4" t="s">
        <v>140</v>
      </c>
      <c r="D2018" s="5">
        <v>96</v>
      </c>
      <c r="E2018" s="7">
        <f>TRUNC([1]단가대비표!O201,0)</f>
        <v>2637</v>
      </c>
      <c r="F2018" s="7">
        <f t="shared" si="220"/>
        <v>253152</v>
      </c>
      <c r="G2018" s="7">
        <f>TRUNC([1]단가대비표!P201,0)</f>
        <v>8828</v>
      </c>
      <c r="H2018" s="7">
        <f t="shared" si="221"/>
        <v>847488</v>
      </c>
      <c r="I2018" s="7">
        <f>TRUNC([1]단가대비표!V201,0)</f>
        <v>0</v>
      </c>
      <c r="J2018" s="7">
        <f t="shared" si="222"/>
        <v>0</v>
      </c>
      <c r="K2018" s="7">
        <f t="shared" si="223"/>
        <v>11465</v>
      </c>
      <c r="L2018" s="7">
        <f t="shared" si="223"/>
        <v>1100640</v>
      </c>
      <c r="M2018" s="4" t="s">
        <v>146</v>
      </c>
      <c r="N2018" s="6" t="s">
        <v>147</v>
      </c>
      <c r="O2018" s="6" t="s">
        <v>55</v>
      </c>
      <c r="P2018" s="6" t="s">
        <v>55</v>
      </c>
      <c r="Q2018" s="6" t="s">
        <v>3351</v>
      </c>
      <c r="R2018" s="6" t="s">
        <v>56</v>
      </c>
      <c r="S2018" s="6" t="s">
        <v>56</v>
      </c>
      <c r="T2018" s="6" t="s">
        <v>57</v>
      </c>
      <c r="AR2018" s="6" t="s">
        <v>55</v>
      </c>
      <c r="AS2018" s="6" t="s">
        <v>55</v>
      </c>
      <c r="AU2018" s="6" t="s">
        <v>3354</v>
      </c>
      <c r="AV2018">
        <v>3186</v>
      </c>
    </row>
    <row r="2019" spans="1:48" ht="30" customHeight="1" x14ac:dyDescent="0.3">
      <c r="A2019" s="4" t="s">
        <v>144</v>
      </c>
      <c r="B2019" s="4" t="s">
        <v>149</v>
      </c>
      <c r="C2019" s="4" t="s">
        <v>140</v>
      </c>
      <c r="D2019" s="5">
        <v>606</v>
      </c>
      <c r="E2019" s="7">
        <f>TRUNC([1]단가대비표!O202,0)</f>
        <v>2665</v>
      </c>
      <c r="F2019" s="7">
        <f t="shared" si="220"/>
        <v>1614990</v>
      </c>
      <c r="G2019" s="7">
        <f>TRUNC([1]단가대비표!P202,0)</f>
        <v>10657</v>
      </c>
      <c r="H2019" s="7">
        <f t="shared" si="221"/>
        <v>6458142</v>
      </c>
      <c r="I2019" s="7">
        <f>TRUNC([1]단가대비표!V202,0)</f>
        <v>0</v>
      </c>
      <c r="J2019" s="7">
        <f t="shared" si="222"/>
        <v>0</v>
      </c>
      <c r="K2019" s="7">
        <f t="shared" si="223"/>
        <v>13322</v>
      </c>
      <c r="L2019" s="7">
        <f t="shared" si="223"/>
        <v>8073132</v>
      </c>
      <c r="M2019" s="4" t="s">
        <v>150</v>
      </c>
      <c r="N2019" s="6" t="s">
        <v>151</v>
      </c>
      <c r="O2019" s="6" t="s">
        <v>55</v>
      </c>
      <c r="P2019" s="6" t="s">
        <v>55</v>
      </c>
      <c r="Q2019" s="6" t="s">
        <v>3351</v>
      </c>
      <c r="R2019" s="6" t="s">
        <v>56</v>
      </c>
      <c r="S2019" s="6" t="s">
        <v>56</v>
      </c>
      <c r="T2019" s="6" t="s">
        <v>57</v>
      </c>
      <c r="AR2019" s="6" t="s">
        <v>55</v>
      </c>
      <c r="AS2019" s="6" t="s">
        <v>55</v>
      </c>
      <c r="AU2019" s="6" t="s">
        <v>3355</v>
      </c>
      <c r="AV2019">
        <v>3187</v>
      </c>
    </row>
    <row r="2020" spans="1:48" ht="30" customHeight="1" x14ac:dyDescent="0.3">
      <c r="A2020" s="4" t="s">
        <v>153</v>
      </c>
      <c r="B2020" s="4" t="s">
        <v>154</v>
      </c>
      <c r="C2020" s="4" t="s">
        <v>155</v>
      </c>
      <c r="D2020" s="5">
        <v>77</v>
      </c>
      <c r="E2020" s="7">
        <f>TRUNC([1]일위대가목록!E13,0)</f>
        <v>6050</v>
      </c>
      <c r="F2020" s="7">
        <f t="shared" si="220"/>
        <v>465850</v>
      </c>
      <c r="G2020" s="7">
        <f>TRUNC([1]일위대가목록!F13,0)</f>
        <v>175810</v>
      </c>
      <c r="H2020" s="7">
        <f t="shared" si="221"/>
        <v>13537370</v>
      </c>
      <c r="I2020" s="7">
        <f>TRUNC([1]일위대가목록!G13,0)</f>
        <v>7130</v>
      </c>
      <c r="J2020" s="7">
        <f t="shared" si="222"/>
        <v>549010</v>
      </c>
      <c r="K2020" s="7">
        <f t="shared" si="223"/>
        <v>188990</v>
      </c>
      <c r="L2020" s="7">
        <f t="shared" si="223"/>
        <v>14552230</v>
      </c>
      <c r="M2020" s="4" t="s">
        <v>156</v>
      </c>
      <c r="N2020" s="6" t="s">
        <v>157</v>
      </c>
      <c r="O2020" s="6" t="s">
        <v>55</v>
      </c>
      <c r="P2020" s="6" t="s">
        <v>55</v>
      </c>
      <c r="Q2020" s="6" t="s">
        <v>3351</v>
      </c>
      <c r="R2020" s="6" t="s">
        <v>57</v>
      </c>
      <c r="S2020" s="6" t="s">
        <v>56</v>
      </c>
      <c r="T2020" s="6" t="s">
        <v>56</v>
      </c>
      <c r="AR2020" s="6" t="s">
        <v>55</v>
      </c>
      <c r="AS2020" s="6" t="s">
        <v>55</v>
      </c>
      <c r="AU2020" s="6" t="s">
        <v>3356</v>
      </c>
      <c r="AV2020">
        <v>2757</v>
      </c>
    </row>
    <row r="2021" spans="1:48" ht="30" customHeight="1" x14ac:dyDescent="0.3">
      <c r="A2021" s="4" t="s">
        <v>159</v>
      </c>
      <c r="B2021" s="4" t="s">
        <v>160</v>
      </c>
      <c r="C2021" s="4" t="s">
        <v>140</v>
      </c>
      <c r="D2021" s="5">
        <v>883</v>
      </c>
      <c r="E2021" s="7">
        <f>TRUNC([1]단가대비표!O206,0)</f>
        <v>129</v>
      </c>
      <c r="F2021" s="7">
        <f t="shared" si="220"/>
        <v>113907</v>
      </c>
      <c r="G2021" s="7">
        <f>TRUNC([1]단가대비표!P206,0)</f>
        <v>12741</v>
      </c>
      <c r="H2021" s="7">
        <f t="shared" si="221"/>
        <v>11250303</v>
      </c>
      <c r="I2021" s="7">
        <f>TRUNC([1]단가대비표!V206,0)</f>
        <v>0</v>
      </c>
      <c r="J2021" s="7">
        <f t="shared" si="222"/>
        <v>0</v>
      </c>
      <c r="K2021" s="7">
        <f t="shared" si="223"/>
        <v>12870</v>
      </c>
      <c r="L2021" s="7">
        <f t="shared" si="223"/>
        <v>11364210</v>
      </c>
      <c r="M2021" s="4" t="s">
        <v>161</v>
      </c>
      <c r="N2021" s="6" t="s">
        <v>162</v>
      </c>
      <c r="O2021" s="6" t="s">
        <v>55</v>
      </c>
      <c r="P2021" s="6" t="s">
        <v>55</v>
      </c>
      <c r="Q2021" s="6" t="s">
        <v>3351</v>
      </c>
      <c r="R2021" s="6" t="s">
        <v>56</v>
      </c>
      <c r="S2021" s="6" t="s">
        <v>56</v>
      </c>
      <c r="T2021" s="6" t="s">
        <v>57</v>
      </c>
      <c r="AR2021" s="6" t="s">
        <v>55</v>
      </c>
      <c r="AS2021" s="6" t="s">
        <v>55</v>
      </c>
      <c r="AU2021" s="6" t="s">
        <v>3357</v>
      </c>
      <c r="AV2021">
        <v>3188</v>
      </c>
    </row>
    <row r="2022" spans="1:48" ht="30" customHeight="1" x14ac:dyDescent="0.3">
      <c r="A2022" s="4" t="s">
        <v>164</v>
      </c>
      <c r="B2022" s="4" t="s">
        <v>165</v>
      </c>
      <c r="C2022" s="4" t="s">
        <v>61</v>
      </c>
      <c r="D2022" s="5">
        <v>883</v>
      </c>
      <c r="E2022" s="7">
        <f>TRUNC([1]일위대가목록!E14,0)</f>
        <v>0</v>
      </c>
      <c r="F2022" s="7">
        <f t="shared" si="220"/>
        <v>0</v>
      </c>
      <c r="G2022" s="7">
        <f>TRUNC([1]일위대가목록!F14,0)</f>
        <v>897</v>
      </c>
      <c r="H2022" s="7">
        <f t="shared" si="221"/>
        <v>792051</v>
      </c>
      <c r="I2022" s="7">
        <f>TRUNC([1]일위대가목록!G14,0)</f>
        <v>0</v>
      </c>
      <c r="J2022" s="7">
        <f t="shared" si="222"/>
        <v>0</v>
      </c>
      <c r="K2022" s="7">
        <f t="shared" si="223"/>
        <v>897</v>
      </c>
      <c r="L2022" s="7">
        <f t="shared" si="223"/>
        <v>792051</v>
      </c>
      <c r="M2022" s="4" t="s">
        <v>166</v>
      </c>
      <c r="N2022" s="6" t="s">
        <v>167</v>
      </c>
      <c r="O2022" s="6" t="s">
        <v>55</v>
      </c>
      <c r="P2022" s="6" t="s">
        <v>55</v>
      </c>
      <c r="Q2022" s="6" t="s">
        <v>3351</v>
      </c>
      <c r="R2022" s="6" t="s">
        <v>57</v>
      </c>
      <c r="S2022" s="6" t="s">
        <v>56</v>
      </c>
      <c r="T2022" s="6" t="s">
        <v>56</v>
      </c>
      <c r="AR2022" s="6" t="s">
        <v>55</v>
      </c>
      <c r="AS2022" s="6" t="s">
        <v>55</v>
      </c>
      <c r="AU2022" s="6" t="s">
        <v>3358</v>
      </c>
      <c r="AV2022">
        <v>2759</v>
      </c>
    </row>
    <row r="2023" spans="1:48" ht="30" customHeight="1" x14ac:dyDescent="0.3">
      <c r="A2023" s="4" t="s">
        <v>169</v>
      </c>
      <c r="B2023" s="4" t="s">
        <v>165</v>
      </c>
      <c r="C2023" s="4" t="s">
        <v>61</v>
      </c>
      <c r="D2023" s="5">
        <v>883</v>
      </c>
      <c r="E2023" s="7">
        <f>TRUNC([1]일위대가목록!E15,0)</f>
        <v>0</v>
      </c>
      <c r="F2023" s="7">
        <f t="shared" si="220"/>
        <v>0</v>
      </c>
      <c r="G2023" s="7">
        <f>TRUNC([1]일위대가목록!F15,0)</f>
        <v>2093</v>
      </c>
      <c r="H2023" s="7">
        <f t="shared" si="221"/>
        <v>1848119</v>
      </c>
      <c r="I2023" s="7">
        <f>TRUNC([1]일위대가목록!G15,0)</f>
        <v>0</v>
      </c>
      <c r="J2023" s="7">
        <f t="shared" si="222"/>
        <v>0</v>
      </c>
      <c r="K2023" s="7">
        <f t="shared" si="223"/>
        <v>2093</v>
      </c>
      <c r="L2023" s="7">
        <f t="shared" si="223"/>
        <v>1848119</v>
      </c>
      <c r="M2023" s="4" t="s">
        <v>170</v>
      </c>
      <c r="N2023" s="6" t="s">
        <v>171</v>
      </c>
      <c r="O2023" s="6" t="s">
        <v>55</v>
      </c>
      <c r="P2023" s="6" t="s">
        <v>55</v>
      </c>
      <c r="Q2023" s="6" t="s">
        <v>3351</v>
      </c>
      <c r="R2023" s="6" t="s">
        <v>57</v>
      </c>
      <c r="S2023" s="6" t="s">
        <v>56</v>
      </c>
      <c r="T2023" s="6" t="s">
        <v>56</v>
      </c>
      <c r="AR2023" s="6" t="s">
        <v>55</v>
      </c>
      <c r="AS2023" s="6" t="s">
        <v>55</v>
      </c>
      <c r="AU2023" s="6" t="s">
        <v>3359</v>
      </c>
      <c r="AV2023">
        <v>2760</v>
      </c>
    </row>
    <row r="2024" spans="1:48" ht="30" customHeight="1" x14ac:dyDescent="0.3">
      <c r="A2024" s="4" t="s">
        <v>173</v>
      </c>
      <c r="B2024" s="4" t="s">
        <v>174</v>
      </c>
      <c r="C2024" s="4" t="s">
        <v>61</v>
      </c>
      <c r="D2024" s="5">
        <v>1156</v>
      </c>
      <c r="E2024" s="7">
        <f>TRUNC([1]일위대가목록!E16,0)</f>
        <v>0</v>
      </c>
      <c r="F2024" s="7">
        <f t="shared" si="220"/>
        <v>0</v>
      </c>
      <c r="G2024" s="7">
        <f>TRUNC([1]일위대가목록!F16,0)</f>
        <v>512</v>
      </c>
      <c r="H2024" s="7">
        <f t="shared" si="221"/>
        <v>591872</v>
      </c>
      <c r="I2024" s="7">
        <f>TRUNC([1]일위대가목록!G16,0)</f>
        <v>0</v>
      </c>
      <c r="J2024" s="7">
        <f t="shared" si="222"/>
        <v>0</v>
      </c>
      <c r="K2024" s="7">
        <f t="shared" si="223"/>
        <v>512</v>
      </c>
      <c r="L2024" s="7">
        <f t="shared" si="223"/>
        <v>591872</v>
      </c>
      <c r="M2024" s="4" t="s">
        <v>175</v>
      </c>
      <c r="N2024" s="6" t="s">
        <v>176</v>
      </c>
      <c r="O2024" s="6" t="s">
        <v>55</v>
      </c>
      <c r="P2024" s="6" t="s">
        <v>55</v>
      </c>
      <c r="Q2024" s="6" t="s">
        <v>3351</v>
      </c>
      <c r="R2024" s="6" t="s">
        <v>57</v>
      </c>
      <c r="S2024" s="6" t="s">
        <v>56</v>
      </c>
      <c r="T2024" s="6" t="s">
        <v>56</v>
      </c>
      <c r="AR2024" s="6" t="s">
        <v>55</v>
      </c>
      <c r="AS2024" s="6" t="s">
        <v>55</v>
      </c>
      <c r="AU2024" s="6" t="s">
        <v>3360</v>
      </c>
      <c r="AV2024">
        <v>2761</v>
      </c>
    </row>
    <row r="2025" spans="1:48" ht="30" customHeight="1" x14ac:dyDescent="0.3">
      <c r="A2025" s="4" t="s">
        <v>178</v>
      </c>
      <c r="B2025" s="4" t="s">
        <v>179</v>
      </c>
      <c r="C2025" s="4" t="s">
        <v>61</v>
      </c>
      <c r="D2025" s="5">
        <v>20</v>
      </c>
      <c r="E2025" s="7">
        <f>TRUNC([1]일위대가목록!E17,0)</f>
        <v>329</v>
      </c>
      <c r="F2025" s="7">
        <f t="shared" si="220"/>
        <v>6580</v>
      </c>
      <c r="G2025" s="7">
        <f>TRUNC([1]일위대가목록!F17,0)</f>
        <v>936</v>
      </c>
      <c r="H2025" s="7">
        <f t="shared" si="221"/>
        <v>18720</v>
      </c>
      <c r="I2025" s="7">
        <f>TRUNC([1]일위대가목록!G17,0)</f>
        <v>0</v>
      </c>
      <c r="J2025" s="7">
        <f t="shared" si="222"/>
        <v>0</v>
      </c>
      <c r="K2025" s="7">
        <f t="shared" si="223"/>
        <v>1265</v>
      </c>
      <c r="L2025" s="7">
        <f t="shared" si="223"/>
        <v>25300</v>
      </c>
      <c r="M2025" s="4" t="s">
        <v>180</v>
      </c>
      <c r="N2025" s="6" t="s">
        <v>181</v>
      </c>
      <c r="O2025" s="6" t="s">
        <v>55</v>
      </c>
      <c r="P2025" s="6" t="s">
        <v>55</v>
      </c>
      <c r="Q2025" s="6" t="s">
        <v>3351</v>
      </c>
      <c r="R2025" s="6" t="s">
        <v>57</v>
      </c>
      <c r="S2025" s="6" t="s">
        <v>56</v>
      </c>
      <c r="T2025" s="6" t="s">
        <v>56</v>
      </c>
      <c r="AR2025" s="6" t="s">
        <v>55</v>
      </c>
      <c r="AS2025" s="6" t="s">
        <v>55</v>
      </c>
      <c r="AU2025" s="6" t="s">
        <v>3361</v>
      </c>
      <c r="AV2025">
        <v>2762</v>
      </c>
    </row>
    <row r="2026" spans="1:48" ht="30" customHeight="1" x14ac:dyDescent="0.3">
      <c r="A2026" s="4" t="s">
        <v>183</v>
      </c>
      <c r="B2026" s="4" t="s">
        <v>184</v>
      </c>
      <c r="C2026" s="4" t="s">
        <v>61</v>
      </c>
      <c r="D2026" s="5">
        <v>508</v>
      </c>
      <c r="E2026" s="7">
        <f>TRUNC([1]일위대가목록!E18,0)</f>
        <v>998</v>
      </c>
      <c r="F2026" s="7">
        <f t="shared" si="220"/>
        <v>506984</v>
      </c>
      <c r="G2026" s="7">
        <f>TRUNC([1]일위대가목록!F18,0)</f>
        <v>175</v>
      </c>
      <c r="H2026" s="7">
        <f t="shared" si="221"/>
        <v>88900</v>
      </c>
      <c r="I2026" s="7">
        <f>TRUNC([1]일위대가목록!G18,0)</f>
        <v>0</v>
      </c>
      <c r="J2026" s="7">
        <f t="shared" si="222"/>
        <v>0</v>
      </c>
      <c r="K2026" s="7">
        <f t="shared" si="223"/>
        <v>1173</v>
      </c>
      <c r="L2026" s="7">
        <f t="shared" si="223"/>
        <v>595884</v>
      </c>
      <c r="M2026" s="4" t="s">
        <v>185</v>
      </c>
      <c r="N2026" s="6" t="s">
        <v>186</v>
      </c>
      <c r="O2026" s="6" t="s">
        <v>55</v>
      </c>
      <c r="P2026" s="6" t="s">
        <v>55</v>
      </c>
      <c r="Q2026" s="6" t="s">
        <v>3351</v>
      </c>
      <c r="R2026" s="6" t="s">
        <v>57</v>
      </c>
      <c r="S2026" s="6" t="s">
        <v>56</v>
      </c>
      <c r="T2026" s="6" t="s">
        <v>56</v>
      </c>
      <c r="AR2026" s="6" t="s">
        <v>55</v>
      </c>
      <c r="AS2026" s="6" t="s">
        <v>55</v>
      </c>
      <c r="AU2026" s="6" t="s">
        <v>3362</v>
      </c>
      <c r="AV2026">
        <v>2763</v>
      </c>
    </row>
    <row r="2027" spans="1:48" ht="30" customHeight="1" x14ac:dyDescent="0.3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</row>
    <row r="2028" spans="1:48" ht="30" customHeight="1" x14ac:dyDescent="0.3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</row>
    <row r="2029" spans="1:48" ht="30" customHeight="1" x14ac:dyDescent="0.3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</row>
    <row r="2030" spans="1:48" ht="30" customHeight="1" x14ac:dyDescent="0.3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</row>
    <row r="2031" spans="1:48" ht="30" customHeight="1" x14ac:dyDescent="0.3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</row>
    <row r="2032" spans="1:48" ht="30" customHeight="1" x14ac:dyDescent="0.3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</row>
    <row r="2033" spans="1:48" ht="30" customHeight="1" x14ac:dyDescent="0.3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</row>
    <row r="2034" spans="1:48" ht="30" customHeight="1" x14ac:dyDescent="0.3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</row>
    <row r="2035" spans="1:48" ht="30" customHeight="1" x14ac:dyDescent="0.3">
      <c r="A2035" s="4" t="s">
        <v>128</v>
      </c>
      <c r="B2035" s="5"/>
      <c r="C2035" s="5"/>
      <c r="D2035" s="5"/>
      <c r="E2035" s="5"/>
      <c r="F2035" s="7">
        <f>SUM(F2016:F2034)</f>
        <v>3619570</v>
      </c>
      <c r="G2035" s="5"/>
      <c r="H2035" s="7">
        <f>SUM(H2016:H2034)</f>
        <v>53278360</v>
      </c>
      <c r="I2035" s="5"/>
      <c r="J2035" s="7">
        <f>SUM(J2016:J2034)</f>
        <v>549010</v>
      </c>
      <c r="K2035" s="5"/>
      <c r="L2035" s="7">
        <f>SUM(L2016:L2034)</f>
        <v>57446940</v>
      </c>
      <c r="M2035" s="5"/>
      <c r="N2035" t="s">
        <v>129</v>
      </c>
    </row>
    <row r="2036" spans="1:48" ht="30" customHeight="1" x14ac:dyDescent="0.3">
      <c r="A2036" s="4" t="s">
        <v>3363</v>
      </c>
      <c r="B2036" s="4" t="s">
        <v>3350</v>
      </c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Q2036" s="6" t="s">
        <v>3364</v>
      </c>
    </row>
    <row r="2037" spans="1:48" ht="30" customHeight="1" x14ac:dyDescent="0.3">
      <c r="A2037" s="4" t="s">
        <v>190</v>
      </c>
      <c r="B2037" s="4" t="s">
        <v>191</v>
      </c>
      <c r="C2037" s="4" t="s">
        <v>106</v>
      </c>
      <c r="D2037" s="5">
        <v>28.402999999999999</v>
      </c>
      <c r="E2037" s="7">
        <f>TRUNC([1]단가대비표!O661,0)</f>
        <v>0</v>
      </c>
      <c r="F2037" s="7">
        <f t="shared" ref="F2037:F2057" si="224">TRUNC(E2037*D2037, 0)</f>
        <v>0</v>
      </c>
      <c r="G2037" s="7">
        <f>TRUNC([1]단가대비표!P661,0)</f>
        <v>0</v>
      </c>
      <c r="H2037" s="7">
        <f t="shared" ref="H2037:H2057" si="225">TRUNC(G2037*D2037, 0)</f>
        <v>0</v>
      </c>
      <c r="I2037" s="7">
        <f>TRUNC([1]단가대비표!V661,0)</f>
        <v>0</v>
      </c>
      <c r="J2037" s="7">
        <f t="shared" ref="J2037:J2057" si="226">TRUNC(I2037*D2037, 0)</f>
        <v>0</v>
      </c>
      <c r="K2037" s="7">
        <f t="shared" ref="K2037:L2057" si="227">TRUNC(E2037+G2037+I2037, 0)</f>
        <v>0</v>
      </c>
      <c r="L2037" s="7">
        <f t="shared" si="227"/>
        <v>0</v>
      </c>
      <c r="M2037" s="4" t="s">
        <v>55</v>
      </c>
      <c r="N2037" s="6" t="s">
        <v>3365</v>
      </c>
      <c r="O2037" s="6" t="s">
        <v>55</v>
      </c>
      <c r="P2037" s="6" t="s">
        <v>55</v>
      </c>
      <c r="Q2037" s="6" t="s">
        <v>3364</v>
      </c>
      <c r="R2037" s="6" t="s">
        <v>56</v>
      </c>
      <c r="S2037" s="6" t="s">
        <v>56</v>
      </c>
      <c r="T2037" s="6" t="s">
        <v>57</v>
      </c>
      <c r="AR2037" s="6" t="s">
        <v>55</v>
      </c>
      <c r="AS2037" s="6" t="s">
        <v>55</v>
      </c>
      <c r="AU2037" s="6" t="s">
        <v>3366</v>
      </c>
      <c r="AV2037">
        <v>2126</v>
      </c>
    </row>
    <row r="2038" spans="1:48" ht="30" customHeight="1" x14ac:dyDescent="0.3">
      <c r="A2038" s="4" t="s">
        <v>190</v>
      </c>
      <c r="B2038" s="4" t="s">
        <v>194</v>
      </c>
      <c r="C2038" s="4" t="s">
        <v>106</v>
      </c>
      <c r="D2038" s="5">
        <v>24.901</v>
      </c>
      <c r="E2038" s="7">
        <f>TRUNC([1]단가대비표!O662,0)</f>
        <v>0</v>
      </c>
      <c r="F2038" s="7">
        <f t="shared" si="224"/>
        <v>0</v>
      </c>
      <c r="G2038" s="7">
        <f>TRUNC([1]단가대비표!P662,0)</f>
        <v>0</v>
      </c>
      <c r="H2038" s="7">
        <f t="shared" si="225"/>
        <v>0</v>
      </c>
      <c r="I2038" s="7">
        <f>TRUNC([1]단가대비표!V662,0)</f>
        <v>0</v>
      </c>
      <c r="J2038" s="7">
        <f t="shared" si="226"/>
        <v>0</v>
      </c>
      <c r="K2038" s="7">
        <f t="shared" si="227"/>
        <v>0</v>
      </c>
      <c r="L2038" s="7">
        <f t="shared" si="227"/>
        <v>0</v>
      </c>
      <c r="M2038" s="4" t="s">
        <v>55</v>
      </c>
      <c r="N2038" s="6" t="s">
        <v>3367</v>
      </c>
      <c r="O2038" s="6" t="s">
        <v>55</v>
      </c>
      <c r="P2038" s="6" t="s">
        <v>55</v>
      </c>
      <c r="Q2038" s="6" t="s">
        <v>3364</v>
      </c>
      <c r="R2038" s="6" t="s">
        <v>56</v>
      </c>
      <c r="S2038" s="6" t="s">
        <v>56</v>
      </c>
      <c r="T2038" s="6" t="s">
        <v>57</v>
      </c>
      <c r="AR2038" s="6" t="s">
        <v>55</v>
      </c>
      <c r="AS2038" s="6" t="s">
        <v>55</v>
      </c>
      <c r="AU2038" s="6" t="s">
        <v>3368</v>
      </c>
      <c r="AV2038">
        <v>2127</v>
      </c>
    </row>
    <row r="2039" spans="1:48" ht="30" customHeight="1" x14ac:dyDescent="0.3">
      <c r="A2039" s="4" t="s">
        <v>190</v>
      </c>
      <c r="B2039" s="4" t="s">
        <v>197</v>
      </c>
      <c r="C2039" s="4" t="s">
        <v>106</v>
      </c>
      <c r="D2039" s="5">
        <v>1.2330000000000001</v>
      </c>
      <c r="E2039" s="7">
        <f>TRUNC([1]단가대비표!O663,0)</f>
        <v>0</v>
      </c>
      <c r="F2039" s="7">
        <f t="shared" si="224"/>
        <v>0</v>
      </c>
      <c r="G2039" s="7">
        <f>TRUNC([1]단가대비표!P663,0)</f>
        <v>0</v>
      </c>
      <c r="H2039" s="7">
        <f t="shared" si="225"/>
        <v>0</v>
      </c>
      <c r="I2039" s="7">
        <f>TRUNC([1]단가대비표!V663,0)</f>
        <v>0</v>
      </c>
      <c r="J2039" s="7">
        <f t="shared" si="226"/>
        <v>0</v>
      </c>
      <c r="K2039" s="7">
        <f t="shared" si="227"/>
        <v>0</v>
      </c>
      <c r="L2039" s="7">
        <f t="shared" si="227"/>
        <v>0</v>
      </c>
      <c r="M2039" s="4" t="s">
        <v>55</v>
      </c>
      <c r="N2039" s="6" t="s">
        <v>3369</v>
      </c>
      <c r="O2039" s="6" t="s">
        <v>55</v>
      </c>
      <c r="P2039" s="6" t="s">
        <v>55</v>
      </c>
      <c r="Q2039" s="6" t="s">
        <v>3364</v>
      </c>
      <c r="R2039" s="6" t="s">
        <v>56</v>
      </c>
      <c r="S2039" s="6" t="s">
        <v>56</v>
      </c>
      <c r="T2039" s="6" t="s">
        <v>57</v>
      </c>
      <c r="AR2039" s="6" t="s">
        <v>55</v>
      </c>
      <c r="AS2039" s="6" t="s">
        <v>55</v>
      </c>
      <c r="AU2039" s="6" t="s">
        <v>3370</v>
      </c>
      <c r="AV2039">
        <v>2128</v>
      </c>
    </row>
    <row r="2040" spans="1:48" ht="30" customHeight="1" x14ac:dyDescent="0.3">
      <c r="A2040" s="4" t="s">
        <v>190</v>
      </c>
      <c r="B2040" s="4" t="s">
        <v>203</v>
      </c>
      <c r="C2040" s="4" t="s">
        <v>106</v>
      </c>
      <c r="D2040" s="5">
        <v>53.728999999999999</v>
      </c>
      <c r="E2040" s="7">
        <f>TRUNC([1]단가대비표!O664,0)</f>
        <v>0</v>
      </c>
      <c r="F2040" s="7">
        <f t="shared" si="224"/>
        <v>0</v>
      </c>
      <c r="G2040" s="7">
        <f>TRUNC([1]단가대비표!P664,0)</f>
        <v>0</v>
      </c>
      <c r="H2040" s="7">
        <f t="shared" si="225"/>
        <v>0</v>
      </c>
      <c r="I2040" s="7">
        <f>TRUNC([1]단가대비표!V664,0)</f>
        <v>0</v>
      </c>
      <c r="J2040" s="7">
        <f t="shared" si="226"/>
        <v>0</v>
      </c>
      <c r="K2040" s="7">
        <f t="shared" si="227"/>
        <v>0</v>
      </c>
      <c r="L2040" s="7">
        <f t="shared" si="227"/>
        <v>0</v>
      </c>
      <c r="M2040" s="4" t="s">
        <v>55</v>
      </c>
      <c r="N2040" s="6" t="s">
        <v>3371</v>
      </c>
      <c r="O2040" s="6" t="s">
        <v>55</v>
      </c>
      <c r="P2040" s="6" t="s">
        <v>55</v>
      </c>
      <c r="Q2040" s="6" t="s">
        <v>3364</v>
      </c>
      <c r="R2040" s="6" t="s">
        <v>56</v>
      </c>
      <c r="S2040" s="6" t="s">
        <v>56</v>
      </c>
      <c r="T2040" s="6" t="s">
        <v>57</v>
      </c>
      <c r="AR2040" s="6" t="s">
        <v>55</v>
      </c>
      <c r="AS2040" s="6" t="s">
        <v>55</v>
      </c>
      <c r="AU2040" s="6" t="s">
        <v>3372</v>
      </c>
      <c r="AV2040">
        <v>2129</v>
      </c>
    </row>
    <row r="2041" spans="1:48" ht="30" customHeight="1" x14ac:dyDescent="0.3">
      <c r="A2041" s="4" t="s">
        <v>209</v>
      </c>
      <c r="B2041" s="4" t="s">
        <v>210</v>
      </c>
      <c r="C2041" s="4" t="s">
        <v>106</v>
      </c>
      <c r="D2041" s="5">
        <v>105.105</v>
      </c>
      <c r="E2041" s="7">
        <f>TRUNC([1]일위대가목록!E19,0)</f>
        <v>88376</v>
      </c>
      <c r="F2041" s="7">
        <f t="shared" si="224"/>
        <v>9288759</v>
      </c>
      <c r="G2041" s="7">
        <f>TRUNC([1]일위대가목록!F19,0)</f>
        <v>542881</v>
      </c>
      <c r="H2041" s="7">
        <f t="shared" si="225"/>
        <v>57059507</v>
      </c>
      <c r="I2041" s="7">
        <f>TRUNC([1]일위대가목록!G19,0)</f>
        <v>0</v>
      </c>
      <c r="J2041" s="7">
        <f t="shared" si="226"/>
        <v>0</v>
      </c>
      <c r="K2041" s="7">
        <f t="shared" si="227"/>
        <v>631257</v>
      </c>
      <c r="L2041" s="7">
        <f t="shared" si="227"/>
        <v>66348266</v>
      </c>
      <c r="M2041" s="4" t="s">
        <v>211</v>
      </c>
      <c r="N2041" s="6" t="s">
        <v>212</v>
      </c>
      <c r="O2041" s="6" t="s">
        <v>55</v>
      </c>
      <c r="P2041" s="6" t="s">
        <v>55</v>
      </c>
      <c r="Q2041" s="6" t="s">
        <v>3364</v>
      </c>
      <c r="R2041" s="6" t="s">
        <v>57</v>
      </c>
      <c r="S2041" s="6" t="s">
        <v>56</v>
      </c>
      <c r="T2041" s="6" t="s">
        <v>56</v>
      </c>
      <c r="AR2041" s="6" t="s">
        <v>55</v>
      </c>
      <c r="AS2041" s="6" t="s">
        <v>55</v>
      </c>
      <c r="AU2041" s="6" t="s">
        <v>3373</v>
      </c>
      <c r="AV2041">
        <v>2922</v>
      </c>
    </row>
    <row r="2042" spans="1:48" ht="30" customHeight="1" x14ac:dyDescent="0.3">
      <c r="A2042" s="4" t="s">
        <v>214</v>
      </c>
      <c r="B2042" s="4" t="s">
        <v>215</v>
      </c>
      <c r="C2042" s="4" t="s">
        <v>106</v>
      </c>
      <c r="D2042" s="5">
        <v>105.105</v>
      </c>
      <c r="E2042" s="7">
        <f>TRUNC([1]단가대비표!O799,0)</f>
        <v>9000</v>
      </c>
      <c r="F2042" s="7">
        <f t="shared" si="224"/>
        <v>945945</v>
      </c>
      <c r="G2042" s="7">
        <f>TRUNC([1]단가대비표!P799,0)</f>
        <v>0</v>
      </c>
      <c r="H2042" s="7">
        <f t="shared" si="225"/>
        <v>0</v>
      </c>
      <c r="I2042" s="7">
        <f>TRUNC([1]단가대비표!V799,0)</f>
        <v>0</v>
      </c>
      <c r="J2042" s="7">
        <f t="shared" si="226"/>
        <v>0</v>
      </c>
      <c r="K2042" s="7">
        <f t="shared" si="227"/>
        <v>9000</v>
      </c>
      <c r="L2042" s="7">
        <f t="shared" si="227"/>
        <v>945945</v>
      </c>
      <c r="M2042" s="4" t="s">
        <v>55</v>
      </c>
      <c r="N2042" s="6" t="s">
        <v>216</v>
      </c>
      <c r="O2042" s="6" t="s">
        <v>55</v>
      </c>
      <c r="P2042" s="6" t="s">
        <v>55</v>
      </c>
      <c r="Q2042" s="6" t="s">
        <v>3364</v>
      </c>
      <c r="R2042" s="6" t="s">
        <v>56</v>
      </c>
      <c r="S2042" s="6" t="s">
        <v>56</v>
      </c>
      <c r="T2042" s="6" t="s">
        <v>57</v>
      </c>
      <c r="AR2042" s="6" t="s">
        <v>55</v>
      </c>
      <c r="AS2042" s="6" t="s">
        <v>55</v>
      </c>
      <c r="AU2042" s="6" t="s">
        <v>3374</v>
      </c>
      <c r="AV2042">
        <v>3189</v>
      </c>
    </row>
    <row r="2043" spans="1:48" ht="30" customHeight="1" x14ac:dyDescent="0.3">
      <c r="A2043" s="4" t="s">
        <v>218</v>
      </c>
      <c r="B2043" s="4" t="s">
        <v>215</v>
      </c>
      <c r="C2043" s="4" t="s">
        <v>106</v>
      </c>
      <c r="D2043" s="5">
        <v>105.105</v>
      </c>
      <c r="E2043" s="7">
        <f>TRUNC([1]단가대비표!O800,0)</f>
        <v>0</v>
      </c>
      <c r="F2043" s="7">
        <f t="shared" si="224"/>
        <v>0</v>
      </c>
      <c r="G2043" s="7">
        <f>TRUNC([1]단가대비표!P800,0)</f>
        <v>9730</v>
      </c>
      <c r="H2043" s="7">
        <f t="shared" si="225"/>
        <v>1022671</v>
      </c>
      <c r="I2043" s="7">
        <f>TRUNC([1]단가대비표!V800,0)</f>
        <v>2258</v>
      </c>
      <c r="J2043" s="7">
        <f t="shared" si="226"/>
        <v>237327</v>
      </c>
      <c r="K2043" s="7">
        <f t="shared" si="227"/>
        <v>11988</v>
      </c>
      <c r="L2043" s="7">
        <f t="shared" si="227"/>
        <v>1259998</v>
      </c>
      <c r="M2043" s="4" t="s">
        <v>55</v>
      </c>
      <c r="N2043" s="6" t="s">
        <v>219</v>
      </c>
      <c r="O2043" s="6" t="s">
        <v>55</v>
      </c>
      <c r="P2043" s="6" t="s">
        <v>55</v>
      </c>
      <c r="Q2043" s="6" t="s">
        <v>3364</v>
      </c>
      <c r="R2043" s="6" t="s">
        <v>56</v>
      </c>
      <c r="S2043" s="6" t="s">
        <v>56</v>
      </c>
      <c r="T2043" s="6" t="s">
        <v>57</v>
      </c>
      <c r="AR2043" s="6" t="s">
        <v>55</v>
      </c>
      <c r="AS2043" s="6" t="s">
        <v>55</v>
      </c>
      <c r="AU2043" s="6" t="s">
        <v>3375</v>
      </c>
      <c r="AV2043">
        <v>3190</v>
      </c>
    </row>
    <row r="2044" spans="1:48" ht="30" customHeight="1" x14ac:dyDescent="0.3">
      <c r="A2044" s="4" t="s">
        <v>221</v>
      </c>
      <c r="B2044" s="4" t="s">
        <v>222</v>
      </c>
      <c r="C2044" s="4" t="s">
        <v>223</v>
      </c>
      <c r="D2044" s="5">
        <v>18</v>
      </c>
      <c r="E2044" s="7">
        <f>TRUNC([1]단가대비표!O665,0)</f>
        <v>0</v>
      </c>
      <c r="F2044" s="7">
        <f t="shared" si="224"/>
        <v>0</v>
      </c>
      <c r="G2044" s="7">
        <f>TRUNC([1]단가대비표!P665,0)</f>
        <v>0</v>
      </c>
      <c r="H2044" s="7">
        <f t="shared" si="225"/>
        <v>0</v>
      </c>
      <c r="I2044" s="7">
        <f>TRUNC([1]단가대비표!V665,0)</f>
        <v>0</v>
      </c>
      <c r="J2044" s="7">
        <f t="shared" si="226"/>
        <v>0</v>
      </c>
      <c r="K2044" s="7">
        <f t="shared" si="227"/>
        <v>0</v>
      </c>
      <c r="L2044" s="7">
        <f t="shared" si="227"/>
        <v>0</v>
      </c>
      <c r="M2044" s="4" t="s">
        <v>55</v>
      </c>
      <c r="N2044" s="6" t="s">
        <v>3376</v>
      </c>
      <c r="O2044" s="6" t="s">
        <v>55</v>
      </c>
      <c r="P2044" s="6" t="s">
        <v>55</v>
      </c>
      <c r="Q2044" s="6" t="s">
        <v>3364</v>
      </c>
      <c r="R2044" s="6" t="s">
        <v>56</v>
      </c>
      <c r="S2044" s="6" t="s">
        <v>56</v>
      </c>
      <c r="T2044" s="6" t="s">
        <v>57</v>
      </c>
      <c r="AR2044" s="6" t="s">
        <v>55</v>
      </c>
      <c r="AS2044" s="6" t="s">
        <v>55</v>
      </c>
      <c r="AU2044" s="6" t="s">
        <v>3377</v>
      </c>
      <c r="AV2044">
        <v>2130</v>
      </c>
    </row>
    <row r="2045" spans="1:48" ht="30" customHeight="1" x14ac:dyDescent="0.3">
      <c r="A2045" s="4" t="s">
        <v>221</v>
      </c>
      <c r="B2045" s="4" t="s">
        <v>226</v>
      </c>
      <c r="C2045" s="4" t="s">
        <v>223</v>
      </c>
      <c r="D2045" s="5">
        <v>60</v>
      </c>
      <c r="E2045" s="7">
        <f>TRUNC([1]단가대비표!O666,0)</f>
        <v>0</v>
      </c>
      <c r="F2045" s="7">
        <f t="shared" si="224"/>
        <v>0</v>
      </c>
      <c r="G2045" s="7">
        <f>TRUNC([1]단가대비표!P666,0)</f>
        <v>0</v>
      </c>
      <c r="H2045" s="7">
        <f t="shared" si="225"/>
        <v>0</v>
      </c>
      <c r="I2045" s="7">
        <f>TRUNC([1]단가대비표!V666,0)</f>
        <v>0</v>
      </c>
      <c r="J2045" s="7">
        <f t="shared" si="226"/>
        <v>0</v>
      </c>
      <c r="K2045" s="7">
        <f t="shared" si="227"/>
        <v>0</v>
      </c>
      <c r="L2045" s="7">
        <f t="shared" si="227"/>
        <v>0</v>
      </c>
      <c r="M2045" s="4" t="s">
        <v>55</v>
      </c>
      <c r="N2045" s="6" t="s">
        <v>3378</v>
      </c>
      <c r="O2045" s="6" t="s">
        <v>55</v>
      </c>
      <c r="P2045" s="6" t="s">
        <v>55</v>
      </c>
      <c r="Q2045" s="6" t="s">
        <v>3364</v>
      </c>
      <c r="R2045" s="6" t="s">
        <v>56</v>
      </c>
      <c r="S2045" s="6" t="s">
        <v>56</v>
      </c>
      <c r="T2045" s="6" t="s">
        <v>57</v>
      </c>
      <c r="AR2045" s="6" t="s">
        <v>55</v>
      </c>
      <c r="AS2045" s="6" t="s">
        <v>55</v>
      </c>
      <c r="AU2045" s="6" t="s">
        <v>3379</v>
      </c>
      <c r="AV2045">
        <v>2131</v>
      </c>
    </row>
    <row r="2046" spans="1:48" ht="30" customHeight="1" x14ac:dyDescent="0.3">
      <c r="A2046" s="4" t="s">
        <v>221</v>
      </c>
      <c r="B2046" s="4" t="s">
        <v>229</v>
      </c>
      <c r="C2046" s="4" t="s">
        <v>223</v>
      </c>
      <c r="D2046" s="5">
        <v>894</v>
      </c>
      <c r="E2046" s="7">
        <f>TRUNC([1]단가대비표!O667,0)</f>
        <v>0</v>
      </c>
      <c r="F2046" s="7">
        <f t="shared" si="224"/>
        <v>0</v>
      </c>
      <c r="G2046" s="7">
        <f>TRUNC([1]단가대비표!P667,0)</f>
        <v>0</v>
      </c>
      <c r="H2046" s="7">
        <f t="shared" si="225"/>
        <v>0</v>
      </c>
      <c r="I2046" s="7">
        <f>TRUNC([1]단가대비표!V667,0)</f>
        <v>0</v>
      </c>
      <c r="J2046" s="7">
        <f t="shared" si="226"/>
        <v>0</v>
      </c>
      <c r="K2046" s="7">
        <f t="shared" si="227"/>
        <v>0</v>
      </c>
      <c r="L2046" s="7">
        <f t="shared" si="227"/>
        <v>0</v>
      </c>
      <c r="M2046" s="4" t="s">
        <v>55</v>
      </c>
      <c r="N2046" s="6" t="s">
        <v>3380</v>
      </c>
      <c r="O2046" s="6" t="s">
        <v>55</v>
      </c>
      <c r="P2046" s="6" t="s">
        <v>55</v>
      </c>
      <c r="Q2046" s="6" t="s">
        <v>3364</v>
      </c>
      <c r="R2046" s="6" t="s">
        <v>56</v>
      </c>
      <c r="S2046" s="6" t="s">
        <v>56</v>
      </c>
      <c r="T2046" s="6" t="s">
        <v>57</v>
      </c>
      <c r="AR2046" s="6" t="s">
        <v>55</v>
      </c>
      <c r="AS2046" s="6" t="s">
        <v>55</v>
      </c>
      <c r="AU2046" s="6" t="s">
        <v>3381</v>
      </c>
      <c r="AV2046">
        <v>2133</v>
      </c>
    </row>
    <row r="2047" spans="1:48" ht="30" customHeight="1" x14ac:dyDescent="0.3">
      <c r="A2047" s="4" t="s">
        <v>232</v>
      </c>
      <c r="B2047" s="4" t="s">
        <v>233</v>
      </c>
      <c r="C2047" s="4" t="s">
        <v>223</v>
      </c>
      <c r="D2047" s="5">
        <v>76</v>
      </c>
      <c r="E2047" s="7">
        <f>TRUNC([1]일위대가목록!E20,0)</f>
        <v>1610</v>
      </c>
      <c r="F2047" s="7">
        <f t="shared" si="224"/>
        <v>122360</v>
      </c>
      <c r="G2047" s="7">
        <f>TRUNC([1]일위대가목록!F20,0)</f>
        <v>10379</v>
      </c>
      <c r="H2047" s="7">
        <f t="shared" si="225"/>
        <v>788804</v>
      </c>
      <c r="I2047" s="7">
        <f>TRUNC([1]일위대가목록!G20,0)</f>
        <v>3347</v>
      </c>
      <c r="J2047" s="7">
        <f t="shared" si="226"/>
        <v>254372</v>
      </c>
      <c r="K2047" s="7">
        <f t="shared" si="227"/>
        <v>15336</v>
      </c>
      <c r="L2047" s="7">
        <f t="shared" si="227"/>
        <v>1165536</v>
      </c>
      <c r="M2047" s="4" t="s">
        <v>234</v>
      </c>
      <c r="N2047" s="6" t="s">
        <v>235</v>
      </c>
      <c r="O2047" s="6" t="s">
        <v>55</v>
      </c>
      <c r="P2047" s="6" t="s">
        <v>55</v>
      </c>
      <c r="Q2047" s="6" t="s">
        <v>3364</v>
      </c>
      <c r="R2047" s="6" t="s">
        <v>57</v>
      </c>
      <c r="S2047" s="6" t="s">
        <v>56</v>
      </c>
      <c r="T2047" s="6" t="s">
        <v>56</v>
      </c>
      <c r="AR2047" s="6" t="s">
        <v>55</v>
      </c>
      <c r="AS2047" s="6" t="s">
        <v>55</v>
      </c>
      <c r="AU2047" s="6" t="s">
        <v>3382</v>
      </c>
      <c r="AV2047">
        <v>2765</v>
      </c>
    </row>
    <row r="2048" spans="1:48" ht="30" customHeight="1" x14ac:dyDescent="0.3">
      <c r="A2048" s="4" t="s">
        <v>237</v>
      </c>
      <c r="B2048" s="4" t="s">
        <v>238</v>
      </c>
      <c r="C2048" s="4" t="s">
        <v>223</v>
      </c>
      <c r="D2048" s="5">
        <v>885</v>
      </c>
      <c r="E2048" s="7">
        <f>TRUNC([1]일위대가목록!E21,0)</f>
        <v>1638</v>
      </c>
      <c r="F2048" s="7">
        <f t="shared" si="224"/>
        <v>1449630</v>
      </c>
      <c r="G2048" s="7">
        <f>TRUNC([1]일위대가목록!F21,0)</f>
        <v>11011</v>
      </c>
      <c r="H2048" s="7">
        <f t="shared" si="225"/>
        <v>9744735</v>
      </c>
      <c r="I2048" s="7">
        <f>TRUNC([1]일위대가목록!G21,0)</f>
        <v>3385</v>
      </c>
      <c r="J2048" s="7">
        <f t="shared" si="226"/>
        <v>2995725</v>
      </c>
      <c r="K2048" s="7">
        <f t="shared" si="227"/>
        <v>16034</v>
      </c>
      <c r="L2048" s="7">
        <f t="shared" si="227"/>
        <v>14190090</v>
      </c>
      <c r="M2048" s="4" t="s">
        <v>239</v>
      </c>
      <c r="N2048" s="6" t="s">
        <v>240</v>
      </c>
      <c r="O2048" s="6" t="s">
        <v>55</v>
      </c>
      <c r="P2048" s="6" t="s">
        <v>55</v>
      </c>
      <c r="Q2048" s="6" t="s">
        <v>3364</v>
      </c>
      <c r="R2048" s="6" t="s">
        <v>57</v>
      </c>
      <c r="S2048" s="6" t="s">
        <v>56</v>
      </c>
      <c r="T2048" s="6" t="s">
        <v>56</v>
      </c>
      <c r="AR2048" s="6" t="s">
        <v>55</v>
      </c>
      <c r="AS2048" s="6" t="s">
        <v>55</v>
      </c>
      <c r="AU2048" s="6" t="s">
        <v>3383</v>
      </c>
      <c r="AV2048">
        <v>2766</v>
      </c>
    </row>
    <row r="2049" spans="1:48" ht="30" customHeight="1" x14ac:dyDescent="0.3">
      <c r="A2049" s="4" t="s">
        <v>242</v>
      </c>
      <c r="B2049" s="4" t="s">
        <v>55</v>
      </c>
      <c r="C2049" s="4" t="s">
        <v>223</v>
      </c>
      <c r="D2049" s="5">
        <v>27</v>
      </c>
      <c r="E2049" s="7">
        <f>TRUNC([1]단가대비표!O88,0)</f>
        <v>7000</v>
      </c>
      <c r="F2049" s="7">
        <f t="shared" si="224"/>
        <v>189000</v>
      </c>
      <c r="G2049" s="7">
        <f>TRUNC([1]단가대비표!P88,0)</f>
        <v>0</v>
      </c>
      <c r="H2049" s="7">
        <f t="shared" si="225"/>
        <v>0</v>
      </c>
      <c r="I2049" s="7">
        <f>TRUNC([1]단가대비표!V88,0)</f>
        <v>0</v>
      </c>
      <c r="J2049" s="7">
        <f t="shared" si="226"/>
        <v>0</v>
      </c>
      <c r="K2049" s="7">
        <f t="shared" si="227"/>
        <v>7000</v>
      </c>
      <c r="L2049" s="7">
        <f t="shared" si="227"/>
        <v>189000</v>
      </c>
      <c r="M2049" s="4" t="s">
        <v>55</v>
      </c>
      <c r="N2049" s="6" t="s">
        <v>2326</v>
      </c>
      <c r="O2049" s="6" t="s">
        <v>55</v>
      </c>
      <c r="P2049" s="6" t="s">
        <v>55</v>
      </c>
      <c r="Q2049" s="6" t="s">
        <v>3364</v>
      </c>
      <c r="R2049" s="6" t="s">
        <v>56</v>
      </c>
      <c r="S2049" s="6" t="s">
        <v>56</v>
      </c>
      <c r="T2049" s="6" t="s">
        <v>57</v>
      </c>
      <c r="AR2049" s="6" t="s">
        <v>55</v>
      </c>
      <c r="AS2049" s="6" t="s">
        <v>55</v>
      </c>
      <c r="AU2049" s="6" t="s">
        <v>3384</v>
      </c>
      <c r="AV2049">
        <v>1023</v>
      </c>
    </row>
    <row r="2050" spans="1:48" ht="30" customHeight="1" x14ac:dyDescent="0.3">
      <c r="A2050" s="4" t="s">
        <v>249</v>
      </c>
      <c r="B2050" s="4" t="s">
        <v>250</v>
      </c>
      <c r="C2050" s="4" t="s">
        <v>61</v>
      </c>
      <c r="D2050" s="5">
        <v>1182</v>
      </c>
      <c r="E2050" s="7">
        <f>TRUNC([1]일위대가목록!E22,0)</f>
        <v>18262</v>
      </c>
      <c r="F2050" s="7">
        <f t="shared" si="224"/>
        <v>21585684</v>
      </c>
      <c r="G2050" s="7">
        <f>TRUNC([1]일위대가목록!F22,0)</f>
        <v>37076</v>
      </c>
      <c r="H2050" s="7">
        <f t="shared" si="225"/>
        <v>43823832</v>
      </c>
      <c r="I2050" s="7">
        <f>TRUNC([1]일위대가목록!G22,0)</f>
        <v>0</v>
      </c>
      <c r="J2050" s="7">
        <f t="shared" si="226"/>
        <v>0</v>
      </c>
      <c r="K2050" s="7">
        <f t="shared" si="227"/>
        <v>55338</v>
      </c>
      <c r="L2050" s="7">
        <f t="shared" si="227"/>
        <v>65409516</v>
      </c>
      <c r="M2050" s="4" t="s">
        <v>251</v>
      </c>
      <c r="N2050" s="6" t="s">
        <v>252</v>
      </c>
      <c r="O2050" s="6" t="s">
        <v>55</v>
      </c>
      <c r="P2050" s="6" t="s">
        <v>55</v>
      </c>
      <c r="Q2050" s="6" t="s">
        <v>3364</v>
      </c>
      <c r="R2050" s="6" t="s">
        <v>57</v>
      </c>
      <c r="S2050" s="6" t="s">
        <v>56</v>
      </c>
      <c r="T2050" s="6" t="s">
        <v>56</v>
      </c>
      <c r="AR2050" s="6" t="s">
        <v>55</v>
      </c>
      <c r="AS2050" s="6" t="s">
        <v>55</v>
      </c>
      <c r="AU2050" s="6" t="s">
        <v>3385</v>
      </c>
      <c r="AV2050">
        <v>2767</v>
      </c>
    </row>
    <row r="2051" spans="1:48" ht="30" customHeight="1" x14ac:dyDescent="0.3">
      <c r="A2051" s="4" t="s">
        <v>249</v>
      </c>
      <c r="B2051" s="4" t="s">
        <v>254</v>
      </c>
      <c r="C2051" s="4" t="s">
        <v>61</v>
      </c>
      <c r="D2051" s="5">
        <v>102</v>
      </c>
      <c r="E2051" s="7">
        <f>TRUNC([1]일위대가목록!E23,0)</f>
        <v>18262</v>
      </c>
      <c r="F2051" s="7">
        <f t="shared" si="224"/>
        <v>1862724</v>
      </c>
      <c r="G2051" s="7">
        <f>TRUNC([1]일위대가목록!F23,0)</f>
        <v>37076</v>
      </c>
      <c r="H2051" s="7">
        <f t="shared" si="225"/>
        <v>3781752</v>
      </c>
      <c r="I2051" s="7">
        <f>TRUNC([1]일위대가목록!G23,0)</f>
        <v>0</v>
      </c>
      <c r="J2051" s="7">
        <f t="shared" si="226"/>
        <v>0</v>
      </c>
      <c r="K2051" s="7">
        <f t="shared" si="227"/>
        <v>55338</v>
      </c>
      <c r="L2051" s="7">
        <f t="shared" si="227"/>
        <v>5644476</v>
      </c>
      <c r="M2051" s="4" t="s">
        <v>255</v>
      </c>
      <c r="N2051" s="6" t="s">
        <v>256</v>
      </c>
      <c r="O2051" s="6" t="s">
        <v>55</v>
      </c>
      <c r="P2051" s="6" t="s">
        <v>55</v>
      </c>
      <c r="Q2051" s="6" t="s">
        <v>3364</v>
      </c>
      <c r="R2051" s="6" t="s">
        <v>57</v>
      </c>
      <c r="S2051" s="6" t="s">
        <v>56</v>
      </c>
      <c r="T2051" s="6" t="s">
        <v>56</v>
      </c>
      <c r="AR2051" s="6" t="s">
        <v>55</v>
      </c>
      <c r="AS2051" s="6" t="s">
        <v>55</v>
      </c>
      <c r="AU2051" s="6" t="s">
        <v>3386</v>
      </c>
      <c r="AV2051">
        <v>2768</v>
      </c>
    </row>
    <row r="2052" spans="1:48" ht="30" customHeight="1" x14ac:dyDescent="0.3">
      <c r="A2052" s="4" t="s">
        <v>249</v>
      </c>
      <c r="B2052" s="4" t="s">
        <v>258</v>
      </c>
      <c r="C2052" s="4" t="s">
        <v>61</v>
      </c>
      <c r="D2052" s="5">
        <v>232</v>
      </c>
      <c r="E2052" s="7">
        <f>TRUNC([1]일위대가목록!E24,0)</f>
        <v>14961</v>
      </c>
      <c r="F2052" s="7">
        <f t="shared" si="224"/>
        <v>3470952</v>
      </c>
      <c r="G2052" s="7">
        <f>TRUNC([1]일위대가목록!F24,0)</f>
        <v>25472</v>
      </c>
      <c r="H2052" s="7">
        <f t="shared" si="225"/>
        <v>5909504</v>
      </c>
      <c r="I2052" s="7">
        <f>TRUNC([1]일위대가목록!G24,0)</f>
        <v>0</v>
      </c>
      <c r="J2052" s="7">
        <f t="shared" si="226"/>
        <v>0</v>
      </c>
      <c r="K2052" s="7">
        <f t="shared" si="227"/>
        <v>40433</v>
      </c>
      <c r="L2052" s="7">
        <f t="shared" si="227"/>
        <v>9380456</v>
      </c>
      <c r="M2052" s="4" t="s">
        <v>259</v>
      </c>
      <c r="N2052" s="6" t="s">
        <v>260</v>
      </c>
      <c r="O2052" s="6" t="s">
        <v>55</v>
      </c>
      <c r="P2052" s="6" t="s">
        <v>55</v>
      </c>
      <c r="Q2052" s="6" t="s">
        <v>3364</v>
      </c>
      <c r="R2052" s="6" t="s">
        <v>57</v>
      </c>
      <c r="S2052" s="6" t="s">
        <v>56</v>
      </c>
      <c r="T2052" s="6" t="s">
        <v>56</v>
      </c>
      <c r="AR2052" s="6" t="s">
        <v>55</v>
      </c>
      <c r="AS2052" s="6" t="s">
        <v>55</v>
      </c>
      <c r="AU2052" s="6" t="s">
        <v>3387</v>
      </c>
      <c r="AV2052">
        <v>2769</v>
      </c>
    </row>
    <row r="2053" spans="1:48" ht="30" customHeight="1" x14ac:dyDescent="0.3">
      <c r="A2053" s="4" t="s">
        <v>262</v>
      </c>
      <c r="B2053" s="4" t="s">
        <v>263</v>
      </c>
      <c r="C2053" s="4" t="s">
        <v>61</v>
      </c>
      <c r="D2053" s="5">
        <v>3882</v>
      </c>
      <c r="E2053" s="7">
        <f>TRUNC([1]일위대가목록!E25,0)</f>
        <v>5626</v>
      </c>
      <c r="F2053" s="7">
        <f t="shared" si="224"/>
        <v>21840132</v>
      </c>
      <c r="G2053" s="7">
        <f>TRUNC([1]일위대가목록!F25,0)</f>
        <v>29534</v>
      </c>
      <c r="H2053" s="7">
        <f t="shared" si="225"/>
        <v>114650988</v>
      </c>
      <c r="I2053" s="7">
        <f>TRUNC([1]일위대가목록!G25,0)</f>
        <v>0</v>
      </c>
      <c r="J2053" s="7">
        <f t="shared" si="226"/>
        <v>0</v>
      </c>
      <c r="K2053" s="7">
        <f t="shared" si="227"/>
        <v>35160</v>
      </c>
      <c r="L2053" s="7">
        <f t="shared" si="227"/>
        <v>136491120</v>
      </c>
      <c r="M2053" s="4" t="s">
        <v>264</v>
      </c>
      <c r="N2053" s="6" t="s">
        <v>265</v>
      </c>
      <c r="O2053" s="6" t="s">
        <v>55</v>
      </c>
      <c r="P2053" s="6" t="s">
        <v>55</v>
      </c>
      <c r="Q2053" s="6" t="s">
        <v>3364</v>
      </c>
      <c r="R2053" s="6" t="s">
        <v>57</v>
      </c>
      <c r="S2053" s="6" t="s">
        <v>56</v>
      </c>
      <c r="T2053" s="6" t="s">
        <v>56</v>
      </c>
      <c r="AR2053" s="6" t="s">
        <v>55</v>
      </c>
      <c r="AS2053" s="6" t="s">
        <v>55</v>
      </c>
      <c r="AU2053" s="6" t="s">
        <v>3388</v>
      </c>
      <c r="AV2053">
        <v>2770</v>
      </c>
    </row>
    <row r="2054" spans="1:48" ht="30" customHeight="1" x14ac:dyDescent="0.3">
      <c r="A2054" s="4" t="s">
        <v>55</v>
      </c>
      <c r="B2054" s="4" t="s">
        <v>55</v>
      </c>
      <c r="C2054" s="4" t="s">
        <v>55</v>
      </c>
      <c r="D2054" s="5"/>
      <c r="E2054" s="7">
        <f>TRUNC([1]단가대비표!O854,0)</f>
        <v>0</v>
      </c>
      <c r="F2054" s="7">
        <f t="shared" si="224"/>
        <v>0</v>
      </c>
      <c r="G2054" s="7">
        <f>TRUNC([1]단가대비표!P854,0)</f>
        <v>0</v>
      </c>
      <c r="H2054" s="7">
        <f t="shared" si="225"/>
        <v>0</v>
      </c>
      <c r="I2054" s="7">
        <f>TRUNC([1]단가대비표!V854,0)</f>
        <v>0</v>
      </c>
      <c r="J2054" s="7">
        <f t="shared" si="226"/>
        <v>0</v>
      </c>
      <c r="K2054" s="7">
        <f t="shared" si="227"/>
        <v>0</v>
      </c>
      <c r="L2054" s="7">
        <f t="shared" si="227"/>
        <v>0</v>
      </c>
      <c r="M2054" s="4" t="s">
        <v>55</v>
      </c>
      <c r="N2054" s="6" t="s">
        <v>3389</v>
      </c>
      <c r="O2054" s="6" t="s">
        <v>55</v>
      </c>
      <c r="P2054" s="6" t="s">
        <v>55</v>
      </c>
      <c r="Q2054" s="6" t="s">
        <v>3364</v>
      </c>
      <c r="R2054" s="6" t="s">
        <v>56</v>
      </c>
      <c r="S2054" s="6" t="s">
        <v>56</v>
      </c>
      <c r="T2054" s="6" t="s">
        <v>57</v>
      </c>
      <c r="AR2054" s="6" t="s">
        <v>55</v>
      </c>
      <c r="AS2054" s="6" t="s">
        <v>55</v>
      </c>
      <c r="AU2054" s="6" t="s">
        <v>3390</v>
      </c>
      <c r="AV2054">
        <v>3191</v>
      </c>
    </row>
    <row r="2055" spans="1:48" ht="30" customHeight="1" x14ac:dyDescent="0.3">
      <c r="A2055" s="4" t="s">
        <v>3114</v>
      </c>
      <c r="B2055" s="4" t="s">
        <v>55</v>
      </c>
      <c r="C2055" s="4" t="s">
        <v>55</v>
      </c>
      <c r="D2055" s="5"/>
      <c r="E2055" s="7">
        <f>TRUNC([1]단가대비표!O855,0)</f>
        <v>0</v>
      </c>
      <c r="F2055" s="7">
        <f t="shared" si="224"/>
        <v>0</v>
      </c>
      <c r="G2055" s="7">
        <f>TRUNC([1]단가대비표!P855,0)</f>
        <v>0</v>
      </c>
      <c r="H2055" s="7">
        <f t="shared" si="225"/>
        <v>0</v>
      </c>
      <c r="I2055" s="7">
        <f>TRUNC([1]단가대비표!V855,0)</f>
        <v>0</v>
      </c>
      <c r="J2055" s="7">
        <f t="shared" si="226"/>
        <v>0</v>
      </c>
      <c r="K2055" s="7">
        <f t="shared" si="227"/>
        <v>0</v>
      </c>
      <c r="L2055" s="7">
        <f t="shared" si="227"/>
        <v>0</v>
      </c>
      <c r="M2055" s="4" t="s">
        <v>55</v>
      </c>
      <c r="N2055" s="6" t="s">
        <v>3391</v>
      </c>
      <c r="O2055" s="6" t="s">
        <v>55</v>
      </c>
      <c r="P2055" s="6" t="s">
        <v>55</v>
      </c>
      <c r="Q2055" s="6" t="s">
        <v>3364</v>
      </c>
      <c r="R2055" s="6" t="s">
        <v>56</v>
      </c>
      <c r="S2055" s="6" t="s">
        <v>56</v>
      </c>
      <c r="T2055" s="6" t="s">
        <v>57</v>
      </c>
      <c r="AR2055" s="6" t="s">
        <v>55</v>
      </c>
      <c r="AS2055" s="6" t="s">
        <v>55</v>
      </c>
      <c r="AU2055" s="6" t="s">
        <v>3392</v>
      </c>
      <c r="AV2055">
        <v>3192</v>
      </c>
    </row>
    <row r="2056" spans="1:48" ht="30" customHeight="1" x14ac:dyDescent="0.3">
      <c r="A2056" s="4" t="s">
        <v>314</v>
      </c>
      <c r="B2056" s="4" t="s">
        <v>319</v>
      </c>
      <c r="C2056" s="4" t="s">
        <v>140</v>
      </c>
      <c r="D2056" s="5">
        <v>91</v>
      </c>
      <c r="E2056" s="7">
        <f>TRUNC([1]단가대비표!O481,0)</f>
        <v>0</v>
      </c>
      <c r="F2056" s="7">
        <f t="shared" si="224"/>
        <v>0</v>
      </c>
      <c r="G2056" s="7">
        <f>TRUNC([1]단가대비표!P481,0)</f>
        <v>0</v>
      </c>
      <c r="H2056" s="7">
        <f t="shared" si="225"/>
        <v>0</v>
      </c>
      <c r="I2056" s="7">
        <f>TRUNC([1]단가대비표!V481,0)</f>
        <v>0</v>
      </c>
      <c r="J2056" s="7">
        <f t="shared" si="226"/>
        <v>0</v>
      </c>
      <c r="K2056" s="7">
        <f t="shared" si="227"/>
        <v>0</v>
      </c>
      <c r="L2056" s="7">
        <f t="shared" si="227"/>
        <v>0</v>
      </c>
      <c r="M2056" s="4" t="s">
        <v>320</v>
      </c>
      <c r="N2056" s="6" t="s">
        <v>3393</v>
      </c>
      <c r="O2056" s="6" t="s">
        <v>55</v>
      </c>
      <c r="P2056" s="6" t="s">
        <v>55</v>
      </c>
      <c r="Q2056" s="6" t="s">
        <v>3364</v>
      </c>
      <c r="R2056" s="6" t="s">
        <v>56</v>
      </c>
      <c r="S2056" s="6" t="s">
        <v>56</v>
      </c>
      <c r="T2056" s="6" t="s">
        <v>57</v>
      </c>
      <c r="AR2056" s="6" t="s">
        <v>55</v>
      </c>
      <c r="AS2056" s="6" t="s">
        <v>55</v>
      </c>
      <c r="AU2056" s="6" t="s">
        <v>3394</v>
      </c>
      <c r="AV2056">
        <v>1671</v>
      </c>
    </row>
    <row r="2057" spans="1:48" ht="30" customHeight="1" x14ac:dyDescent="0.3">
      <c r="A2057" s="4" t="s">
        <v>327</v>
      </c>
      <c r="B2057" s="4" t="s">
        <v>328</v>
      </c>
      <c r="C2057" s="4" t="s">
        <v>61</v>
      </c>
      <c r="D2057" s="5">
        <v>91</v>
      </c>
      <c r="E2057" s="7">
        <f>TRUNC([1]단가대비표!O898,0)</f>
        <v>8000</v>
      </c>
      <c r="F2057" s="7">
        <f t="shared" si="224"/>
        <v>728000</v>
      </c>
      <c r="G2057" s="7">
        <f>TRUNC([1]단가대비표!P898,0)</f>
        <v>0</v>
      </c>
      <c r="H2057" s="7">
        <f t="shared" si="225"/>
        <v>0</v>
      </c>
      <c r="I2057" s="7">
        <f>TRUNC([1]단가대비표!V898,0)</f>
        <v>0</v>
      </c>
      <c r="J2057" s="7">
        <f t="shared" si="226"/>
        <v>0</v>
      </c>
      <c r="K2057" s="7">
        <f t="shared" si="227"/>
        <v>8000</v>
      </c>
      <c r="L2057" s="7">
        <f t="shared" si="227"/>
        <v>728000</v>
      </c>
      <c r="M2057" s="4" t="s">
        <v>115</v>
      </c>
      <c r="N2057" s="6" t="s">
        <v>329</v>
      </c>
      <c r="O2057" s="6" t="s">
        <v>55</v>
      </c>
      <c r="P2057" s="6" t="s">
        <v>55</v>
      </c>
      <c r="Q2057" s="6" t="s">
        <v>3364</v>
      </c>
      <c r="R2057" s="6" t="s">
        <v>56</v>
      </c>
      <c r="S2057" s="6" t="s">
        <v>56</v>
      </c>
      <c r="T2057" s="6" t="s">
        <v>57</v>
      </c>
      <c r="AR2057" s="6" t="s">
        <v>55</v>
      </c>
      <c r="AS2057" s="6" t="s">
        <v>55</v>
      </c>
      <c r="AU2057" s="6" t="s">
        <v>3395</v>
      </c>
      <c r="AV2057">
        <v>3510</v>
      </c>
    </row>
    <row r="2058" spans="1:48" ht="30" customHeight="1" x14ac:dyDescent="0.3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</row>
    <row r="2059" spans="1:48" ht="30" customHeight="1" x14ac:dyDescent="0.3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</row>
    <row r="2060" spans="1:48" ht="30" customHeight="1" x14ac:dyDescent="0.3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</row>
    <row r="2061" spans="1:48" ht="30" customHeight="1" x14ac:dyDescent="0.3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</row>
    <row r="2062" spans="1:48" ht="30" customHeight="1" x14ac:dyDescent="0.3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</row>
    <row r="2063" spans="1:48" ht="30" customHeight="1" x14ac:dyDescent="0.3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</row>
    <row r="2064" spans="1:48" ht="30" customHeight="1" x14ac:dyDescent="0.3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</row>
    <row r="2065" spans="1:48" ht="30" customHeight="1" x14ac:dyDescent="0.3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</row>
    <row r="2066" spans="1:48" ht="30" customHeight="1" x14ac:dyDescent="0.3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</row>
    <row r="2067" spans="1:48" ht="30" customHeight="1" x14ac:dyDescent="0.3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</row>
    <row r="2068" spans="1:48" ht="30" customHeight="1" x14ac:dyDescent="0.3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</row>
    <row r="2069" spans="1:48" ht="30" customHeight="1" x14ac:dyDescent="0.3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</row>
    <row r="2070" spans="1:48" ht="30" customHeight="1" x14ac:dyDescent="0.3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</row>
    <row r="2071" spans="1:48" ht="30" customHeight="1" x14ac:dyDescent="0.3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</row>
    <row r="2072" spans="1:48" ht="30" customHeight="1" x14ac:dyDescent="0.3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</row>
    <row r="2073" spans="1:48" ht="30" customHeight="1" x14ac:dyDescent="0.3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</row>
    <row r="2074" spans="1:48" ht="30" customHeight="1" x14ac:dyDescent="0.3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</row>
    <row r="2075" spans="1:48" ht="30" customHeight="1" x14ac:dyDescent="0.3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</row>
    <row r="2076" spans="1:48" ht="30" customHeight="1" x14ac:dyDescent="0.3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</row>
    <row r="2077" spans="1:48" ht="30" customHeight="1" x14ac:dyDescent="0.3">
      <c r="A2077" s="4" t="s">
        <v>128</v>
      </c>
      <c r="B2077" s="5"/>
      <c r="C2077" s="5"/>
      <c r="D2077" s="5"/>
      <c r="E2077" s="5"/>
      <c r="F2077" s="7">
        <f>SUM(F2037:F2076)</f>
        <v>61483186</v>
      </c>
      <c r="G2077" s="5"/>
      <c r="H2077" s="7">
        <f>SUM(H2037:H2076)</f>
        <v>236781793</v>
      </c>
      <c r="I2077" s="5"/>
      <c r="J2077" s="7">
        <f>SUM(J2037:J2076)</f>
        <v>3487424</v>
      </c>
      <c r="K2077" s="5"/>
      <c r="L2077" s="7">
        <f>SUM(L2037:L2076)</f>
        <v>301752403</v>
      </c>
      <c r="M2077" s="5"/>
      <c r="N2077" t="s">
        <v>129</v>
      </c>
    </row>
    <row r="2078" spans="1:48" ht="30" customHeight="1" x14ac:dyDescent="0.3">
      <c r="A2078" s="4" t="s">
        <v>3396</v>
      </c>
      <c r="B2078" s="4" t="s">
        <v>3350</v>
      </c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Q2078" s="6" t="s">
        <v>3397</v>
      </c>
    </row>
    <row r="2079" spans="1:48" ht="30" customHeight="1" x14ac:dyDescent="0.3">
      <c r="A2079" s="4" t="s">
        <v>416</v>
      </c>
      <c r="B2079" s="4" t="s">
        <v>421</v>
      </c>
      <c r="C2079" s="4" t="s">
        <v>61</v>
      </c>
      <c r="D2079" s="5">
        <v>125</v>
      </c>
      <c r="E2079" s="7">
        <f>TRUNC([1]일위대가목록!E36,0)</f>
        <v>645</v>
      </c>
      <c r="F2079" s="7">
        <f>TRUNC(E2079*D2079, 0)</f>
        <v>80625</v>
      </c>
      <c r="G2079" s="7">
        <f>TRUNC([1]일위대가목록!F36,0)</f>
        <v>34301</v>
      </c>
      <c r="H2079" s="7">
        <f>TRUNC(G2079*D2079, 0)</f>
        <v>4287625</v>
      </c>
      <c r="I2079" s="7">
        <f>TRUNC([1]일위대가목록!G36,0)</f>
        <v>0</v>
      </c>
      <c r="J2079" s="7">
        <f>TRUNC(I2079*D2079, 0)</f>
        <v>0</v>
      </c>
      <c r="K2079" s="7">
        <f t="shared" ref="K2079:L2081" si="228">TRUNC(E2079+G2079+I2079, 0)</f>
        <v>34946</v>
      </c>
      <c r="L2079" s="7">
        <f t="shared" si="228"/>
        <v>4368250</v>
      </c>
      <c r="M2079" s="4" t="s">
        <v>422</v>
      </c>
      <c r="N2079" s="6" t="s">
        <v>423</v>
      </c>
      <c r="O2079" s="6" t="s">
        <v>55</v>
      </c>
      <c r="P2079" s="6" t="s">
        <v>55</v>
      </c>
      <c r="Q2079" s="6" t="s">
        <v>3397</v>
      </c>
      <c r="R2079" s="6" t="s">
        <v>57</v>
      </c>
      <c r="S2079" s="6" t="s">
        <v>56</v>
      </c>
      <c r="T2079" s="6" t="s">
        <v>56</v>
      </c>
      <c r="AR2079" s="6" t="s">
        <v>55</v>
      </c>
      <c r="AS2079" s="6" t="s">
        <v>55</v>
      </c>
      <c r="AU2079" s="6" t="s">
        <v>3398</v>
      </c>
      <c r="AV2079">
        <v>2771</v>
      </c>
    </row>
    <row r="2080" spans="1:48" ht="30" customHeight="1" x14ac:dyDescent="0.3">
      <c r="A2080" s="4" t="s">
        <v>438</v>
      </c>
      <c r="B2080" s="4" t="s">
        <v>443</v>
      </c>
      <c r="C2080" s="4" t="s">
        <v>269</v>
      </c>
      <c r="D2080" s="5">
        <v>22</v>
      </c>
      <c r="E2080" s="7">
        <f>TRUNC([1]일위대가목록!E41,0)</f>
        <v>11796</v>
      </c>
      <c r="F2080" s="7">
        <f>TRUNC(E2080*D2080, 0)</f>
        <v>259512</v>
      </c>
      <c r="G2080" s="7">
        <f>TRUNC([1]일위대가목록!F41,0)</f>
        <v>48560</v>
      </c>
      <c r="H2080" s="7">
        <f>TRUNC(G2080*D2080, 0)</f>
        <v>1068320</v>
      </c>
      <c r="I2080" s="7">
        <f>TRUNC([1]일위대가목록!G41,0)</f>
        <v>691</v>
      </c>
      <c r="J2080" s="7">
        <f>TRUNC(I2080*D2080, 0)</f>
        <v>15202</v>
      </c>
      <c r="K2080" s="7">
        <f t="shared" si="228"/>
        <v>61047</v>
      </c>
      <c r="L2080" s="7">
        <f t="shared" si="228"/>
        <v>1343034</v>
      </c>
      <c r="M2080" s="4" t="s">
        <v>444</v>
      </c>
      <c r="N2080" s="6" t="s">
        <v>445</v>
      </c>
      <c r="O2080" s="6" t="s">
        <v>55</v>
      </c>
      <c r="P2080" s="6" t="s">
        <v>55</v>
      </c>
      <c r="Q2080" s="6" t="s">
        <v>3397</v>
      </c>
      <c r="R2080" s="6" t="s">
        <v>57</v>
      </c>
      <c r="S2080" s="6" t="s">
        <v>56</v>
      </c>
      <c r="T2080" s="6" t="s">
        <v>56</v>
      </c>
      <c r="AR2080" s="6" t="s">
        <v>55</v>
      </c>
      <c r="AS2080" s="6" t="s">
        <v>55</v>
      </c>
      <c r="AU2080" s="6" t="s">
        <v>3399</v>
      </c>
      <c r="AV2080">
        <v>1040</v>
      </c>
    </row>
    <row r="2081" spans="1:48" ht="30" customHeight="1" x14ac:dyDescent="0.3">
      <c r="A2081" s="4" t="s">
        <v>447</v>
      </c>
      <c r="B2081" s="4" t="s">
        <v>448</v>
      </c>
      <c r="C2081" s="4" t="s">
        <v>269</v>
      </c>
      <c r="D2081" s="5">
        <v>89</v>
      </c>
      <c r="E2081" s="7">
        <f>TRUNC([1]일위대가목록!E42,0)</f>
        <v>2744</v>
      </c>
      <c r="F2081" s="7">
        <f>TRUNC(E2081*D2081, 0)</f>
        <v>244216</v>
      </c>
      <c r="G2081" s="7">
        <f>TRUNC([1]일위대가목록!F42,0)</f>
        <v>8857</v>
      </c>
      <c r="H2081" s="7">
        <f>TRUNC(G2081*D2081, 0)</f>
        <v>788273</v>
      </c>
      <c r="I2081" s="7">
        <f>TRUNC([1]일위대가목록!G42,0)</f>
        <v>115</v>
      </c>
      <c r="J2081" s="7">
        <f>TRUNC(I2081*D2081, 0)</f>
        <v>10235</v>
      </c>
      <c r="K2081" s="7">
        <f t="shared" si="228"/>
        <v>11716</v>
      </c>
      <c r="L2081" s="7">
        <f t="shared" si="228"/>
        <v>1042724</v>
      </c>
      <c r="M2081" s="4" t="s">
        <v>449</v>
      </c>
      <c r="N2081" s="6" t="s">
        <v>450</v>
      </c>
      <c r="O2081" s="6" t="s">
        <v>55</v>
      </c>
      <c r="P2081" s="6" t="s">
        <v>55</v>
      </c>
      <c r="Q2081" s="6" t="s">
        <v>3397</v>
      </c>
      <c r="R2081" s="6" t="s">
        <v>57</v>
      </c>
      <c r="S2081" s="6" t="s">
        <v>56</v>
      </c>
      <c r="T2081" s="6" t="s">
        <v>56</v>
      </c>
      <c r="AR2081" s="6" t="s">
        <v>55</v>
      </c>
      <c r="AS2081" s="6" t="s">
        <v>55</v>
      </c>
      <c r="AU2081" s="6" t="s">
        <v>3400</v>
      </c>
      <c r="AV2081">
        <v>1041</v>
      </c>
    </row>
    <row r="2082" spans="1:48" ht="30" customHeight="1" x14ac:dyDescent="0.3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</row>
    <row r="2083" spans="1:48" ht="30" customHeight="1" x14ac:dyDescent="0.3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</row>
    <row r="2084" spans="1:48" ht="30" customHeight="1" x14ac:dyDescent="0.3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</row>
    <row r="2085" spans="1:48" ht="30" customHeight="1" x14ac:dyDescent="0.3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</row>
    <row r="2086" spans="1:48" ht="30" customHeight="1" x14ac:dyDescent="0.3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</row>
    <row r="2087" spans="1:48" ht="30" customHeight="1" x14ac:dyDescent="0.3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</row>
    <row r="2088" spans="1:48" ht="30" customHeight="1" x14ac:dyDescent="0.3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</row>
    <row r="2089" spans="1:48" ht="30" customHeight="1" x14ac:dyDescent="0.3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</row>
    <row r="2090" spans="1:48" ht="30" customHeight="1" x14ac:dyDescent="0.3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</row>
    <row r="2091" spans="1:48" ht="30" customHeight="1" x14ac:dyDescent="0.3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</row>
    <row r="2092" spans="1:48" ht="30" customHeight="1" x14ac:dyDescent="0.3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</row>
    <row r="2093" spans="1:48" ht="30" customHeight="1" x14ac:dyDescent="0.3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</row>
    <row r="2094" spans="1:48" ht="30" customHeight="1" x14ac:dyDescent="0.3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</row>
    <row r="2095" spans="1:48" ht="30" customHeight="1" x14ac:dyDescent="0.3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</row>
    <row r="2096" spans="1:48" ht="30" customHeight="1" x14ac:dyDescent="0.3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</row>
    <row r="2097" spans="1:48" ht="30" customHeight="1" x14ac:dyDescent="0.3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</row>
    <row r="2098" spans="1:48" ht="30" customHeight="1" x14ac:dyDescent="0.3">
      <c r="A2098" s="4" t="s">
        <v>128</v>
      </c>
      <c r="B2098" s="5"/>
      <c r="C2098" s="5"/>
      <c r="D2098" s="5"/>
      <c r="E2098" s="5"/>
      <c r="F2098" s="7">
        <f>SUM(F2079:F2097)</f>
        <v>584353</v>
      </c>
      <c r="G2098" s="5"/>
      <c r="H2098" s="7">
        <f>SUM(H2079:H2097)</f>
        <v>6144218</v>
      </c>
      <c r="I2098" s="5"/>
      <c r="J2098" s="7">
        <f>SUM(J2079:J2097)</f>
        <v>25437</v>
      </c>
      <c r="K2098" s="5"/>
      <c r="L2098" s="7">
        <f>SUM(L2079:L2097)</f>
        <v>6754008</v>
      </c>
      <c r="M2098" s="5"/>
      <c r="N2098" t="s">
        <v>129</v>
      </c>
    </row>
    <row r="2099" spans="1:48" ht="30" customHeight="1" x14ac:dyDescent="0.3">
      <c r="A2099" s="4" t="s">
        <v>3401</v>
      </c>
      <c r="B2099" s="4" t="s">
        <v>3350</v>
      </c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Q2099" s="6" t="s">
        <v>3402</v>
      </c>
    </row>
    <row r="2100" spans="1:48" ht="30" customHeight="1" x14ac:dyDescent="0.3">
      <c r="A2100" s="4" t="s">
        <v>494</v>
      </c>
      <c r="B2100" s="4" t="s">
        <v>499</v>
      </c>
      <c r="C2100" s="4" t="s">
        <v>61</v>
      </c>
      <c r="D2100" s="5">
        <v>22</v>
      </c>
      <c r="E2100" s="7">
        <f>TRUNC([1]일위대가목록!E53,0)</f>
        <v>21631</v>
      </c>
      <c r="F2100" s="7">
        <f>TRUNC(E2100*D2100, 0)</f>
        <v>475882</v>
      </c>
      <c r="G2100" s="7">
        <f>TRUNC([1]일위대가목록!F53,0)</f>
        <v>32980</v>
      </c>
      <c r="H2100" s="7">
        <f>TRUNC(G2100*D2100, 0)</f>
        <v>725560</v>
      </c>
      <c r="I2100" s="7">
        <f>TRUNC([1]일위대가목록!G53,0)</f>
        <v>0</v>
      </c>
      <c r="J2100" s="7">
        <f>TRUNC(I2100*D2100, 0)</f>
        <v>0</v>
      </c>
      <c r="K2100" s="7">
        <f>TRUNC(E2100+G2100+I2100, 0)</f>
        <v>54611</v>
      </c>
      <c r="L2100" s="7">
        <f>TRUNC(F2100+H2100+J2100, 0)</f>
        <v>1201442</v>
      </c>
      <c r="M2100" s="4" t="s">
        <v>500</v>
      </c>
      <c r="N2100" s="6" t="s">
        <v>501</v>
      </c>
      <c r="O2100" s="6" t="s">
        <v>55</v>
      </c>
      <c r="P2100" s="6" t="s">
        <v>55</v>
      </c>
      <c r="Q2100" s="6" t="s">
        <v>3402</v>
      </c>
      <c r="R2100" s="6" t="s">
        <v>57</v>
      </c>
      <c r="S2100" s="6" t="s">
        <v>56</v>
      </c>
      <c r="T2100" s="6" t="s">
        <v>56</v>
      </c>
      <c r="AR2100" s="6" t="s">
        <v>55</v>
      </c>
      <c r="AS2100" s="6" t="s">
        <v>55</v>
      </c>
      <c r="AU2100" s="6" t="s">
        <v>3403</v>
      </c>
      <c r="AV2100">
        <v>1046</v>
      </c>
    </row>
    <row r="2101" spans="1:48" ht="30" customHeight="1" x14ac:dyDescent="0.3">
      <c r="A2101" s="4" t="s">
        <v>3404</v>
      </c>
      <c r="B2101" s="4" t="s">
        <v>3405</v>
      </c>
      <c r="C2101" s="4" t="s">
        <v>269</v>
      </c>
      <c r="D2101" s="5">
        <v>20</v>
      </c>
      <c r="E2101" s="7">
        <f>TRUNC([1]일위대가목록!E244,0)</f>
        <v>0</v>
      </c>
      <c r="F2101" s="7">
        <f>TRUNC(E2101*D2101, 0)</f>
        <v>0</v>
      </c>
      <c r="G2101" s="7">
        <f>TRUNC([1]일위대가목록!F244,0)</f>
        <v>10114</v>
      </c>
      <c r="H2101" s="7">
        <f>TRUNC(G2101*D2101, 0)</f>
        <v>202280</v>
      </c>
      <c r="I2101" s="7">
        <f>TRUNC([1]일위대가목록!G244,0)</f>
        <v>98</v>
      </c>
      <c r="J2101" s="7">
        <f>TRUNC(I2101*D2101, 0)</f>
        <v>1960</v>
      </c>
      <c r="K2101" s="7">
        <f>TRUNC(E2101+G2101+I2101, 0)</f>
        <v>10212</v>
      </c>
      <c r="L2101" s="7">
        <f>TRUNC(F2101+H2101+J2101, 0)</f>
        <v>204240</v>
      </c>
      <c r="M2101" s="4" t="s">
        <v>3406</v>
      </c>
      <c r="N2101" s="6" t="s">
        <v>3407</v>
      </c>
      <c r="O2101" s="6" t="s">
        <v>55</v>
      </c>
      <c r="P2101" s="6" t="s">
        <v>55</v>
      </c>
      <c r="Q2101" s="6" t="s">
        <v>3402</v>
      </c>
      <c r="R2101" s="6" t="s">
        <v>57</v>
      </c>
      <c r="S2101" s="6" t="s">
        <v>56</v>
      </c>
      <c r="T2101" s="6" t="s">
        <v>56</v>
      </c>
      <c r="AR2101" s="6" t="s">
        <v>55</v>
      </c>
      <c r="AS2101" s="6" t="s">
        <v>55</v>
      </c>
      <c r="AU2101" s="6" t="s">
        <v>3408</v>
      </c>
      <c r="AV2101">
        <v>3193</v>
      </c>
    </row>
    <row r="2102" spans="1:48" ht="30" customHeight="1" x14ac:dyDescent="0.3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</row>
    <row r="2103" spans="1:48" ht="30" customHeight="1" x14ac:dyDescent="0.3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</row>
    <row r="2104" spans="1:48" ht="30" customHeight="1" x14ac:dyDescent="0.3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</row>
    <row r="2105" spans="1:48" ht="30" customHeight="1" x14ac:dyDescent="0.3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</row>
    <row r="2106" spans="1:48" ht="30" customHeight="1" x14ac:dyDescent="0.3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</row>
    <row r="2107" spans="1:48" ht="30" customHeight="1" x14ac:dyDescent="0.3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</row>
    <row r="2108" spans="1:48" ht="30" customHeight="1" x14ac:dyDescent="0.3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</row>
    <row r="2109" spans="1:48" ht="30" customHeight="1" x14ac:dyDescent="0.3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</row>
    <row r="2110" spans="1:48" ht="30" customHeight="1" x14ac:dyDescent="0.3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</row>
    <row r="2111" spans="1:48" ht="30" customHeight="1" x14ac:dyDescent="0.3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</row>
    <row r="2112" spans="1:48" ht="30" customHeight="1" x14ac:dyDescent="0.3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</row>
    <row r="2113" spans="1:48" ht="30" customHeight="1" x14ac:dyDescent="0.3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</row>
    <row r="2114" spans="1:48" ht="30" customHeight="1" x14ac:dyDescent="0.3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</row>
    <row r="2115" spans="1:48" ht="30" customHeight="1" x14ac:dyDescent="0.3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</row>
    <row r="2116" spans="1:48" ht="30" customHeight="1" x14ac:dyDescent="0.3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</row>
    <row r="2117" spans="1:48" ht="30" customHeight="1" x14ac:dyDescent="0.3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</row>
    <row r="2118" spans="1:48" ht="30" customHeight="1" x14ac:dyDescent="0.3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</row>
    <row r="2119" spans="1:48" ht="30" customHeight="1" x14ac:dyDescent="0.3">
      <c r="A2119" s="4" t="s">
        <v>128</v>
      </c>
      <c r="B2119" s="5"/>
      <c r="C2119" s="5"/>
      <c r="D2119" s="5"/>
      <c r="E2119" s="5"/>
      <c r="F2119" s="7">
        <f>SUM(F2100:F2118)</f>
        <v>475882</v>
      </c>
      <c r="G2119" s="5"/>
      <c r="H2119" s="7">
        <f>SUM(H2100:H2118)</f>
        <v>927840</v>
      </c>
      <c r="I2119" s="5"/>
      <c r="J2119" s="7">
        <f>SUM(J2100:J2118)</f>
        <v>1960</v>
      </c>
      <c r="K2119" s="5"/>
      <c r="L2119" s="7">
        <f>SUM(L2100:L2118)</f>
        <v>1405682</v>
      </c>
      <c r="M2119" s="5"/>
      <c r="N2119" t="s">
        <v>129</v>
      </c>
    </row>
    <row r="2120" spans="1:48" ht="30" customHeight="1" x14ac:dyDescent="0.3">
      <c r="A2120" s="4" t="s">
        <v>3409</v>
      </c>
      <c r="B2120" s="4" t="s">
        <v>3350</v>
      </c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Q2120" s="6" t="s">
        <v>3410</v>
      </c>
    </row>
    <row r="2121" spans="1:48" ht="30" customHeight="1" x14ac:dyDescent="0.3">
      <c r="A2121" s="4" t="s">
        <v>513</v>
      </c>
      <c r="B2121" s="4" t="s">
        <v>514</v>
      </c>
      <c r="C2121" s="4" t="s">
        <v>61</v>
      </c>
      <c r="D2121" s="5">
        <v>314</v>
      </c>
      <c r="E2121" s="7">
        <f>TRUNC([1]단가대비표!O104,0)</f>
        <v>16000</v>
      </c>
      <c r="F2121" s="7">
        <f t="shared" ref="F2121:F2131" si="229">TRUNC(E2121*D2121, 0)</f>
        <v>5024000</v>
      </c>
      <c r="G2121" s="7">
        <f>TRUNC([1]단가대비표!P104,0)</f>
        <v>0</v>
      </c>
      <c r="H2121" s="7">
        <f t="shared" ref="H2121:H2131" si="230">TRUNC(G2121*D2121, 0)</f>
        <v>0</v>
      </c>
      <c r="I2121" s="7">
        <f>TRUNC([1]단가대비표!V104,0)</f>
        <v>0</v>
      </c>
      <c r="J2121" s="7">
        <f t="shared" ref="J2121:J2131" si="231">TRUNC(I2121*D2121, 0)</f>
        <v>0</v>
      </c>
      <c r="K2121" s="7">
        <f t="shared" ref="K2121:L2131" si="232">TRUNC(E2121+G2121+I2121, 0)</f>
        <v>16000</v>
      </c>
      <c r="L2121" s="7">
        <f t="shared" si="232"/>
        <v>5024000</v>
      </c>
      <c r="M2121" s="4" t="s">
        <v>55</v>
      </c>
      <c r="N2121" s="6" t="s">
        <v>515</v>
      </c>
      <c r="O2121" s="6" t="s">
        <v>55</v>
      </c>
      <c r="P2121" s="6" t="s">
        <v>55</v>
      </c>
      <c r="Q2121" s="6" t="s">
        <v>3410</v>
      </c>
      <c r="R2121" s="6" t="s">
        <v>56</v>
      </c>
      <c r="S2121" s="6" t="s">
        <v>56</v>
      </c>
      <c r="T2121" s="6" t="s">
        <v>57</v>
      </c>
      <c r="AR2121" s="6" t="s">
        <v>55</v>
      </c>
      <c r="AS2121" s="6" t="s">
        <v>55</v>
      </c>
      <c r="AU2121" s="6" t="s">
        <v>3411</v>
      </c>
      <c r="AV2121">
        <v>1050</v>
      </c>
    </row>
    <row r="2122" spans="1:48" ht="30" customHeight="1" x14ac:dyDescent="0.3">
      <c r="A2122" s="4" t="s">
        <v>517</v>
      </c>
      <c r="B2122" s="4" t="s">
        <v>518</v>
      </c>
      <c r="C2122" s="4" t="s">
        <v>61</v>
      </c>
      <c r="D2122" s="5">
        <v>146</v>
      </c>
      <c r="E2122" s="7">
        <f>TRUNC([1]단가대비표!O105,0)</f>
        <v>15000</v>
      </c>
      <c r="F2122" s="7">
        <f t="shared" si="229"/>
        <v>2190000</v>
      </c>
      <c r="G2122" s="7">
        <f>TRUNC([1]단가대비표!P105,0)</f>
        <v>0</v>
      </c>
      <c r="H2122" s="7">
        <f t="shared" si="230"/>
        <v>0</v>
      </c>
      <c r="I2122" s="7">
        <f>TRUNC([1]단가대비표!V105,0)</f>
        <v>0</v>
      </c>
      <c r="J2122" s="7">
        <f t="shared" si="231"/>
        <v>0</v>
      </c>
      <c r="K2122" s="7">
        <f t="shared" si="232"/>
        <v>15000</v>
      </c>
      <c r="L2122" s="7">
        <f t="shared" si="232"/>
        <v>2190000</v>
      </c>
      <c r="M2122" s="4" t="s">
        <v>55</v>
      </c>
      <c r="N2122" s="6" t="s">
        <v>519</v>
      </c>
      <c r="O2122" s="6" t="s">
        <v>55</v>
      </c>
      <c r="P2122" s="6" t="s">
        <v>55</v>
      </c>
      <c r="Q2122" s="6" t="s">
        <v>3410</v>
      </c>
      <c r="R2122" s="6" t="s">
        <v>56</v>
      </c>
      <c r="S2122" s="6" t="s">
        <v>56</v>
      </c>
      <c r="T2122" s="6" t="s">
        <v>57</v>
      </c>
      <c r="AR2122" s="6" t="s">
        <v>55</v>
      </c>
      <c r="AS2122" s="6" t="s">
        <v>55</v>
      </c>
      <c r="AU2122" s="6" t="s">
        <v>3412</v>
      </c>
      <c r="AV2122">
        <v>1051</v>
      </c>
    </row>
    <row r="2123" spans="1:48" ht="30" customHeight="1" x14ac:dyDescent="0.3">
      <c r="A2123" s="4" t="s">
        <v>521</v>
      </c>
      <c r="B2123" s="4" t="s">
        <v>522</v>
      </c>
      <c r="C2123" s="4" t="s">
        <v>61</v>
      </c>
      <c r="D2123" s="5">
        <v>74</v>
      </c>
      <c r="E2123" s="7">
        <f>TRUNC([1]단가대비표!O108,0)</f>
        <v>10800</v>
      </c>
      <c r="F2123" s="7">
        <f t="shared" si="229"/>
        <v>799200</v>
      </c>
      <c r="G2123" s="7">
        <f>TRUNC([1]단가대비표!P108,0)</f>
        <v>0</v>
      </c>
      <c r="H2123" s="7">
        <f t="shared" si="230"/>
        <v>0</v>
      </c>
      <c r="I2123" s="7">
        <f>TRUNC([1]단가대비표!V108,0)</f>
        <v>0</v>
      </c>
      <c r="J2123" s="7">
        <f t="shared" si="231"/>
        <v>0</v>
      </c>
      <c r="K2123" s="7">
        <f t="shared" si="232"/>
        <v>10800</v>
      </c>
      <c r="L2123" s="7">
        <f t="shared" si="232"/>
        <v>799200</v>
      </c>
      <c r="M2123" s="4" t="s">
        <v>55</v>
      </c>
      <c r="N2123" s="6" t="s">
        <v>523</v>
      </c>
      <c r="O2123" s="6" t="s">
        <v>55</v>
      </c>
      <c r="P2123" s="6" t="s">
        <v>55</v>
      </c>
      <c r="Q2123" s="6" t="s">
        <v>3410</v>
      </c>
      <c r="R2123" s="6" t="s">
        <v>56</v>
      </c>
      <c r="S2123" s="6" t="s">
        <v>56</v>
      </c>
      <c r="T2123" s="6" t="s">
        <v>57</v>
      </c>
      <c r="AR2123" s="6" t="s">
        <v>55</v>
      </c>
      <c r="AS2123" s="6" t="s">
        <v>55</v>
      </c>
      <c r="AU2123" s="6" t="s">
        <v>3413</v>
      </c>
      <c r="AV2123">
        <v>1054</v>
      </c>
    </row>
    <row r="2124" spans="1:48" ht="30" customHeight="1" x14ac:dyDescent="0.3">
      <c r="A2124" s="4" t="s">
        <v>528</v>
      </c>
      <c r="B2124" s="4" t="s">
        <v>529</v>
      </c>
      <c r="C2124" s="4" t="s">
        <v>61</v>
      </c>
      <c r="D2124" s="5">
        <v>328</v>
      </c>
      <c r="E2124" s="7">
        <f>TRUNC([1]일위대가목록!E55,0)</f>
        <v>0</v>
      </c>
      <c r="F2124" s="7">
        <f t="shared" si="229"/>
        <v>0</v>
      </c>
      <c r="G2124" s="7">
        <f>TRUNC([1]일위대가목록!F55,0)</f>
        <v>24112</v>
      </c>
      <c r="H2124" s="7">
        <f t="shared" si="230"/>
        <v>7908736</v>
      </c>
      <c r="I2124" s="7">
        <f>TRUNC([1]일위대가목록!G55,0)</f>
        <v>447</v>
      </c>
      <c r="J2124" s="7">
        <f t="shared" si="231"/>
        <v>146616</v>
      </c>
      <c r="K2124" s="7">
        <f t="shared" si="232"/>
        <v>24559</v>
      </c>
      <c r="L2124" s="7">
        <f t="shared" si="232"/>
        <v>8055352</v>
      </c>
      <c r="M2124" s="4" t="s">
        <v>530</v>
      </c>
      <c r="N2124" s="6" t="s">
        <v>531</v>
      </c>
      <c r="O2124" s="6" t="s">
        <v>55</v>
      </c>
      <c r="P2124" s="6" t="s">
        <v>55</v>
      </c>
      <c r="Q2124" s="6" t="s">
        <v>3410</v>
      </c>
      <c r="R2124" s="6" t="s">
        <v>57</v>
      </c>
      <c r="S2124" s="6" t="s">
        <v>56</v>
      </c>
      <c r="T2124" s="6" t="s">
        <v>56</v>
      </c>
      <c r="AR2124" s="6" t="s">
        <v>55</v>
      </c>
      <c r="AS2124" s="6" t="s">
        <v>55</v>
      </c>
      <c r="AU2124" s="6" t="s">
        <v>3414</v>
      </c>
      <c r="AV2124">
        <v>3194</v>
      </c>
    </row>
    <row r="2125" spans="1:48" ht="30" customHeight="1" x14ac:dyDescent="0.3">
      <c r="A2125" s="4" t="s">
        <v>528</v>
      </c>
      <c r="B2125" s="4" t="s">
        <v>533</v>
      </c>
      <c r="C2125" s="4" t="s">
        <v>61</v>
      </c>
      <c r="D2125" s="5">
        <v>29</v>
      </c>
      <c r="E2125" s="7">
        <f>TRUNC([1]일위대가목록!E56,0)</f>
        <v>0</v>
      </c>
      <c r="F2125" s="7">
        <f t="shared" si="229"/>
        <v>0</v>
      </c>
      <c r="G2125" s="7">
        <f>TRUNC([1]일위대가목록!F56,0)</f>
        <v>13294</v>
      </c>
      <c r="H2125" s="7">
        <f t="shared" si="230"/>
        <v>385526</v>
      </c>
      <c r="I2125" s="7">
        <f>TRUNC([1]일위대가목록!G56,0)</f>
        <v>214</v>
      </c>
      <c r="J2125" s="7">
        <f t="shared" si="231"/>
        <v>6206</v>
      </c>
      <c r="K2125" s="7">
        <f t="shared" si="232"/>
        <v>13508</v>
      </c>
      <c r="L2125" s="7">
        <f t="shared" si="232"/>
        <v>391732</v>
      </c>
      <c r="M2125" s="4" t="s">
        <v>534</v>
      </c>
      <c r="N2125" s="6" t="s">
        <v>535</v>
      </c>
      <c r="O2125" s="6" t="s">
        <v>55</v>
      </c>
      <c r="P2125" s="6" t="s">
        <v>55</v>
      </c>
      <c r="Q2125" s="6" t="s">
        <v>3410</v>
      </c>
      <c r="R2125" s="6" t="s">
        <v>57</v>
      </c>
      <c r="S2125" s="6" t="s">
        <v>56</v>
      </c>
      <c r="T2125" s="6" t="s">
        <v>56</v>
      </c>
      <c r="AR2125" s="6" t="s">
        <v>55</v>
      </c>
      <c r="AS2125" s="6" t="s">
        <v>55</v>
      </c>
      <c r="AU2125" s="6" t="s">
        <v>3415</v>
      </c>
      <c r="AV2125">
        <v>3195</v>
      </c>
    </row>
    <row r="2126" spans="1:48" ht="30" customHeight="1" x14ac:dyDescent="0.3">
      <c r="A2126" s="4" t="s">
        <v>528</v>
      </c>
      <c r="B2126" s="4" t="s">
        <v>3416</v>
      </c>
      <c r="C2126" s="4" t="s">
        <v>61</v>
      </c>
      <c r="D2126" s="5">
        <v>191</v>
      </c>
      <c r="E2126" s="7">
        <f>TRUNC([1]일위대가목록!E245,0)</f>
        <v>0</v>
      </c>
      <c r="F2126" s="7">
        <f t="shared" si="229"/>
        <v>0</v>
      </c>
      <c r="G2126" s="7">
        <f>TRUNC([1]일위대가목록!F245,0)</f>
        <v>12257</v>
      </c>
      <c r="H2126" s="7">
        <f t="shared" si="230"/>
        <v>2341087</v>
      </c>
      <c r="I2126" s="7">
        <f>TRUNC([1]일위대가목록!G245,0)</f>
        <v>214</v>
      </c>
      <c r="J2126" s="7">
        <f t="shared" si="231"/>
        <v>40874</v>
      </c>
      <c r="K2126" s="7">
        <f t="shared" si="232"/>
        <v>12471</v>
      </c>
      <c r="L2126" s="7">
        <f t="shared" si="232"/>
        <v>2381961</v>
      </c>
      <c r="M2126" s="4" t="s">
        <v>3417</v>
      </c>
      <c r="N2126" s="6" t="s">
        <v>3418</v>
      </c>
      <c r="O2126" s="6" t="s">
        <v>55</v>
      </c>
      <c r="P2126" s="6" t="s">
        <v>55</v>
      </c>
      <c r="Q2126" s="6" t="s">
        <v>3410</v>
      </c>
      <c r="R2126" s="6" t="s">
        <v>57</v>
      </c>
      <c r="S2126" s="6" t="s">
        <v>56</v>
      </c>
      <c r="T2126" s="6" t="s">
        <v>56</v>
      </c>
      <c r="AR2126" s="6" t="s">
        <v>55</v>
      </c>
      <c r="AS2126" s="6" t="s">
        <v>55</v>
      </c>
      <c r="AU2126" s="6" t="s">
        <v>3419</v>
      </c>
      <c r="AV2126">
        <v>3201</v>
      </c>
    </row>
    <row r="2127" spans="1:48" ht="30" customHeight="1" x14ac:dyDescent="0.3">
      <c r="A2127" s="4" t="s">
        <v>528</v>
      </c>
      <c r="B2127" s="4" t="s">
        <v>537</v>
      </c>
      <c r="C2127" s="4" t="s">
        <v>61</v>
      </c>
      <c r="D2127" s="5">
        <v>114</v>
      </c>
      <c r="E2127" s="7">
        <f>TRUNC([1]일위대가목록!E57,0)</f>
        <v>0</v>
      </c>
      <c r="F2127" s="7">
        <f t="shared" si="229"/>
        <v>0</v>
      </c>
      <c r="G2127" s="7">
        <f>TRUNC([1]일위대가목록!F57,0)</f>
        <v>13812</v>
      </c>
      <c r="H2127" s="7">
        <f t="shared" si="230"/>
        <v>1574568</v>
      </c>
      <c r="I2127" s="7">
        <f>TRUNC([1]일위대가목록!G57,0)</f>
        <v>214</v>
      </c>
      <c r="J2127" s="7">
        <f t="shared" si="231"/>
        <v>24396</v>
      </c>
      <c r="K2127" s="7">
        <f t="shared" si="232"/>
        <v>14026</v>
      </c>
      <c r="L2127" s="7">
        <f t="shared" si="232"/>
        <v>1598964</v>
      </c>
      <c r="M2127" s="4" t="s">
        <v>538</v>
      </c>
      <c r="N2127" s="6" t="s">
        <v>539</v>
      </c>
      <c r="O2127" s="6" t="s">
        <v>55</v>
      </c>
      <c r="P2127" s="6" t="s">
        <v>55</v>
      </c>
      <c r="Q2127" s="6" t="s">
        <v>3410</v>
      </c>
      <c r="R2127" s="6" t="s">
        <v>57</v>
      </c>
      <c r="S2127" s="6" t="s">
        <v>56</v>
      </c>
      <c r="T2127" s="6" t="s">
        <v>56</v>
      </c>
      <c r="AR2127" s="6" t="s">
        <v>55</v>
      </c>
      <c r="AS2127" s="6" t="s">
        <v>55</v>
      </c>
      <c r="AU2127" s="6" t="s">
        <v>3420</v>
      </c>
      <c r="AV2127">
        <v>3196</v>
      </c>
    </row>
    <row r="2128" spans="1:48" ht="30" customHeight="1" x14ac:dyDescent="0.3">
      <c r="A2128" s="4" t="s">
        <v>528</v>
      </c>
      <c r="B2128" s="4" t="s">
        <v>545</v>
      </c>
      <c r="C2128" s="4" t="s">
        <v>61</v>
      </c>
      <c r="D2128" s="5">
        <v>113</v>
      </c>
      <c r="E2128" s="7">
        <f>TRUNC([1]일위대가목록!E59,0)</f>
        <v>0</v>
      </c>
      <c r="F2128" s="7">
        <f t="shared" si="229"/>
        <v>0</v>
      </c>
      <c r="G2128" s="7">
        <f>TRUNC([1]일위대가목록!F59,0)</f>
        <v>15160</v>
      </c>
      <c r="H2128" s="7">
        <f t="shared" si="230"/>
        <v>1713080</v>
      </c>
      <c r="I2128" s="7">
        <f>TRUNC([1]일위대가목록!G59,0)</f>
        <v>214</v>
      </c>
      <c r="J2128" s="7">
        <f t="shared" si="231"/>
        <v>24182</v>
      </c>
      <c r="K2128" s="7">
        <f t="shared" si="232"/>
        <v>15374</v>
      </c>
      <c r="L2128" s="7">
        <f t="shared" si="232"/>
        <v>1737262</v>
      </c>
      <c r="M2128" s="4" t="s">
        <v>546</v>
      </c>
      <c r="N2128" s="6" t="s">
        <v>547</v>
      </c>
      <c r="O2128" s="6" t="s">
        <v>55</v>
      </c>
      <c r="P2128" s="6" t="s">
        <v>55</v>
      </c>
      <c r="Q2128" s="6" t="s">
        <v>3410</v>
      </c>
      <c r="R2128" s="6" t="s">
        <v>57</v>
      </c>
      <c r="S2128" s="6" t="s">
        <v>56</v>
      </c>
      <c r="T2128" s="6" t="s">
        <v>56</v>
      </c>
      <c r="AR2128" s="6" t="s">
        <v>55</v>
      </c>
      <c r="AS2128" s="6" t="s">
        <v>55</v>
      </c>
      <c r="AU2128" s="6" t="s">
        <v>3421</v>
      </c>
      <c r="AV2128">
        <v>3197</v>
      </c>
    </row>
    <row r="2129" spans="1:48" ht="30" customHeight="1" x14ac:dyDescent="0.3">
      <c r="A2129" s="4" t="s">
        <v>528</v>
      </c>
      <c r="B2129" s="4" t="s">
        <v>561</v>
      </c>
      <c r="C2129" s="4" t="s">
        <v>61</v>
      </c>
      <c r="D2129" s="5">
        <v>72</v>
      </c>
      <c r="E2129" s="7">
        <f>TRUNC([1]일위대가목록!E63,0)</f>
        <v>0</v>
      </c>
      <c r="F2129" s="7">
        <f t="shared" si="229"/>
        <v>0</v>
      </c>
      <c r="G2129" s="7">
        <f>TRUNC([1]일위대가목록!F63,0)</f>
        <v>17544</v>
      </c>
      <c r="H2129" s="7">
        <f t="shared" si="230"/>
        <v>1263168</v>
      </c>
      <c r="I2129" s="7">
        <f>TRUNC([1]일위대가목록!G63,0)</f>
        <v>214</v>
      </c>
      <c r="J2129" s="7">
        <f t="shared" si="231"/>
        <v>15408</v>
      </c>
      <c r="K2129" s="7">
        <f t="shared" si="232"/>
        <v>17758</v>
      </c>
      <c r="L2129" s="7">
        <f t="shared" si="232"/>
        <v>1278576</v>
      </c>
      <c r="M2129" s="4" t="s">
        <v>562</v>
      </c>
      <c r="N2129" s="6" t="s">
        <v>563</v>
      </c>
      <c r="O2129" s="6" t="s">
        <v>55</v>
      </c>
      <c r="P2129" s="6" t="s">
        <v>55</v>
      </c>
      <c r="Q2129" s="6" t="s">
        <v>3410</v>
      </c>
      <c r="R2129" s="6" t="s">
        <v>57</v>
      </c>
      <c r="S2129" s="6" t="s">
        <v>56</v>
      </c>
      <c r="T2129" s="6" t="s">
        <v>56</v>
      </c>
      <c r="AR2129" s="6" t="s">
        <v>55</v>
      </c>
      <c r="AS2129" s="6" t="s">
        <v>55</v>
      </c>
      <c r="AU2129" s="6" t="s">
        <v>3422</v>
      </c>
      <c r="AV2129">
        <v>3198</v>
      </c>
    </row>
    <row r="2130" spans="1:48" ht="30" customHeight="1" x14ac:dyDescent="0.3">
      <c r="A2130" s="4" t="s">
        <v>569</v>
      </c>
      <c r="B2130" s="4" t="s">
        <v>570</v>
      </c>
      <c r="C2130" s="4" t="s">
        <v>140</v>
      </c>
      <c r="D2130" s="5">
        <v>328</v>
      </c>
      <c r="E2130" s="7">
        <f>TRUNC([1]단가대비표!O249,0)</f>
        <v>1079</v>
      </c>
      <c r="F2130" s="7">
        <f t="shared" si="229"/>
        <v>353912</v>
      </c>
      <c r="G2130" s="7">
        <f>TRUNC([1]단가대비표!P249,0)</f>
        <v>34877</v>
      </c>
      <c r="H2130" s="7">
        <f t="shared" si="230"/>
        <v>11439656</v>
      </c>
      <c r="I2130" s="7">
        <f>TRUNC([1]단가대비표!V249,0)</f>
        <v>0</v>
      </c>
      <c r="J2130" s="7">
        <f t="shared" si="231"/>
        <v>0</v>
      </c>
      <c r="K2130" s="7">
        <f t="shared" si="232"/>
        <v>35956</v>
      </c>
      <c r="L2130" s="7">
        <f t="shared" si="232"/>
        <v>11793568</v>
      </c>
      <c r="M2130" s="4" t="s">
        <v>141</v>
      </c>
      <c r="N2130" s="6" t="s">
        <v>571</v>
      </c>
      <c r="O2130" s="6" t="s">
        <v>55</v>
      </c>
      <c r="P2130" s="6" t="s">
        <v>55</v>
      </c>
      <c r="Q2130" s="6" t="s">
        <v>3410</v>
      </c>
      <c r="R2130" s="6" t="s">
        <v>56</v>
      </c>
      <c r="S2130" s="6" t="s">
        <v>56</v>
      </c>
      <c r="T2130" s="6" t="s">
        <v>57</v>
      </c>
      <c r="AR2130" s="6" t="s">
        <v>55</v>
      </c>
      <c r="AS2130" s="6" t="s">
        <v>55</v>
      </c>
      <c r="AU2130" s="6" t="s">
        <v>3423</v>
      </c>
      <c r="AV2130">
        <v>3199</v>
      </c>
    </row>
    <row r="2131" spans="1:48" ht="30" customHeight="1" x14ac:dyDescent="0.3">
      <c r="A2131" s="4" t="s">
        <v>573</v>
      </c>
      <c r="B2131" s="4" t="s">
        <v>570</v>
      </c>
      <c r="C2131" s="4" t="s">
        <v>140</v>
      </c>
      <c r="D2131" s="5">
        <v>519</v>
      </c>
      <c r="E2131" s="7">
        <f>TRUNC([1]단가대비표!O252,0)</f>
        <v>888</v>
      </c>
      <c r="F2131" s="7">
        <f t="shared" si="229"/>
        <v>460872</v>
      </c>
      <c r="G2131" s="7">
        <f>TRUNC([1]단가대비표!P252,0)</f>
        <v>28692</v>
      </c>
      <c r="H2131" s="7">
        <f t="shared" si="230"/>
        <v>14891148</v>
      </c>
      <c r="I2131" s="7">
        <f>TRUNC([1]단가대비표!V252,0)</f>
        <v>0</v>
      </c>
      <c r="J2131" s="7">
        <f t="shared" si="231"/>
        <v>0</v>
      </c>
      <c r="K2131" s="7">
        <f t="shared" si="232"/>
        <v>29580</v>
      </c>
      <c r="L2131" s="7">
        <f t="shared" si="232"/>
        <v>15352020</v>
      </c>
      <c r="M2131" s="4" t="s">
        <v>141</v>
      </c>
      <c r="N2131" s="6" t="s">
        <v>574</v>
      </c>
      <c r="O2131" s="6" t="s">
        <v>55</v>
      </c>
      <c r="P2131" s="6" t="s">
        <v>55</v>
      </c>
      <c r="Q2131" s="6" t="s">
        <v>3410</v>
      </c>
      <c r="R2131" s="6" t="s">
        <v>56</v>
      </c>
      <c r="S2131" s="6" t="s">
        <v>56</v>
      </c>
      <c r="T2131" s="6" t="s">
        <v>57</v>
      </c>
      <c r="AR2131" s="6" t="s">
        <v>55</v>
      </c>
      <c r="AS2131" s="6" t="s">
        <v>55</v>
      </c>
      <c r="AU2131" s="6" t="s">
        <v>3424</v>
      </c>
      <c r="AV2131">
        <v>3200</v>
      </c>
    </row>
    <row r="2132" spans="1:48" ht="30" customHeight="1" x14ac:dyDescent="0.3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</row>
    <row r="2133" spans="1:48" ht="30" customHeight="1" x14ac:dyDescent="0.3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</row>
    <row r="2134" spans="1:48" ht="30" customHeight="1" x14ac:dyDescent="0.3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</row>
    <row r="2135" spans="1:48" ht="30" customHeight="1" x14ac:dyDescent="0.3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</row>
    <row r="2136" spans="1:48" ht="30" customHeight="1" x14ac:dyDescent="0.3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</row>
    <row r="2137" spans="1:48" ht="30" customHeight="1" x14ac:dyDescent="0.3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</row>
    <row r="2138" spans="1:48" ht="30" customHeight="1" x14ac:dyDescent="0.3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</row>
    <row r="2139" spans="1:48" ht="30" customHeight="1" x14ac:dyDescent="0.3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</row>
    <row r="2140" spans="1:48" ht="30" customHeight="1" x14ac:dyDescent="0.3">
      <c r="A2140" s="4" t="s">
        <v>128</v>
      </c>
      <c r="B2140" s="5"/>
      <c r="C2140" s="5"/>
      <c r="D2140" s="5"/>
      <c r="E2140" s="5"/>
      <c r="F2140" s="7">
        <f>SUM(F2121:F2139)</f>
        <v>8827984</v>
      </c>
      <c r="G2140" s="5"/>
      <c r="H2140" s="7">
        <f>SUM(H2121:H2139)</f>
        <v>41516969</v>
      </c>
      <c r="I2140" s="5"/>
      <c r="J2140" s="7">
        <f>SUM(J2121:J2139)</f>
        <v>257682</v>
      </c>
      <c r="K2140" s="5"/>
      <c r="L2140" s="7">
        <f>SUM(L2121:L2139)</f>
        <v>50602635</v>
      </c>
      <c r="M2140" s="5"/>
      <c r="N2140" t="s">
        <v>129</v>
      </c>
    </row>
    <row r="2141" spans="1:48" ht="30" customHeight="1" x14ac:dyDescent="0.3">
      <c r="A2141" s="4" t="s">
        <v>3425</v>
      </c>
      <c r="B2141" s="4" t="s">
        <v>3350</v>
      </c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Q2141" s="6" t="s">
        <v>3426</v>
      </c>
    </row>
    <row r="2142" spans="1:48" ht="30" customHeight="1" x14ac:dyDescent="0.3">
      <c r="A2142" s="4" t="s">
        <v>583</v>
      </c>
      <c r="B2142" s="4" t="s">
        <v>584</v>
      </c>
      <c r="C2142" s="4" t="s">
        <v>61</v>
      </c>
      <c r="D2142" s="5">
        <v>311</v>
      </c>
      <c r="E2142" s="7">
        <f>TRUNC([1]일위대가목록!E66,0)</f>
        <v>9000</v>
      </c>
      <c r="F2142" s="7">
        <f t="shared" ref="F2142:F2158" si="233">TRUNC(E2142*D2142, 0)</f>
        <v>2799000</v>
      </c>
      <c r="G2142" s="7">
        <f>TRUNC([1]일위대가목록!F66,0)</f>
        <v>3000</v>
      </c>
      <c r="H2142" s="7">
        <f t="shared" ref="H2142:H2158" si="234">TRUNC(G2142*D2142, 0)</f>
        <v>933000</v>
      </c>
      <c r="I2142" s="7">
        <f>TRUNC([1]일위대가목록!G66,0)</f>
        <v>0</v>
      </c>
      <c r="J2142" s="7">
        <f t="shared" ref="J2142:J2158" si="235">TRUNC(I2142*D2142, 0)</f>
        <v>0</v>
      </c>
      <c r="K2142" s="7">
        <f t="shared" ref="K2142:L2158" si="236">TRUNC(E2142+G2142+I2142, 0)</f>
        <v>12000</v>
      </c>
      <c r="L2142" s="7">
        <f t="shared" si="236"/>
        <v>3732000</v>
      </c>
      <c r="M2142" s="4" t="s">
        <v>585</v>
      </c>
      <c r="N2142" s="6" t="s">
        <v>586</v>
      </c>
      <c r="O2142" s="6" t="s">
        <v>55</v>
      </c>
      <c r="P2142" s="6" t="s">
        <v>55</v>
      </c>
      <c r="Q2142" s="6" t="s">
        <v>3426</v>
      </c>
      <c r="R2142" s="6" t="s">
        <v>57</v>
      </c>
      <c r="S2142" s="6" t="s">
        <v>56</v>
      </c>
      <c r="T2142" s="6" t="s">
        <v>56</v>
      </c>
      <c r="AR2142" s="6" t="s">
        <v>55</v>
      </c>
      <c r="AS2142" s="6" t="s">
        <v>55</v>
      </c>
      <c r="AU2142" s="6" t="s">
        <v>3427</v>
      </c>
      <c r="AV2142">
        <v>3300</v>
      </c>
    </row>
    <row r="2143" spans="1:48" ht="30" customHeight="1" x14ac:dyDescent="0.3">
      <c r="A2143" s="4" t="s">
        <v>602</v>
      </c>
      <c r="B2143" s="4" t="s">
        <v>606</v>
      </c>
      <c r="C2143" s="4" t="s">
        <v>61</v>
      </c>
      <c r="D2143" s="5">
        <v>72</v>
      </c>
      <c r="E2143" s="7">
        <f>TRUNC([1]단가대비표!O129,0)</f>
        <v>50000</v>
      </c>
      <c r="F2143" s="7">
        <f t="shared" si="233"/>
        <v>3600000</v>
      </c>
      <c r="G2143" s="7">
        <f>TRUNC([1]단가대비표!P129,0)</f>
        <v>0</v>
      </c>
      <c r="H2143" s="7">
        <f t="shared" si="234"/>
        <v>0</v>
      </c>
      <c r="I2143" s="7">
        <f>TRUNC([1]단가대비표!V129,0)</f>
        <v>0</v>
      </c>
      <c r="J2143" s="7">
        <f t="shared" si="235"/>
        <v>0</v>
      </c>
      <c r="K2143" s="7">
        <f t="shared" si="236"/>
        <v>50000</v>
      </c>
      <c r="L2143" s="7">
        <f t="shared" si="236"/>
        <v>3600000</v>
      </c>
      <c r="M2143" s="4" t="s">
        <v>55</v>
      </c>
      <c r="N2143" s="6" t="s">
        <v>607</v>
      </c>
      <c r="O2143" s="6" t="s">
        <v>55</v>
      </c>
      <c r="P2143" s="6" t="s">
        <v>55</v>
      </c>
      <c r="Q2143" s="6" t="s">
        <v>3426</v>
      </c>
      <c r="R2143" s="6" t="s">
        <v>56</v>
      </c>
      <c r="S2143" s="6" t="s">
        <v>56</v>
      </c>
      <c r="T2143" s="6" t="s">
        <v>57</v>
      </c>
      <c r="AR2143" s="6" t="s">
        <v>55</v>
      </c>
      <c r="AS2143" s="6" t="s">
        <v>55</v>
      </c>
      <c r="AU2143" s="6" t="s">
        <v>3428</v>
      </c>
      <c r="AV2143">
        <v>3400</v>
      </c>
    </row>
    <row r="2144" spans="1:48" ht="30" customHeight="1" x14ac:dyDescent="0.3">
      <c r="A2144" s="4" t="s">
        <v>3429</v>
      </c>
      <c r="B2144" s="4" t="s">
        <v>3430</v>
      </c>
      <c r="C2144" s="4" t="s">
        <v>269</v>
      </c>
      <c r="D2144" s="5">
        <v>301</v>
      </c>
      <c r="E2144" s="7">
        <f>TRUNC([1]일위대가목록!E246,0)</f>
        <v>764</v>
      </c>
      <c r="F2144" s="7">
        <f t="shared" si="233"/>
        <v>229964</v>
      </c>
      <c r="G2144" s="7">
        <f>TRUNC([1]일위대가목록!F246,0)</f>
        <v>3675</v>
      </c>
      <c r="H2144" s="7">
        <f t="shared" si="234"/>
        <v>1106175</v>
      </c>
      <c r="I2144" s="7">
        <f>TRUNC([1]일위대가목록!G246,0)</f>
        <v>73</v>
      </c>
      <c r="J2144" s="7">
        <f t="shared" si="235"/>
        <v>21973</v>
      </c>
      <c r="K2144" s="7">
        <f t="shared" si="236"/>
        <v>4512</v>
      </c>
      <c r="L2144" s="7">
        <f t="shared" si="236"/>
        <v>1358112</v>
      </c>
      <c r="M2144" s="4" t="s">
        <v>3431</v>
      </c>
      <c r="N2144" s="6" t="s">
        <v>3432</v>
      </c>
      <c r="O2144" s="6" t="s">
        <v>55</v>
      </c>
      <c r="P2144" s="6" t="s">
        <v>55</v>
      </c>
      <c r="Q2144" s="6" t="s">
        <v>3426</v>
      </c>
      <c r="R2144" s="6" t="s">
        <v>57</v>
      </c>
      <c r="S2144" s="6" t="s">
        <v>56</v>
      </c>
      <c r="T2144" s="6" t="s">
        <v>56</v>
      </c>
      <c r="AR2144" s="6" t="s">
        <v>55</v>
      </c>
      <c r="AS2144" s="6" t="s">
        <v>55</v>
      </c>
      <c r="AU2144" s="6" t="s">
        <v>3433</v>
      </c>
      <c r="AV2144">
        <v>1067</v>
      </c>
    </row>
    <row r="2145" spans="1:48" ht="30" customHeight="1" x14ac:dyDescent="0.3">
      <c r="A2145" s="4" t="s">
        <v>654</v>
      </c>
      <c r="B2145" s="4" t="s">
        <v>655</v>
      </c>
      <c r="C2145" s="4" t="s">
        <v>61</v>
      </c>
      <c r="D2145" s="5">
        <v>831</v>
      </c>
      <c r="E2145" s="7">
        <f>TRUNC([1]일위대가목록!E77,0)</f>
        <v>4000</v>
      </c>
      <c r="F2145" s="7">
        <f t="shared" si="233"/>
        <v>3324000</v>
      </c>
      <c r="G2145" s="7">
        <f>TRUNC([1]일위대가목록!F77,0)</f>
        <v>5500</v>
      </c>
      <c r="H2145" s="7">
        <f t="shared" si="234"/>
        <v>4570500</v>
      </c>
      <c r="I2145" s="7">
        <f>TRUNC([1]일위대가목록!G77,0)</f>
        <v>0</v>
      </c>
      <c r="J2145" s="7">
        <f t="shared" si="235"/>
        <v>0</v>
      </c>
      <c r="K2145" s="7">
        <f t="shared" si="236"/>
        <v>9500</v>
      </c>
      <c r="L2145" s="7">
        <f t="shared" si="236"/>
        <v>7894500</v>
      </c>
      <c r="M2145" s="4" t="s">
        <v>656</v>
      </c>
      <c r="N2145" s="6" t="s">
        <v>657</v>
      </c>
      <c r="O2145" s="6" t="s">
        <v>55</v>
      </c>
      <c r="P2145" s="6" t="s">
        <v>55</v>
      </c>
      <c r="Q2145" s="6" t="s">
        <v>3426</v>
      </c>
      <c r="R2145" s="6" t="s">
        <v>57</v>
      </c>
      <c r="S2145" s="6" t="s">
        <v>56</v>
      </c>
      <c r="T2145" s="6" t="s">
        <v>56</v>
      </c>
      <c r="AR2145" s="6" t="s">
        <v>55</v>
      </c>
      <c r="AS2145" s="6" t="s">
        <v>55</v>
      </c>
      <c r="AU2145" s="6" t="s">
        <v>3434</v>
      </c>
      <c r="AV2145">
        <v>1068</v>
      </c>
    </row>
    <row r="2146" spans="1:48" ht="30" customHeight="1" x14ac:dyDescent="0.3">
      <c r="A2146" s="4" t="s">
        <v>659</v>
      </c>
      <c r="B2146" s="4" t="s">
        <v>660</v>
      </c>
      <c r="C2146" s="4" t="s">
        <v>61</v>
      </c>
      <c r="D2146" s="5">
        <v>340</v>
      </c>
      <c r="E2146" s="7">
        <f>TRUNC([1]일위대가목록!E78,0)</f>
        <v>4000</v>
      </c>
      <c r="F2146" s="7">
        <f t="shared" si="233"/>
        <v>1360000</v>
      </c>
      <c r="G2146" s="7">
        <f>TRUNC([1]일위대가목록!F78,0)</f>
        <v>5500</v>
      </c>
      <c r="H2146" s="7">
        <f t="shared" si="234"/>
        <v>1870000</v>
      </c>
      <c r="I2146" s="7">
        <f>TRUNC([1]일위대가목록!G78,0)</f>
        <v>0</v>
      </c>
      <c r="J2146" s="7">
        <f t="shared" si="235"/>
        <v>0</v>
      </c>
      <c r="K2146" s="7">
        <f t="shared" si="236"/>
        <v>9500</v>
      </c>
      <c r="L2146" s="7">
        <f t="shared" si="236"/>
        <v>3230000</v>
      </c>
      <c r="M2146" s="4" t="s">
        <v>661</v>
      </c>
      <c r="N2146" s="6" t="s">
        <v>662</v>
      </c>
      <c r="O2146" s="6" t="s">
        <v>55</v>
      </c>
      <c r="P2146" s="6" t="s">
        <v>55</v>
      </c>
      <c r="Q2146" s="6" t="s">
        <v>3426</v>
      </c>
      <c r="R2146" s="6" t="s">
        <v>57</v>
      </c>
      <c r="S2146" s="6" t="s">
        <v>56</v>
      </c>
      <c r="T2146" s="6" t="s">
        <v>56</v>
      </c>
      <c r="AR2146" s="6" t="s">
        <v>55</v>
      </c>
      <c r="AS2146" s="6" t="s">
        <v>55</v>
      </c>
      <c r="AU2146" s="6" t="s">
        <v>3435</v>
      </c>
      <c r="AV2146">
        <v>1069</v>
      </c>
    </row>
    <row r="2147" spans="1:48" ht="30" customHeight="1" x14ac:dyDescent="0.3">
      <c r="A2147" s="4" t="s">
        <v>628</v>
      </c>
      <c r="B2147" s="4" t="s">
        <v>637</v>
      </c>
      <c r="C2147" s="4" t="s">
        <v>61</v>
      </c>
      <c r="D2147" s="5">
        <v>230</v>
      </c>
      <c r="E2147" s="7">
        <f>TRUNC([1]일위대가목록!E73,0)</f>
        <v>40546</v>
      </c>
      <c r="F2147" s="7">
        <f t="shared" si="233"/>
        <v>9325580</v>
      </c>
      <c r="G2147" s="7">
        <f>TRUNC([1]일위대가목록!F73,0)</f>
        <v>8338</v>
      </c>
      <c r="H2147" s="7">
        <f t="shared" si="234"/>
        <v>1917740</v>
      </c>
      <c r="I2147" s="7">
        <f>TRUNC([1]일위대가목록!G73,0)</f>
        <v>166</v>
      </c>
      <c r="J2147" s="7">
        <f t="shared" si="235"/>
        <v>38180</v>
      </c>
      <c r="K2147" s="7">
        <f t="shared" si="236"/>
        <v>49050</v>
      </c>
      <c r="L2147" s="7">
        <f t="shared" si="236"/>
        <v>11281500</v>
      </c>
      <c r="M2147" s="4" t="s">
        <v>638</v>
      </c>
      <c r="N2147" s="6" t="s">
        <v>639</v>
      </c>
      <c r="O2147" s="6" t="s">
        <v>55</v>
      </c>
      <c r="P2147" s="6" t="s">
        <v>55</v>
      </c>
      <c r="Q2147" s="6" t="s">
        <v>3426</v>
      </c>
      <c r="R2147" s="6" t="s">
        <v>57</v>
      </c>
      <c r="S2147" s="6" t="s">
        <v>56</v>
      </c>
      <c r="T2147" s="6" t="s">
        <v>56</v>
      </c>
      <c r="AR2147" s="6" t="s">
        <v>55</v>
      </c>
      <c r="AS2147" s="6" t="s">
        <v>55</v>
      </c>
      <c r="AU2147" s="6" t="s">
        <v>3436</v>
      </c>
      <c r="AV2147">
        <v>3258</v>
      </c>
    </row>
    <row r="2148" spans="1:48" ht="30" customHeight="1" x14ac:dyDescent="0.3">
      <c r="A2148" s="4" t="s">
        <v>628</v>
      </c>
      <c r="B2148" s="4" t="s">
        <v>629</v>
      </c>
      <c r="C2148" s="4" t="s">
        <v>61</v>
      </c>
      <c r="D2148" s="5">
        <v>67</v>
      </c>
      <c r="E2148" s="7">
        <f>TRUNC([1]일위대가목록!E71,0)</f>
        <v>13537</v>
      </c>
      <c r="F2148" s="7">
        <f t="shared" si="233"/>
        <v>906979</v>
      </c>
      <c r="G2148" s="7">
        <f>TRUNC([1]일위대가목록!F71,0)</f>
        <v>8338</v>
      </c>
      <c r="H2148" s="7">
        <f t="shared" si="234"/>
        <v>558646</v>
      </c>
      <c r="I2148" s="7">
        <f>TRUNC([1]일위대가목록!G71,0)</f>
        <v>166</v>
      </c>
      <c r="J2148" s="7">
        <f t="shared" si="235"/>
        <v>11122</v>
      </c>
      <c r="K2148" s="7">
        <f t="shared" si="236"/>
        <v>22041</v>
      </c>
      <c r="L2148" s="7">
        <f t="shared" si="236"/>
        <v>1476747</v>
      </c>
      <c r="M2148" s="4" t="s">
        <v>630</v>
      </c>
      <c r="N2148" s="6" t="s">
        <v>631</v>
      </c>
      <c r="O2148" s="6" t="s">
        <v>55</v>
      </c>
      <c r="P2148" s="6" t="s">
        <v>55</v>
      </c>
      <c r="Q2148" s="6" t="s">
        <v>3426</v>
      </c>
      <c r="R2148" s="6" t="s">
        <v>57</v>
      </c>
      <c r="S2148" s="6" t="s">
        <v>56</v>
      </c>
      <c r="T2148" s="6" t="s">
        <v>56</v>
      </c>
      <c r="AR2148" s="6" t="s">
        <v>55</v>
      </c>
      <c r="AS2148" s="6" t="s">
        <v>55</v>
      </c>
      <c r="AU2148" s="6" t="s">
        <v>3437</v>
      </c>
      <c r="AV2148">
        <v>3259</v>
      </c>
    </row>
    <row r="2149" spans="1:48" ht="30" customHeight="1" x14ac:dyDescent="0.3">
      <c r="A2149" s="4" t="s">
        <v>649</v>
      </c>
      <c r="B2149" s="4" t="s">
        <v>650</v>
      </c>
      <c r="C2149" s="4" t="s">
        <v>61</v>
      </c>
      <c r="D2149" s="5">
        <v>331</v>
      </c>
      <c r="E2149" s="7">
        <f>TRUNC([1]일위대가목록!E76,0)</f>
        <v>443</v>
      </c>
      <c r="F2149" s="7">
        <f t="shared" si="233"/>
        <v>146633</v>
      </c>
      <c r="G2149" s="7">
        <f>TRUNC([1]일위대가목록!F76,0)</f>
        <v>1301</v>
      </c>
      <c r="H2149" s="7">
        <f t="shared" si="234"/>
        <v>430631</v>
      </c>
      <c r="I2149" s="7">
        <f>TRUNC([1]일위대가목록!G76,0)</f>
        <v>0</v>
      </c>
      <c r="J2149" s="7">
        <f t="shared" si="235"/>
        <v>0</v>
      </c>
      <c r="K2149" s="7">
        <f t="shared" si="236"/>
        <v>1744</v>
      </c>
      <c r="L2149" s="7">
        <f t="shared" si="236"/>
        <v>577264</v>
      </c>
      <c r="M2149" s="4" t="s">
        <v>651</v>
      </c>
      <c r="N2149" s="6" t="s">
        <v>652</v>
      </c>
      <c r="O2149" s="6" t="s">
        <v>55</v>
      </c>
      <c r="P2149" s="6" t="s">
        <v>55</v>
      </c>
      <c r="Q2149" s="6" t="s">
        <v>3426</v>
      </c>
      <c r="R2149" s="6" t="s">
        <v>57</v>
      </c>
      <c r="S2149" s="6" t="s">
        <v>56</v>
      </c>
      <c r="T2149" s="6" t="s">
        <v>56</v>
      </c>
      <c r="AR2149" s="6" t="s">
        <v>55</v>
      </c>
      <c r="AS2149" s="6" t="s">
        <v>55</v>
      </c>
      <c r="AU2149" s="6" t="s">
        <v>3438</v>
      </c>
      <c r="AV2149">
        <v>1074</v>
      </c>
    </row>
    <row r="2150" spans="1:48" ht="30" customHeight="1" x14ac:dyDescent="0.3">
      <c r="A2150" s="4" t="s">
        <v>664</v>
      </c>
      <c r="B2150" s="4" t="s">
        <v>665</v>
      </c>
      <c r="C2150" s="4" t="s">
        <v>269</v>
      </c>
      <c r="D2150" s="5">
        <v>36</v>
      </c>
      <c r="E2150" s="7">
        <f>TRUNC([1]일위대가목록!E79,0)</f>
        <v>15201</v>
      </c>
      <c r="F2150" s="7">
        <f t="shared" si="233"/>
        <v>547236</v>
      </c>
      <c r="G2150" s="7">
        <f>TRUNC([1]일위대가목록!F79,0)</f>
        <v>9077</v>
      </c>
      <c r="H2150" s="7">
        <f t="shared" si="234"/>
        <v>326772</v>
      </c>
      <c r="I2150" s="7">
        <f>TRUNC([1]일위대가목록!G79,0)</f>
        <v>1800</v>
      </c>
      <c r="J2150" s="7">
        <f t="shared" si="235"/>
        <v>64800</v>
      </c>
      <c r="K2150" s="7">
        <f t="shared" si="236"/>
        <v>26078</v>
      </c>
      <c r="L2150" s="7">
        <f t="shared" si="236"/>
        <v>938808</v>
      </c>
      <c r="M2150" s="4" t="s">
        <v>666</v>
      </c>
      <c r="N2150" s="6" t="s">
        <v>667</v>
      </c>
      <c r="O2150" s="6" t="s">
        <v>55</v>
      </c>
      <c r="P2150" s="6" t="s">
        <v>55</v>
      </c>
      <c r="Q2150" s="6" t="s">
        <v>3426</v>
      </c>
      <c r="R2150" s="6" t="s">
        <v>57</v>
      </c>
      <c r="S2150" s="6" t="s">
        <v>56</v>
      </c>
      <c r="T2150" s="6" t="s">
        <v>56</v>
      </c>
      <c r="AR2150" s="6" t="s">
        <v>55</v>
      </c>
      <c r="AS2150" s="6" t="s">
        <v>55</v>
      </c>
      <c r="AU2150" s="6" t="s">
        <v>3439</v>
      </c>
      <c r="AV2150">
        <v>3495</v>
      </c>
    </row>
    <row r="2151" spans="1:48" ht="30" customHeight="1" x14ac:dyDescent="0.3">
      <c r="A2151" s="4" t="s">
        <v>55</v>
      </c>
      <c r="B2151" s="4" t="s">
        <v>55</v>
      </c>
      <c r="C2151" s="4" t="s">
        <v>55</v>
      </c>
      <c r="D2151" s="5"/>
      <c r="E2151" s="7">
        <f>TRUNC([1]단가대비표!O856,0)</f>
        <v>0</v>
      </c>
      <c r="F2151" s="7">
        <f t="shared" si="233"/>
        <v>0</v>
      </c>
      <c r="G2151" s="7">
        <f>TRUNC([1]단가대비표!P856,0)</f>
        <v>0</v>
      </c>
      <c r="H2151" s="7">
        <f t="shared" si="234"/>
        <v>0</v>
      </c>
      <c r="I2151" s="7">
        <f>TRUNC([1]단가대비표!V856,0)</f>
        <v>0</v>
      </c>
      <c r="J2151" s="7">
        <f t="shared" si="235"/>
        <v>0</v>
      </c>
      <c r="K2151" s="7">
        <f t="shared" si="236"/>
        <v>0</v>
      </c>
      <c r="L2151" s="7">
        <f t="shared" si="236"/>
        <v>0</v>
      </c>
      <c r="M2151" s="4" t="s">
        <v>55</v>
      </c>
      <c r="N2151" s="6" t="s">
        <v>3440</v>
      </c>
      <c r="O2151" s="6" t="s">
        <v>55</v>
      </c>
      <c r="P2151" s="6" t="s">
        <v>55</v>
      </c>
      <c r="Q2151" s="6" t="s">
        <v>3426</v>
      </c>
      <c r="R2151" s="6" t="s">
        <v>56</v>
      </c>
      <c r="S2151" s="6" t="s">
        <v>56</v>
      </c>
      <c r="T2151" s="6" t="s">
        <v>57</v>
      </c>
      <c r="AR2151" s="6" t="s">
        <v>55</v>
      </c>
      <c r="AS2151" s="6" t="s">
        <v>55</v>
      </c>
      <c r="AU2151" s="6" t="s">
        <v>3441</v>
      </c>
      <c r="AV2151">
        <v>3205</v>
      </c>
    </row>
    <row r="2152" spans="1:48" ht="30" customHeight="1" x14ac:dyDescent="0.3">
      <c r="A2152" s="4" t="s">
        <v>949</v>
      </c>
      <c r="B2152" s="4" t="s">
        <v>55</v>
      </c>
      <c r="C2152" s="4" t="s">
        <v>55</v>
      </c>
      <c r="D2152" s="5"/>
      <c r="E2152" s="7">
        <f>TRUNC([1]단가대비표!O816,0)</f>
        <v>0</v>
      </c>
      <c r="F2152" s="7">
        <f t="shared" si="233"/>
        <v>0</v>
      </c>
      <c r="G2152" s="7">
        <f>TRUNC([1]단가대비표!P816,0)</f>
        <v>0</v>
      </c>
      <c r="H2152" s="7">
        <f t="shared" si="234"/>
        <v>0</v>
      </c>
      <c r="I2152" s="7">
        <f>TRUNC([1]단가대비표!V816,0)</f>
        <v>0</v>
      </c>
      <c r="J2152" s="7">
        <f t="shared" si="235"/>
        <v>0</v>
      </c>
      <c r="K2152" s="7">
        <f t="shared" si="236"/>
        <v>0</v>
      </c>
      <c r="L2152" s="7">
        <f t="shared" si="236"/>
        <v>0</v>
      </c>
      <c r="M2152" s="4" t="s">
        <v>55</v>
      </c>
      <c r="N2152" s="6" t="s">
        <v>950</v>
      </c>
      <c r="O2152" s="6" t="s">
        <v>55</v>
      </c>
      <c r="P2152" s="6" t="s">
        <v>55</v>
      </c>
      <c r="Q2152" s="6" t="s">
        <v>3426</v>
      </c>
      <c r="R2152" s="6" t="s">
        <v>56</v>
      </c>
      <c r="S2152" s="6" t="s">
        <v>56</v>
      </c>
      <c r="T2152" s="6" t="s">
        <v>57</v>
      </c>
      <c r="AR2152" s="6" t="s">
        <v>55</v>
      </c>
      <c r="AS2152" s="6" t="s">
        <v>55</v>
      </c>
      <c r="AU2152" s="6" t="s">
        <v>3442</v>
      </c>
      <c r="AV2152">
        <v>3202</v>
      </c>
    </row>
    <row r="2153" spans="1:48" ht="30" customHeight="1" x14ac:dyDescent="0.3">
      <c r="A2153" s="4" t="s">
        <v>952</v>
      </c>
      <c r="B2153" s="4" t="s">
        <v>953</v>
      </c>
      <c r="C2153" s="4" t="s">
        <v>61</v>
      </c>
      <c r="D2153" s="5">
        <v>42</v>
      </c>
      <c r="E2153" s="7">
        <f>TRUNC([1]단가대비표!O817,0)</f>
        <v>16100</v>
      </c>
      <c r="F2153" s="7">
        <f t="shared" si="233"/>
        <v>676200</v>
      </c>
      <c r="G2153" s="7">
        <f>TRUNC([1]단가대비표!P817,0)</f>
        <v>0</v>
      </c>
      <c r="H2153" s="7">
        <f t="shared" si="234"/>
        <v>0</v>
      </c>
      <c r="I2153" s="7">
        <f>TRUNC([1]단가대비표!V817,0)</f>
        <v>0</v>
      </c>
      <c r="J2153" s="7">
        <f t="shared" si="235"/>
        <v>0</v>
      </c>
      <c r="K2153" s="7">
        <f t="shared" si="236"/>
        <v>16100</v>
      </c>
      <c r="L2153" s="7">
        <f t="shared" si="236"/>
        <v>676200</v>
      </c>
      <c r="M2153" s="4" t="s">
        <v>115</v>
      </c>
      <c r="N2153" s="6" t="s">
        <v>954</v>
      </c>
      <c r="O2153" s="6" t="s">
        <v>55</v>
      </c>
      <c r="P2153" s="6" t="s">
        <v>55</v>
      </c>
      <c r="Q2153" s="6" t="s">
        <v>3426</v>
      </c>
      <c r="R2153" s="6" t="s">
        <v>56</v>
      </c>
      <c r="S2153" s="6" t="s">
        <v>56</v>
      </c>
      <c r="T2153" s="6" t="s">
        <v>57</v>
      </c>
      <c r="AR2153" s="6" t="s">
        <v>55</v>
      </c>
      <c r="AS2153" s="6" t="s">
        <v>55</v>
      </c>
      <c r="AU2153" s="6" t="s">
        <v>3443</v>
      </c>
      <c r="AV2153">
        <v>3203</v>
      </c>
    </row>
    <row r="2154" spans="1:48" ht="30" customHeight="1" x14ac:dyDescent="0.3">
      <c r="A2154" s="4" t="s">
        <v>956</v>
      </c>
      <c r="B2154" s="4" t="s">
        <v>957</v>
      </c>
      <c r="C2154" s="4" t="s">
        <v>61</v>
      </c>
      <c r="D2154" s="5">
        <v>718</v>
      </c>
      <c r="E2154" s="7">
        <f>TRUNC([1]단가대비표!O818,0)</f>
        <v>32000</v>
      </c>
      <c r="F2154" s="7">
        <f t="shared" si="233"/>
        <v>22976000</v>
      </c>
      <c r="G2154" s="7">
        <f>TRUNC([1]단가대비표!P818,0)</f>
        <v>0</v>
      </c>
      <c r="H2154" s="7">
        <f t="shared" si="234"/>
        <v>0</v>
      </c>
      <c r="I2154" s="7">
        <f>TRUNC([1]단가대비표!V818,0)</f>
        <v>0</v>
      </c>
      <c r="J2154" s="7">
        <f t="shared" si="235"/>
        <v>0</v>
      </c>
      <c r="K2154" s="7">
        <f t="shared" si="236"/>
        <v>32000</v>
      </c>
      <c r="L2154" s="7">
        <f t="shared" si="236"/>
        <v>22976000</v>
      </c>
      <c r="M2154" s="4" t="s">
        <v>115</v>
      </c>
      <c r="N2154" s="6" t="s">
        <v>958</v>
      </c>
      <c r="O2154" s="6" t="s">
        <v>55</v>
      </c>
      <c r="P2154" s="6" t="s">
        <v>55</v>
      </c>
      <c r="Q2154" s="6" t="s">
        <v>3426</v>
      </c>
      <c r="R2154" s="6" t="s">
        <v>56</v>
      </c>
      <c r="S2154" s="6" t="s">
        <v>56</v>
      </c>
      <c r="T2154" s="6" t="s">
        <v>57</v>
      </c>
      <c r="AR2154" s="6" t="s">
        <v>55</v>
      </c>
      <c r="AS2154" s="6" t="s">
        <v>55</v>
      </c>
      <c r="AU2154" s="6" t="s">
        <v>3444</v>
      </c>
      <c r="AV2154">
        <v>3204</v>
      </c>
    </row>
    <row r="2155" spans="1:48" ht="30" customHeight="1" x14ac:dyDescent="0.3">
      <c r="A2155" s="4" t="s">
        <v>55</v>
      </c>
      <c r="B2155" s="4" t="s">
        <v>55</v>
      </c>
      <c r="C2155" s="4" t="s">
        <v>55</v>
      </c>
      <c r="D2155" s="5"/>
      <c r="E2155" s="7">
        <f>TRUNC([1]단가대비표!O889,0)</f>
        <v>0</v>
      </c>
      <c r="F2155" s="7">
        <f t="shared" si="233"/>
        <v>0</v>
      </c>
      <c r="G2155" s="7">
        <f>TRUNC([1]단가대비표!P889,0)</f>
        <v>0</v>
      </c>
      <c r="H2155" s="7">
        <f t="shared" si="234"/>
        <v>0</v>
      </c>
      <c r="I2155" s="7">
        <f>TRUNC([1]단가대비표!V889,0)</f>
        <v>0</v>
      </c>
      <c r="J2155" s="7">
        <f t="shared" si="235"/>
        <v>0</v>
      </c>
      <c r="K2155" s="7">
        <f t="shared" si="236"/>
        <v>0</v>
      </c>
      <c r="L2155" s="7">
        <f t="shared" si="236"/>
        <v>0</v>
      </c>
      <c r="M2155" s="4" t="s">
        <v>55</v>
      </c>
      <c r="N2155" s="6" t="s">
        <v>3445</v>
      </c>
      <c r="O2155" s="6" t="s">
        <v>55</v>
      </c>
      <c r="P2155" s="6" t="s">
        <v>55</v>
      </c>
      <c r="Q2155" s="6" t="s">
        <v>3426</v>
      </c>
      <c r="R2155" s="6" t="s">
        <v>56</v>
      </c>
      <c r="S2155" s="6" t="s">
        <v>56</v>
      </c>
      <c r="T2155" s="6" t="s">
        <v>57</v>
      </c>
      <c r="AR2155" s="6" t="s">
        <v>55</v>
      </c>
      <c r="AS2155" s="6" t="s">
        <v>55</v>
      </c>
      <c r="AU2155" s="6" t="s">
        <v>3446</v>
      </c>
      <c r="AV2155">
        <v>3311</v>
      </c>
    </row>
    <row r="2156" spans="1:48" ht="30" customHeight="1" x14ac:dyDescent="0.3">
      <c r="A2156" s="4" t="s">
        <v>893</v>
      </c>
      <c r="B2156" s="4" t="s">
        <v>55</v>
      </c>
      <c r="C2156" s="4" t="s">
        <v>55</v>
      </c>
      <c r="D2156" s="5"/>
      <c r="E2156" s="7">
        <f>TRUNC([1]단가대비표!O736,0)</f>
        <v>0</v>
      </c>
      <c r="F2156" s="7">
        <f t="shared" si="233"/>
        <v>0</v>
      </c>
      <c r="G2156" s="7">
        <f>TRUNC([1]단가대비표!P736,0)</f>
        <v>0</v>
      </c>
      <c r="H2156" s="7">
        <f t="shared" si="234"/>
        <v>0</v>
      </c>
      <c r="I2156" s="7">
        <f>TRUNC([1]단가대비표!V736,0)</f>
        <v>0</v>
      </c>
      <c r="J2156" s="7">
        <f t="shared" si="235"/>
        <v>0</v>
      </c>
      <c r="K2156" s="7">
        <f t="shared" si="236"/>
        <v>0</v>
      </c>
      <c r="L2156" s="7">
        <f t="shared" si="236"/>
        <v>0</v>
      </c>
      <c r="M2156" s="4" t="s">
        <v>55</v>
      </c>
      <c r="N2156" s="6" t="s">
        <v>894</v>
      </c>
      <c r="O2156" s="6" t="s">
        <v>55</v>
      </c>
      <c r="P2156" s="6" t="s">
        <v>55</v>
      </c>
      <c r="Q2156" s="6" t="s">
        <v>3426</v>
      </c>
      <c r="R2156" s="6" t="s">
        <v>56</v>
      </c>
      <c r="S2156" s="6" t="s">
        <v>56</v>
      </c>
      <c r="T2156" s="6" t="s">
        <v>57</v>
      </c>
      <c r="AR2156" s="6" t="s">
        <v>55</v>
      </c>
      <c r="AS2156" s="6" t="s">
        <v>55</v>
      </c>
      <c r="AU2156" s="6" t="s">
        <v>3447</v>
      </c>
      <c r="AV2156">
        <v>3308</v>
      </c>
    </row>
    <row r="2157" spans="1:48" ht="30" customHeight="1" x14ac:dyDescent="0.3">
      <c r="A2157" s="4" t="s">
        <v>896</v>
      </c>
      <c r="B2157" s="4" t="s">
        <v>897</v>
      </c>
      <c r="C2157" s="4" t="s">
        <v>61</v>
      </c>
      <c r="D2157" s="5">
        <v>660</v>
      </c>
      <c r="E2157" s="7">
        <f>TRUNC([1]일위대가목록!E80,0)</f>
        <v>7533</v>
      </c>
      <c r="F2157" s="7">
        <f t="shared" si="233"/>
        <v>4971780</v>
      </c>
      <c r="G2157" s="7">
        <f>TRUNC([1]일위대가목록!F80,0)</f>
        <v>13496</v>
      </c>
      <c r="H2157" s="7">
        <f t="shared" si="234"/>
        <v>8907360</v>
      </c>
      <c r="I2157" s="7">
        <f>TRUNC([1]일위대가목록!G80,0)</f>
        <v>0</v>
      </c>
      <c r="J2157" s="7">
        <f t="shared" si="235"/>
        <v>0</v>
      </c>
      <c r="K2157" s="7">
        <f t="shared" si="236"/>
        <v>21029</v>
      </c>
      <c r="L2157" s="7">
        <f t="shared" si="236"/>
        <v>13879140</v>
      </c>
      <c r="M2157" s="4" t="s">
        <v>898</v>
      </c>
      <c r="N2157" s="6" t="s">
        <v>899</v>
      </c>
      <c r="O2157" s="6" t="s">
        <v>55</v>
      </c>
      <c r="P2157" s="6" t="s">
        <v>55</v>
      </c>
      <c r="Q2157" s="6" t="s">
        <v>3426</v>
      </c>
      <c r="R2157" s="6" t="s">
        <v>57</v>
      </c>
      <c r="S2157" s="6" t="s">
        <v>56</v>
      </c>
      <c r="T2157" s="6" t="s">
        <v>56</v>
      </c>
      <c r="AR2157" s="6" t="s">
        <v>55</v>
      </c>
      <c r="AS2157" s="6" t="s">
        <v>55</v>
      </c>
      <c r="AU2157" s="6" t="s">
        <v>3448</v>
      </c>
      <c r="AV2157">
        <v>1070</v>
      </c>
    </row>
    <row r="2158" spans="1:48" ht="30" customHeight="1" x14ac:dyDescent="0.3">
      <c r="A2158" s="4" t="s">
        <v>896</v>
      </c>
      <c r="B2158" s="4" t="s">
        <v>901</v>
      </c>
      <c r="C2158" s="4" t="s">
        <v>61</v>
      </c>
      <c r="D2158" s="5">
        <v>22</v>
      </c>
      <c r="E2158" s="7">
        <f>TRUNC([1]일위대가목록!E81,0)</f>
        <v>22442</v>
      </c>
      <c r="F2158" s="7">
        <f t="shared" si="233"/>
        <v>493724</v>
      </c>
      <c r="G2158" s="7">
        <f>TRUNC([1]일위대가목록!F81,0)</f>
        <v>9040</v>
      </c>
      <c r="H2158" s="7">
        <f t="shared" si="234"/>
        <v>198880</v>
      </c>
      <c r="I2158" s="7">
        <f>TRUNC([1]일위대가목록!G81,0)</f>
        <v>0</v>
      </c>
      <c r="J2158" s="7">
        <f t="shared" si="235"/>
        <v>0</v>
      </c>
      <c r="K2158" s="7">
        <f t="shared" si="236"/>
        <v>31482</v>
      </c>
      <c r="L2158" s="7">
        <f t="shared" si="236"/>
        <v>692604</v>
      </c>
      <c r="M2158" s="4" t="s">
        <v>902</v>
      </c>
      <c r="N2158" s="6" t="s">
        <v>903</v>
      </c>
      <c r="O2158" s="6" t="s">
        <v>55</v>
      </c>
      <c r="P2158" s="6" t="s">
        <v>55</v>
      </c>
      <c r="Q2158" s="6" t="s">
        <v>3426</v>
      </c>
      <c r="R2158" s="6" t="s">
        <v>57</v>
      </c>
      <c r="S2158" s="6" t="s">
        <v>56</v>
      </c>
      <c r="T2158" s="6" t="s">
        <v>56</v>
      </c>
      <c r="AR2158" s="6" t="s">
        <v>55</v>
      </c>
      <c r="AS2158" s="6" t="s">
        <v>55</v>
      </c>
      <c r="AU2158" s="6" t="s">
        <v>3449</v>
      </c>
      <c r="AV2158">
        <v>1071</v>
      </c>
    </row>
    <row r="2159" spans="1:48" ht="30" customHeight="1" x14ac:dyDescent="0.3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</row>
    <row r="2160" spans="1:48" ht="30" customHeight="1" x14ac:dyDescent="0.3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</row>
    <row r="2161" spans="1:48" ht="30" customHeight="1" x14ac:dyDescent="0.3">
      <c r="A2161" s="4" t="s">
        <v>128</v>
      </c>
      <c r="B2161" s="5"/>
      <c r="C2161" s="5"/>
      <c r="D2161" s="5"/>
      <c r="E2161" s="5"/>
      <c r="F2161" s="7">
        <f>SUM(F2142:F2160)</f>
        <v>51357096</v>
      </c>
      <c r="G2161" s="5"/>
      <c r="H2161" s="7">
        <f>SUM(H2142:H2160)</f>
        <v>20819704</v>
      </c>
      <c r="I2161" s="5"/>
      <c r="J2161" s="7">
        <f>SUM(J2142:J2160)</f>
        <v>136075</v>
      </c>
      <c r="K2161" s="5"/>
      <c r="L2161" s="7">
        <f>SUM(L2142:L2160)</f>
        <v>72312875</v>
      </c>
      <c r="M2161" s="5"/>
      <c r="N2161" t="s">
        <v>129</v>
      </c>
    </row>
    <row r="2162" spans="1:48" ht="30" customHeight="1" x14ac:dyDescent="0.3">
      <c r="A2162" s="4" t="s">
        <v>3450</v>
      </c>
      <c r="B2162" s="4" t="s">
        <v>3350</v>
      </c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Q2162" s="6" t="s">
        <v>3451</v>
      </c>
    </row>
    <row r="2163" spans="1:48" ht="30" customHeight="1" x14ac:dyDescent="0.3">
      <c r="A2163" s="4" t="s">
        <v>969</v>
      </c>
      <c r="B2163" s="4" t="s">
        <v>970</v>
      </c>
      <c r="C2163" s="4" t="s">
        <v>61</v>
      </c>
      <c r="D2163" s="5">
        <v>216</v>
      </c>
      <c r="E2163" s="7">
        <f>TRUNC([1]단가대비표!O888,0)</f>
        <v>22083</v>
      </c>
      <c r="F2163" s="7">
        <f t="shared" ref="F2163:F2184" si="237">TRUNC(E2163*D2163, 0)</f>
        <v>4769928</v>
      </c>
      <c r="G2163" s="7">
        <f>TRUNC([1]단가대비표!P888,0)</f>
        <v>5001</v>
      </c>
      <c r="H2163" s="7">
        <f t="shared" ref="H2163:H2184" si="238">TRUNC(G2163*D2163, 0)</f>
        <v>1080216</v>
      </c>
      <c r="I2163" s="7">
        <f>TRUNC([1]단가대비표!V888,0)</f>
        <v>0</v>
      </c>
      <c r="J2163" s="7">
        <f t="shared" ref="J2163:J2184" si="239">TRUNC(I2163*D2163, 0)</f>
        <v>0</v>
      </c>
      <c r="K2163" s="7">
        <f t="shared" ref="K2163:L2184" si="240">TRUNC(E2163+G2163+I2163, 0)</f>
        <v>27084</v>
      </c>
      <c r="L2163" s="7">
        <f t="shared" si="240"/>
        <v>5850144</v>
      </c>
      <c r="M2163" s="4" t="s">
        <v>115</v>
      </c>
      <c r="N2163" s="6" t="s">
        <v>971</v>
      </c>
      <c r="O2163" s="6" t="s">
        <v>55</v>
      </c>
      <c r="P2163" s="6" t="s">
        <v>55</v>
      </c>
      <c r="Q2163" s="6" t="s">
        <v>3451</v>
      </c>
      <c r="R2163" s="6" t="s">
        <v>56</v>
      </c>
      <c r="S2163" s="6" t="s">
        <v>56</v>
      </c>
      <c r="T2163" s="6" t="s">
        <v>57</v>
      </c>
      <c r="AR2163" s="6" t="s">
        <v>55</v>
      </c>
      <c r="AS2163" s="6" t="s">
        <v>55</v>
      </c>
      <c r="AU2163" s="6" t="s">
        <v>3452</v>
      </c>
      <c r="AV2163">
        <v>3294</v>
      </c>
    </row>
    <row r="2164" spans="1:48" ht="30" customHeight="1" x14ac:dyDescent="0.3">
      <c r="A2164" s="4" t="s">
        <v>973</v>
      </c>
      <c r="B2164" s="4" t="s">
        <v>963</v>
      </c>
      <c r="C2164" s="4" t="s">
        <v>61</v>
      </c>
      <c r="D2164" s="5">
        <v>21</v>
      </c>
      <c r="E2164" s="7">
        <f>TRUNC([1]단가대비표!O883,0)</f>
        <v>15995</v>
      </c>
      <c r="F2164" s="7">
        <f t="shared" si="237"/>
        <v>335895</v>
      </c>
      <c r="G2164" s="7">
        <f>TRUNC([1]단가대비표!P883,0)</f>
        <v>5151</v>
      </c>
      <c r="H2164" s="7">
        <f t="shared" si="238"/>
        <v>108171</v>
      </c>
      <c r="I2164" s="7">
        <f>TRUNC([1]단가대비표!V883,0)</f>
        <v>0</v>
      </c>
      <c r="J2164" s="7">
        <f t="shared" si="239"/>
        <v>0</v>
      </c>
      <c r="K2164" s="7">
        <f t="shared" si="240"/>
        <v>21146</v>
      </c>
      <c r="L2164" s="7">
        <f t="shared" si="240"/>
        <v>444066</v>
      </c>
      <c r="M2164" s="4" t="s">
        <v>115</v>
      </c>
      <c r="N2164" s="6" t="s">
        <v>974</v>
      </c>
      <c r="O2164" s="6" t="s">
        <v>55</v>
      </c>
      <c r="P2164" s="6" t="s">
        <v>55</v>
      </c>
      <c r="Q2164" s="6" t="s">
        <v>3451</v>
      </c>
      <c r="R2164" s="6" t="s">
        <v>56</v>
      </c>
      <c r="S2164" s="6" t="s">
        <v>56</v>
      </c>
      <c r="T2164" s="6" t="s">
        <v>57</v>
      </c>
      <c r="AR2164" s="6" t="s">
        <v>55</v>
      </c>
      <c r="AS2164" s="6" t="s">
        <v>55</v>
      </c>
      <c r="AU2164" s="6" t="s">
        <v>3453</v>
      </c>
      <c r="AV2164">
        <v>3295</v>
      </c>
    </row>
    <row r="2165" spans="1:48" ht="30" customHeight="1" x14ac:dyDescent="0.3">
      <c r="A2165" s="4" t="s">
        <v>973</v>
      </c>
      <c r="B2165" s="4" t="s">
        <v>966</v>
      </c>
      <c r="C2165" s="4" t="s">
        <v>61</v>
      </c>
      <c r="D2165" s="5">
        <v>73</v>
      </c>
      <c r="E2165" s="7">
        <f>TRUNC([1]단가대비표!O884,0)</f>
        <v>15995</v>
      </c>
      <c r="F2165" s="7">
        <f t="shared" si="237"/>
        <v>1167635</v>
      </c>
      <c r="G2165" s="7">
        <f>TRUNC([1]단가대비표!P884,0)</f>
        <v>5151</v>
      </c>
      <c r="H2165" s="7">
        <f t="shared" si="238"/>
        <v>376023</v>
      </c>
      <c r="I2165" s="7">
        <f>TRUNC([1]단가대비표!V884,0)</f>
        <v>0</v>
      </c>
      <c r="J2165" s="7">
        <f t="shared" si="239"/>
        <v>0</v>
      </c>
      <c r="K2165" s="7">
        <f t="shared" si="240"/>
        <v>21146</v>
      </c>
      <c r="L2165" s="7">
        <f t="shared" si="240"/>
        <v>1543658</v>
      </c>
      <c r="M2165" s="4" t="s">
        <v>115</v>
      </c>
      <c r="N2165" s="6" t="s">
        <v>976</v>
      </c>
      <c r="O2165" s="6" t="s">
        <v>55</v>
      </c>
      <c r="P2165" s="6" t="s">
        <v>55</v>
      </c>
      <c r="Q2165" s="6" t="s">
        <v>3451</v>
      </c>
      <c r="R2165" s="6" t="s">
        <v>56</v>
      </c>
      <c r="S2165" s="6" t="s">
        <v>56</v>
      </c>
      <c r="T2165" s="6" t="s">
        <v>57</v>
      </c>
      <c r="AR2165" s="6" t="s">
        <v>55</v>
      </c>
      <c r="AS2165" s="6" t="s">
        <v>55</v>
      </c>
      <c r="AU2165" s="6" t="s">
        <v>3454</v>
      </c>
      <c r="AV2165">
        <v>3296</v>
      </c>
    </row>
    <row r="2166" spans="1:48" ht="30" customHeight="1" x14ac:dyDescent="0.3">
      <c r="A2166" s="4" t="s">
        <v>973</v>
      </c>
      <c r="B2166" s="4" t="s">
        <v>970</v>
      </c>
      <c r="C2166" s="4" t="s">
        <v>61</v>
      </c>
      <c r="D2166" s="5">
        <v>14</v>
      </c>
      <c r="E2166" s="7">
        <f>TRUNC([1]단가대비표!O885,0)</f>
        <v>15995</v>
      </c>
      <c r="F2166" s="7">
        <f t="shared" si="237"/>
        <v>223930</v>
      </c>
      <c r="G2166" s="7">
        <f>TRUNC([1]단가대비표!P885,0)</f>
        <v>5151</v>
      </c>
      <c r="H2166" s="7">
        <f t="shared" si="238"/>
        <v>72114</v>
      </c>
      <c r="I2166" s="7">
        <f>TRUNC([1]단가대비표!V885,0)</f>
        <v>0</v>
      </c>
      <c r="J2166" s="7">
        <f t="shared" si="239"/>
        <v>0</v>
      </c>
      <c r="K2166" s="7">
        <f t="shared" si="240"/>
        <v>21146</v>
      </c>
      <c r="L2166" s="7">
        <f t="shared" si="240"/>
        <v>296044</v>
      </c>
      <c r="M2166" s="4" t="s">
        <v>115</v>
      </c>
      <c r="N2166" s="6" t="s">
        <v>978</v>
      </c>
      <c r="O2166" s="6" t="s">
        <v>55</v>
      </c>
      <c r="P2166" s="6" t="s">
        <v>55</v>
      </c>
      <c r="Q2166" s="6" t="s">
        <v>3451</v>
      </c>
      <c r="R2166" s="6" t="s">
        <v>56</v>
      </c>
      <c r="S2166" s="6" t="s">
        <v>56</v>
      </c>
      <c r="T2166" s="6" t="s">
        <v>57</v>
      </c>
      <c r="AR2166" s="6" t="s">
        <v>55</v>
      </c>
      <c r="AS2166" s="6" t="s">
        <v>55</v>
      </c>
      <c r="AU2166" s="6" t="s">
        <v>3455</v>
      </c>
      <c r="AV2166">
        <v>3297</v>
      </c>
    </row>
    <row r="2167" spans="1:48" ht="30" customHeight="1" x14ac:dyDescent="0.3">
      <c r="A2167" s="4" t="s">
        <v>987</v>
      </c>
      <c r="B2167" s="4" t="s">
        <v>988</v>
      </c>
      <c r="C2167" s="4" t="s">
        <v>61</v>
      </c>
      <c r="D2167" s="5">
        <v>17</v>
      </c>
      <c r="E2167" s="7">
        <f>TRUNC([1]단가대비표!O886,0)</f>
        <v>2250</v>
      </c>
      <c r="F2167" s="7">
        <f t="shared" si="237"/>
        <v>38250</v>
      </c>
      <c r="G2167" s="7">
        <f>TRUNC([1]단가대비표!P886,0)</f>
        <v>7836</v>
      </c>
      <c r="H2167" s="7">
        <f t="shared" si="238"/>
        <v>133212</v>
      </c>
      <c r="I2167" s="7">
        <f>TRUNC([1]단가대비표!V886,0)</f>
        <v>0</v>
      </c>
      <c r="J2167" s="7">
        <f t="shared" si="239"/>
        <v>0</v>
      </c>
      <c r="K2167" s="7">
        <f t="shared" si="240"/>
        <v>10086</v>
      </c>
      <c r="L2167" s="7">
        <f t="shared" si="240"/>
        <v>171462</v>
      </c>
      <c r="M2167" s="4" t="s">
        <v>115</v>
      </c>
      <c r="N2167" s="6" t="s">
        <v>989</v>
      </c>
      <c r="O2167" s="6" t="s">
        <v>55</v>
      </c>
      <c r="P2167" s="6" t="s">
        <v>55</v>
      </c>
      <c r="Q2167" s="6" t="s">
        <v>3451</v>
      </c>
      <c r="R2167" s="6" t="s">
        <v>56</v>
      </c>
      <c r="S2167" s="6" t="s">
        <v>56</v>
      </c>
      <c r="T2167" s="6" t="s">
        <v>57</v>
      </c>
      <c r="AR2167" s="6" t="s">
        <v>55</v>
      </c>
      <c r="AS2167" s="6" t="s">
        <v>55</v>
      </c>
      <c r="AU2167" s="6" t="s">
        <v>3456</v>
      </c>
      <c r="AV2167">
        <v>3298</v>
      </c>
    </row>
    <row r="2168" spans="1:48" ht="30" customHeight="1" x14ac:dyDescent="0.3">
      <c r="A2168" s="4" t="s">
        <v>987</v>
      </c>
      <c r="B2168" s="4" t="s">
        <v>991</v>
      </c>
      <c r="C2168" s="4" t="s">
        <v>61</v>
      </c>
      <c r="D2168" s="5">
        <v>451</v>
      </c>
      <c r="E2168" s="7">
        <f>TRUNC([1]단가대비표!O887,0)</f>
        <v>2250</v>
      </c>
      <c r="F2168" s="7">
        <f t="shared" si="237"/>
        <v>1014750</v>
      </c>
      <c r="G2168" s="7">
        <f>TRUNC([1]단가대비표!P887,0)</f>
        <v>7836</v>
      </c>
      <c r="H2168" s="7">
        <f t="shared" si="238"/>
        <v>3534036</v>
      </c>
      <c r="I2168" s="7">
        <f>TRUNC([1]단가대비표!V887,0)</f>
        <v>0</v>
      </c>
      <c r="J2168" s="7">
        <f t="shared" si="239"/>
        <v>0</v>
      </c>
      <c r="K2168" s="7">
        <f t="shared" si="240"/>
        <v>10086</v>
      </c>
      <c r="L2168" s="7">
        <f t="shared" si="240"/>
        <v>4548786</v>
      </c>
      <c r="M2168" s="4" t="s">
        <v>115</v>
      </c>
      <c r="N2168" s="6" t="s">
        <v>992</v>
      </c>
      <c r="O2168" s="6" t="s">
        <v>55</v>
      </c>
      <c r="P2168" s="6" t="s">
        <v>55</v>
      </c>
      <c r="Q2168" s="6" t="s">
        <v>3451</v>
      </c>
      <c r="R2168" s="6" t="s">
        <v>56</v>
      </c>
      <c r="S2168" s="6" t="s">
        <v>56</v>
      </c>
      <c r="T2168" s="6" t="s">
        <v>57</v>
      </c>
      <c r="AR2168" s="6" t="s">
        <v>55</v>
      </c>
      <c r="AS2168" s="6" t="s">
        <v>55</v>
      </c>
      <c r="AU2168" s="6" t="s">
        <v>3457</v>
      </c>
      <c r="AV2168">
        <v>3299</v>
      </c>
    </row>
    <row r="2169" spans="1:48" ht="30" customHeight="1" x14ac:dyDescent="0.3">
      <c r="A2169" s="4" t="s">
        <v>3458</v>
      </c>
      <c r="B2169" s="4" t="s">
        <v>55</v>
      </c>
      <c r="C2169" s="4" t="s">
        <v>61</v>
      </c>
      <c r="D2169" s="5">
        <v>45</v>
      </c>
      <c r="E2169" s="7">
        <f>TRUNC([1]단가대비표!O857,0)</f>
        <v>7920</v>
      </c>
      <c r="F2169" s="7">
        <f t="shared" si="237"/>
        <v>356400</v>
      </c>
      <c r="G2169" s="7">
        <f>TRUNC([1]단가대비표!P857,0)</f>
        <v>5151</v>
      </c>
      <c r="H2169" s="7">
        <f t="shared" si="238"/>
        <v>231795</v>
      </c>
      <c r="I2169" s="7">
        <f>TRUNC([1]단가대비표!V857,0)</f>
        <v>0</v>
      </c>
      <c r="J2169" s="7">
        <f t="shared" si="239"/>
        <v>0</v>
      </c>
      <c r="K2169" s="7">
        <f t="shared" si="240"/>
        <v>13071</v>
      </c>
      <c r="L2169" s="7">
        <f t="shared" si="240"/>
        <v>588195</v>
      </c>
      <c r="M2169" s="4" t="s">
        <v>115</v>
      </c>
      <c r="N2169" s="6" t="s">
        <v>3459</v>
      </c>
      <c r="O2169" s="6" t="s">
        <v>55</v>
      </c>
      <c r="P2169" s="6" t="s">
        <v>55</v>
      </c>
      <c r="Q2169" s="6" t="s">
        <v>3451</v>
      </c>
      <c r="R2169" s="6" t="s">
        <v>56</v>
      </c>
      <c r="S2169" s="6" t="s">
        <v>56</v>
      </c>
      <c r="T2169" s="6" t="s">
        <v>57</v>
      </c>
      <c r="AR2169" s="6" t="s">
        <v>55</v>
      </c>
      <c r="AS2169" s="6" t="s">
        <v>55</v>
      </c>
      <c r="AU2169" s="6" t="s">
        <v>3460</v>
      </c>
      <c r="AV2169">
        <v>3206</v>
      </c>
    </row>
    <row r="2170" spans="1:48" ht="30" customHeight="1" x14ac:dyDescent="0.3">
      <c r="A2170" s="4" t="s">
        <v>994</v>
      </c>
      <c r="B2170" s="4" t="s">
        <v>55</v>
      </c>
      <c r="C2170" s="4" t="s">
        <v>269</v>
      </c>
      <c r="D2170" s="5">
        <v>113</v>
      </c>
      <c r="E2170" s="7">
        <f>TRUNC([1]일위대가목록!E201,0)</f>
        <v>12900</v>
      </c>
      <c r="F2170" s="7">
        <f t="shared" si="237"/>
        <v>1457700</v>
      </c>
      <c r="G2170" s="7">
        <f>TRUNC([1]일위대가목록!F201,0)</f>
        <v>12695</v>
      </c>
      <c r="H2170" s="7">
        <f t="shared" si="238"/>
        <v>1434535</v>
      </c>
      <c r="I2170" s="7">
        <f>TRUNC([1]일위대가목록!G201,0)</f>
        <v>254</v>
      </c>
      <c r="J2170" s="7">
        <f t="shared" si="239"/>
        <v>28702</v>
      </c>
      <c r="K2170" s="7">
        <f t="shared" si="240"/>
        <v>25849</v>
      </c>
      <c r="L2170" s="7">
        <f t="shared" si="240"/>
        <v>2920937</v>
      </c>
      <c r="M2170" s="4" t="s">
        <v>2396</v>
      </c>
      <c r="N2170" s="6" t="s">
        <v>2397</v>
      </c>
      <c r="O2170" s="6" t="s">
        <v>55</v>
      </c>
      <c r="P2170" s="6" t="s">
        <v>55</v>
      </c>
      <c r="Q2170" s="6" t="s">
        <v>3451</v>
      </c>
      <c r="R2170" s="6" t="s">
        <v>57</v>
      </c>
      <c r="S2170" s="6" t="s">
        <v>56</v>
      </c>
      <c r="T2170" s="6" t="s">
        <v>56</v>
      </c>
      <c r="AR2170" s="6" t="s">
        <v>55</v>
      </c>
      <c r="AS2170" s="6" t="s">
        <v>55</v>
      </c>
      <c r="AU2170" s="6" t="s">
        <v>3461</v>
      </c>
      <c r="AV2170">
        <v>1091</v>
      </c>
    </row>
    <row r="2171" spans="1:48" ht="30" customHeight="1" x14ac:dyDescent="0.3">
      <c r="A2171" s="4" t="s">
        <v>1014</v>
      </c>
      <c r="B2171" s="4" t="s">
        <v>1015</v>
      </c>
      <c r="C2171" s="4" t="s">
        <v>269</v>
      </c>
      <c r="D2171" s="5">
        <v>210</v>
      </c>
      <c r="E2171" s="7">
        <f>TRUNC([1]일위대가목록!E85,0)</f>
        <v>1151</v>
      </c>
      <c r="F2171" s="7">
        <f t="shared" si="237"/>
        <v>241710</v>
      </c>
      <c r="G2171" s="7">
        <f>TRUNC([1]일위대가목록!F85,0)</f>
        <v>7267</v>
      </c>
      <c r="H2171" s="7">
        <f t="shared" si="238"/>
        <v>1526070</v>
      </c>
      <c r="I2171" s="7">
        <f>TRUNC([1]일위대가목록!G85,0)</f>
        <v>60</v>
      </c>
      <c r="J2171" s="7">
        <f t="shared" si="239"/>
        <v>12600</v>
      </c>
      <c r="K2171" s="7">
        <f t="shared" si="240"/>
        <v>8478</v>
      </c>
      <c r="L2171" s="7">
        <f t="shared" si="240"/>
        <v>1780380</v>
      </c>
      <c r="M2171" s="4" t="s">
        <v>1016</v>
      </c>
      <c r="N2171" s="6" t="s">
        <v>1017</v>
      </c>
      <c r="O2171" s="6" t="s">
        <v>55</v>
      </c>
      <c r="P2171" s="6" t="s">
        <v>55</v>
      </c>
      <c r="Q2171" s="6" t="s">
        <v>3451</v>
      </c>
      <c r="R2171" s="6" t="s">
        <v>57</v>
      </c>
      <c r="S2171" s="6" t="s">
        <v>56</v>
      </c>
      <c r="T2171" s="6" t="s">
        <v>56</v>
      </c>
      <c r="AR2171" s="6" t="s">
        <v>55</v>
      </c>
      <c r="AS2171" s="6" t="s">
        <v>55</v>
      </c>
      <c r="AU2171" s="6" t="s">
        <v>3462</v>
      </c>
      <c r="AV2171">
        <v>1078</v>
      </c>
    </row>
    <row r="2172" spans="1:48" ht="30" customHeight="1" x14ac:dyDescent="0.3">
      <c r="A2172" s="4" t="s">
        <v>1019</v>
      </c>
      <c r="B2172" s="4" t="s">
        <v>1020</v>
      </c>
      <c r="C2172" s="4" t="s">
        <v>269</v>
      </c>
      <c r="D2172" s="5">
        <v>47</v>
      </c>
      <c r="E2172" s="7">
        <f>TRUNC([1]일위대가목록!E86,0)</f>
        <v>248</v>
      </c>
      <c r="F2172" s="7">
        <f t="shared" si="237"/>
        <v>11656</v>
      </c>
      <c r="G2172" s="7">
        <f>TRUNC([1]일위대가목록!F86,0)</f>
        <v>3221</v>
      </c>
      <c r="H2172" s="7">
        <f t="shared" si="238"/>
        <v>151387</v>
      </c>
      <c r="I2172" s="7">
        <f>TRUNC([1]일위대가목록!G86,0)</f>
        <v>0</v>
      </c>
      <c r="J2172" s="7">
        <f t="shared" si="239"/>
        <v>0</v>
      </c>
      <c r="K2172" s="7">
        <f t="shared" si="240"/>
        <v>3469</v>
      </c>
      <c r="L2172" s="7">
        <f t="shared" si="240"/>
        <v>163043</v>
      </c>
      <c r="M2172" s="4" t="s">
        <v>1021</v>
      </c>
      <c r="N2172" s="6" t="s">
        <v>1022</v>
      </c>
      <c r="O2172" s="6" t="s">
        <v>55</v>
      </c>
      <c r="P2172" s="6" t="s">
        <v>55</v>
      </c>
      <c r="Q2172" s="6" t="s">
        <v>3451</v>
      </c>
      <c r="R2172" s="6" t="s">
        <v>57</v>
      </c>
      <c r="S2172" s="6" t="s">
        <v>56</v>
      </c>
      <c r="T2172" s="6" t="s">
        <v>56</v>
      </c>
      <c r="AR2172" s="6" t="s">
        <v>55</v>
      </c>
      <c r="AS2172" s="6" t="s">
        <v>55</v>
      </c>
      <c r="AU2172" s="6" t="s">
        <v>3463</v>
      </c>
      <c r="AV2172">
        <v>2773</v>
      </c>
    </row>
    <row r="2173" spans="1:48" ht="30" customHeight="1" x14ac:dyDescent="0.3">
      <c r="A2173" s="4" t="s">
        <v>1019</v>
      </c>
      <c r="B2173" s="4" t="s">
        <v>1024</v>
      </c>
      <c r="C2173" s="4" t="s">
        <v>269</v>
      </c>
      <c r="D2173" s="5">
        <v>180</v>
      </c>
      <c r="E2173" s="7">
        <f>TRUNC([1]일위대가목록!E87,0)</f>
        <v>2404</v>
      </c>
      <c r="F2173" s="7">
        <f t="shared" si="237"/>
        <v>432720</v>
      </c>
      <c r="G2173" s="7">
        <f>TRUNC([1]일위대가목록!F87,0)</f>
        <v>3221</v>
      </c>
      <c r="H2173" s="7">
        <f t="shared" si="238"/>
        <v>579780</v>
      </c>
      <c r="I2173" s="7">
        <f>TRUNC([1]일위대가목록!G87,0)</f>
        <v>0</v>
      </c>
      <c r="J2173" s="7">
        <f t="shared" si="239"/>
        <v>0</v>
      </c>
      <c r="K2173" s="7">
        <f t="shared" si="240"/>
        <v>5625</v>
      </c>
      <c r="L2173" s="7">
        <f t="shared" si="240"/>
        <v>1012500</v>
      </c>
      <c r="M2173" s="4" t="s">
        <v>1025</v>
      </c>
      <c r="N2173" s="6" t="s">
        <v>1026</v>
      </c>
      <c r="O2173" s="6" t="s">
        <v>55</v>
      </c>
      <c r="P2173" s="6" t="s">
        <v>55</v>
      </c>
      <c r="Q2173" s="6" t="s">
        <v>3451</v>
      </c>
      <c r="R2173" s="6" t="s">
        <v>57</v>
      </c>
      <c r="S2173" s="6" t="s">
        <v>56</v>
      </c>
      <c r="T2173" s="6" t="s">
        <v>56</v>
      </c>
      <c r="AR2173" s="6" t="s">
        <v>55</v>
      </c>
      <c r="AS2173" s="6" t="s">
        <v>55</v>
      </c>
      <c r="AU2173" s="6" t="s">
        <v>3464</v>
      </c>
      <c r="AV2173">
        <v>2774</v>
      </c>
    </row>
    <row r="2174" spans="1:48" ht="30" customHeight="1" x14ac:dyDescent="0.3">
      <c r="A2174" s="4" t="s">
        <v>1019</v>
      </c>
      <c r="B2174" s="4" t="s">
        <v>1028</v>
      </c>
      <c r="C2174" s="4" t="s">
        <v>269</v>
      </c>
      <c r="D2174" s="5">
        <v>1801</v>
      </c>
      <c r="E2174" s="7">
        <f>TRUNC([1]일위대가목록!E88,0)</f>
        <v>767</v>
      </c>
      <c r="F2174" s="7">
        <f t="shared" si="237"/>
        <v>1381367</v>
      </c>
      <c r="G2174" s="7">
        <f>TRUNC([1]일위대가목록!F88,0)</f>
        <v>3221</v>
      </c>
      <c r="H2174" s="7">
        <f t="shared" si="238"/>
        <v>5801021</v>
      </c>
      <c r="I2174" s="7">
        <f>TRUNC([1]일위대가목록!G88,0)</f>
        <v>0</v>
      </c>
      <c r="J2174" s="7">
        <f t="shared" si="239"/>
        <v>0</v>
      </c>
      <c r="K2174" s="7">
        <f t="shared" si="240"/>
        <v>3988</v>
      </c>
      <c r="L2174" s="7">
        <f t="shared" si="240"/>
        <v>7182388</v>
      </c>
      <c r="M2174" s="4" t="s">
        <v>1029</v>
      </c>
      <c r="N2174" s="6" t="s">
        <v>1030</v>
      </c>
      <c r="O2174" s="6" t="s">
        <v>55</v>
      </c>
      <c r="P2174" s="6" t="s">
        <v>55</v>
      </c>
      <c r="Q2174" s="6" t="s">
        <v>3451</v>
      </c>
      <c r="R2174" s="6" t="s">
        <v>57</v>
      </c>
      <c r="S2174" s="6" t="s">
        <v>56</v>
      </c>
      <c r="T2174" s="6" t="s">
        <v>56</v>
      </c>
      <c r="AR2174" s="6" t="s">
        <v>55</v>
      </c>
      <c r="AS2174" s="6" t="s">
        <v>55</v>
      </c>
      <c r="AU2174" s="6" t="s">
        <v>3465</v>
      </c>
      <c r="AV2174">
        <v>2775</v>
      </c>
    </row>
    <row r="2175" spans="1:48" ht="30" customHeight="1" x14ac:dyDescent="0.3">
      <c r="A2175" s="4" t="s">
        <v>1032</v>
      </c>
      <c r="B2175" s="4" t="s">
        <v>1033</v>
      </c>
      <c r="C2175" s="4" t="s">
        <v>269</v>
      </c>
      <c r="D2175" s="5">
        <v>23</v>
      </c>
      <c r="E2175" s="7">
        <f>TRUNC([1]일위대가목록!E89,0)</f>
        <v>767</v>
      </c>
      <c r="F2175" s="7">
        <f t="shared" si="237"/>
        <v>17641</v>
      </c>
      <c r="G2175" s="7">
        <f>TRUNC([1]일위대가목록!F89,0)</f>
        <v>3221</v>
      </c>
      <c r="H2175" s="7">
        <f t="shared" si="238"/>
        <v>74083</v>
      </c>
      <c r="I2175" s="7">
        <f>TRUNC([1]일위대가목록!G89,0)</f>
        <v>0</v>
      </c>
      <c r="J2175" s="7">
        <f t="shared" si="239"/>
        <v>0</v>
      </c>
      <c r="K2175" s="7">
        <f t="shared" si="240"/>
        <v>3988</v>
      </c>
      <c r="L2175" s="7">
        <f t="shared" si="240"/>
        <v>91724</v>
      </c>
      <c r="M2175" s="4" t="s">
        <v>1034</v>
      </c>
      <c r="N2175" s="6" t="s">
        <v>1035</v>
      </c>
      <c r="O2175" s="6" t="s">
        <v>55</v>
      </c>
      <c r="P2175" s="6" t="s">
        <v>55</v>
      </c>
      <c r="Q2175" s="6" t="s">
        <v>3451</v>
      </c>
      <c r="R2175" s="6" t="s">
        <v>57</v>
      </c>
      <c r="S2175" s="6" t="s">
        <v>56</v>
      </c>
      <c r="T2175" s="6" t="s">
        <v>56</v>
      </c>
      <c r="AR2175" s="6" t="s">
        <v>55</v>
      </c>
      <c r="AS2175" s="6" t="s">
        <v>55</v>
      </c>
      <c r="AU2175" s="6" t="s">
        <v>3466</v>
      </c>
      <c r="AV2175">
        <v>2776</v>
      </c>
    </row>
    <row r="2176" spans="1:48" ht="30" customHeight="1" x14ac:dyDescent="0.3">
      <c r="A2176" s="4" t="s">
        <v>2404</v>
      </c>
      <c r="B2176" s="4" t="s">
        <v>2405</v>
      </c>
      <c r="C2176" s="4" t="s">
        <v>223</v>
      </c>
      <c r="D2176" s="5">
        <v>2</v>
      </c>
      <c r="E2176" s="7">
        <f>TRUNC([1]일위대가목록!E202,0)</f>
        <v>133642</v>
      </c>
      <c r="F2176" s="7">
        <f t="shared" si="237"/>
        <v>267284</v>
      </c>
      <c r="G2176" s="7">
        <f>TRUNC([1]일위대가목록!F202,0)</f>
        <v>188481</v>
      </c>
      <c r="H2176" s="7">
        <f t="shared" si="238"/>
        <v>376962</v>
      </c>
      <c r="I2176" s="7">
        <f>TRUNC([1]일위대가목록!G202,0)</f>
        <v>0</v>
      </c>
      <c r="J2176" s="7">
        <f t="shared" si="239"/>
        <v>0</v>
      </c>
      <c r="K2176" s="7">
        <f t="shared" si="240"/>
        <v>322123</v>
      </c>
      <c r="L2176" s="7">
        <f t="shared" si="240"/>
        <v>644246</v>
      </c>
      <c r="M2176" s="4" t="s">
        <v>2406</v>
      </c>
      <c r="N2176" s="6" t="s">
        <v>2407</v>
      </c>
      <c r="O2176" s="6" t="s">
        <v>55</v>
      </c>
      <c r="P2176" s="6" t="s">
        <v>55</v>
      </c>
      <c r="Q2176" s="6" t="s">
        <v>3451</v>
      </c>
      <c r="R2176" s="6" t="s">
        <v>57</v>
      </c>
      <c r="S2176" s="6" t="s">
        <v>56</v>
      </c>
      <c r="T2176" s="6" t="s">
        <v>56</v>
      </c>
      <c r="AR2176" s="6" t="s">
        <v>55</v>
      </c>
      <c r="AS2176" s="6" t="s">
        <v>55</v>
      </c>
      <c r="AU2176" s="6" t="s">
        <v>3467</v>
      </c>
      <c r="AV2176">
        <v>1086</v>
      </c>
    </row>
    <row r="2177" spans="1:48" ht="30" customHeight="1" x14ac:dyDescent="0.3">
      <c r="A2177" s="4" t="s">
        <v>1037</v>
      </c>
      <c r="B2177" s="4" t="s">
        <v>1038</v>
      </c>
      <c r="C2177" s="4" t="s">
        <v>61</v>
      </c>
      <c r="D2177" s="5">
        <v>29</v>
      </c>
      <c r="E2177" s="7">
        <f>TRUNC([1]일위대가목록!E90,0)</f>
        <v>2946</v>
      </c>
      <c r="F2177" s="7">
        <f t="shared" si="237"/>
        <v>85434</v>
      </c>
      <c r="G2177" s="7">
        <f>TRUNC([1]일위대가목록!F90,0)</f>
        <v>30626</v>
      </c>
      <c r="H2177" s="7">
        <f t="shared" si="238"/>
        <v>888154</v>
      </c>
      <c r="I2177" s="7">
        <f>TRUNC([1]일위대가목록!G90,0)</f>
        <v>0</v>
      </c>
      <c r="J2177" s="7">
        <f t="shared" si="239"/>
        <v>0</v>
      </c>
      <c r="K2177" s="7">
        <f t="shared" si="240"/>
        <v>33572</v>
      </c>
      <c r="L2177" s="7">
        <f t="shared" si="240"/>
        <v>973588</v>
      </c>
      <c r="M2177" s="4" t="s">
        <v>1039</v>
      </c>
      <c r="N2177" s="6" t="s">
        <v>1040</v>
      </c>
      <c r="O2177" s="6" t="s">
        <v>55</v>
      </c>
      <c r="P2177" s="6" t="s">
        <v>55</v>
      </c>
      <c r="Q2177" s="6" t="s">
        <v>3451</v>
      </c>
      <c r="R2177" s="6" t="s">
        <v>57</v>
      </c>
      <c r="S2177" s="6" t="s">
        <v>56</v>
      </c>
      <c r="T2177" s="6" t="s">
        <v>56</v>
      </c>
      <c r="AR2177" s="6" t="s">
        <v>55</v>
      </c>
      <c r="AS2177" s="6" t="s">
        <v>55</v>
      </c>
      <c r="AU2177" s="6" t="s">
        <v>3468</v>
      </c>
      <c r="AV2177">
        <v>1087</v>
      </c>
    </row>
    <row r="2178" spans="1:48" ht="30" customHeight="1" x14ac:dyDescent="0.3">
      <c r="A2178" s="4" t="s">
        <v>1042</v>
      </c>
      <c r="B2178" s="4" t="s">
        <v>1038</v>
      </c>
      <c r="C2178" s="4" t="s">
        <v>61</v>
      </c>
      <c r="D2178" s="5">
        <v>20</v>
      </c>
      <c r="E2178" s="7">
        <f>TRUNC([1]일위대가목록!E91,0)</f>
        <v>3227</v>
      </c>
      <c r="F2178" s="7">
        <f t="shared" si="237"/>
        <v>64540</v>
      </c>
      <c r="G2178" s="7">
        <f>TRUNC([1]일위대가목록!F91,0)</f>
        <v>31021</v>
      </c>
      <c r="H2178" s="7">
        <f t="shared" si="238"/>
        <v>620420</v>
      </c>
      <c r="I2178" s="7">
        <f>TRUNC([1]일위대가목록!G91,0)</f>
        <v>0</v>
      </c>
      <c r="J2178" s="7">
        <f t="shared" si="239"/>
        <v>0</v>
      </c>
      <c r="K2178" s="7">
        <f t="shared" si="240"/>
        <v>34248</v>
      </c>
      <c r="L2178" s="7">
        <f t="shared" si="240"/>
        <v>684960</v>
      </c>
      <c r="M2178" s="4" t="s">
        <v>1043</v>
      </c>
      <c r="N2178" s="6" t="s">
        <v>1044</v>
      </c>
      <c r="O2178" s="6" t="s">
        <v>55</v>
      </c>
      <c r="P2178" s="6" t="s">
        <v>55</v>
      </c>
      <c r="Q2178" s="6" t="s">
        <v>3451</v>
      </c>
      <c r="R2178" s="6" t="s">
        <v>57</v>
      </c>
      <c r="S2178" s="6" t="s">
        <v>56</v>
      </c>
      <c r="T2178" s="6" t="s">
        <v>56</v>
      </c>
      <c r="AR2178" s="6" t="s">
        <v>55</v>
      </c>
      <c r="AS2178" s="6" t="s">
        <v>55</v>
      </c>
      <c r="AU2178" s="6" t="s">
        <v>3469</v>
      </c>
      <c r="AV2178">
        <v>1088</v>
      </c>
    </row>
    <row r="2179" spans="1:48" ht="30" customHeight="1" x14ac:dyDescent="0.3">
      <c r="A2179" s="4" t="s">
        <v>1004</v>
      </c>
      <c r="B2179" s="4" t="s">
        <v>1005</v>
      </c>
      <c r="C2179" s="4" t="s">
        <v>61</v>
      </c>
      <c r="D2179" s="5">
        <v>230</v>
      </c>
      <c r="E2179" s="7">
        <f>TRUNC([1]일위대가목록!E203,0)</f>
        <v>4212</v>
      </c>
      <c r="F2179" s="7">
        <f t="shared" si="237"/>
        <v>968760</v>
      </c>
      <c r="G2179" s="7">
        <f>TRUNC([1]일위대가목록!F203,0)</f>
        <v>3564</v>
      </c>
      <c r="H2179" s="7">
        <f t="shared" si="238"/>
        <v>819720</v>
      </c>
      <c r="I2179" s="7">
        <f>TRUNC([1]일위대가목록!G203,0)</f>
        <v>0</v>
      </c>
      <c r="J2179" s="7">
        <f t="shared" si="239"/>
        <v>0</v>
      </c>
      <c r="K2179" s="7">
        <f t="shared" si="240"/>
        <v>7776</v>
      </c>
      <c r="L2179" s="7">
        <f t="shared" si="240"/>
        <v>1788480</v>
      </c>
      <c r="M2179" s="4" t="s">
        <v>2411</v>
      </c>
      <c r="N2179" s="6" t="s">
        <v>2412</v>
      </c>
      <c r="O2179" s="6" t="s">
        <v>55</v>
      </c>
      <c r="P2179" s="6" t="s">
        <v>55</v>
      </c>
      <c r="Q2179" s="6" t="s">
        <v>3451</v>
      </c>
      <c r="R2179" s="6" t="s">
        <v>57</v>
      </c>
      <c r="S2179" s="6" t="s">
        <v>56</v>
      </c>
      <c r="T2179" s="6" t="s">
        <v>56</v>
      </c>
      <c r="AR2179" s="6" t="s">
        <v>55</v>
      </c>
      <c r="AS2179" s="6" t="s">
        <v>55</v>
      </c>
      <c r="AU2179" s="6" t="s">
        <v>3470</v>
      </c>
      <c r="AV2179">
        <v>1089</v>
      </c>
    </row>
    <row r="2180" spans="1:48" ht="30" customHeight="1" x14ac:dyDescent="0.3">
      <c r="A2180" s="4" t="s">
        <v>1009</v>
      </c>
      <c r="B2180" s="4" t="s">
        <v>1010</v>
      </c>
      <c r="C2180" s="4" t="s">
        <v>61</v>
      </c>
      <c r="D2180" s="5">
        <v>73</v>
      </c>
      <c r="E2180" s="7">
        <f>TRUNC([1]일위대가목록!E84,0)</f>
        <v>4212</v>
      </c>
      <c r="F2180" s="7">
        <f t="shared" si="237"/>
        <v>307476</v>
      </c>
      <c r="G2180" s="7">
        <f>TRUNC([1]일위대가목록!F84,0)</f>
        <v>4633</v>
      </c>
      <c r="H2180" s="7">
        <f t="shared" si="238"/>
        <v>338209</v>
      </c>
      <c r="I2180" s="7">
        <f>TRUNC([1]일위대가목록!G84,0)</f>
        <v>0</v>
      </c>
      <c r="J2180" s="7">
        <f t="shared" si="239"/>
        <v>0</v>
      </c>
      <c r="K2180" s="7">
        <f t="shared" si="240"/>
        <v>8845</v>
      </c>
      <c r="L2180" s="7">
        <f t="shared" si="240"/>
        <v>645685</v>
      </c>
      <c r="M2180" s="4" t="s">
        <v>1011</v>
      </c>
      <c r="N2180" s="6" t="s">
        <v>1012</v>
      </c>
      <c r="O2180" s="6" t="s">
        <v>55</v>
      </c>
      <c r="P2180" s="6" t="s">
        <v>55</v>
      </c>
      <c r="Q2180" s="6" t="s">
        <v>3451</v>
      </c>
      <c r="R2180" s="6" t="s">
        <v>57</v>
      </c>
      <c r="S2180" s="6" t="s">
        <v>56</v>
      </c>
      <c r="T2180" s="6" t="s">
        <v>56</v>
      </c>
      <c r="AR2180" s="6" t="s">
        <v>55</v>
      </c>
      <c r="AS2180" s="6" t="s">
        <v>55</v>
      </c>
      <c r="AU2180" s="6" t="s">
        <v>3471</v>
      </c>
      <c r="AV2180">
        <v>1090</v>
      </c>
    </row>
    <row r="2181" spans="1:48" ht="30" customHeight="1" x14ac:dyDescent="0.3">
      <c r="A2181" s="4" t="s">
        <v>1051</v>
      </c>
      <c r="B2181" s="4" t="s">
        <v>998</v>
      </c>
      <c r="C2181" s="4" t="s">
        <v>269</v>
      </c>
      <c r="D2181" s="5">
        <v>213</v>
      </c>
      <c r="E2181" s="7">
        <f>TRUNC([1]일위대가목록!E93,0)</f>
        <v>4797</v>
      </c>
      <c r="F2181" s="7">
        <f t="shared" si="237"/>
        <v>1021761</v>
      </c>
      <c r="G2181" s="7">
        <f>TRUNC([1]일위대가목록!F93,0)</f>
        <v>1545</v>
      </c>
      <c r="H2181" s="7">
        <f t="shared" si="238"/>
        <v>329085</v>
      </c>
      <c r="I2181" s="7">
        <f>TRUNC([1]일위대가목록!G93,0)</f>
        <v>0</v>
      </c>
      <c r="J2181" s="7">
        <f t="shared" si="239"/>
        <v>0</v>
      </c>
      <c r="K2181" s="7">
        <f t="shared" si="240"/>
        <v>6342</v>
      </c>
      <c r="L2181" s="7">
        <f t="shared" si="240"/>
        <v>1350846</v>
      </c>
      <c r="M2181" s="4" t="s">
        <v>1052</v>
      </c>
      <c r="N2181" s="6" t="s">
        <v>1053</v>
      </c>
      <c r="O2181" s="6" t="s">
        <v>55</v>
      </c>
      <c r="P2181" s="6" t="s">
        <v>55</v>
      </c>
      <c r="Q2181" s="6" t="s">
        <v>3451</v>
      </c>
      <c r="R2181" s="6" t="s">
        <v>57</v>
      </c>
      <c r="S2181" s="6" t="s">
        <v>56</v>
      </c>
      <c r="T2181" s="6" t="s">
        <v>56</v>
      </c>
      <c r="AR2181" s="6" t="s">
        <v>55</v>
      </c>
      <c r="AS2181" s="6" t="s">
        <v>55</v>
      </c>
      <c r="AU2181" s="6" t="s">
        <v>3472</v>
      </c>
      <c r="AV2181">
        <v>1095</v>
      </c>
    </row>
    <row r="2182" spans="1:48" ht="30" customHeight="1" x14ac:dyDescent="0.3">
      <c r="A2182" s="4" t="s">
        <v>55</v>
      </c>
      <c r="B2182" s="4" t="s">
        <v>55</v>
      </c>
      <c r="C2182" s="4" t="s">
        <v>55</v>
      </c>
      <c r="D2182" s="5"/>
      <c r="E2182" s="7">
        <f>TRUNC([1]단가대비표!O858,0)</f>
        <v>0</v>
      </c>
      <c r="F2182" s="7">
        <f t="shared" si="237"/>
        <v>0</v>
      </c>
      <c r="G2182" s="7">
        <f>TRUNC([1]단가대비표!P858,0)</f>
        <v>0</v>
      </c>
      <c r="H2182" s="7">
        <f t="shared" si="238"/>
        <v>0</v>
      </c>
      <c r="I2182" s="7">
        <f>TRUNC([1]단가대비표!V858,0)</f>
        <v>0</v>
      </c>
      <c r="J2182" s="7">
        <f t="shared" si="239"/>
        <v>0</v>
      </c>
      <c r="K2182" s="7">
        <f t="shared" si="240"/>
        <v>0</v>
      </c>
      <c r="L2182" s="7">
        <f t="shared" si="240"/>
        <v>0</v>
      </c>
      <c r="M2182" s="4" t="s">
        <v>55</v>
      </c>
      <c r="N2182" s="6" t="s">
        <v>3473</v>
      </c>
      <c r="O2182" s="6" t="s">
        <v>55</v>
      </c>
      <c r="P2182" s="6" t="s">
        <v>55</v>
      </c>
      <c r="Q2182" s="6" t="s">
        <v>3451</v>
      </c>
      <c r="R2182" s="6" t="s">
        <v>56</v>
      </c>
      <c r="S2182" s="6" t="s">
        <v>56</v>
      </c>
      <c r="T2182" s="6" t="s">
        <v>57</v>
      </c>
      <c r="AR2182" s="6" t="s">
        <v>55</v>
      </c>
      <c r="AS2182" s="6" t="s">
        <v>55</v>
      </c>
      <c r="AU2182" s="6" t="s">
        <v>3474</v>
      </c>
      <c r="AV2182">
        <v>3207</v>
      </c>
    </row>
    <row r="2183" spans="1:48" ht="30" customHeight="1" x14ac:dyDescent="0.3">
      <c r="A2183" s="4" t="s">
        <v>1069</v>
      </c>
      <c r="B2183" s="4" t="s">
        <v>55</v>
      </c>
      <c r="C2183" s="4" t="s">
        <v>55</v>
      </c>
      <c r="D2183" s="5"/>
      <c r="E2183" s="7">
        <f>TRUNC([1]단가대비표!O859,0)</f>
        <v>0</v>
      </c>
      <c r="F2183" s="7">
        <f t="shared" si="237"/>
        <v>0</v>
      </c>
      <c r="G2183" s="7">
        <f>TRUNC([1]단가대비표!P859,0)</f>
        <v>0</v>
      </c>
      <c r="H2183" s="7">
        <f t="shared" si="238"/>
        <v>0</v>
      </c>
      <c r="I2183" s="7">
        <f>TRUNC([1]단가대비표!V859,0)</f>
        <v>0</v>
      </c>
      <c r="J2183" s="7">
        <f t="shared" si="239"/>
        <v>0</v>
      </c>
      <c r="K2183" s="7">
        <f t="shared" si="240"/>
        <v>0</v>
      </c>
      <c r="L2183" s="7">
        <f t="shared" si="240"/>
        <v>0</v>
      </c>
      <c r="M2183" s="4" t="s">
        <v>55</v>
      </c>
      <c r="N2183" s="6" t="s">
        <v>3475</v>
      </c>
      <c r="O2183" s="6" t="s">
        <v>55</v>
      </c>
      <c r="P2183" s="6" t="s">
        <v>55</v>
      </c>
      <c r="Q2183" s="6" t="s">
        <v>3451</v>
      </c>
      <c r="R2183" s="6" t="s">
        <v>56</v>
      </c>
      <c r="S2183" s="6" t="s">
        <v>56</v>
      </c>
      <c r="T2183" s="6" t="s">
        <v>57</v>
      </c>
      <c r="AR2183" s="6" t="s">
        <v>55</v>
      </c>
      <c r="AS2183" s="6" t="s">
        <v>55</v>
      </c>
      <c r="AU2183" s="6" t="s">
        <v>3476</v>
      </c>
      <c r="AV2183">
        <v>3208</v>
      </c>
    </row>
    <row r="2184" spans="1:48" ht="30" customHeight="1" x14ac:dyDescent="0.3">
      <c r="A2184" s="4" t="s">
        <v>3477</v>
      </c>
      <c r="B2184" s="4" t="s">
        <v>3478</v>
      </c>
      <c r="C2184" s="4" t="s">
        <v>61</v>
      </c>
      <c r="D2184" s="5">
        <v>234</v>
      </c>
      <c r="E2184" s="7">
        <f>TRUNC([1]단가대비표!O860,0)</f>
        <v>28000</v>
      </c>
      <c r="F2184" s="7">
        <f t="shared" si="237"/>
        <v>6552000</v>
      </c>
      <c r="G2184" s="7">
        <f>TRUNC([1]단가대비표!P860,0)</f>
        <v>6828</v>
      </c>
      <c r="H2184" s="7">
        <f t="shared" si="238"/>
        <v>1597752</v>
      </c>
      <c r="I2184" s="7">
        <f>TRUNC([1]단가대비표!V860,0)</f>
        <v>672</v>
      </c>
      <c r="J2184" s="7">
        <f t="shared" si="239"/>
        <v>157248</v>
      </c>
      <c r="K2184" s="7">
        <f t="shared" si="240"/>
        <v>35500</v>
      </c>
      <c r="L2184" s="7">
        <f t="shared" si="240"/>
        <v>8307000</v>
      </c>
      <c r="M2184" s="4" t="s">
        <v>115</v>
      </c>
      <c r="N2184" s="6" t="s">
        <v>3479</v>
      </c>
      <c r="O2184" s="6" t="s">
        <v>55</v>
      </c>
      <c r="P2184" s="6" t="s">
        <v>55</v>
      </c>
      <c r="Q2184" s="6" t="s">
        <v>3451</v>
      </c>
      <c r="R2184" s="6" t="s">
        <v>56</v>
      </c>
      <c r="S2184" s="6" t="s">
        <v>56</v>
      </c>
      <c r="T2184" s="6" t="s">
        <v>57</v>
      </c>
      <c r="AR2184" s="6" t="s">
        <v>55</v>
      </c>
      <c r="AS2184" s="6" t="s">
        <v>55</v>
      </c>
      <c r="AU2184" s="6" t="s">
        <v>3480</v>
      </c>
      <c r="AV2184">
        <v>3209</v>
      </c>
    </row>
    <row r="2185" spans="1:48" ht="30" customHeight="1" x14ac:dyDescent="0.3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</row>
    <row r="2186" spans="1:48" ht="30" customHeight="1" x14ac:dyDescent="0.3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</row>
    <row r="2187" spans="1:48" ht="30" customHeight="1" x14ac:dyDescent="0.3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</row>
    <row r="2188" spans="1:48" ht="30" customHeight="1" x14ac:dyDescent="0.3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</row>
    <row r="2189" spans="1:48" ht="30" customHeight="1" x14ac:dyDescent="0.3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</row>
    <row r="2190" spans="1:48" ht="30" customHeight="1" x14ac:dyDescent="0.3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</row>
    <row r="2191" spans="1:48" ht="30" customHeight="1" x14ac:dyDescent="0.3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</row>
    <row r="2192" spans="1:48" ht="30" customHeight="1" x14ac:dyDescent="0.3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</row>
    <row r="2193" spans="1:48" ht="30" customHeight="1" x14ac:dyDescent="0.3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</row>
    <row r="2194" spans="1:48" ht="30" customHeight="1" x14ac:dyDescent="0.3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</row>
    <row r="2195" spans="1:48" ht="30" customHeight="1" x14ac:dyDescent="0.3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</row>
    <row r="2196" spans="1:48" ht="30" customHeight="1" x14ac:dyDescent="0.3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</row>
    <row r="2197" spans="1:48" ht="30" customHeight="1" x14ac:dyDescent="0.3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</row>
    <row r="2198" spans="1:48" ht="30" customHeight="1" x14ac:dyDescent="0.3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</row>
    <row r="2199" spans="1:48" ht="30" customHeight="1" x14ac:dyDescent="0.3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</row>
    <row r="2200" spans="1:48" ht="30" customHeight="1" x14ac:dyDescent="0.3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</row>
    <row r="2201" spans="1:48" ht="30" customHeight="1" x14ac:dyDescent="0.3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</row>
    <row r="2202" spans="1:48" ht="30" customHeight="1" x14ac:dyDescent="0.3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</row>
    <row r="2203" spans="1:48" ht="30" customHeight="1" x14ac:dyDescent="0.3">
      <c r="A2203" s="4" t="s">
        <v>128</v>
      </c>
      <c r="B2203" s="5"/>
      <c r="C2203" s="5"/>
      <c r="D2203" s="5"/>
      <c r="E2203" s="5"/>
      <c r="F2203" s="7">
        <f>SUM(F2163:F2202)</f>
        <v>20716837</v>
      </c>
      <c r="G2203" s="5"/>
      <c r="H2203" s="7">
        <f>SUM(H2163:H2202)</f>
        <v>20072745</v>
      </c>
      <c r="I2203" s="5"/>
      <c r="J2203" s="7">
        <f>SUM(J2163:J2202)</f>
        <v>198550</v>
      </c>
      <c r="K2203" s="5"/>
      <c r="L2203" s="7">
        <f>SUM(L2163:L2202)</f>
        <v>40988132</v>
      </c>
      <c r="M2203" s="5"/>
      <c r="N2203" t="s">
        <v>129</v>
      </c>
    </row>
    <row r="2204" spans="1:48" ht="30" customHeight="1" x14ac:dyDescent="0.3">
      <c r="A2204" s="4" t="s">
        <v>3481</v>
      </c>
      <c r="B2204" s="4" t="s">
        <v>3350</v>
      </c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Q2204" s="6" t="s">
        <v>3482</v>
      </c>
    </row>
    <row r="2205" spans="1:48" ht="30" customHeight="1" x14ac:dyDescent="0.3">
      <c r="A2205" s="4" t="s">
        <v>1078</v>
      </c>
      <c r="B2205" s="4" t="s">
        <v>1079</v>
      </c>
      <c r="C2205" s="4" t="s">
        <v>81</v>
      </c>
      <c r="D2205" s="5">
        <v>5</v>
      </c>
      <c r="E2205" s="7">
        <f>TRUNC([1]단가대비표!O169,0)</f>
        <v>50000</v>
      </c>
      <c r="F2205" s="7">
        <f>TRUNC(E2205*D2205, 0)</f>
        <v>250000</v>
      </c>
      <c r="G2205" s="7">
        <f>TRUNC([1]단가대비표!P169,0)</f>
        <v>0</v>
      </c>
      <c r="H2205" s="7">
        <f>TRUNC(G2205*D2205, 0)</f>
        <v>0</v>
      </c>
      <c r="I2205" s="7">
        <f>TRUNC([1]단가대비표!V169,0)</f>
        <v>0</v>
      </c>
      <c r="J2205" s="7">
        <f>TRUNC(I2205*D2205, 0)</f>
        <v>0</v>
      </c>
      <c r="K2205" s="7">
        <f t="shared" ref="K2205:L2208" si="241">TRUNC(E2205+G2205+I2205, 0)</f>
        <v>50000</v>
      </c>
      <c r="L2205" s="7">
        <f t="shared" si="241"/>
        <v>250000</v>
      </c>
      <c r="M2205" s="4" t="s">
        <v>2754</v>
      </c>
      <c r="N2205" s="6" t="s">
        <v>1080</v>
      </c>
      <c r="O2205" s="6" t="s">
        <v>55</v>
      </c>
      <c r="P2205" s="6" t="s">
        <v>55</v>
      </c>
      <c r="Q2205" s="6" t="s">
        <v>3482</v>
      </c>
      <c r="R2205" s="6" t="s">
        <v>56</v>
      </c>
      <c r="S2205" s="6" t="s">
        <v>56</v>
      </c>
      <c r="T2205" s="6" t="s">
        <v>57</v>
      </c>
      <c r="AR2205" s="6" t="s">
        <v>55</v>
      </c>
      <c r="AS2205" s="6" t="s">
        <v>55</v>
      </c>
      <c r="AU2205" s="6" t="s">
        <v>3483</v>
      </c>
      <c r="AV2205">
        <v>1097</v>
      </c>
    </row>
    <row r="2206" spans="1:48" ht="30" customHeight="1" x14ac:dyDescent="0.3">
      <c r="A2206" s="4" t="s">
        <v>1082</v>
      </c>
      <c r="B2206" s="4" t="s">
        <v>1083</v>
      </c>
      <c r="C2206" s="4" t="s">
        <v>269</v>
      </c>
      <c r="D2206" s="5">
        <v>45</v>
      </c>
      <c r="E2206" s="7">
        <f>TRUNC([1]일위대가목록!E94,0)</f>
        <v>24592</v>
      </c>
      <c r="F2206" s="7">
        <f>TRUNC(E2206*D2206, 0)</f>
        <v>1106640</v>
      </c>
      <c r="G2206" s="7">
        <f>TRUNC([1]일위대가목록!F94,0)</f>
        <v>16394</v>
      </c>
      <c r="H2206" s="7">
        <f>TRUNC(G2206*D2206, 0)</f>
        <v>737730</v>
      </c>
      <c r="I2206" s="7">
        <f>TRUNC([1]일위대가목록!G94,0)</f>
        <v>0</v>
      </c>
      <c r="J2206" s="7">
        <f>TRUNC(I2206*D2206, 0)</f>
        <v>0</v>
      </c>
      <c r="K2206" s="7">
        <f t="shared" si="241"/>
        <v>40986</v>
      </c>
      <c r="L2206" s="7">
        <f t="shared" si="241"/>
        <v>1844370</v>
      </c>
      <c r="M2206" s="4" t="s">
        <v>1084</v>
      </c>
      <c r="N2206" s="6" t="s">
        <v>1085</v>
      </c>
      <c r="O2206" s="6" t="s">
        <v>55</v>
      </c>
      <c r="P2206" s="6" t="s">
        <v>55</v>
      </c>
      <c r="Q2206" s="6" t="s">
        <v>3482</v>
      </c>
      <c r="R2206" s="6" t="s">
        <v>57</v>
      </c>
      <c r="S2206" s="6" t="s">
        <v>56</v>
      </c>
      <c r="T2206" s="6" t="s">
        <v>56</v>
      </c>
      <c r="AR2206" s="6" t="s">
        <v>55</v>
      </c>
      <c r="AS2206" s="6" t="s">
        <v>55</v>
      </c>
      <c r="AU2206" s="6" t="s">
        <v>3484</v>
      </c>
      <c r="AV2206">
        <v>2777</v>
      </c>
    </row>
    <row r="2207" spans="1:48" ht="30" customHeight="1" x14ac:dyDescent="0.3">
      <c r="A2207" s="4" t="s">
        <v>1091</v>
      </c>
      <c r="B2207" s="4" t="s">
        <v>1092</v>
      </c>
      <c r="C2207" s="4" t="s">
        <v>81</v>
      </c>
      <c r="D2207" s="5">
        <v>5</v>
      </c>
      <c r="E2207" s="7">
        <f>TRUNC([1]일위대가목록!E215,0)</f>
        <v>22249</v>
      </c>
      <c r="F2207" s="7">
        <f>TRUNC(E2207*D2207, 0)</f>
        <v>111245</v>
      </c>
      <c r="G2207" s="7">
        <f>TRUNC([1]일위대가목록!F215,0)</f>
        <v>28354</v>
      </c>
      <c r="H2207" s="7">
        <f>TRUNC(G2207*D2207, 0)</f>
        <v>141770</v>
      </c>
      <c r="I2207" s="7">
        <f>TRUNC([1]일위대가목록!G215,0)</f>
        <v>1134</v>
      </c>
      <c r="J2207" s="7">
        <f>TRUNC(I2207*D2207, 0)</f>
        <v>5670</v>
      </c>
      <c r="K2207" s="7">
        <f t="shared" si="241"/>
        <v>51737</v>
      </c>
      <c r="L2207" s="7">
        <f t="shared" si="241"/>
        <v>258685</v>
      </c>
      <c r="M2207" s="4" t="s">
        <v>2757</v>
      </c>
      <c r="N2207" s="6" t="s">
        <v>2758</v>
      </c>
      <c r="O2207" s="6" t="s">
        <v>55</v>
      </c>
      <c r="P2207" s="6" t="s">
        <v>55</v>
      </c>
      <c r="Q2207" s="6" t="s">
        <v>3482</v>
      </c>
      <c r="R2207" s="6" t="s">
        <v>57</v>
      </c>
      <c r="S2207" s="6" t="s">
        <v>56</v>
      </c>
      <c r="T2207" s="6" t="s">
        <v>56</v>
      </c>
      <c r="AR2207" s="6" t="s">
        <v>55</v>
      </c>
      <c r="AS2207" s="6" t="s">
        <v>55</v>
      </c>
      <c r="AU2207" s="6" t="s">
        <v>3485</v>
      </c>
      <c r="AV2207">
        <v>1099</v>
      </c>
    </row>
    <row r="2208" spans="1:48" ht="30" customHeight="1" x14ac:dyDescent="0.3">
      <c r="A2208" s="4" t="s">
        <v>1096</v>
      </c>
      <c r="B2208" s="4" t="s">
        <v>1097</v>
      </c>
      <c r="C2208" s="4" t="s">
        <v>488</v>
      </c>
      <c r="D2208" s="5">
        <v>5</v>
      </c>
      <c r="E2208" s="7">
        <f>TRUNC([1]일위대가목록!E97,0)</f>
        <v>27523</v>
      </c>
      <c r="F2208" s="7">
        <f>TRUNC(E2208*D2208, 0)</f>
        <v>137615</v>
      </c>
      <c r="G2208" s="7">
        <f>TRUNC([1]일위대가목록!F97,0)</f>
        <v>23444</v>
      </c>
      <c r="H2208" s="7">
        <f>TRUNC(G2208*D2208, 0)</f>
        <v>117220</v>
      </c>
      <c r="I2208" s="7">
        <f>TRUNC([1]일위대가목록!G97,0)</f>
        <v>0</v>
      </c>
      <c r="J2208" s="7">
        <f>TRUNC(I2208*D2208, 0)</f>
        <v>0</v>
      </c>
      <c r="K2208" s="7">
        <f t="shared" si="241"/>
        <v>50967</v>
      </c>
      <c r="L2208" s="7">
        <f t="shared" si="241"/>
        <v>254835</v>
      </c>
      <c r="M2208" s="4" t="s">
        <v>1098</v>
      </c>
      <c r="N2208" s="6" t="s">
        <v>1099</v>
      </c>
      <c r="O2208" s="6" t="s">
        <v>55</v>
      </c>
      <c r="P2208" s="6" t="s">
        <v>55</v>
      </c>
      <c r="Q2208" s="6" t="s">
        <v>3482</v>
      </c>
      <c r="R2208" s="6" t="s">
        <v>57</v>
      </c>
      <c r="S2208" s="6" t="s">
        <v>56</v>
      </c>
      <c r="T2208" s="6" t="s">
        <v>56</v>
      </c>
      <c r="AR2208" s="6" t="s">
        <v>55</v>
      </c>
      <c r="AS2208" s="6" t="s">
        <v>55</v>
      </c>
      <c r="AU2208" s="6" t="s">
        <v>3486</v>
      </c>
      <c r="AV2208">
        <v>2778</v>
      </c>
    </row>
    <row r="2209" spans="1:14" ht="30" customHeight="1" x14ac:dyDescent="0.3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</row>
    <row r="2210" spans="1:14" ht="30" customHeight="1" x14ac:dyDescent="0.3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</row>
    <row r="2211" spans="1:14" ht="30" customHeight="1" x14ac:dyDescent="0.3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</row>
    <row r="2212" spans="1:14" ht="30" customHeight="1" x14ac:dyDescent="0.3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</row>
    <row r="2213" spans="1:14" ht="30" customHeight="1" x14ac:dyDescent="0.3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</row>
    <row r="2214" spans="1:14" ht="30" customHeight="1" x14ac:dyDescent="0.3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</row>
    <row r="2215" spans="1:14" ht="30" customHeight="1" x14ac:dyDescent="0.3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</row>
    <row r="2216" spans="1:14" ht="30" customHeight="1" x14ac:dyDescent="0.3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</row>
    <row r="2217" spans="1:14" ht="30" customHeight="1" x14ac:dyDescent="0.3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</row>
    <row r="2218" spans="1:14" ht="30" customHeight="1" x14ac:dyDescent="0.3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</row>
    <row r="2219" spans="1:14" ht="30" customHeight="1" x14ac:dyDescent="0.3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</row>
    <row r="2220" spans="1:14" ht="30" customHeight="1" x14ac:dyDescent="0.3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</row>
    <row r="2221" spans="1:14" ht="30" customHeight="1" x14ac:dyDescent="0.3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</row>
    <row r="2222" spans="1:14" ht="30" customHeight="1" x14ac:dyDescent="0.3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</row>
    <row r="2223" spans="1:14" ht="30" customHeight="1" x14ac:dyDescent="0.3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</row>
    <row r="2224" spans="1:14" ht="30" customHeight="1" x14ac:dyDescent="0.3">
      <c r="A2224" s="4" t="s">
        <v>128</v>
      </c>
      <c r="B2224" s="5"/>
      <c r="C2224" s="5"/>
      <c r="D2224" s="5"/>
      <c r="E2224" s="5"/>
      <c r="F2224" s="7">
        <f>SUM(F2205:F2223)</f>
        <v>1605500</v>
      </c>
      <c r="G2224" s="5"/>
      <c r="H2224" s="7">
        <f>SUM(H2205:H2223)</f>
        <v>996720</v>
      </c>
      <c r="I2224" s="5"/>
      <c r="J2224" s="7">
        <f>SUM(J2205:J2223)</f>
        <v>5670</v>
      </c>
      <c r="K2224" s="5"/>
      <c r="L2224" s="7">
        <f>SUM(L2205:L2223)</f>
        <v>2607890</v>
      </c>
      <c r="M2224" s="5"/>
      <c r="N2224" t="s">
        <v>129</v>
      </c>
    </row>
    <row r="2225" spans="1:48" ht="30" customHeight="1" x14ac:dyDescent="0.3">
      <c r="A2225" s="4" t="s">
        <v>3487</v>
      </c>
      <c r="B2225" s="4" t="s">
        <v>3350</v>
      </c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Q2225" s="6" t="s">
        <v>3488</v>
      </c>
    </row>
    <row r="2226" spans="1:48" ht="30" customHeight="1" x14ac:dyDescent="0.3">
      <c r="A2226" s="4" t="s">
        <v>1111</v>
      </c>
      <c r="B2226" s="4" t="s">
        <v>1112</v>
      </c>
      <c r="C2226" s="4" t="s">
        <v>81</v>
      </c>
      <c r="D2226" s="5">
        <v>64</v>
      </c>
      <c r="E2226" s="7">
        <f>TRUNC([1]단가대비표!O163,0)</f>
        <v>12000</v>
      </c>
      <c r="F2226" s="7">
        <f t="shared" ref="F2226:F2248" si="242">TRUNC(E2226*D2226, 0)</f>
        <v>768000</v>
      </c>
      <c r="G2226" s="7">
        <f>TRUNC([1]단가대비표!P163,0)</f>
        <v>0</v>
      </c>
      <c r="H2226" s="7">
        <f t="shared" ref="H2226:H2248" si="243">TRUNC(G2226*D2226, 0)</f>
        <v>0</v>
      </c>
      <c r="I2226" s="7">
        <f>TRUNC([1]단가대비표!V163,0)</f>
        <v>0</v>
      </c>
      <c r="J2226" s="7">
        <f t="shared" ref="J2226:J2248" si="244">TRUNC(I2226*D2226, 0)</f>
        <v>0</v>
      </c>
      <c r="K2226" s="7">
        <f t="shared" ref="K2226:L2248" si="245">TRUNC(E2226+G2226+I2226, 0)</f>
        <v>12000</v>
      </c>
      <c r="L2226" s="7">
        <f t="shared" si="245"/>
        <v>768000</v>
      </c>
      <c r="M2226" s="4" t="s">
        <v>55</v>
      </c>
      <c r="N2226" s="6" t="s">
        <v>1113</v>
      </c>
      <c r="O2226" s="6" t="s">
        <v>55</v>
      </c>
      <c r="P2226" s="6" t="s">
        <v>55</v>
      </c>
      <c r="Q2226" s="6" t="s">
        <v>3488</v>
      </c>
      <c r="R2226" s="6" t="s">
        <v>56</v>
      </c>
      <c r="S2226" s="6" t="s">
        <v>56</v>
      </c>
      <c r="T2226" s="6" t="s">
        <v>57</v>
      </c>
      <c r="AR2226" s="6" t="s">
        <v>55</v>
      </c>
      <c r="AS2226" s="6" t="s">
        <v>55</v>
      </c>
      <c r="AU2226" s="6" t="s">
        <v>3489</v>
      </c>
      <c r="AV2226">
        <v>1102</v>
      </c>
    </row>
    <row r="2227" spans="1:48" ht="30" customHeight="1" x14ac:dyDescent="0.3">
      <c r="A2227" s="4" t="s">
        <v>1120</v>
      </c>
      <c r="B2227" s="4" t="s">
        <v>1121</v>
      </c>
      <c r="C2227" s="4" t="s">
        <v>269</v>
      </c>
      <c r="D2227" s="5">
        <v>152</v>
      </c>
      <c r="E2227" s="7">
        <f>TRUNC([1]일위대가목록!E101,0)</f>
        <v>534</v>
      </c>
      <c r="F2227" s="7">
        <f t="shared" si="242"/>
        <v>81168</v>
      </c>
      <c r="G2227" s="7">
        <f>TRUNC([1]일위대가목록!F101,0)</f>
        <v>4096</v>
      </c>
      <c r="H2227" s="7">
        <f t="shared" si="243"/>
        <v>622592</v>
      </c>
      <c r="I2227" s="7">
        <f>TRUNC([1]일위대가목록!G101,0)</f>
        <v>0</v>
      </c>
      <c r="J2227" s="7">
        <f t="shared" si="244"/>
        <v>0</v>
      </c>
      <c r="K2227" s="7">
        <f t="shared" si="245"/>
        <v>4630</v>
      </c>
      <c r="L2227" s="7">
        <f t="shared" si="245"/>
        <v>703760</v>
      </c>
      <c r="M2227" s="4" t="s">
        <v>1122</v>
      </c>
      <c r="N2227" s="6" t="s">
        <v>1123</v>
      </c>
      <c r="O2227" s="6" t="s">
        <v>55</v>
      </c>
      <c r="P2227" s="6" t="s">
        <v>55</v>
      </c>
      <c r="Q2227" s="6" t="s">
        <v>3488</v>
      </c>
      <c r="R2227" s="6" t="s">
        <v>57</v>
      </c>
      <c r="S2227" s="6" t="s">
        <v>56</v>
      </c>
      <c r="T2227" s="6" t="s">
        <v>56</v>
      </c>
      <c r="AR2227" s="6" t="s">
        <v>55</v>
      </c>
      <c r="AS2227" s="6" t="s">
        <v>55</v>
      </c>
      <c r="AU2227" s="6" t="s">
        <v>3490</v>
      </c>
      <c r="AV2227">
        <v>2779</v>
      </c>
    </row>
    <row r="2228" spans="1:48" ht="30" customHeight="1" x14ac:dyDescent="0.3">
      <c r="A2228" s="4" t="s">
        <v>1135</v>
      </c>
      <c r="B2228" s="4" t="s">
        <v>1136</v>
      </c>
      <c r="C2228" s="4" t="s">
        <v>125</v>
      </c>
      <c r="D2228" s="5">
        <v>1</v>
      </c>
      <c r="E2228" s="7">
        <f>TRUNC([1]일위대가목록!E216,0)</f>
        <v>50964</v>
      </c>
      <c r="F2228" s="7">
        <f t="shared" si="242"/>
        <v>50964</v>
      </c>
      <c r="G2228" s="7">
        <f>TRUNC([1]일위대가목록!F216,0)</f>
        <v>55914</v>
      </c>
      <c r="H2228" s="7">
        <f t="shared" si="243"/>
        <v>55914</v>
      </c>
      <c r="I2228" s="7">
        <f>TRUNC([1]일위대가목록!G216,0)</f>
        <v>2235</v>
      </c>
      <c r="J2228" s="7">
        <f t="shared" si="244"/>
        <v>2235</v>
      </c>
      <c r="K2228" s="7">
        <f t="shared" si="245"/>
        <v>109113</v>
      </c>
      <c r="L2228" s="7">
        <f t="shared" si="245"/>
        <v>109113</v>
      </c>
      <c r="M2228" s="4" t="s">
        <v>2767</v>
      </c>
      <c r="N2228" s="6" t="s">
        <v>2768</v>
      </c>
      <c r="O2228" s="6" t="s">
        <v>55</v>
      </c>
      <c r="P2228" s="6" t="s">
        <v>55</v>
      </c>
      <c r="Q2228" s="6" t="s">
        <v>3488</v>
      </c>
      <c r="R2228" s="6" t="s">
        <v>57</v>
      </c>
      <c r="S2228" s="6" t="s">
        <v>56</v>
      </c>
      <c r="T2228" s="6" t="s">
        <v>56</v>
      </c>
      <c r="AR2228" s="6" t="s">
        <v>55</v>
      </c>
      <c r="AS2228" s="6" t="s">
        <v>55</v>
      </c>
      <c r="AU2228" s="6" t="s">
        <v>3491</v>
      </c>
      <c r="AV2228">
        <v>1104</v>
      </c>
    </row>
    <row r="2229" spans="1:48" ht="30" customHeight="1" x14ac:dyDescent="0.3">
      <c r="A2229" s="4" t="s">
        <v>1140</v>
      </c>
      <c r="B2229" s="4" t="s">
        <v>1141</v>
      </c>
      <c r="C2229" s="4" t="s">
        <v>125</v>
      </c>
      <c r="D2229" s="5">
        <v>1</v>
      </c>
      <c r="E2229" s="7">
        <f>TRUNC([1]일위대가목록!E217,0)</f>
        <v>194202</v>
      </c>
      <c r="F2229" s="7">
        <f t="shared" si="242"/>
        <v>194202</v>
      </c>
      <c r="G2229" s="7">
        <f>TRUNC([1]일위대가목록!F217,0)</f>
        <v>213108</v>
      </c>
      <c r="H2229" s="7">
        <f t="shared" si="243"/>
        <v>213108</v>
      </c>
      <c r="I2229" s="7">
        <f>TRUNC([1]일위대가목록!G217,0)</f>
        <v>8520</v>
      </c>
      <c r="J2229" s="7">
        <f t="shared" si="244"/>
        <v>8520</v>
      </c>
      <c r="K2229" s="7">
        <f t="shared" si="245"/>
        <v>415830</v>
      </c>
      <c r="L2229" s="7">
        <f t="shared" si="245"/>
        <v>415830</v>
      </c>
      <c r="M2229" s="4" t="s">
        <v>2770</v>
      </c>
      <c r="N2229" s="6" t="s">
        <v>2771</v>
      </c>
      <c r="O2229" s="6" t="s">
        <v>55</v>
      </c>
      <c r="P2229" s="6" t="s">
        <v>55</v>
      </c>
      <c r="Q2229" s="6" t="s">
        <v>3488</v>
      </c>
      <c r="R2229" s="6" t="s">
        <v>57</v>
      </c>
      <c r="S2229" s="6" t="s">
        <v>56</v>
      </c>
      <c r="T2229" s="6" t="s">
        <v>56</v>
      </c>
      <c r="AR2229" s="6" t="s">
        <v>55</v>
      </c>
      <c r="AS2229" s="6" t="s">
        <v>55</v>
      </c>
      <c r="AU2229" s="6" t="s">
        <v>3492</v>
      </c>
      <c r="AV2229">
        <v>1105</v>
      </c>
    </row>
    <row r="2230" spans="1:48" ht="30" customHeight="1" x14ac:dyDescent="0.3">
      <c r="A2230" s="4" t="s">
        <v>1145</v>
      </c>
      <c r="B2230" s="4" t="s">
        <v>1146</v>
      </c>
      <c r="C2230" s="4" t="s">
        <v>52</v>
      </c>
      <c r="D2230" s="5">
        <v>97</v>
      </c>
      <c r="E2230" s="7">
        <f>TRUNC([1]단가대비표!O239,0)</f>
        <v>2608</v>
      </c>
      <c r="F2230" s="7">
        <f t="shared" si="242"/>
        <v>252976</v>
      </c>
      <c r="G2230" s="7">
        <f>TRUNC([1]단가대비표!P239,0)</f>
        <v>7421</v>
      </c>
      <c r="H2230" s="7">
        <f t="shared" si="243"/>
        <v>719837</v>
      </c>
      <c r="I2230" s="7">
        <f>TRUNC([1]단가대비표!V239,0)</f>
        <v>0</v>
      </c>
      <c r="J2230" s="7">
        <f t="shared" si="244"/>
        <v>0</v>
      </c>
      <c r="K2230" s="7">
        <f t="shared" si="245"/>
        <v>10029</v>
      </c>
      <c r="L2230" s="7">
        <f t="shared" si="245"/>
        <v>972813</v>
      </c>
      <c r="M2230" s="4" t="s">
        <v>1147</v>
      </c>
      <c r="N2230" s="6" t="s">
        <v>1148</v>
      </c>
      <c r="O2230" s="6" t="s">
        <v>55</v>
      </c>
      <c r="P2230" s="6" t="s">
        <v>55</v>
      </c>
      <c r="Q2230" s="6" t="s">
        <v>3488</v>
      </c>
      <c r="R2230" s="6" t="s">
        <v>56</v>
      </c>
      <c r="S2230" s="6" t="s">
        <v>56</v>
      </c>
      <c r="T2230" s="6" t="s">
        <v>57</v>
      </c>
      <c r="AR2230" s="6" t="s">
        <v>55</v>
      </c>
      <c r="AS2230" s="6" t="s">
        <v>55</v>
      </c>
      <c r="AU2230" s="6" t="s">
        <v>3493</v>
      </c>
      <c r="AV2230">
        <v>3210</v>
      </c>
    </row>
    <row r="2231" spans="1:48" ht="30" customHeight="1" x14ac:dyDescent="0.3">
      <c r="A2231" s="4" t="s">
        <v>1182</v>
      </c>
      <c r="B2231" s="4" t="s">
        <v>1183</v>
      </c>
      <c r="C2231" s="4" t="s">
        <v>125</v>
      </c>
      <c r="D2231" s="5">
        <v>23.95</v>
      </c>
      <c r="E2231" s="7">
        <f>TRUNC([1]일위대가목록!E113,0)</f>
        <v>11404</v>
      </c>
      <c r="F2231" s="7">
        <f t="shared" si="242"/>
        <v>273125</v>
      </c>
      <c r="G2231" s="7">
        <f>TRUNC([1]일위대가목록!F113,0)</f>
        <v>13622</v>
      </c>
      <c r="H2231" s="7">
        <f t="shared" si="243"/>
        <v>326246</v>
      </c>
      <c r="I2231" s="7">
        <f>TRUNC([1]일위대가목록!G113,0)</f>
        <v>544</v>
      </c>
      <c r="J2231" s="7">
        <f t="shared" si="244"/>
        <v>13028</v>
      </c>
      <c r="K2231" s="7">
        <f t="shared" si="245"/>
        <v>25570</v>
      </c>
      <c r="L2231" s="7">
        <f t="shared" si="245"/>
        <v>612399</v>
      </c>
      <c r="M2231" s="4" t="s">
        <v>1184</v>
      </c>
      <c r="N2231" s="6" t="s">
        <v>1185</v>
      </c>
      <c r="O2231" s="6" t="s">
        <v>55</v>
      </c>
      <c r="P2231" s="6" t="s">
        <v>55</v>
      </c>
      <c r="Q2231" s="6" t="s">
        <v>3488</v>
      </c>
      <c r="R2231" s="6" t="s">
        <v>57</v>
      </c>
      <c r="S2231" s="6" t="s">
        <v>56</v>
      </c>
      <c r="T2231" s="6" t="s">
        <v>56</v>
      </c>
      <c r="AR2231" s="6" t="s">
        <v>55</v>
      </c>
      <c r="AS2231" s="6" t="s">
        <v>55</v>
      </c>
      <c r="AU2231" s="6" t="s">
        <v>3494</v>
      </c>
      <c r="AV2231">
        <v>1112</v>
      </c>
    </row>
    <row r="2232" spans="1:48" ht="30" customHeight="1" x14ac:dyDescent="0.3">
      <c r="A2232" s="4" t="s">
        <v>1187</v>
      </c>
      <c r="B2232" s="4" t="s">
        <v>1188</v>
      </c>
      <c r="C2232" s="4" t="s">
        <v>61</v>
      </c>
      <c r="D2232" s="5">
        <v>121</v>
      </c>
      <c r="E2232" s="7">
        <f>TRUNC([1]일위대가목록!E247,0)</f>
        <v>33811</v>
      </c>
      <c r="F2232" s="7">
        <f t="shared" si="242"/>
        <v>4091131</v>
      </c>
      <c r="G2232" s="7">
        <f>TRUNC([1]일위대가목록!F247,0)</f>
        <v>6736</v>
      </c>
      <c r="H2232" s="7">
        <f t="shared" si="243"/>
        <v>815056</v>
      </c>
      <c r="I2232" s="7">
        <f>TRUNC([1]일위대가목록!G247,0)</f>
        <v>0</v>
      </c>
      <c r="J2232" s="7">
        <f t="shared" si="244"/>
        <v>0</v>
      </c>
      <c r="K2232" s="7">
        <f t="shared" si="245"/>
        <v>40547</v>
      </c>
      <c r="L2232" s="7">
        <f t="shared" si="245"/>
        <v>4906187</v>
      </c>
      <c r="M2232" s="4" t="s">
        <v>3495</v>
      </c>
      <c r="N2232" s="6" t="s">
        <v>3496</v>
      </c>
      <c r="O2232" s="6" t="s">
        <v>55</v>
      </c>
      <c r="P2232" s="6" t="s">
        <v>55</v>
      </c>
      <c r="Q2232" s="6" t="s">
        <v>3488</v>
      </c>
      <c r="R2232" s="6" t="s">
        <v>57</v>
      </c>
      <c r="S2232" s="6" t="s">
        <v>56</v>
      </c>
      <c r="T2232" s="6" t="s">
        <v>56</v>
      </c>
      <c r="AR2232" s="6" t="s">
        <v>55</v>
      </c>
      <c r="AS2232" s="6" t="s">
        <v>55</v>
      </c>
      <c r="AU2232" s="6" t="s">
        <v>3497</v>
      </c>
      <c r="AV2232">
        <v>1113</v>
      </c>
    </row>
    <row r="2233" spans="1:48" ht="30" customHeight="1" x14ac:dyDescent="0.3">
      <c r="A2233" s="4" t="s">
        <v>1196</v>
      </c>
      <c r="B2233" s="4" t="s">
        <v>1197</v>
      </c>
      <c r="C2233" s="4" t="s">
        <v>269</v>
      </c>
      <c r="D2233" s="5">
        <v>62</v>
      </c>
      <c r="E2233" s="7">
        <f>TRUNC([1]일위대가목록!E205,0)</f>
        <v>8181</v>
      </c>
      <c r="F2233" s="7">
        <f t="shared" si="242"/>
        <v>507222</v>
      </c>
      <c r="G2233" s="7">
        <f>TRUNC([1]일위대가목록!F205,0)</f>
        <v>17976</v>
      </c>
      <c r="H2233" s="7">
        <f t="shared" si="243"/>
        <v>1114512</v>
      </c>
      <c r="I2233" s="7">
        <f>TRUNC([1]일위대가목록!G205,0)</f>
        <v>834</v>
      </c>
      <c r="J2233" s="7">
        <f t="shared" si="244"/>
        <v>51708</v>
      </c>
      <c r="K2233" s="7">
        <f t="shared" si="245"/>
        <v>26991</v>
      </c>
      <c r="L2233" s="7">
        <f t="shared" si="245"/>
        <v>1673442</v>
      </c>
      <c r="M2233" s="4" t="s">
        <v>2437</v>
      </c>
      <c r="N2233" s="6" t="s">
        <v>2438</v>
      </c>
      <c r="O2233" s="6" t="s">
        <v>55</v>
      </c>
      <c r="P2233" s="6" t="s">
        <v>55</v>
      </c>
      <c r="Q2233" s="6" t="s">
        <v>3488</v>
      </c>
      <c r="R2233" s="6" t="s">
        <v>57</v>
      </c>
      <c r="S2233" s="6" t="s">
        <v>56</v>
      </c>
      <c r="T2233" s="6" t="s">
        <v>56</v>
      </c>
      <c r="AR2233" s="6" t="s">
        <v>55</v>
      </c>
      <c r="AS2233" s="6" t="s">
        <v>55</v>
      </c>
      <c r="AU2233" s="6" t="s">
        <v>3498</v>
      </c>
      <c r="AV2233">
        <v>1115</v>
      </c>
    </row>
    <row r="2234" spans="1:48" ht="30" customHeight="1" x14ac:dyDescent="0.3">
      <c r="A2234" s="4" t="s">
        <v>1201</v>
      </c>
      <c r="B2234" s="4" t="s">
        <v>1202</v>
      </c>
      <c r="C2234" s="4" t="s">
        <v>269</v>
      </c>
      <c r="D2234" s="5">
        <v>119</v>
      </c>
      <c r="E2234" s="7">
        <f>TRUNC([1]일위대가목록!E117,0)</f>
        <v>6697</v>
      </c>
      <c r="F2234" s="7">
        <f t="shared" si="242"/>
        <v>796943</v>
      </c>
      <c r="G2234" s="7">
        <f>TRUNC([1]일위대가목록!F117,0)</f>
        <v>27225</v>
      </c>
      <c r="H2234" s="7">
        <f t="shared" si="243"/>
        <v>3239775</v>
      </c>
      <c r="I2234" s="7">
        <f>TRUNC([1]일위대가목록!G117,0)</f>
        <v>1045</v>
      </c>
      <c r="J2234" s="7">
        <f t="shared" si="244"/>
        <v>124355</v>
      </c>
      <c r="K2234" s="7">
        <f t="shared" si="245"/>
        <v>34967</v>
      </c>
      <c r="L2234" s="7">
        <f t="shared" si="245"/>
        <v>4161073</v>
      </c>
      <c r="M2234" s="4" t="s">
        <v>1203</v>
      </c>
      <c r="N2234" s="6" t="s">
        <v>1204</v>
      </c>
      <c r="O2234" s="6" t="s">
        <v>55</v>
      </c>
      <c r="P2234" s="6" t="s">
        <v>55</v>
      </c>
      <c r="Q2234" s="6" t="s">
        <v>3488</v>
      </c>
      <c r="R2234" s="6" t="s">
        <v>57</v>
      </c>
      <c r="S2234" s="6" t="s">
        <v>56</v>
      </c>
      <c r="T2234" s="6" t="s">
        <v>56</v>
      </c>
      <c r="AR2234" s="6" t="s">
        <v>55</v>
      </c>
      <c r="AS2234" s="6" t="s">
        <v>55</v>
      </c>
      <c r="AU2234" s="6" t="s">
        <v>3499</v>
      </c>
      <c r="AV2234">
        <v>1116</v>
      </c>
    </row>
    <row r="2235" spans="1:48" ht="30" customHeight="1" x14ac:dyDescent="0.3">
      <c r="A2235" s="4" t="s">
        <v>1206</v>
      </c>
      <c r="B2235" s="4" t="s">
        <v>1207</v>
      </c>
      <c r="C2235" s="4" t="s">
        <v>269</v>
      </c>
      <c r="D2235" s="5">
        <v>637</v>
      </c>
      <c r="E2235" s="7">
        <f>TRUNC([1]일위대가목록!E118,0)</f>
        <v>2864</v>
      </c>
      <c r="F2235" s="7">
        <f t="shared" si="242"/>
        <v>1824368</v>
      </c>
      <c r="G2235" s="7">
        <f>TRUNC([1]일위대가목록!F118,0)</f>
        <v>8010</v>
      </c>
      <c r="H2235" s="7">
        <f t="shared" si="243"/>
        <v>5102370</v>
      </c>
      <c r="I2235" s="7">
        <f>TRUNC([1]일위대가목록!G118,0)</f>
        <v>320</v>
      </c>
      <c r="J2235" s="7">
        <f t="shared" si="244"/>
        <v>203840</v>
      </c>
      <c r="K2235" s="7">
        <f t="shared" si="245"/>
        <v>11194</v>
      </c>
      <c r="L2235" s="7">
        <f t="shared" si="245"/>
        <v>7130578</v>
      </c>
      <c r="M2235" s="4" t="s">
        <v>1208</v>
      </c>
      <c r="N2235" s="6" t="s">
        <v>1209</v>
      </c>
      <c r="O2235" s="6" t="s">
        <v>55</v>
      </c>
      <c r="P2235" s="6" t="s">
        <v>55</v>
      </c>
      <c r="Q2235" s="6" t="s">
        <v>3488</v>
      </c>
      <c r="R2235" s="6" t="s">
        <v>57</v>
      </c>
      <c r="S2235" s="6" t="s">
        <v>56</v>
      </c>
      <c r="T2235" s="6" t="s">
        <v>56</v>
      </c>
      <c r="AR2235" s="6" t="s">
        <v>55</v>
      </c>
      <c r="AS2235" s="6" t="s">
        <v>55</v>
      </c>
      <c r="AU2235" s="6" t="s">
        <v>3500</v>
      </c>
      <c r="AV2235">
        <v>1117</v>
      </c>
    </row>
    <row r="2236" spans="1:48" ht="30" customHeight="1" x14ac:dyDescent="0.3">
      <c r="A2236" s="4" t="s">
        <v>55</v>
      </c>
      <c r="B2236" s="4" t="s">
        <v>55</v>
      </c>
      <c r="C2236" s="4" t="s">
        <v>55</v>
      </c>
      <c r="D2236" s="5"/>
      <c r="E2236" s="7">
        <f>TRUNC([1]단가대비표!O891,0)</f>
        <v>0</v>
      </c>
      <c r="F2236" s="7">
        <f t="shared" si="242"/>
        <v>0</v>
      </c>
      <c r="G2236" s="7">
        <f>TRUNC([1]단가대비표!P891,0)</f>
        <v>0</v>
      </c>
      <c r="H2236" s="7">
        <f t="shared" si="243"/>
        <v>0</v>
      </c>
      <c r="I2236" s="7">
        <f>TRUNC([1]단가대비표!V891,0)</f>
        <v>0</v>
      </c>
      <c r="J2236" s="7">
        <f t="shared" si="244"/>
        <v>0</v>
      </c>
      <c r="K2236" s="7">
        <f t="shared" si="245"/>
        <v>0</v>
      </c>
      <c r="L2236" s="7">
        <f t="shared" si="245"/>
        <v>0</v>
      </c>
      <c r="M2236" s="4" t="s">
        <v>55</v>
      </c>
      <c r="N2236" s="6" t="s">
        <v>3501</v>
      </c>
      <c r="O2236" s="6" t="s">
        <v>55</v>
      </c>
      <c r="P2236" s="6" t="s">
        <v>55</v>
      </c>
      <c r="Q2236" s="6" t="s">
        <v>3488</v>
      </c>
      <c r="R2236" s="6" t="s">
        <v>56</v>
      </c>
      <c r="S2236" s="6" t="s">
        <v>56</v>
      </c>
      <c r="T2236" s="6" t="s">
        <v>57</v>
      </c>
      <c r="AR2236" s="6" t="s">
        <v>55</v>
      </c>
      <c r="AS2236" s="6" t="s">
        <v>55</v>
      </c>
      <c r="AU2236" s="6" t="s">
        <v>3502</v>
      </c>
      <c r="AV2236">
        <v>3406</v>
      </c>
    </row>
    <row r="2237" spans="1:48" ht="30" customHeight="1" x14ac:dyDescent="0.3">
      <c r="A2237" s="4" t="s">
        <v>3503</v>
      </c>
      <c r="B2237" s="4" t="s">
        <v>55</v>
      </c>
      <c r="C2237" s="4" t="s">
        <v>55</v>
      </c>
      <c r="D2237" s="5"/>
      <c r="E2237" s="7">
        <f>TRUNC([1]단가대비표!O896,0)</f>
        <v>0</v>
      </c>
      <c r="F2237" s="7">
        <f t="shared" si="242"/>
        <v>0</v>
      </c>
      <c r="G2237" s="7">
        <f>TRUNC([1]단가대비표!P896,0)</f>
        <v>0</v>
      </c>
      <c r="H2237" s="7">
        <f t="shared" si="243"/>
        <v>0</v>
      </c>
      <c r="I2237" s="7">
        <f>TRUNC([1]단가대비표!V896,0)</f>
        <v>0</v>
      </c>
      <c r="J2237" s="7">
        <f t="shared" si="244"/>
        <v>0</v>
      </c>
      <c r="K2237" s="7">
        <f t="shared" si="245"/>
        <v>0</v>
      </c>
      <c r="L2237" s="7">
        <f t="shared" si="245"/>
        <v>0</v>
      </c>
      <c r="M2237" s="4" t="s">
        <v>55</v>
      </c>
      <c r="N2237" s="6" t="s">
        <v>3504</v>
      </c>
      <c r="O2237" s="6" t="s">
        <v>55</v>
      </c>
      <c r="P2237" s="6" t="s">
        <v>55</v>
      </c>
      <c r="Q2237" s="6" t="s">
        <v>3488</v>
      </c>
      <c r="R2237" s="6" t="s">
        <v>56</v>
      </c>
      <c r="S2237" s="6" t="s">
        <v>56</v>
      </c>
      <c r="T2237" s="6" t="s">
        <v>57</v>
      </c>
      <c r="AR2237" s="6" t="s">
        <v>55</v>
      </c>
      <c r="AS2237" s="6" t="s">
        <v>55</v>
      </c>
      <c r="AU2237" s="6" t="s">
        <v>3505</v>
      </c>
      <c r="AV2237">
        <v>3472</v>
      </c>
    </row>
    <row r="2238" spans="1:48" ht="30" customHeight="1" x14ac:dyDescent="0.3">
      <c r="A2238" s="4" t="s">
        <v>1232</v>
      </c>
      <c r="B2238" s="4" t="s">
        <v>1233</v>
      </c>
      <c r="C2238" s="4" t="s">
        <v>140</v>
      </c>
      <c r="D2238" s="5">
        <v>636</v>
      </c>
      <c r="E2238" s="7">
        <f>TRUNC([1]단가대비표!O364,0)</f>
        <v>112450</v>
      </c>
      <c r="F2238" s="7">
        <f t="shared" si="242"/>
        <v>71518200</v>
      </c>
      <c r="G2238" s="7">
        <f>TRUNC([1]단가대비표!P364,0)</f>
        <v>68950</v>
      </c>
      <c r="H2238" s="7">
        <f t="shared" si="243"/>
        <v>43852200</v>
      </c>
      <c r="I2238" s="7">
        <f>TRUNC([1]단가대비표!V364,0)</f>
        <v>2000</v>
      </c>
      <c r="J2238" s="7">
        <f t="shared" si="244"/>
        <v>1272000</v>
      </c>
      <c r="K2238" s="7">
        <f t="shared" si="245"/>
        <v>183400</v>
      </c>
      <c r="L2238" s="7">
        <f t="shared" si="245"/>
        <v>116642400</v>
      </c>
      <c r="M2238" s="4" t="s">
        <v>115</v>
      </c>
      <c r="N2238" s="6" t="s">
        <v>3506</v>
      </c>
      <c r="O2238" s="6" t="s">
        <v>55</v>
      </c>
      <c r="P2238" s="6" t="s">
        <v>55</v>
      </c>
      <c r="Q2238" s="6" t="s">
        <v>3488</v>
      </c>
      <c r="R2238" s="6" t="s">
        <v>56</v>
      </c>
      <c r="S2238" s="6" t="s">
        <v>56</v>
      </c>
      <c r="T2238" s="6" t="s">
        <v>57</v>
      </c>
      <c r="AR2238" s="6" t="s">
        <v>55</v>
      </c>
      <c r="AS2238" s="6" t="s">
        <v>55</v>
      </c>
      <c r="AU2238" s="6" t="s">
        <v>3507</v>
      </c>
      <c r="AV2238">
        <v>1321</v>
      </c>
    </row>
    <row r="2239" spans="1:48" ht="30" customHeight="1" x14ac:dyDescent="0.3">
      <c r="A2239" s="4" t="s">
        <v>2447</v>
      </c>
      <c r="B2239" s="4" t="s">
        <v>1237</v>
      </c>
      <c r="C2239" s="4" t="s">
        <v>140</v>
      </c>
      <c r="D2239" s="5">
        <v>84</v>
      </c>
      <c r="E2239" s="7">
        <f>TRUNC([1]단가대비표!O365,0)</f>
        <v>58120</v>
      </c>
      <c r="F2239" s="7">
        <f t="shared" si="242"/>
        <v>4882080</v>
      </c>
      <c r="G2239" s="7">
        <f>TRUNC([1]단가대비표!P365,0)</f>
        <v>39900</v>
      </c>
      <c r="H2239" s="7">
        <f t="shared" si="243"/>
        <v>3351600</v>
      </c>
      <c r="I2239" s="7">
        <f>TRUNC([1]단가대비표!V365,0)</f>
        <v>2500</v>
      </c>
      <c r="J2239" s="7">
        <f t="shared" si="244"/>
        <v>210000</v>
      </c>
      <c r="K2239" s="7">
        <f t="shared" si="245"/>
        <v>100520</v>
      </c>
      <c r="L2239" s="7">
        <f t="shared" si="245"/>
        <v>8443680</v>
      </c>
      <c r="M2239" s="4" t="s">
        <v>2448</v>
      </c>
      <c r="N2239" s="6" t="s">
        <v>3508</v>
      </c>
      <c r="O2239" s="6" t="s">
        <v>55</v>
      </c>
      <c r="P2239" s="6" t="s">
        <v>55</v>
      </c>
      <c r="Q2239" s="6" t="s">
        <v>3488</v>
      </c>
      <c r="R2239" s="6" t="s">
        <v>56</v>
      </c>
      <c r="S2239" s="6" t="s">
        <v>56</v>
      </c>
      <c r="T2239" s="6" t="s">
        <v>57</v>
      </c>
      <c r="AR2239" s="6" t="s">
        <v>55</v>
      </c>
      <c r="AS2239" s="6" t="s">
        <v>55</v>
      </c>
      <c r="AU2239" s="6" t="s">
        <v>3509</v>
      </c>
      <c r="AV2239">
        <v>3473</v>
      </c>
    </row>
    <row r="2240" spans="1:48" ht="30" customHeight="1" x14ac:dyDescent="0.3">
      <c r="A2240" s="4" t="s">
        <v>1240</v>
      </c>
      <c r="B2240" s="4" t="s">
        <v>1241</v>
      </c>
      <c r="C2240" s="4" t="s">
        <v>52</v>
      </c>
      <c r="D2240" s="5">
        <v>237</v>
      </c>
      <c r="E2240" s="7">
        <f>TRUNC([1]단가대비표!O366,0)</f>
        <v>21000</v>
      </c>
      <c r="F2240" s="7">
        <f t="shared" si="242"/>
        <v>4977000</v>
      </c>
      <c r="G2240" s="7">
        <f>TRUNC([1]단가대비표!P366,0)</f>
        <v>23000</v>
      </c>
      <c r="H2240" s="7">
        <f t="shared" si="243"/>
        <v>5451000</v>
      </c>
      <c r="I2240" s="7">
        <f>TRUNC([1]단가대비표!V366,0)</f>
        <v>1000</v>
      </c>
      <c r="J2240" s="7">
        <f t="shared" si="244"/>
        <v>237000</v>
      </c>
      <c r="K2240" s="7">
        <f t="shared" si="245"/>
        <v>45000</v>
      </c>
      <c r="L2240" s="7">
        <f t="shared" si="245"/>
        <v>10665000</v>
      </c>
      <c r="M2240" s="4" t="s">
        <v>115</v>
      </c>
      <c r="N2240" s="6" t="s">
        <v>3510</v>
      </c>
      <c r="O2240" s="6" t="s">
        <v>55</v>
      </c>
      <c r="P2240" s="6" t="s">
        <v>55</v>
      </c>
      <c r="Q2240" s="6" t="s">
        <v>3488</v>
      </c>
      <c r="R2240" s="6" t="s">
        <v>56</v>
      </c>
      <c r="S2240" s="6" t="s">
        <v>56</v>
      </c>
      <c r="T2240" s="6" t="s">
        <v>57</v>
      </c>
      <c r="AR2240" s="6" t="s">
        <v>55</v>
      </c>
      <c r="AS2240" s="6" t="s">
        <v>55</v>
      </c>
      <c r="AU2240" s="6" t="s">
        <v>3511</v>
      </c>
      <c r="AV2240">
        <v>3474</v>
      </c>
    </row>
    <row r="2241" spans="1:48" ht="30" customHeight="1" x14ac:dyDescent="0.3">
      <c r="A2241" s="4" t="s">
        <v>1244</v>
      </c>
      <c r="B2241" s="4" t="s">
        <v>1237</v>
      </c>
      <c r="C2241" s="4" t="s">
        <v>140</v>
      </c>
      <c r="D2241" s="5">
        <v>61</v>
      </c>
      <c r="E2241" s="7">
        <f>TRUNC([1]단가대비표!O367,0)</f>
        <v>58120</v>
      </c>
      <c r="F2241" s="7">
        <f t="shared" si="242"/>
        <v>3545320</v>
      </c>
      <c r="G2241" s="7">
        <f>TRUNC([1]단가대비표!P367,0)</f>
        <v>39900</v>
      </c>
      <c r="H2241" s="7">
        <f t="shared" si="243"/>
        <v>2433900</v>
      </c>
      <c r="I2241" s="7">
        <f>TRUNC([1]단가대비표!V367,0)</f>
        <v>2500</v>
      </c>
      <c r="J2241" s="7">
        <f t="shared" si="244"/>
        <v>152500</v>
      </c>
      <c r="K2241" s="7">
        <f t="shared" si="245"/>
        <v>100520</v>
      </c>
      <c r="L2241" s="7">
        <f t="shared" si="245"/>
        <v>6131720</v>
      </c>
      <c r="M2241" s="4" t="s">
        <v>115</v>
      </c>
      <c r="N2241" s="6" t="s">
        <v>3512</v>
      </c>
      <c r="O2241" s="6" t="s">
        <v>55</v>
      </c>
      <c r="P2241" s="6" t="s">
        <v>55</v>
      </c>
      <c r="Q2241" s="6" t="s">
        <v>3488</v>
      </c>
      <c r="R2241" s="6" t="s">
        <v>56</v>
      </c>
      <c r="S2241" s="6" t="s">
        <v>56</v>
      </c>
      <c r="T2241" s="6" t="s">
        <v>57</v>
      </c>
      <c r="AR2241" s="6" t="s">
        <v>55</v>
      </c>
      <c r="AS2241" s="6" t="s">
        <v>55</v>
      </c>
      <c r="AU2241" s="6" t="s">
        <v>3513</v>
      </c>
      <c r="AV2241">
        <v>3475</v>
      </c>
    </row>
    <row r="2242" spans="1:48" ht="30" customHeight="1" x14ac:dyDescent="0.3">
      <c r="A2242" s="4" t="s">
        <v>55</v>
      </c>
      <c r="B2242" s="4" t="s">
        <v>55</v>
      </c>
      <c r="C2242" s="4" t="s">
        <v>55</v>
      </c>
      <c r="D2242" s="5"/>
      <c r="E2242" s="7">
        <f>TRUNC([1]단가대비표!O897,0)</f>
        <v>0</v>
      </c>
      <c r="F2242" s="7">
        <f t="shared" si="242"/>
        <v>0</v>
      </c>
      <c r="G2242" s="7">
        <f>TRUNC([1]단가대비표!P897,0)</f>
        <v>0</v>
      </c>
      <c r="H2242" s="7">
        <f t="shared" si="243"/>
        <v>0</v>
      </c>
      <c r="I2242" s="7">
        <f>TRUNC([1]단가대비표!V897,0)</f>
        <v>0</v>
      </c>
      <c r="J2242" s="7">
        <f t="shared" si="244"/>
        <v>0</v>
      </c>
      <c r="K2242" s="7">
        <f t="shared" si="245"/>
        <v>0</v>
      </c>
      <c r="L2242" s="7">
        <f t="shared" si="245"/>
        <v>0</v>
      </c>
      <c r="M2242" s="4" t="s">
        <v>55</v>
      </c>
      <c r="N2242" s="6" t="s">
        <v>3514</v>
      </c>
      <c r="O2242" s="6" t="s">
        <v>55</v>
      </c>
      <c r="P2242" s="6" t="s">
        <v>55</v>
      </c>
      <c r="Q2242" s="6" t="s">
        <v>3488</v>
      </c>
      <c r="R2242" s="6" t="s">
        <v>56</v>
      </c>
      <c r="S2242" s="6" t="s">
        <v>56</v>
      </c>
      <c r="T2242" s="6" t="s">
        <v>57</v>
      </c>
      <c r="AR2242" s="6" t="s">
        <v>55</v>
      </c>
      <c r="AS2242" s="6" t="s">
        <v>55</v>
      </c>
      <c r="AU2242" s="6" t="s">
        <v>3515</v>
      </c>
      <c r="AV2242">
        <v>3476</v>
      </c>
    </row>
    <row r="2243" spans="1:48" ht="30" customHeight="1" x14ac:dyDescent="0.3">
      <c r="A2243" s="4" t="s">
        <v>3516</v>
      </c>
      <c r="B2243" s="4" t="s">
        <v>55</v>
      </c>
      <c r="C2243" s="4" t="s">
        <v>55</v>
      </c>
      <c r="D2243" s="5"/>
      <c r="E2243" s="7">
        <f>TRUNC([1]단가대비표!O336,0)</f>
        <v>0</v>
      </c>
      <c r="F2243" s="7">
        <f t="shared" si="242"/>
        <v>0</v>
      </c>
      <c r="G2243" s="7">
        <f>TRUNC([1]단가대비표!P336,0)</f>
        <v>0</v>
      </c>
      <c r="H2243" s="7">
        <f t="shared" si="243"/>
        <v>0</v>
      </c>
      <c r="I2243" s="7">
        <f>TRUNC([1]단가대비표!V336,0)</f>
        <v>0</v>
      </c>
      <c r="J2243" s="7">
        <f t="shared" si="244"/>
        <v>0</v>
      </c>
      <c r="K2243" s="7">
        <f t="shared" si="245"/>
        <v>0</v>
      </c>
      <c r="L2243" s="7">
        <f t="shared" si="245"/>
        <v>0</v>
      </c>
      <c r="M2243" s="4" t="s">
        <v>55</v>
      </c>
      <c r="N2243" s="6" t="s">
        <v>3517</v>
      </c>
      <c r="O2243" s="6" t="s">
        <v>55</v>
      </c>
      <c r="P2243" s="6" t="s">
        <v>55</v>
      </c>
      <c r="Q2243" s="6" t="s">
        <v>3488</v>
      </c>
      <c r="R2243" s="6" t="s">
        <v>56</v>
      </c>
      <c r="S2243" s="6" t="s">
        <v>56</v>
      </c>
      <c r="T2243" s="6" t="s">
        <v>57</v>
      </c>
      <c r="AR2243" s="6" t="s">
        <v>55</v>
      </c>
      <c r="AS2243" s="6" t="s">
        <v>55</v>
      </c>
      <c r="AU2243" s="6" t="s">
        <v>3518</v>
      </c>
      <c r="AV2243">
        <v>3477</v>
      </c>
    </row>
    <row r="2244" spans="1:48" ht="30" customHeight="1" x14ac:dyDescent="0.3">
      <c r="A2244" s="4" t="s">
        <v>1337</v>
      </c>
      <c r="B2244" s="4" t="s">
        <v>1415</v>
      </c>
      <c r="C2244" s="4" t="s">
        <v>61</v>
      </c>
      <c r="D2244" s="5">
        <v>89</v>
      </c>
      <c r="E2244" s="7">
        <f>TRUNC([1]단가대비표!O337,0)</f>
        <v>15000</v>
      </c>
      <c r="F2244" s="7">
        <f t="shared" si="242"/>
        <v>1335000</v>
      </c>
      <c r="G2244" s="7">
        <f>TRUNC([1]단가대비표!P337,0)</f>
        <v>0</v>
      </c>
      <c r="H2244" s="7">
        <f t="shared" si="243"/>
        <v>0</v>
      </c>
      <c r="I2244" s="7">
        <f>TRUNC([1]단가대비표!V337,0)</f>
        <v>0</v>
      </c>
      <c r="J2244" s="7">
        <f t="shared" si="244"/>
        <v>0</v>
      </c>
      <c r="K2244" s="7">
        <f t="shared" si="245"/>
        <v>15000</v>
      </c>
      <c r="L2244" s="7">
        <f t="shared" si="245"/>
        <v>1335000</v>
      </c>
      <c r="M2244" s="4" t="s">
        <v>115</v>
      </c>
      <c r="N2244" s="6" t="s">
        <v>3519</v>
      </c>
      <c r="O2244" s="6" t="s">
        <v>55</v>
      </c>
      <c r="P2244" s="6" t="s">
        <v>55</v>
      </c>
      <c r="Q2244" s="6" t="s">
        <v>3488</v>
      </c>
      <c r="R2244" s="6" t="s">
        <v>56</v>
      </c>
      <c r="S2244" s="6" t="s">
        <v>56</v>
      </c>
      <c r="T2244" s="6" t="s">
        <v>57</v>
      </c>
      <c r="AR2244" s="6" t="s">
        <v>55</v>
      </c>
      <c r="AS2244" s="6" t="s">
        <v>55</v>
      </c>
      <c r="AU2244" s="6" t="s">
        <v>3520</v>
      </c>
      <c r="AV2244">
        <v>3478</v>
      </c>
    </row>
    <row r="2245" spans="1:48" ht="30" customHeight="1" x14ac:dyDescent="0.3">
      <c r="A2245" s="4" t="s">
        <v>1418</v>
      </c>
      <c r="B2245" s="4" t="s">
        <v>55</v>
      </c>
      <c r="C2245" s="4" t="s">
        <v>120</v>
      </c>
      <c r="D2245" s="5">
        <v>16</v>
      </c>
      <c r="E2245" s="7">
        <f>TRUNC([1]단가대비표!O338,0)</f>
        <v>20300</v>
      </c>
      <c r="F2245" s="7">
        <f t="shared" si="242"/>
        <v>324800</v>
      </c>
      <c r="G2245" s="7">
        <f>TRUNC([1]단가대비표!P338,0)</f>
        <v>0</v>
      </c>
      <c r="H2245" s="7">
        <f t="shared" si="243"/>
        <v>0</v>
      </c>
      <c r="I2245" s="7">
        <f>TRUNC([1]단가대비표!V338,0)</f>
        <v>0</v>
      </c>
      <c r="J2245" s="7">
        <f t="shared" si="244"/>
        <v>0</v>
      </c>
      <c r="K2245" s="7">
        <f t="shared" si="245"/>
        <v>20300</v>
      </c>
      <c r="L2245" s="7">
        <f t="shared" si="245"/>
        <v>324800</v>
      </c>
      <c r="M2245" s="4" t="s">
        <v>115</v>
      </c>
      <c r="N2245" s="6" t="s">
        <v>3521</v>
      </c>
      <c r="O2245" s="6" t="s">
        <v>55</v>
      </c>
      <c r="P2245" s="6" t="s">
        <v>55</v>
      </c>
      <c r="Q2245" s="6" t="s">
        <v>3488</v>
      </c>
      <c r="R2245" s="6" t="s">
        <v>56</v>
      </c>
      <c r="S2245" s="6" t="s">
        <v>56</v>
      </c>
      <c r="T2245" s="6" t="s">
        <v>57</v>
      </c>
      <c r="AR2245" s="6" t="s">
        <v>55</v>
      </c>
      <c r="AS2245" s="6" t="s">
        <v>55</v>
      </c>
      <c r="AU2245" s="6" t="s">
        <v>3522</v>
      </c>
      <c r="AV2245">
        <v>3479</v>
      </c>
    </row>
    <row r="2246" spans="1:48" ht="30" customHeight="1" x14ac:dyDescent="0.3">
      <c r="A2246" s="4" t="s">
        <v>1421</v>
      </c>
      <c r="B2246" s="4" t="s">
        <v>55</v>
      </c>
      <c r="C2246" s="4" t="s">
        <v>61</v>
      </c>
      <c r="D2246" s="5">
        <v>89</v>
      </c>
      <c r="E2246" s="7">
        <f>TRUNC([1]단가대비표!O339,0)</f>
        <v>0</v>
      </c>
      <c r="F2246" s="7">
        <f t="shared" si="242"/>
        <v>0</v>
      </c>
      <c r="G2246" s="7">
        <f>TRUNC([1]단가대비표!P339,0)</f>
        <v>3200</v>
      </c>
      <c r="H2246" s="7">
        <f t="shared" si="243"/>
        <v>284800</v>
      </c>
      <c r="I2246" s="7">
        <f>TRUNC([1]단가대비표!V339,0)</f>
        <v>0</v>
      </c>
      <c r="J2246" s="7">
        <f t="shared" si="244"/>
        <v>0</v>
      </c>
      <c r="K2246" s="7">
        <f t="shared" si="245"/>
        <v>3200</v>
      </c>
      <c r="L2246" s="7">
        <f t="shared" si="245"/>
        <v>284800</v>
      </c>
      <c r="M2246" s="4" t="s">
        <v>115</v>
      </c>
      <c r="N2246" s="6" t="s">
        <v>3523</v>
      </c>
      <c r="O2246" s="6" t="s">
        <v>55</v>
      </c>
      <c r="P2246" s="6" t="s">
        <v>55</v>
      </c>
      <c r="Q2246" s="6" t="s">
        <v>3488</v>
      </c>
      <c r="R2246" s="6" t="s">
        <v>56</v>
      </c>
      <c r="S2246" s="6" t="s">
        <v>56</v>
      </c>
      <c r="T2246" s="6" t="s">
        <v>57</v>
      </c>
      <c r="AR2246" s="6" t="s">
        <v>55</v>
      </c>
      <c r="AS2246" s="6" t="s">
        <v>55</v>
      </c>
      <c r="AU2246" s="6" t="s">
        <v>3524</v>
      </c>
      <c r="AV2246">
        <v>3480</v>
      </c>
    </row>
    <row r="2247" spans="1:48" ht="30" customHeight="1" x14ac:dyDescent="0.3">
      <c r="A2247" s="4" t="s">
        <v>1424</v>
      </c>
      <c r="B2247" s="4" t="s">
        <v>55</v>
      </c>
      <c r="C2247" s="4" t="s">
        <v>61</v>
      </c>
      <c r="D2247" s="5">
        <v>89</v>
      </c>
      <c r="E2247" s="7">
        <f>TRUNC([1]단가대비표!O340,0)</f>
        <v>0</v>
      </c>
      <c r="F2247" s="7">
        <f t="shared" si="242"/>
        <v>0</v>
      </c>
      <c r="G2247" s="7">
        <f>TRUNC([1]단가대비표!P340,0)</f>
        <v>3400</v>
      </c>
      <c r="H2247" s="7">
        <f t="shared" si="243"/>
        <v>302600</v>
      </c>
      <c r="I2247" s="7">
        <f>TRUNC([1]단가대비표!V340,0)</f>
        <v>0</v>
      </c>
      <c r="J2247" s="7">
        <f t="shared" si="244"/>
        <v>0</v>
      </c>
      <c r="K2247" s="7">
        <f t="shared" si="245"/>
        <v>3400</v>
      </c>
      <c r="L2247" s="7">
        <f t="shared" si="245"/>
        <v>302600</v>
      </c>
      <c r="M2247" s="4" t="s">
        <v>115</v>
      </c>
      <c r="N2247" s="6" t="s">
        <v>3525</v>
      </c>
      <c r="O2247" s="6" t="s">
        <v>55</v>
      </c>
      <c r="P2247" s="6" t="s">
        <v>55</v>
      </c>
      <c r="Q2247" s="6" t="s">
        <v>3488</v>
      </c>
      <c r="R2247" s="6" t="s">
        <v>56</v>
      </c>
      <c r="S2247" s="6" t="s">
        <v>56</v>
      </c>
      <c r="T2247" s="6" t="s">
        <v>57</v>
      </c>
      <c r="AR2247" s="6" t="s">
        <v>55</v>
      </c>
      <c r="AS2247" s="6" t="s">
        <v>55</v>
      </c>
      <c r="AU2247" s="6" t="s">
        <v>3526</v>
      </c>
      <c r="AV2247">
        <v>3481</v>
      </c>
    </row>
    <row r="2248" spans="1:48" ht="30" customHeight="1" x14ac:dyDescent="0.3">
      <c r="A2248" s="4" t="s">
        <v>3527</v>
      </c>
      <c r="B2248" s="4" t="s">
        <v>55</v>
      </c>
      <c r="C2248" s="4" t="s">
        <v>92</v>
      </c>
      <c r="D2248" s="5">
        <v>1</v>
      </c>
      <c r="E2248" s="7">
        <f>TRUNC([1]단가대비표!O895,0)</f>
        <v>0</v>
      </c>
      <c r="F2248" s="7">
        <f t="shared" si="242"/>
        <v>0</v>
      </c>
      <c r="G2248" s="7">
        <f>TRUNC([1]단가대비표!P895,0)</f>
        <v>0</v>
      </c>
      <c r="H2248" s="7">
        <f t="shared" si="243"/>
        <v>0</v>
      </c>
      <c r="I2248" s="7">
        <f>TRUNC([1]단가대비표!V895,0)</f>
        <v>1521100</v>
      </c>
      <c r="J2248" s="7">
        <f t="shared" si="244"/>
        <v>1521100</v>
      </c>
      <c r="K2248" s="7">
        <f t="shared" si="245"/>
        <v>1521100</v>
      </c>
      <c r="L2248" s="7">
        <f t="shared" si="245"/>
        <v>1521100</v>
      </c>
      <c r="M2248" s="4" t="s">
        <v>55</v>
      </c>
      <c r="N2248" s="6" t="s">
        <v>3528</v>
      </c>
      <c r="O2248" s="6" t="s">
        <v>55</v>
      </c>
      <c r="P2248" s="6" t="s">
        <v>55</v>
      </c>
      <c r="Q2248" s="6" t="s">
        <v>3488</v>
      </c>
      <c r="R2248" s="6" t="s">
        <v>56</v>
      </c>
      <c r="S2248" s="6" t="s">
        <v>56</v>
      </c>
      <c r="T2248" s="6" t="s">
        <v>57</v>
      </c>
      <c r="AR2248" s="6" t="s">
        <v>55</v>
      </c>
      <c r="AS2248" s="6" t="s">
        <v>55</v>
      </c>
      <c r="AU2248" s="6" t="s">
        <v>3529</v>
      </c>
      <c r="AV2248">
        <v>3482</v>
      </c>
    </row>
    <row r="2249" spans="1:48" ht="30" customHeight="1" x14ac:dyDescent="0.3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</row>
    <row r="2250" spans="1:48" ht="30" customHeight="1" x14ac:dyDescent="0.3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</row>
    <row r="2251" spans="1:48" ht="30" customHeight="1" x14ac:dyDescent="0.3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</row>
    <row r="2252" spans="1:48" ht="30" customHeight="1" x14ac:dyDescent="0.3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</row>
    <row r="2253" spans="1:48" ht="30" customHeight="1" x14ac:dyDescent="0.3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</row>
    <row r="2254" spans="1:48" ht="30" customHeight="1" x14ac:dyDescent="0.3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</row>
    <row r="2255" spans="1:48" ht="30" customHeight="1" x14ac:dyDescent="0.3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</row>
    <row r="2256" spans="1:48" ht="30" customHeight="1" x14ac:dyDescent="0.3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</row>
    <row r="2257" spans="1:48" ht="30" customHeight="1" x14ac:dyDescent="0.3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</row>
    <row r="2258" spans="1:48" ht="30" customHeight="1" x14ac:dyDescent="0.3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</row>
    <row r="2259" spans="1:48" ht="30" customHeight="1" x14ac:dyDescent="0.3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</row>
    <row r="2260" spans="1:48" ht="30" customHeight="1" x14ac:dyDescent="0.3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</row>
    <row r="2261" spans="1:48" ht="30" customHeight="1" x14ac:dyDescent="0.3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</row>
    <row r="2262" spans="1:48" ht="30" customHeight="1" x14ac:dyDescent="0.3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</row>
    <row r="2263" spans="1:48" ht="30" customHeight="1" x14ac:dyDescent="0.3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</row>
    <row r="2264" spans="1:48" ht="30" customHeight="1" x14ac:dyDescent="0.3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</row>
    <row r="2265" spans="1:48" ht="30" customHeight="1" x14ac:dyDescent="0.3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</row>
    <row r="2266" spans="1:48" ht="30" customHeight="1" x14ac:dyDescent="0.3">
      <c r="A2266" s="4" t="s">
        <v>128</v>
      </c>
      <c r="B2266" s="5"/>
      <c r="C2266" s="5"/>
      <c r="D2266" s="5"/>
      <c r="E2266" s="5"/>
      <c r="F2266" s="7">
        <f>SUM(F2226:F2265)</f>
        <v>95422499</v>
      </c>
      <c r="G2266" s="5"/>
      <c r="H2266" s="7">
        <f>SUM(H2226:H2265)</f>
        <v>67885510</v>
      </c>
      <c r="I2266" s="5"/>
      <c r="J2266" s="7">
        <f>SUM(J2226:J2265)</f>
        <v>3796286</v>
      </c>
      <c r="K2266" s="5"/>
      <c r="L2266" s="7">
        <f>SUM(L2226:L2265)</f>
        <v>167104295</v>
      </c>
      <c r="M2266" s="5"/>
      <c r="N2266" t="s">
        <v>129</v>
      </c>
    </row>
    <row r="2267" spans="1:48" ht="30" customHeight="1" x14ac:dyDescent="0.3">
      <c r="A2267" s="4" t="s">
        <v>3530</v>
      </c>
      <c r="B2267" s="4" t="s">
        <v>3350</v>
      </c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Q2267" s="6" t="s">
        <v>3531</v>
      </c>
    </row>
    <row r="2268" spans="1:48" ht="30" customHeight="1" x14ac:dyDescent="0.3">
      <c r="A2268" s="4" t="s">
        <v>528</v>
      </c>
      <c r="B2268" s="4" t="s">
        <v>1429</v>
      </c>
      <c r="C2268" s="4" t="s">
        <v>61</v>
      </c>
      <c r="D2268" s="5">
        <v>93</v>
      </c>
      <c r="E2268" s="7">
        <f>TRUNC([1]일위대가목록!E119,0)</f>
        <v>257</v>
      </c>
      <c r="F2268" s="7">
        <f t="shared" ref="F2268:F2280" si="246">TRUNC(E2268*D2268, 0)</f>
        <v>23901</v>
      </c>
      <c r="G2268" s="7">
        <f>TRUNC([1]일위대가목록!F119,0)</f>
        <v>13480</v>
      </c>
      <c r="H2268" s="7">
        <f t="shared" ref="H2268:H2280" si="247">TRUNC(G2268*D2268, 0)</f>
        <v>1253640</v>
      </c>
      <c r="I2268" s="7">
        <f>TRUNC([1]일위대가목록!G119,0)</f>
        <v>0</v>
      </c>
      <c r="J2268" s="7">
        <f t="shared" ref="J2268:J2280" si="248">TRUNC(I2268*D2268, 0)</f>
        <v>0</v>
      </c>
      <c r="K2268" s="7">
        <f t="shared" ref="K2268:L2280" si="249">TRUNC(E2268+G2268+I2268, 0)</f>
        <v>13737</v>
      </c>
      <c r="L2268" s="7">
        <f t="shared" si="249"/>
        <v>1277541</v>
      </c>
      <c r="M2268" s="4" t="s">
        <v>1430</v>
      </c>
      <c r="N2268" s="6" t="s">
        <v>1431</v>
      </c>
      <c r="O2268" s="6" t="s">
        <v>55</v>
      </c>
      <c r="P2268" s="6" t="s">
        <v>55</v>
      </c>
      <c r="Q2268" s="6" t="s">
        <v>3531</v>
      </c>
      <c r="R2268" s="6" t="s">
        <v>57</v>
      </c>
      <c r="S2268" s="6" t="s">
        <v>56</v>
      </c>
      <c r="T2268" s="6" t="s">
        <v>56</v>
      </c>
      <c r="AR2268" s="6" t="s">
        <v>55</v>
      </c>
      <c r="AS2268" s="6" t="s">
        <v>55</v>
      </c>
      <c r="AU2268" s="6" t="s">
        <v>3532</v>
      </c>
      <c r="AV2268">
        <v>2783</v>
      </c>
    </row>
    <row r="2269" spans="1:48" ht="30" customHeight="1" x14ac:dyDescent="0.3">
      <c r="A2269" s="4" t="s">
        <v>528</v>
      </c>
      <c r="B2269" s="4" t="s">
        <v>1433</v>
      </c>
      <c r="C2269" s="4" t="s">
        <v>61</v>
      </c>
      <c r="D2269" s="5">
        <v>984</v>
      </c>
      <c r="E2269" s="7">
        <f>TRUNC([1]일위대가목록!E120,0)</f>
        <v>364</v>
      </c>
      <c r="F2269" s="7">
        <f t="shared" si="246"/>
        <v>358176</v>
      </c>
      <c r="G2269" s="7">
        <f>TRUNC([1]일위대가목록!F120,0)</f>
        <v>18953</v>
      </c>
      <c r="H2269" s="7">
        <f t="shared" si="247"/>
        <v>18649752</v>
      </c>
      <c r="I2269" s="7">
        <f>TRUNC([1]일위대가목록!G120,0)</f>
        <v>0</v>
      </c>
      <c r="J2269" s="7">
        <f t="shared" si="248"/>
        <v>0</v>
      </c>
      <c r="K2269" s="7">
        <f t="shared" si="249"/>
        <v>19317</v>
      </c>
      <c r="L2269" s="7">
        <f t="shared" si="249"/>
        <v>19007928</v>
      </c>
      <c r="M2269" s="4" t="s">
        <v>1434</v>
      </c>
      <c r="N2269" s="6" t="s">
        <v>1435</v>
      </c>
      <c r="O2269" s="6" t="s">
        <v>55</v>
      </c>
      <c r="P2269" s="6" t="s">
        <v>55</v>
      </c>
      <c r="Q2269" s="6" t="s">
        <v>3531</v>
      </c>
      <c r="R2269" s="6" t="s">
        <v>57</v>
      </c>
      <c r="S2269" s="6" t="s">
        <v>56</v>
      </c>
      <c r="T2269" s="6" t="s">
        <v>56</v>
      </c>
      <c r="AR2269" s="6" t="s">
        <v>55</v>
      </c>
      <c r="AS2269" s="6" t="s">
        <v>55</v>
      </c>
      <c r="AU2269" s="6" t="s">
        <v>3533</v>
      </c>
      <c r="AV2269">
        <v>2784</v>
      </c>
    </row>
    <row r="2270" spans="1:48" ht="30" customHeight="1" x14ac:dyDescent="0.3">
      <c r="A2270" s="4" t="s">
        <v>1441</v>
      </c>
      <c r="B2270" s="4" t="s">
        <v>55</v>
      </c>
      <c r="C2270" s="4" t="s">
        <v>269</v>
      </c>
      <c r="D2270" s="5">
        <v>23</v>
      </c>
      <c r="E2270" s="7">
        <f>TRUNC([1]일위대가목록!E122,0)</f>
        <v>67</v>
      </c>
      <c r="F2270" s="7">
        <f t="shared" si="246"/>
        <v>1541</v>
      </c>
      <c r="G2270" s="7">
        <f>TRUNC([1]일위대가목록!F122,0)</f>
        <v>3236</v>
      </c>
      <c r="H2270" s="7">
        <f t="shared" si="247"/>
        <v>74428</v>
      </c>
      <c r="I2270" s="7">
        <f>TRUNC([1]일위대가목록!G122,0)</f>
        <v>0</v>
      </c>
      <c r="J2270" s="7">
        <f t="shared" si="248"/>
        <v>0</v>
      </c>
      <c r="K2270" s="7">
        <f t="shared" si="249"/>
        <v>3303</v>
      </c>
      <c r="L2270" s="7">
        <f t="shared" si="249"/>
        <v>75969</v>
      </c>
      <c r="M2270" s="4" t="s">
        <v>1442</v>
      </c>
      <c r="N2270" s="6" t="s">
        <v>1443</v>
      </c>
      <c r="O2270" s="6" t="s">
        <v>55</v>
      </c>
      <c r="P2270" s="6" t="s">
        <v>55</v>
      </c>
      <c r="Q2270" s="6" t="s">
        <v>3531</v>
      </c>
      <c r="R2270" s="6" t="s">
        <v>57</v>
      </c>
      <c r="S2270" s="6" t="s">
        <v>56</v>
      </c>
      <c r="T2270" s="6" t="s">
        <v>56</v>
      </c>
      <c r="AR2270" s="6" t="s">
        <v>55</v>
      </c>
      <c r="AS2270" s="6" t="s">
        <v>55</v>
      </c>
      <c r="AU2270" s="6" t="s">
        <v>3534</v>
      </c>
      <c r="AV2270">
        <v>2786</v>
      </c>
    </row>
    <row r="2271" spans="1:48" ht="30" customHeight="1" x14ac:dyDescent="0.3">
      <c r="A2271" s="4" t="s">
        <v>528</v>
      </c>
      <c r="B2271" s="4" t="s">
        <v>541</v>
      </c>
      <c r="C2271" s="4" t="s">
        <v>61</v>
      </c>
      <c r="D2271" s="5">
        <v>4</v>
      </c>
      <c r="E2271" s="7">
        <f>TRUNC([1]일위대가목록!E58,0)</f>
        <v>0</v>
      </c>
      <c r="F2271" s="7">
        <f t="shared" si="246"/>
        <v>0</v>
      </c>
      <c r="G2271" s="7">
        <f>TRUNC([1]일위대가목록!F58,0)</f>
        <v>14849</v>
      </c>
      <c r="H2271" s="7">
        <f t="shared" si="247"/>
        <v>59396</v>
      </c>
      <c r="I2271" s="7">
        <f>TRUNC([1]일위대가목록!G58,0)</f>
        <v>214</v>
      </c>
      <c r="J2271" s="7">
        <f t="shared" si="248"/>
        <v>856</v>
      </c>
      <c r="K2271" s="7">
        <f t="shared" si="249"/>
        <v>15063</v>
      </c>
      <c r="L2271" s="7">
        <f t="shared" si="249"/>
        <v>60252</v>
      </c>
      <c r="M2271" s="4" t="s">
        <v>542</v>
      </c>
      <c r="N2271" s="6" t="s">
        <v>543</v>
      </c>
      <c r="O2271" s="6" t="s">
        <v>55</v>
      </c>
      <c r="P2271" s="6" t="s">
        <v>55</v>
      </c>
      <c r="Q2271" s="6" t="s">
        <v>3531</v>
      </c>
      <c r="R2271" s="6" t="s">
        <v>57</v>
      </c>
      <c r="S2271" s="6" t="s">
        <v>56</v>
      </c>
      <c r="T2271" s="6" t="s">
        <v>56</v>
      </c>
      <c r="AR2271" s="6" t="s">
        <v>55</v>
      </c>
      <c r="AS2271" s="6" t="s">
        <v>55</v>
      </c>
      <c r="AU2271" s="6" t="s">
        <v>3535</v>
      </c>
      <c r="AV2271">
        <v>1126</v>
      </c>
    </row>
    <row r="2272" spans="1:48" ht="30" customHeight="1" x14ac:dyDescent="0.3">
      <c r="A2272" s="4" t="s">
        <v>528</v>
      </c>
      <c r="B2272" s="4" t="s">
        <v>1463</v>
      </c>
      <c r="C2272" s="4" t="s">
        <v>61</v>
      </c>
      <c r="D2272" s="5">
        <v>59</v>
      </c>
      <c r="E2272" s="7">
        <f>TRUNC([1]일위대가목록!E127,0)</f>
        <v>0</v>
      </c>
      <c r="F2272" s="7">
        <f t="shared" si="246"/>
        <v>0</v>
      </c>
      <c r="G2272" s="7">
        <f>TRUNC([1]일위대가목록!F127,0)</f>
        <v>16922</v>
      </c>
      <c r="H2272" s="7">
        <f t="shared" si="247"/>
        <v>998398</v>
      </c>
      <c r="I2272" s="7">
        <f>TRUNC([1]일위대가목록!G127,0)</f>
        <v>214</v>
      </c>
      <c r="J2272" s="7">
        <f t="shared" si="248"/>
        <v>12626</v>
      </c>
      <c r="K2272" s="7">
        <f t="shared" si="249"/>
        <v>17136</v>
      </c>
      <c r="L2272" s="7">
        <f t="shared" si="249"/>
        <v>1011024</v>
      </c>
      <c r="M2272" s="4" t="s">
        <v>1464</v>
      </c>
      <c r="N2272" s="6" t="s">
        <v>1465</v>
      </c>
      <c r="O2272" s="6" t="s">
        <v>55</v>
      </c>
      <c r="P2272" s="6" t="s">
        <v>55</v>
      </c>
      <c r="Q2272" s="6" t="s">
        <v>3531</v>
      </c>
      <c r="R2272" s="6" t="s">
        <v>57</v>
      </c>
      <c r="S2272" s="6" t="s">
        <v>56</v>
      </c>
      <c r="T2272" s="6" t="s">
        <v>56</v>
      </c>
      <c r="AR2272" s="6" t="s">
        <v>55</v>
      </c>
      <c r="AS2272" s="6" t="s">
        <v>55</v>
      </c>
      <c r="AU2272" s="6" t="s">
        <v>3536</v>
      </c>
      <c r="AV2272">
        <v>1127</v>
      </c>
    </row>
    <row r="2273" spans="1:48" ht="30" customHeight="1" x14ac:dyDescent="0.3">
      <c r="A2273" s="4" t="s">
        <v>528</v>
      </c>
      <c r="B2273" s="4" t="s">
        <v>1467</v>
      </c>
      <c r="C2273" s="4" t="s">
        <v>61</v>
      </c>
      <c r="D2273" s="5">
        <v>313</v>
      </c>
      <c r="E2273" s="7">
        <f>TRUNC([1]일위대가목록!E128,0)</f>
        <v>0</v>
      </c>
      <c r="F2273" s="7">
        <f t="shared" si="246"/>
        <v>0</v>
      </c>
      <c r="G2273" s="7">
        <f>TRUNC([1]일위대가목록!F128,0)</f>
        <v>22935</v>
      </c>
      <c r="H2273" s="7">
        <f t="shared" si="247"/>
        <v>7178655</v>
      </c>
      <c r="I2273" s="7">
        <f>TRUNC([1]일위대가목록!G128,0)</f>
        <v>214</v>
      </c>
      <c r="J2273" s="7">
        <f t="shared" si="248"/>
        <v>66982</v>
      </c>
      <c r="K2273" s="7">
        <f t="shared" si="249"/>
        <v>23149</v>
      </c>
      <c r="L2273" s="7">
        <f t="shared" si="249"/>
        <v>7245637</v>
      </c>
      <c r="M2273" s="4" t="s">
        <v>1468</v>
      </c>
      <c r="N2273" s="6" t="s">
        <v>1469</v>
      </c>
      <c r="O2273" s="6" t="s">
        <v>55</v>
      </c>
      <c r="P2273" s="6" t="s">
        <v>55</v>
      </c>
      <c r="Q2273" s="6" t="s">
        <v>3531</v>
      </c>
      <c r="R2273" s="6" t="s">
        <v>57</v>
      </c>
      <c r="S2273" s="6" t="s">
        <v>56</v>
      </c>
      <c r="T2273" s="6" t="s">
        <v>56</v>
      </c>
      <c r="AR2273" s="6" t="s">
        <v>55</v>
      </c>
      <c r="AS2273" s="6" t="s">
        <v>55</v>
      </c>
      <c r="AU2273" s="6" t="s">
        <v>3537</v>
      </c>
      <c r="AV2273">
        <v>1128</v>
      </c>
    </row>
    <row r="2274" spans="1:48" ht="30" customHeight="1" x14ac:dyDescent="0.3">
      <c r="A2274" s="4" t="s">
        <v>1475</v>
      </c>
      <c r="B2274" s="4" t="s">
        <v>1476</v>
      </c>
      <c r="C2274" s="4" t="s">
        <v>61</v>
      </c>
      <c r="D2274" s="5">
        <v>37</v>
      </c>
      <c r="E2274" s="7">
        <f>TRUNC([1]일위대가목록!E220,0)</f>
        <v>62</v>
      </c>
      <c r="F2274" s="7">
        <f t="shared" si="246"/>
        <v>2294</v>
      </c>
      <c r="G2274" s="7">
        <f>TRUNC([1]일위대가목록!F220,0)</f>
        <v>2094</v>
      </c>
      <c r="H2274" s="7">
        <f t="shared" si="247"/>
        <v>77478</v>
      </c>
      <c r="I2274" s="7">
        <f>TRUNC([1]일위대가목록!G220,0)</f>
        <v>0</v>
      </c>
      <c r="J2274" s="7">
        <f t="shared" si="248"/>
        <v>0</v>
      </c>
      <c r="K2274" s="7">
        <f t="shared" si="249"/>
        <v>2156</v>
      </c>
      <c r="L2274" s="7">
        <f t="shared" si="249"/>
        <v>79772</v>
      </c>
      <c r="M2274" s="4" t="s">
        <v>2806</v>
      </c>
      <c r="N2274" s="6" t="s">
        <v>2807</v>
      </c>
      <c r="O2274" s="6" t="s">
        <v>55</v>
      </c>
      <c r="P2274" s="6" t="s">
        <v>55</v>
      </c>
      <c r="Q2274" s="6" t="s">
        <v>3531</v>
      </c>
      <c r="R2274" s="6" t="s">
        <v>57</v>
      </c>
      <c r="S2274" s="6" t="s">
        <v>56</v>
      </c>
      <c r="T2274" s="6" t="s">
        <v>56</v>
      </c>
      <c r="AR2274" s="6" t="s">
        <v>55</v>
      </c>
      <c r="AS2274" s="6" t="s">
        <v>55</v>
      </c>
      <c r="AU2274" s="6" t="s">
        <v>3538</v>
      </c>
      <c r="AV2274">
        <v>1129</v>
      </c>
    </row>
    <row r="2275" spans="1:48" ht="30" customHeight="1" x14ac:dyDescent="0.3">
      <c r="A2275" s="4" t="s">
        <v>1475</v>
      </c>
      <c r="B2275" s="4" t="s">
        <v>1484</v>
      </c>
      <c r="C2275" s="4" t="s">
        <v>61</v>
      </c>
      <c r="D2275" s="5">
        <v>136</v>
      </c>
      <c r="E2275" s="7">
        <f>TRUNC([1]일위대가목록!E132,0)</f>
        <v>481</v>
      </c>
      <c r="F2275" s="7">
        <f t="shared" si="246"/>
        <v>65416</v>
      </c>
      <c r="G2275" s="7">
        <f>TRUNC([1]일위대가목록!F132,0)</f>
        <v>2094</v>
      </c>
      <c r="H2275" s="7">
        <f t="shared" si="247"/>
        <v>284784</v>
      </c>
      <c r="I2275" s="7">
        <f>TRUNC([1]일위대가목록!G132,0)</f>
        <v>0</v>
      </c>
      <c r="J2275" s="7">
        <f t="shared" si="248"/>
        <v>0</v>
      </c>
      <c r="K2275" s="7">
        <f t="shared" si="249"/>
        <v>2575</v>
      </c>
      <c r="L2275" s="7">
        <f t="shared" si="249"/>
        <v>350200</v>
      </c>
      <c r="M2275" s="4" t="s">
        <v>1485</v>
      </c>
      <c r="N2275" s="6" t="s">
        <v>1486</v>
      </c>
      <c r="O2275" s="6" t="s">
        <v>55</v>
      </c>
      <c r="P2275" s="6" t="s">
        <v>55</v>
      </c>
      <c r="Q2275" s="6" t="s">
        <v>3531</v>
      </c>
      <c r="R2275" s="6" t="s">
        <v>57</v>
      </c>
      <c r="S2275" s="6" t="s">
        <v>56</v>
      </c>
      <c r="T2275" s="6" t="s">
        <v>56</v>
      </c>
      <c r="AR2275" s="6" t="s">
        <v>55</v>
      </c>
      <c r="AS2275" s="6" t="s">
        <v>55</v>
      </c>
      <c r="AU2275" s="6" t="s">
        <v>3539</v>
      </c>
      <c r="AV2275">
        <v>1130</v>
      </c>
    </row>
    <row r="2276" spans="1:48" ht="30" customHeight="1" x14ac:dyDescent="0.3">
      <c r="A2276" s="4" t="s">
        <v>1475</v>
      </c>
      <c r="B2276" s="4" t="s">
        <v>1488</v>
      </c>
      <c r="C2276" s="4" t="s">
        <v>61</v>
      </c>
      <c r="D2276" s="5">
        <v>1090</v>
      </c>
      <c r="E2276" s="7">
        <f>TRUNC([1]일위대가목록!E133,0)</f>
        <v>62</v>
      </c>
      <c r="F2276" s="7">
        <f t="shared" si="246"/>
        <v>67580</v>
      </c>
      <c r="G2276" s="7">
        <f>TRUNC([1]일위대가목록!F133,0)</f>
        <v>2094</v>
      </c>
      <c r="H2276" s="7">
        <f t="shared" si="247"/>
        <v>2282460</v>
      </c>
      <c r="I2276" s="7">
        <f>TRUNC([1]일위대가목록!G133,0)</f>
        <v>0</v>
      </c>
      <c r="J2276" s="7">
        <f t="shared" si="248"/>
        <v>0</v>
      </c>
      <c r="K2276" s="7">
        <f t="shared" si="249"/>
        <v>2156</v>
      </c>
      <c r="L2276" s="7">
        <f t="shared" si="249"/>
        <v>2350040</v>
      </c>
      <c r="M2276" s="4" t="s">
        <v>1489</v>
      </c>
      <c r="N2276" s="6" t="s">
        <v>1490</v>
      </c>
      <c r="O2276" s="6" t="s">
        <v>55</v>
      </c>
      <c r="P2276" s="6" t="s">
        <v>55</v>
      </c>
      <c r="Q2276" s="6" t="s">
        <v>3531</v>
      </c>
      <c r="R2276" s="6" t="s">
        <v>57</v>
      </c>
      <c r="S2276" s="6" t="s">
        <v>56</v>
      </c>
      <c r="T2276" s="6" t="s">
        <v>56</v>
      </c>
      <c r="AR2276" s="6" t="s">
        <v>55</v>
      </c>
      <c r="AS2276" s="6" t="s">
        <v>55</v>
      </c>
      <c r="AU2276" s="6" t="s">
        <v>3540</v>
      </c>
      <c r="AV2276">
        <v>1131</v>
      </c>
    </row>
    <row r="2277" spans="1:48" ht="30" customHeight="1" x14ac:dyDescent="0.3">
      <c r="A2277" s="4" t="s">
        <v>1492</v>
      </c>
      <c r="B2277" s="4" t="s">
        <v>1493</v>
      </c>
      <c r="C2277" s="4" t="s">
        <v>61</v>
      </c>
      <c r="D2277" s="5">
        <v>545</v>
      </c>
      <c r="E2277" s="7">
        <f>TRUNC([1]일위대가목록!E134,0)</f>
        <v>0</v>
      </c>
      <c r="F2277" s="7">
        <f t="shared" si="246"/>
        <v>0</v>
      </c>
      <c r="G2277" s="7">
        <f>TRUNC([1]일위대가목록!F134,0)</f>
        <v>826</v>
      </c>
      <c r="H2277" s="7">
        <f t="shared" si="247"/>
        <v>450170</v>
      </c>
      <c r="I2277" s="7">
        <f>TRUNC([1]일위대가목록!G134,0)</f>
        <v>0</v>
      </c>
      <c r="J2277" s="7">
        <f t="shared" si="248"/>
        <v>0</v>
      </c>
      <c r="K2277" s="7">
        <f t="shared" si="249"/>
        <v>826</v>
      </c>
      <c r="L2277" s="7">
        <f t="shared" si="249"/>
        <v>450170</v>
      </c>
      <c r="M2277" s="4" t="s">
        <v>1494</v>
      </c>
      <c r="N2277" s="6" t="s">
        <v>1495</v>
      </c>
      <c r="O2277" s="6" t="s">
        <v>55</v>
      </c>
      <c r="P2277" s="6" t="s">
        <v>55</v>
      </c>
      <c r="Q2277" s="6" t="s">
        <v>3531</v>
      </c>
      <c r="R2277" s="6" t="s">
        <v>57</v>
      </c>
      <c r="S2277" s="6" t="s">
        <v>56</v>
      </c>
      <c r="T2277" s="6" t="s">
        <v>56</v>
      </c>
      <c r="AR2277" s="6" t="s">
        <v>55</v>
      </c>
      <c r="AS2277" s="6" t="s">
        <v>55</v>
      </c>
      <c r="AU2277" s="6" t="s">
        <v>3541</v>
      </c>
      <c r="AV2277">
        <v>2787</v>
      </c>
    </row>
    <row r="2278" spans="1:48" ht="30" customHeight="1" x14ac:dyDescent="0.3">
      <c r="A2278" s="4" t="s">
        <v>1518</v>
      </c>
      <c r="B2278" s="4" t="s">
        <v>55</v>
      </c>
      <c r="C2278" s="4" t="s">
        <v>1519</v>
      </c>
      <c r="D2278" s="5">
        <v>2.2719999999999998</v>
      </c>
      <c r="E2278" s="7">
        <f>TRUNC([1]일위대가목록!E140,0)</f>
        <v>0</v>
      </c>
      <c r="F2278" s="7">
        <f t="shared" si="246"/>
        <v>0</v>
      </c>
      <c r="G2278" s="7">
        <f>TRUNC([1]일위대가목록!F140,0)</f>
        <v>41559</v>
      </c>
      <c r="H2278" s="7">
        <f t="shared" si="247"/>
        <v>94422</v>
      </c>
      <c r="I2278" s="7">
        <f>TRUNC([1]일위대가목록!G140,0)</f>
        <v>831</v>
      </c>
      <c r="J2278" s="7">
        <f t="shared" si="248"/>
        <v>1888</v>
      </c>
      <c r="K2278" s="7">
        <f t="shared" si="249"/>
        <v>42390</v>
      </c>
      <c r="L2278" s="7">
        <f t="shared" si="249"/>
        <v>96310</v>
      </c>
      <c r="M2278" s="4" t="s">
        <v>1520</v>
      </c>
      <c r="N2278" s="6" t="s">
        <v>1521</v>
      </c>
      <c r="O2278" s="6" t="s">
        <v>55</v>
      </c>
      <c r="P2278" s="6" t="s">
        <v>55</v>
      </c>
      <c r="Q2278" s="6" t="s">
        <v>3531</v>
      </c>
      <c r="R2278" s="6" t="s">
        <v>57</v>
      </c>
      <c r="S2278" s="6" t="s">
        <v>56</v>
      </c>
      <c r="T2278" s="6" t="s">
        <v>56</v>
      </c>
      <c r="AR2278" s="6" t="s">
        <v>55</v>
      </c>
      <c r="AS2278" s="6" t="s">
        <v>55</v>
      </c>
      <c r="AU2278" s="6" t="s">
        <v>3542</v>
      </c>
      <c r="AV2278">
        <v>1133</v>
      </c>
    </row>
    <row r="2279" spans="1:48" ht="30" customHeight="1" x14ac:dyDescent="0.3">
      <c r="A2279" s="4" t="s">
        <v>1518</v>
      </c>
      <c r="B2279" s="4" t="s">
        <v>55</v>
      </c>
      <c r="C2279" s="4" t="s">
        <v>269</v>
      </c>
      <c r="D2279" s="5">
        <v>181</v>
      </c>
      <c r="E2279" s="7">
        <f>TRUNC([1]일위대가목록!E206,0)</f>
        <v>67</v>
      </c>
      <c r="F2279" s="7">
        <f t="shared" si="246"/>
        <v>12127</v>
      </c>
      <c r="G2279" s="7">
        <f>TRUNC([1]일위대가목록!F206,0)</f>
        <v>3236</v>
      </c>
      <c r="H2279" s="7">
        <f t="shared" si="247"/>
        <v>585716</v>
      </c>
      <c r="I2279" s="7">
        <f>TRUNC([1]일위대가목록!G206,0)</f>
        <v>0</v>
      </c>
      <c r="J2279" s="7">
        <f t="shared" si="248"/>
        <v>0</v>
      </c>
      <c r="K2279" s="7">
        <f t="shared" si="249"/>
        <v>3303</v>
      </c>
      <c r="L2279" s="7">
        <f t="shared" si="249"/>
        <v>597843</v>
      </c>
      <c r="M2279" s="4" t="s">
        <v>2477</v>
      </c>
      <c r="N2279" s="6" t="s">
        <v>2478</v>
      </c>
      <c r="O2279" s="6" t="s">
        <v>55</v>
      </c>
      <c r="P2279" s="6" t="s">
        <v>55</v>
      </c>
      <c r="Q2279" s="6" t="s">
        <v>3531</v>
      </c>
      <c r="R2279" s="6" t="s">
        <v>57</v>
      </c>
      <c r="S2279" s="6" t="s">
        <v>56</v>
      </c>
      <c r="T2279" s="6" t="s">
        <v>56</v>
      </c>
      <c r="AR2279" s="6" t="s">
        <v>55</v>
      </c>
      <c r="AS2279" s="6" t="s">
        <v>55</v>
      </c>
      <c r="AU2279" s="6" t="s">
        <v>3543</v>
      </c>
      <c r="AV2279">
        <v>2788</v>
      </c>
    </row>
    <row r="2280" spans="1:48" ht="30" customHeight="1" x14ac:dyDescent="0.3">
      <c r="A2280" s="4" t="s">
        <v>1526</v>
      </c>
      <c r="B2280" s="4" t="s">
        <v>55</v>
      </c>
      <c r="C2280" s="4" t="s">
        <v>269</v>
      </c>
      <c r="D2280" s="5">
        <v>734</v>
      </c>
      <c r="E2280" s="7">
        <f>TRUNC([1]일위대가목록!E207,0)</f>
        <v>42</v>
      </c>
      <c r="F2280" s="7">
        <f t="shared" si="246"/>
        <v>30828</v>
      </c>
      <c r="G2280" s="7">
        <f>TRUNC([1]일위대가목록!F207,0)</f>
        <v>2009</v>
      </c>
      <c r="H2280" s="7">
        <f t="shared" si="247"/>
        <v>1474606</v>
      </c>
      <c r="I2280" s="7">
        <f>TRUNC([1]일위대가목록!G207,0)</f>
        <v>0</v>
      </c>
      <c r="J2280" s="7">
        <f t="shared" si="248"/>
        <v>0</v>
      </c>
      <c r="K2280" s="7">
        <f t="shared" si="249"/>
        <v>2051</v>
      </c>
      <c r="L2280" s="7">
        <f t="shared" si="249"/>
        <v>1505434</v>
      </c>
      <c r="M2280" s="4" t="s">
        <v>2480</v>
      </c>
      <c r="N2280" s="6" t="s">
        <v>2481</v>
      </c>
      <c r="O2280" s="6" t="s">
        <v>55</v>
      </c>
      <c r="P2280" s="6" t="s">
        <v>55</v>
      </c>
      <c r="Q2280" s="6" t="s">
        <v>3531</v>
      </c>
      <c r="R2280" s="6" t="s">
        <v>57</v>
      </c>
      <c r="S2280" s="6" t="s">
        <v>56</v>
      </c>
      <c r="T2280" s="6" t="s">
        <v>56</v>
      </c>
      <c r="AR2280" s="6" t="s">
        <v>55</v>
      </c>
      <c r="AS2280" s="6" t="s">
        <v>55</v>
      </c>
      <c r="AU2280" s="6" t="s">
        <v>3544</v>
      </c>
      <c r="AV2280">
        <v>2789</v>
      </c>
    </row>
    <row r="2281" spans="1:48" ht="30" customHeight="1" x14ac:dyDescent="0.3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</row>
    <row r="2282" spans="1:48" ht="30" customHeight="1" x14ac:dyDescent="0.3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</row>
    <row r="2283" spans="1:48" ht="30" customHeight="1" x14ac:dyDescent="0.3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</row>
    <row r="2284" spans="1:48" ht="30" customHeight="1" x14ac:dyDescent="0.3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</row>
    <row r="2285" spans="1:48" ht="30" customHeight="1" x14ac:dyDescent="0.3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</row>
    <row r="2286" spans="1:48" ht="30" customHeight="1" x14ac:dyDescent="0.3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</row>
    <row r="2287" spans="1:48" ht="30" customHeight="1" x14ac:dyDescent="0.3">
      <c r="A2287" s="4" t="s">
        <v>128</v>
      </c>
      <c r="B2287" s="5"/>
      <c r="C2287" s="5"/>
      <c r="D2287" s="5"/>
      <c r="E2287" s="5"/>
      <c r="F2287" s="7">
        <f>SUM(F2268:F2286)</f>
        <v>561863</v>
      </c>
      <c r="G2287" s="5"/>
      <c r="H2287" s="7">
        <f>SUM(H2268:H2286)</f>
        <v>33463905</v>
      </c>
      <c r="I2287" s="5"/>
      <c r="J2287" s="7">
        <f>SUM(J2268:J2286)</f>
        <v>82352</v>
      </c>
      <c r="K2287" s="5"/>
      <c r="L2287" s="7">
        <f>SUM(L2268:L2286)</f>
        <v>34108120</v>
      </c>
      <c r="M2287" s="5"/>
      <c r="N2287" t="s">
        <v>129</v>
      </c>
    </row>
    <row r="2288" spans="1:48" ht="30" customHeight="1" x14ac:dyDescent="0.3">
      <c r="A2288" s="4" t="s">
        <v>3545</v>
      </c>
      <c r="B2288" s="4" t="s">
        <v>3350</v>
      </c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Q2288" s="6" t="s">
        <v>3546</v>
      </c>
    </row>
    <row r="2289" spans="1:48" ht="30" customHeight="1" x14ac:dyDescent="0.3">
      <c r="A2289" s="4" t="s">
        <v>1532</v>
      </c>
      <c r="B2289" s="4" t="s">
        <v>1536</v>
      </c>
      <c r="C2289" s="4" t="s">
        <v>125</v>
      </c>
      <c r="D2289" s="5">
        <v>4</v>
      </c>
      <c r="E2289" s="7">
        <f>TRUNC([1]단가대비표!O792,0)</f>
        <v>353235</v>
      </c>
      <c r="F2289" s="7">
        <f t="shared" ref="F2289:F2322" si="250">TRUNC(E2289*D2289, 0)</f>
        <v>1412940</v>
      </c>
      <c r="G2289" s="7">
        <f>TRUNC([1]단가대비표!P792,0)</f>
        <v>0</v>
      </c>
      <c r="H2289" s="7">
        <f t="shared" ref="H2289:H2322" si="251">TRUNC(G2289*D2289, 0)</f>
        <v>0</v>
      </c>
      <c r="I2289" s="7">
        <f>TRUNC([1]단가대비표!V792,0)</f>
        <v>0</v>
      </c>
      <c r="J2289" s="7">
        <f t="shared" ref="J2289:J2322" si="252">TRUNC(I2289*D2289, 0)</f>
        <v>0</v>
      </c>
      <c r="K2289" s="7">
        <f t="shared" ref="K2289:L2322" si="253">TRUNC(E2289+G2289+I2289, 0)</f>
        <v>353235</v>
      </c>
      <c r="L2289" s="7">
        <f t="shared" si="253"/>
        <v>1412940</v>
      </c>
      <c r="M2289" s="4" t="s">
        <v>55</v>
      </c>
      <c r="N2289" s="6" t="s">
        <v>3547</v>
      </c>
      <c r="O2289" s="6" t="s">
        <v>55</v>
      </c>
      <c r="P2289" s="6" t="s">
        <v>55</v>
      </c>
      <c r="Q2289" s="6" t="s">
        <v>3546</v>
      </c>
      <c r="R2289" s="6" t="s">
        <v>56</v>
      </c>
      <c r="S2289" s="6" t="s">
        <v>56</v>
      </c>
      <c r="T2289" s="6" t="s">
        <v>57</v>
      </c>
      <c r="AR2289" s="6" t="s">
        <v>55</v>
      </c>
      <c r="AS2289" s="6" t="s">
        <v>55</v>
      </c>
      <c r="AU2289" s="6" t="s">
        <v>3548</v>
      </c>
      <c r="AV2289">
        <v>2899</v>
      </c>
    </row>
    <row r="2290" spans="1:48" ht="30" customHeight="1" x14ac:dyDescent="0.3">
      <c r="A2290" s="4" t="s">
        <v>3549</v>
      </c>
      <c r="B2290" s="4" t="s">
        <v>1555</v>
      </c>
      <c r="C2290" s="4" t="s">
        <v>81</v>
      </c>
      <c r="D2290" s="5">
        <v>22</v>
      </c>
      <c r="E2290" s="7">
        <f>TRUNC([1]단가대비표!O684,0)</f>
        <v>454000</v>
      </c>
      <c r="F2290" s="7">
        <f t="shared" si="250"/>
        <v>9988000</v>
      </c>
      <c r="G2290" s="7">
        <f>TRUNC([1]단가대비표!P684,0)</f>
        <v>0</v>
      </c>
      <c r="H2290" s="7">
        <f t="shared" si="251"/>
        <v>0</v>
      </c>
      <c r="I2290" s="7">
        <f>TRUNC([1]단가대비표!V684,0)</f>
        <v>0</v>
      </c>
      <c r="J2290" s="7">
        <f t="shared" si="252"/>
        <v>0</v>
      </c>
      <c r="K2290" s="7">
        <f t="shared" si="253"/>
        <v>454000</v>
      </c>
      <c r="L2290" s="7">
        <f t="shared" si="253"/>
        <v>9988000</v>
      </c>
      <c r="M2290" s="4" t="s">
        <v>115</v>
      </c>
      <c r="N2290" s="6" t="s">
        <v>3550</v>
      </c>
      <c r="O2290" s="6" t="s">
        <v>55</v>
      </c>
      <c r="P2290" s="6" t="s">
        <v>55</v>
      </c>
      <c r="Q2290" s="6" t="s">
        <v>3546</v>
      </c>
      <c r="R2290" s="6" t="s">
        <v>56</v>
      </c>
      <c r="S2290" s="6" t="s">
        <v>56</v>
      </c>
      <c r="T2290" s="6" t="s">
        <v>57</v>
      </c>
      <c r="AR2290" s="6" t="s">
        <v>55</v>
      </c>
      <c r="AS2290" s="6" t="s">
        <v>55</v>
      </c>
      <c r="AU2290" s="6" t="s">
        <v>3551</v>
      </c>
      <c r="AV2290">
        <v>2161</v>
      </c>
    </row>
    <row r="2291" spans="1:48" ht="30" customHeight="1" x14ac:dyDescent="0.3">
      <c r="A2291" s="4" t="s">
        <v>3552</v>
      </c>
      <c r="B2291" s="4" t="s">
        <v>1559</v>
      </c>
      <c r="C2291" s="4" t="s">
        <v>81</v>
      </c>
      <c r="D2291" s="5">
        <v>14</v>
      </c>
      <c r="E2291" s="7">
        <f>TRUNC([1]단가대비표!O685,0)</f>
        <v>390000</v>
      </c>
      <c r="F2291" s="7">
        <f t="shared" si="250"/>
        <v>5460000</v>
      </c>
      <c r="G2291" s="7">
        <f>TRUNC([1]단가대비표!P685,0)</f>
        <v>0</v>
      </c>
      <c r="H2291" s="7">
        <f t="shared" si="251"/>
        <v>0</v>
      </c>
      <c r="I2291" s="7">
        <f>TRUNC([1]단가대비표!V685,0)</f>
        <v>0</v>
      </c>
      <c r="J2291" s="7">
        <f t="shared" si="252"/>
        <v>0</v>
      </c>
      <c r="K2291" s="7">
        <f t="shared" si="253"/>
        <v>390000</v>
      </c>
      <c r="L2291" s="7">
        <f t="shared" si="253"/>
        <v>5460000</v>
      </c>
      <c r="M2291" s="4" t="s">
        <v>115</v>
      </c>
      <c r="N2291" s="6" t="s">
        <v>3553</v>
      </c>
      <c r="O2291" s="6" t="s">
        <v>55</v>
      </c>
      <c r="P2291" s="6" t="s">
        <v>55</v>
      </c>
      <c r="Q2291" s="6" t="s">
        <v>3546</v>
      </c>
      <c r="R2291" s="6" t="s">
        <v>56</v>
      </c>
      <c r="S2291" s="6" t="s">
        <v>56</v>
      </c>
      <c r="T2291" s="6" t="s">
        <v>57</v>
      </c>
      <c r="AR2291" s="6" t="s">
        <v>55</v>
      </c>
      <c r="AS2291" s="6" t="s">
        <v>55</v>
      </c>
      <c r="AU2291" s="6" t="s">
        <v>3554</v>
      </c>
      <c r="AV2291">
        <v>2162</v>
      </c>
    </row>
    <row r="2292" spans="1:48" ht="30" customHeight="1" x14ac:dyDescent="0.3">
      <c r="A2292" s="4" t="s">
        <v>3555</v>
      </c>
      <c r="B2292" s="4" t="s">
        <v>2842</v>
      </c>
      <c r="C2292" s="4" t="s">
        <v>81</v>
      </c>
      <c r="D2292" s="5">
        <v>18</v>
      </c>
      <c r="E2292" s="7">
        <f>TRUNC([1]일위대가목록!E248,0)</f>
        <v>235568</v>
      </c>
      <c r="F2292" s="7">
        <f t="shared" si="250"/>
        <v>4240224</v>
      </c>
      <c r="G2292" s="7">
        <f>TRUNC([1]일위대가목록!F248,0)</f>
        <v>93760</v>
      </c>
      <c r="H2292" s="7">
        <f t="shared" si="251"/>
        <v>1687680</v>
      </c>
      <c r="I2292" s="7">
        <f>TRUNC([1]일위대가목록!G248,0)</f>
        <v>0</v>
      </c>
      <c r="J2292" s="7">
        <f t="shared" si="252"/>
        <v>0</v>
      </c>
      <c r="K2292" s="7">
        <f t="shared" si="253"/>
        <v>329328</v>
      </c>
      <c r="L2292" s="7">
        <f t="shared" si="253"/>
        <v>5927904</v>
      </c>
      <c r="M2292" s="4" t="s">
        <v>3556</v>
      </c>
      <c r="N2292" s="6" t="s">
        <v>3557</v>
      </c>
      <c r="O2292" s="6" t="s">
        <v>55</v>
      </c>
      <c r="P2292" s="6" t="s">
        <v>55</v>
      </c>
      <c r="Q2292" s="6" t="s">
        <v>3546</v>
      </c>
      <c r="R2292" s="6" t="s">
        <v>57</v>
      </c>
      <c r="S2292" s="6" t="s">
        <v>56</v>
      </c>
      <c r="T2292" s="6" t="s">
        <v>56</v>
      </c>
      <c r="AR2292" s="6" t="s">
        <v>55</v>
      </c>
      <c r="AS2292" s="6" t="s">
        <v>55</v>
      </c>
      <c r="AU2292" s="6" t="s">
        <v>3558</v>
      </c>
      <c r="AV2292">
        <v>1153</v>
      </c>
    </row>
    <row r="2293" spans="1:48" ht="30" customHeight="1" x14ac:dyDescent="0.3">
      <c r="A2293" s="4" t="s">
        <v>3559</v>
      </c>
      <c r="B2293" s="4" t="s">
        <v>1580</v>
      </c>
      <c r="C2293" s="4" t="s">
        <v>81</v>
      </c>
      <c r="D2293" s="5">
        <v>18</v>
      </c>
      <c r="E2293" s="7">
        <f>TRUNC([1]일위대가목록!E249,0)</f>
        <v>208152</v>
      </c>
      <c r="F2293" s="7">
        <f t="shared" si="250"/>
        <v>3746736</v>
      </c>
      <c r="G2293" s="7">
        <f>TRUNC([1]일위대가목록!F249,0)</f>
        <v>67097</v>
      </c>
      <c r="H2293" s="7">
        <f t="shared" si="251"/>
        <v>1207746</v>
      </c>
      <c r="I2293" s="7">
        <f>TRUNC([1]일위대가목록!G249,0)</f>
        <v>1341</v>
      </c>
      <c r="J2293" s="7">
        <f t="shared" si="252"/>
        <v>24138</v>
      </c>
      <c r="K2293" s="7">
        <f t="shared" si="253"/>
        <v>276590</v>
      </c>
      <c r="L2293" s="7">
        <f t="shared" si="253"/>
        <v>4978620</v>
      </c>
      <c r="M2293" s="4" t="s">
        <v>3560</v>
      </c>
      <c r="N2293" s="6" t="s">
        <v>3561</v>
      </c>
      <c r="O2293" s="6" t="s">
        <v>55</v>
      </c>
      <c r="P2293" s="6" t="s">
        <v>55</v>
      </c>
      <c r="Q2293" s="6" t="s">
        <v>3546</v>
      </c>
      <c r="R2293" s="6" t="s">
        <v>57</v>
      </c>
      <c r="S2293" s="6" t="s">
        <v>56</v>
      </c>
      <c r="T2293" s="6" t="s">
        <v>56</v>
      </c>
      <c r="AR2293" s="6" t="s">
        <v>55</v>
      </c>
      <c r="AS2293" s="6" t="s">
        <v>55</v>
      </c>
      <c r="AU2293" s="6" t="s">
        <v>3562</v>
      </c>
      <c r="AV2293">
        <v>2164</v>
      </c>
    </row>
    <row r="2294" spans="1:48" ht="30" customHeight="1" x14ac:dyDescent="0.3">
      <c r="A2294" s="4" t="s">
        <v>1622</v>
      </c>
      <c r="B2294" s="4" t="s">
        <v>3563</v>
      </c>
      <c r="C2294" s="4" t="s">
        <v>81</v>
      </c>
      <c r="D2294" s="5">
        <v>1</v>
      </c>
      <c r="E2294" s="7">
        <f>TRUNC([1]일위대가목록!E250,0)</f>
        <v>2481496</v>
      </c>
      <c r="F2294" s="7">
        <f t="shared" si="250"/>
        <v>2481496</v>
      </c>
      <c r="G2294" s="7">
        <f>TRUNC([1]일위대가목록!F250,0)</f>
        <v>1041967</v>
      </c>
      <c r="H2294" s="7">
        <f t="shared" si="251"/>
        <v>1041967</v>
      </c>
      <c r="I2294" s="7">
        <f>TRUNC([1]일위대가목록!G250,0)</f>
        <v>0</v>
      </c>
      <c r="J2294" s="7">
        <f t="shared" si="252"/>
        <v>0</v>
      </c>
      <c r="K2294" s="7">
        <f t="shared" si="253"/>
        <v>3523463</v>
      </c>
      <c r="L2294" s="7">
        <f t="shared" si="253"/>
        <v>3523463</v>
      </c>
      <c r="M2294" s="4" t="s">
        <v>3564</v>
      </c>
      <c r="N2294" s="6" t="s">
        <v>3565</v>
      </c>
      <c r="O2294" s="6" t="s">
        <v>55</v>
      </c>
      <c r="P2294" s="6" t="s">
        <v>55</v>
      </c>
      <c r="Q2294" s="6" t="s">
        <v>3546</v>
      </c>
      <c r="R2294" s="6" t="s">
        <v>57</v>
      </c>
      <c r="S2294" s="6" t="s">
        <v>56</v>
      </c>
      <c r="T2294" s="6" t="s">
        <v>56</v>
      </c>
      <c r="AR2294" s="6" t="s">
        <v>55</v>
      </c>
      <c r="AS2294" s="6" t="s">
        <v>55</v>
      </c>
      <c r="AU2294" s="6" t="s">
        <v>3566</v>
      </c>
      <c r="AV2294">
        <v>1156</v>
      </c>
    </row>
    <row r="2295" spans="1:48" ht="30" customHeight="1" x14ac:dyDescent="0.3">
      <c r="A2295" s="4" t="s">
        <v>3567</v>
      </c>
      <c r="B2295" s="4" t="s">
        <v>3568</v>
      </c>
      <c r="C2295" s="4" t="s">
        <v>81</v>
      </c>
      <c r="D2295" s="5">
        <v>1</v>
      </c>
      <c r="E2295" s="7">
        <f>TRUNC([1]단가대비표!O904,0)</f>
        <v>636700</v>
      </c>
      <c r="F2295" s="7">
        <f t="shared" si="250"/>
        <v>636700</v>
      </c>
      <c r="G2295" s="7">
        <f>TRUNC([1]단가대비표!P904,0)</f>
        <v>0</v>
      </c>
      <c r="H2295" s="7">
        <f t="shared" si="251"/>
        <v>0</v>
      </c>
      <c r="I2295" s="7">
        <f>TRUNC([1]단가대비표!V904,0)</f>
        <v>0</v>
      </c>
      <c r="J2295" s="7">
        <f t="shared" si="252"/>
        <v>0</v>
      </c>
      <c r="K2295" s="7">
        <f t="shared" si="253"/>
        <v>636700</v>
      </c>
      <c r="L2295" s="7">
        <f t="shared" si="253"/>
        <v>636700</v>
      </c>
      <c r="M2295" s="4" t="s">
        <v>55</v>
      </c>
      <c r="N2295" s="6" t="s">
        <v>3569</v>
      </c>
      <c r="O2295" s="6" t="s">
        <v>55</v>
      </c>
      <c r="P2295" s="6" t="s">
        <v>55</v>
      </c>
      <c r="Q2295" s="6" t="s">
        <v>3546</v>
      </c>
      <c r="R2295" s="6" t="s">
        <v>56</v>
      </c>
      <c r="S2295" s="6" t="s">
        <v>56</v>
      </c>
      <c r="T2295" s="6" t="s">
        <v>57</v>
      </c>
      <c r="AR2295" s="6" t="s">
        <v>55</v>
      </c>
      <c r="AS2295" s="6" t="s">
        <v>55</v>
      </c>
      <c r="AU2295" s="6" t="s">
        <v>3570</v>
      </c>
      <c r="AV2295">
        <v>3489</v>
      </c>
    </row>
    <row r="2296" spans="1:48" ht="30" customHeight="1" x14ac:dyDescent="0.3">
      <c r="A2296" s="4" t="s">
        <v>3571</v>
      </c>
      <c r="B2296" s="4" t="s">
        <v>1555</v>
      </c>
      <c r="C2296" s="4" t="s">
        <v>81</v>
      </c>
      <c r="D2296" s="5">
        <v>1</v>
      </c>
      <c r="E2296" s="7">
        <f>TRUNC([1]단가대비표!O905,0)</f>
        <v>599000</v>
      </c>
      <c r="F2296" s="7">
        <f t="shared" si="250"/>
        <v>599000</v>
      </c>
      <c r="G2296" s="7">
        <f>TRUNC([1]단가대비표!P905,0)</f>
        <v>0</v>
      </c>
      <c r="H2296" s="7">
        <f t="shared" si="251"/>
        <v>0</v>
      </c>
      <c r="I2296" s="7">
        <f>TRUNC([1]단가대비표!V905,0)</f>
        <v>0</v>
      </c>
      <c r="J2296" s="7">
        <f t="shared" si="252"/>
        <v>0</v>
      </c>
      <c r="K2296" s="7">
        <f t="shared" si="253"/>
        <v>599000</v>
      </c>
      <c r="L2296" s="7">
        <f t="shared" si="253"/>
        <v>599000</v>
      </c>
      <c r="M2296" s="4" t="s">
        <v>55</v>
      </c>
      <c r="N2296" s="6" t="s">
        <v>3572</v>
      </c>
      <c r="O2296" s="6" t="s">
        <v>55</v>
      </c>
      <c r="P2296" s="6" t="s">
        <v>55</v>
      </c>
      <c r="Q2296" s="6" t="s">
        <v>3546</v>
      </c>
      <c r="R2296" s="6" t="s">
        <v>56</v>
      </c>
      <c r="S2296" s="6" t="s">
        <v>56</v>
      </c>
      <c r="T2296" s="6" t="s">
        <v>57</v>
      </c>
      <c r="AR2296" s="6" t="s">
        <v>55</v>
      </c>
      <c r="AS2296" s="6" t="s">
        <v>55</v>
      </c>
      <c r="AU2296" s="6" t="s">
        <v>3573</v>
      </c>
      <c r="AV2296">
        <v>3490</v>
      </c>
    </row>
    <row r="2297" spans="1:48" ht="30" customHeight="1" x14ac:dyDescent="0.3">
      <c r="A2297" s="4" t="s">
        <v>55</v>
      </c>
      <c r="B2297" s="4" t="s">
        <v>55</v>
      </c>
      <c r="C2297" s="4" t="s">
        <v>55</v>
      </c>
      <c r="D2297" s="5"/>
      <c r="E2297" s="7">
        <f>TRUNC([1]단가대비표!O442,0)</f>
        <v>0</v>
      </c>
      <c r="F2297" s="7">
        <f t="shared" si="250"/>
        <v>0</v>
      </c>
      <c r="G2297" s="7">
        <f>TRUNC([1]단가대비표!P442,0)</f>
        <v>0</v>
      </c>
      <c r="H2297" s="7">
        <f t="shared" si="251"/>
        <v>0</v>
      </c>
      <c r="I2297" s="7">
        <f>TRUNC([1]단가대비표!V442,0)</f>
        <v>0</v>
      </c>
      <c r="J2297" s="7">
        <f t="shared" si="252"/>
        <v>0</v>
      </c>
      <c r="K2297" s="7">
        <f t="shared" si="253"/>
        <v>0</v>
      </c>
      <c r="L2297" s="7">
        <f t="shared" si="253"/>
        <v>0</v>
      </c>
      <c r="M2297" s="4" t="s">
        <v>55</v>
      </c>
      <c r="N2297" s="6" t="s">
        <v>3574</v>
      </c>
      <c r="O2297" s="6" t="s">
        <v>55</v>
      </c>
      <c r="P2297" s="6" t="s">
        <v>55</v>
      </c>
      <c r="Q2297" s="6" t="s">
        <v>3546</v>
      </c>
      <c r="R2297" s="6" t="s">
        <v>56</v>
      </c>
      <c r="S2297" s="6" t="s">
        <v>56</v>
      </c>
      <c r="T2297" s="6" t="s">
        <v>57</v>
      </c>
      <c r="AR2297" s="6" t="s">
        <v>55</v>
      </c>
      <c r="AS2297" s="6" t="s">
        <v>55</v>
      </c>
      <c r="AU2297" s="6" t="s">
        <v>3575</v>
      </c>
      <c r="AV2297">
        <v>1450</v>
      </c>
    </row>
    <row r="2298" spans="1:48" ht="30" customHeight="1" x14ac:dyDescent="0.3">
      <c r="A2298" s="4" t="s">
        <v>3576</v>
      </c>
      <c r="B2298" s="4" t="s">
        <v>55</v>
      </c>
      <c r="C2298" s="4" t="s">
        <v>55</v>
      </c>
      <c r="D2298" s="5"/>
      <c r="E2298" s="7">
        <f>TRUNC([1]단가대비표!O443,0)</f>
        <v>0</v>
      </c>
      <c r="F2298" s="7">
        <f t="shared" si="250"/>
        <v>0</v>
      </c>
      <c r="G2298" s="7">
        <f>TRUNC([1]단가대비표!P443,0)</f>
        <v>0</v>
      </c>
      <c r="H2298" s="7">
        <f t="shared" si="251"/>
        <v>0</v>
      </c>
      <c r="I2298" s="7">
        <f>TRUNC([1]단가대비표!V443,0)</f>
        <v>0</v>
      </c>
      <c r="J2298" s="7">
        <f t="shared" si="252"/>
        <v>0</v>
      </c>
      <c r="K2298" s="7">
        <f t="shared" si="253"/>
        <v>0</v>
      </c>
      <c r="L2298" s="7">
        <f t="shared" si="253"/>
        <v>0</v>
      </c>
      <c r="M2298" s="4" t="s">
        <v>55</v>
      </c>
      <c r="N2298" s="6" t="s">
        <v>3577</v>
      </c>
      <c r="O2298" s="6" t="s">
        <v>55</v>
      </c>
      <c r="P2298" s="6" t="s">
        <v>55</v>
      </c>
      <c r="Q2298" s="6" t="s">
        <v>3546</v>
      </c>
      <c r="R2298" s="6" t="s">
        <v>56</v>
      </c>
      <c r="S2298" s="6" t="s">
        <v>56</v>
      </c>
      <c r="T2298" s="6" t="s">
        <v>57</v>
      </c>
      <c r="AR2298" s="6" t="s">
        <v>55</v>
      </c>
      <c r="AS2298" s="6" t="s">
        <v>55</v>
      </c>
      <c r="AU2298" s="6" t="s">
        <v>3578</v>
      </c>
      <c r="AV2298">
        <v>1451</v>
      </c>
    </row>
    <row r="2299" spans="1:48" ht="30" customHeight="1" x14ac:dyDescent="0.3">
      <c r="A2299" s="4" t="s">
        <v>1724</v>
      </c>
      <c r="B2299" s="4" t="s">
        <v>1725</v>
      </c>
      <c r="C2299" s="4" t="s">
        <v>1726</v>
      </c>
      <c r="D2299" s="5">
        <v>54</v>
      </c>
      <c r="E2299" s="7">
        <f>TRUNC([1]단가대비표!O444,0)</f>
        <v>7500</v>
      </c>
      <c r="F2299" s="7">
        <f t="shared" si="250"/>
        <v>405000</v>
      </c>
      <c r="G2299" s="7">
        <f>TRUNC([1]단가대비표!P444,0)</f>
        <v>0</v>
      </c>
      <c r="H2299" s="7">
        <f t="shared" si="251"/>
        <v>0</v>
      </c>
      <c r="I2299" s="7">
        <f>TRUNC([1]단가대비표!V444,0)</f>
        <v>0</v>
      </c>
      <c r="J2299" s="7">
        <f t="shared" si="252"/>
        <v>0</v>
      </c>
      <c r="K2299" s="7">
        <f t="shared" si="253"/>
        <v>7500</v>
      </c>
      <c r="L2299" s="7">
        <f t="shared" si="253"/>
        <v>405000</v>
      </c>
      <c r="M2299" s="4" t="s">
        <v>115</v>
      </c>
      <c r="N2299" s="6" t="s">
        <v>3579</v>
      </c>
      <c r="O2299" s="6" t="s">
        <v>55</v>
      </c>
      <c r="P2299" s="6" t="s">
        <v>55</v>
      </c>
      <c r="Q2299" s="6" t="s">
        <v>3546</v>
      </c>
      <c r="R2299" s="6" t="s">
        <v>56</v>
      </c>
      <c r="S2299" s="6" t="s">
        <v>56</v>
      </c>
      <c r="T2299" s="6" t="s">
        <v>57</v>
      </c>
      <c r="AR2299" s="6" t="s">
        <v>55</v>
      </c>
      <c r="AS2299" s="6" t="s">
        <v>55</v>
      </c>
      <c r="AU2299" s="6" t="s">
        <v>3580</v>
      </c>
      <c r="AV2299">
        <v>1456</v>
      </c>
    </row>
    <row r="2300" spans="1:48" ht="30" customHeight="1" x14ac:dyDescent="0.3">
      <c r="A2300" s="4" t="s">
        <v>1729</v>
      </c>
      <c r="B2300" s="4" t="s">
        <v>1730</v>
      </c>
      <c r="C2300" s="4" t="s">
        <v>1726</v>
      </c>
      <c r="D2300" s="5">
        <v>42</v>
      </c>
      <c r="E2300" s="7">
        <f>TRUNC([1]단가대비표!O445,0)</f>
        <v>8500</v>
      </c>
      <c r="F2300" s="7">
        <f t="shared" si="250"/>
        <v>357000</v>
      </c>
      <c r="G2300" s="7">
        <f>TRUNC([1]단가대비표!P445,0)</f>
        <v>0</v>
      </c>
      <c r="H2300" s="7">
        <f t="shared" si="251"/>
        <v>0</v>
      </c>
      <c r="I2300" s="7">
        <f>TRUNC([1]단가대비표!V445,0)</f>
        <v>0</v>
      </c>
      <c r="J2300" s="7">
        <f t="shared" si="252"/>
        <v>0</v>
      </c>
      <c r="K2300" s="7">
        <f t="shared" si="253"/>
        <v>8500</v>
      </c>
      <c r="L2300" s="7">
        <f t="shared" si="253"/>
        <v>357000</v>
      </c>
      <c r="M2300" s="4" t="s">
        <v>115</v>
      </c>
      <c r="N2300" s="6" t="s">
        <v>3581</v>
      </c>
      <c r="O2300" s="6" t="s">
        <v>55</v>
      </c>
      <c r="P2300" s="6" t="s">
        <v>55</v>
      </c>
      <c r="Q2300" s="6" t="s">
        <v>3546</v>
      </c>
      <c r="R2300" s="6" t="s">
        <v>56</v>
      </c>
      <c r="S2300" s="6" t="s">
        <v>56</v>
      </c>
      <c r="T2300" s="6" t="s">
        <v>57</v>
      </c>
      <c r="AR2300" s="6" t="s">
        <v>55</v>
      </c>
      <c r="AS2300" s="6" t="s">
        <v>55</v>
      </c>
      <c r="AU2300" s="6" t="s">
        <v>3582</v>
      </c>
      <c r="AV2300">
        <v>1457</v>
      </c>
    </row>
    <row r="2301" spans="1:48" ht="30" customHeight="1" x14ac:dyDescent="0.3">
      <c r="A2301" s="4" t="s">
        <v>1733</v>
      </c>
      <c r="B2301" s="4" t="s">
        <v>1734</v>
      </c>
      <c r="C2301" s="4" t="s">
        <v>1726</v>
      </c>
      <c r="D2301" s="5">
        <v>66</v>
      </c>
      <c r="E2301" s="7">
        <f>TRUNC([1]단가대비표!O446,0)</f>
        <v>9500</v>
      </c>
      <c r="F2301" s="7">
        <f t="shared" si="250"/>
        <v>627000</v>
      </c>
      <c r="G2301" s="7">
        <f>TRUNC([1]단가대비표!P446,0)</f>
        <v>0</v>
      </c>
      <c r="H2301" s="7">
        <f t="shared" si="251"/>
        <v>0</v>
      </c>
      <c r="I2301" s="7">
        <f>TRUNC([1]단가대비표!V446,0)</f>
        <v>0</v>
      </c>
      <c r="J2301" s="7">
        <f t="shared" si="252"/>
        <v>0</v>
      </c>
      <c r="K2301" s="7">
        <f t="shared" si="253"/>
        <v>9500</v>
      </c>
      <c r="L2301" s="7">
        <f t="shared" si="253"/>
        <v>627000</v>
      </c>
      <c r="M2301" s="4" t="s">
        <v>115</v>
      </c>
      <c r="N2301" s="6" t="s">
        <v>3583</v>
      </c>
      <c r="O2301" s="6" t="s">
        <v>55</v>
      </c>
      <c r="P2301" s="6" t="s">
        <v>55</v>
      </c>
      <c r="Q2301" s="6" t="s">
        <v>3546</v>
      </c>
      <c r="R2301" s="6" t="s">
        <v>56</v>
      </c>
      <c r="S2301" s="6" t="s">
        <v>56</v>
      </c>
      <c r="T2301" s="6" t="s">
        <v>57</v>
      </c>
      <c r="AR2301" s="6" t="s">
        <v>55</v>
      </c>
      <c r="AS2301" s="6" t="s">
        <v>55</v>
      </c>
      <c r="AU2301" s="6" t="s">
        <v>3584</v>
      </c>
      <c r="AV2301">
        <v>1458</v>
      </c>
    </row>
    <row r="2302" spans="1:48" ht="30" customHeight="1" x14ac:dyDescent="0.3">
      <c r="A2302" s="4" t="s">
        <v>1737</v>
      </c>
      <c r="B2302" s="4" t="s">
        <v>1738</v>
      </c>
      <c r="C2302" s="4" t="s">
        <v>1726</v>
      </c>
      <c r="D2302" s="5">
        <v>3</v>
      </c>
      <c r="E2302" s="7">
        <f>TRUNC([1]단가대비표!O447,0)</f>
        <v>9500</v>
      </c>
      <c r="F2302" s="7">
        <f t="shared" si="250"/>
        <v>28500</v>
      </c>
      <c r="G2302" s="7">
        <f>TRUNC([1]단가대비표!P447,0)</f>
        <v>0</v>
      </c>
      <c r="H2302" s="7">
        <f t="shared" si="251"/>
        <v>0</v>
      </c>
      <c r="I2302" s="7">
        <f>TRUNC([1]단가대비표!V447,0)</f>
        <v>0</v>
      </c>
      <c r="J2302" s="7">
        <f t="shared" si="252"/>
        <v>0</v>
      </c>
      <c r="K2302" s="7">
        <f t="shared" si="253"/>
        <v>9500</v>
      </c>
      <c r="L2302" s="7">
        <f t="shared" si="253"/>
        <v>28500</v>
      </c>
      <c r="M2302" s="4" t="s">
        <v>115</v>
      </c>
      <c r="N2302" s="6" t="s">
        <v>3585</v>
      </c>
      <c r="O2302" s="6" t="s">
        <v>55</v>
      </c>
      <c r="P2302" s="6" t="s">
        <v>55</v>
      </c>
      <c r="Q2302" s="6" t="s">
        <v>3546</v>
      </c>
      <c r="R2302" s="6" t="s">
        <v>56</v>
      </c>
      <c r="S2302" s="6" t="s">
        <v>56</v>
      </c>
      <c r="T2302" s="6" t="s">
        <v>57</v>
      </c>
      <c r="AR2302" s="6" t="s">
        <v>55</v>
      </c>
      <c r="AS2302" s="6" t="s">
        <v>55</v>
      </c>
      <c r="AU2302" s="6" t="s">
        <v>3586</v>
      </c>
      <c r="AV2302">
        <v>1459</v>
      </c>
    </row>
    <row r="2303" spans="1:48" ht="30" customHeight="1" x14ac:dyDescent="0.3">
      <c r="A2303" s="4" t="s">
        <v>1741</v>
      </c>
      <c r="B2303" s="4" t="s">
        <v>1742</v>
      </c>
      <c r="C2303" s="4" t="s">
        <v>1726</v>
      </c>
      <c r="D2303" s="5">
        <v>6</v>
      </c>
      <c r="E2303" s="7">
        <f>TRUNC([1]단가대비표!O448,0)</f>
        <v>23000</v>
      </c>
      <c r="F2303" s="7">
        <f t="shared" si="250"/>
        <v>138000</v>
      </c>
      <c r="G2303" s="7">
        <f>TRUNC([1]단가대비표!P448,0)</f>
        <v>0</v>
      </c>
      <c r="H2303" s="7">
        <f t="shared" si="251"/>
        <v>0</v>
      </c>
      <c r="I2303" s="7">
        <f>TRUNC([1]단가대비표!V448,0)</f>
        <v>0</v>
      </c>
      <c r="J2303" s="7">
        <f t="shared" si="252"/>
        <v>0</v>
      </c>
      <c r="K2303" s="7">
        <f t="shared" si="253"/>
        <v>23000</v>
      </c>
      <c r="L2303" s="7">
        <f t="shared" si="253"/>
        <v>138000</v>
      </c>
      <c r="M2303" s="4" t="s">
        <v>115</v>
      </c>
      <c r="N2303" s="6" t="s">
        <v>3587</v>
      </c>
      <c r="O2303" s="6" t="s">
        <v>55</v>
      </c>
      <c r="P2303" s="6" t="s">
        <v>55</v>
      </c>
      <c r="Q2303" s="6" t="s">
        <v>3546</v>
      </c>
      <c r="R2303" s="6" t="s">
        <v>56</v>
      </c>
      <c r="S2303" s="6" t="s">
        <v>56</v>
      </c>
      <c r="T2303" s="6" t="s">
        <v>57</v>
      </c>
      <c r="AR2303" s="6" t="s">
        <v>55</v>
      </c>
      <c r="AS2303" s="6" t="s">
        <v>55</v>
      </c>
      <c r="AU2303" s="6" t="s">
        <v>3588</v>
      </c>
      <c r="AV2303">
        <v>1460</v>
      </c>
    </row>
    <row r="2304" spans="1:48" ht="30" customHeight="1" x14ac:dyDescent="0.3">
      <c r="A2304" s="4" t="s">
        <v>1745</v>
      </c>
      <c r="B2304" s="4" t="s">
        <v>1746</v>
      </c>
      <c r="C2304" s="4" t="s">
        <v>1726</v>
      </c>
      <c r="D2304" s="5">
        <v>5</v>
      </c>
      <c r="E2304" s="7">
        <f>TRUNC([1]단가대비표!O449,0)</f>
        <v>76000</v>
      </c>
      <c r="F2304" s="7">
        <f t="shared" si="250"/>
        <v>380000</v>
      </c>
      <c r="G2304" s="7">
        <f>TRUNC([1]단가대비표!P449,0)</f>
        <v>0</v>
      </c>
      <c r="H2304" s="7">
        <f t="shared" si="251"/>
        <v>0</v>
      </c>
      <c r="I2304" s="7">
        <f>TRUNC([1]단가대비표!V449,0)</f>
        <v>0</v>
      </c>
      <c r="J2304" s="7">
        <f t="shared" si="252"/>
        <v>0</v>
      </c>
      <c r="K2304" s="7">
        <f t="shared" si="253"/>
        <v>76000</v>
      </c>
      <c r="L2304" s="7">
        <f t="shared" si="253"/>
        <v>380000</v>
      </c>
      <c r="M2304" s="4" t="s">
        <v>115</v>
      </c>
      <c r="N2304" s="6" t="s">
        <v>3589</v>
      </c>
      <c r="O2304" s="6" t="s">
        <v>55</v>
      </c>
      <c r="P2304" s="6" t="s">
        <v>55</v>
      </c>
      <c r="Q2304" s="6" t="s">
        <v>3546</v>
      </c>
      <c r="R2304" s="6" t="s">
        <v>56</v>
      </c>
      <c r="S2304" s="6" t="s">
        <v>56</v>
      </c>
      <c r="T2304" s="6" t="s">
        <v>57</v>
      </c>
      <c r="AR2304" s="6" t="s">
        <v>55</v>
      </c>
      <c r="AS2304" s="6" t="s">
        <v>55</v>
      </c>
      <c r="AU2304" s="6" t="s">
        <v>3590</v>
      </c>
      <c r="AV2304">
        <v>1463</v>
      </c>
    </row>
    <row r="2305" spans="1:48" ht="30" customHeight="1" x14ac:dyDescent="0.3">
      <c r="A2305" s="4" t="s">
        <v>1745</v>
      </c>
      <c r="B2305" s="4" t="s">
        <v>1749</v>
      </c>
      <c r="C2305" s="4" t="s">
        <v>1726</v>
      </c>
      <c r="D2305" s="5">
        <v>18</v>
      </c>
      <c r="E2305" s="7">
        <f>TRUNC([1]단가대비표!O450,0)</f>
        <v>20000</v>
      </c>
      <c r="F2305" s="7">
        <f t="shared" si="250"/>
        <v>360000</v>
      </c>
      <c r="G2305" s="7">
        <f>TRUNC([1]단가대비표!P450,0)</f>
        <v>0</v>
      </c>
      <c r="H2305" s="7">
        <f t="shared" si="251"/>
        <v>0</v>
      </c>
      <c r="I2305" s="7">
        <f>TRUNC([1]단가대비표!V450,0)</f>
        <v>0</v>
      </c>
      <c r="J2305" s="7">
        <f t="shared" si="252"/>
        <v>0</v>
      </c>
      <c r="K2305" s="7">
        <f t="shared" si="253"/>
        <v>20000</v>
      </c>
      <c r="L2305" s="7">
        <f t="shared" si="253"/>
        <v>360000</v>
      </c>
      <c r="M2305" s="4" t="s">
        <v>115</v>
      </c>
      <c r="N2305" s="6" t="s">
        <v>3591</v>
      </c>
      <c r="O2305" s="6" t="s">
        <v>55</v>
      </c>
      <c r="P2305" s="6" t="s">
        <v>55</v>
      </c>
      <c r="Q2305" s="6" t="s">
        <v>3546</v>
      </c>
      <c r="R2305" s="6" t="s">
        <v>56</v>
      </c>
      <c r="S2305" s="6" t="s">
        <v>56</v>
      </c>
      <c r="T2305" s="6" t="s">
        <v>57</v>
      </c>
      <c r="AR2305" s="6" t="s">
        <v>55</v>
      </c>
      <c r="AS2305" s="6" t="s">
        <v>55</v>
      </c>
      <c r="AU2305" s="6" t="s">
        <v>3592</v>
      </c>
      <c r="AV2305">
        <v>1465</v>
      </c>
    </row>
    <row r="2306" spans="1:48" ht="30" customHeight="1" x14ac:dyDescent="0.3">
      <c r="A2306" s="4" t="s">
        <v>1759</v>
      </c>
      <c r="B2306" s="4" t="s">
        <v>1760</v>
      </c>
      <c r="C2306" s="4" t="s">
        <v>1726</v>
      </c>
      <c r="D2306" s="5">
        <v>6</v>
      </c>
      <c r="E2306" s="7">
        <f>TRUNC([1]단가대비표!O451,0)</f>
        <v>7500</v>
      </c>
      <c r="F2306" s="7">
        <f t="shared" si="250"/>
        <v>45000</v>
      </c>
      <c r="G2306" s="7">
        <f>TRUNC([1]단가대비표!P451,0)</f>
        <v>0</v>
      </c>
      <c r="H2306" s="7">
        <f t="shared" si="251"/>
        <v>0</v>
      </c>
      <c r="I2306" s="7">
        <f>TRUNC([1]단가대비표!V451,0)</f>
        <v>0</v>
      </c>
      <c r="J2306" s="7">
        <f t="shared" si="252"/>
        <v>0</v>
      </c>
      <c r="K2306" s="7">
        <f t="shared" si="253"/>
        <v>7500</v>
      </c>
      <c r="L2306" s="7">
        <f t="shared" si="253"/>
        <v>45000</v>
      </c>
      <c r="M2306" s="4" t="s">
        <v>115</v>
      </c>
      <c r="N2306" s="6" t="s">
        <v>3593</v>
      </c>
      <c r="O2306" s="6" t="s">
        <v>55</v>
      </c>
      <c r="P2306" s="6" t="s">
        <v>55</v>
      </c>
      <c r="Q2306" s="6" t="s">
        <v>3546</v>
      </c>
      <c r="R2306" s="6" t="s">
        <v>56</v>
      </c>
      <c r="S2306" s="6" t="s">
        <v>56</v>
      </c>
      <c r="T2306" s="6" t="s">
        <v>57</v>
      </c>
      <c r="AR2306" s="6" t="s">
        <v>55</v>
      </c>
      <c r="AS2306" s="6" t="s">
        <v>55</v>
      </c>
      <c r="AU2306" s="6" t="s">
        <v>3594</v>
      </c>
      <c r="AV2306">
        <v>1473</v>
      </c>
    </row>
    <row r="2307" spans="1:48" ht="30" customHeight="1" x14ac:dyDescent="0.3">
      <c r="A2307" s="4" t="s">
        <v>1763</v>
      </c>
      <c r="B2307" s="4" t="s">
        <v>1764</v>
      </c>
      <c r="C2307" s="4" t="s">
        <v>1726</v>
      </c>
      <c r="D2307" s="5">
        <v>18</v>
      </c>
      <c r="E2307" s="7">
        <f>TRUNC([1]단가대비표!O452,0)</f>
        <v>7500</v>
      </c>
      <c r="F2307" s="7">
        <f t="shared" si="250"/>
        <v>135000</v>
      </c>
      <c r="G2307" s="7">
        <f>TRUNC([1]단가대비표!P452,0)</f>
        <v>0</v>
      </c>
      <c r="H2307" s="7">
        <f t="shared" si="251"/>
        <v>0</v>
      </c>
      <c r="I2307" s="7">
        <f>TRUNC([1]단가대비표!V452,0)</f>
        <v>0</v>
      </c>
      <c r="J2307" s="7">
        <f t="shared" si="252"/>
        <v>0</v>
      </c>
      <c r="K2307" s="7">
        <f t="shared" si="253"/>
        <v>7500</v>
      </c>
      <c r="L2307" s="7">
        <f t="shared" si="253"/>
        <v>135000</v>
      </c>
      <c r="M2307" s="4" t="s">
        <v>115</v>
      </c>
      <c r="N2307" s="6" t="s">
        <v>3595</v>
      </c>
      <c r="O2307" s="6" t="s">
        <v>55</v>
      </c>
      <c r="P2307" s="6" t="s">
        <v>55</v>
      </c>
      <c r="Q2307" s="6" t="s">
        <v>3546</v>
      </c>
      <c r="R2307" s="6" t="s">
        <v>56</v>
      </c>
      <c r="S2307" s="6" t="s">
        <v>56</v>
      </c>
      <c r="T2307" s="6" t="s">
        <v>57</v>
      </c>
      <c r="AR2307" s="6" t="s">
        <v>55</v>
      </c>
      <c r="AS2307" s="6" t="s">
        <v>55</v>
      </c>
      <c r="AU2307" s="6" t="s">
        <v>3596</v>
      </c>
      <c r="AV2307">
        <v>1477</v>
      </c>
    </row>
    <row r="2308" spans="1:48" ht="30" customHeight="1" x14ac:dyDescent="0.3">
      <c r="A2308" s="4" t="s">
        <v>1767</v>
      </c>
      <c r="B2308" s="4" t="s">
        <v>1768</v>
      </c>
      <c r="C2308" s="4" t="s">
        <v>1726</v>
      </c>
      <c r="D2308" s="5">
        <v>23</v>
      </c>
      <c r="E2308" s="7">
        <f>TRUNC([1]단가대비표!O453,0)</f>
        <v>7500</v>
      </c>
      <c r="F2308" s="7">
        <f t="shared" si="250"/>
        <v>172500</v>
      </c>
      <c r="G2308" s="7">
        <f>TRUNC([1]단가대비표!P453,0)</f>
        <v>0</v>
      </c>
      <c r="H2308" s="7">
        <f t="shared" si="251"/>
        <v>0</v>
      </c>
      <c r="I2308" s="7">
        <f>TRUNC([1]단가대비표!V453,0)</f>
        <v>0</v>
      </c>
      <c r="J2308" s="7">
        <f t="shared" si="252"/>
        <v>0</v>
      </c>
      <c r="K2308" s="7">
        <f t="shared" si="253"/>
        <v>7500</v>
      </c>
      <c r="L2308" s="7">
        <f t="shared" si="253"/>
        <v>172500</v>
      </c>
      <c r="M2308" s="4" t="s">
        <v>115</v>
      </c>
      <c r="N2308" s="6" t="s">
        <v>3597</v>
      </c>
      <c r="O2308" s="6" t="s">
        <v>55</v>
      </c>
      <c r="P2308" s="6" t="s">
        <v>55</v>
      </c>
      <c r="Q2308" s="6" t="s">
        <v>3546</v>
      </c>
      <c r="R2308" s="6" t="s">
        <v>56</v>
      </c>
      <c r="S2308" s="6" t="s">
        <v>56</v>
      </c>
      <c r="T2308" s="6" t="s">
        <v>57</v>
      </c>
      <c r="AR2308" s="6" t="s">
        <v>55</v>
      </c>
      <c r="AS2308" s="6" t="s">
        <v>55</v>
      </c>
      <c r="AU2308" s="6" t="s">
        <v>3598</v>
      </c>
      <c r="AV2308">
        <v>1480</v>
      </c>
    </row>
    <row r="2309" spans="1:48" ht="30" customHeight="1" x14ac:dyDescent="0.3">
      <c r="A2309" s="4" t="s">
        <v>1779</v>
      </c>
      <c r="B2309" s="4" t="s">
        <v>1780</v>
      </c>
      <c r="C2309" s="4" t="s">
        <v>1726</v>
      </c>
      <c r="D2309" s="5">
        <v>10</v>
      </c>
      <c r="E2309" s="7">
        <f>TRUNC([1]단가대비표!O454,0)</f>
        <v>62000</v>
      </c>
      <c r="F2309" s="7">
        <f t="shared" si="250"/>
        <v>620000</v>
      </c>
      <c r="G2309" s="7">
        <f>TRUNC([1]단가대비표!P454,0)</f>
        <v>0</v>
      </c>
      <c r="H2309" s="7">
        <f t="shared" si="251"/>
        <v>0</v>
      </c>
      <c r="I2309" s="7">
        <f>TRUNC([1]단가대비표!V454,0)</f>
        <v>0</v>
      </c>
      <c r="J2309" s="7">
        <f t="shared" si="252"/>
        <v>0</v>
      </c>
      <c r="K2309" s="7">
        <f t="shared" si="253"/>
        <v>62000</v>
      </c>
      <c r="L2309" s="7">
        <f t="shared" si="253"/>
        <v>620000</v>
      </c>
      <c r="M2309" s="4" t="s">
        <v>115</v>
      </c>
      <c r="N2309" s="6" t="s">
        <v>3599</v>
      </c>
      <c r="O2309" s="6" t="s">
        <v>55</v>
      </c>
      <c r="P2309" s="6" t="s">
        <v>55</v>
      </c>
      <c r="Q2309" s="6" t="s">
        <v>3546</v>
      </c>
      <c r="R2309" s="6" t="s">
        <v>56</v>
      </c>
      <c r="S2309" s="6" t="s">
        <v>56</v>
      </c>
      <c r="T2309" s="6" t="s">
        <v>57</v>
      </c>
      <c r="AR2309" s="6" t="s">
        <v>55</v>
      </c>
      <c r="AS2309" s="6" t="s">
        <v>55</v>
      </c>
      <c r="AU2309" s="6" t="s">
        <v>3600</v>
      </c>
      <c r="AV2309">
        <v>1492</v>
      </c>
    </row>
    <row r="2310" spans="1:48" ht="30" customHeight="1" x14ac:dyDescent="0.3">
      <c r="A2310" s="4" t="s">
        <v>1783</v>
      </c>
      <c r="B2310" s="4" t="s">
        <v>1784</v>
      </c>
      <c r="C2310" s="4" t="s">
        <v>1726</v>
      </c>
      <c r="D2310" s="5">
        <v>14</v>
      </c>
      <c r="E2310" s="7">
        <f>TRUNC([1]단가대비표!O674,0)</f>
        <v>66000</v>
      </c>
      <c r="F2310" s="7">
        <f t="shared" si="250"/>
        <v>924000</v>
      </c>
      <c r="G2310" s="7">
        <f>TRUNC([1]단가대비표!P674,0)</f>
        <v>0</v>
      </c>
      <c r="H2310" s="7">
        <f t="shared" si="251"/>
        <v>0</v>
      </c>
      <c r="I2310" s="7">
        <f>TRUNC([1]단가대비표!V674,0)</f>
        <v>0</v>
      </c>
      <c r="J2310" s="7">
        <f t="shared" si="252"/>
        <v>0</v>
      </c>
      <c r="K2310" s="7">
        <f t="shared" si="253"/>
        <v>66000</v>
      </c>
      <c r="L2310" s="7">
        <f t="shared" si="253"/>
        <v>924000</v>
      </c>
      <c r="M2310" s="4" t="s">
        <v>115</v>
      </c>
      <c r="N2310" s="6" t="s">
        <v>3601</v>
      </c>
      <c r="O2310" s="6" t="s">
        <v>55</v>
      </c>
      <c r="P2310" s="6" t="s">
        <v>55</v>
      </c>
      <c r="Q2310" s="6" t="s">
        <v>3546</v>
      </c>
      <c r="R2310" s="6" t="s">
        <v>56</v>
      </c>
      <c r="S2310" s="6" t="s">
        <v>56</v>
      </c>
      <c r="T2310" s="6" t="s">
        <v>57</v>
      </c>
      <c r="AR2310" s="6" t="s">
        <v>55</v>
      </c>
      <c r="AS2310" s="6" t="s">
        <v>55</v>
      </c>
      <c r="AU2310" s="6" t="s">
        <v>3602</v>
      </c>
      <c r="AV2310">
        <v>2138</v>
      </c>
    </row>
    <row r="2311" spans="1:48" ht="30" customHeight="1" x14ac:dyDescent="0.3">
      <c r="A2311" s="4" t="s">
        <v>1791</v>
      </c>
      <c r="B2311" s="4" t="s">
        <v>1792</v>
      </c>
      <c r="C2311" s="4" t="s">
        <v>1726</v>
      </c>
      <c r="D2311" s="5">
        <v>18</v>
      </c>
      <c r="E2311" s="7">
        <f>TRUNC([1]단가대비표!O675,0)</f>
        <v>33000</v>
      </c>
      <c r="F2311" s="7">
        <f t="shared" si="250"/>
        <v>594000</v>
      </c>
      <c r="G2311" s="7">
        <f>TRUNC([1]단가대비표!P675,0)</f>
        <v>0</v>
      </c>
      <c r="H2311" s="7">
        <f t="shared" si="251"/>
        <v>0</v>
      </c>
      <c r="I2311" s="7">
        <f>TRUNC([1]단가대비표!V675,0)</f>
        <v>0</v>
      </c>
      <c r="J2311" s="7">
        <f t="shared" si="252"/>
        <v>0</v>
      </c>
      <c r="K2311" s="7">
        <f t="shared" si="253"/>
        <v>33000</v>
      </c>
      <c r="L2311" s="7">
        <f t="shared" si="253"/>
        <v>594000</v>
      </c>
      <c r="M2311" s="4" t="s">
        <v>115</v>
      </c>
      <c r="N2311" s="6" t="s">
        <v>3603</v>
      </c>
      <c r="O2311" s="6" t="s">
        <v>55</v>
      </c>
      <c r="P2311" s="6" t="s">
        <v>55</v>
      </c>
      <c r="Q2311" s="6" t="s">
        <v>3546</v>
      </c>
      <c r="R2311" s="6" t="s">
        <v>56</v>
      </c>
      <c r="S2311" s="6" t="s">
        <v>56</v>
      </c>
      <c r="T2311" s="6" t="s">
        <v>57</v>
      </c>
      <c r="AR2311" s="6" t="s">
        <v>55</v>
      </c>
      <c r="AS2311" s="6" t="s">
        <v>55</v>
      </c>
      <c r="AU2311" s="6" t="s">
        <v>3604</v>
      </c>
      <c r="AV2311">
        <v>2141</v>
      </c>
    </row>
    <row r="2312" spans="1:48" ht="30" customHeight="1" x14ac:dyDescent="0.3">
      <c r="A2312" s="4" t="s">
        <v>1795</v>
      </c>
      <c r="B2312" s="4" t="s">
        <v>1796</v>
      </c>
      <c r="C2312" s="4" t="s">
        <v>1726</v>
      </c>
      <c r="D2312" s="5">
        <v>6</v>
      </c>
      <c r="E2312" s="7">
        <f>TRUNC([1]단가대비표!O676,0)</f>
        <v>55000</v>
      </c>
      <c r="F2312" s="7">
        <f t="shared" si="250"/>
        <v>330000</v>
      </c>
      <c r="G2312" s="7">
        <f>TRUNC([1]단가대비표!P676,0)</f>
        <v>0</v>
      </c>
      <c r="H2312" s="7">
        <f t="shared" si="251"/>
        <v>0</v>
      </c>
      <c r="I2312" s="7">
        <f>TRUNC([1]단가대비표!V676,0)</f>
        <v>0</v>
      </c>
      <c r="J2312" s="7">
        <f t="shared" si="252"/>
        <v>0</v>
      </c>
      <c r="K2312" s="7">
        <f t="shared" si="253"/>
        <v>55000</v>
      </c>
      <c r="L2312" s="7">
        <f t="shared" si="253"/>
        <v>330000</v>
      </c>
      <c r="M2312" s="4" t="s">
        <v>115</v>
      </c>
      <c r="N2312" s="6" t="s">
        <v>3605</v>
      </c>
      <c r="O2312" s="6" t="s">
        <v>55</v>
      </c>
      <c r="P2312" s="6" t="s">
        <v>55</v>
      </c>
      <c r="Q2312" s="6" t="s">
        <v>3546</v>
      </c>
      <c r="R2312" s="6" t="s">
        <v>56</v>
      </c>
      <c r="S2312" s="6" t="s">
        <v>56</v>
      </c>
      <c r="T2312" s="6" t="s">
        <v>57</v>
      </c>
      <c r="AR2312" s="6" t="s">
        <v>55</v>
      </c>
      <c r="AS2312" s="6" t="s">
        <v>55</v>
      </c>
      <c r="AU2312" s="6" t="s">
        <v>3606</v>
      </c>
      <c r="AV2312">
        <v>2142</v>
      </c>
    </row>
    <row r="2313" spans="1:48" ht="30" customHeight="1" x14ac:dyDescent="0.3">
      <c r="A2313" s="4" t="s">
        <v>1807</v>
      </c>
      <c r="B2313" s="4" t="s">
        <v>1808</v>
      </c>
      <c r="C2313" s="4" t="s">
        <v>1726</v>
      </c>
      <c r="D2313" s="5">
        <v>22</v>
      </c>
      <c r="E2313" s="7">
        <f>TRUNC([1]단가대비표!O677,0)</f>
        <v>90000</v>
      </c>
      <c r="F2313" s="7">
        <f t="shared" si="250"/>
        <v>1980000</v>
      </c>
      <c r="G2313" s="7">
        <f>TRUNC([1]단가대비표!P677,0)</f>
        <v>0</v>
      </c>
      <c r="H2313" s="7">
        <f t="shared" si="251"/>
        <v>0</v>
      </c>
      <c r="I2313" s="7">
        <f>TRUNC([1]단가대비표!V677,0)</f>
        <v>0</v>
      </c>
      <c r="J2313" s="7">
        <f t="shared" si="252"/>
        <v>0</v>
      </c>
      <c r="K2313" s="7">
        <f t="shared" si="253"/>
        <v>90000</v>
      </c>
      <c r="L2313" s="7">
        <f t="shared" si="253"/>
        <v>1980000</v>
      </c>
      <c r="M2313" s="4" t="s">
        <v>115</v>
      </c>
      <c r="N2313" s="6" t="s">
        <v>3607</v>
      </c>
      <c r="O2313" s="6" t="s">
        <v>55</v>
      </c>
      <c r="P2313" s="6" t="s">
        <v>55</v>
      </c>
      <c r="Q2313" s="6" t="s">
        <v>3546</v>
      </c>
      <c r="R2313" s="6" t="s">
        <v>56</v>
      </c>
      <c r="S2313" s="6" t="s">
        <v>56</v>
      </c>
      <c r="T2313" s="6" t="s">
        <v>57</v>
      </c>
      <c r="AR2313" s="6" t="s">
        <v>55</v>
      </c>
      <c r="AS2313" s="6" t="s">
        <v>55</v>
      </c>
      <c r="AU2313" s="6" t="s">
        <v>3608</v>
      </c>
      <c r="AV2313">
        <v>2145</v>
      </c>
    </row>
    <row r="2314" spans="1:48" ht="30" customHeight="1" x14ac:dyDescent="0.3">
      <c r="A2314" s="4" t="s">
        <v>1815</v>
      </c>
      <c r="B2314" s="4" t="s">
        <v>1816</v>
      </c>
      <c r="C2314" s="4" t="s">
        <v>1726</v>
      </c>
      <c r="D2314" s="5">
        <v>1</v>
      </c>
      <c r="E2314" s="7">
        <f>TRUNC([1]단가대비표!O678,0)</f>
        <v>123000</v>
      </c>
      <c r="F2314" s="7">
        <f t="shared" si="250"/>
        <v>123000</v>
      </c>
      <c r="G2314" s="7">
        <f>TRUNC([1]단가대비표!P678,0)</f>
        <v>0</v>
      </c>
      <c r="H2314" s="7">
        <f t="shared" si="251"/>
        <v>0</v>
      </c>
      <c r="I2314" s="7">
        <f>TRUNC([1]단가대비표!V678,0)</f>
        <v>0</v>
      </c>
      <c r="J2314" s="7">
        <f t="shared" si="252"/>
        <v>0</v>
      </c>
      <c r="K2314" s="7">
        <f t="shared" si="253"/>
        <v>123000</v>
      </c>
      <c r="L2314" s="7">
        <f t="shared" si="253"/>
        <v>123000</v>
      </c>
      <c r="M2314" s="4" t="s">
        <v>115</v>
      </c>
      <c r="N2314" s="6" t="s">
        <v>3609</v>
      </c>
      <c r="O2314" s="6" t="s">
        <v>55</v>
      </c>
      <c r="P2314" s="6" t="s">
        <v>55</v>
      </c>
      <c r="Q2314" s="6" t="s">
        <v>3546</v>
      </c>
      <c r="R2314" s="6" t="s">
        <v>56</v>
      </c>
      <c r="S2314" s="6" t="s">
        <v>56</v>
      </c>
      <c r="T2314" s="6" t="s">
        <v>57</v>
      </c>
      <c r="AR2314" s="6" t="s">
        <v>55</v>
      </c>
      <c r="AS2314" s="6" t="s">
        <v>55</v>
      </c>
      <c r="AU2314" s="6" t="s">
        <v>3610</v>
      </c>
      <c r="AV2314">
        <v>2148</v>
      </c>
    </row>
    <row r="2315" spans="1:48" ht="30" customHeight="1" x14ac:dyDescent="0.3">
      <c r="A2315" s="4" t="s">
        <v>1831</v>
      </c>
      <c r="B2315" s="4" t="s">
        <v>1832</v>
      </c>
      <c r="C2315" s="4" t="s">
        <v>1726</v>
      </c>
      <c r="D2315" s="5">
        <v>6</v>
      </c>
      <c r="E2315" s="7">
        <f>TRUNC([1]단가대비표!O679,0)</f>
        <v>27000</v>
      </c>
      <c r="F2315" s="7">
        <f t="shared" si="250"/>
        <v>162000</v>
      </c>
      <c r="G2315" s="7">
        <f>TRUNC([1]단가대비표!P679,0)</f>
        <v>0</v>
      </c>
      <c r="H2315" s="7">
        <f t="shared" si="251"/>
        <v>0</v>
      </c>
      <c r="I2315" s="7">
        <f>TRUNC([1]단가대비표!V679,0)</f>
        <v>0</v>
      </c>
      <c r="J2315" s="7">
        <f t="shared" si="252"/>
        <v>0</v>
      </c>
      <c r="K2315" s="7">
        <f t="shared" si="253"/>
        <v>27000</v>
      </c>
      <c r="L2315" s="7">
        <f t="shared" si="253"/>
        <v>162000</v>
      </c>
      <c r="M2315" s="4" t="s">
        <v>115</v>
      </c>
      <c r="N2315" s="6" t="s">
        <v>3611</v>
      </c>
      <c r="O2315" s="6" t="s">
        <v>55</v>
      </c>
      <c r="P2315" s="6" t="s">
        <v>55</v>
      </c>
      <c r="Q2315" s="6" t="s">
        <v>3546</v>
      </c>
      <c r="R2315" s="6" t="s">
        <v>56</v>
      </c>
      <c r="S2315" s="6" t="s">
        <v>56</v>
      </c>
      <c r="T2315" s="6" t="s">
        <v>57</v>
      </c>
      <c r="AR2315" s="6" t="s">
        <v>55</v>
      </c>
      <c r="AS2315" s="6" t="s">
        <v>55</v>
      </c>
      <c r="AU2315" s="6" t="s">
        <v>3612</v>
      </c>
      <c r="AV2315">
        <v>2152</v>
      </c>
    </row>
    <row r="2316" spans="1:48" ht="30" customHeight="1" x14ac:dyDescent="0.3">
      <c r="A2316" s="4" t="s">
        <v>1840</v>
      </c>
      <c r="B2316" s="4" t="s">
        <v>1841</v>
      </c>
      <c r="C2316" s="4" t="s">
        <v>1837</v>
      </c>
      <c r="D2316" s="5">
        <v>10</v>
      </c>
      <c r="E2316" s="7">
        <f>TRUNC([1]단가대비표!O680,0)</f>
        <v>100000</v>
      </c>
      <c r="F2316" s="7">
        <f t="shared" si="250"/>
        <v>1000000</v>
      </c>
      <c r="G2316" s="7">
        <f>TRUNC([1]단가대비표!P680,0)</f>
        <v>0</v>
      </c>
      <c r="H2316" s="7">
        <f t="shared" si="251"/>
        <v>0</v>
      </c>
      <c r="I2316" s="7">
        <f>TRUNC([1]단가대비표!V680,0)</f>
        <v>0</v>
      </c>
      <c r="J2316" s="7">
        <f t="shared" si="252"/>
        <v>0</v>
      </c>
      <c r="K2316" s="7">
        <f t="shared" si="253"/>
        <v>100000</v>
      </c>
      <c r="L2316" s="7">
        <f t="shared" si="253"/>
        <v>1000000</v>
      </c>
      <c r="M2316" s="4" t="s">
        <v>115</v>
      </c>
      <c r="N2316" s="6" t="s">
        <v>3613</v>
      </c>
      <c r="O2316" s="6" t="s">
        <v>55</v>
      </c>
      <c r="P2316" s="6" t="s">
        <v>55</v>
      </c>
      <c r="Q2316" s="6" t="s">
        <v>3546</v>
      </c>
      <c r="R2316" s="6" t="s">
        <v>56</v>
      </c>
      <c r="S2316" s="6" t="s">
        <v>56</v>
      </c>
      <c r="T2316" s="6" t="s">
        <v>57</v>
      </c>
      <c r="AR2316" s="6" t="s">
        <v>55</v>
      </c>
      <c r="AS2316" s="6" t="s">
        <v>55</v>
      </c>
      <c r="AU2316" s="6" t="s">
        <v>3614</v>
      </c>
      <c r="AV2316">
        <v>2155</v>
      </c>
    </row>
    <row r="2317" spans="1:48" ht="30" customHeight="1" x14ac:dyDescent="0.3">
      <c r="A2317" s="4" t="s">
        <v>1848</v>
      </c>
      <c r="B2317" s="4" t="s">
        <v>1849</v>
      </c>
      <c r="C2317" s="4" t="s">
        <v>1726</v>
      </c>
      <c r="D2317" s="5">
        <v>18</v>
      </c>
      <c r="E2317" s="7">
        <f>TRUNC([1]단가대비표!O681,0)</f>
        <v>33000</v>
      </c>
      <c r="F2317" s="7">
        <f t="shared" si="250"/>
        <v>594000</v>
      </c>
      <c r="G2317" s="7">
        <f>TRUNC([1]단가대비표!P681,0)</f>
        <v>0</v>
      </c>
      <c r="H2317" s="7">
        <f t="shared" si="251"/>
        <v>0</v>
      </c>
      <c r="I2317" s="7">
        <f>TRUNC([1]단가대비표!V681,0)</f>
        <v>0</v>
      </c>
      <c r="J2317" s="7">
        <f t="shared" si="252"/>
        <v>0</v>
      </c>
      <c r="K2317" s="7">
        <f t="shared" si="253"/>
        <v>33000</v>
      </c>
      <c r="L2317" s="7">
        <f t="shared" si="253"/>
        <v>594000</v>
      </c>
      <c r="M2317" s="4" t="s">
        <v>115</v>
      </c>
      <c r="N2317" s="6" t="s">
        <v>3615</v>
      </c>
      <c r="O2317" s="6" t="s">
        <v>55</v>
      </c>
      <c r="P2317" s="6" t="s">
        <v>55</v>
      </c>
      <c r="Q2317" s="6" t="s">
        <v>3546</v>
      </c>
      <c r="R2317" s="6" t="s">
        <v>56</v>
      </c>
      <c r="S2317" s="6" t="s">
        <v>56</v>
      </c>
      <c r="T2317" s="6" t="s">
        <v>57</v>
      </c>
      <c r="AR2317" s="6" t="s">
        <v>55</v>
      </c>
      <c r="AS2317" s="6" t="s">
        <v>55</v>
      </c>
      <c r="AU2317" s="6" t="s">
        <v>3616</v>
      </c>
      <c r="AV2317">
        <v>2157</v>
      </c>
    </row>
    <row r="2318" spans="1:48" ht="30" customHeight="1" x14ac:dyDescent="0.3">
      <c r="A2318" s="4" t="s">
        <v>1852</v>
      </c>
      <c r="B2318" s="4" t="s">
        <v>1853</v>
      </c>
      <c r="C2318" s="4" t="s">
        <v>1726</v>
      </c>
      <c r="D2318" s="5">
        <v>54</v>
      </c>
      <c r="E2318" s="7">
        <f>TRUNC([1]단가대비표!O682,0)</f>
        <v>38000</v>
      </c>
      <c r="F2318" s="7">
        <f t="shared" si="250"/>
        <v>2052000</v>
      </c>
      <c r="G2318" s="7">
        <f>TRUNC([1]단가대비표!P682,0)</f>
        <v>0</v>
      </c>
      <c r="H2318" s="7">
        <f t="shared" si="251"/>
        <v>0</v>
      </c>
      <c r="I2318" s="7">
        <f>TRUNC([1]단가대비표!V682,0)</f>
        <v>0</v>
      </c>
      <c r="J2318" s="7">
        <f t="shared" si="252"/>
        <v>0</v>
      </c>
      <c r="K2318" s="7">
        <f t="shared" si="253"/>
        <v>38000</v>
      </c>
      <c r="L2318" s="7">
        <f t="shared" si="253"/>
        <v>2052000</v>
      </c>
      <c r="M2318" s="4" t="s">
        <v>115</v>
      </c>
      <c r="N2318" s="6" t="s">
        <v>3617</v>
      </c>
      <c r="O2318" s="6" t="s">
        <v>55</v>
      </c>
      <c r="P2318" s="6" t="s">
        <v>55</v>
      </c>
      <c r="Q2318" s="6" t="s">
        <v>3546</v>
      </c>
      <c r="R2318" s="6" t="s">
        <v>56</v>
      </c>
      <c r="S2318" s="6" t="s">
        <v>56</v>
      </c>
      <c r="T2318" s="6" t="s">
        <v>57</v>
      </c>
      <c r="AR2318" s="6" t="s">
        <v>55</v>
      </c>
      <c r="AS2318" s="6" t="s">
        <v>55</v>
      </c>
      <c r="AU2318" s="6" t="s">
        <v>3618</v>
      </c>
      <c r="AV2318">
        <v>2158</v>
      </c>
    </row>
    <row r="2319" spans="1:48" ht="30" customHeight="1" x14ac:dyDescent="0.3">
      <c r="A2319" s="4" t="s">
        <v>1856</v>
      </c>
      <c r="B2319" s="4" t="s">
        <v>2984</v>
      </c>
      <c r="C2319" s="4" t="s">
        <v>1726</v>
      </c>
      <c r="D2319" s="5">
        <v>1</v>
      </c>
      <c r="E2319" s="7">
        <f>TRUNC([1]단가대비표!O683,0)</f>
        <v>80000</v>
      </c>
      <c r="F2319" s="7">
        <f t="shared" si="250"/>
        <v>80000</v>
      </c>
      <c r="G2319" s="7">
        <f>TRUNC([1]단가대비표!P683,0)</f>
        <v>0</v>
      </c>
      <c r="H2319" s="7">
        <f t="shared" si="251"/>
        <v>0</v>
      </c>
      <c r="I2319" s="7">
        <f>TRUNC([1]단가대비표!V683,0)</f>
        <v>0</v>
      </c>
      <c r="J2319" s="7">
        <f t="shared" si="252"/>
        <v>0</v>
      </c>
      <c r="K2319" s="7">
        <f t="shared" si="253"/>
        <v>80000</v>
      </c>
      <c r="L2319" s="7">
        <f t="shared" si="253"/>
        <v>80000</v>
      </c>
      <c r="M2319" s="4" t="s">
        <v>115</v>
      </c>
      <c r="N2319" s="6" t="s">
        <v>3619</v>
      </c>
      <c r="O2319" s="6" t="s">
        <v>55</v>
      </c>
      <c r="P2319" s="6" t="s">
        <v>55</v>
      </c>
      <c r="Q2319" s="6" t="s">
        <v>3546</v>
      </c>
      <c r="R2319" s="6" t="s">
        <v>56</v>
      </c>
      <c r="S2319" s="6" t="s">
        <v>56</v>
      </c>
      <c r="T2319" s="6" t="s">
        <v>57</v>
      </c>
      <c r="AR2319" s="6" t="s">
        <v>55</v>
      </c>
      <c r="AS2319" s="6" t="s">
        <v>55</v>
      </c>
      <c r="AU2319" s="6" t="s">
        <v>3620</v>
      </c>
      <c r="AV2319">
        <v>2160</v>
      </c>
    </row>
    <row r="2320" spans="1:48" ht="30" customHeight="1" x14ac:dyDescent="0.3">
      <c r="A2320" s="4" t="s">
        <v>55</v>
      </c>
      <c r="B2320" s="4" t="s">
        <v>55</v>
      </c>
      <c r="C2320" s="4" t="s">
        <v>55</v>
      </c>
      <c r="D2320" s="5"/>
      <c r="E2320" s="7">
        <f>TRUNC([1]단가대비표!O835,0)</f>
        <v>0</v>
      </c>
      <c r="F2320" s="7">
        <f t="shared" si="250"/>
        <v>0</v>
      </c>
      <c r="G2320" s="7">
        <f>TRUNC([1]단가대비표!P835,0)</f>
        <v>0</v>
      </c>
      <c r="H2320" s="7">
        <f t="shared" si="251"/>
        <v>0</v>
      </c>
      <c r="I2320" s="7">
        <f>TRUNC([1]단가대비표!V835,0)</f>
        <v>0</v>
      </c>
      <c r="J2320" s="7">
        <f t="shared" si="252"/>
        <v>0</v>
      </c>
      <c r="K2320" s="7">
        <f t="shared" si="253"/>
        <v>0</v>
      </c>
      <c r="L2320" s="7">
        <f t="shared" si="253"/>
        <v>0</v>
      </c>
      <c r="M2320" s="4" t="s">
        <v>55</v>
      </c>
      <c r="N2320" s="6" t="s">
        <v>3621</v>
      </c>
      <c r="O2320" s="6" t="s">
        <v>55</v>
      </c>
      <c r="P2320" s="6" t="s">
        <v>55</v>
      </c>
      <c r="Q2320" s="6" t="s">
        <v>3546</v>
      </c>
      <c r="R2320" s="6" t="s">
        <v>56</v>
      </c>
      <c r="S2320" s="6" t="s">
        <v>56</v>
      </c>
      <c r="T2320" s="6" t="s">
        <v>57</v>
      </c>
      <c r="AR2320" s="6" t="s">
        <v>55</v>
      </c>
      <c r="AS2320" s="6" t="s">
        <v>55</v>
      </c>
      <c r="AU2320" s="6" t="s">
        <v>3622</v>
      </c>
      <c r="AV2320">
        <v>3030</v>
      </c>
    </row>
    <row r="2321" spans="1:48" ht="30" customHeight="1" x14ac:dyDescent="0.3">
      <c r="A2321" s="4" t="s">
        <v>1862</v>
      </c>
      <c r="B2321" s="4" t="s">
        <v>55</v>
      </c>
      <c r="C2321" s="4" t="s">
        <v>55</v>
      </c>
      <c r="D2321" s="5"/>
      <c r="E2321" s="7">
        <f>TRUNC([1]단가대비표!O836,0)</f>
        <v>0</v>
      </c>
      <c r="F2321" s="7">
        <f t="shared" si="250"/>
        <v>0</v>
      </c>
      <c r="G2321" s="7">
        <f>TRUNC([1]단가대비표!P836,0)</f>
        <v>0</v>
      </c>
      <c r="H2321" s="7">
        <f t="shared" si="251"/>
        <v>0</v>
      </c>
      <c r="I2321" s="7">
        <f>TRUNC([1]단가대비표!V836,0)</f>
        <v>0</v>
      </c>
      <c r="J2321" s="7">
        <f t="shared" si="252"/>
        <v>0</v>
      </c>
      <c r="K2321" s="7">
        <f t="shared" si="253"/>
        <v>0</v>
      </c>
      <c r="L2321" s="7">
        <f t="shared" si="253"/>
        <v>0</v>
      </c>
      <c r="M2321" s="4" t="s">
        <v>55</v>
      </c>
      <c r="N2321" s="6" t="s">
        <v>3623</v>
      </c>
      <c r="O2321" s="6" t="s">
        <v>55</v>
      </c>
      <c r="P2321" s="6" t="s">
        <v>55</v>
      </c>
      <c r="Q2321" s="6" t="s">
        <v>3546</v>
      </c>
      <c r="R2321" s="6" t="s">
        <v>56</v>
      </c>
      <c r="S2321" s="6" t="s">
        <v>56</v>
      </c>
      <c r="T2321" s="6" t="s">
        <v>57</v>
      </c>
      <c r="AR2321" s="6" t="s">
        <v>55</v>
      </c>
      <c r="AS2321" s="6" t="s">
        <v>55</v>
      </c>
      <c r="AU2321" s="6" t="s">
        <v>3624</v>
      </c>
      <c r="AV2321">
        <v>3031</v>
      </c>
    </row>
    <row r="2322" spans="1:48" ht="30" customHeight="1" x14ac:dyDescent="0.3">
      <c r="A2322" s="4" t="s">
        <v>3625</v>
      </c>
      <c r="B2322" s="4" t="s">
        <v>3626</v>
      </c>
      <c r="C2322" s="4" t="s">
        <v>81</v>
      </c>
      <c r="D2322" s="5">
        <v>1</v>
      </c>
      <c r="E2322" s="7">
        <f>TRUNC([1]단가대비표!O507,0)</f>
        <v>6743200</v>
      </c>
      <c r="F2322" s="7">
        <f t="shared" si="250"/>
        <v>6743200</v>
      </c>
      <c r="G2322" s="7">
        <f>TRUNC([1]단가대비표!P507,0)</f>
        <v>0</v>
      </c>
      <c r="H2322" s="7">
        <f t="shared" si="251"/>
        <v>0</v>
      </c>
      <c r="I2322" s="7">
        <f>TRUNC([1]단가대비표!V507,0)</f>
        <v>0</v>
      </c>
      <c r="J2322" s="7">
        <f t="shared" si="252"/>
        <v>0</v>
      </c>
      <c r="K2322" s="7">
        <f t="shared" si="253"/>
        <v>6743200</v>
      </c>
      <c r="L2322" s="7">
        <f t="shared" si="253"/>
        <v>6743200</v>
      </c>
      <c r="M2322" s="4" t="s">
        <v>115</v>
      </c>
      <c r="N2322" s="6" t="s">
        <v>3627</v>
      </c>
      <c r="O2322" s="6" t="s">
        <v>55</v>
      </c>
      <c r="P2322" s="6" t="s">
        <v>55</v>
      </c>
      <c r="Q2322" s="6" t="s">
        <v>3546</v>
      </c>
      <c r="R2322" s="6" t="s">
        <v>56</v>
      </c>
      <c r="S2322" s="6" t="s">
        <v>56</v>
      </c>
      <c r="T2322" s="6" t="s">
        <v>57</v>
      </c>
      <c r="AR2322" s="6" t="s">
        <v>55</v>
      </c>
      <c r="AS2322" s="6" t="s">
        <v>55</v>
      </c>
      <c r="AU2322" s="6" t="s">
        <v>3628</v>
      </c>
      <c r="AV2322">
        <v>1843</v>
      </c>
    </row>
    <row r="2323" spans="1:48" ht="30" customHeight="1" x14ac:dyDescent="0.3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</row>
    <row r="2324" spans="1:48" ht="30" customHeight="1" x14ac:dyDescent="0.3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</row>
    <row r="2325" spans="1:48" ht="30" customHeight="1" x14ac:dyDescent="0.3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</row>
    <row r="2326" spans="1:48" ht="30" customHeight="1" x14ac:dyDescent="0.3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</row>
    <row r="2327" spans="1:48" ht="30" customHeight="1" x14ac:dyDescent="0.3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</row>
    <row r="2328" spans="1:48" ht="30" customHeight="1" x14ac:dyDescent="0.3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</row>
    <row r="2329" spans="1:48" ht="30" customHeight="1" x14ac:dyDescent="0.3">
      <c r="A2329" s="4" t="s">
        <v>128</v>
      </c>
      <c r="B2329" s="5"/>
      <c r="C2329" s="5"/>
      <c r="D2329" s="5"/>
      <c r="E2329" s="5"/>
      <c r="F2329" s="7">
        <f>SUM(F2289:F2328)</f>
        <v>46415296</v>
      </c>
      <c r="G2329" s="5"/>
      <c r="H2329" s="7">
        <f>SUM(H2289:H2328)</f>
        <v>3937393</v>
      </c>
      <c r="I2329" s="5"/>
      <c r="J2329" s="7">
        <f>SUM(J2289:J2328)</f>
        <v>24138</v>
      </c>
      <c r="K2329" s="5"/>
      <c r="L2329" s="7">
        <f>SUM(L2289:L2328)</f>
        <v>50376827</v>
      </c>
      <c r="M2329" s="5"/>
      <c r="N2329" t="s">
        <v>129</v>
      </c>
    </row>
    <row r="2330" spans="1:48" ht="30" customHeight="1" x14ac:dyDescent="0.3">
      <c r="A2330" s="4" t="s">
        <v>3629</v>
      </c>
      <c r="B2330" s="4" t="s">
        <v>3350</v>
      </c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Q2330" s="6" t="s">
        <v>3630</v>
      </c>
    </row>
    <row r="2331" spans="1:48" ht="30" customHeight="1" x14ac:dyDescent="0.3">
      <c r="A2331" s="4" t="s">
        <v>1532</v>
      </c>
      <c r="B2331" s="4" t="s">
        <v>2037</v>
      </c>
      <c r="C2331" s="4" t="s">
        <v>125</v>
      </c>
      <c r="D2331" s="5">
        <v>4</v>
      </c>
      <c r="E2331" s="7">
        <f>TRUNC([1]단가대비표!O134,0)</f>
        <v>353235</v>
      </c>
      <c r="F2331" s="7">
        <f t="shared" ref="F2331:F2341" si="254">TRUNC(E2331*D2331, 0)</f>
        <v>1412940</v>
      </c>
      <c r="G2331" s="7">
        <f>TRUNC([1]단가대비표!P134,0)</f>
        <v>0</v>
      </c>
      <c r="H2331" s="7">
        <f t="shared" ref="H2331:H2341" si="255">TRUNC(G2331*D2331, 0)</f>
        <v>0</v>
      </c>
      <c r="I2331" s="7">
        <f>TRUNC([1]단가대비표!V134,0)</f>
        <v>0</v>
      </c>
      <c r="J2331" s="7">
        <f t="shared" ref="J2331:J2341" si="256">TRUNC(I2331*D2331, 0)</f>
        <v>0</v>
      </c>
      <c r="K2331" s="7">
        <f t="shared" ref="K2331:L2341" si="257">TRUNC(E2331+G2331+I2331, 0)</f>
        <v>353235</v>
      </c>
      <c r="L2331" s="7">
        <f t="shared" si="257"/>
        <v>1412940</v>
      </c>
      <c r="M2331" s="4" t="s">
        <v>55</v>
      </c>
      <c r="N2331" s="6" t="s">
        <v>2038</v>
      </c>
      <c r="O2331" s="6" t="s">
        <v>55</v>
      </c>
      <c r="P2331" s="6" t="s">
        <v>55</v>
      </c>
      <c r="Q2331" s="6" t="s">
        <v>3630</v>
      </c>
      <c r="R2331" s="6" t="s">
        <v>56</v>
      </c>
      <c r="S2331" s="6" t="s">
        <v>56</v>
      </c>
      <c r="T2331" s="6" t="s">
        <v>57</v>
      </c>
      <c r="AR2331" s="6" t="s">
        <v>55</v>
      </c>
      <c r="AS2331" s="6" t="s">
        <v>55</v>
      </c>
      <c r="AU2331" s="6" t="s">
        <v>3631</v>
      </c>
      <c r="AV2331">
        <v>1161</v>
      </c>
    </row>
    <row r="2332" spans="1:48" ht="30" customHeight="1" x14ac:dyDescent="0.3">
      <c r="A2332" s="4" t="s">
        <v>2052</v>
      </c>
      <c r="B2332" s="4" t="s">
        <v>2053</v>
      </c>
      <c r="C2332" s="4" t="s">
        <v>61</v>
      </c>
      <c r="D2332" s="5">
        <v>121</v>
      </c>
      <c r="E2332" s="7">
        <f>TRUNC([1]단가대비표!O720,0)</f>
        <v>36000</v>
      </c>
      <c r="F2332" s="7">
        <f t="shared" si="254"/>
        <v>4356000</v>
      </c>
      <c r="G2332" s="7">
        <f>TRUNC([1]단가대비표!P720,0)</f>
        <v>0</v>
      </c>
      <c r="H2332" s="7">
        <f t="shared" si="255"/>
        <v>0</v>
      </c>
      <c r="I2332" s="7">
        <f>TRUNC([1]단가대비표!V720,0)</f>
        <v>0</v>
      </c>
      <c r="J2332" s="7">
        <f t="shared" si="256"/>
        <v>0</v>
      </c>
      <c r="K2332" s="7">
        <f t="shared" si="257"/>
        <v>36000</v>
      </c>
      <c r="L2332" s="7">
        <f t="shared" si="257"/>
        <v>4356000</v>
      </c>
      <c r="M2332" s="4" t="s">
        <v>55</v>
      </c>
      <c r="N2332" s="6" t="s">
        <v>3632</v>
      </c>
      <c r="O2332" s="6" t="s">
        <v>55</v>
      </c>
      <c r="P2332" s="6" t="s">
        <v>55</v>
      </c>
      <c r="Q2332" s="6" t="s">
        <v>3630</v>
      </c>
      <c r="R2332" s="6" t="s">
        <v>56</v>
      </c>
      <c r="S2332" s="6" t="s">
        <v>56</v>
      </c>
      <c r="T2332" s="6" t="s">
        <v>57</v>
      </c>
      <c r="AR2332" s="6" t="s">
        <v>55</v>
      </c>
      <c r="AS2332" s="6" t="s">
        <v>55</v>
      </c>
      <c r="AU2332" s="6" t="s">
        <v>3633</v>
      </c>
      <c r="AV2332">
        <v>2284</v>
      </c>
    </row>
    <row r="2333" spans="1:48" ht="30" customHeight="1" x14ac:dyDescent="0.3">
      <c r="A2333" s="4" t="s">
        <v>2052</v>
      </c>
      <c r="B2333" s="4" t="s">
        <v>2056</v>
      </c>
      <c r="C2333" s="4" t="s">
        <v>61</v>
      </c>
      <c r="D2333" s="5">
        <v>231</v>
      </c>
      <c r="E2333" s="7">
        <f>TRUNC([1]단가대비표!O721,0)</f>
        <v>55000</v>
      </c>
      <c r="F2333" s="7">
        <f t="shared" si="254"/>
        <v>12705000</v>
      </c>
      <c r="G2333" s="7">
        <f>TRUNC([1]단가대비표!P721,0)</f>
        <v>0</v>
      </c>
      <c r="H2333" s="7">
        <f t="shared" si="255"/>
        <v>0</v>
      </c>
      <c r="I2333" s="7">
        <f>TRUNC([1]단가대비표!V721,0)</f>
        <v>0</v>
      </c>
      <c r="J2333" s="7">
        <f t="shared" si="256"/>
        <v>0</v>
      </c>
      <c r="K2333" s="7">
        <f t="shared" si="257"/>
        <v>55000</v>
      </c>
      <c r="L2333" s="7">
        <f t="shared" si="257"/>
        <v>12705000</v>
      </c>
      <c r="M2333" s="4" t="s">
        <v>55</v>
      </c>
      <c r="N2333" s="6" t="s">
        <v>3634</v>
      </c>
      <c r="O2333" s="6" t="s">
        <v>55</v>
      </c>
      <c r="P2333" s="6" t="s">
        <v>55</v>
      </c>
      <c r="Q2333" s="6" t="s">
        <v>3630</v>
      </c>
      <c r="R2333" s="6" t="s">
        <v>56</v>
      </c>
      <c r="S2333" s="6" t="s">
        <v>56</v>
      </c>
      <c r="T2333" s="6" t="s">
        <v>57</v>
      </c>
      <c r="AR2333" s="6" t="s">
        <v>55</v>
      </c>
      <c r="AS2333" s="6" t="s">
        <v>55</v>
      </c>
      <c r="AU2333" s="6" t="s">
        <v>3635</v>
      </c>
      <c r="AV2333">
        <v>2285</v>
      </c>
    </row>
    <row r="2334" spans="1:48" ht="30" customHeight="1" x14ac:dyDescent="0.3">
      <c r="A2334" s="4" t="s">
        <v>2052</v>
      </c>
      <c r="B2334" s="4" t="s">
        <v>2059</v>
      </c>
      <c r="C2334" s="4" t="s">
        <v>61</v>
      </c>
      <c r="D2334" s="5">
        <v>24</v>
      </c>
      <c r="E2334" s="7">
        <f>TRUNC([1]단가대비표!O722,0)</f>
        <v>56000</v>
      </c>
      <c r="F2334" s="7">
        <f t="shared" si="254"/>
        <v>1344000</v>
      </c>
      <c r="G2334" s="7">
        <f>TRUNC([1]단가대비표!P722,0)</f>
        <v>0</v>
      </c>
      <c r="H2334" s="7">
        <f t="shared" si="255"/>
        <v>0</v>
      </c>
      <c r="I2334" s="7">
        <f>TRUNC([1]단가대비표!V722,0)</f>
        <v>0</v>
      </c>
      <c r="J2334" s="7">
        <f t="shared" si="256"/>
        <v>0</v>
      </c>
      <c r="K2334" s="7">
        <f t="shared" si="257"/>
        <v>56000</v>
      </c>
      <c r="L2334" s="7">
        <f t="shared" si="257"/>
        <v>1344000</v>
      </c>
      <c r="M2334" s="4" t="s">
        <v>55</v>
      </c>
      <c r="N2334" s="6" t="s">
        <v>3636</v>
      </c>
      <c r="O2334" s="6" t="s">
        <v>55</v>
      </c>
      <c r="P2334" s="6" t="s">
        <v>55</v>
      </c>
      <c r="Q2334" s="6" t="s">
        <v>3630</v>
      </c>
      <c r="R2334" s="6" t="s">
        <v>56</v>
      </c>
      <c r="S2334" s="6" t="s">
        <v>56</v>
      </c>
      <c r="T2334" s="6" t="s">
        <v>57</v>
      </c>
      <c r="AR2334" s="6" t="s">
        <v>55</v>
      </c>
      <c r="AS2334" s="6" t="s">
        <v>55</v>
      </c>
      <c r="AU2334" s="6" t="s">
        <v>3637</v>
      </c>
      <c r="AV2334">
        <v>2286</v>
      </c>
    </row>
    <row r="2335" spans="1:48" ht="30" customHeight="1" x14ac:dyDescent="0.3">
      <c r="A2335" s="4" t="s">
        <v>2070</v>
      </c>
      <c r="B2335" s="4" t="s">
        <v>2071</v>
      </c>
      <c r="C2335" s="4" t="s">
        <v>269</v>
      </c>
      <c r="D2335" s="5">
        <v>111</v>
      </c>
      <c r="E2335" s="7">
        <f>TRUNC([1]일위대가목록!E176,0)</f>
        <v>383</v>
      </c>
      <c r="F2335" s="7">
        <f t="shared" si="254"/>
        <v>42513</v>
      </c>
      <c r="G2335" s="7">
        <f>TRUNC([1]일위대가목록!F176,0)</f>
        <v>0</v>
      </c>
      <c r="H2335" s="7">
        <f t="shared" si="255"/>
        <v>0</v>
      </c>
      <c r="I2335" s="7">
        <f>TRUNC([1]일위대가목록!G176,0)</f>
        <v>0</v>
      </c>
      <c r="J2335" s="7">
        <f t="shared" si="256"/>
        <v>0</v>
      </c>
      <c r="K2335" s="7">
        <f t="shared" si="257"/>
        <v>383</v>
      </c>
      <c r="L2335" s="7">
        <f t="shared" si="257"/>
        <v>42513</v>
      </c>
      <c r="M2335" s="4" t="s">
        <v>2072</v>
      </c>
      <c r="N2335" s="6" t="s">
        <v>2073</v>
      </c>
      <c r="O2335" s="6" t="s">
        <v>55</v>
      </c>
      <c r="P2335" s="6" t="s">
        <v>55</v>
      </c>
      <c r="Q2335" s="6" t="s">
        <v>3630</v>
      </c>
      <c r="R2335" s="6" t="s">
        <v>57</v>
      </c>
      <c r="S2335" s="6" t="s">
        <v>56</v>
      </c>
      <c r="T2335" s="6" t="s">
        <v>56</v>
      </c>
      <c r="AR2335" s="6" t="s">
        <v>55</v>
      </c>
      <c r="AS2335" s="6" t="s">
        <v>55</v>
      </c>
      <c r="AU2335" s="6" t="s">
        <v>3638</v>
      </c>
      <c r="AV2335">
        <v>1165</v>
      </c>
    </row>
    <row r="2336" spans="1:48" ht="30" customHeight="1" x14ac:dyDescent="0.3">
      <c r="A2336" s="4" t="s">
        <v>2075</v>
      </c>
      <c r="B2336" s="4" t="s">
        <v>2076</v>
      </c>
      <c r="C2336" s="4" t="s">
        <v>269</v>
      </c>
      <c r="D2336" s="5">
        <v>1278</v>
      </c>
      <c r="E2336" s="7">
        <f>TRUNC([1]일위대가목록!E177,0)</f>
        <v>2295</v>
      </c>
      <c r="F2336" s="7">
        <f t="shared" si="254"/>
        <v>2933010</v>
      </c>
      <c r="G2336" s="7">
        <f>TRUNC([1]일위대가목록!F177,0)</f>
        <v>0</v>
      </c>
      <c r="H2336" s="7">
        <f t="shared" si="255"/>
        <v>0</v>
      </c>
      <c r="I2336" s="7">
        <f>TRUNC([1]일위대가목록!G177,0)</f>
        <v>0</v>
      </c>
      <c r="J2336" s="7">
        <f t="shared" si="256"/>
        <v>0</v>
      </c>
      <c r="K2336" s="7">
        <f t="shared" si="257"/>
        <v>2295</v>
      </c>
      <c r="L2336" s="7">
        <f t="shared" si="257"/>
        <v>2933010</v>
      </c>
      <c r="M2336" s="4" t="s">
        <v>2077</v>
      </c>
      <c r="N2336" s="6" t="s">
        <v>2078</v>
      </c>
      <c r="O2336" s="6" t="s">
        <v>55</v>
      </c>
      <c r="P2336" s="6" t="s">
        <v>55</v>
      </c>
      <c r="Q2336" s="6" t="s">
        <v>3630</v>
      </c>
      <c r="R2336" s="6" t="s">
        <v>57</v>
      </c>
      <c r="S2336" s="6" t="s">
        <v>56</v>
      </c>
      <c r="T2336" s="6" t="s">
        <v>56</v>
      </c>
      <c r="AR2336" s="6" t="s">
        <v>55</v>
      </c>
      <c r="AS2336" s="6" t="s">
        <v>55</v>
      </c>
      <c r="AU2336" s="6" t="s">
        <v>3639</v>
      </c>
      <c r="AV2336">
        <v>1166</v>
      </c>
    </row>
    <row r="2337" spans="1:48" ht="30" customHeight="1" x14ac:dyDescent="0.3">
      <c r="A2337" s="4" t="s">
        <v>2084</v>
      </c>
      <c r="B2337" s="4" t="s">
        <v>2085</v>
      </c>
      <c r="C2337" s="4" t="s">
        <v>61</v>
      </c>
      <c r="D2337" s="5">
        <v>121</v>
      </c>
      <c r="E2337" s="7">
        <f>TRUNC([1]일위대가목록!E179,0)</f>
        <v>706</v>
      </c>
      <c r="F2337" s="7">
        <f t="shared" si="254"/>
        <v>85426</v>
      </c>
      <c r="G2337" s="7">
        <f>TRUNC([1]일위대가목록!F179,0)</f>
        <v>22808</v>
      </c>
      <c r="H2337" s="7">
        <f t="shared" si="255"/>
        <v>2759768</v>
      </c>
      <c r="I2337" s="7">
        <f>TRUNC([1]일위대가목록!G179,0)</f>
        <v>0</v>
      </c>
      <c r="J2337" s="7">
        <f t="shared" si="256"/>
        <v>0</v>
      </c>
      <c r="K2337" s="7">
        <f t="shared" si="257"/>
        <v>23514</v>
      </c>
      <c r="L2337" s="7">
        <f t="shared" si="257"/>
        <v>2845194</v>
      </c>
      <c r="M2337" s="4" t="s">
        <v>2086</v>
      </c>
      <c r="N2337" s="6" t="s">
        <v>2087</v>
      </c>
      <c r="O2337" s="6" t="s">
        <v>55</v>
      </c>
      <c r="P2337" s="6" t="s">
        <v>55</v>
      </c>
      <c r="Q2337" s="6" t="s">
        <v>3630</v>
      </c>
      <c r="R2337" s="6" t="s">
        <v>57</v>
      </c>
      <c r="S2337" s="6" t="s">
        <v>56</v>
      </c>
      <c r="T2337" s="6" t="s">
        <v>56</v>
      </c>
      <c r="AR2337" s="6" t="s">
        <v>55</v>
      </c>
      <c r="AS2337" s="6" t="s">
        <v>55</v>
      </c>
      <c r="AU2337" s="6" t="s">
        <v>3640</v>
      </c>
      <c r="AV2337">
        <v>2790</v>
      </c>
    </row>
    <row r="2338" spans="1:48" ht="30" customHeight="1" x14ac:dyDescent="0.3">
      <c r="A2338" s="4" t="s">
        <v>2084</v>
      </c>
      <c r="B2338" s="4" t="s">
        <v>2089</v>
      </c>
      <c r="C2338" s="4" t="s">
        <v>61</v>
      </c>
      <c r="D2338" s="5">
        <v>254</v>
      </c>
      <c r="E2338" s="7">
        <f>TRUNC([1]일위대가목록!E180,0)</f>
        <v>780</v>
      </c>
      <c r="F2338" s="7">
        <f t="shared" si="254"/>
        <v>198120</v>
      </c>
      <c r="G2338" s="7">
        <f>TRUNC([1]일위대가목록!F180,0)</f>
        <v>25201</v>
      </c>
      <c r="H2338" s="7">
        <f t="shared" si="255"/>
        <v>6401054</v>
      </c>
      <c r="I2338" s="7">
        <f>TRUNC([1]일위대가목록!G180,0)</f>
        <v>0</v>
      </c>
      <c r="J2338" s="7">
        <f t="shared" si="256"/>
        <v>0</v>
      </c>
      <c r="K2338" s="7">
        <f t="shared" si="257"/>
        <v>25981</v>
      </c>
      <c r="L2338" s="7">
        <f t="shared" si="257"/>
        <v>6599174</v>
      </c>
      <c r="M2338" s="4" t="s">
        <v>2090</v>
      </c>
      <c r="N2338" s="6" t="s">
        <v>2091</v>
      </c>
      <c r="O2338" s="6" t="s">
        <v>55</v>
      </c>
      <c r="P2338" s="6" t="s">
        <v>55</v>
      </c>
      <c r="Q2338" s="6" t="s">
        <v>3630</v>
      </c>
      <c r="R2338" s="6" t="s">
        <v>57</v>
      </c>
      <c r="S2338" s="6" t="s">
        <v>56</v>
      </c>
      <c r="T2338" s="6" t="s">
        <v>56</v>
      </c>
      <c r="AR2338" s="6" t="s">
        <v>55</v>
      </c>
      <c r="AS2338" s="6" t="s">
        <v>55</v>
      </c>
      <c r="AU2338" s="6" t="s">
        <v>3641</v>
      </c>
      <c r="AV2338">
        <v>2791</v>
      </c>
    </row>
    <row r="2339" spans="1:48" ht="30" customHeight="1" x14ac:dyDescent="0.3">
      <c r="A2339" s="4" t="s">
        <v>2097</v>
      </c>
      <c r="B2339" s="4" t="s">
        <v>55</v>
      </c>
      <c r="C2339" s="4" t="s">
        <v>269</v>
      </c>
      <c r="D2339" s="5">
        <v>886</v>
      </c>
      <c r="E2339" s="7">
        <f>TRUNC([1]일위대가목록!E182,0)</f>
        <v>3996</v>
      </c>
      <c r="F2339" s="7">
        <f t="shared" si="254"/>
        <v>3540456</v>
      </c>
      <c r="G2339" s="7">
        <f>TRUNC([1]일위대가목록!F182,0)</f>
        <v>3587</v>
      </c>
      <c r="H2339" s="7">
        <f t="shared" si="255"/>
        <v>3178082</v>
      </c>
      <c r="I2339" s="7">
        <f>TRUNC([1]일위대가목록!G182,0)</f>
        <v>0</v>
      </c>
      <c r="J2339" s="7">
        <f t="shared" si="256"/>
        <v>0</v>
      </c>
      <c r="K2339" s="7">
        <f t="shared" si="257"/>
        <v>7583</v>
      </c>
      <c r="L2339" s="7">
        <f t="shared" si="257"/>
        <v>6718538</v>
      </c>
      <c r="M2339" s="4" t="s">
        <v>2098</v>
      </c>
      <c r="N2339" s="6" t="s">
        <v>2099</v>
      </c>
      <c r="O2339" s="6" t="s">
        <v>55</v>
      </c>
      <c r="P2339" s="6" t="s">
        <v>55</v>
      </c>
      <c r="Q2339" s="6" t="s">
        <v>3630</v>
      </c>
      <c r="R2339" s="6" t="s">
        <v>57</v>
      </c>
      <c r="S2339" s="6" t="s">
        <v>56</v>
      </c>
      <c r="T2339" s="6" t="s">
        <v>56</v>
      </c>
      <c r="AR2339" s="6" t="s">
        <v>55</v>
      </c>
      <c r="AS2339" s="6" t="s">
        <v>55</v>
      </c>
      <c r="AU2339" s="6" t="s">
        <v>3642</v>
      </c>
      <c r="AV2339">
        <v>2792</v>
      </c>
    </row>
    <row r="2340" spans="1:48" ht="30" customHeight="1" x14ac:dyDescent="0.3">
      <c r="A2340" s="4" t="s">
        <v>2101</v>
      </c>
      <c r="B2340" s="4" t="s">
        <v>55</v>
      </c>
      <c r="C2340" s="4" t="s">
        <v>269</v>
      </c>
      <c r="D2340" s="5">
        <v>1278</v>
      </c>
      <c r="E2340" s="7">
        <f>TRUNC([1]일위대가목록!E183,0)</f>
        <v>150</v>
      </c>
      <c r="F2340" s="7">
        <f t="shared" si="254"/>
        <v>191700</v>
      </c>
      <c r="G2340" s="7">
        <f>TRUNC([1]일위대가목록!F183,0)</f>
        <v>0</v>
      </c>
      <c r="H2340" s="7">
        <f t="shared" si="255"/>
        <v>0</v>
      </c>
      <c r="I2340" s="7">
        <f>TRUNC([1]일위대가목록!G183,0)</f>
        <v>0</v>
      </c>
      <c r="J2340" s="7">
        <f t="shared" si="256"/>
        <v>0</v>
      </c>
      <c r="K2340" s="7">
        <f t="shared" si="257"/>
        <v>150</v>
      </c>
      <c r="L2340" s="7">
        <f t="shared" si="257"/>
        <v>191700</v>
      </c>
      <c r="M2340" s="4" t="s">
        <v>2102</v>
      </c>
      <c r="N2340" s="6" t="s">
        <v>2103</v>
      </c>
      <c r="O2340" s="6" t="s">
        <v>55</v>
      </c>
      <c r="P2340" s="6" t="s">
        <v>55</v>
      </c>
      <c r="Q2340" s="6" t="s">
        <v>3630</v>
      </c>
      <c r="R2340" s="6" t="s">
        <v>57</v>
      </c>
      <c r="S2340" s="6" t="s">
        <v>56</v>
      </c>
      <c r="T2340" s="6" t="s">
        <v>56</v>
      </c>
      <c r="AR2340" s="6" t="s">
        <v>55</v>
      </c>
      <c r="AS2340" s="6" t="s">
        <v>55</v>
      </c>
      <c r="AU2340" s="6" t="s">
        <v>3643</v>
      </c>
      <c r="AV2340">
        <v>1170</v>
      </c>
    </row>
    <row r="2341" spans="1:48" ht="30" customHeight="1" x14ac:dyDescent="0.3">
      <c r="A2341" s="4" t="s">
        <v>2105</v>
      </c>
      <c r="B2341" s="4" t="s">
        <v>2106</v>
      </c>
      <c r="C2341" s="4" t="s">
        <v>61</v>
      </c>
      <c r="D2341" s="5">
        <v>8</v>
      </c>
      <c r="E2341" s="7">
        <f>TRUNC([1]일위대가목록!E184,0)</f>
        <v>50471</v>
      </c>
      <c r="F2341" s="7">
        <f t="shared" si="254"/>
        <v>403768</v>
      </c>
      <c r="G2341" s="7">
        <f>TRUNC([1]일위대가목록!F184,0)</f>
        <v>58966</v>
      </c>
      <c r="H2341" s="7">
        <f t="shared" si="255"/>
        <v>471728</v>
      </c>
      <c r="I2341" s="7">
        <f>TRUNC([1]일위대가목록!G184,0)</f>
        <v>343</v>
      </c>
      <c r="J2341" s="7">
        <f t="shared" si="256"/>
        <v>2744</v>
      </c>
      <c r="K2341" s="7">
        <f t="shared" si="257"/>
        <v>109780</v>
      </c>
      <c r="L2341" s="7">
        <f t="shared" si="257"/>
        <v>878240</v>
      </c>
      <c r="M2341" s="4" t="s">
        <v>2107</v>
      </c>
      <c r="N2341" s="6" t="s">
        <v>2108</v>
      </c>
      <c r="O2341" s="6" t="s">
        <v>55</v>
      </c>
      <c r="P2341" s="6" t="s">
        <v>55</v>
      </c>
      <c r="Q2341" s="6" t="s">
        <v>3630</v>
      </c>
      <c r="R2341" s="6" t="s">
        <v>57</v>
      </c>
      <c r="S2341" s="6" t="s">
        <v>56</v>
      </c>
      <c r="T2341" s="6" t="s">
        <v>56</v>
      </c>
      <c r="AR2341" s="6" t="s">
        <v>55</v>
      </c>
      <c r="AS2341" s="6" t="s">
        <v>55</v>
      </c>
      <c r="AU2341" s="6" t="s">
        <v>3644</v>
      </c>
      <c r="AV2341">
        <v>1171</v>
      </c>
    </row>
    <row r="2342" spans="1:48" ht="30" customHeight="1" x14ac:dyDescent="0.3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</row>
    <row r="2343" spans="1:48" ht="30" customHeight="1" x14ac:dyDescent="0.3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</row>
    <row r="2344" spans="1:48" ht="30" customHeight="1" x14ac:dyDescent="0.3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</row>
    <row r="2345" spans="1:48" ht="30" customHeight="1" x14ac:dyDescent="0.3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</row>
    <row r="2346" spans="1:48" ht="30" customHeight="1" x14ac:dyDescent="0.3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</row>
    <row r="2347" spans="1:48" ht="30" customHeight="1" x14ac:dyDescent="0.3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</row>
    <row r="2348" spans="1:48" ht="30" customHeight="1" x14ac:dyDescent="0.3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</row>
    <row r="2349" spans="1:48" ht="30" customHeight="1" x14ac:dyDescent="0.3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</row>
    <row r="2350" spans="1:48" ht="30" customHeight="1" x14ac:dyDescent="0.3">
      <c r="A2350" s="4" t="s">
        <v>128</v>
      </c>
      <c r="B2350" s="5"/>
      <c r="C2350" s="5"/>
      <c r="D2350" s="5"/>
      <c r="E2350" s="5"/>
      <c r="F2350" s="7">
        <f>SUM(F2331:F2349)</f>
        <v>27212933</v>
      </c>
      <c r="G2350" s="5"/>
      <c r="H2350" s="7">
        <f>SUM(H2331:H2349)</f>
        <v>12810632</v>
      </c>
      <c r="I2350" s="5"/>
      <c r="J2350" s="7">
        <f>SUM(J2331:J2349)</f>
        <v>2744</v>
      </c>
      <c r="K2350" s="5"/>
      <c r="L2350" s="7">
        <f>SUM(L2331:L2349)</f>
        <v>40026309</v>
      </c>
      <c r="M2350" s="5"/>
      <c r="N2350" t="s">
        <v>129</v>
      </c>
    </row>
    <row r="2351" spans="1:48" ht="30" customHeight="1" x14ac:dyDescent="0.3">
      <c r="A2351" s="4" t="s">
        <v>3645</v>
      </c>
      <c r="B2351" s="4" t="s">
        <v>3350</v>
      </c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Q2351" s="6" t="s">
        <v>3646</v>
      </c>
    </row>
    <row r="2352" spans="1:48" ht="30" customHeight="1" x14ac:dyDescent="0.3">
      <c r="A2352" s="4" t="s">
        <v>409</v>
      </c>
      <c r="B2352" s="4" t="s">
        <v>2112</v>
      </c>
      <c r="C2352" s="4" t="s">
        <v>61</v>
      </c>
      <c r="D2352" s="5">
        <v>181</v>
      </c>
      <c r="E2352" s="7">
        <f>TRUNC([1]일위대가목록!E185,0)</f>
        <v>1133</v>
      </c>
      <c r="F2352" s="7">
        <f t="shared" ref="F2352:F2360" si="258">TRUNC(E2352*D2352, 0)</f>
        <v>205073</v>
      </c>
      <c r="G2352" s="7">
        <f>TRUNC([1]일위대가목록!F185,0)</f>
        <v>2904</v>
      </c>
      <c r="H2352" s="7">
        <f t="shared" ref="H2352:H2360" si="259">TRUNC(G2352*D2352, 0)</f>
        <v>525624</v>
      </c>
      <c r="I2352" s="7">
        <f>TRUNC([1]일위대가목록!G185,0)</f>
        <v>119</v>
      </c>
      <c r="J2352" s="7">
        <f t="shared" ref="J2352:J2360" si="260">TRUNC(I2352*D2352, 0)</f>
        <v>21539</v>
      </c>
      <c r="K2352" s="7">
        <f t="shared" ref="K2352:L2360" si="261">TRUNC(E2352+G2352+I2352, 0)</f>
        <v>4156</v>
      </c>
      <c r="L2352" s="7">
        <f t="shared" si="261"/>
        <v>752236</v>
      </c>
      <c r="M2352" s="4" t="s">
        <v>2113</v>
      </c>
      <c r="N2352" s="6" t="s">
        <v>2114</v>
      </c>
      <c r="O2352" s="6" t="s">
        <v>55</v>
      </c>
      <c r="P2352" s="6" t="s">
        <v>55</v>
      </c>
      <c r="Q2352" s="6" t="s">
        <v>3646</v>
      </c>
      <c r="R2352" s="6" t="s">
        <v>57</v>
      </c>
      <c r="S2352" s="6" t="s">
        <v>56</v>
      </c>
      <c r="T2352" s="6" t="s">
        <v>56</v>
      </c>
      <c r="AR2352" s="6" t="s">
        <v>55</v>
      </c>
      <c r="AS2352" s="6" t="s">
        <v>55</v>
      </c>
      <c r="AU2352" s="6" t="s">
        <v>3647</v>
      </c>
      <c r="AV2352">
        <v>1173</v>
      </c>
    </row>
    <row r="2353" spans="1:48" ht="30" customHeight="1" x14ac:dyDescent="0.3">
      <c r="A2353" s="4" t="s">
        <v>2116</v>
      </c>
      <c r="B2353" s="4" t="s">
        <v>2117</v>
      </c>
      <c r="C2353" s="4" t="s">
        <v>61</v>
      </c>
      <c r="D2353" s="5">
        <v>181</v>
      </c>
      <c r="E2353" s="7">
        <f>TRUNC([1]일위대가목록!E186,0)</f>
        <v>1694</v>
      </c>
      <c r="F2353" s="7">
        <f t="shared" si="258"/>
        <v>306614</v>
      </c>
      <c r="G2353" s="7">
        <f>TRUNC([1]일위대가목록!F186,0)</f>
        <v>968</v>
      </c>
      <c r="H2353" s="7">
        <f t="shared" si="259"/>
        <v>175208</v>
      </c>
      <c r="I2353" s="7">
        <f>TRUNC([1]일위대가목록!G186,0)</f>
        <v>238</v>
      </c>
      <c r="J2353" s="7">
        <f t="shared" si="260"/>
        <v>43078</v>
      </c>
      <c r="K2353" s="7">
        <f t="shared" si="261"/>
        <v>2900</v>
      </c>
      <c r="L2353" s="7">
        <f t="shared" si="261"/>
        <v>524900</v>
      </c>
      <c r="M2353" s="4" t="s">
        <v>2118</v>
      </c>
      <c r="N2353" s="6" t="s">
        <v>2119</v>
      </c>
      <c r="O2353" s="6" t="s">
        <v>55</v>
      </c>
      <c r="P2353" s="6" t="s">
        <v>55</v>
      </c>
      <c r="Q2353" s="6" t="s">
        <v>3646</v>
      </c>
      <c r="R2353" s="6" t="s">
        <v>57</v>
      </c>
      <c r="S2353" s="6" t="s">
        <v>56</v>
      </c>
      <c r="T2353" s="6" t="s">
        <v>56</v>
      </c>
      <c r="AR2353" s="6" t="s">
        <v>55</v>
      </c>
      <c r="AS2353" s="6" t="s">
        <v>55</v>
      </c>
      <c r="AU2353" s="6" t="s">
        <v>3648</v>
      </c>
      <c r="AV2353">
        <v>1174</v>
      </c>
    </row>
    <row r="2354" spans="1:48" ht="30" customHeight="1" x14ac:dyDescent="0.3">
      <c r="A2354" s="4" t="s">
        <v>2121</v>
      </c>
      <c r="B2354" s="4" t="s">
        <v>2122</v>
      </c>
      <c r="C2354" s="4" t="s">
        <v>269</v>
      </c>
      <c r="D2354" s="5">
        <v>277</v>
      </c>
      <c r="E2354" s="7">
        <f>TRUNC([1]일위대가목록!E187,0)</f>
        <v>1081</v>
      </c>
      <c r="F2354" s="7">
        <f t="shared" si="258"/>
        <v>299437</v>
      </c>
      <c r="G2354" s="7">
        <f>TRUNC([1]일위대가목록!F187,0)</f>
        <v>2052</v>
      </c>
      <c r="H2354" s="7">
        <f t="shared" si="259"/>
        <v>568404</v>
      </c>
      <c r="I2354" s="7">
        <f>TRUNC([1]일위대가목록!G187,0)</f>
        <v>0</v>
      </c>
      <c r="J2354" s="7">
        <f t="shared" si="260"/>
        <v>0</v>
      </c>
      <c r="K2354" s="7">
        <f t="shared" si="261"/>
        <v>3133</v>
      </c>
      <c r="L2354" s="7">
        <f t="shared" si="261"/>
        <v>867841</v>
      </c>
      <c r="M2354" s="4" t="s">
        <v>2123</v>
      </c>
      <c r="N2354" s="6" t="s">
        <v>2124</v>
      </c>
      <c r="O2354" s="6" t="s">
        <v>55</v>
      </c>
      <c r="P2354" s="6" t="s">
        <v>55</v>
      </c>
      <c r="Q2354" s="6" t="s">
        <v>3646</v>
      </c>
      <c r="R2354" s="6" t="s">
        <v>57</v>
      </c>
      <c r="S2354" s="6" t="s">
        <v>56</v>
      </c>
      <c r="T2354" s="6" t="s">
        <v>56</v>
      </c>
      <c r="AR2354" s="6" t="s">
        <v>55</v>
      </c>
      <c r="AS2354" s="6" t="s">
        <v>55</v>
      </c>
      <c r="AU2354" s="6" t="s">
        <v>3649</v>
      </c>
      <c r="AV2354">
        <v>1175</v>
      </c>
    </row>
    <row r="2355" spans="1:48" ht="30" customHeight="1" x14ac:dyDescent="0.3">
      <c r="A2355" s="4" t="s">
        <v>2130</v>
      </c>
      <c r="B2355" s="4" t="s">
        <v>2131</v>
      </c>
      <c r="C2355" s="4" t="s">
        <v>61</v>
      </c>
      <c r="D2355" s="5">
        <v>37</v>
      </c>
      <c r="E2355" s="7">
        <f>TRUNC([1]일위대가목록!E189,0)</f>
        <v>1951</v>
      </c>
      <c r="F2355" s="7">
        <f t="shared" si="258"/>
        <v>72187</v>
      </c>
      <c r="G2355" s="7">
        <f>TRUNC([1]일위대가목록!F189,0)</f>
        <v>9655</v>
      </c>
      <c r="H2355" s="7">
        <f t="shared" si="259"/>
        <v>357235</v>
      </c>
      <c r="I2355" s="7">
        <f>TRUNC([1]일위대가목록!G189,0)</f>
        <v>0</v>
      </c>
      <c r="J2355" s="7">
        <f t="shared" si="260"/>
        <v>0</v>
      </c>
      <c r="K2355" s="7">
        <f t="shared" si="261"/>
        <v>11606</v>
      </c>
      <c r="L2355" s="7">
        <f t="shared" si="261"/>
        <v>429422</v>
      </c>
      <c r="M2355" s="4" t="s">
        <v>2132</v>
      </c>
      <c r="N2355" s="6" t="s">
        <v>2133</v>
      </c>
      <c r="O2355" s="6" t="s">
        <v>55</v>
      </c>
      <c r="P2355" s="6" t="s">
        <v>55</v>
      </c>
      <c r="Q2355" s="6" t="s">
        <v>3646</v>
      </c>
      <c r="R2355" s="6" t="s">
        <v>57</v>
      </c>
      <c r="S2355" s="6" t="s">
        <v>56</v>
      </c>
      <c r="T2355" s="6" t="s">
        <v>56</v>
      </c>
      <c r="AR2355" s="6" t="s">
        <v>55</v>
      </c>
      <c r="AS2355" s="6" t="s">
        <v>55</v>
      </c>
      <c r="AU2355" s="6" t="s">
        <v>3650</v>
      </c>
      <c r="AV2355">
        <v>1176</v>
      </c>
    </row>
    <row r="2356" spans="1:48" ht="30" customHeight="1" x14ac:dyDescent="0.3">
      <c r="A2356" s="4" t="s">
        <v>2130</v>
      </c>
      <c r="B2356" s="4" t="s">
        <v>2139</v>
      </c>
      <c r="C2356" s="4" t="s">
        <v>61</v>
      </c>
      <c r="D2356" s="5">
        <v>762</v>
      </c>
      <c r="E2356" s="7">
        <f>TRUNC([1]일위대가목록!E191,0)</f>
        <v>1202</v>
      </c>
      <c r="F2356" s="7">
        <f t="shared" si="258"/>
        <v>915924</v>
      </c>
      <c r="G2356" s="7">
        <f>TRUNC([1]일위대가목록!F191,0)</f>
        <v>5260</v>
      </c>
      <c r="H2356" s="7">
        <f t="shared" si="259"/>
        <v>4008120</v>
      </c>
      <c r="I2356" s="7">
        <f>TRUNC([1]일위대가목록!G191,0)</f>
        <v>0</v>
      </c>
      <c r="J2356" s="7">
        <f t="shared" si="260"/>
        <v>0</v>
      </c>
      <c r="K2356" s="7">
        <f t="shared" si="261"/>
        <v>6462</v>
      </c>
      <c r="L2356" s="7">
        <f t="shared" si="261"/>
        <v>4924044</v>
      </c>
      <c r="M2356" s="4" t="s">
        <v>2140</v>
      </c>
      <c r="N2356" s="6" t="s">
        <v>2141</v>
      </c>
      <c r="O2356" s="6" t="s">
        <v>55</v>
      </c>
      <c r="P2356" s="6" t="s">
        <v>55</v>
      </c>
      <c r="Q2356" s="6" t="s">
        <v>3646</v>
      </c>
      <c r="R2356" s="6" t="s">
        <v>57</v>
      </c>
      <c r="S2356" s="6" t="s">
        <v>56</v>
      </c>
      <c r="T2356" s="6" t="s">
        <v>56</v>
      </c>
      <c r="AR2356" s="6" t="s">
        <v>55</v>
      </c>
      <c r="AS2356" s="6" t="s">
        <v>55</v>
      </c>
      <c r="AU2356" s="6" t="s">
        <v>3651</v>
      </c>
      <c r="AV2356">
        <v>1177</v>
      </c>
    </row>
    <row r="2357" spans="1:48" ht="30" customHeight="1" x14ac:dyDescent="0.3">
      <c r="A2357" s="4" t="s">
        <v>2130</v>
      </c>
      <c r="B2357" s="4" t="s">
        <v>2143</v>
      </c>
      <c r="C2357" s="4" t="s">
        <v>61</v>
      </c>
      <c r="D2357" s="5">
        <v>75</v>
      </c>
      <c r="E2357" s="7">
        <f>TRUNC([1]일위대가목록!E192,0)</f>
        <v>1246</v>
      </c>
      <c r="F2357" s="7">
        <f t="shared" si="258"/>
        <v>93450</v>
      </c>
      <c r="G2357" s="7">
        <f>TRUNC([1]일위대가목록!F192,0)</f>
        <v>6292</v>
      </c>
      <c r="H2357" s="7">
        <f t="shared" si="259"/>
        <v>471900</v>
      </c>
      <c r="I2357" s="7">
        <f>TRUNC([1]일위대가목록!G192,0)</f>
        <v>0</v>
      </c>
      <c r="J2357" s="7">
        <f t="shared" si="260"/>
        <v>0</v>
      </c>
      <c r="K2357" s="7">
        <f t="shared" si="261"/>
        <v>7538</v>
      </c>
      <c r="L2357" s="7">
        <f t="shared" si="261"/>
        <v>565350</v>
      </c>
      <c r="M2357" s="4" t="s">
        <v>2144</v>
      </c>
      <c r="N2357" s="6" t="s">
        <v>2145</v>
      </c>
      <c r="O2357" s="6" t="s">
        <v>55</v>
      </c>
      <c r="P2357" s="6" t="s">
        <v>55</v>
      </c>
      <c r="Q2357" s="6" t="s">
        <v>3646</v>
      </c>
      <c r="R2357" s="6" t="s">
        <v>57</v>
      </c>
      <c r="S2357" s="6" t="s">
        <v>56</v>
      </c>
      <c r="T2357" s="6" t="s">
        <v>56</v>
      </c>
      <c r="AR2357" s="6" t="s">
        <v>55</v>
      </c>
      <c r="AS2357" s="6" t="s">
        <v>55</v>
      </c>
      <c r="AU2357" s="6" t="s">
        <v>3652</v>
      </c>
      <c r="AV2357">
        <v>1178</v>
      </c>
    </row>
    <row r="2358" spans="1:48" ht="30" customHeight="1" x14ac:dyDescent="0.3">
      <c r="A2358" s="4" t="s">
        <v>2147</v>
      </c>
      <c r="B2358" s="4" t="s">
        <v>2152</v>
      </c>
      <c r="C2358" s="4" t="s">
        <v>61</v>
      </c>
      <c r="D2358" s="5">
        <v>321</v>
      </c>
      <c r="E2358" s="7">
        <f>TRUNC([1]일위대가목록!E194,0)</f>
        <v>1451</v>
      </c>
      <c r="F2358" s="7">
        <f t="shared" si="258"/>
        <v>465771</v>
      </c>
      <c r="G2358" s="7">
        <f>TRUNC([1]일위대가목록!F194,0)</f>
        <v>16304</v>
      </c>
      <c r="H2358" s="7">
        <f t="shared" si="259"/>
        <v>5233584</v>
      </c>
      <c r="I2358" s="7">
        <f>TRUNC([1]일위대가목록!G194,0)</f>
        <v>0</v>
      </c>
      <c r="J2358" s="7">
        <f t="shared" si="260"/>
        <v>0</v>
      </c>
      <c r="K2358" s="7">
        <f t="shared" si="261"/>
        <v>17755</v>
      </c>
      <c r="L2358" s="7">
        <f t="shared" si="261"/>
        <v>5699355</v>
      </c>
      <c r="M2358" s="4" t="s">
        <v>2153</v>
      </c>
      <c r="N2358" s="6" t="s">
        <v>2154</v>
      </c>
      <c r="O2358" s="6" t="s">
        <v>55</v>
      </c>
      <c r="P2358" s="6" t="s">
        <v>55</v>
      </c>
      <c r="Q2358" s="6" t="s">
        <v>3646</v>
      </c>
      <c r="R2358" s="6" t="s">
        <v>57</v>
      </c>
      <c r="S2358" s="6" t="s">
        <v>56</v>
      </c>
      <c r="T2358" s="6" t="s">
        <v>56</v>
      </c>
      <c r="AR2358" s="6" t="s">
        <v>55</v>
      </c>
      <c r="AS2358" s="6" t="s">
        <v>55</v>
      </c>
      <c r="AU2358" s="6" t="s">
        <v>3653</v>
      </c>
      <c r="AV2358">
        <v>1179</v>
      </c>
    </row>
    <row r="2359" spans="1:48" ht="30" customHeight="1" x14ac:dyDescent="0.3">
      <c r="A2359" s="4" t="s">
        <v>2156</v>
      </c>
      <c r="B2359" s="4" t="s">
        <v>2157</v>
      </c>
      <c r="C2359" s="4" t="s">
        <v>61</v>
      </c>
      <c r="D2359" s="5">
        <v>62</v>
      </c>
      <c r="E2359" s="7">
        <f>TRUNC([1]일위대가목록!E195,0)</f>
        <v>3624</v>
      </c>
      <c r="F2359" s="7">
        <f t="shared" si="258"/>
        <v>224688</v>
      </c>
      <c r="G2359" s="7">
        <f>TRUNC([1]일위대가목록!F195,0)</f>
        <v>0</v>
      </c>
      <c r="H2359" s="7">
        <f t="shared" si="259"/>
        <v>0</v>
      </c>
      <c r="I2359" s="7">
        <f>TRUNC([1]일위대가목록!G195,0)</f>
        <v>0</v>
      </c>
      <c r="J2359" s="7">
        <f t="shared" si="260"/>
        <v>0</v>
      </c>
      <c r="K2359" s="7">
        <f t="shared" si="261"/>
        <v>3624</v>
      </c>
      <c r="L2359" s="7">
        <f t="shared" si="261"/>
        <v>224688</v>
      </c>
      <c r="M2359" s="4" t="s">
        <v>2158</v>
      </c>
      <c r="N2359" s="6" t="s">
        <v>2159</v>
      </c>
      <c r="O2359" s="6" t="s">
        <v>55</v>
      </c>
      <c r="P2359" s="6" t="s">
        <v>55</v>
      </c>
      <c r="Q2359" s="6" t="s">
        <v>3646</v>
      </c>
      <c r="R2359" s="6" t="s">
        <v>57</v>
      </c>
      <c r="S2359" s="6" t="s">
        <v>56</v>
      </c>
      <c r="T2359" s="6" t="s">
        <v>56</v>
      </c>
      <c r="AR2359" s="6" t="s">
        <v>55</v>
      </c>
      <c r="AS2359" s="6" t="s">
        <v>55</v>
      </c>
      <c r="AU2359" s="6" t="s">
        <v>3654</v>
      </c>
      <c r="AV2359">
        <v>1180</v>
      </c>
    </row>
    <row r="2360" spans="1:48" ht="30" customHeight="1" x14ac:dyDescent="0.3">
      <c r="A2360" s="4" t="s">
        <v>2161</v>
      </c>
      <c r="B2360" s="4" t="s">
        <v>2162</v>
      </c>
      <c r="C2360" s="4" t="s">
        <v>61</v>
      </c>
      <c r="D2360" s="5">
        <v>10</v>
      </c>
      <c r="E2360" s="7">
        <f>TRUNC([1]일위대가목록!E196,0)</f>
        <v>3624</v>
      </c>
      <c r="F2360" s="7">
        <f t="shared" si="258"/>
        <v>36240</v>
      </c>
      <c r="G2360" s="7">
        <f>TRUNC([1]일위대가목록!F196,0)</f>
        <v>0</v>
      </c>
      <c r="H2360" s="7">
        <f t="shared" si="259"/>
        <v>0</v>
      </c>
      <c r="I2360" s="7">
        <f>TRUNC([1]일위대가목록!G196,0)</f>
        <v>0</v>
      </c>
      <c r="J2360" s="7">
        <f t="shared" si="260"/>
        <v>0</v>
      </c>
      <c r="K2360" s="7">
        <f t="shared" si="261"/>
        <v>3624</v>
      </c>
      <c r="L2360" s="7">
        <f t="shared" si="261"/>
        <v>36240</v>
      </c>
      <c r="M2360" s="4" t="s">
        <v>2163</v>
      </c>
      <c r="N2360" s="6" t="s">
        <v>2164</v>
      </c>
      <c r="O2360" s="6" t="s">
        <v>55</v>
      </c>
      <c r="P2360" s="6" t="s">
        <v>55</v>
      </c>
      <c r="Q2360" s="6" t="s">
        <v>3646</v>
      </c>
      <c r="R2360" s="6" t="s">
        <v>57</v>
      </c>
      <c r="S2360" s="6" t="s">
        <v>56</v>
      </c>
      <c r="T2360" s="6" t="s">
        <v>56</v>
      </c>
      <c r="AR2360" s="6" t="s">
        <v>55</v>
      </c>
      <c r="AS2360" s="6" t="s">
        <v>55</v>
      </c>
      <c r="AU2360" s="6" t="s">
        <v>3655</v>
      </c>
      <c r="AV2360">
        <v>1181</v>
      </c>
    </row>
    <row r="2361" spans="1:48" ht="30" customHeight="1" x14ac:dyDescent="0.3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</row>
    <row r="2362" spans="1:48" ht="30" customHeight="1" x14ac:dyDescent="0.3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</row>
    <row r="2363" spans="1:48" ht="30" customHeight="1" x14ac:dyDescent="0.3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</row>
    <row r="2364" spans="1:48" ht="30" customHeight="1" x14ac:dyDescent="0.3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</row>
    <row r="2365" spans="1:48" ht="30" customHeight="1" x14ac:dyDescent="0.3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</row>
    <row r="2366" spans="1:48" ht="30" customHeight="1" x14ac:dyDescent="0.3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</row>
    <row r="2367" spans="1:48" ht="30" customHeight="1" x14ac:dyDescent="0.3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</row>
    <row r="2368" spans="1:48" ht="30" customHeight="1" x14ac:dyDescent="0.3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</row>
    <row r="2369" spans="1:48" ht="30" customHeight="1" x14ac:dyDescent="0.3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</row>
    <row r="2370" spans="1:48" ht="30" customHeight="1" x14ac:dyDescent="0.3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</row>
    <row r="2371" spans="1:48" ht="30" customHeight="1" x14ac:dyDescent="0.3">
      <c r="A2371" s="4" t="s">
        <v>128</v>
      </c>
      <c r="B2371" s="5"/>
      <c r="C2371" s="5"/>
      <c r="D2371" s="5"/>
      <c r="E2371" s="5"/>
      <c r="F2371" s="7">
        <f>SUM(F2352:F2370)</f>
        <v>2619384</v>
      </c>
      <c r="G2371" s="5"/>
      <c r="H2371" s="7">
        <f>SUM(H2352:H2370)</f>
        <v>11340075</v>
      </c>
      <c r="I2371" s="5"/>
      <c r="J2371" s="7">
        <f>SUM(J2352:J2370)</f>
        <v>64617</v>
      </c>
      <c r="K2371" s="5"/>
      <c r="L2371" s="7">
        <f>SUM(L2352:L2370)</f>
        <v>14024076</v>
      </c>
      <c r="M2371" s="5"/>
      <c r="N2371" t="s">
        <v>129</v>
      </c>
    </row>
    <row r="2372" spans="1:48" ht="30" customHeight="1" x14ac:dyDescent="0.3">
      <c r="A2372" s="4" t="s">
        <v>3656</v>
      </c>
      <c r="B2372" s="4" t="s">
        <v>3350</v>
      </c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Q2372" s="6" t="s">
        <v>3657</v>
      </c>
    </row>
    <row r="2373" spans="1:48" ht="30" customHeight="1" x14ac:dyDescent="0.3">
      <c r="A2373" s="4" t="s">
        <v>2173</v>
      </c>
      <c r="B2373" s="4" t="s">
        <v>2174</v>
      </c>
      <c r="C2373" s="4" t="s">
        <v>223</v>
      </c>
      <c r="D2373" s="5">
        <v>220</v>
      </c>
      <c r="E2373" s="7">
        <f>TRUNC([1]단가대비표!O20,0)</f>
        <v>29000</v>
      </c>
      <c r="F2373" s="7">
        <f>TRUNC(E2373*D2373, 0)</f>
        <v>6380000</v>
      </c>
      <c r="G2373" s="7">
        <f>TRUNC([1]단가대비표!P20,0)</f>
        <v>0</v>
      </c>
      <c r="H2373" s="7">
        <f>TRUNC(G2373*D2373, 0)</f>
        <v>0</v>
      </c>
      <c r="I2373" s="7">
        <f>TRUNC([1]단가대비표!V20,0)</f>
        <v>0</v>
      </c>
      <c r="J2373" s="7">
        <f>TRUNC(I2373*D2373, 0)</f>
        <v>0</v>
      </c>
      <c r="K2373" s="7">
        <f>TRUNC(E2373+G2373+I2373, 0)</f>
        <v>29000</v>
      </c>
      <c r="L2373" s="7">
        <f>TRUNC(F2373+H2373+J2373, 0)</f>
        <v>6380000</v>
      </c>
      <c r="M2373" s="4" t="s">
        <v>55</v>
      </c>
      <c r="N2373" s="6" t="s">
        <v>2175</v>
      </c>
      <c r="O2373" s="6" t="s">
        <v>55</v>
      </c>
      <c r="P2373" s="6" t="s">
        <v>55</v>
      </c>
      <c r="Q2373" s="6" t="s">
        <v>3657</v>
      </c>
      <c r="R2373" s="6" t="s">
        <v>56</v>
      </c>
      <c r="S2373" s="6" t="s">
        <v>56</v>
      </c>
      <c r="T2373" s="6" t="s">
        <v>57</v>
      </c>
      <c r="AR2373" s="6" t="s">
        <v>55</v>
      </c>
      <c r="AS2373" s="6" t="s">
        <v>55</v>
      </c>
      <c r="AU2373" s="6" t="s">
        <v>3658</v>
      </c>
      <c r="AV2373">
        <v>2472</v>
      </c>
    </row>
    <row r="2374" spans="1:48" ht="30" customHeight="1" x14ac:dyDescent="0.3">
      <c r="A2374" s="4" t="s">
        <v>2177</v>
      </c>
      <c r="B2374" s="4" t="s">
        <v>2178</v>
      </c>
      <c r="C2374" s="4" t="s">
        <v>856</v>
      </c>
      <c r="D2374" s="5">
        <v>2596</v>
      </c>
      <c r="E2374" s="7">
        <f>TRUNC([1]단가대비표!O793,0)</f>
        <v>0</v>
      </c>
      <c r="F2374" s="7">
        <f>TRUNC(E2374*D2374, 0)</f>
        <v>0</v>
      </c>
      <c r="G2374" s="7">
        <f>TRUNC([1]단가대비표!P793,0)</f>
        <v>0</v>
      </c>
      <c r="H2374" s="7">
        <f>TRUNC(G2374*D2374, 0)</f>
        <v>0</v>
      </c>
      <c r="I2374" s="7">
        <f>TRUNC([1]단가대비표!V793,0)</f>
        <v>0</v>
      </c>
      <c r="J2374" s="7">
        <f>TRUNC(I2374*D2374, 0)</f>
        <v>0</v>
      </c>
      <c r="K2374" s="7">
        <f>TRUNC(E2374+G2374+I2374, 0)</f>
        <v>0</v>
      </c>
      <c r="L2374" s="7">
        <f>TRUNC(F2374+H2374+J2374, 0)</f>
        <v>0</v>
      </c>
      <c r="M2374" s="4" t="s">
        <v>55</v>
      </c>
      <c r="N2374" s="6" t="s">
        <v>3659</v>
      </c>
      <c r="O2374" s="6" t="s">
        <v>55</v>
      </c>
      <c r="P2374" s="6" t="s">
        <v>55</v>
      </c>
      <c r="Q2374" s="6" t="s">
        <v>3657</v>
      </c>
      <c r="R2374" s="6" t="s">
        <v>56</v>
      </c>
      <c r="S2374" s="6" t="s">
        <v>56</v>
      </c>
      <c r="T2374" s="6" t="s">
        <v>57</v>
      </c>
      <c r="AR2374" s="6" t="s">
        <v>55</v>
      </c>
      <c r="AS2374" s="6" t="s">
        <v>55</v>
      </c>
      <c r="AU2374" s="6" t="s">
        <v>3660</v>
      </c>
      <c r="AV2374">
        <v>2900</v>
      </c>
    </row>
    <row r="2375" spans="1:48" ht="30" customHeight="1" x14ac:dyDescent="0.3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</row>
    <row r="2376" spans="1:48" ht="30" customHeight="1" x14ac:dyDescent="0.3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</row>
    <row r="2377" spans="1:48" ht="30" customHeight="1" x14ac:dyDescent="0.3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</row>
    <row r="2378" spans="1:48" ht="30" customHeight="1" x14ac:dyDescent="0.3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</row>
    <row r="2379" spans="1:48" ht="30" customHeight="1" x14ac:dyDescent="0.3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</row>
    <row r="2380" spans="1:48" ht="30" customHeight="1" x14ac:dyDescent="0.3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</row>
    <row r="2381" spans="1:48" ht="30" customHeight="1" x14ac:dyDescent="0.3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</row>
    <row r="2382" spans="1:48" ht="30" customHeight="1" x14ac:dyDescent="0.3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</row>
    <row r="2383" spans="1:48" ht="30" customHeight="1" x14ac:dyDescent="0.3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</row>
    <row r="2384" spans="1:48" ht="30" customHeight="1" x14ac:dyDescent="0.3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</row>
    <row r="2385" spans="1:48" ht="30" customHeight="1" x14ac:dyDescent="0.3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</row>
    <row r="2386" spans="1:48" ht="30" customHeight="1" x14ac:dyDescent="0.3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</row>
    <row r="2387" spans="1:48" ht="30" customHeight="1" x14ac:dyDescent="0.3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</row>
    <row r="2388" spans="1:48" ht="30" customHeight="1" x14ac:dyDescent="0.3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</row>
    <row r="2389" spans="1:48" ht="30" customHeight="1" x14ac:dyDescent="0.3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</row>
    <row r="2390" spans="1:48" ht="30" customHeight="1" x14ac:dyDescent="0.3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</row>
    <row r="2391" spans="1:48" ht="30" customHeight="1" x14ac:dyDescent="0.3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</row>
    <row r="2392" spans="1:48" ht="30" customHeight="1" x14ac:dyDescent="0.3">
      <c r="A2392" s="4" t="s">
        <v>128</v>
      </c>
      <c r="B2392" s="5"/>
      <c r="C2392" s="5"/>
      <c r="D2392" s="5"/>
      <c r="E2392" s="5"/>
      <c r="F2392" s="7">
        <f>SUM(F2373:F2391)</f>
        <v>6380000</v>
      </c>
      <c r="G2392" s="5"/>
      <c r="H2392" s="7">
        <f>SUM(H2373:H2391)</f>
        <v>0</v>
      </c>
      <c r="I2392" s="5"/>
      <c r="J2392" s="7">
        <f>SUM(J2373:J2391)</f>
        <v>0</v>
      </c>
      <c r="K2392" s="5"/>
      <c r="L2392" s="7">
        <f>SUM(L2373:L2391)</f>
        <v>6380000</v>
      </c>
      <c r="M2392" s="5"/>
      <c r="N2392" t="s">
        <v>129</v>
      </c>
    </row>
    <row r="2393" spans="1:48" ht="30" customHeight="1" x14ac:dyDescent="0.3">
      <c r="A2393" s="4" t="s">
        <v>3661</v>
      </c>
      <c r="B2393" s="4" t="s">
        <v>3350</v>
      </c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Q2393" s="6" t="s">
        <v>3662</v>
      </c>
    </row>
    <row r="2394" spans="1:48" ht="30" customHeight="1" x14ac:dyDescent="0.3">
      <c r="A2394" s="4" t="s">
        <v>2183</v>
      </c>
      <c r="B2394" s="4" t="s">
        <v>2184</v>
      </c>
      <c r="C2394" s="4" t="s">
        <v>856</v>
      </c>
      <c r="D2394" s="5">
        <v>2596</v>
      </c>
      <c r="E2394" s="7">
        <f>TRUNC([1]중기단가목록!E4,0)</f>
        <v>0</v>
      </c>
      <c r="F2394" s="7">
        <f>TRUNC(E2394*D2394, 0)</f>
        <v>0</v>
      </c>
      <c r="G2394" s="7">
        <f>TRUNC([1]중기단가목록!F4,0)</f>
        <v>0</v>
      </c>
      <c r="H2394" s="7">
        <f>TRUNC(G2394*D2394, 0)</f>
        <v>0</v>
      </c>
      <c r="I2394" s="7">
        <f>TRUNC([1]중기단가목록!G4,0)</f>
        <v>1556</v>
      </c>
      <c r="J2394" s="7">
        <f>TRUNC(I2394*D2394, 0)</f>
        <v>4039376</v>
      </c>
      <c r="K2394" s="7">
        <f t="shared" ref="K2394:L2397" si="262">TRUNC(E2394+G2394+I2394, 0)</f>
        <v>1556</v>
      </c>
      <c r="L2394" s="7">
        <f t="shared" si="262"/>
        <v>4039376</v>
      </c>
      <c r="M2394" s="4" t="s">
        <v>2185</v>
      </c>
      <c r="N2394" s="6" t="s">
        <v>2186</v>
      </c>
      <c r="O2394" s="6" t="s">
        <v>55</v>
      </c>
      <c r="P2394" s="6" t="s">
        <v>55</v>
      </c>
      <c r="Q2394" s="6" t="s">
        <v>3662</v>
      </c>
      <c r="R2394" s="6" t="s">
        <v>56</v>
      </c>
      <c r="S2394" s="6" t="s">
        <v>57</v>
      </c>
      <c r="T2394" s="6" t="s">
        <v>56</v>
      </c>
      <c r="AR2394" s="6" t="s">
        <v>55</v>
      </c>
      <c r="AS2394" s="6" t="s">
        <v>55</v>
      </c>
      <c r="AU2394" s="6" t="s">
        <v>3663</v>
      </c>
      <c r="AV2394">
        <v>2474</v>
      </c>
    </row>
    <row r="2395" spans="1:48" ht="30" customHeight="1" x14ac:dyDescent="0.3">
      <c r="A2395" s="4" t="s">
        <v>2188</v>
      </c>
      <c r="B2395" s="4" t="s">
        <v>2189</v>
      </c>
      <c r="C2395" s="4" t="s">
        <v>106</v>
      </c>
      <c r="D2395" s="5">
        <v>108.256</v>
      </c>
      <c r="E2395" s="7">
        <f>TRUNC([1]중기단가목록!E5,0)</f>
        <v>0</v>
      </c>
      <c r="F2395" s="7">
        <f>TRUNC(E2395*D2395, 0)</f>
        <v>0</v>
      </c>
      <c r="G2395" s="7">
        <f>TRUNC([1]중기단가목록!F5,0)</f>
        <v>0</v>
      </c>
      <c r="H2395" s="7">
        <f>TRUNC(G2395*D2395, 0)</f>
        <v>0</v>
      </c>
      <c r="I2395" s="7">
        <f>TRUNC([1]중기단가목록!G5,0)</f>
        <v>12020</v>
      </c>
      <c r="J2395" s="7">
        <f>TRUNC(I2395*D2395, 0)</f>
        <v>1301237</v>
      </c>
      <c r="K2395" s="7">
        <f t="shared" si="262"/>
        <v>12020</v>
      </c>
      <c r="L2395" s="7">
        <f t="shared" si="262"/>
        <v>1301237</v>
      </c>
      <c r="M2395" s="4" t="s">
        <v>2190</v>
      </c>
      <c r="N2395" s="6" t="s">
        <v>2191</v>
      </c>
      <c r="O2395" s="6" t="s">
        <v>55</v>
      </c>
      <c r="P2395" s="6" t="s">
        <v>55</v>
      </c>
      <c r="Q2395" s="6" t="s">
        <v>3662</v>
      </c>
      <c r="R2395" s="6" t="s">
        <v>56</v>
      </c>
      <c r="S2395" s="6" t="s">
        <v>57</v>
      </c>
      <c r="T2395" s="6" t="s">
        <v>56</v>
      </c>
      <c r="AR2395" s="6" t="s">
        <v>55</v>
      </c>
      <c r="AS2395" s="6" t="s">
        <v>55</v>
      </c>
      <c r="AU2395" s="6" t="s">
        <v>3664</v>
      </c>
      <c r="AV2395">
        <v>2475</v>
      </c>
    </row>
    <row r="2396" spans="1:48" ht="30" customHeight="1" x14ac:dyDescent="0.3">
      <c r="A2396" s="4" t="s">
        <v>2193</v>
      </c>
      <c r="B2396" s="4" t="s">
        <v>2189</v>
      </c>
      <c r="C2396" s="4" t="s">
        <v>106</v>
      </c>
      <c r="D2396" s="5">
        <v>105.105</v>
      </c>
      <c r="E2396" s="7">
        <f>TRUNC([1]중기단가목록!E6,0)</f>
        <v>0</v>
      </c>
      <c r="F2396" s="7">
        <f>TRUNC(E2396*D2396, 0)</f>
        <v>0</v>
      </c>
      <c r="G2396" s="7">
        <f>TRUNC([1]중기단가목록!F6,0)</f>
        <v>0</v>
      </c>
      <c r="H2396" s="7">
        <f>TRUNC(G2396*D2396, 0)</f>
        <v>0</v>
      </c>
      <c r="I2396" s="7">
        <f>TRUNC([1]중기단가목록!G6,0)</f>
        <v>12020</v>
      </c>
      <c r="J2396" s="7">
        <f>TRUNC(I2396*D2396, 0)</f>
        <v>1263362</v>
      </c>
      <c r="K2396" s="7">
        <f t="shared" si="262"/>
        <v>12020</v>
      </c>
      <c r="L2396" s="7">
        <f t="shared" si="262"/>
        <v>1263362</v>
      </c>
      <c r="M2396" s="4" t="s">
        <v>2194</v>
      </c>
      <c r="N2396" s="6" t="s">
        <v>2195</v>
      </c>
      <c r="O2396" s="6" t="s">
        <v>55</v>
      </c>
      <c r="P2396" s="6" t="s">
        <v>55</v>
      </c>
      <c r="Q2396" s="6" t="s">
        <v>3662</v>
      </c>
      <c r="R2396" s="6" t="s">
        <v>56</v>
      </c>
      <c r="S2396" s="6" t="s">
        <v>57</v>
      </c>
      <c r="T2396" s="6" t="s">
        <v>56</v>
      </c>
      <c r="AR2396" s="6" t="s">
        <v>55</v>
      </c>
      <c r="AS2396" s="6" t="s">
        <v>55</v>
      </c>
      <c r="AU2396" s="6" t="s">
        <v>3665</v>
      </c>
      <c r="AV2396">
        <v>3212</v>
      </c>
    </row>
    <row r="2397" spans="1:48" ht="30" customHeight="1" x14ac:dyDescent="0.3">
      <c r="A2397" s="4" t="s">
        <v>2202</v>
      </c>
      <c r="B2397" s="4" t="s">
        <v>2203</v>
      </c>
      <c r="C2397" s="4" t="s">
        <v>2204</v>
      </c>
      <c r="D2397" s="5">
        <v>40</v>
      </c>
      <c r="E2397" s="7">
        <f>TRUNC([1]중기단가목록!E8,0)</f>
        <v>0</v>
      </c>
      <c r="F2397" s="7">
        <f>TRUNC(E2397*D2397, 0)</f>
        <v>0</v>
      </c>
      <c r="G2397" s="7">
        <f>TRUNC([1]중기단가목록!F8,0)</f>
        <v>0</v>
      </c>
      <c r="H2397" s="7">
        <f>TRUNC(G2397*D2397, 0)</f>
        <v>0</v>
      </c>
      <c r="I2397" s="7">
        <f>TRUNC([1]중기단가목록!G8,0)</f>
        <v>20318</v>
      </c>
      <c r="J2397" s="7">
        <f>TRUNC(I2397*D2397, 0)</f>
        <v>812720</v>
      </c>
      <c r="K2397" s="7">
        <f t="shared" si="262"/>
        <v>20318</v>
      </c>
      <c r="L2397" s="7">
        <f t="shared" si="262"/>
        <v>812720</v>
      </c>
      <c r="M2397" s="4" t="s">
        <v>2205</v>
      </c>
      <c r="N2397" s="6" t="s">
        <v>2206</v>
      </c>
      <c r="O2397" s="6" t="s">
        <v>55</v>
      </c>
      <c r="P2397" s="6" t="s">
        <v>55</v>
      </c>
      <c r="Q2397" s="6" t="s">
        <v>3662</v>
      </c>
      <c r="R2397" s="6" t="s">
        <v>56</v>
      </c>
      <c r="S2397" s="6" t="s">
        <v>57</v>
      </c>
      <c r="T2397" s="6" t="s">
        <v>56</v>
      </c>
      <c r="AR2397" s="6" t="s">
        <v>55</v>
      </c>
      <c r="AS2397" s="6" t="s">
        <v>55</v>
      </c>
      <c r="AU2397" s="6" t="s">
        <v>3666</v>
      </c>
      <c r="AV2397">
        <v>2477</v>
      </c>
    </row>
    <row r="2398" spans="1:48" ht="30" customHeight="1" x14ac:dyDescent="0.3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</row>
    <row r="2399" spans="1:48" ht="30" customHeight="1" x14ac:dyDescent="0.3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</row>
    <row r="2400" spans="1:48" ht="30" customHeight="1" x14ac:dyDescent="0.3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</row>
    <row r="2401" spans="1:48" ht="30" customHeight="1" x14ac:dyDescent="0.3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</row>
    <row r="2402" spans="1:48" ht="30" customHeight="1" x14ac:dyDescent="0.3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</row>
    <row r="2403" spans="1:48" ht="30" customHeight="1" x14ac:dyDescent="0.3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</row>
    <row r="2404" spans="1:48" ht="30" customHeight="1" x14ac:dyDescent="0.3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</row>
    <row r="2405" spans="1:48" ht="30" customHeight="1" x14ac:dyDescent="0.3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</row>
    <row r="2406" spans="1:48" ht="30" customHeight="1" x14ac:dyDescent="0.3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</row>
    <row r="2407" spans="1:48" ht="30" customHeight="1" x14ac:dyDescent="0.3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</row>
    <row r="2408" spans="1:48" ht="30" customHeight="1" x14ac:dyDescent="0.3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</row>
    <row r="2409" spans="1:48" ht="30" customHeight="1" x14ac:dyDescent="0.3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</row>
    <row r="2410" spans="1:48" ht="30" customHeight="1" x14ac:dyDescent="0.3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</row>
    <row r="2411" spans="1:48" ht="30" customHeight="1" x14ac:dyDescent="0.3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</row>
    <row r="2412" spans="1:48" ht="30" customHeight="1" x14ac:dyDescent="0.3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</row>
    <row r="2413" spans="1:48" ht="30" customHeight="1" x14ac:dyDescent="0.3">
      <c r="A2413" s="4" t="s">
        <v>128</v>
      </c>
      <c r="B2413" s="5"/>
      <c r="C2413" s="5"/>
      <c r="D2413" s="5"/>
      <c r="E2413" s="5"/>
      <c r="F2413" s="7">
        <f>SUM(F2394:F2412)</f>
        <v>0</v>
      </c>
      <c r="G2413" s="5"/>
      <c r="H2413" s="7">
        <f>SUM(H2394:H2412)</f>
        <v>0</v>
      </c>
      <c r="I2413" s="5"/>
      <c r="J2413" s="7">
        <f>SUM(J2394:J2412)</f>
        <v>7416695</v>
      </c>
      <c r="K2413" s="5"/>
      <c r="L2413" s="7">
        <f>SUM(L2394:L2412)</f>
        <v>7416695</v>
      </c>
      <c r="M2413" s="5"/>
      <c r="N2413" t="s">
        <v>129</v>
      </c>
    </row>
    <row r="2414" spans="1:48" ht="30" customHeight="1" x14ac:dyDescent="0.3">
      <c r="A2414" s="4" t="s">
        <v>3667</v>
      </c>
      <c r="B2414" s="4" t="s">
        <v>3350</v>
      </c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Q2414" s="6" t="s">
        <v>3668</v>
      </c>
    </row>
    <row r="2415" spans="1:48" ht="30" customHeight="1" x14ac:dyDescent="0.3">
      <c r="A2415" s="4" t="s">
        <v>2210</v>
      </c>
      <c r="B2415" s="4" t="s">
        <v>2211</v>
      </c>
      <c r="C2415" s="4" t="s">
        <v>106</v>
      </c>
      <c r="D2415" s="5">
        <v>-2.0590000000000002</v>
      </c>
      <c r="E2415" s="7">
        <f>TRUNC([1]단가대비표!O25,0)</f>
        <v>385000</v>
      </c>
      <c r="F2415" s="7">
        <f>TRUNC(E2415*D2415, 0)</f>
        <v>-792715</v>
      </c>
      <c r="G2415" s="7">
        <f>TRUNC([1]단가대비표!P25,0)</f>
        <v>0</v>
      </c>
      <c r="H2415" s="7">
        <f>TRUNC(G2415*D2415, 0)</f>
        <v>0</v>
      </c>
      <c r="I2415" s="7">
        <f>TRUNC([1]단가대비표!V25,0)</f>
        <v>0</v>
      </c>
      <c r="J2415" s="7">
        <f>TRUNC(I2415*D2415, 0)</f>
        <v>0</v>
      </c>
      <c r="K2415" s="7">
        <f>TRUNC(E2415+G2415+I2415, 0)</f>
        <v>385000</v>
      </c>
      <c r="L2415" s="7">
        <f>TRUNC(F2415+H2415+J2415, 0)</f>
        <v>-792715</v>
      </c>
      <c r="M2415" s="4" t="s">
        <v>2212</v>
      </c>
      <c r="N2415" s="6" t="s">
        <v>2213</v>
      </c>
      <c r="O2415" s="6" t="s">
        <v>55</v>
      </c>
      <c r="P2415" s="6" t="s">
        <v>55</v>
      </c>
      <c r="Q2415" s="6" t="s">
        <v>3668</v>
      </c>
      <c r="R2415" s="6" t="s">
        <v>56</v>
      </c>
      <c r="S2415" s="6" t="s">
        <v>56</v>
      </c>
      <c r="T2415" s="6" t="s">
        <v>57</v>
      </c>
      <c r="AR2415" s="6" t="s">
        <v>55</v>
      </c>
      <c r="AS2415" s="6" t="s">
        <v>55</v>
      </c>
      <c r="AU2415" s="6" t="s">
        <v>3669</v>
      </c>
      <c r="AV2415">
        <v>2478</v>
      </c>
    </row>
    <row r="2416" spans="1:48" ht="30" customHeight="1" x14ac:dyDescent="0.3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</row>
    <row r="2417" spans="1:13" ht="30" customHeight="1" x14ac:dyDescent="0.3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</row>
    <row r="2418" spans="1:13" ht="30" customHeight="1" x14ac:dyDescent="0.3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</row>
    <row r="2419" spans="1:13" ht="30" customHeight="1" x14ac:dyDescent="0.3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</row>
    <row r="2420" spans="1:13" ht="30" customHeight="1" x14ac:dyDescent="0.3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</row>
    <row r="2421" spans="1:13" ht="30" customHeight="1" x14ac:dyDescent="0.3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</row>
    <row r="2422" spans="1:13" ht="30" customHeight="1" x14ac:dyDescent="0.3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</row>
    <row r="2423" spans="1:13" ht="30" customHeight="1" x14ac:dyDescent="0.3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</row>
    <row r="2424" spans="1:13" ht="30" customHeight="1" x14ac:dyDescent="0.3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</row>
    <row r="2425" spans="1:13" ht="30" customHeight="1" x14ac:dyDescent="0.3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</row>
    <row r="2426" spans="1:13" ht="30" customHeight="1" x14ac:dyDescent="0.3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</row>
    <row r="2427" spans="1:13" ht="30" customHeight="1" x14ac:dyDescent="0.3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</row>
    <row r="2428" spans="1:13" ht="30" customHeight="1" x14ac:dyDescent="0.3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</row>
    <row r="2429" spans="1:13" ht="30" customHeight="1" x14ac:dyDescent="0.3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</row>
    <row r="2430" spans="1:13" ht="30" customHeight="1" x14ac:dyDescent="0.3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</row>
    <row r="2431" spans="1:13" ht="30" customHeight="1" x14ac:dyDescent="0.3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</row>
    <row r="2432" spans="1:13" ht="30" customHeight="1" x14ac:dyDescent="0.3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</row>
    <row r="2433" spans="1:48" ht="30" customHeight="1" x14ac:dyDescent="0.3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</row>
    <row r="2434" spans="1:48" ht="30" customHeight="1" x14ac:dyDescent="0.3">
      <c r="A2434" s="4" t="s">
        <v>128</v>
      </c>
      <c r="B2434" s="5"/>
      <c r="C2434" s="5"/>
      <c r="D2434" s="5"/>
      <c r="E2434" s="5"/>
      <c r="F2434" s="7">
        <f>SUM(F2415:F2433)</f>
        <v>-792715</v>
      </c>
      <c r="G2434" s="5"/>
      <c r="H2434" s="7">
        <f>SUM(H2415:H2433)</f>
        <v>0</v>
      </c>
      <c r="I2434" s="5"/>
      <c r="J2434" s="7">
        <f>SUM(J2415:J2433)</f>
        <v>0</v>
      </c>
      <c r="K2434" s="5"/>
      <c r="L2434" s="7">
        <f>SUM(L2415:L2433)</f>
        <v>-792715</v>
      </c>
      <c r="M2434" s="5"/>
      <c r="N2434" t="s">
        <v>129</v>
      </c>
    </row>
    <row r="2435" spans="1:48" ht="30" customHeight="1" x14ac:dyDescent="0.3">
      <c r="A2435" s="4" t="s">
        <v>3670</v>
      </c>
      <c r="B2435" s="4" t="s">
        <v>3671</v>
      </c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Q2435" s="6" t="s">
        <v>3672</v>
      </c>
    </row>
    <row r="2436" spans="1:48" ht="30" customHeight="1" x14ac:dyDescent="0.3">
      <c r="A2436" s="4" t="s">
        <v>2232</v>
      </c>
      <c r="B2436" s="4" t="s">
        <v>191</v>
      </c>
      <c r="C2436" s="4" t="s">
        <v>106</v>
      </c>
      <c r="D2436" s="5">
        <v>28.402999999999999</v>
      </c>
      <c r="E2436" s="7">
        <f>TRUNC([1]단가대비표!O43,0)</f>
        <v>1013920</v>
      </c>
      <c r="F2436" s="7">
        <f t="shared" ref="F2436:F2455" si="263">TRUNC(E2436*D2436, 0)</f>
        <v>28798369</v>
      </c>
      <c r="G2436" s="7">
        <f>TRUNC([1]단가대비표!P43,0)</f>
        <v>0</v>
      </c>
      <c r="H2436" s="7">
        <f t="shared" ref="H2436:H2455" si="264">TRUNC(G2436*D2436, 0)</f>
        <v>0</v>
      </c>
      <c r="I2436" s="7">
        <f>TRUNC([1]단가대비표!V43,0)</f>
        <v>0</v>
      </c>
      <c r="J2436" s="7">
        <f t="shared" ref="J2436:J2455" si="265">TRUNC(I2436*D2436, 0)</f>
        <v>0</v>
      </c>
      <c r="K2436" s="7">
        <f t="shared" ref="K2436:L2455" si="266">TRUNC(E2436+G2436+I2436, 0)</f>
        <v>1013920</v>
      </c>
      <c r="L2436" s="7">
        <f t="shared" si="266"/>
        <v>28798369</v>
      </c>
      <c r="M2436" s="4" t="s">
        <v>55</v>
      </c>
      <c r="N2436" s="6" t="s">
        <v>2233</v>
      </c>
      <c r="O2436" s="6" t="s">
        <v>55</v>
      </c>
      <c r="P2436" s="6" t="s">
        <v>55</v>
      </c>
      <c r="Q2436" s="6" t="s">
        <v>3672</v>
      </c>
      <c r="R2436" s="6" t="s">
        <v>56</v>
      </c>
      <c r="S2436" s="6" t="s">
        <v>56</v>
      </c>
      <c r="T2436" s="6" t="s">
        <v>57</v>
      </c>
      <c r="X2436">
        <v>1</v>
      </c>
      <c r="AR2436" s="6" t="s">
        <v>55</v>
      </c>
      <c r="AS2436" s="6" t="s">
        <v>55</v>
      </c>
      <c r="AU2436" s="6" t="s">
        <v>3673</v>
      </c>
      <c r="AV2436">
        <v>1015</v>
      </c>
    </row>
    <row r="2437" spans="1:48" ht="30" customHeight="1" x14ac:dyDescent="0.3">
      <c r="A2437" s="4" t="s">
        <v>2232</v>
      </c>
      <c r="B2437" s="4" t="s">
        <v>194</v>
      </c>
      <c r="C2437" s="4" t="s">
        <v>106</v>
      </c>
      <c r="D2437" s="5">
        <v>24.901</v>
      </c>
      <c r="E2437" s="7">
        <f>TRUNC([1]단가대비표!O44,0)</f>
        <v>1008450</v>
      </c>
      <c r="F2437" s="7">
        <f t="shared" si="263"/>
        <v>25111413</v>
      </c>
      <c r="G2437" s="7">
        <f>TRUNC([1]단가대비표!P44,0)</f>
        <v>0</v>
      </c>
      <c r="H2437" s="7">
        <f t="shared" si="264"/>
        <v>0</v>
      </c>
      <c r="I2437" s="7">
        <f>TRUNC([1]단가대비표!V44,0)</f>
        <v>0</v>
      </c>
      <c r="J2437" s="7">
        <f t="shared" si="265"/>
        <v>0</v>
      </c>
      <c r="K2437" s="7">
        <f t="shared" si="266"/>
        <v>1008450</v>
      </c>
      <c r="L2437" s="7">
        <f t="shared" si="266"/>
        <v>25111413</v>
      </c>
      <c r="M2437" s="4" t="s">
        <v>55</v>
      </c>
      <c r="N2437" s="6" t="s">
        <v>2235</v>
      </c>
      <c r="O2437" s="6" t="s">
        <v>55</v>
      </c>
      <c r="P2437" s="6" t="s">
        <v>55</v>
      </c>
      <c r="Q2437" s="6" t="s">
        <v>3672</v>
      </c>
      <c r="R2437" s="6" t="s">
        <v>56</v>
      </c>
      <c r="S2437" s="6" t="s">
        <v>56</v>
      </c>
      <c r="T2437" s="6" t="s">
        <v>57</v>
      </c>
      <c r="X2437">
        <v>1</v>
      </c>
      <c r="AR2437" s="6" t="s">
        <v>55</v>
      </c>
      <c r="AS2437" s="6" t="s">
        <v>55</v>
      </c>
      <c r="AU2437" s="6" t="s">
        <v>3674</v>
      </c>
      <c r="AV2437">
        <v>1016</v>
      </c>
    </row>
    <row r="2438" spans="1:48" ht="30" customHeight="1" x14ac:dyDescent="0.3">
      <c r="A2438" s="4" t="s">
        <v>2232</v>
      </c>
      <c r="B2438" s="4" t="s">
        <v>197</v>
      </c>
      <c r="C2438" s="4" t="s">
        <v>106</v>
      </c>
      <c r="D2438" s="5">
        <v>1.2230000000000001</v>
      </c>
      <c r="E2438" s="7">
        <f>TRUNC([1]단가대비표!O45,0)</f>
        <v>1052230</v>
      </c>
      <c r="F2438" s="7">
        <f t="shared" si="263"/>
        <v>1286877</v>
      </c>
      <c r="G2438" s="7">
        <f>TRUNC([1]단가대비표!P45,0)</f>
        <v>0</v>
      </c>
      <c r="H2438" s="7">
        <f t="shared" si="264"/>
        <v>0</v>
      </c>
      <c r="I2438" s="7">
        <f>TRUNC([1]단가대비표!V45,0)</f>
        <v>0</v>
      </c>
      <c r="J2438" s="7">
        <f t="shared" si="265"/>
        <v>0</v>
      </c>
      <c r="K2438" s="7">
        <f t="shared" si="266"/>
        <v>1052230</v>
      </c>
      <c r="L2438" s="7">
        <f t="shared" si="266"/>
        <v>1286877</v>
      </c>
      <c r="M2438" s="4" t="s">
        <v>55</v>
      </c>
      <c r="N2438" s="6" t="s">
        <v>2237</v>
      </c>
      <c r="O2438" s="6" t="s">
        <v>55</v>
      </c>
      <c r="P2438" s="6" t="s">
        <v>55</v>
      </c>
      <c r="Q2438" s="6" t="s">
        <v>3672</v>
      </c>
      <c r="R2438" s="6" t="s">
        <v>56</v>
      </c>
      <c r="S2438" s="6" t="s">
        <v>56</v>
      </c>
      <c r="T2438" s="6" t="s">
        <v>57</v>
      </c>
      <c r="X2438">
        <v>1</v>
      </c>
      <c r="AR2438" s="6" t="s">
        <v>55</v>
      </c>
      <c r="AS2438" s="6" t="s">
        <v>55</v>
      </c>
      <c r="AU2438" s="6" t="s">
        <v>3675</v>
      </c>
      <c r="AV2438">
        <v>1017</v>
      </c>
    </row>
    <row r="2439" spans="1:48" ht="30" customHeight="1" x14ac:dyDescent="0.3">
      <c r="A2439" s="4" t="s">
        <v>2232</v>
      </c>
      <c r="B2439" s="4" t="s">
        <v>203</v>
      </c>
      <c r="C2439" s="4" t="s">
        <v>106</v>
      </c>
      <c r="D2439" s="5">
        <v>53.728999999999999</v>
      </c>
      <c r="E2439" s="7">
        <f>TRUNC([1]단가대비표!O47,0)</f>
        <v>1052230</v>
      </c>
      <c r="F2439" s="7">
        <f t="shared" si="263"/>
        <v>56535265</v>
      </c>
      <c r="G2439" s="7">
        <f>TRUNC([1]단가대비표!P47,0)</f>
        <v>0</v>
      </c>
      <c r="H2439" s="7">
        <f t="shared" si="264"/>
        <v>0</v>
      </c>
      <c r="I2439" s="7">
        <f>TRUNC([1]단가대비표!V47,0)</f>
        <v>0</v>
      </c>
      <c r="J2439" s="7">
        <f t="shared" si="265"/>
        <v>0</v>
      </c>
      <c r="K2439" s="7">
        <f t="shared" si="266"/>
        <v>1052230</v>
      </c>
      <c r="L2439" s="7">
        <f t="shared" si="266"/>
        <v>56535265</v>
      </c>
      <c r="M2439" s="4" t="s">
        <v>55</v>
      </c>
      <c r="N2439" s="6" t="s">
        <v>2241</v>
      </c>
      <c r="O2439" s="6" t="s">
        <v>55</v>
      </c>
      <c r="P2439" s="6" t="s">
        <v>55</v>
      </c>
      <c r="Q2439" s="6" t="s">
        <v>3672</v>
      </c>
      <c r="R2439" s="6" t="s">
        <v>56</v>
      </c>
      <c r="S2439" s="6" t="s">
        <v>56</v>
      </c>
      <c r="T2439" s="6" t="s">
        <v>57</v>
      </c>
      <c r="X2439">
        <v>1</v>
      </c>
      <c r="AR2439" s="6" t="s">
        <v>55</v>
      </c>
      <c r="AS2439" s="6" t="s">
        <v>55</v>
      </c>
      <c r="AU2439" s="6" t="s">
        <v>3676</v>
      </c>
      <c r="AV2439">
        <v>1018</v>
      </c>
    </row>
    <row r="2440" spans="1:48" ht="30" customHeight="1" x14ac:dyDescent="0.3">
      <c r="A2440" s="4" t="s">
        <v>2228</v>
      </c>
      <c r="B2440" s="4" t="s">
        <v>2229</v>
      </c>
      <c r="C2440" s="4" t="s">
        <v>92</v>
      </c>
      <c r="D2440" s="5">
        <v>1</v>
      </c>
      <c r="E2440" s="7">
        <f>ROUNDDOWN(SUMIF(X2436:X2455, RIGHTB(N2440, 1), F2436:F2455)*W2440, 0)</f>
        <v>603352</v>
      </c>
      <c r="F2440" s="7">
        <f t="shared" si="263"/>
        <v>603352</v>
      </c>
      <c r="G2440" s="7">
        <v>0</v>
      </c>
      <c r="H2440" s="7">
        <f t="shared" si="264"/>
        <v>0</v>
      </c>
      <c r="I2440" s="7">
        <v>0</v>
      </c>
      <c r="J2440" s="7">
        <f t="shared" si="265"/>
        <v>0</v>
      </c>
      <c r="K2440" s="7">
        <f t="shared" si="266"/>
        <v>603352</v>
      </c>
      <c r="L2440" s="7">
        <f t="shared" si="266"/>
        <v>603352</v>
      </c>
      <c r="M2440" s="4" t="s">
        <v>55</v>
      </c>
      <c r="N2440" s="6" t="s">
        <v>2230</v>
      </c>
      <c r="O2440" s="6" t="s">
        <v>55</v>
      </c>
      <c r="P2440" s="6" t="s">
        <v>55</v>
      </c>
      <c r="Q2440" s="6" t="s">
        <v>3672</v>
      </c>
      <c r="R2440" s="6" t="s">
        <v>56</v>
      </c>
      <c r="S2440" s="6" t="s">
        <v>56</v>
      </c>
      <c r="T2440" s="6" t="s">
        <v>56</v>
      </c>
      <c r="U2440">
        <v>0</v>
      </c>
      <c r="V2440">
        <v>0</v>
      </c>
      <c r="W2440">
        <v>5.4000000000000003E-3</v>
      </c>
      <c r="AR2440" s="6" t="s">
        <v>55</v>
      </c>
      <c r="AS2440" s="6" t="s">
        <v>55</v>
      </c>
      <c r="AU2440" s="6" t="s">
        <v>3677</v>
      </c>
      <c r="AV2440">
        <v>2134</v>
      </c>
    </row>
    <row r="2441" spans="1:48" ht="30" customHeight="1" x14ac:dyDescent="0.3">
      <c r="A2441" s="4" t="s">
        <v>2247</v>
      </c>
      <c r="B2441" s="4" t="s">
        <v>222</v>
      </c>
      <c r="C2441" s="4" t="s">
        <v>223</v>
      </c>
      <c r="D2441" s="5">
        <v>18</v>
      </c>
      <c r="E2441" s="7">
        <f>TRUNC([1]단가대비표!O84,0)</f>
        <v>77800</v>
      </c>
      <c r="F2441" s="7">
        <f t="shared" si="263"/>
        <v>1400400</v>
      </c>
      <c r="G2441" s="7">
        <f>TRUNC([1]단가대비표!P84,0)</f>
        <v>0</v>
      </c>
      <c r="H2441" s="7">
        <f t="shared" si="264"/>
        <v>0</v>
      </c>
      <c r="I2441" s="7">
        <f>TRUNC([1]단가대비표!V84,0)</f>
        <v>0</v>
      </c>
      <c r="J2441" s="7">
        <f t="shared" si="265"/>
        <v>0</v>
      </c>
      <c r="K2441" s="7">
        <f t="shared" si="266"/>
        <v>77800</v>
      </c>
      <c r="L2441" s="7">
        <f t="shared" si="266"/>
        <v>1400400</v>
      </c>
      <c r="M2441" s="4" t="s">
        <v>55</v>
      </c>
      <c r="N2441" s="6" t="s">
        <v>2248</v>
      </c>
      <c r="O2441" s="6" t="s">
        <v>55</v>
      </c>
      <c r="P2441" s="6" t="s">
        <v>55</v>
      </c>
      <c r="Q2441" s="6" t="s">
        <v>3672</v>
      </c>
      <c r="R2441" s="6" t="s">
        <v>56</v>
      </c>
      <c r="S2441" s="6" t="s">
        <v>56</v>
      </c>
      <c r="T2441" s="6" t="s">
        <v>57</v>
      </c>
      <c r="Y2441">
        <v>2</v>
      </c>
      <c r="AR2441" s="6" t="s">
        <v>55</v>
      </c>
      <c r="AS2441" s="6" t="s">
        <v>55</v>
      </c>
      <c r="AU2441" s="6" t="s">
        <v>3678</v>
      </c>
      <c r="AV2441">
        <v>1019</v>
      </c>
    </row>
    <row r="2442" spans="1:48" ht="30" customHeight="1" x14ac:dyDescent="0.3">
      <c r="A2442" s="4" t="s">
        <v>2247</v>
      </c>
      <c r="B2442" s="4" t="s">
        <v>226</v>
      </c>
      <c r="C2442" s="4" t="s">
        <v>223</v>
      </c>
      <c r="D2442" s="5">
        <v>59</v>
      </c>
      <c r="E2442" s="7">
        <f>TRUNC([1]단가대비표!O85,0)</f>
        <v>78180</v>
      </c>
      <c r="F2442" s="7">
        <f t="shared" si="263"/>
        <v>4612620</v>
      </c>
      <c r="G2442" s="7">
        <f>TRUNC([1]단가대비표!P85,0)</f>
        <v>0</v>
      </c>
      <c r="H2442" s="7">
        <f t="shared" si="264"/>
        <v>0</v>
      </c>
      <c r="I2442" s="7">
        <f>TRUNC([1]단가대비표!V85,0)</f>
        <v>0</v>
      </c>
      <c r="J2442" s="7">
        <f t="shared" si="265"/>
        <v>0</v>
      </c>
      <c r="K2442" s="7">
        <f t="shared" si="266"/>
        <v>78180</v>
      </c>
      <c r="L2442" s="7">
        <f t="shared" si="266"/>
        <v>4612620</v>
      </c>
      <c r="M2442" s="4" t="s">
        <v>55</v>
      </c>
      <c r="N2442" s="6" t="s">
        <v>2250</v>
      </c>
      <c r="O2442" s="6" t="s">
        <v>55</v>
      </c>
      <c r="P2442" s="6" t="s">
        <v>55</v>
      </c>
      <c r="Q2442" s="6" t="s">
        <v>3672</v>
      </c>
      <c r="R2442" s="6" t="s">
        <v>56</v>
      </c>
      <c r="S2442" s="6" t="s">
        <v>56</v>
      </c>
      <c r="T2442" s="6" t="s">
        <v>57</v>
      </c>
      <c r="Y2442">
        <v>2</v>
      </c>
      <c r="AR2442" s="6" t="s">
        <v>55</v>
      </c>
      <c r="AS2442" s="6" t="s">
        <v>55</v>
      </c>
      <c r="AU2442" s="6" t="s">
        <v>3679</v>
      </c>
      <c r="AV2442">
        <v>1020</v>
      </c>
    </row>
    <row r="2443" spans="1:48" ht="30" customHeight="1" x14ac:dyDescent="0.3">
      <c r="A2443" s="4" t="s">
        <v>2247</v>
      </c>
      <c r="B2443" s="4" t="s">
        <v>229</v>
      </c>
      <c r="C2443" s="4" t="s">
        <v>223</v>
      </c>
      <c r="D2443" s="5">
        <v>894</v>
      </c>
      <c r="E2443" s="7">
        <f>TRUNC([1]단가대비표!O86,0)</f>
        <v>90400</v>
      </c>
      <c r="F2443" s="7">
        <f t="shared" si="263"/>
        <v>80817600</v>
      </c>
      <c r="G2443" s="7">
        <f>TRUNC([1]단가대비표!P86,0)</f>
        <v>0</v>
      </c>
      <c r="H2443" s="7">
        <f t="shared" si="264"/>
        <v>0</v>
      </c>
      <c r="I2443" s="7">
        <f>TRUNC([1]단가대비표!V86,0)</f>
        <v>0</v>
      </c>
      <c r="J2443" s="7">
        <f t="shared" si="265"/>
        <v>0</v>
      </c>
      <c r="K2443" s="7">
        <f t="shared" si="266"/>
        <v>90400</v>
      </c>
      <c r="L2443" s="7">
        <f t="shared" si="266"/>
        <v>80817600</v>
      </c>
      <c r="M2443" s="4" t="s">
        <v>55</v>
      </c>
      <c r="N2443" s="6" t="s">
        <v>2252</v>
      </c>
      <c r="O2443" s="6" t="s">
        <v>55</v>
      </c>
      <c r="P2443" s="6" t="s">
        <v>55</v>
      </c>
      <c r="Q2443" s="6" t="s">
        <v>3672</v>
      </c>
      <c r="R2443" s="6" t="s">
        <v>56</v>
      </c>
      <c r="S2443" s="6" t="s">
        <v>56</v>
      </c>
      <c r="T2443" s="6" t="s">
        <v>57</v>
      </c>
      <c r="Y2443">
        <v>2</v>
      </c>
      <c r="AR2443" s="6" t="s">
        <v>55</v>
      </c>
      <c r="AS2443" s="6" t="s">
        <v>55</v>
      </c>
      <c r="AU2443" s="6" t="s">
        <v>3680</v>
      </c>
      <c r="AV2443">
        <v>1022</v>
      </c>
    </row>
    <row r="2444" spans="1:48" ht="30" customHeight="1" x14ac:dyDescent="0.3">
      <c r="A2444" s="4" t="s">
        <v>2228</v>
      </c>
      <c r="B2444" s="4" t="s">
        <v>2229</v>
      </c>
      <c r="C2444" s="4" t="s">
        <v>92</v>
      </c>
      <c r="D2444" s="5">
        <v>1</v>
      </c>
      <c r="E2444" s="7">
        <f>ROUNDDOWN(SUMIF(Y2436:Y2455, RIGHTB(N2444, 1), F2436:F2455)*W2444, 0)</f>
        <v>468885</v>
      </c>
      <c r="F2444" s="7">
        <f t="shared" si="263"/>
        <v>468885</v>
      </c>
      <c r="G2444" s="7">
        <v>0</v>
      </c>
      <c r="H2444" s="7">
        <f t="shared" si="264"/>
        <v>0</v>
      </c>
      <c r="I2444" s="7">
        <v>0</v>
      </c>
      <c r="J2444" s="7">
        <f t="shared" si="265"/>
        <v>0</v>
      </c>
      <c r="K2444" s="7">
        <f t="shared" si="266"/>
        <v>468885</v>
      </c>
      <c r="L2444" s="7">
        <f t="shared" si="266"/>
        <v>468885</v>
      </c>
      <c r="M2444" s="4" t="s">
        <v>55</v>
      </c>
      <c r="N2444" s="6" t="s">
        <v>2245</v>
      </c>
      <c r="O2444" s="6" t="s">
        <v>55</v>
      </c>
      <c r="P2444" s="6" t="s">
        <v>55</v>
      </c>
      <c r="Q2444" s="6" t="s">
        <v>3672</v>
      </c>
      <c r="R2444" s="6" t="s">
        <v>56</v>
      </c>
      <c r="S2444" s="6" t="s">
        <v>56</v>
      </c>
      <c r="T2444" s="6" t="s">
        <v>56</v>
      </c>
      <c r="U2444">
        <v>0</v>
      </c>
      <c r="V2444">
        <v>0</v>
      </c>
      <c r="W2444">
        <v>5.4000000000000003E-3</v>
      </c>
      <c r="AR2444" s="6" t="s">
        <v>55</v>
      </c>
      <c r="AS2444" s="6" t="s">
        <v>55</v>
      </c>
      <c r="AU2444" s="6" t="s">
        <v>3681</v>
      </c>
      <c r="AV2444">
        <v>2135</v>
      </c>
    </row>
    <row r="2445" spans="1:48" ht="30" customHeight="1" x14ac:dyDescent="0.3">
      <c r="A2445" s="4" t="s">
        <v>2221</v>
      </c>
      <c r="B2445" s="4" t="s">
        <v>319</v>
      </c>
      <c r="C2445" s="4" t="s">
        <v>140</v>
      </c>
      <c r="D2445" s="5">
        <v>91</v>
      </c>
      <c r="E2445" s="7">
        <f>TRUNC([1]단가대비표!O482,0)</f>
        <v>33500</v>
      </c>
      <c r="F2445" s="7">
        <f t="shared" si="263"/>
        <v>3048500</v>
      </c>
      <c r="G2445" s="7">
        <f>TRUNC([1]단가대비표!P482,0)</f>
        <v>0</v>
      </c>
      <c r="H2445" s="7">
        <f t="shared" si="264"/>
        <v>0</v>
      </c>
      <c r="I2445" s="7">
        <f>TRUNC([1]단가대비표!V482,0)</f>
        <v>0</v>
      </c>
      <c r="J2445" s="7">
        <f t="shared" si="265"/>
        <v>0</v>
      </c>
      <c r="K2445" s="7">
        <f t="shared" si="266"/>
        <v>33500</v>
      </c>
      <c r="L2445" s="7">
        <f t="shared" si="266"/>
        <v>3048500</v>
      </c>
      <c r="M2445" s="4" t="s">
        <v>320</v>
      </c>
      <c r="N2445" s="6" t="s">
        <v>3682</v>
      </c>
      <c r="O2445" s="6" t="s">
        <v>55</v>
      </c>
      <c r="P2445" s="6" t="s">
        <v>55</v>
      </c>
      <c r="Q2445" s="6" t="s">
        <v>3672</v>
      </c>
      <c r="R2445" s="6" t="s">
        <v>56</v>
      </c>
      <c r="S2445" s="6" t="s">
        <v>56</v>
      </c>
      <c r="T2445" s="6" t="s">
        <v>57</v>
      </c>
      <c r="Z2445">
        <v>3</v>
      </c>
      <c r="AR2445" s="6" t="s">
        <v>55</v>
      </c>
      <c r="AS2445" s="6" t="s">
        <v>55</v>
      </c>
      <c r="AU2445" s="6" t="s">
        <v>3683</v>
      </c>
      <c r="AV2445">
        <v>1678</v>
      </c>
    </row>
    <row r="2446" spans="1:48" ht="30" customHeight="1" x14ac:dyDescent="0.3">
      <c r="A2446" s="4" t="s">
        <v>2228</v>
      </c>
      <c r="B2446" s="4" t="s">
        <v>2229</v>
      </c>
      <c r="C2446" s="4" t="s">
        <v>92</v>
      </c>
      <c r="D2446" s="5">
        <v>1</v>
      </c>
      <c r="E2446" s="7">
        <f>ROUNDDOWN(SUMIF(Z2436:Z2455, RIGHTB(N2446, 1), F2436:F2455)*W2446, 0)</f>
        <v>16461</v>
      </c>
      <c r="F2446" s="7">
        <f t="shared" si="263"/>
        <v>16461</v>
      </c>
      <c r="G2446" s="7">
        <v>0</v>
      </c>
      <c r="H2446" s="7">
        <f t="shared" si="264"/>
        <v>0</v>
      </c>
      <c r="I2446" s="7">
        <v>0</v>
      </c>
      <c r="J2446" s="7">
        <f t="shared" si="265"/>
        <v>0</v>
      </c>
      <c r="K2446" s="7">
        <f t="shared" si="266"/>
        <v>16461</v>
      </c>
      <c r="L2446" s="7">
        <f t="shared" si="266"/>
        <v>16461</v>
      </c>
      <c r="M2446" s="4" t="s">
        <v>55</v>
      </c>
      <c r="N2446" s="6" t="s">
        <v>2254</v>
      </c>
      <c r="O2446" s="6" t="s">
        <v>55</v>
      </c>
      <c r="P2446" s="6" t="s">
        <v>55</v>
      </c>
      <c r="Q2446" s="6" t="s">
        <v>3672</v>
      </c>
      <c r="R2446" s="6" t="s">
        <v>56</v>
      </c>
      <c r="S2446" s="6" t="s">
        <v>56</v>
      </c>
      <c r="T2446" s="6" t="s">
        <v>56</v>
      </c>
      <c r="U2446">
        <v>0</v>
      </c>
      <c r="V2446">
        <v>0</v>
      </c>
      <c r="W2446">
        <v>5.4000000000000003E-3</v>
      </c>
      <c r="AR2446" s="6" t="s">
        <v>55</v>
      </c>
      <c r="AS2446" s="6" t="s">
        <v>55</v>
      </c>
      <c r="AU2446" s="6" t="s">
        <v>3684</v>
      </c>
      <c r="AV2446">
        <v>2136</v>
      </c>
    </row>
    <row r="2447" spans="1:48" ht="30" customHeight="1" x14ac:dyDescent="0.3">
      <c r="A2447" s="4" t="s">
        <v>2256</v>
      </c>
      <c r="B2447" s="4" t="s">
        <v>2257</v>
      </c>
      <c r="C2447" s="4" t="s">
        <v>2258</v>
      </c>
      <c r="D2447" s="5">
        <v>39978.792000000001</v>
      </c>
      <c r="E2447" s="7">
        <f>TRUNC([1]단가대비표!O99,0)</f>
        <v>50</v>
      </c>
      <c r="F2447" s="7">
        <f t="shared" si="263"/>
        <v>1998939</v>
      </c>
      <c r="G2447" s="7">
        <f>TRUNC([1]단가대비표!P99,0)</f>
        <v>0</v>
      </c>
      <c r="H2447" s="7">
        <f t="shared" si="264"/>
        <v>0</v>
      </c>
      <c r="I2447" s="7">
        <f>TRUNC([1]단가대비표!V99,0)</f>
        <v>0</v>
      </c>
      <c r="J2447" s="7">
        <f t="shared" si="265"/>
        <v>0</v>
      </c>
      <c r="K2447" s="7">
        <f t="shared" si="266"/>
        <v>50</v>
      </c>
      <c r="L2447" s="7">
        <f t="shared" si="266"/>
        <v>1998939</v>
      </c>
      <c r="M2447" s="4" t="s">
        <v>2259</v>
      </c>
      <c r="N2447" s="6" t="s">
        <v>2260</v>
      </c>
      <c r="O2447" s="6" t="s">
        <v>55</v>
      </c>
      <c r="P2447" s="6" t="s">
        <v>55</v>
      </c>
      <c r="Q2447" s="6" t="s">
        <v>3672</v>
      </c>
      <c r="R2447" s="6" t="s">
        <v>56</v>
      </c>
      <c r="S2447" s="6" t="s">
        <v>56</v>
      </c>
      <c r="T2447" s="6" t="s">
        <v>57</v>
      </c>
      <c r="AA2447">
        <v>4</v>
      </c>
      <c r="AR2447" s="6" t="s">
        <v>55</v>
      </c>
      <c r="AS2447" s="6" t="s">
        <v>55</v>
      </c>
      <c r="AU2447" s="6" t="s">
        <v>3685</v>
      </c>
      <c r="AV2447">
        <v>1037</v>
      </c>
    </row>
    <row r="2448" spans="1:48" ht="30" customHeight="1" x14ac:dyDescent="0.3">
      <c r="A2448" s="4" t="s">
        <v>2228</v>
      </c>
      <c r="B2448" s="4" t="s">
        <v>2229</v>
      </c>
      <c r="C2448" s="4" t="s">
        <v>92</v>
      </c>
      <c r="D2448" s="5">
        <v>1</v>
      </c>
      <c r="E2448" s="7">
        <f>ROUNDDOWN(SUMIF(AA2436:AA2455, RIGHTB(N2448, 1), F2436:F2455)*W2448, 0)</f>
        <v>10794</v>
      </c>
      <c r="F2448" s="7">
        <f t="shared" si="263"/>
        <v>10794</v>
      </c>
      <c r="G2448" s="7">
        <v>0</v>
      </c>
      <c r="H2448" s="7">
        <f t="shared" si="264"/>
        <v>0</v>
      </c>
      <c r="I2448" s="7">
        <v>0</v>
      </c>
      <c r="J2448" s="7">
        <f t="shared" si="265"/>
        <v>0</v>
      </c>
      <c r="K2448" s="7">
        <f t="shared" si="266"/>
        <v>10794</v>
      </c>
      <c r="L2448" s="7">
        <f t="shared" si="266"/>
        <v>10794</v>
      </c>
      <c r="M2448" s="4" t="s">
        <v>55</v>
      </c>
      <c r="N2448" s="6" t="s">
        <v>2262</v>
      </c>
      <c r="O2448" s="6" t="s">
        <v>55</v>
      </c>
      <c r="P2448" s="6" t="s">
        <v>55</v>
      </c>
      <c r="Q2448" s="6" t="s">
        <v>3672</v>
      </c>
      <c r="R2448" s="6" t="s">
        <v>56</v>
      </c>
      <c r="S2448" s="6" t="s">
        <v>56</v>
      </c>
      <c r="T2448" s="6" t="s">
        <v>56</v>
      </c>
      <c r="U2448">
        <v>0</v>
      </c>
      <c r="V2448">
        <v>0</v>
      </c>
      <c r="W2448">
        <v>5.4000000000000003E-3</v>
      </c>
      <c r="AR2448" s="6" t="s">
        <v>55</v>
      </c>
      <c r="AS2448" s="6" t="s">
        <v>55</v>
      </c>
      <c r="AU2448" s="6" t="s">
        <v>3686</v>
      </c>
      <c r="AV2448">
        <v>2484</v>
      </c>
    </row>
    <row r="2449" spans="1:48" ht="30" customHeight="1" x14ac:dyDescent="0.3">
      <c r="A2449" s="4" t="s">
        <v>2264</v>
      </c>
      <c r="B2449" s="4" t="s">
        <v>2178</v>
      </c>
      <c r="C2449" s="4" t="s">
        <v>856</v>
      </c>
      <c r="D2449" s="5">
        <v>2596</v>
      </c>
      <c r="E2449" s="7">
        <f>TRUNC([1]단가대비표!O93,0)</f>
        <v>5330</v>
      </c>
      <c r="F2449" s="7">
        <f t="shared" si="263"/>
        <v>13836680</v>
      </c>
      <c r="G2449" s="7">
        <f>TRUNC([1]단가대비표!P93,0)</f>
        <v>0</v>
      </c>
      <c r="H2449" s="7">
        <f t="shared" si="264"/>
        <v>0</v>
      </c>
      <c r="I2449" s="7">
        <f>TRUNC([1]단가대비표!V93,0)</f>
        <v>0</v>
      </c>
      <c r="J2449" s="7">
        <f t="shared" si="265"/>
        <v>0</v>
      </c>
      <c r="K2449" s="7">
        <f t="shared" si="266"/>
        <v>5330</v>
      </c>
      <c r="L2449" s="7">
        <f t="shared" si="266"/>
        <v>13836680</v>
      </c>
      <c r="M2449" s="4" t="s">
        <v>55</v>
      </c>
      <c r="N2449" s="6" t="s">
        <v>2265</v>
      </c>
      <c r="O2449" s="6" t="s">
        <v>55</v>
      </c>
      <c r="P2449" s="6" t="s">
        <v>55</v>
      </c>
      <c r="Q2449" s="6" t="s">
        <v>3672</v>
      </c>
      <c r="R2449" s="6" t="s">
        <v>56</v>
      </c>
      <c r="S2449" s="6" t="s">
        <v>56</v>
      </c>
      <c r="T2449" s="6" t="s">
        <v>57</v>
      </c>
      <c r="AB2449">
        <v>5</v>
      </c>
      <c r="AR2449" s="6" t="s">
        <v>55</v>
      </c>
      <c r="AS2449" s="6" t="s">
        <v>55</v>
      </c>
      <c r="AU2449" s="6" t="s">
        <v>3687</v>
      </c>
      <c r="AV2449">
        <v>2473</v>
      </c>
    </row>
    <row r="2450" spans="1:48" ht="30" customHeight="1" x14ac:dyDescent="0.3">
      <c r="A2450" s="4" t="s">
        <v>2228</v>
      </c>
      <c r="B2450" s="4" t="s">
        <v>2229</v>
      </c>
      <c r="C2450" s="4" t="s">
        <v>92</v>
      </c>
      <c r="D2450" s="5">
        <v>1</v>
      </c>
      <c r="E2450" s="7">
        <f>ROUNDDOWN(SUMIF(AB2436:AB2455, RIGHTB(N2450, 1), F2436:F2455)*W2450, 0)</f>
        <v>74718</v>
      </c>
      <c r="F2450" s="7">
        <f t="shared" si="263"/>
        <v>74718</v>
      </c>
      <c r="G2450" s="7">
        <v>0</v>
      </c>
      <c r="H2450" s="7">
        <f t="shared" si="264"/>
        <v>0</v>
      </c>
      <c r="I2450" s="7">
        <v>0</v>
      </c>
      <c r="J2450" s="7">
        <f t="shared" si="265"/>
        <v>0</v>
      </c>
      <c r="K2450" s="7">
        <f t="shared" si="266"/>
        <v>74718</v>
      </c>
      <c r="L2450" s="7">
        <f t="shared" si="266"/>
        <v>74718</v>
      </c>
      <c r="M2450" s="4" t="s">
        <v>55</v>
      </c>
      <c r="N2450" s="6" t="s">
        <v>2267</v>
      </c>
      <c r="O2450" s="6" t="s">
        <v>55</v>
      </c>
      <c r="P2450" s="6" t="s">
        <v>55</v>
      </c>
      <c r="Q2450" s="6" t="s">
        <v>3672</v>
      </c>
      <c r="R2450" s="6" t="s">
        <v>56</v>
      </c>
      <c r="S2450" s="6" t="s">
        <v>56</v>
      </c>
      <c r="T2450" s="6" t="s">
        <v>56</v>
      </c>
      <c r="U2450">
        <v>0</v>
      </c>
      <c r="V2450">
        <v>0</v>
      </c>
      <c r="W2450">
        <v>5.4000000000000003E-3</v>
      </c>
      <c r="AR2450" s="6" t="s">
        <v>55</v>
      </c>
      <c r="AS2450" s="6" t="s">
        <v>55</v>
      </c>
      <c r="AU2450" s="6" t="s">
        <v>3688</v>
      </c>
      <c r="AV2450">
        <v>2901</v>
      </c>
    </row>
    <row r="2451" spans="1:48" ht="30" customHeight="1" x14ac:dyDescent="0.3">
      <c r="A2451" s="4" t="s">
        <v>2281</v>
      </c>
      <c r="B2451" s="4" t="s">
        <v>2619</v>
      </c>
      <c r="C2451" s="4" t="s">
        <v>61</v>
      </c>
      <c r="D2451" s="5">
        <v>25</v>
      </c>
      <c r="E2451" s="7">
        <f>TRUNC([1]단가대비표!O101,0)</f>
        <v>54450</v>
      </c>
      <c r="F2451" s="7">
        <f t="shared" si="263"/>
        <v>1361250</v>
      </c>
      <c r="G2451" s="7">
        <f>TRUNC([1]단가대비표!P101,0)</f>
        <v>0</v>
      </c>
      <c r="H2451" s="7">
        <f t="shared" si="264"/>
        <v>0</v>
      </c>
      <c r="I2451" s="7">
        <f>TRUNC([1]단가대비표!V101,0)</f>
        <v>0</v>
      </c>
      <c r="J2451" s="7">
        <f t="shared" si="265"/>
        <v>0</v>
      </c>
      <c r="K2451" s="7">
        <f t="shared" si="266"/>
        <v>54450</v>
      </c>
      <c r="L2451" s="7">
        <f t="shared" si="266"/>
        <v>1361250</v>
      </c>
      <c r="M2451" s="4" t="s">
        <v>55</v>
      </c>
      <c r="N2451" s="6" t="s">
        <v>2620</v>
      </c>
      <c r="O2451" s="6" t="s">
        <v>55</v>
      </c>
      <c r="P2451" s="6" t="s">
        <v>55</v>
      </c>
      <c r="Q2451" s="6" t="s">
        <v>3672</v>
      </c>
      <c r="R2451" s="6" t="s">
        <v>56</v>
      </c>
      <c r="S2451" s="6" t="s">
        <v>56</v>
      </c>
      <c r="T2451" s="6" t="s">
        <v>57</v>
      </c>
      <c r="AC2451">
        <v>6</v>
      </c>
      <c r="AR2451" s="6" t="s">
        <v>55</v>
      </c>
      <c r="AS2451" s="6" t="s">
        <v>55</v>
      </c>
      <c r="AU2451" s="6" t="s">
        <v>3689</v>
      </c>
      <c r="AV2451">
        <v>3384</v>
      </c>
    </row>
    <row r="2452" spans="1:48" ht="30" customHeight="1" x14ac:dyDescent="0.3">
      <c r="A2452" s="4" t="s">
        <v>2281</v>
      </c>
      <c r="B2452" s="4" t="s">
        <v>3690</v>
      </c>
      <c r="C2452" s="4" t="s">
        <v>61</v>
      </c>
      <c r="D2452" s="5">
        <v>3</v>
      </c>
      <c r="E2452" s="7">
        <f>TRUNC([1]단가대비표!O100,0)</f>
        <v>51810</v>
      </c>
      <c r="F2452" s="7">
        <f t="shared" si="263"/>
        <v>155430</v>
      </c>
      <c r="G2452" s="7">
        <f>TRUNC([1]단가대비표!P100,0)</f>
        <v>0</v>
      </c>
      <c r="H2452" s="7">
        <f t="shared" si="264"/>
        <v>0</v>
      </c>
      <c r="I2452" s="7">
        <f>TRUNC([1]단가대비표!V100,0)</f>
        <v>0</v>
      </c>
      <c r="J2452" s="7">
        <f t="shared" si="265"/>
        <v>0</v>
      </c>
      <c r="K2452" s="7">
        <f t="shared" si="266"/>
        <v>51810</v>
      </c>
      <c r="L2452" s="7">
        <f t="shared" si="266"/>
        <v>155430</v>
      </c>
      <c r="M2452" s="4" t="s">
        <v>55</v>
      </c>
      <c r="N2452" s="6" t="s">
        <v>3691</v>
      </c>
      <c r="O2452" s="6" t="s">
        <v>55</v>
      </c>
      <c r="P2452" s="6" t="s">
        <v>55</v>
      </c>
      <c r="Q2452" s="6" t="s">
        <v>3672</v>
      </c>
      <c r="R2452" s="6" t="s">
        <v>56</v>
      </c>
      <c r="S2452" s="6" t="s">
        <v>56</v>
      </c>
      <c r="T2452" s="6" t="s">
        <v>57</v>
      </c>
      <c r="AC2452">
        <v>6</v>
      </c>
      <c r="AR2452" s="6" t="s">
        <v>55</v>
      </c>
      <c r="AS2452" s="6" t="s">
        <v>55</v>
      </c>
      <c r="AU2452" s="6" t="s">
        <v>3692</v>
      </c>
      <c r="AV2452">
        <v>3385</v>
      </c>
    </row>
    <row r="2453" spans="1:48" ht="30" customHeight="1" x14ac:dyDescent="0.3">
      <c r="A2453" s="4" t="s">
        <v>2228</v>
      </c>
      <c r="B2453" s="4" t="s">
        <v>2229</v>
      </c>
      <c r="C2453" s="4" t="s">
        <v>92</v>
      </c>
      <c r="D2453" s="5">
        <v>1</v>
      </c>
      <c r="E2453" s="7">
        <f>ROUNDDOWN(SUMIF(AC2436:AC2455, RIGHTB(N2453, 1), F2436:F2455)*W2453, 0)</f>
        <v>8190</v>
      </c>
      <c r="F2453" s="7">
        <f t="shared" si="263"/>
        <v>8190</v>
      </c>
      <c r="G2453" s="7">
        <v>0</v>
      </c>
      <c r="H2453" s="7">
        <f t="shared" si="264"/>
        <v>0</v>
      </c>
      <c r="I2453" s="7">
        <v>0</v>
      </c>
      <c r="J2453" s="7">
        <f t="shared" si="265"/>
        <v>0</v>
      </c>
      <c r="K2453" s="7">
        <f t="shared" si="266"/>
        <v>8190</v>
      </c>
      <c r="L2453" s="7">
        <f t="shared" si="266"/>
        <v>8190</v>
      </c>
      <c r="M2453" s="4" t="s">
        <v>55</v>
      </c>
      <c r="N2453" s="6" t="s">
        <v>2273</v>
      </c>
      <c r="O2453" s="6" t="s">
        <v>55</v>
      </c>
      <c r="P2453" s="6" t="s">
        <v>55</v>
      </c>
      <c r="Q2453" s="6" t="s">
        <v>3672</v>
      </c>
      <c r="R2453" s="6" t="s">
        <v>56</v>
      </c>
      <c r="S2453" s="6" t="s">
        <v>56</v>
      </c>
      <c r="T2453" s="6" t="s">
        <v>56</v>
      </c>
      <c r="U2453">
        <v>0</v>
      </c>
      <c r="V2453">
        <v>0</v>
      </c>
      <c r="W2453">
        <v>5.4000000000000003E-3</v>
      </c>
      <c r="AR2453" s="6" t="s">
        <v>55</v>
      </c>
      <c r="AS2453" s="6" t="s">
        <v>55</v>
      </c>
      <c r="AU2453" s="6" t="s">
        <v>3693</v>
      </c>
      <c r="AV2453">
        <v>3397</v>
      </c>
    </row>
    <row r="2454" spans="1:48" ht="30" customHeight="1" x14ac:dyDescent="0.3">
      <c r="A2454" s="4" t="s">
        <v>2275</v>
      </c>
      <c r="B2454" s="4" t="s">
        <v>2276</v>
      </c>
      <c r="C2454" s="4" t="s">
        <v>61</v>
      </c>
      <c r="D2454" s="5">
        <v>338</v>
      </c>
      <c r="E2454" s="7">
        <f>TRUNC([1]단가대비표!O107,0)</f>
        <v>10800</v>
      </c>
      <c r="F2454" s="7">
        <f t="shared" si="263"/>
        <v>3650400</v>
      </c>
      <c r="G2454" s="7">
        <f>TRUNC([1]단가대비표!P107,0)</f>
        <v>0</v>
      </c>
      <c r="H2454" s="7">
        <f t="shared" si="264"/>
        <v>0</v>
      </c>
      <c r="I2454" s="7">
        <f>TRUNC([1]단가대비표!V107,0)</f>
        <v>0</v>
      </c>
      <c r="J2454" s="7">
        <f t="shared" si="265"/>
        <v>0</v>
      </c>
      <c r="K2454" s="7">
        <f t="shared" si="266"/>
        <v>10800</v>
      </c>
      <c r="L2454" s="7">
        <f t="shared" si="266"/>
        <v>3650400</v>
      </c>
      <c r="M2454" s="4" t="s">
        <v>55</v>
      </c>
      <c r="N2454" s="6" t="s">
        <v>2277</v>
      </c>
      <c r="O2454" s="6" t="s">
        <v>55</v>
      </c>
      <c r="P2454" s="6" t="s">
        <v>55</v>
      </c>
      <c r="Q2454" s="6" t="s">
        <v>3672</v>
      </c>
      <c r="R2454" s="6" t="s">
        <v>56</v>
      </c>
      <c r="S2454" s="6" t="s">
        <v>56</v>
      </c>
      <c r="T2454" s="6" t="s">
        <v>57</v>
      </c>
      <c r="AD2454">
        <v>7</v>
      </c>
      <c r="AR2454" s="6" t="s">
        <v>55</v>
      </c>
      <c r="AS2454" s="6" t="s">
        <v>55</v>
      </c>
      <c r="AU2454" s="6" t="s">
        <v>3694</v>
      </c>
      <c r="AV2454">
        <v>3386</v>
      </c>
    </row>
    <row r="2455" spans="1:48" ht="30" customHeight="1" x14ac:dyDescent="0.3">
      <c r="A2455" s="4" t="s">
        <v>2228</v>
      </c>
      <c r="B2455" s="4" t="s">
        <v>2229</v>
      </c>
      <c r="C2455" s="4" t="s">
        <v>92</v>
      </c>
      <c r="D2455" s="5">
        <v>1</v>
      </c>
      <c r="E2455" s="7">
        <f>ROUNDDOWN(SUMIF(AD2436:AD2455, RIGHTB(N2455, 1), F2436:F2455)*W2455, 0)</f>
        <v>19712</v>
      </c>
      <c r="F2455" s="7">
        <f t="shared" si="263"/>
        <v>19712</v>
      </c>
      <c r="G2455" s="7">
        <v>0</v>
      </c>
      <c r="H2455" s="7">
        <f t="shared" si="264"/>
        <v>0</v>
      </c>
      <c r="I2455" s="7">
        <v>0</v>
      </c>
      <c r="J2455" s="7">
        <f t="shared" si="265"/>
        <v>0</v>
      </c>
      <c r="K2455" s="7">
        <f t="shared" si="266"/>
        <v>19712</v>
      </c>
      <c r="L2455" s="7">
        <f t="shared" si="266"/>
        <v>19712</v>
      </c>
      <c r="M2455" s="4" t="s">
        <v>55</v>
      </c>
      <c r="N2455" s="6" t="s">
        <v>2279</v>
      </c>
      <c r="O2455" s="6" t="s">
        <v>55</v>
      </c>
      <c r="P2455" s="6" t="s">
        <v>55</v>
      </c>
      <c r="Q2455" s="6" t="s">
        <v>3672</v>
      </c>
      <c r="R2455" s="6" t="s">
        <v>56</v>
      </c>
      <c r="S2455" s="6" t="s">
        <v>56</v>
      </c>
      <c r="T2455" s="6" t="s">
        <v>56</v>
      </c>
      <c r="U2455">
        <v>0</v>
      </c>
      <c r="V2455">
        <v>0</v>
      </c>
      <c r="W2455">
        <v>5.4000000000000003E-3</v>
      </c>
      <c r="AR2455" s="6" t="s">
        <v>55</v>
      </c>
      <c r="AS2455" s="6" t="s">
        <v>55</v>
      </c>
      <c r="AU2455" s="6" t="s">
        <v>3695</v>
      </c>
      <c r="AV2455">
        <v>3398</v>
      </c>
    </row>
    <row r="2456" spans="1:48" ht="30" customHeight="1" x14ac:dyDescent="0.3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</row>
    <row r="2457" spans="1:48" ht="30" customHeight="1" x14ac:dyDescent="0.3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</row>
    <row r="2458" spans="1:48" ht="30" customHeight="1" x14ac:dyDescent="0.3">
      <c r="A2458" s="4" t="s">
        <v>128</v>
      </c>
      <c r="B2458" s="5"/>
      <c r="C2458" s="5"/>
      <c r="D2458" s="5"/>
      <c r="E2458" s="5"/>
      <c r="F2458" s="7">
        <f>SUM(F2436:F2457)</f>
        <v>223815855</v>
      </c>
      <c r="G2458" s="5"/>
      <c r="H2458" s="7">
        <f>SUM(H2436:H2457)</f>
        <v>0</v>
      </c>
      <c r="I2458" s="5"/>
      <c r="J2458" s="7">
        <f>SUM(J2436:J2457)</f>
        <v>0</v>
      </c>
      <c r="K2458" s="5"/>
      <c r="L2458" s="7">
        <f>SUM(L2436:L2457)</f>
        <v>223815855</v>
      </c>
      <c r="M2458" s="5"/>
      <c r="N2458" t="s">
        <v>129</v>
      </c>
    </row>
  </sheetData>
  <mergeCells count="45">
    <mergeCell ref="AR2:AR3"/>
    <mergeCell ref="AS2:AS3"/>
    <mergeCell ref="AT2:AT3"/>
    <mergeCell ref="AU2:AU3"/>
    <mergeCell ref="AV2:AV3"/>
    <mergeCell ref="AL2:AL3"/>
    <mergeCell ref="AM2:AM3"/>
    <mergeCell ref="AN2:AN3"/>
    <mergeCell ref="AO2:AO3"/>
    <mergeCell ref="AP2:AP3"/>
    <mergeCell ref="AQ2:AQ3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T2:T3"/>
    <mergeCell ref="U2:U3"/>
    <mergeCell ref="V2:V3"/>
    <mergeCell ref="W2:W3"/>
    <mergeCell ref="X2:X3"/>
    <mergeCell ref="Y2:Y3"/>
    <mergeCell ref="N2:N3"/>
    <mergeCell ref="O2:O3"/>
    <mergeCell ref="P2:P3"/>
    <mergeCell ref="Q2:Q3"/>
    <mergeCell ref="R2:R3"/>
    <mergeCell ref="S2:S3"/>
    <mergeCell ref="A1:M1"/>
    <mergeCell ref="A2:A3"/>
    <mergeCell ref="B2:B3"/>
    <mergeCell ref="C2:C3"/>
    <mergeCell ref="D2:D3"/>
    <mergeCell ref="E2:F2"/>
    <mergeCell ref="G2:H2"/>
    <mergeCell ref="I2:J2"/>
    <mergeCell ref="K2:L2"/>
    <mergeCell ref="M2:M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나인티나인 주식회사</dc:creator>
  <cp:lastModifiedBy>나인티나인 주식회사</cp:lastModifiedBy>
  <dcterms:created xsi:type="dcterms:W3CDTF">2026-05-02T07:42:14Z</dcterms:created>
  <dcterms:modified xsi:type="dcterms:W3CDTF">2026-05-02T07:42:42Z</dcterms:modified>
</cp:coreProperties>
</file>