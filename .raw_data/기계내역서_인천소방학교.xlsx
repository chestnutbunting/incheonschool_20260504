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\Documents\"/>
    </mc:Choice>
  </mc:AlternateContent>
  <xr:revisionPtr revIDLastSave="0" documentId="8_{D5EFB393-17B4-4269-984E-8624094197B9}" xr6:coauthVersionLast="47" xr6:coauthVersionMax="47" xr10:uidLastSave="{00000000-0000-0000-0000-000000000000}"/>
  <bookViews>
    <workbookView xWindow="57795" yWindow="2625" windowWidth="21600" windowHeight="11835" xr2:uid="{78B93F40-F491-4FFC-81E9-14F7DC743504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313" i="1" l="1"/>
  <c r="J4313" i="1"/>
  <c r="G4313" i="1"/>
  <c r="L4312" i="1"/>
  <c r="J4312" i="1"/>
  <c r="G4312" i="1"/>
  <c r="K4311" i="1"/>
  <c r="J4311" i="1"/>
  <c r="H4311" i="1"/>
  <c r="K4310" i="1"/>
  <c r="J4310" i="1"/>
  <c r="H4310" i="1"/>
  <c r="K4309" i="1"/>
  <c r="J4309" i="1"/>
  <c r="H4309" i="1"/>
  <c r="K4308" i="1"/>
  <c r="J4308" i="1"/>
  <c r="H4308" i="1"/>
  <c r="K4307" i="1"/>
  <c r="J4307" i="1"/>
  <c r="H4307" i="1"/>
  <c r="K4306" i="1"/>
  <c r="J4306" i="1"/>
  <c r="H4306" i="1"/>
  <c r="L4305" i="1"/>
  <c r="I4305" i="1"/>
  <c r="H4305" i="1"/>
  <c r="L4304" i="1"/>
  <c r="I4304" i="1"/>
  <c r="H4304" i="1"/>
  <c r="L4303" i="1"/>
  <c r="I4303" i="1"/>
  <c r="H4303" i="1"/>
  <c r="L4302" i="1"/>
  <c r="I4302" i="1"/>
  <c r="H4302" i="1"/>
  <c r="L4301" i="1"/>
  <c r="I4301" i="1"/>
  <c r="H4301" i="1"/>
  <c r="L4300" i="1"/>
  <c r="J4300" i="1"/>
  <c r="G4300" i="1"/>
  <c r="L4299" i="1"/>
  <c r="J4299" i="1"/>
  <c r="G4299" i="1"/>
  <c r="L4298" i="1"/>
  <c r="J4298" i="1"/>
  <c r="G4298" i="1"/>
  <c r="L4297" i="1"/>
  <c r="J4297" i="1"/>
  <c r="G4297" i="1"/>
  <c r="L4296" i="1"/>
  <c r="J4296" i="1"/>
  <c r="G4296" i="1"/>
  <c r="L4295" i="1"/>
  <c r="J4295" i="1"/>
  <c r="G4295" i="1"/>
  <c r="L4294" i="1"/>
  <c r="J4294" i="1"/>
  <c r="G4294" i="1"/>
  <c r="L4293" i="1"/>
  <c r="J4293" i="1"/>
  <c r="G4293" i="1"/>
  <c r="L4292" i="1"/>
  <c r="J4292" i="1"/>
  <c r="H4292" i="1"/>
  <c r="N4292" i="1" s="1"/>
  <c r="G4292" i="1"/>
  <c r="M4292" i="1" s="1"/>
  <c r="L4291" i="1"/>
  <c r="J4291" i="1"/>
  <c r="G4291" i="1"/>
  <c r="L4290" i="1"/>
  <c r="J4290" i="1"/>
  <c r="G4290" i="1"/>
  <c r="L4289" i="1"/>
  <c r="J4289" i="1"/>
  <c r="G4289" i="1"/>
  <c r="L4288" i="1"/>
  <c r="J4288" i="1"/>
  <c r="G4288" i="1"/>
  <c r="L4287" i="1"/>
  <c r="J4287" i="1"/>
  <c r="G4287" i="1"/>
  <c r="L4286" i="1"/>
  <c r="J4286" i="1"/>
  <c r="G4286" i="1"/>
  <c r="L4285" i="1"/>
  <c r="J4285" i="1"/>
  <c r="G4285" i="1"/>
  <c r="L4284" i="1"/>
  <c r="J4284" i="1"/>
  <c r="G4284" i="1"/>
  <c r="L4283" i="1"/>
  <c r="J4283" i="1"/>
  <c r="G4283" i="1"/>
  <c r="L4282" i="1"/>
  <c r="J4282" i="1"/>
  <c r="G4282" i="1"/>
  <c r="L4281" i="1"/>
  <c r="J4281" i="1"/>
  <c r="G4281" i="1"/>
  <c r="L4280" i="1"/>
  <c r="J4280" i="1"/>
  <c r="G4280" i="1"/>
  <c r="L4279" i="1"/>
  <c r="J4279" i="1"/>
  <c r="G4279" i="1"/>
  <c r="L4278" i="1"/>
  <c r="J4278" i="1"/>
  <c r="G4278" i="1"/>
  <c r="L4277" i="1"/>
  <c r="J4277" i="1"/>
  <c r="G4277" i="1"/>
  <c r="L4276" i="1"/>
  <c r="J4276" i="1"/>
  <c r="G4276" i="1"/>
  <c r="L4275" i="1"/>
  <c r="J4275" i="1"/>
  <c r="G4275" i="1"/>
  <c r="L4274" i="1"/>
  <c r="J4274" i="1"/>
  <c r="G4274" i="1"/>
  <c r="L4273" i="1"/>
  <c r="J4273" i="1"/>
  <c r="G4273" i="1"/>
  <c r="L4272" i="1"/>
  <c r="J4272" i="1"/>
  <c r="G4272" i="1"/>
  <c r="L4271" i="1"/>
  <c r="J4271" i="1"/>
  <c r="G4271" i="1"/>
  <c r="L4270" i="1"/>
  <c r="J4270" i="1"/>
  <c r="G4270" i="1"/>
  <c r="L4269" i="1"/>
  <c r="J4269" i="1"/>
  <c r="G4269" i="1"/>
  <c r="L4257" i="1"/>
  <c r="J4257" i="1"/>
  <c r="G4257" i="1"/>
  <c r="L4256" i="1"/>
  <c r="J4256" i="1"/>
  <c r="G4256" i="1"/>
  <c r="L4255" i="1"/>
  <c r="J4255" i="1"/>
  <c r="G4255" i="1"/>
  <c r="L4254" i="1"/>
  <c r="J4254" i="1"/>
  <c r="G4254" i="1"/>
  <c r="L4253" i="1"/>
  <c r="J4253" i="1"/>
  <c r="G4253" i="1"/>
  <c r="L4252" i="1"/>
  <c r="J4252" i="1"/>
  <c r="G4252" i="1"/>
  <c r="L4251" i="1"/>
  <c r="J4251" i="1"/>
  <c r="G4251" i="1"/>
  <c r="L4250" i="1"/>
  <c r="J4250" i="1"/>
  <c r="G4250" i="1"/>
  <c r="L4249" i="1"/>
  <c r="J4249" i="1"/>
  <c r="G4249" i="1"/>
  <c r="L4248" i="1"/>
  <c r="J4248" i="1"/>
  <c r="G4248" i="1"/>
  <c r="L4247" i="1"/>
  <c r="J4247" i="1"/>
  <c r="G4247" i="1"/>
  <c r="L4246" i="1"/>
  <c r="J4246" i="1"/>
  <c r="G4246" i="1"/>
  <c r="L4245" i="1"/>
  <c r="J4245" i="1"/>
  <c r="G4245" i="1"/>
  <c r="L4244" i="1"/>
  <c r="J4244" i="1"/>
  <c r="G4244" i="1"/>
  <c r="L4243" i="1"/>
  <c r="L4267" i="1" s="1"/>
  <c r="J4243" i="1"/>
  <c r="J4267" i="1" s="1"/>
  <c r="G4243" i="1"/>
  <c r="L4224" i="1"/>
  <c r="J4224" i="1"/>
  <c r="G4224" i="1"/>
  <c r="L4223" i="1"/>
  <c r="J4223" i="1"/>
  <c r="G4223" i="1"/>
  <c r="L4222" i="1"/>
  <c r="J4222" i="1"/>
  <c r="G4222" i="1"/>
  <c r="L4221" i="1"/>
  <c r="J4221" i="1"/>
  <c r="G4221" i="1"/>
  <c r="L4220" i="1"/>
  <c r="J4220" i="1"/>
  <c r="G4220" i="1"/>
  <c r="L4219" i="1"/>
  <c r="J4219" i="1"/>
  <c r="G4219" i="1"/>
  <c r="L4218" i="1"/>
  <c r="J4218" i="1"/>
  <c r="G4218" i="1"/>
  <c r="L4217" i="1"/>
  <c r="L4241" i="1" s="1"/>
  <c r="J4217" i="1"/>
  <c r="J4241" i="1" s="1"/>
  <c r="G4217" i="1"/>
  <c r="L4199" i="1"/>
  <c r="J4199" i="1"/>
  <c r="G4199" i="1"/>
  <c r="L4198" i="1"/>
  <c r="J4198" i="1"/>
  <c r="G4198" i="1"/>
  <c r="L4197" i="1"/>
  <c r="J4197" i="1"/>
  <c r="G4197" i="1"/>
  <c r="L4196" i="1"/>
  <c r="J4196" i="1"/>
  <c r="G4196" i="1"/>
  <c r="L4195" i="1"/>
  <c r="J4195" i="1"/>
  <c r="G4195" i="1"/>
  <c r="L4194" i="1"/>
  <c r="J4194" i="1"/>
  <c r="G4194" i="1"/>
  <c r="L4193" i="1"/>
  <c r="J4193" i="1"/>
  <c r="G4193" i="1"/>
  <c r="L4192" i="1"/>
  <c r="J4192" i="1"/>
  <c r="G4192" i="1"/>
  <c r="L4191" i="1"/>
  <c r="L4215" i="1" s="1"/>
  <c r="J4191" i="1"/>
  <c r="J4215" i="1" s="1"/>
  <c r="G4191" i="1"/>
  <c r="L4172" i="1"/>
  <c r="J4172" i="1"/>
  <c r="G4172" i="1"/>
  <c r="L4171" i="1"/>
  <c r="J4171" i="1"/>
  <c r="G4171" i="1"/>
  <c r="L4170" i="1"/>
  <c r="J4170" i="1"/>
  <c r="G4170" i="1"/>
  <c r="L4169" i="1"/>
  <c r="J4169" i="1"/>
  <c r="G4169" i="1"/>
  <c r="L4168" i="1"/>
  <c r="J4168" i="1"/>
  <c r="G4168" i="1"/>
  <c r="L4167" i="1"/>
  <c r="J4167" i="1"/>
  <c r="G4167" i="1"/>
  <c r="L4166" i="1"/>
  <c r="J4166" i="1"/>
  <c r="G4166" i="1"/>
  <c r="L4165" i="1"/>
  <c r="L4189" i="1" s="1"/>
  <c r="J4165" i="1"/>
  <c r="J4189" i="1" s="1"/>
  <c r="G4165" i="1"/>
  <c r="L4156" i="1"/>
  <c r="J4156" i="1"/>
  <c r="G4156" i="1"/>
  <c r="L4155" i="1"/>
  <c r="J4155" i="1"/>
  <c r="G4155" i="1"/>
  <c r="L4154" i="1"/>
  <c r="J4154" i="1"/>
  <c r="G4154" i="1"/>
  <c r="L4153" i="1"/>
  <c r="J4153" i="1"/>
  <c r="G4153" i="1"/>
  <c r="L4152" i="1"/>
  <c r="J4152" i="1"/>
  <c r="G4152" i="1"/>
  <c r="L4151" i="1"/>
  <c r="J4151" i="1"/>
  <c r="G4151" i="1"/>
  <c r="L4150" i="1"/>
  <c r="J4150" i="1"/>
  <c r="G4150" i="1"/>
  <c r="L4149" i="1"/>
  <c r="J4149" i="1"/>
  <c r="G4149" i="1"/>
  <c r="L4148" i="1"/>
  <c r="J4148" i="1"/>
  <c r="G4148" i="1"/>
  <c r="L4147" i="1"/>
  <c r="J4147" i="1"/>
  <c r="G4147" i="1"/>
  <c r="L4146" i="1"/>
  <c r="J4146" i="1"/>
  <c r="G4146" i="1"/>
  <c r="L4145" i="1"/>
  <c r="J4145" i="1"/>
  <c r="G4145" i="1"/>
  <c r="L4144" i="1"/>
  <c r="J4144" i="1"/>
  <c r="G4144" i="1"/>
  <c r="L4143" i="1"/>
  <c r="J4143" i="1"/>
  <c r="G4143" i="1"/>
  <c r="L4142" i="1"/>
  <c r="J4142" i="1"/>
  <c r="G4142" i="1"/>
  <c r="L4141" i="1"/>
  <c r="J4141" i="1"/>
  <c r="G4141" i="1"/>
  <c r="L4140" i="1"/>
  <c r="J4140" i="1"/>
  <c r="G4140" i="1"/>
  <c r="L4139" i="1"/>
  <c r="L4163" i="1" s="1"/>
  <c r="J4139" i="1"/>
  <c r="J4163" i="1" s="1"/>
  <c r="G4139" i="1"/>
  <c r="L4115" i="1"/>
  <c r="J4115" i="1"/>
  <c r="G4115" i="1"/>
  <c r="L4114" i="1"/>
  <c r="J4114" i="1"/>
  <c r="G4114" i="1"/>
  <c r="L4113" i="1"/>
  <c r="L4137" i="1" s="1"/>
  <c r="J4113" i="1"/>
  <c r="J4137" i="1" s="1"/>
  <c r="G4113" i="1"/>
  <c r="L4091" i="1"/>
  <c r="J4091" i="1"/>
  <c r="G4091" i="1"/>
  <c r="L4090" i="1"/>
  <c r="J4090" i="1"/>
  <c r="G4090" i="1"/>
  <c r="K4089" i="1"/>
  <c r="J4089" i="1"/>
  <c r="H4089" i="1"/>
  <c r="K4088" i="1"/>
  <c r="J4088" i="1"/>
  <c r="H4088" i="1"/>
  <c r="K4087" i="1"/>
  <c r="J4087" i="1"/>
  <c r="H4087" i="1"/>
  <c r="K4086" i="1"/>
  <c r="J4086" i="1"/>
  <c r="H4086" i="1"/>
  <c r="K4085" i="1"/>
  <c r="J4085" i="1"/>
  <c r="H4085" i="1"/>
  <c r="K4084" i="1"/>
  <c r="J4084" i="1"/>
  <c r="H4084" i="1"/>
  <c r="L4083" i="1"/>
  <c r="I4083" i="1"/>
  <c r="H4083" i="1"/>
  <c r="L4082" i="1"/>
  <c r="I4082" i="1"/>
  <c r="H4082" i="1"/>
  <c r="L4081" i="1"/>
  <c r="I4081" i="1"/>
  <c r="H4081" i="1"/>
  <c r="L4080" i="1"/>
  <c r="I4080" i="1"/>
  <c r="H4080" i="1"/>
  <c r="L4079" i="1"/>
  <c r="I4079" i="1"/>
  <c r="H4079" i="1"/>
  <c r="L4078" i="1"/>
  <c r="J4078" i="1"/>
  <c r="G4078" i="1"/>
  <c r="L4077" i="1"/>
  <c r="J4077" i="1"/>
  <c r="G4077" i="1"/>
  <c r="L4076" i="1"/>
  <c r="J4076" i="1"/>
  <c r="G4076" i="1"/>
  <c r="L4075" i="1"/>
  <c r="J4075" i="1"/>
  <c r="G4075" i="1"/>
  <c r="L4074" i="1"/>
  <c r="J4074" i="1"/>
  <c r="G4074" i="1"/>
  <c r="L4073" i="1"/>
  <c r="J4073" i="1"/>
  <c r="G4073" i="1"/>
  <c r="L4072" i="1"/>
  <c r="J4072" i="1"/>
  <c r="G4072" i="1"/>
  <c r="L4071" i="1"/>
  <c r="J4071" i="1"/>
  <c r="G4071" i="1"/>
  <c r="L4070" i="1"/>
  <c r="J4070" i="1"/>
  <c r="G4070" i="1"/>
  <c r="L4069" i="1"/>
  <c r="J4069" i="1"/>
  <c r="G4069" i="1"/>
  <c r="L4068" i="1"/>
  <c r="J4068" i="1"/>
  <c r="G4068" i="1"/>
  <c r="L4067" i="1"/>
  <c r="J4067" i="1"/>
  <c r="G4067" i="1"/>
  <c r="L4066" i="1"/>
  <c r="J4066" i="1"/>
  <c r="G4066" i="1"/>
  <c r="L4065" i="1"/>
  <c r="J4065" i="1"/>
  <c r="G4065" i="1"/>
  <c r="L4064" i="1"/>
  <c r="J4064" i="1"/>
  <c r="G4064" i="1"/>
  <c r="L4063" i="1"/>
  <c r="J4063" i="1"/>
  <c r="G4063" i="1"/>
  <c r="L4062" i="1"/>
  <c r="J4062" i="1"/>
  <c r="G4062" i="1"/>
  <c r="L4061" i="1"/>
  <c r="J4061" i="1"/>
  <c r="G4061" i="1"/>
  <c r="L4047" i="1"/>
  <c r="J4047" i="1"/>
  <c r="G4047" i="1"/>
  <c r="L4046" i="1"/>
  <c r="J4046" i="1"/>
  <c r="G4046" i="1"/>
  <c r="L4045" i="1"/>
  <c r="J4045" i="1"/>
  <c r="H4045" i="1"/>
  <c r="N4045" i="1" s="1"/>
  <c r="G4045" i="1"/>
  <c r="M4045" i="1" s="1"/>
  <c r="L4044" i="1"/>
  <c r="J4044" i="1"/>
  <c r="G4044" i="1"/>
  <c r="L4043" i="1"/>
  <c r="J4043" i="1"/>
  <c r="G4043" i="1"/>
  <c r="L4042" i="1"/>
  <c r="J4042" i="1"/>
  <c r="G4042" i="1"/>
  <c r="L4041" i="1"/>
  <c r="J4041" i="1"/>
  <c r="G4041" i="1"/>
  <c r="L4040" i="1"/>
  <c r="J4040" i="1"/>
  <c r="G4040" i="1"/>
  <c r="L4039" i="1"/>
  <c r="J4039" i="1"/>
  <c r="G4039" i="1"/>
  <c r="L4038" i="1"/>
  <c r="J4038" i="1"/>
  <c r="G4038" i="1"/>
  <c r="L4037" i="1"/>
  <c r="J4037" i="1"/>
  <c r="G4037" i="1"/>
  <c r="L4036" i="1"/>
  <c r="J4036" i="1"/>
  <c r="G4036" i="1"/>
  <c r="L4035" i="1"/>
  <c r="L4059" i="1" s="1"/>
  <c r="J4035" i="1"/>
  <c r="J4059" i="1" s="1"/>
  <c r="G4035" i="1"/>
  <c r="L4026" i="1"/>
  <c r="J4026" i="1"/>
  <c r="G4026" i="1"/>
  <c r="L4025" i="1"/>
  <c r="J4025" i="1"/>
  <c r="G4025" i="1"/>
  <c r="L4024" i="1"/>
  <c r="J4024" i="1"/>
  <c r="G4024" i="1"/>
  <c r="L4023" i="1"/>
  <c r="J4023" i="1"/>
  <c r="G4023" i="1"/>
  <c r="L4022" i="1"/>
  <c r="J4022" i="1"/>
  <c r="G4022" i="1"/>
  <c r="L4021" i="1"/>
  <c r="J4021" i="1"/>
  <c r="G4021" i="1"/>
  <c r="L4020" i="1"/>
  <c r="J4020" i="1"/>
  <c r="G4020" i="1"/>
  <c r="L4019" i="1"/>
  <c r="J4019" i="1"/>
  <c r="G4019" i="1"/>
  <c r="L4018" i="1"/>
  <c r="J4018" i="1"/>
  <c r="G4018" i="1"/>
  <c r="L4017" i="1"/>
  <c r="J4017" i="1"/>
  <c r="G4017" i="1"/>
  <c r="L4016" i="1"/>
  <c r="J4016" i="1"/>
  <c r="G4016" i="1"/>
  <c r="L4015" i="1"/>
  <c r="J4015" i="1"/>
  <c r="G4015" i="1"/>
  <c r="L4014" i="1"/>
  <c r="J4014" i="1"/>
  <c r="G4014" i="1"/>
  <c r="L4013" i="1"/>
  <c r="J4013" i="1"/>
  <c r="G4013" i="1"/>
  <c r="L4012" i="1"/>
  <c r="J4012" i="1"/>
  <c r="G4012" i="1"/>
  <c r="L4011" i="1"/>
  <c r="J4011" i="1"/>
  <c r="H4011" i="1"/>
  <c r="N4011" i="1" s="1"/>
  <c r="G4011" i="1"/>
  <c r="M4011" i="1" s="1"/>
  <c r="L4010" i="1"/>
  <c r="J4010" i="1"/>
  <c r="G4010" i="1"/>
  <c r="L4009" i="1"/>
  <c r="L4033" i="1" s="1"/>
  <c r="J4009" i="1"/>
  <c r="J4033" i="1" s="1"/>
  <c r="G4009" i="1"/>
  <c r="L3915" i="1"/>
  <c r="J3915" i="1"/>
  <c r="G3915" i="1"/>
  <c r="L3914" i="1"/>
  <c r="J3914" i="1"/>
  <c r="G3914" i="1"/>
  <c r="L3913" i="1"/>
  <c r="J3913" i="1"/>
  <c r="G3913" i="1"/>
  <c r="L3912" i="1"/>
  <c r="J3912" i="1"/>
  <c r="G3912" i="1"/>
  <c r="L3911" i="1"/>
  <c r="J3911" i="1"/>
  <c r="G3911" i="1"/>
  <c r="L3910" i="1"/>
  <c r="J3910" i="1"/>
  <c r="G3910" i="1"/>
  <c r="L3909" i="1"/>
  <c r="J3909" i="1"/>
  <c r="G3909" i="1"/>
  <c r="L3908" i="1"/>
  <c r="J3908" i="1"/>
  <c r="G3908" i="1"/>
  <c r="L3907" i="1"/>
  <c r="J3907" i="1"/>
  <c r="G3907" i="1"/>
  <c r="L3906" i="1"/>
  <c r="J3906" i="1"/>
  <c r="G3906" i="1"/>
  <c r="L3905" i="1"/>
  <c r="L3929" i="1" s="1"/>
  <c r="J3905" i="1"/>
  <c r="J3929" i="1" s="1"/>
  <c r="G3905" i="1"/>
  <c r="L3885" i="1"/>
  <c r="J3885" i="1"/>
  <c r="G3885" i="1"/>
  <c r="L3884" i="1"/>
  <c r="J3884" i="1"/>
  <c r="G3884" i="1"/>
  <c r="K3883" i="1"/>
  <c r="J3883" i="1"/>
  <c r="H3883" i="1"/>
  <c r="K3882" i="1"/>
  <c r="J3882" i="1"/>
  <c r="H3882" i="1"/>
  <c r="K3881" i="1"/>
  <c r="J3881" i="1"/>
  <c r="H3881" i="1"/>
  <c r="K3880" i="1"/>
  <c r="J3880" i="1"/>
  <c r="H3880" i="1"/>
  <c r="K3879" i="1"/>
  <c r="J3879" i="1"/>
  <c r="J3903" i="1" s="1"/>
  <c r="H3879" i="1"/>
  <c r="L3859" i="1"/>
  <c r="J3859" i="1"/>
  <c r="G3859" i="1"/>
  <c r="L3858" i="1"/>
  <c r="J3858" i="1"/>
  <c r="G3858" i="1"/>
  <c r="L3857" i="1"/>
  <c r="J3857" i="1"/>
  <c r="G3857" i="1"/>
  <c r="L3856" i="1"/>
  <c r="J3856" i="1"/>
  <c r="G3856" i="1"/>
  <c r="L3855" i="1"/>
  <c r="J3855" i="1"/>
  <c r="G3855" i="1"/>
  <c r="L3854" i="1"/>
  <c r="J3854" i="1"/>
  <c r="G3854" i="1"/>
  <c r="L3853" i="1"/>
  <c r="L3877" i="1" s="1"/>
  <c r="J3853" i="1"/>
  <c r="J3877" i="1" s="1"/>
  <c r="G3853" i="1"/>
  <c r="L3833" i="1"/>
  <c r="J3833" i="1"/>
  <c r="G3833" i="1"/>
  <c r="L3832" i="1"/>
  <c r="J3832" i="1"/>
  <c r="G3832" i="1"/>
  <c r="L3831" i="1"/>
  <c r="J3831" i="1"/>
  <c r="G3831" i="1"/>
  <c r="L3830" i="1"/>
  <c r="J3830" i="1"/>
  <c r="G3830" i="1"/>
  <c r="L3829" i="1"/>
  <c r="J3829" i="1"/>
  <c r="G3829" i="1"/>
  <c r="L3828" i="1"/>
  <c r="J3828" i="1"/>
  <c r="G3828" i="1"/>
  <c r="L3827" i="1"/>
  <c r="L3851" i="1" s="1"/>
  <c r="J3827" i="1"/>
  <c r="J3851" i="1" s="1"/>
  <c r="G3827" i="1"/>
  <c r="L3814" i="1"/>
  <c r="J3814" i="1"/>
  <c r="G3814" i="1"/>
  <c r="L3813" i="1"/>
  <c r="I3813" i="1"/>
  <c r="H3813" i="1"/>
  <c r="L3812" i="1"/>
  <c r="J3812" i="1"/>
  <c r="G3812" i="1"/>
  <c r="L3811" i="1"/>
  <c r="J3811" i="1"/>
  <c r="G3811" i="1"/>
  <c r="M3810" i="1"/>
  <c r="L3810" i="1"/>
  <c r="L3825" i="1" s="1"/>
  <c r="J3810" i="1"/>
  <c r="G3810" i="1"/>
  <c r="H3810" i="1" s="1"/>
  <c r="N3810" i="1" s="1"/>
  <c r="L3809" i="1"/>
  <c r="J3809" i="1"/>
  <c r="G3809" i="1"/>
  <c r="L3808" i="1"/>
  <c r="J3808" i="1"/>
  <c r="G3808" i="1"/>
  <c r="L3807" i="1"/>
  <c r="J3807" i="1"/>
  <c r="G3807" i="1"/>
  <c r="L3806" i="1"/>
  <c r="J3806" i="1"/>
  <c r="G3806" i="1"/>
  <c r="L3805" i="1"/>
  <c r="J3805" i="1"/>
  <c r="G3805" i="1"/>
  <c r="L3804" i="1"/>
  <c r="J3804" i="1"/>
  <c r="G3804" i="1"/>
  <c r="L3803" i="1"/>
  <c r="J3803" i="1"/>
  <c r="G3803" i="1"/>
  <c r="L3802" i="1"/>
  <c r="J3802" i="1"/>
  <c r="G3802" i="1"/>
  <c r="L3801" i="1"/>
  <c r="J3801" i="1"/>
  <c r="G3801" i="1"/>
  <c r="L3800" i="1"/>
  <c r="I3800" i="1"/>
  <c r="H3800" i="1"/>
  <c r="L3799" i="1"/>
  <c r="I3799" i="1"/>
  <c r="H3799" i="1"/>
  <c r="L3798" i="1"/>
  <c r="I3798" i="1"/>
  <c r="H3798" i="1"/>
  <c r="L3797" i="1"/>
  <c r="I3797" i="1"/>
  <c r="H3797" i="1"/>
  <c r="L3796" i="1"/>
  <c r="I3796" i="1"/>
  <c r="H3796" i="1"/>
  <c r="L3795" i="1"/>
  <c r="I3795" i="1"/>
  <c r="H3795" i="1"/>
  <c r="L3794" i="1"/>
  <c r="I3794" i="1"/>
  <c r="H3794" i="1"/>
  <c r="L3793" i="1"/>
  <c r="I3793" i="1"/>
  <c r="H3793" i="1"/>
  <c r="L3792" i="1"/>
  <c r="I3792" i="1"/>
  <c r="H3792" i="1"/>
  <c r="L3791" i="1"/>
  <c r="I3791" i="1"/>
  <c r="H3791" i="1"/>
  <c r="L3790" i="1"/>
  <c r="I3790" i="1"/>
  <c r="H3790" i="1"/>
  <c r="L3789" i="1"/>
  <c r="I3789" i="1"/>
  <c r="H3789" i="1"/>
  <c r="L3788" i="1"/>
  <c r="I3788" i="1"/>
  <c r="H3788" i="1"/>
  <c r="L3787" i="1"/>
  <c r="I3787" i="1"/>
  <c r="H3787" i="1"/>
  <c r="L3786" i="1"/>
  <c r="I3786" i="1"/>
  <c r="H3786" i="1"/>
  <c r="L3785" i="1"/>
  <c r="I3785" i="1"/>
  <c r="H3785" i="1"/>
  <c r="L3784" i="1"/>
  <c r="I3784" i="1"/>
  <c r="H3784" i="1"/>
  <c r="L3783" i="1"/>
  <c r="I3783" i="1"/>
  <c r="H3783" i="1"/>
  <c r="L3782" i="1"/>
  <c r="I3782" i="1"/>
  <c r="H3782" i="1"/>
  <c r="L3781" i="1"/>
  <c r="I3781" i="1"/>
  <c r="H3781" i="1"/>
  <c r="L3780" i="1"/>
  <c r="I3780" i="1"/>
  <c r="H3780" i="1"/>
  <c r="L3779" i="1"/>
  <c r="I3779" i="1"/>
  <c r="H3779" i="1"/>
  <c r="L3778" i="1"/>
  <c r="I3778" i="1"/>
  <c r="H3778" i="1"/>
  <c r="L3777" i="1"/>
  <c r="I3777" i="1"/>
  <c r="H3777" i="1"/>
  <c r="L3776" i="1"/>
  <c r="I3776" i="1"/>
  <c r="H3776" i="1"/>
  <c r="L3775" i="1"/>
  <c r="I3775" i="1"/>
  <c r="H3775" i="1"/>
  <c r="L3751" i="1"/>
  <c r="J3751" i="1"/>
  <c r="G3751" i="1"/>
  <c r="L3750" i="1"/>
  <c r="J3750" i="1"/>
  <c r="G3750" i="1"/>
  <c r="L3749" i="1"/>
  <c r="L3773" i="1" s="1"/>
  <c r="J3749" i="1"/>
  <c r="J3773" i="1" s="1"/>
  <c r="G3749" i="1"/>
  <c r="L3721" i="1"/>
  <c r="J3721" i="1"/>
  <c r="G3721" i="1"/>
  <c r="L3720" i="1"/>
  <c r="J3720" i="1"/>
  <c r="G3720" i="1"/>
  <c r="L3719" i="1"/>
  <c r="J3719" i="1"/>
  <c r="G3719" i="1"/>
  <c r="L3718" i="1"/>
  <c r="J3718" i="1"/>
  <c r="G3718" i="1"/>
  <c r="L3717" i="1"/>
  <c r="J3717" i="1"/>
  <c r="G3717" i="1"/>
  <c r="L3716" i="1"/>
  <c r="J3716" i="1"/>
  <c r="G3716" i="1"/>
  <c r="L3715" i="1"/>
  <c r="J3715" i="1"/>
  <c r="G3715" i="1"/>
  <c r="L3714" i="1"/>
  <c r="J3714" i="1"/>
  <c r="G3714" i="1"/>
  <c r="L3713" i="1"/>
  <c r="J3713" i="1"/>
  <c r="G3713" i="1"/>
  <c r="L3712" i="1"/>
  <c r="J3712" i="1"/>
  <c r="G3712" i="1"/>
  <c r="L3711" i="1"/>
  <c r="J3711" i="1"/>
  <c r="G3711" i="1"/>
  <c r="L3710" i="1"/>
  <c r="J3710" i="1"/>
  <c r="G3710" i="1"/>
  <c r="L3709" i="1"/>
  <c r="J3709" i="1"/>
  <c r="G3709" i="1"/>
  <c r="L3708" i="1"/>
  <c r="J3708" i="1"/>
  <c r="G3708" i="1"/>
  <c r="L3707" i="1"/>
  <c r="J3707" i="1"/>
  <c r="G3707" i="1"/>
  <c r="L3706" i="1"/>
  <c r="J3706" i="1"/>
  <c r="G3706" i="1"/>
  <c r="L3705" i="1"/>
  <c r="J3705" i="1"/>
  <c r="G3705" i="1"/>
  <c r="L3704" i="1"/>
  <c r="J3704" i="1"/>
  <c r="G3704" i="1"/>
  <c r="L3703" i="1"/>
  <c r="J3703" i="1"/>
  <c r="G3703" i="1"/>
  <c r="L3702" i="1"/>
  <c r="J3702" i="1"/>
  <c r="G3702" i="1"/>
  <c r="L3701" i="1"/>
  <c r="J3701" i="1"/>
  <c r="G3701" i="1"/>
  <c r="L3700" i="1"/>
  <c r="J3700" i="1"/>
  <c r="G3700" i="1"/>
  <c r="L3699" i="1"/>
  <c r="J3699" i="1"/>
  <c r="G3699" i="1"/>
  <c r="L3698" i="1"/>
  <c r="J3698" i="1"/>
  <c r="G3698" i="1"/>
  <c r="L3697" i="1"/>
  <c r="L3747" i="1" s="1"/>
  <c r="J3697" i="1"/>
  <c r="J3747" i="1" s="1"/>
  <c r="G3697" i="1"/>
  <c r="L3679" i="1"/>
  <c r="J3679" i="1"/>
  <c r="G3679" i="1"/>
  <c r="L3678" i="1"/>
  <c r="J3678" i="1"/>
  <c r="G3678" i="1"/>
  <c r="L3677" i="1"/>
  <c r="J3677" i="1"/>
  <c r="G3677" i="1"/>
  <c r="L3676" i="1"/>
  <c r="J3676" i="1"/>
  <c r="G3676" i="1"/>
  <c r="L3675" i="1"/>
  <c r="J3675" i="1"/>
  <c r="G3675" i="1"/>
  <c r="L3674" i="1"/>
  <c r="J3674" i="1"/>
  <c r="G3674" i="1"/>
  <c r="L3673" i="1"/>
  <c r="J3673" i="1"/>
  <c r="G3673" i="1"/>
  <c r="L3672" i="1"/>
  <c r="J3672" i="1"/>
  <c r="G3672" i="1"/>
  <c r="L3671" i="1"/>
  <c r="L3695" i="1" s="1"/>
  <c r="J3671" i="1"/>
  <c r="J3695" i="1" s="1"/>
  <c r="G3671" i="1"/>
  <c r="L3655" i="1"/>
  <c r="J3655" i="1"/>
  <c r="G3655" i="1"/>
  <c r="L3654" i="1"/>
  <c r="J3654" i="1"/>
  <c r="G3654" i="1"/>
  <c r="L3653" i="1"/>
  <c r="J3653" i="1"/>
  <c r="G3653" i="1"/>
  <c r="L3652" i="1"/>
  <c r="J3652" i="1"/>
  <c r="G3652" i="1"/>
  <c r="L3651" i="1"/>
  <c r="J3651" i="1"/>
  <c r="G3651" i="1"/>
  <c r="L3650" i="1"/>
  <c r="J3650" i="1"/>
  <c r="G3650" i="1"/>
  <c r="L3649" i="1"/>
  <c r="J3649" i="1"/>
  <c r="G3649" i="1"/>
  <c r="L3648" i="1"/>
  <c r="J3648" i="1"/>
  <c r="G3648" i="1"/>
  <c r="L3647" i="1"/>
  <c r="J3647" i="1"/>
  <c r="G3647" i="1"/>
  <c r="L3646" i="1"/>
  <c r="J3646" i="1"/>
  <c r="G3646" i="1"/>
  <c r="L3645" i="1"/>
  <c r="L3669" i="1" s="1"/>
  <c r="J3645" i="1"/>
  <c r="J3669" i="1" s="1"/>
  <c r="G3645" i="1"/>
  <c r="L3635" i="1"/>
  <c r="J3635" i="1"/>
  <c r="G3635" i="1"/>
  <c r="L3634" i="1"/>
  <c r="J3634" i="1"/>
  <c r="G3634" i="1"/>
  <c r="L3633" i="1"/>
  <c r="J3633" i="1"/>
  <c r="G3633" i="1"/>
  <c r="L3632" i="1"/>
  <c r="J3632" i="1"/>
  <c r="G3632" i="1"/>
  <c r="L3631" i="1"/>
  <c r="J3631" i="1"/>
  <c r="G3631" i="1"/>
  <c r="L3630" i="1"/>
  <c r="J3630" i="1"/>
  <c r="G3630" i="1"/>
  <c r="L3629" i="1"/>
  <c r="J3629" i="1"/>
  <c r="G3629" i="1"/>
  <c r="L3628" i="1"/>
  <c r="J3628" i="1"/>
  <c r="G3628" i="1"/>
  <c r="L3627" i="1"/>
  <c r="J3627" i="1"/>
  <c r="G3627" i="1"/>
  <c r="L3626" i="1"/>
  <c r="J3626" i="1"/>
  <c r="G3626" i="1"/>
  <c r="L3625" i="1"/>
  <c r="J3625" i="1"/>
  <c r="G3625" i="1"/>
  <c r="L3624" i="1"/>
  <c r="J3624" i="1"/>
  <c r="G3624" i="1"/>
  <c r="L3623" i="1"/>
  <c r="J3623" i="1"/>
  <c r="G3623" i="1"/>
  <c r="L3622" i="1"/>
  <c r="J3622" i="1"/>
  <c r="G3622" i="1"/>
  <c r="L3621" i="1"/>
  <c r="J3621" i="1"/>
  <c r="G3621" i="1"/>
  <c r="L3620" i="1"/>
  <c r="J3620" i="1"/>
  <c r="G3620" i="1"/>
  <c r="L3619" i="1"/>
  <c r="L3643" i="1" s="1"/>
  <c r="J3619" i="1"/>
  <c r="J3643" i="1" s="1"/>
  <c r="G3619" i="1"/>
  <c r="L3609" i="1"/>
  <c r="J3609" i="1"/>
  <c r="G3609" i="1"/>
  <c r="L3608" i="1"/>
  <c r="J3608" i="1"/>
  <c r="G3608" i="1"/>
  <c r="L3607" i="1"/>
  <c r="J3607" i="1"/>
  <c r="G3607" i="1"/>
  <c r="L3606" i="1"/>
  <c r="J3606" i="1"/>
  <c r="G3606" i="1"/>
  <c r="L3605" i="1"/>
  <c r="J3605" i="1"/>
  <c r="G3605" i="1"/>
  <c r="L3604" i="1"/>
  <c r="J3604" i="1"/>
  <c r="G3604" i="1"/>
  <c r="L3603" i="1"/>
  <c r="J3603" i="1"/>
  <c r="G3603" i="1"/>
  <c r="L3602" i="1"/>
  <c r="J3602" i="1"/>
  <c r="G3602" i="1"/>
  <c r="L3601" i="1"/>
  <c r="J3601" i="1"/>
  <c r="G3601" i="1"/>
  <c r="L3600" i="1"/>
  <c r="J3600" i="1"/>
  <c r="G3600" i="1"/>
  <c r="L3599" i="1"/>
  <c r="J3599" i="1"/>
  <c r="G3599" i="1"/>
  <c r="L3598" i="1"/>
  <c r="J3598" i="1"/>
  <c r="G3598" i="1"/>
  <c r="L3597" i="1"/>
  <c r="J3597" i="1"/>
  <c r="G3597" i="1"/>
  <c r="L3596" i="1"/>
  <c r="J3596" i="1"/>
  <c r="G3596" i="1"/>
  <c r="L3595" i="1"/>
  <c r="J3595" i="1"/>
  <c r="G3595" i="1"/>
  <c r="L3594" i="1"/>
  <c r="J3594" i="1"/>
  <c r="G3594" i="1"/>
  <c r="L3593" i="1"/>
  <c r="L3617" i="1" s="1"/>
  <c r="J3593" i="1"/>
  <c r="J3617" i="1" s="1"/>
  <c r="G3593" i="1"/>
  <c r="L3576" i="1"/>
  <c r="J3576" i="1"/>
  <c r="G3576" i="1"/>
  <c r="L3575" i="1"/>
  <c r="J3575" i="1"/>
  <c r="G3575" i="1"/>
  <c r="L3574" i="1"/>
  <c r="J3574" i="1"/>
  <c r="G3574" i="1"/>
  <c r="L3573" i="1"/>
  <c r="J3573" i="1"/>
  <c r="G3573" i="1"/>
  <c r="L3572" i="1"/>
  <c r="J3572" i="1"/>
  <c r="G3572" i="1"/>
  <c r="L3571" i="1"/>
  <c r="J3571" i="1"/>
  <c r="G3571" i="1"/>
  <c r="L3570" i="1"/>
  <c r="J3570" i="1"/>
  <c r="G3570" i="1"/>
  <c r="L3569" i="1"/>
  <c r="J3569" i="1"/>
  <c r="G3569" i="1"/>
  <c r="L3568" i="1"/>
  <c r="J3568" i="1"/>
  <c r="G3568" i="1"/>
  <c r="L3567" i="1"/>
  <c r="L3591" i="1" s="1"/>
  <c r="J3567" i="1"/>
  <c r="J3591" i="1" s="1"/>
  <c r="G3567" i="1"/>
  <c r="L3552" i="1"/>
  <c r="J3552" i="1"/>
  <c r="G3552" i="1"/>
  <c r="L3551" i="1"/>
  <c r="J3551" i="1"/>
  <c r="G3551" i="1"/>
  <c r="L3550" i="1"/>
  <c r="J3550" i="1"/>
  <c r="G3550" i="1"/>
  <c r="L3549" i="1"/>
  <c r="J3549" i="1"/>
  <c r="G3549" i="1"/>
  <c r="L3548" i="1"/>
  <c r="J3548" i="1"/>
  <c r="G3548" i="1"/>
  <c r="L3547" i="1"/>
  <c r="J3547" i="1"/>
  <c r="G3547" i="1"/>
  <c r="L3546" i="1"/>
  <c r="J3546" i="1"/>
  <c r="G3546" i="1"/>
  <c r="L3545" i="1"/>
  <c r="J3545" i="1"/>
  <c r="G3545" i="1"/>
  <c r="L3544" i="1"/>
  <c r="J3544" i="1"/>
  <c r="G3544" i="1"/>
  <c r="L3543" i="1"/>
  <c r="J3543" i="1"/>
  <c r="G3543" i="1"/>
  <c r="L3542" i="1"/>
  <c r="J3542" i="1"/>
  <c r="G3542" i="1"/>
  <c r="L3541" i="1"/>
  <c r="J3541" i="1"/>
  <c r="G3541" i="1"/>
  <c r="L3540" i="1"/>
  <c r="J3540" i="1"/>
  <c r="G3540" i="1"/>
  <c r="L3539" i="1"/>
  <c r="J3539" i="1"/>
  <c r="G3539" i="1"/>
  <c r="L3538" i="1"/>
  <c r="J3538" i="1"/>
  <c r="G3538" i="1"/>
  <c r="L3537" i="1"/>
  <c r="J3537" i="1"/>
  <c r="G3537" i="1"/>
  <c r="L3536" i="1"/>
  <c r="J3536" i="1"/>
  <c r="G3536" i="1"/>
  <c r="L3535" i="1"/>
  <c r="J3535" i="1"/>
  <c r="G3535" i="1"/>
  <c r="L3534" i="1"/>
  <c r="J3534" i="1"/>
  <c r="G3534" i="1"/>
  <c r="L3533" i="1"/>
  <c r="J3533" i="1"/>
  <c r="G3533" i="1"/>
  <c r="L3532" i="1"/>
  <c r="J3532" i="1"/>
  <c r="G3532" i="1"/>
  <c r="L3531" i="1"/>
  <c r="J3531" i="1"/>
  <c r="G3531" i="1"/>
  <c r="L3530" i="1"/>
  <c r="J3530" i="1"/>
  <c r="G3530" i="1"/>
  <c r="L3529" i="1"/>
  <c r="J3529" i="1"/>
  <c r="G3529" i="1"/>
  <c r="L3528" i="1"/>
  <c r="J3528" i="1"/>
  <c r="G3528" i="1"/>
  <c r="L3527" i="1"/>
  <c r="J3527" i="1"/>
  <c r="G3527" i="1"/>
  <c r="L3526" i="1"/>
  <c r="J3526" i="1"/>
  <c r="G3526" i="1"/>
  <c r="L3525" i="1"/>
  <c r="J3525" i="1"/>
  <c r="G3525" i="1"/>
  <c r="L3524" i="1"/>
  <c r="J3524" i="1"/>
  <c r="G3524" i="1"/>
  <c r="L3523" i="1"/>
  <c r="J3523" i="1"/>
  <c r="G3523" i="1"/>
  <c r="L3522" i="1"/>
  <c r="J3522" i="1"/>
  <c r="G3522" i="1"/>
  <c r="L3521" i="1"/>
  <c r="J3521" i="1"/>
  <c r="G3521" i="1"/>
  <c r="L3520" i="1"/>
  <c r="J3520" i="1"/>
  <c r="G3520" i="1"/>
  <c r="L3519" i="1"/>
  <c r="J3519" i="1"/>
  <c r="G3519" i="1"/>
  <c r="L3518" i="1"/>
  <c r="J3518" i="1"/>
  <c r="G3518" i="1"/>
  <c r="L3517" i="1"/>
  <c r="J3517" i="1"/>
  <c r="G3517" i="1"/>
  <c r="L3516" i="1"/>
  <c r="J3516" i="1"/>
  <c r="G3516" i="1"/>
  <c r="L3515" i="1"/>
  <c r="L3565" i="1" s="1"/>
  <c r="J3515" i="1"/>
  <c r="J3565" i="1" s="1"/>
  <c r="G3515" i="1"/>
  <c r="L3498" i="1"/>
  <c r="J3498" i="1"/>
  <c r="G3498" i="1"/>
  <c r="L3497" i="1"/>
  <c r="J3497" i="1"/>
  <c r="G3497" i="1"/>
  <c r="L3496" i="1"/>
  <c r="J3496" i="1"/>
  <c r="G3496" i="1"/>
  <c r="L3495" i="1"/>
  <c r="J3495" i="1"/>
  <c r="G3495" i="1"/>
  <c r="L3494" i="1"/>
  <c r="J3494" i="1"/>
  <c r="G3494" i="1"/>
  <c r="L3493" i="1"/>
  <c r="J3493" i="1"/>
  <c r="G3493" i="1"/>
  <c r="L3492" i="1"/>
  <c r="J3492" i="1"/>
  <c r="G3492" i="1"/>
  <c r="L3491" i="1"/>
  <c r="J3491" i="1"/>
  <c r="G3491" i="1"/>
  <c r="L3490" i="1"/>
  <c r="J3490" i="1"/>
  <c r="G3490" i="1"/>
  <c r="L3489" i="1"/>
  <c r="L3513" i="1" s="1"/>
  <c r="J3489" i="1"/>
  <c r="J3513" i="1" s="1"/>
  <c r="G3489" i="1"/>
  <c r="L3464" i="1"/>
  <c r="J3464" i="1"/>
  <c r="G3464" i="1"/>
  <c r="L3463" i="1"/>
  <c r="L3487" i="1" s="1"/>
  <c r="J3463" i="1"/>
  <c r="J3487" i="1" s="1"/>
  <c r="G3463" i="1"/>
  <c r="L3459" i="1"/>
  <c r="J3459" i="1"/>
  <c r="L3458" i="1"/>
  <c r="I3458" i="1"/>
  <c r="H3458" i="1"/>
  <c r="L3457" i="1"/>
  <c r="I3457" i="1"/>
  <c r="H3457" i="1"/>
  <c r="L3456" i="1"/>
  <c r="I3456" i="1"/>
  <c r="H3456" i="1"/>
  <c r="L3455" i="1"/>
  <c r="J3455" i="1"/>
  <c r="G3455" i="1"/>
  <c r="L3454" i="1"/>
  <c r="J3454" i="1"/>
  <c r="G3454" i="1"/>
  <c r="L3453" i="1"/>
  <c r="J3453" i="1"/>
  <c r="G3453" i="1"/>
  <c r="L3452" i="1"/>
  <c r="J3452" i="1"/>
  <c r="G3452" i="1"/>
  <c r="L3451" i="1"/>
  <c r="J3451" i="1"/>
  <c r="G3451" i="1"/>
  <c r="L3450" i="1"/>
  <c r="J3450" i="1"/>
  <c r="G3450" i="1"/>
  <c r="L3449" i="1"/>
  <c r="J3449" i="1"/>
  <c r="G3449" i="1"/>
  <c r="L3448" i="1"/>
  <c r="J3448" i="1"/>
  <c r="G3448" i="1"/>
  <c r="L3447" i="1"/>
  <c r="J3447" i="1"/>
  <c r="G3447" i="1"/>
  <c r="L3446" i="1"/>
  <c r="J3446" i="1"/>
  <c r="G3446" i="1"/>
  <c r="L3445" i="1"/>
  <c r="J3445" i="1"/>
  <c r="G3445" i="1"/>
  <c r="L3444" i="1"/>
  <c r="J3444" i="1"/>
  <c r="G3444" i="1"/>
  <c r="L3443" i="1"/>
  <c r="J3443" i="1"/>
  <c r="G3443" i="1"/>
  <c r="L3442" i="1"/>
  <c r="J3442" i="1"/>
  <c r="G3442" i="1"/>
  <c r="L3441" i="1"/>
  <c r="J3441" i="1"/>
  <c r="G3441" i="1"/>
  <c r="L3440" i="1"/>
  <c r="J3440" i="1"/>
  <c r="G3440" i="1"/>
  <c r="L3439" i="1"/>
  <c r="J3439" i="1"/>
  <c r="G3439" i="1"/>
  <c r="L3438" i="1"/>
  <c r="J3438" i="1"/>
  <c r="G3438" i="1"/>
  <c r="L3437" i="1"/>
  <c r="J3437" i="1"/>
  <c r="G3437" i="1"/>
  <c r="L3436" i="1"/>
  <c r="J3436" i="1"/>
  <c r="G3436" i="1"/>
  <c r="L3435" i="1"/>
  <c r="J3435" i="1"/>
  <c r="G3435" i="1"/>
  <c r="L3434" i="1"/>
  <c r="J3434" i="1"/>
  <c r="G3434" i="1"/>
  <c r="L3433" i="1"/>
  <c r="J3433" i="1"/>
  <c r="G3433" i="1"/>
  <c r="L3432" i="1"/>
  <c r="J3432" i="1"/>
  <c r="G3432" i="1"/>
  <c r="L3431" i="1"/>
  <c r="J3431" i="1"/>
  <c r="G3431" i="1"/>
  <c r="L3430" i="1"/>
  <c r="L3461" i="1" s="1"/>
  <c r="J3430" i="1"/>
  <c r="G3430" i="1"/>
  <c r="L3429" i="1"/>
  <c r="J3429" i="1"/>
  <c r="G3429" i="1"/>
  <c r="L3428" i="1"/>
  <c r="J3428" i="1"/>
  <c r="G3428" i="1"/>
  <c r="L3427" i="1"/>
  <c r="J3427" i="1"/>
  <c r="G3427" i="1"/>
  <c r="L3426" i="1"/>
  <c r="J3426" i="1"/>
  <c r="G3426" i="1"/>
  <c r="L3425" i="1"/>
  <c r="J3425" i="1"/>
  <c r="G3425" i="1"/>
  <c r="L3424" i="1"/>
  <c r="J3424" i="1"/>
  <c r="G3424" i="1"/>
  <c r="L3423" i="1"/>
  <c r="J3423" i="1"/>
  <c r="G3423" i="1"/>
  <c r="L3422" i="1"/>
  <c r="J3422" i="1"/>
  <c r="G3422" i="1"/>
  <c r="L3421" i="1"/>
  <c r="J3421" i="1"/>
  <c r="G3421" i="1"/>
  <c r="L3420" i="1"/>
  <c r="J3420" i="1"/>
  <c r="G3420" i="1"/>
  <c r="L3419" i="1"/>
  <c r="J3419" i="1"/>
  <c r="G3419" i="1"/>
  <c r="L3418" i="1"/>
  <c r="J3418" i="1"/>
  <c r="G3418" i="1"/>
  <c r="L3417" i="1"/>
  <c r="J3417" i="1"/>
  <c r="G3417" i="1"/>
  <c r="L3416" i="1"/>
  <c r="J3416" i="1"/>
  <c r="G3416" i="1"/>
  <c r="L3415" i="1"/>
  <c r="J3415" i="1"/>
  <c r="G3415" i="1"/>
  <c r="L3414" i="1"/>
  <c r="J3414" i="1"/>
  <c r="G3414" i="1"/>
  <c r="L3413" i="1"/>
  <c r="J3413" i="1"/>
  <c r="G3413" i="1"/>
  <c r="L3412" i="1"/>
  <c r="J3412" i="1"/>
  <c r="G3412" i="1"/>
  <c r="L3411" i="1"/>
  <c r="J3411" i="1"/>
  <c r="G3411" i="1"/>
  <c r="L3410" i="1"/>
  <c r="J3410" i="1"/>
  <c r="G3410" i="1"/>
  <c r="L3409" i="1"/>
  <c r="J3409" i="1"/>
  <c r="G3409" i="1"/>
  <c r="L3408" i="1"/>
  <c r="J3408" i="1"/>
  <c r="G3408" i="1"/>
  <c r="L3407" i="1"/>
  <c r="J3407" i="1"/>
  <c r="G3407" i="1"/>
  <c r="L3406" i="1"/>
  <c r="J3406" i="1"/>
  <c r="G3406" i="1"/>
  <c r="L3405" i="1"/>
  <c r="J3405" i="1"/>
  <c r="G3405" i="1"/>
  <c r="L3404" i="1"/>
  <c r="J3404" i="1"/>
  <c r="G3404" i="1"/>
  <c r="L3403" i="1"/>
  <c r="J3403" i="1"/>
  <c r="G3403" i="1"/>
  <c r="L3402" i="1"/>
  <c r="J3402" i="1"/>
  <c r="G3402" i="1"/>
  <c r="L3401" i="1"/>
  <c r="J3401" i="1"/>
  <c r="G3401" i="1"/>
  <c r="L3400" i="1"/>
  <c r="J3400" i="1"/>
  <c r="G3400" i="1"/>
  <c r="L3399" i="1"/>
  <c r="J3399" i="1"/>
  <c r="G3399" i="1"/>
  <c r="L3398" i="1"/>
  <c r="J3398" i="1"/>
  <c r="G3398" i="1"/>
  <c r="L3397" i="1"/>
  <c r="J3397" i="1"/>
  <c r="G3397" i="1"/>
  <c r="L3396" i="1"/>
  <c r="J3396" i="1"/>
  <c r="G3396" i="1"/>
  <c r="L3395" i="1"/>
  <c r="J3395" i="1"/>
  <c r="G3395" i="1"/>
  <c r="L3394" i="1"/>
  <c r="J3394" i="1"/>
  <c r="G3394" i="1"/>
  <c r="L3393" i="1"/>
  <c r="J3393" i="1"/>
  <c r="G3393" i="1"/>
  <c r="L3392" i="1"/>
  <c r="J3392" i="1"/>
  <c r="G3392" i="1"/>
  <c r="L3391" i="1"/>
  <c r="J3391" i="1"/>
  <c r="G3391" i="1"/>
  <c r="L3390" i="1"/>
  <c r="J3390" i="1"/>
  <c r="G3390" i="1"/>
  <c r="L3389" i="1"/>
  <c r="J3389" i="1"/>
  <c r="G3389" i="1"/>
  <c r="L3388" i="1"/>
  <c r="J3388" i="1"/>
  <c r="G3388" i="1"/>
  <c r="L3387" i="1"/>
  <c r="J3387" i="1"/>
  <c r="G3387" i="1"/>
  <c r="L3386" i="1"/>
  <c r="J3386" i="1"/>
  <c r="G3386" i="1"/>
  <c r="L3385" i="1"/>
  <c r="J3385" i="1"/>
  <c r="G3385" i="1"/>
  <c r="L3361" i="1"/>
  <c r="J3361" i="1"/>
  <c r="G3361" i="1"/>
  <c r="L3360" i="1"/>
  <c r="J3360" i="1"/>
  <c r="G3360" i="1"/>
  <c r="L3359" i="1"/>
  <c r="L3383" i="1" s="1"/>
  <c r="J3359" i="1"/>
  <c r="J3383" i="1" s="1"/>
  <c r="G3359" i="1"/>
  <c r="L3333" i="1"/>
  <c r="J3333" i="1"/>
  <c r="G3333" i="1"/>
  <c r="L3332" i="1"/>
  <c r="J3332" i="1"/>
  <c r="G3332" i="1"/>
  <c r="K3331" i="1"/>
  <c r="J3331" i="1"/>
  <c r="H3331" i="1"/>
  <c r="K3330" i="1"/>
  <c r="J3330" i="1"/>
  <c r="H3330" i="1"/>
  <c r="K3329" i="1"/>
  <c r="J3329" i="1"/>
  <c r="H3329" i="1"/>
  <c r="K3328" i="1"/>
  <c r="J3328" i="1"/>
  <c r="H3328" i="1"/>
  <c r="K3327" i="1"/>
  <c r="J3327" i="1"/>
  <c r="H3327" i="1"/>
  <c r="K3326" i="1"/>
  <c r="J3326" i="1"/>
  <c r="H3326" i="1"/>
  <c r="L3325" i="1"/>
  <c r="I3325" i="1"/>
  <c r="H3325" i="1"/>
  <c r="L3324" i="1"/>
  <c r="I3324" i="1"/>
  <c r="H3324" i="1"/>
  <c r="L3323" i="1"/>
  <c r="I3323" i="1"/>
  <c r="H3323" i="1"/>
  <c r="L3322" i="1"/>
  <c r="I3322" i="1"/>
  <c r="H3322" i="1"/>
  <c r="L3321" i="1"/>
  <c r="I3321" i="1"/>
  <c r="H3321" i="1"/>
  <c r="L3320" i="1"/>
  <c r="J3320" i="1"/>
  <c r="G3320" i="1"/>
  <c r="L3319" i="1"/>
  <c r="J3319" i="1"/>
  <c r="G3319" i="1"/>
  <c r="L3318" i="1"/>
  <c r="J3318" i="1"/>
  <c r="G3318" i="1"/>
  <c r="L3317" i="1"/>
  <c r="J3317" i="1"/>
  <c r="G3317" i="1"/>
  <c r="L3316" i="1"/>
  <c r="J3316" i="1"/>
  <c r="G3316" i="1"/>
  <c r="L3315" i="1"/>
  <c r="J3315" i="1"/>
  <c r="G3315" i="1"/>
  <c r="L3314" i="1"/>
  <c r="J3314" i="1"/>
  <c r="G3314" i="1"/>
  <c r="L3313" i="1"/>
  <c r="J3313" i="1"/>
  <c r="G3313" i="1"/>
  <c r="L3312" i="1"/>
  <c r="J3312" i="1"/>
  <c r="G3312" i="1"/>
  <c r="L3311" i="1"/>
  <c r="J3311" i="1"/>
  <c r="G3311" i="1"/>
  <c r="L3310" i="1"/>
  <c r="J3310" i="1"/>
  <c r="G3310" i="1"/>
  <c r="L3309" i="1"/>
  <c r="J3309" i="1"/>
  <c r="G3309" i="1"/>
  <c r="L3308" i="1"/>
  <c r="J3308" i="1"/>
  <c r="G3308" i="1"/>
  <c r="L3307" i="1"/>
  <c r="J3307" i="1"/>
  <c r="G3307" i="1"/>
  <c r="L3306" i="1"/>
  <c r="J3306" i="1"/>
  <c r="G3306" i="1"/>
  <c r="L3305" i="1"/>
  <c r="J3305" i="1"/>
  <c r="G3305" i="1"/>
  <c r="L3304" i="1"/>
  <c r="J3304" i="1"/>
  <c r="G3304" i="1"/>
  <c r="L3303" i="1"/>
  <c r="J3303" i="1"/>
  <c r="G3303" i="1"/>
  <c r="L3302" i="1"/>
  <c r="J3302" i="1"/>
  <c r="G3302" i="1"/>
  <c r="L3301" i="1"/>
  <c r="J3301" i="1"/>
  <c r="G3301" i="1"/>
  <c r="L3300" i="1"/>
  <c r="J3300" i="1"/>
  <c r="G3300" i="1"/>
  <c r="L3299" i="1"/>
  <c r="J3299" i="1"/>
  <c r="G3299" i="1"/>
  <c r="L3298" i="1"/>
  <c r="J3298" i="1"/>
  <c r="G3298" i="1"/>
  <c r="L3297" i="1"/>
  <c r="J3297" i="1"/>
  <c r="G3297" i="1"/>
  <c r="L3296" i="1"/>
  <c r="J3296" i="1"/>
  <c r="G3296" i="1"/>
  <c r="L3295" i="1"/>
  <c r="J3295" i="1"/>
  <c r="G3295" i="1"/>
  <c r="L3294" i="1"/>
  <c r="J3294" i="1"/>
  <c r="G3294" i="1"/>
  <c r="L3293" i="1"/>
  <c r="J3293" i="1"/>
  <c r="G3293" i="1"/>
  <c r="L3292" i="1"/>
  <c r="J3292" i="1"/>
  <c r="G3292" i="1"/>
  <c r="L3291" i="1"/>
  <c r="J3291" i="1"/>
  <c r="G3291" i="1"/>
  <c r="L3290" i="1"/>
  <c r="J3290" i="1"/>
  <c r="G3290" i="1"/>
  <c r="L3289" i="1"/>
  <c r="J3289" i="1"/>
  <c r="G3289" i="1"/>
  <c r="L3288" i="1"/>
  <c r="J3288" i="1"/>
  <c r="G3288" i="1"/>
  <c r="L3287" i="1"/>
  <c r="J3287" i="1"/>
  <c r="G3287" i="1"/>
  <c r="L3286" i="1"/>
  <c r="J3286" i="1"/>
  <c r="G3286" i="1"/>
  <c r="L3285" i="1"/>
  <c r="J3285" i="1"/>
  <c r="G3285" i="1"/>
  <c r="L3284" i="1"/>
  <c r="J3284" i="1"/>
  <c r="G3284" i="1"/>
  <c r="L3283" i="1"/>
  <c r="J3283" i="1"/>
  <c r="G3283" i="1"/>
  <c r="L3282" i="1"/>
  <c r="J3282" i="1"/>
  <c r="G3282" i="1"/>
  <c r="L3281" i="1"/>
  <c r="J3281" i="1"/>
  <c r="G3281" i="1"/>
  <c r="L3280" i="1"/>
  <c r="J3280" i="1"/>
  <c r="G3280" i="1"/>
  <c r="L3279" i="1"/>
  <c r="J3279" i="1"/>
  <c r="G3279" i="1"/>
  <c r="L3278" i="1"/>
  <c r="J3278" i="1"/>
  <c r="G3278" i="1"/>
  <c r="L3277" i="1"/>
  <c r="J3277" i="1"/>
  <c r="G3277" i="1"/>
  <c r="L3276" i="1"/>
  <c r="J3276" i="1"/>
  <c r="G3276" i="1"/>
  <c r="L3275" i="1"/>
  <c r="J3275" i="1"/>
  <c r="G3275" i="1"/>
  <c r="L3274" i="1"/>
  <c r="J3274" i="1"/>
  <c r="G3274" i="1"/>
  <c r="L3273" i="1"/>
  <c r="J3273" i="1"/>
  <c r="G3273" i="1"/>
  <c r="L3272" i="1"/>
  <c r="J3272" i="1"/>
  <c r="G3272" i="1"/>
  <c r="L3271" i="1"/>
  <c r="J3271" i="1"/>
  <c r="G3271" i="1"/>
  <c r="L3270" i="1"/>
  <c r="J3270" i="1"/>
  <c r="G3270" i="1"/>
  <c r="L3269" i="1"/>
  <c r="J3269" i="1"/>
  <c r="G3269" i="1"/>
  <c r="L3268" i="1"/>
  <c r="J3268" i="1"/>
  <c r="G3268" i="1"/>
  <c r="L3267" i="1"/>
  <c r="J3267" i="1"/>
  <c r="G3267" i="1"/>
  <c r="L3266" i="1"/>
  <c r="J3266" i="1"/>
  <c r="G3266" i="1"/>
  <c r="L3265" i="1"/>
  <c r="J3265" i="1"/>
  <c r="G3265" i="1"/>
  <c r="L3264" i="1"/>
  <c r="J3264" i="1"/>
  <c r="G3264" i="1"/>
  <c r="L3263" i="1"/>
  <c r="J3263" i="1"/>
  <c r="G3263" i="1"/>
  <c r="L3262" i="1"/>
  <c r="J3262" i="1"/>
  <c r="G3262" i="1"/>
  <c r="L3261" i="1"/>
  <c r="J3261" i="1"/>
  <c r="G3261" i="1"/>
  <c r="L3260" i="1"/>
  <c r="J3260" i="1"/>
  <c r="G3260" i="1"/>
  <c r="L3259" i="1"/>
  <c r="J3259" i="1"/>
  <c r="G3259" i="1"/>
  <c r="L3258" i="1"/>
  <c r="J3258" i="1"/>
  <c r="G3258" i="1"/>
  <c r="L3257" i="1"/>
  <c r="J3257" i="1"/>
  <c r="G3257" i="1"/>
  <c r="L3256" i="1"/>
  <c r="J3256" i="1"/>
  <c r="G3256" i="1"/>
  <c r="L3255" i="1"/>
  <c r="J3255" i="1"/>
  <c r="G3255" i="1"/>
  <c r="L3254" i="1"/>
  <c r="J3254" i="1"/>
  <c r="G3254" i="1"/>
  <c r="L3253" i="1"/>
  <c r="J3253" i="1"/>
  <c r="G3253" i="1"/>
  <c r="L3252" i="1"/>
  <c r="J3252" i="1"/>
  <c r="G3252" i="1"/>
  <c r="L3251" i="1"/>
  <c r="J3251" i="1"/>
  <c r="G3251" i="1"/>
  <c r="L3250" i="1"/>
  <c r="J3250" i="1"/>
  <c r="G3250" i="1"/>
  <c r="L3249" i="1"/>
  <c r="J3249" i="1"/>
  <c r="G3249" i="1"/>
  <c r="L3248" i="1"/>
  <c r="J3248" i="1"/>
  <c r="G3248" i="1"/>
  <c r="L3247" i="1"/>
  <c r="I3247" i="1"/>
  <c r="H3247" i="1"/>
  <c r="L3246" i="1"/>
  <c r="I3246" i="1"/>
  <c r="H3246" i="1"/>
  <c r="L3245" i="1"/>
  <c r="J3245" i="1"/>
  <c r="G3245" i="1"/>
  <c r="L3244" i="1"/>
  <c r="J3244" i="1"/>
  <c r="G3244" i="1"/>
  <c r="L3243" i="1"/>
  <c r="J3243" i="1"/>
  <c r="G3243" i="1"/>
  <c r="L3242" i="1"/>
  <c r="J3242" i="1"/>
  <c r="G3242" i="1"/>
  <c r="L3241" i="1"/>
  <c r="J3241" i="1"/>
  <c r="G3241" i="1"/>
  <c r="L3240" i="1"/>
  <c r="J3240" i="1"/>
  <c r="G3240" i="1"/>
  <c r="L3239" i="1"/>
  <c r="J3239" i="1"/>
  <c r="G3239" i="1"/>
  <c r="L3238" i="1"/>
  <c r="J3238" i="1"/>
  <c r="G3238" i="1"/>
  <c r="L3237" i="1"/>
  <c r="J3237" i="1"/>
  <c r="G3237" i="1"/>
  <c r="L3236" i="1"/>
  <c r="J3236" i="1"/>
  <c r="G3236" i="1"/>
  <c r="L3235" i="1"/>
  <c r="J3235" i="1"/>
  <c r="G3235" i="1"/>
  <c r="L3234" i="1"/>
  <c r="J3234" i="1"/>
  <c r="G3234" i="1"/>
  <c r="L3233" i="1"/>
  <c r="J3233" i="1"/>
  <c r="G3233" i="1"/>
  <c r="L3232" i="1"/>
  <c r="J3232" i="1"/>
  <c r="G3232" i="1"/>
  <c r="L3231" i="1"/>
  <c r="J3231" i="1"/>
  <c r="G3231" i="1"/>
  <c r="L3230" i="1"/>
  <c r="J3230" i="1"/>
  <c r="G3230" i="1"/>
  <c r="L3229" i="1"/>
  <c r="J3229" i="1"/>
  <c r="G3229" i="1"/>
  <c r="L3207" i="1"/>
  <c r="J3207" i="1"/>
  <c r="G3207" i="1"/>
  <c r="L3206" i="1"/>
  <c r="J3206" i="1"/>
  <c r="G3206" i="1"/>
  <c r="L3205" i="1"/>
  <c r="J3205" i="1"/>
  <c r="G3205" i="1"/>
  <c r="L3204" i="1"/>
  <c r="J3204" i="1"/>
  <c r="G3204" i="1"/>
  <c r="L3203" i="1"/>
  <c r="L3227" i="1" s="1"/>
  <c r="J3203" i="1"/>
  <c r="J3227" i="1" s="1"/>
  <c r="G3203" i="1"/>
  <c r="L3195" i="1"/>
  <c r="J3195" i="1"/>
  <c r="G3195" i="1"/>
  <c r="L3194" i="1"/>
  <c r="J3194" i="1"/>
  <c r="G3194" i="1"/>
  <c r="L3193" i="1"/>
  <c r="J3193" i="1"/>
  <c r="G3193" i="1"/>
  <c r="L3192" i="1"/>
  <c r="J3192" i="1"/>
  <c r="G3192" i="1"/>
  <c r="L3191" i="1"/>
  <c r="J3191" i="1"/>
  <c r="G3191" i="1"/>
  <c r="L3190" i="1"/>
  <c r="J3190" i="1"/>
  <c r="G3190" i="1"/>
  <c r="L3189" i="1"/>
  <c r="J3189" i="1"/>
  <c r="G3189" i="1"/>
  <c r="L3188" i="1"/>
  <c r="J3188" i="1"/>
  <c r="G3188" i="1"/>
  <c r="L3187" i="1"/>
  <c r="J3187" i="1"/>
  <c r="G3187" i="1"/>
  <c r="L3186" i="1"/>
  <c r="J3186" i="1"/>
  <c r="G3186" i="1"/>
  <c r="L3185" i="1"/>
  <c r="J3185" i="1"/>
  <c r="G3185" i="1"/>
  <c r="L3184" i="1"/>
  <c r="J3184" i="1"/>
  <c r="G3184" i="1"/>
  <c r="L3183" i="1"/>
  <c r="J3183" i="1"/>
  <c r="G3183" i="1"/>
  <c r="L3182" i="1"/>
  <c r="J3182" i="1"/>
  <c r="G3182" i="1"/>
  <c r="L3181" i="1"/>
  <c r="J3181" i="1"/>
  <c r="G3181" i="1"/>
  <c r="L3180" i="1"/>
  <c r="J3180" i="1"/>
  <c r="G3180" i="1"/>
  <c r="L3179" i="1"/>
  <c r="J3179" i="1"/>
  <c r="G3179" i="1"/>
  <c r="L3178" i="1"/>
  <c r="J3178" i="1"/>
  <c r="G3178" i="1"/>
  <c r="L3177" i="1"/>
  <c r="L3201" i="1" s="1"/>
  <c r="J3177" i="1"/>
  <c r="J3201" i="1" s="1"/>
  <c r="G3177" i="1"/>
  <c r="L3155" i="1"/>
  <c r="J3155" i="1"/>
  <c r="G3155" i="1"/>
  <c r="L3154" i="1"/>
  <c r="J3154" i="1"/>
  <c r="G3154" i="1"/>
  <c r="L3153" i="1"/>
  <c r="J3153" i="1"/>
  <c r="G3153" i="1"/>
  <c r="L3152" i="1"/>
  <c r="J3152" i="1"/>
  <c r="G3152" i="1"/>
  <c r="L3151" i="1"/>
  <c r="J3151" i="1"/>
  <c r="G3151" i="1"/>
  <c r="L3150" i="1"/>
  <c r="J3150" i="1"/>
  <c r="G3150" i="1"/>
  <c r="L3149" i="1"/>
  <c r="J3149" i="1"/>
  <c r="G3149" i="1"/>
  <c r="L3148" i="1"/>
  <c r="J3148" i="1"/>
  <c r="G3148" i="1"/>
  <c r="L3147" i="1"/>
  <c r="J3147" i="1"/>
  <c r="G3147" i="1"/>
  <c r="L3146" i="1"/>
  <c r="J3146" i="1"/>
  <c r="G3146" i="1"/>
  <c r="L3145" i="1"/>
  <c r="J3145" i="1"/>
  <c r="G3145" i="1"/>
  <c r="L3144" i="1"/>
  <c r="J3144" i="1"/>
  <c r="G3144" i="1"/>
  <c r="L3143" i="1"/>
  <c r="J3143" i="1"/>
  <c r="G3143" i="1"/>
  <c r="L3142" i="1"/>
  <c r="J3142" i="1"/>
  <c r="G3142" i="1"/>
  <c r="L3141" i="1"/>
  <c r="J3141" i="1"/>
  <c r="G3141" i="1"/>
  <c r="L3140" i="1"/>
  <c r="J3140" i="1"/>
  <c r="G3140" i="1"/>
  <c r="L3139" i="1"/>
  <c r="J3139" i="1"/>
  <c r="G3139" i="1"/>
  <c r="L3138" i="1"/>
  <c r="J3138" i="1"/>
  <c r="G3138" i="1"/>
  <c r="L3137" i="1"/>
  <c r="J3137" i="1"/>
  <c r="G3137" i="1"/>
  <c r="L3136" i="1"/>
  <c r="J3136" i="1"/>
  <c r="G3136" i="1"/>
  <c r="L3135" i="1"/>
  <c r="J3135" i="1"/>
  <c r="G3135" i="1"/>
  <c r="L3134" i="1"/>
  <c r="J3134" i="1"/>
  <c r="G3134" i="1"/>
  <c r="L3133" i="1"/>
  <c r="J3133" i="1"/>
  <c r="G3133" i="1"/>
  <c r="L3132" i="1"/>
  <c r="J3132" i="1"/>
  <c r="G3132" i="1"/>
  <c r="L3131" i="1"/>
  <c r="J3131" i="1"/>
  <c r="G3131" i="1"/>
  <c r="L3130" i="1"/>
  <c r="J3130" i="1"/>
  <c r="G3130" i="1"/>
  <c r="L3129" i="1"/>
  <c r="J3129" i="1"/>
  <c r="G3129" i="1"/>
  <c r="L3128" i="1"/>
  <c r="J3128" i="1"/>
  <c r="G3128" i="1"/>
  <c r="L3127" i="1"/>
  <c r="J3127" i="1"/>
  <c r="G3127" i="1"/>
  <c r="L3126" i="1"/>
  <c r="J3126" i="1"/>
  <c r="G3126" i="1"/>
  <c r="L3125" i="1"/>
  <c r="L3175" i="1" s="1"/>
  <c r="J3125" i="1"/>
  <c r="J3175" i="1" s="1"/>
  <c r="G3125" i="1"/>
  <c r="L3111" i="1"/>
  <c r="J3111" i="1"/>
  <c r="G3111" i="1"/>
  <c r="L3110" i="1"/>
  <c r="J3110" i="1"/>
  <c r="G3110" i="1"/>
  <c r="L3109" i="1"/>
  <c r="L3123" i="1" s="1"/>
  <c r="J3109" i="1"/>
  <c r="J3123" i="1" s="1"/>
  <c r="G3109" i="1"/>
  <c r="L3108" i="1"/>
  <c r="J3108" i="1"/>
  <c r="G3108" i="1"/>
  <c r="L3107" i="1"/>
  <c r="J3107" i="1"/>
  <c r="G3107" i="1"/>
  <c r="L3106" i="1"/>
  <c r="J3106" i="1"/>
  <c r="G3106" i="1"/>
  <c r="L3105" i="1"/>
  <c r="J3105" i="1"/>
  <c r="G3105" i="1"/>
  <c r="L3104" i="1"/>
  <c r="J3104" i="1"/>
  <c r="G3104" i="1"/>
  <c r="L3103" i="1"/>
  <c r="J3103" i="1"/>
  <c r="G3103" i="1"/>
  <c r="L3102" i="1"/>
  <c r="J3102" i="1"/>
  <c r="G3102" i="1"/>
  <c r="L3101" i="1"/>
  <c r="J3101" i="1"/>
  <c r="G3101" i="1"/>
  <c r="L3100" i="1"/>
  <c r="J3100" i="1"/>
  <c r="G3100" i="1"/>
  <c r="L3099" i="1"/>
  <c r="J3099" i="1"/>
  <c r="G3099" i="1"/>
  <c r="L3079" i="1"/>
  <c r="J3079" i="1"/>
  <c r="G3079" i="1"/>
  <c r="L3078" i="1"/>
  <c r="J3078" i="1"/>
  <c r="G3078" i="1"/>
  <c r="L3077" i="1"/>
  <c r="J3077" i="1"/>
  <c r="G3077" i="1"/>
  <c r="L3076" i="1"/>
  <c r="J3076" i="1"/>
  <c r="G3076" i="1"/>
  <c r="L3075" i="1"/>
  <c r="J3075" i="1"/>
  <c r="G3075" i="1"/>
  <c r="L3074" i="1"/>
  <c r="J3074" i="1"/>
  <c r="G3074" i="1"/>
  <c r="L3073" i="1"/>
  <c r="L3097" i="1" s="1"/>
  <c r="J3073" i="1"/>
  <c r="J3097" i="1" s="1"/>
  <c r="G3073" i="1"/>
  <c r="L3064" i="1"/>
  <c r="J3064" i="1"/>
  <c r="G3064" i="1"/>
  <c r="L3063" i="1"/>
  <c r="J3063" i="1"/>
  <c r="G3063" i="1"/>
  <c r="L3062" i="1"/>
  <c r="J3062" i="1"/>
  <c r="G3062" i="1"/>
  <c r="L3061" i="1"/>
  <c r="J3061" i="1"/>
  <c r="G3061" i="1"/>
  <c r="L3060" i="1"/>
  <c r="J3060" i="1"/>
  <c r="G3060" i="1"/>
  <c r="L3059" i="1"/>
  <c r="J3059" i="1"/>
  <c r="G3059" i="1"/>
  <c r="L3058" i="1"/>
  <c r="J3058" i="1"/>
  <c r="G3058" i="1"/>
  <c r="L3057" i="1"/>
  <c r="J3057" i="1"/>
  <c r="G3057" i="1"/>
  <c r="L3056" i="1"/>
  <c r="J3056" i="1"/>
  <c r="G3056" i="1"/>
  <c r="L3055" i="1"/>
  <c r="J3055" i="1"/>
  <c r="G3055" i="1"/>
  <c r="L3054" i="1"/>
  <c r="J3054" i="1"/>
  <c r="G3054" i="1"/>
  <c r="L3053" i="1"/>
  <c r="J3053" i="1"/>
  <c r="G3053" i="1"/>
  <c r="L3052" i="1"/>
  <c r="J3052" i="1"/>
  <c r="G3052" i="1"/>
  <c r="L3051" i="1"/>
  <c r="J3051" i="1"/>
  <c r="G3051" i="1"/>
  <c r="L3050" i="1"/>
  <c r="J3050" i="1"/>
  <c r="G3050" i="1"/>
  <c r="L3049" i="1"/>
  <c r="J3049" i="1"/>
  <c r="G3049" i="1"/>
  <c r="L3048" i="1"/>
  <c r="J3048" i="1"/>
  <c r="G3048" i="1"/>
  <c r="L3047" i="1"/>
  <c r="L3071" i="1" s="1"/>
  <c r="J3047" i="1"/>
  <c r="J3071" i="1" s="1"/>
  <c r="G3047" i="1"/>
  <c r="K3032" i="1"/>
  <c r="J3032" i="1"/>
  <c r="H3032" i="1"/>
  <c r="K3031" i="1"/>
  <c r="J3031" i="1"/>
  <c r="H3031" i="1"/>
  <c r="K3030" i="1"/>
  <c r="J3030" i="1"/>
  <c r="H3030" i="1"/>
  <c r="K3029" i="1"/>
  <c r="J3029" i="1"/>
  <c r="H3029" i="1"/>
  <c r="K3028" i="1"/>
  <c r="J3028" i="1"/>
  <c r="H3028" i="1"/>
  <c r="K3027" i="1"/>
  <c r="J3027" i="1"/>
  <c r="H3027" i="1"/>
  <c r="K3026" i="1"/>
  <c r="J3026" i="1"/>
  <c r="H3026" i="1"/>
  <c r="K3025" i="1"/>
  <c r="J3025" i="1"/>
  <c r="H3025" i="1"/>
  <c r="K3024" i="1"/>
  <c r="J3024" i="1"/>
  <c r="H3024" i="1"/>
  <c r="L3023" i="1"/>
  <c r="J3023" i="1"/>
  <c r="G3023" i="1"/>
  <c r="K3022" i="1"/>
  <c r="J3022" i="1"/>
  <c r="H3022" i="1"/>
  <c r="L3021" i="1"/>
  <c r="J3021" i="1"/>
  <c r="J3045" i="1" s="1"/>
  <c r="G3021" i="1"/>
  <c r="K3003" i="1"/>
  <c r="J3003" i="1"/>
  <c r="H3003" i="1"/>
  <c r="K3002" i="1"/>
  <c r="J3002" i="1"/>
  <c r="H3002" i="1"/>
  <c r="K3001" i="1"/>
  <c r="J3001" i="1"/>
  <c r="H3001" i="1"/>
  <c r="K3000" i="1"/>
  <c r="J3000" i="1"/>
  <c r="H3000" i="1"/>
  <c r="K2999" i="1"/>
  <c r="J2999" i="1"/>
  <c r="H2999" i="1"/>
  <c r="K2998" i="1"/>
  <c r="J2998" i="1"/>
  <c r="H2998" i="1"/>
  <c r="L2997" i="1"/>
  <c r="J2997" i="1"/>
  <c r="G2997" i="1"/>
  <c r="K2996" i="1"/>
  <c r="J2996" i="1"/>
  <c r="H2996" i="1"/>
  <c r="L2995" i="1"/>
  <c r="J2995" i="1"/>
  <c r="J3019" i="1" s="1"/>
  <c r="G2995" i="1"/>
  <c r="K2979" i="1"/>
  <c r="J2979" i="1"/>
  <c r="H2979" i="1"/>
  <c r="K2978" i="1"/>
  <c r="J2978" i="1"/>
  <c r="H2978" i="1"/>
  <c r="K2977" i="1"/>
  <c r="J2977" i="1"/>
  <c r="H2977" i="1"/>
  <c r="K2976" i="1"/>
  <c r="J2976" i="1"/>
  <c r="H2976" i="1"/>
  <c r="K2975" i="1"/>
  <c r="J2975" i="1"/>
  <c r="H2975" i="1"/>
  <c r="K2974" i="1"/>
  <c r="J2974" i="1"/>
  <c r="H2974" i="1"/>
  <c r="K2973" i="1"/>
  <c r="J2973" i="1"/>
  <c r="H2973" i="1"/>
  <c r="K2972" i="1"/>
  <c r="J2972" i="1"/>
  <c r="H2972" i="1"/>
  <c r="L2971" i="1"/>
  <c r="J2971" i="1"/>
  <c r="G2971" i="1"/>
  <c r="K2970" i="1"/>
  <c r="J2970" i="1"/>
  <c r="H2970" i="1"/>
  <c r="L2969" i="1"/>
  <c r="J2969" i="1"/>
  <c r="J2993" i="1" s="1"/>
  <c r="G2969" i="1"/>
  <c r="K2953" i="1"/>
  <c r="J2953" i="1"/>
  <c r="H2953" i="1"/>
  <c r="K2952" i="1"/>
  <c r="J2952" i="1"/>
  <c r="H2952" i="1"/>
  <c r="K2951" i="1"/>
  <c r="J2951" i="1"/>
  <c r="H2951" i="1"/>
  <c r="K2950" i="1"/>
  <c r="J2950" i="1"/>
  <c r="H2950" i="1"/>
  <c r="K2949" i="1"/>
  <c r="J2949" i="1"/>
  <c r="H2949" i="1"/>
  <c r="K2948" i="1"/>
  <c r="J2948" i="1"/>
  <c r="H2948" i="1"/>
  <c r="K2947" i="1"/>
  <c r="J2947" i="1"/>
  <c r="H2947" i="1"/>
  <c r="K2946" i="1"/>
  <c r="J2946" i="1"/>
  <c r="H2946" i="1"/>
  <c r="L2945" i="1"/>
  <c r="J2945" i="1"/>
  <c r="G2945" i="1"/>
  <c r="K2944" i="1"/>
  <c r="J2944" i="1"/>
  <c r="H2944" i="1"/>
  <c r="L2943" i="1"/>
  <c r="J2943" i="1"/>
  <c r="J2967" i="1" s="1"/>
  <c r="G2943" i="1"/>
  <c r="K2916" i="1"/>
  <c r="J2916" i="1"/>
  <c r="H2916" i="1"/>
  <c r="K2915" i="1"/>
  <c r="J2915" i="1"/>
  <c r="H2915" i="1"/>
  <c r="K2914" i="1"/>
  <c r="J2914" i="1"/>
  <c r="H2914" i="1"/>
  <c r="K2913" i="1"/>
  <c r="J2913" i="1"/>
  <c r="H2913" i="1"/>
  <c r="K2912" i="1"/>
  <c r="J2912" i="1"/>
  <c r="H2912" i="1"/>
  <c r="K2911" i="1"/>
  <c r="J2911" i="1"/>
  <c r="H2911" i="1"/>
  <c r="K2910" i="1"/>
  <c r="J2910" i="1"/>
  <c r="H2910" i="1"/>
  <c r="K2909" i="1"/>
  <c r="J2909" i="1"/>
  <c r="H2909" i="1"/>
  <c r="K2908" i="1"/>
  <c r="J2908" i="1"/>
  <c r="H2908" i="1"/>
  <c r="K2907" i="1"/>
  <c r="J2907" i="1"/>
  <c r="H2907" i="1"/>
  <c r="L2906" i="1"/>
  <c r="J2906" i="1"/>
  <c r="G2906" i="1"/>
  <c r="K2905" i="1"/>
  <c r="J2905" i="1"/>
  <c r="H2905" i="1"/>
  <c r="K2904" i="1"/>
  <c r="J2904" i="1"/>
  <c r="H2904" i="1"/>
  <c r="K2903" i="1"/>
  <c r="J2903" i="1"/>
  <c r="H2903" i="1"/>
  <c r="K2902" i="1"/>
  <c r="J2902" i="1"/>
  <c r="H2902" i="1"/>
  <c r="K2901" i="1"/>
  <c r="J2901" i="1"/>
  <c r="H2901" i="1"/>
  <c r="K2900" i="1"/>
  <c r="J2900" i="1"/>
  <c r="H2900" i="1"/>
  <c r="K2899" i="1"/>
  <c r="J2899" i="1"/>
  <c r="H2899" i="1"/>
  <c r="K2898" i="1"/>
  <c r="J2898" i="1"/>
  <c r="H2898" i="1"/>
  <c r="K2897" i="1"/>
  <c r="J2897" i="1"/>
  <c r="H2897" i="1"/>
  <c r="K2896" i="1"/>
  <c r="J2896" i="1"/>
  <c r="H2896" i="1"/>
  <c r="K2895" i="1"/>
  <c r="J2895" i="1"/>
  <c r="H2895" i="1"/>
  <c r="K2894" i="1"/>
  <c r="J2894" i="1"/>
  <c r="H2894" i="1"/>
  <c r="L2893" i="1"/>
  <c r="J2893" i="1"/>
  <c r="G2893" i="1"/>
  <c r="K2892" i="1"/>
  <c r="J2892" i="1"/>
  <c r="H2892" i="1"/>
  <c r="L2891" i="1"/>
  <c r="J2891" i="1"/>
  <c r="J2941" i="1" s="1"/>
  <c r="G2891" i="1"/>
  <c r="L2886" i="1"/>
  <c r="J2886" i="1"/>
  <c r="L2885" i="1"/>
  <c r="I2885" i="1"/>
  <c r="H2885" i="1"/>
  <c r="L2884" i="1"/>
  <c r="J2884" i="1"/>
  <c r="G2884" i="1"/>
  <c r="K2883" i="1"/>
  <c r="L2883" i="1" s="1"/>
  <c r="I2883" i="1"/>
  <c r="J2883" i="1" s="1"/>
  <c r="G2883" i="1"/>
  <c r="K2882" i="1"/>
  <c r="L2882" i="1" s="1"/>
  <c r="I2882" i="1"/>
  <c r="J2882" i="1" s="1"/>
  <c r="G2882" i="1"/>
  <c r="K2881" i="1"/>
  <c r="L2881" i="1" s="1"/>
  <c r="I2881" i="1"/>
  <c r="J2881" i="1" s="1"/>
  <c r="G2881" i="1"/>
  <c r="K2880" i="1"/>
  <c r="L2880" i="1" s="1"/>
  <c r="I2880" i="1"/>
  <c r="J2880" i="1" s="1"/>
  <c r="G2880" i="1"/>
  <c r="K2879" i="1"/>
  <c r="L2879" i="1" s="1"/>
  <c r="I2879" i="1"/>
  <c r="J2879" i="1" s="1"/>
  <c r="G2879" i="1"/>
  <c r="L2878" i="1"/>
  <c r="J2878" i="1"/>
  <c r="G2878" i="1"/>
  <c r="L2877" i="1"/>
  <c r="J2877" i="1"/>
  <c r="G2877" i="1"/>
  <c r="L2876" i="1"/>
  <c r="J2876" i="1"/>
  <c r="G2876" i="1"/>
  <c r="L2875" i="1"/>
  <c r="J2875" i="1"/>
  <c r="G2875" i="1"/>
  <c r="K2874" i="1"/>
  <c r="L2874" i="1" s="1"/>
  <c r="I2874" i="1"/>
  <c r="J2874" i="1" s="1"/>
  <c r="G2874" i="1"/>
  <c r="L2873" i="1"/>
  <c r="J2873" i="1"/>
  <c r="G2873" i="1"/>
  <c r="L2872" i="1"/>
  <c r="J2872" i="1"/>
  <c r="G2872" i="1"/>
  <c r="L2871" i="1"/>
  <c r="J2871" i="1"/>
  <c r="G2871" i="1"/>
  <c r="L2870" i="1"/>
  <c r="J2870" i="1"/>
  <c r="G2870" i="1"/>
  <c r="L2869" i="1"/>
  <c r="J2869" i="1"/>
  <c r="G2869" i="1"/>
  <c r="L2868" i="1"/>
  <c r="J2868" i="1"/>
  <c r="G2868" i="1"/>
  <c r="L2867" i="1"/>
  <c r="J2867" i="1"/>
  <c r="L2866" i="1"/>
  <c r="J2866" i="1"/>
  <c r="G2866" i="1"/>
  <c r="L2865" i="1"/>
  <c r="L2889" i="1" s="1"/>
  <c r="J2865" i="1"/>
  <c r="J2889" i="1" s="1"/>
  <c r="G2865" i="1"/>
  <c r="L2839" i="1"/>
  <c r="J2839" i="1"/>
  <c r="L2838" i="1"/>
  <c r="I2838" i="1"/>
  <c r="H2838" i="1"/>
  <c r="L2837" i="1"/>
  <c r="I2837" i="1"/>
  <c r="H2837" i="1"/>
  <c r="L2836" i="1"/>
  <c r="J2836" i="1"/>
  <c r="G2836" i="1"/>
  <c r="L2835" i="1"/>
  <c r="J2835" i="1"/>
  <c r="G2835" i="1"/>
  <c r="L2834" i="1"/>
  <c r="J2834" i="1"/>
  <c r="G2834" i="1"/>
  <c r="L2833" i="1"/>
  <c r="J2833" i="1"/>
  <c r="G2833" i="1"/>
  <c r="K2832" i="1"/>
  <c r="L2832" i="1" s="1"/>
  <c r="I2832" i="1"/>
  <c r="J2832" i="1" s="1"/>
  <c r="G2832" i="1"/>
  <c r="K2831" i="1"/>
  <c r="L2831" i="1" s="1"/>
  <c r="I2831" i="1"/>
  <c r="J2831" i="1" s="1"/>
  <c r="G2831" i="1"/>
  <c r="L2830" i="1"/>
  <c r="J2830" i="1"/>
  <c r="G2830" i="1"/>
  <c r="K2829" i="1"/>
  <c r="L2829" i="1" s="1"/>
  <c r="I2829" i="1"/>
  <c r="J2829" i="1" s="1"/>
  <c r="G2829" i="1"/>
  <c r="K2828" i="1"/>
  <c r="L2828" i="1" s="1"/>
  <c r="I2828" i="1"/>
  <c r="J2828" i="1" s="1"/>
  <c r="G2828" i="1"/>
  <c r="L2827" i="1"/>
  <c r="J2827" i="1"/>
  <c r="G2827" i="1"/>
  <c r="L2826" i="1"/>
  <c r="J2826" i="1"/>
  <c r="G2826" i="1"/>
  <c r="L2825" i="1"/>
  <c r="J2825" i="1"/>
  <c r="G2825" i="1"/>
  <c r="L2824" i="1"/>
  <c r="J2824" i="1"/>
  <c r="G2824" i="1"/>
  <c r="L2823" i="1"/>
  <c r="J2823" i="1"/>
  <c r="G2823" i="1"/>
  <c r="L2822" i="1"/>
  <c r="J2822" i="1"/>
  <c r="G2822" i="1"/>
  <c r="L2821" i="1"/>
  <c r="J2821" i="1"/>
  <c r="G2821" i="1"/>
  <c r="L2820" i="1"/>
  <c r="J2820" i="1"/>
  <c r="G2820" i="1"/>
  <c r="L2819" i="1"/>
  <c r="J2819" i="1"/>
  <c r="G2819" i="1"/>
  <c r="L2818" i="1"/>
  <c r="J2818" i="1"/>
  <c r="G2818" i="1"/>
  <c r="K2817" i="1"/>
  <c r="L2817" i="1" s="1"/>
  <c r="I2817" i="1"/>
  <c r="J2817" i="1" s="1"/>
  <c r="G2817" i="1"/>
  <c r="K2816" i="1"/>
  <c r="L2816" i="1" s="1"/>
  <c r="I2816" i="1"/>
  <c r="J2816" i="1" s="1"/>
  <c r="G2816" i="1"/>
  <c r="L2815" i="1"/>
  <c r="J2815" i="1"/>
  <c r="L2814" i="1"/>
  <c r="J2814" i="1"/>
  <c r="G2814" i="1"/>
  <c r="L2813" i="1"/>
  <c r="L2863" i="1" s="1"/>
  <c r="J2813" i="1"/>
  <c r="J2863" i="1" s="1"/>
  <c r="G2813" i="1"/>
  <c r="L2803" i="1"/>
  <c r="J2803" i="1"/>
  <c r="L2802" i="1"/>
  <c r="I2802" i="1"/>
  <c r="H2802" i="1"/>
  <c r="L2801" i="1"/>
  <c r="I2801" i="1"/>
  <c r="H2801" i="1"/>
  <c r="L2800" i="1"/>
  <c r="J2800" i="1"/>
  <c r="G2800" i="1"/>
  <c r="L2799" i="1"/>
  <c r="J2799" i="1"/>
  <c r="G2799" i="1"/>
  <c r="L2798" i="1"/>
  <c r="J2798" i="1"/>
  <c r="G2798" i="1"/>
  <c r="L2797" i="1"/>
  <c r="J2797" i="1"/>
  <c r="G2797" i="1"/>
  <c r="L2796" i="1"/>
  <c r="J2796" i="1"/>
  <c r="G2796" i="1"/>
  <c r="L2795" i="1"/>
  <c r="J2795" i="1"/>
  <c r="G2795" i="1"/>
  <c r="L2794" i="1"/>
  <c r="J2794" i="1"/>
  <c r="G2794" i="1"/>
  <c r="L2793" i="1"/>
  <c r="J2793" i="1"/>
  <c r="G2793" i="1"/>
  <c r="L2792" i="1"/>
  <c r="J2792" i="1"/>
  <c r="G2792" i="1"/>
  <c r="L2791" i="1"/>
  <c r="J2791" i="1"/>
  <c r="G2791" i="1"/>
  <c r="L2790" i="1"/>
  <c r="J2790" i="1"/>
  <c r="G2790" i="1"/>
  <c r="L2789" i="1"/>
  <c r="J2789" i="1"/>
  <c r="G2789" i="1"/>
  <c r="L2788" i="1"/>
  <c r="J2788" i="1"/>
  <c r="G2788" i="1"/>
  <c r="K2787" i="1"/>
  <c r="L2787" i="1" s="1"/>
  <c r="I2787" i="1"/>
  <c r="J2787" i="1" s="1"/>
  <c r="G2787" i="1"/>
  <c r="K2786" i="1"/>
  <c r="L2786" i="1" s="1"/>
  <c r="J2786" i="1"/>
  <c r="I2786" i="1"/>
  <c r="G2786" i="1"/>
  <c r="K2785" i="1"/>
  <c r="L2785" i="1" s="1"/>
  <c r="I2785" i="1"/>
  <c r="J2785" i="1" s="1"/>
  <c r="G2785" i="1"/>
  <c r="L2784" i="1"/>
  <c r="J2784" i="1"/>
  <c r="G2784" i="1"/>
  <c r="L2783" i="1"/>
  <c r="J2783" i="1"/>
  <c r="G2783" i="1"/>
  <c r="L2782" i="1"/>
  <c r="J2782" i="1"/>
  <c r="G2782" i="1"/>
  <c r="K2781" i="1"/>
  <c r="L2781" i="1" s="1"/>
  <c r="I2781" i="1"/>
  <c r="J2781" i="1" s="1"/>
  <c r="G2781" i="1"/>
  <c r="K2780" i="1"/>
  <c r="L2780" i="1" s="1"/>
  <c r="I2780" i="1"/>
  <c r="J2780" i="1" s="1"/>
  <c r="G2780" i="1"/>
  <c r="K2779" i="1"/>
  <c r="L2779" i="1" s="1"/>
  <c r="J2779" i="1"/>
  <c r="I2779" i="1"/>
  <c r="G2779" i="1"/>
  <c r="L2778" i="1"/>
  <c r="J2778" i="1"/>
  <c r="G2778" i="1"/>
  <c r="L2777" i="1"/>
  <c r="J2777" i="1"/>
  <c r="G2777" i="1"/>
  <c r="L2776" i="1"/>
  <c r="J2776" i="1"/>
  <c r="G2776" i="1"/>
  <c r="L2775" i="1"/>
  <c r="J2775" i="1"/>
  <c r="G2775" i="1"/>
  <c r="L2774" i="1"/>
  <c r="J2774" i="1"/>
  <c r="G2774" i="1"/>
  <c r="L2773" i="1"/>
  <c r="J2773" i="1"/>
  <c r="G2773" i="1"/>
  <c r="L2772" i="1"/>
  <c r="J2772" i="1"/>
  <c r="G2772" i="1"/>
  <c r="L2771" i="1"/>
  <c r="J2771" i="1"/>
  <c r="G2771" i="1"/>
  <c r="L2770" i="1"/>
  <c r="J2770" i="1"/>
  <c r="G2770" i="1"/>
  <c r="L2769" i="1"/>
  <c r="J2769" i="1"/>
  <c r="G2769" i="1"/>
  <c r="L2768" i="1"/>
  <c r="J2768" i="1"/>
  <c r="G2768" i="1"/>
  <c r="L2767" i="1"/>
  <c r="J2767" i="1"/>
  <c r="G2767" i="1"/>
  <c r="L2766" i="1"/>
  <c r="J2766" i="1"/>
  <c r="G2766" i="1"/>
  <c r="L2765" i="1"/>
  <c r="J2765" i="1"/>
  <c r="G2765" i="1"/>
  <c r="L2764" i="1"/>
  <c r="J2764" i="1"/>
  <c r="G2764" i="1"/>
  <c r="L2763" i="1"/>
  <c r="J2763" i="1"/>
  <c r="G2763" i="1"/>
  <c r="L2762" i="1"/>
  <c r="J2762" i="1"/>
  <c r="G2762" i="1"/>
  <c r="L2761" i="1"/>
  <c r="J2761" i="1"/>
  <c r="G2761" i="1"/>
  <c r="L2760" i="1"/>
  <c r="J2760" i="1"/>
  <c r="G2760" i="1"/>
  <c r="L2759" i="1"/>
  <c r="J2759" i="1"/>
  <c r="G2759" i="1"/>
  <c r="L2758" i="1"/>
  <c r="J2758" i="1"/>
  <c r="G2758" i="1"/>
  <c r="L2757" i="1"/>
  <c r="J2757" i="1"/>
  <c r="G2757" i="1"/>
  <c r="L2756" i="1"/>
  <c r="J2756" i="1"/>
  <c r="G2756" i="1"/>
  <c r="L2755" i="1"/>
  <c r="L2811" i="1" s="1"/>
  <c r="J2755" i="1"/>
  <c r="J2811" i="1" s="1"/>
  <c r="G2755" i="1"/>
  <c r="L2754" i="1"/>
  <c r="J2754" i="1"/>
  <c r="G2754" i="1"/>
  <c r="L2753" i="1"/>
  <c r="J2753" i="1"/>
  <c r="G2753" i="1"/>
  <c r="L2752" i="1"/>
  <c r="J2752" i="1"/>
  <c r="G2752" i="1"/>
  <c r="L2751" i="1"/>
  <c r="J2751" i="1"/>
  <c r="G2751" i="1"/>
  <c r="L2750" i="1"/>
  <c r="J2750" i="1"/>
  <c r="G2750" i="1"/>
  <c r="L2749" i="1"/>
  <c r="J2749" i="1"/>
  <c r="G2749" i="1"/>
  <c r="L2748" i="1"/>
  <c r="J2748" i="1"/>
  <c r="G2748" i="1"/>
  <c r="L2747" i="1"/>
  <c r="J2747" i="1"/>
  <c r="G2747" i="1"/>
  <c r="L2746" i="1"/>
  <c r="J2746" i="1"/>
  <c r="G2746" i="1"/>
  <c r="L2745" i="1"/>
  <c r="J2745" i="1"/>
  <c r="G2745" i="1"/>
  <c r="L2744" i="1"/>
  <c r="J2744" i="1"/>
  <c r="G2744" i="1"/>
  <c r="L2743" i="1"/>
  <c r="J2743" i="1"/>
  <c r="G2743" i="1"/>
  <c r="L2742" i="1"/>
  <c r="J2742" i="1"/>
  <c r="L2741" i="1"/>
  <c r="J2741" i="1"/>
  <c r="G2741" i="1"/>
  <c r="L2740" i="1"/>
  <c r="J2740" i="1"/>
  <c r="G2740" i="1"/>
  <c r="L2739" i="1"/>
  <c r="J2739" i="1"/>
  <c r="G2739" i="1"/>
  <c r="L2738" i="1"/>
  <c r="J2738" i="1"/>
  <c r="G2738" i="1"/>
  <c r="L2737" i="1"/>
  <c r="J2737" i="1"/>
  <c r="G2737" i="1"/>
  <c r="L2736" i="1"/>
  <c r="J2736" i="1"/>
  <c r="G2736" i="1"/>
  <c r="L2735" i="1"/>
  <c r="J2735" i="1"/>
  <c r="G2735" i="1"/>
  <c r="L2726" i="1"/>
  <c r="J2726" i="1"/>
  <c r="L2725" i="1"/>
  <c r="I2725" i="1"/>
  <c r="H2725" i="1"/>
  <c r="L2724" i="1"/>
  <c r="I2724" i="1"/>
  <c r="H2724" i="1"/>
  <c r="K2723" i="1"/>
  <c r="L2723" i="1" s="1"/>
  <c r="I2723" i="1"/>
  <c r="J2723" i="1" s="1"/>
  <c r="G2723" i="1"/>
  <c r="K2722" i="1"/>
  <c r="L2722" i="1" s="1"/>
  <c r="I2722" i="1"/>
  <c r="J2722" i="1" s="1"/>
  <c r="G2722" i="1"/>
  <c r="K2721" i="1"/>
  <c r="L2721" i="1" s="1"/>
  <c r="I2721" i="1"/>
  <c r="J2721" i="1" s="1"/>
  <c r="G2721" i="1"/>
  <c r="K2720" i="1"/>
  <c r="L2720" i="1" s="1"/>
  <c r="I2720" i="1"/>
  <c r="J2720" i="1" s="1"/>
  <c r="G2720" i="1"/>
  <c r="L2719" i="1"/>
  <c r="J2719" i="1"/>
  <c r="G2719" i="1"/>
  <c r="L2718" i="1"/>
  <c r="J2718" i="1"/>
  <c r="G2718" i="1"/>
  <c r="L2717" i="1"/>
  <c r="J2717" i="1"/>
  <c r="G2717" i="1"/>
  <c r="L2716" i="1"/>
  <c r="J2716" i="1"/>
  <c r="G2716" i="1"/>
  <c r="L2715" i="1"/>
  <c r="J2715" i="1"/>
  <c r="G2715" i="1"/>
  <c r="L2714" i="1"/>
  <c r="J2714" i="1"/>
  <c r="G2714" i="1"/>
  <c r="L2713" i="1"/>
  <c r="J2713" i="1"/>
  <c r="G2713" i="1"/>
  <c r="L2712" i="1"/>
  <c r="J2712" i="1"/>
  <c r="G2712" i="1"/>
  <c r="L2711" i="1"/>
  <c r="J2711" i="1"/>
  <c r="G2711" i="1"/>
  <c r="L2710" i="1"/>
  <c r="J2710" i="1"/>
  <c r="G2710" i="1"/>
  <c r="L2709" i="1"/>
  <c r="J2709" i="1"/>
  <c r="G2709" i="1"/>
  <c r="L2708" i="1"/>
  <c r="J2708" i="1"/>
  <c r="G2708" i="1"/>
  <c r="L2707" i="1"/>
  <c r="J2707" i="1"/>
  <c r="G2707" i="1"/>
  <c r="L2706" i="1"/>
  <c r="J2706" i="1"/>
  <c r="G2706" i="1"/>
  <c r="L2705" i="1"/>
  <c r="J2705" i="1"/>
  <c r="G2705" i="1"/>
  <c r="L2704" i="1"/>
  <c r="J2704" i="1"/>
  <c r="G2704" i="1"/>
  <c r="L2703" i="1"/>
  <c r="J2703" i="1"/>
  <c r="G2703" i="1"/>
  <c r="L2702" i="1"/>
  <c r="J2702" i="1"/>
  <c r="G2702" i="1"/>
  <c r="L2701" i="1"/>
  <c r="J2701" i="1"/>
  <c r="G2701" i="1"/>
  <c r="L2700" i="1"/>
  <c r="J2700" i="1"/>
  <c r="G2700" i="1"/>
  <c r="L2699" i="1"/>
  <c r="J2699" i="1"/>
  <c r="G2699" i="1"/>
  <c r="L2698" i="1"/>
  <c r="J2698" i="1"/>
  <c r="G2698" i="1"/>
  <c r="L2697" i="1"/>
  <c r="J2697" i="1"/>
  <c r="G2697" i="1"/>
  <c r="L2696" i="1"/>
  <c r="J2696" i="1"/>
  <c r="G2696" i="1"/>
  <c r="L2695" i="1"/>
  <c r="J2695" i="1"/>
  <c r="G2695" i="1"/>
  <c r="L2694" i="1"/>
  <c r="J2694" i="1"/>
  <c r="G2694" i="1"/>
  <c r="L2693" i="1"/>
  <c r="J2693" i="1"/>
  <c r="G2693" i="1"/>
  <c r="L2692" i="1"/>
  <c r="J2692" i="1"/>
  <c r="G2692" i="1"/>
  <c r="L2691" i="1"/>
  <c r="J2691" i="1"/>
  <c r="G2691" i="1"/>
  <c r="L2690" i="1"/>
  <c r="J2690" i="1"/>
  <c r="G2690" i="1"/>
  <c r="L2689" i="1"/>
  <c r="J2689" i="1"/>
  <c r="G2689" i="1"/>
  <c r="L2688" i="1"/>
  <c r="J2688" i="1"/>
  <c r="G2688" i="1"/>
  <c r="L2687" i="1"/>
  <c r="J2687" i="1"/>
  <c r="G2687" i="1"/>
  <c r="L2686" i="1"/>
  <c r="J2686" i="1"/>
  <c r="G2686" i="1"/>
  <c r="L2685" i="1"/>
  <c r="J2685" i="1"/>
  <c r="G2685" i="1"/>
  <c r="K2684" i="1"/>
  <c r="L2684" i="1" s="1"/>
  <c r="I2684" i="1"/>
  <c r="J2684" i="1" s="1"/>
  <c r="G2684" i="1"/>
  <c r="K2683" i="1"/>
  <c r="L2683" i="1" s="1"/>
  <c r="I2683" i="1"/>
  <c r="J2683" i="1" s="1"/>
  <c r="G2683" i="1"/>
  <c r="K2682" i="1"/>
  <c r="L2682" i="1" s="1"/>
  <c r="I2682" i="1"/>
  <c r="J2682" i="1" s="1"/>
  <c r="G2682" i="1"/>
  <c r="K2681" i="1"/>
  <c r="L2681" i="1" s="1"/>
  <c r="I2681" i="1"/>
  <c r="J2681" i="1" s="1"/>
  <c r="G2681" i="1"/>
  <c r="K2680" i="1"/>
  <c r="L2680" i="1" s="1"/>
  <c r="I2680" i="1"/>
  <c r="J2680" i="1" s="1"/>
  <c r="G2680" i="1"/>
  <c r="L2679" i="1"/>
  <c r="J2679" i="1"/>
  <c r="G2679" i="1"/>
  <c r="L2678" i="1"/>
  <c r="J2678" i="1"/>
  <c r="G2678" i="1"/>
  <c r="L2677" i="1"/>
  <c r="J2677" i="1"/>
  <c r="G2677" i="1"/>
  <c r="L2676" i="1"/>
  <c r="J2676" i="1"/>
  <c r="G2676" i="1"/>
  <c r="L2675" i="1"/>
  <c r="J2675" i="1"/>
  <c r="G2675" i="1"/>
  <c r="L2674" i="1"/>
  <c r="J2674" i="1"/>
  <c r="G2674" i="1"/>
  <c r="L2673" i="1"/>
  <c r="J2673" i="1"/>
  <c r="G2673" i="1"/>
  <c r="L2672" i="1"/>
  <c r="J2672" i="1"/>
  <c r="G2672" i="1"/>
  <c r="L2671" i="1"/>
  <c r="J2671" i="1"/>
  <c r="G2671" i="1"/>
  <c r="L2670" i="1"/>
  <c r="J2670" i="1"/>
  <c r="G2670" i="1"/>
  <c r="L2669" i="1"/>
  <c r="J2669" i="1"/>
  <c r="G2669" i="1"/>
  <c r="L2668" i="1"/>
  <c r="J2668" i="1"/>
  <c r="G2668" i="1"/>
  <c r="L2667" i="1"/>
  <c r="J2667" i="1"/>
  <c r="G2667" i="1"/>
  <c r="L2666" i="1"/>
  <c r="J2666" i="1"/>
  <c r="G2666" i="1"/>
  <c r="L2665" i="1"/>
  <c r="J2665" i="1"/>
  <c r="G2665" i="1"/>
  <c r="L2664" i="1"/>
  <c r="J2664" i="1"/>
  <c r="G2664" i="1"/>
  <c r="L2663" i="1"/>
  <c r="J2663" i="1"/>
  <c r="G2663" i="1"/>
  <c r="L2662" i="1"/>
  <c r="J2662" i="1"/>
  <c r="G2662" i="1"/>
  <c r="L2661" i="1"/>
  <c r="J2661" i="1"/>
  <c r="G2661" i="1"/>
  <c r="L2660" i="1"/>
  <c r="J2660" i="1"/>
  <c r="G2660" i="1"/>
  <c r="L2659" i="1"/>
  <c r="J2659" i="1"/>
  <c r="G2659" i="1"/>
  <c r="L2658" i="1"/>
  <c r="J2658" i="1"/>
  <c r="G2658" i="1"/>
  <c r="L2657" i="1"/>
  <c r="J2657" i="1"/>
  <c r="G2657" i="1"/>
  <c r="L2656" i="1"/>
  <c r="J2656" i="1"/>
  <c r="G2656" i="1"/>
  <c r="L2655" i="1"/>
  <c r="J2655" i="1"/>
  <c r="G2655" i="1"/>
  <c r="L2654" i="1"/>
  <c r="J2654" i="1"/>
  <c r="G2654" i="1"/>
  <c r="L2653" i="1"/>
  <c r="J2653" i="1"/>
  <c r="G2653" i="1"/>
  <c r="L2652" i="1"/>
  <c r="J2652" i="1"/>
  <c r="G2652" i="1"/>
  <c r="L2651" i="1"/>
  <c r="J2651" i="1"/>
  <c r="G2651" i="1"/>
  <c r="L2650" i="1"/>
  <c r="J2650" i="1"/>
  <c r="G2650" i="1"/>
  <c r="L2649" i="1"/>
  <c r="J2649" i="1"/>
  <c r="G2649" i="1"/>
  <c r="L2648" i="1"/>
  <c r="J2648" i="1"/>
  <c r="G2648" i="1"/>
  <c r="L2647" i="1"/>
  <c r="J2647" i="1"/>
  <c r="G2647" i="1"/>
  <c r="L2646" i="1"/>
  <c r="J2646" i="1"/>
  <c r="G2646" i="1"/>
  <c r="L2645" i="1"/>
  <c r="J2645" i="1"/>
  <c r="G2645" i="1"/>
  <c r="L2644" i="1"/>
  <c r="J2644" i="1"/>
  <c r="G2644" i="1"/>
  <c r="L2643" i="1"/>
  <c r="J2643" i="1"/>
  <c r="G2643" i="1"/>
  <c r="L2642" i="1"/>
  <c r="J2642" i="1"/>
  <c r="G2642" i="1"/>
  <c r="L2641" i="1"/>
  <c r="J2641" i="1"/>
  <c r="G2641" i="1"/>
  <c r="L2640" i="1"/>
  <c r="J2640" i="1"/>
  <c r="G2640" i="1"/>
  <c r="L2639" i="1"/>
  <c r="J2639" i="1"/>
  <c r="G2639" i="1"/>
  <c r="L2638" i="1"/>
  <c r="J2638" i="1"/>
  <c r="G2638" i="1"/>
  <c r="L2637" i="1"/>
  <c r="J2637" i="1"/>
  <c r="G2637" i="1"/>
  <c r="L2636" i="1"/>
  <c r="J2636" i="1"/>
  <c r="G2636" i="1"/>
  <c r="L2635" i="1"/>
  <c r="J2635" i="1"/>
  <c r="G2635" i="1"/>
  <c r="L2634" i="1"/>
  <c r="J2634" i="1"/>
  <c r="G2634" i="1"/>
  <c r="L2633" i="1"/>
  <c r="J2633" i="1"/>
  <c r="G2633" i="1"/>
  <c r="L2632" i="1"/>
  <c r="J2632" i="1"/>
  <c r="G2632" i="1"/>
  <c r="L2631" i="1"/>
  <c r="J2631" i="1"/>
  <c r="G2631" i="1"/>
  <c r="L2630" i="1"/>
  <c r="J2630" i="1"/>
  <c r="G2630" i="1"/>
  <c r="L2629" i="1"/>
  <c r="J2629" i="1"/>
  <c r="G2629" i="1"/>
  <c r="L2628" i="1"/>
  <c r="J2628" i="1"/>
  <c r="G2628" i="1"/>
  <c r="L2627" i="1"/>
  <c r="J2627" i="1"/>
  <c r="G2627" i="1"/>
  <c r="K2626" i="1"/>
  <c r="L2626" i="1" s="1"/>
  <c r="I2626" i="1"/>
  <c r="J2626" i="1" s="1"/>
  <c r="G2626" i="1"/>
  <c r="K2625" i="1"/>
  <c r="L2625" i="1" s="1"/>
  <c r="I2625" i="1"/>
  <c r="J2625" i="1" s="1"/>
  <c r="G2625" i="1"/>
  <c r="K2624" i="1"/>
  <c r="L2624" i="1" s="1"/>
  <c r="I2624" i="1"/>
  <c r="J2624" i="1" s="1"/>
  <c r="G2624" i="1"/>
  <c r="K2623" i="1"/>
  <c r="L2623" i="1" s="1"/>
  <c r="I2623" i="1"/>
  <c r="J2623" i="1" s="1"/>
  <c r="G2623" i="1"/>
  <c r="K2622" i="1"/>
  <c r="L2622" i="1" s="1"/>
  <c r="I2622" i="1"/>
  <c r="J2622" i="1" s="1"/>
  <c r="G2622" i="1"/>
  <c r="K2621" i="1"/>
  <c r="L2621" i="1" s="1"/>
  <c r="I2621" i="1"/>
  <c r="J2621" i="1" s="1"/>
  <c r="G2621" i="1"/>
  <c r="K2620" i="1"/>
  <c r="L2620" i="1" s="1"/>
  <c r="I2620" i="1"/>
  <c r="J2620" i="1" s="1"/>
  <c r="G2620" i="1"/>
  <c r="K2619" i="1"/>
  <c r="L2619" i="1" s="1"/>
  <c r="I2619" i="1"/>
  <c r="J2619" i="1" s="1"/>
  <c r="G2619" i="1"/>
  <c r="K2618" i="1"/>
  <c r="L2618" i="1" s="1"/>
  <c r="I2618" i="1"/>
  <c r="J2618" i="1" s="1"/>
  <c r="G2618" i="1"/>
  <c r="K2617" i="1"/>
  <c r="L2617" i="1" s="1"/>
  <c r="I2617" i="1"/>
  <c r="J2617" i="1" s="1"/>
  <c r="G2617" i="1"/>
  <c r="K2616" i="1"/>
  <c r="L2616" i="1" s="1"/>
  <c r="I2616" i="1"/>
  <c r="J2616" i="1" s="1"/>
  <c r="G2616" i="1"/>
  <c r="K2615" i="1"/>
  <c r="L2615" i="1" s="1"/>
  <c r="I2615" i="1"/>
  <c r="J2615" i="1" s="1"/>
  <c r="G2615" i="1"/>
  <c r="K2614" i="1"/>
  <c r="L2614" i="1" s="1"/>
  <c r="I2614" i="1"/>
  <c r="J2614" i="1" s="1"/>
  <c r="G2614" i="1"/>
  <c r="K2613" i="1"/>
  <c r="L2613" i="1" s="1"/>
  <c r="I2613" i="1"/>
  <c r="J2613" i="1" s="1"/>
  <c r="G2613" i="1"/>
  <c r="L2612" i="1"/>
  <c r="J2612" i="1"/>
  <c r="L2611" i="1"/>
  <c r="J2611" i="1"/>
  <c r="G2611" i="1"/>
  <c r="L2610" i="1"/>
  <c r="J2610" i="1"/>
  <c r="G2610" i="1"/>
  <c r="L2609" i="1"/>
  <c r="J2609" i="1"/>
  <c r="G2609" i="1"/>
  <c r="L2608" i="1"/>
  <c r="J2608" i="1"/>
  <c r="G2608" i="1"/>
  <c r="L2607" i="1"/>
  <c r="J2607" i="1"/>
  <c r="G2607" i="1"/>
  <c r="L2606" i="1"/>
  <c r="J2606" i="1"/>
  <c r="G2606" i="1"/>
  <c r="L2605" i="1"/>
  <c r="L2733" i="1" s="1"/>
  <c r="J2605" i="1"/>
  <c r="J2733" i="1" s="1"/>
  <c r="G2605" i="1"/>
  <c r="L2593" i="1"/>
  <c r="J2593" i="1"/>
  <c r="L2592" i="1"/>
  <c r="I2592" i="1"/>
  <c r="H2592" i="1"/>
  <c r="L2591" i="1"/>
  <c r="I2591" i="1"/>
  <c r="H2591" i="1"/>
  <c r="L2590" i="1"/>
  <c r="J2590" i="1"/>
  <c r="G2590" i="1"/>
  <c r="L2589" i="1"/>
  <c r="J2589" i="1"/>
  <c r="G2589" i="1"/>
  <c r="L2588" i="1"/>
  <c r="J2588" i="1"/>
  <c r="G2588" i="1"/>
  <c r="L2587" i="1"/>
  <c r="J2587" i="1"/>
  <c r="G2587" i="1"/>
  <c r="L2586" i="1"/>
  <c r="J2586" i="1"/>
  <c r="G2586" i="1"/>
  <c r="L2585" i="1"/>
  <c r="J2585" i="1"/>
  <c r="G2585" i="1"/>
  <c r="L2584" i="1"/>
  <c r="J2584" i="1"/>
  <c r="G2584" i="1"/>
  <c r="L2583" i="1"/>
  <c r="J2583" i="1"/>
  <c r="G2583" i="1"/>
  <c r="L2582" i="1"/>
  <c r="J2582" i="1"/>
  <c r="G2582" i="1"/>
  <c r="L2581" i="1"/>
  <c r="J2581" i="1"/>
  <c r="G2581" i="1"/>
  <c r="L2580" i="1"/>
  <c r="J2580" i="1"/>
  <c r="G2580" i="1"/>
  <c r="L2579" i="1"/>
  <c r="L2603" i="1" s="1"/>
  <c r="J2579" i="1"/>
  <c r="G2579" i="1"/>
  <c r="L2575" i="1"/>
  <c r="J2575" i="1"/>
  <c r="L2574" i="1"/>
  <c r="I2574" i="1"/>
  <c r="H2574" i="1"/>
  <c r="L2573" i="1"/>
  <c r="I2573" i="1"/>
  <c r="H2573" i="1"/>
  <c r="K2572" i="1"/>
  <c r="L2572" i="1" s="1"/>
  <c r="I2572" i="1"/>
  <c r="J2572" i="1" s="1"/>
  <c r="G2572" i="1"/>
  <c r="K2571" i="1"/>
  <c r="L2571" i="1" s="1"/>
  <c r="I2571" i="1"/>
  <c r="J2571" i="1" s="1"/>
  <c r="G2571" i="1"/>
  <c r="K2570" i="1"/>
  <c r="L2570" i="1" s="1"/>
  <c r="I2570" i="1"/>
  <c r="J2570" i="1" s="1"/>
  <c r="G2570" i="1"/>
  <c r="K2569" i="1"/>
  <c r="L2569" i="1" s="1"/>
  <c r="I2569" i="1"/>
  <c r="J2569" i="1" s="1"/>
  <c r="G2569" i="1"/>
  <c r="L2568" i="1"/>
  <c r="J2568" i="1"/>
  <c r="G2568" i="1"/>
  <c r="L2567" i="1"/>
  <c r="J2567" i="1"/>
  <c r="G2567" i="1"/>
  <c r="L2566" i="1"/>
  <c r="J2566" i="1"/>
  <c r="G2566" i="1"/>
  <c r="L2565" i="1"/>
  <c r="J2565" i="1"/>
  <c r="G2565" i="1"/>
  <c r="L2564" i="1"/>
  <c r="J2564" i="1"/>
  <c r="G2564" i="1"/>
  <c r="L2563" i="1"/>
  <c r="J2563" i="1"/>
  <c r="G2563" i="1"/>
  <c r="L2562" i="1"/>
  <c r="J2562" i="1"/>
  <c r="G2562" i="1"/>
  <c r="L2561" i="1"/>
  <c r="J2561" i="1"/>
  <c r="G2561" i="1"/>
  <c r="L2560" i="1"/>
  <c r="J2560" i="1"/>
  <c r="G2560" i="1"/>
  <c r="L2559" i="1"/>
  <c r="J2559" i="1"/>
  <c r="G2559" i="1"/>
  <c r="L2558" i="1"/>
  <c r="J2558" i="1"/>
  <c r="G2558" i="1"/>
  <c r="L2557" i="1"/>
  <c r="J2557" i="1"/>
  <c r="G2557" i="1"/>
  <c r="L2556" i="1"/>
  <c r="J2556" i="1"/>
  <c r="G2556" i="1"/>
  <c r="L2555" i="1"/>
  <c r="J2555" i="1"/>
  <c r="G2555" i="1"/>
  <c r="L2554" i="1"/>
  <c r="J2554" i="1"/>
  <c r="G2554" i="1"/>
  <c r="L2553" i="1"/>
  <c r="J2553" i="1"/>
  <c r="G2553" i="1"/>
  <c r="L2552" i="1"/>
  <c r="J2552" i="1"/>
  <c r="G2552" i="1"/>
  <c r="L2551" i="1"/>
  <c r="J2551" i="1"/>
  <c r="G2551" i="1"/>
  <c r="L2550" i="1"/>
  <c r="J2550" i="1"/>
  <c r="G2550" i="1"/>
  <c r="L2549" i="1"/>
  <c r="J2549" i="1"/>
  <c r="G2549" i="1"/>
  <c r="L2548" i="1"/>
  <c r="J2548" i="1"/>
  <c r="G2548" i="1"/>
  <c r="L2547" i="1"/>
  <c r="J2547" i="1"/>
  <c r="G2547" i="1"/>
  <c r="L2546" i="1"/>
  <c r="J2546" i="1"/>
  <c r="G2546" i="1"/>
  <c r="L2545" i="1"/>
  <c r="J2545" i="1"/>
  <c r="G2545" i="1"/>
  <c r="L2544" i="1"/>
  <c r="J2544" i="1"/>
  <c r="G2544" i="1"/>
  <c r="L2543" i="1"/>
  <c r="J2543" i="1"/>
  <c r="G2543" i="1"/>
  <c r="K2542" i="1"/>
  <c r="L2542" i="1" s="1"/>
  <c r="I2542" i="1"/>
  <c r="J2542" i="1" s="1"/>
  <c r="G2542" i="1"/>
  <c r="K2541" i="1"/>
  <c r="L2541" i="1" s="1"/>
  <c r="I2541" i="1"/>
  <c r="J2541" i="1" s="1"/>
  <c r="G2541" i="1"/>
  <c r="K2540" i="1"/>
  <c r="L2540" i="1" s="1"/>
  <c r="I2540" i="1"/>
  <c r="J2540" i="1" s="1"/>
  <c r="G2540" i="1"/>
  <c r="K2539" i="1"/>
  <c r="L2539" i="1" s="1"/>
  <c r="I2539" i="1"/>
  <c r="J2539" i="1" s="1"/>
  <c r="G2539" i="1"/>
  <c r="L2538" i="1"/>
  <c r="J2538" i="1"/>
  <c r="G2538" i="1"/>
  <c r="L2537" i="1"/>
  <c r="J2537" i="1"/>
  <c r="G2537" i="1"/>
  <c r="L2536" i="1"/>
  <c r="J2536" i="1"/>
  <c r="G2536" i="1"/>
  <c r="L2535" i="1"/>
  <c r="J2535" i="1"/>
  <c r="G2535" i="1"/>
  <c r="L2534" i="1"/>
  <c r="J2534" i="1"/>
  <c r="G2534" i="1"/>
  <c r="L2533" i="1"/>
  <c r="J2533" i="1"/>
  <c r="G2533" i="1"/>
  <c r="L2532" i="1"/>
  <c r="J2532" i="1"/>
  <c r="G2532" i="1"/>
  <c r="L2531" i="1"/>
  <c r="J2531" i="1"/>
  <c r="G2531" i="1"/>
  <c r="M2530" i="1"/>
  <c r="L2530" i="1"/>
  <c r="J2530" i="1"/>
  <c r="G2530" i="1"/>
  <c r="H2530" i="1" s="1"/>
  <c r="N2530" i="1" s="1"/>
  <c r="L2529" i="1"/>
  <c r="J2529" i="1"/>
  <c r="G2529" i="1"/>
  <c r="L2528" i="1"/>
  <c r="J2528" i="1"/>
  <c r="G2528" i="1"/>
  <c r="L2527" i="1"/>
  <c r="J2527" i="1"/>
  <c r="G2527" i="1"/>
  <c r="L2526" i="1"/>
  <c r="J2526" i="1"/>
  <c r="G2526" i="1"/>
  <c r="L2525" i="1"/>
  <c r="J2525" i="1"/>
  <c r="G2525" i="1"/>
  <c r="L2524" i="1"/>
  <c r="J2524" i="1"/>
  <c r="G2524" i="1"/>
  <c r="L2523" i="1"/>
  <c r="J2523" i="1"/>
  <c r="G2523" i="1"/>
  <c r="L2522" i="1"/>
  <c r="J2522" i="1"/>
  <c r="G2522" i="1"/>
  <c r="L2521" i="1"/>
  <c r="J2521" i="1"/>
  <c r="G2521" i="1"/>
  <c r="L2520" i="1"/>
  <c r="J2520" i="1"/>
  <c r="G2520" i="1"/>
  <c r="L2519" i="1"/>
  <c r="J2519" i="1"/>
  <c r="G2519" i="1"/>
  <c r="L2518" i="1"/>
  <c r="J2518" i="1"/>
  <c r="G2518" i="1"/>
  <c r="L2517" i="1"/>
  <c r="J2517" i="1"/>
  <c r="G2517" i="1"/>
  <c r="L2516" i="1"/>
  <c r="J2516" i="1"/>
  <c r="G2516" i="1"/>
  <c r="L2515" i="1"/>
  <c r="J2515" i="1"/>
  <c r="G2515" i="1"/>
  <c r="L2514" i="1"/>
  <c r="J2514" i="1"/>
  <c r="G2514" i="1"/>
  <c r="L2513" i="1"/>
  <c r="J2513" i="1"/>
  <c r="G2513" i="1"/>
  <c r="L2512" i="1"/>
  <c r="J2512" i="1"/>
  <c r="G2512" i="1"/>
  <c r="L2511" i="1"/>
  <c r="J2511" i="1"/>
  <c r="G2511" i="1"/>
  <c r="L2510" i="1"/>
  <c r="J2510" i="1"/>
  <c r="G2510" i="1"/>
  <c r="L2509" i="1"/>
  <c r="J2509" i="1"/>
  <c r="G2509" i="1"/>
  <c r="L2508" i="1"/>
  <c r="J2508" i="1"/>
  <c r="G2508" i="1"/>
  <c r="L2507" i="1"/>
  <c r="J2507" i="1"/>
  <c r="G2507" i="1"/>
  <c r="L2506" i="1"/>
  <c r="J2506" i="1"/>
  <c r="G2506" i="1"/>
  <c r="L2505" i="1"/>
  <c r="J2505" i="1"/>
  <c r="G2505" i="1"/>
  <c r="L2504" i="1"/>
  <c r="J2504" i="1"/>
  <c r="G2504" i="1"/>
  <c r="L2503" i="1"/>
  <c r="J2503" i="1"/>
  <c r="G2503" i="1"/>
  <c r="L2502" i="1"/>
  <c r="J2502" i="1"/>
  <c r="G2502" i="1"/>
  <c r="L2501" i="1"/>
  <c r="J2501" i="1"/>
  <c r="G2501" i="1"/>
  <c r="L2500" i="1"/>
  <c r="J2500" i="1"/>
  <c r="G2500" i="1"/>
  <c r="L2499" i="1"/>
  <c r="J2499" i="1"/>
  <c r="G2499" i="1"/>
  <c r="L2498" i="1"/>
  <c r="J2498" i="1"/>
  <c r="G2498" i="1"/>
  <c r="L2497" i="1"/>
  <c r="J2497" i="1"/>
  <c r="G2497" i="1"/>
  <c r="L2496" i="1"/>
  <c r="J2496" i="1"/>
  <c r="G2496" i="1"/>
  <c r="L2495" i="1"/>
  <c r="J2495" i="1"/>
  <c r="G2495" i="1"/>
  <c r="L2494" i="1"/>
  <c r="J2494" i="1"/>
  <c r="G2494" i="1"/>
  <c r="L2493" i="1"/>
  <c r="J2493" i="1"/>
  <c r="G2493" i="1"/>
  <c r="L2492" i="1"/>
  <c r="J2492" i="1"/>
  <c r="G2492" i="1"/>
  <c r="K2491" i="1"/>
  <c r="L2491" i="1" s="1"/>
  <c r="I2491" i="1"/>
  <c r="J2491" i="1" s="1"/>
  <c r="G2491" i="1"/>
  <c r="K2490" i="1"/>
  <c r="L2490" i="1" s="1"/>
  <c r="I2490" i="1"/>
  <c r="J2490" i="1" s="1"/>
  <c r="G2490" i="1"/>
  <c r="K2489" i="1"/>
  <c r="L2489" i="1" s="1"/>
  <c r="I2489" i="1"/>
  <c r="J2489" i="1" s="1"/>
  <c r="G2489" i="1"/>
  <c r="K2488" i="1"/>
  <c r="L2488" i="1" s="1"/>
  <c r="I2488" i="1"/>
  <c r="J2488" i="1" s="1"/>
  <c r="G2488" i="1"/>
  <c r="K2487" i="1"/>
  <c r="L2487" i="1" s="1"/>
  <c r="I2487" i="1"/>
  <c r="J2487" i="1" s="1"/>
  <c r="G2487" i="1"/>
  <c r="K2486" i="1"/>
  <c r="L2486" i="1" s="1"/>
  <c r="I2486" i="1"/>
  <c r="J2486" i="1" s="1"/>
  <c r="G2486" i="1"/>
  <c r="K2485" i="1"/>
  <c r="L2485" i="1" s="1"/>
  <c r="I2485" i="1"/>
  <c r="J2485" i="1" s="1"/>
  <c r="G2485" i="1"/>
  <c r="K2484" i="1"/>
  <c r="L2484" i="1" s="1"/>
  <c r="I2484" i="1"/>
  <c r="J2484" i="1" s="1"/>
  <c r="G2484" i="1"/>
  <c r="K2483" i="1"/>
  <c r="L2483" i="1" s="1"/>
  <c r="I2483" i="1"/>
  <c r="J2483" i="1" s="1"/>
  <c r="G2483" i="1"/>
  <c r="K2482" i="1"/>
  <c r="L2482" i="1" s="1"/>
  <c r="L2577" i="1" s="1"/>
  <c r="I2482" i="1"/>
  <c r="J2482" i="1" s="1"/>
  <c r="J2577" i="1" s="1"/>
  <c r="G2482" i="1"/>
  <c r="L2481" i="1"/>
  <c r="J2481" i="1"/>
  <c r="L2480" i="1"/>
  <c r="J2480" i="1"/>
  <c r="G2480" i="1"/>
  <c r="L2479" i="1"/>
  <c r="J2479" i="1"/>
  <c r="G2479" i="1"/>
  <c r="L2478" i="1"/>
  <c r="J2478" i="1"/>
  <c r="G2478" i="1"/>
  <c r="L2477" i="1"/>
  <c r="J2477" i="1"/>
  <c r="G2477" i="1"/>
  <c r="L2476" i="1"/>
  <c r="J2476" i="1"/>
  <c r="G2476" i="1"/>
  <c r="L2475" i="1"/>
  <c r="J2475" i="1"/>
  <c r="G2475" i="1"/>
  <c r="L2459" i="1"/>
  <c r="J2459" i="1"/>
  <c r="G2459" i="1"/>
  <c r="L2458" i="1"/>
  <c r="J2458" i="1"/>
  <c r="G2458" i="1"/>
  <c r="L2457" i="1"/>
  <c r="J2457" i="1"/>
  <c r="G2457" i="1"/>
  <c r="K2456" i="1"/>
  <c r="L2456" i="1" s="1"/>
  <c r="I2456" i="1"/>
  <c r="J2456" i="1" s="1"/>
  <c r="G2456" i="1"/>
  <c r="K2455" i="1"/>
  <c r="L2455" i="1" s="1"/>
  <c r="I2455" i="1"/>
  <c r="J2455" i="1" s="1"/>
  <c r="G2455" i="1"/>
  <c r="L2454" i="1"/>
  <c r="J2454" i="1"/>
  <c r="G2454" i="1"/>
  <c r="L2453" i="1"/>
  <c r="J2453" i="1"/>
  <c r="G2453" i="1"/>
  <c r="L2452" i="1"/>
  <c r="J2452" i="1"/>
  <c r="G2452" i="1"/>
  <c r="L2451" i="1"/>
  <c r="J2451" i="1"/>
  <c r="G2451" i="1"/>
  <c r="L2450" i="1"/>
  <c r="J2450" i="1"/>
  <c r="L2449" i="1"/>
  <c r="L2473" i="1" s="1"/>
  <c r="J2449" i="1"/>
  <c r="J2473" i="1" s="1"/>
  <c r="G2449" i="1"/>
  <c r="L2430" i="1"/>
  <c r="J2430" i="1"/>
  <c r="L2429" i="1"/>
  <c r="I2429" i="1"/>
  <c r="H2429" i="1"/>
  <c r="L2428" i="1"/>
  <c r="I2428" i="1"/>
  <c r="H2428" i="1"/>
  <c r="L2427" i="1"/>
  <c r="J2427" i="1"/>
  <c r="G2427" i="1"/>
  <c r="L2426" i="1"/>
  <c r="J2426" i="1"/>
  <c r="G2426" i="1"/>
  <c r="L2425" i="1"/>
  <c r="J2425" i="1"/>
  <c r="G2425" i="1"/>
  <c r="L2424" i="1"/>
  <c r="J2424" i="1"/>
  <c r="G2424" i="1"/>
  <c r="L2423" i="1"/>
  <c r="L2447" i="1" s="1"/>
  <c r="J2423" i="1"/>
  <c r="G2423" i="1"/>
  <c r="L2397" i="1"/>
  <c r="L2421" i="1" s="1"/>
  <c r="J2397" i="1"/>
  <c r="J2421" i="1" s="1"/>
  <c r="G2397" i="1"/>
  <c r="L2381" i="1"/>
  <c r="J2381" i="1"/>
  <c r="L2380" i="1"/>
  <c r="I2380" i="1"/>
  <c r="H2380" i="1"/>
  <c r="K2379" i="1"/>
  <c r="L2379" i="1" s="1"/>
  <c r="I2379" i="1"/>
  <c r="J2379" i="1" s="1"/>
  <c r="G2379" i="1"/>
  <c r="K2378" i="1"/>
  <c r="L2378" i="1" s="1"/>
  <c r="I2378" i="1"/>
  <c r="J2378" i="1" s="1"/>
  <c r="G2378" i="1"/>
  <c r="L2377" i="1"/>
  <c r="J2377" i="1"/>
  <c r="G2377" i="1"/>
  <c r="L2376" i="1"/>
  <c r="J2376" i="1"/>
  <c r="G2376" i="1"/>
  <c r="L2375" i="1"/>
  <c r="J2375" i="1"/>
  <c r="G2375" i="1"/>
  <c r="L2374" i="1"/>
  <c r="J2374" i="1"/>
  <c r="G2374" i="1"/>
  <c r="L2373" i="1"/>
  <c r="J2373" i="1"/>
  <c r="G2373" i="1"/>
  <c r="L2372" i="1"/>
  <c r="J2372" i="1"/>
  <c r="L2371" i="1"/>
  <c r="L2395" i="1" s="1"/>
  <c r="J2371" i="1"/>
  <c r="J2395" i="1" s="1"/>
  <c r="G2371" i="1"/>
  <c r="L2346" i="1"/>
  <c r="J2346" i="1"/>
  <c r="L2345" i="1"/>
  <c r="I2345" i="1"/>
  <c r="H2345" i="1"/>
  <c r="L2344" i="1"/>
  <c r="I2344" i="1"/>
  <c r="H2344" i="1"/>
  <c r="K2343" i="1"/>
  <c r="L2343" i="1" s="1"/>
  <c r="I2343" i="1"/>
  <c r="J2343" i="1" s="1"/>
  <c r="G2343" i="1"/>
  <c r="K2342" i="1"/>
  <c r="L2342" i="1" s="1"/>
  <c r="I2342" i="1"/>
  <c r="J2342" i="1" s="1"/>
  <c r="G2342" i="1"/>
  <c r="L2341" i="1"/>
  <c r="J2341" i="1"/>
  <c r="G2341" i="1"/>
  <c r="L2340" i="1"/>
  <c r="J2340" i="1"/>
  <c r="G2340" i="1"/>
  <c r="L2339" i="1"/>
  <c r="J2339" i="1"/>
  <c r="G2339" i="1"/>
  <c r="L2338" i="1"/>
  <c r="J2338" i="1"/>
  <c r="G2338" i="1"/>
  <c r="L2337" i="1"/>
  <c r="J2337" i="1"/>
  <c r="G2337" i="1"/>
  <c r="L2336" i="1"/>
  <c r="J2336" i="1"/>
  <c r="G2336" i="1"/>
  <c r="L2335" i="1"/>
  <c r="J2335" i="1"/>
  <c r="G2335" i="1"/>
  <c r="L2334" i="1"/>
  <c r="J2334" i="1"/>
  <c r="G2334" i="1"/>
  <c r="L2333" i="1"/>
  <c r="J2333" i="1"/>
  <c r="G2333" i="1"/>
  <c r="L2332" i="1"/>
  <c r="J2332" i="1"/>
  <c r="G2332" i="1"/>
  <c r="L2331" i="1"/>
  <c r="J2331" i="1"/>
  <c r="G2331" i="1"/>
  <c r="L2330" i="1"/>
  <c r="J2330" i="1"/>
  <c r="G2330" i="1"/>
  <c r="L2329" i="1"/>
  <c r="J2329" i="1"/>
  <c r="G2329" i="1"/>
  <c r="L2328" i="1"/>
  <c r="J2328" i="1"/>
  <c r="G2328" i="1"/>
  <c r="L2327" i="1"/>
  <c r="J2327" i="1"/>
  <c r="G2327" i="1"/>
  <c r="L2326" i="1"/>
  <c r="J2326" i="1"/>
  <c r="G2326" i="1"/>
  <c r="L2325" i="1"/>
  <c r="J2325" i="1"/>
  <c r="G2325" i="1"/>
  <c r="L2324" i="1"/>
  <c r="J2324" i="1"/>
  <c r="G2324" i="1"/>
  <c r="L2323" i="1"/>
  <c r="J2323" i="1"/>
  <c r="L2322" i="1"/>
  <c r="J2322" i="1"/>
  <c r="G2322" i="1"/>
  <c r="L2321" i="1"/>
  <c r="J2321" i="1"/>
  <c r="G2321" i="1"/>
  <c r="L2320" i="1"/>
  <c r="J2320" i="1"/>
  <c r="G2320" i="1"/>
  <c r="L2319" i="1"/>
  <c r="L2369" i="1" s="1"/>
  <c r="J2319" i="1"/>
  <c r="J2369" i="1" s="1"/>
  <c r="G2319" i="1"/>
  <c r="L2295" i="1"/>
  <c r="J2295" i="1"/>
  <c r="L2294" i="1"/>
  <c r="I2294" i="1"/>
  <c r="H2294" i="1"/>
  <c r="L2293" i="1"/>
  <c r="I2293" i="1"/>
  <c r="H2293" i="1"/>
  <c r="K2292" i="1"/>
  <c r="L2292" i="1" s="1"/>
  <c r="I2292" i="1"/>
  <c r="J2292" i="1" s="1"/>
  <c r="G2292" i="1"/>
  <c r="K2291" i="1"/>
  <c r="L2291" i="1" s="1"/>
  <c r="I2291" i="1"/>
  <c r="J2291" i="1" s="1"/>
  <c r="G2291" i="1"/>
  <c r="K2290" i="1"/>
  <c r="L2290" i="1" s="1"/>
  <c r="I2290" i="1"/>
  <c r="J2290" i="1" s="1"/>
  <c r="G2290" i="1"/>
  <c r="L2289" i="1"/>
  <c r="J2289" i="1"/>
  <c r="G2289" i="1"/>
  <c r="L2288" i="1"/>
  <c r="J2288" i="1"/>
  <c r="G2288" i="1"/>
  <c r="L2287" i="1"/>
  <c r="J2287" i="1"/>
  <c r="G2287" i="1"/>
  <c r="L2286" i="1"/>
  <c r="J2286" i="1"/>
  <c r="G2286" i="1"/>
  <c r="L2285" i="1"/>
  <c r="J2285" i="1"/>
  <c r="G2285" i="1"/>
  <c r="L2284" i="1"/>
  <c r="J2284" i="1"/>
  <c r="G2284" i="1"/>
  <c r="L2283" i="1"/>
  <c r="J2283" i="1"/>
  <c r="G2283" i="1"/>
  <c r="L2282" i="1"/>
  <c r="J2282" i="1"/>
  <c r="G2282" i="1"/>
  <c r="L2281" i="1"/>
  <c r="J2281" i="1"/>
  <c r="G2281" i="1"/>
  <c r="L2280" i="1"/>
  <c r="J2280" i="1"/>
  <c r="G2280" i="1"/>
  <c r="L2279" i="1"/>
  <c r="J2279" i="1"/>
  <c r="G2279" i="1"/>
  <c r="L2278" i="1"/>
  <c r="J2278" i="1"/>
  <c r="G2278" i="1"/>
  <c r="L2277" i="1"/>
  <c r="J2277" i="1"/>
  <c r="G2277" i="1"/>
  <c r="L2276" i="1"/>
  <c r="J2276" i="1"/>
  <c r="G2276" i="1"/>
  <c r="L2275" i="1"/>
  <c r="J2275" i="1"/>
  <c r="G2275" i="1"/>
  <c r="K2274" i="1"/>
  <c r="L2274" i="1" s="1"/>
  <c r="I2274" i="1"/>
  <c r="J2274" i="1" s="1"/>
  <c r="G2274" i="1"/>
  <c r="K2273" i="1"/>
  <c r="L2273" i="1" s="1"/>
  <c r="I2273" i="1"/>
  <c r="J2273" i="1" s="1"/>
  <c r="G2273" i="1"/>
  <c r="K2272" i="1"/>
  <c r="L2272" i="1" s="1"/>
  <c r="I2272" i="1"/>
  <c r="J2272" i="1" s="1"/>
  <c r="G2272" i="1"/>
  <c r="K2271" i="1"/>
  <c r="L2271" i="1" s="1"/>
  <c r="I2271" i="1"/>
  <c r="J2271" i="1" s="1"/>
  <c r="G2271" i="1"/>
  <c r="K2270" i="1"/>
  <c r="L2270" i="1" s="1"/>
  <c r="I2270" i="1"/>
  <c r="J2270" i="1" s="1"/>
  <c r="G2270" i="1"/>
  <c r="L2269" i="1"/>
  <c r="J2269" i="1"/>
  <c r="L2268" i="1"/>
  <c r="J2268" i="1"/>
  <c r="G2268" i="1"/>
  <c r="L2267" i="1"/>
  <c r="L2317" i="1" s="1"/>
  <c r="J2267" i="1"/>
  <c r="J2317" i="1" s="1"/>
  <c r="G2267" i="1"/>
  <c r="L2247" i="1"/>
  <c r="J2247" i="1"/>
  <c r="L2246" i="1"/>
  <c r="I2246" i="1"/>
  <c r="H2246" i="1"/>
  <c r="L2245" i="1"/>
  <c r="I2245" i="1"/>
  <c r="H2245" i="1"/>
  <c r="L2244" i="1"/>
  <c r="J2244" i="1"/>
  <c r="G2244" i="1"/>
  <c r="L2243" i="1"/>
  <c r="J2243" i="1"/>
  <c r="G2243" i="1"/>
  <c r="L2242" i="1"/>
  <c r="J2242" i="1"/>
  <c r="G2242" i="1"/>
  <c r="L2241" i="1"/>
  <c r="L2265" i="1" s="1"/>
  <c r="J2241" i="1"/>
  <c r="G2241" i="1"/>
  <c r="K2229" i="1"/>
  <c r="L2229" i="1" s="1"/>
  <c r="I2229" i="1"/>
  <c r="J2229" i="1" s="1"/>
  <c r="G2229" i="1"/>
  <c r="K2228" i="1"/>
  <c r="L2228" i="1" s="1"/>
  <c r="I2228" i="1"/>
  <c r="J2228" i="1" s="1"/>
  <c r="G2228" i="1"/>
  <c r="K2227" i="1"/>
  <c r="L2227" i="1" s="1"/>
  <c r="I2227" i="1"/>
  <c r="J2227" i="1" s="1"/>
  <c r="G2227" i="1"/>
  <c r="L2226" i="1"/>
  <c r="J2226" i="1"/>
  <c r="G2226" i="1"/>
  <c r="L2225" i="1"/>
  <c r="J2225" i="1"/>
  <c r="G2225" i="1"/>
  <c r="L2224" i="1"/>
  <c r="J2224" i="1"/>
  <c r="G2224" i="1"/>
  <c r="L2223" i="1"/>
  <c r="J2223" i="1"/>
  <c r="G2223" i="1"/>
  <c r="L2222" i="1"/>
  <c r="J2222" i="1"/>
  <c r="G2222" i="1"/>
  <c r="L2221" i="1"/>
  <c r="J2221" i="1"/>
  <c r="G2221" i="1"/>
  <c r="L2220" i="1"/>
  <c r="J2220" i="1"/>
  <c r="G2220" i="1"/>
  <c r="L2219" i="1"/>
  <c r="J2219" i="1"/>
  <c r="L2218" i="1"/>
  <c r="J2218" i="1"/>
  <c r="G2218" i="1"/>
  <c r="L2217" i="1"/>
  <c r="J2217" i="1"/>
  <c r="G2217" i="1"/>
  <c r="L2216" i="1"/>
  <c r="J2216" i="1"/>
  <c r="G2216" i="1"/>
  <c r="L2215" i="1"/>
  <c r="L2239" i="1" s="1"/>
  <c r="J2215" i="1"/>
  <c r="J2239" i="1" s="1"/>
  <c r="G2215" i="1"/>
  <c r="L2195" i="1"/>
  <c r="J2195" i="1"/>
  <c r="L2194" i="1"/>
  <c r="I2194" i="1"/>
  <c r="H2194" i="1"/>
  <c r="L2193" i="1"/>
  <c r="I2193" i="1"/>
  <c r="H2193" i="1"/>
  <c r="L2192" i="1"/>
  <c r="I2192" i="1"/>
  <c r="H2192" i="1"/>
  <c r="L2191" i="1"/>
  <c r="J2191" i="1"/>
  <c r="G2191" i="1"/>
  <c r="L2190" i="1"/>
  <c r="J2190" i="1"/>
  <c r="G2190" i="1"/>
  <c r="L2189" i="1"/>
  <c r="L2213" i="1" s="1"/>
  <c r="J2189" i="1"/>
  <c r="G2189" i="1"/>
  <c r="L2165" i="1"/>
  <c r="J2165" i="1"/>
  <c r="L2164" i="1"/>
  <c r="I2164" i="1"/>
  <c r="H2164" i="1"/>
  <c r="L2163" i="1"/>
  <c r="J2163" i="1"/>
  <c r="G2163" i="1"/>
  <c r="L2162" i="1"/>
  <c r="J2162" i="1"/>
  <c r="G2162" i="1"/>
  <c r="L2161" i="1"/>
  <c r="J2161" i="1"/>
  <c r="G2161" i="1"/>
  <c r="L2160" i="1"/>
  <c r="J2160" i="1"/>
  <c r="G2160" i="1"/>
  <c r="K2159" i="1"/>
  <c r="L2159" i="1" s="1"/>
  <c r="I2159" i="1"/>
  <c r="J2159" i="1" s="1"/>
  <c r="G2159" i="1"/>
  <c r="L2158" i="1"/>
  <c r="J2158" i="1"/>
  <c r="G2158" i="1"/>
  <c r="K2157" i="1"/>
  <c r="L2157" i="1" s="1"/>
  <c r="I2157" i="1"/>
  <c r="J2157" i="1" s="1"/>
  <c r="G2157" i="1"/>
  <c r="K2156" i="1"/>
  <c r="L2156" i="1" s="1"/>
  <c r="I2156" i="1"/>
  <c r="J2156" i="1" s="1"/>
  <c r="G2156" i="1"/>
  <c r="K2155" i="1"/>
  <c r="L2155" i="1" s="1"/>
  <c r="I2155" i="1"/>
  <c r="J2155" i="1" s="1"/>
  <c r="G2155" i="1"/>
  <c r="L2154" i="1"/>
  <c r="J2154" i="1"/>
  <c r="G2154" i="1"/>
  <c r="L2153" i="1"/>
  <c r="J2153" i="1"/>
  <c r="G2153" i="1"/>
  <c r="L2152" i="1"/>
  <c r="J2152" i="1"/>
  <c r="H2152" i="1"/>
  <c r="N2152" i="1" s="1"/>
  <c r="G2152" i="1"/>
  <c r="M2152" i="1" s="1"/>
  <c r="L2151" i="1"/>
  <c r="J2151" i="1"/>
  <c r="G2151" i="1"/>
  <c r="L2150" i="1"/>
  <c r="J2150" i="1"/>
  <c r="G2150" i="1"/>
  <c r="L2149" i="1"/>
  <c r="J2149" i="1"/>
  <c r="G2149" i="1"/>
  <c r="K2148" i="1"/>
  <c r="L2148" i="1" s="1"/>
  <c r="I2148" i="1"/>
  <c r="J2148" i="1" s="1"/>
  <c r="G2148" i="1"/>
  <c r="K2147" i="1"/>
  <c r="L2147" i="1" s="1"/>
  <c r="J2147" i="1"/>
  <c r="I2147" i="1"/>
  <c r="G2147" i="1"/>
  <c r="K2146" i="1"/>
  <c r="L2146" i="1" s="1"/>
  <c r="I2146" i="1"/>
  <c r="J2146" i="1" s="1"/>
  <c r="G2146" i="1"/>
  <c r="K2145" i="1"/>
  <c r="L2145" i="1" s="1"/>
  <c r="I2145" i="1"/>
  <c r="J2145" i="1" s="1"/>
  <c r="G2145" i="1"/>
  <c r="L2144" i="1"/>
  <c r="J2144" i="1"/>
  <c r="G2144" i="1"/>
  <c r="L2143" i="1"/>
  <c r="J2143" i="1"/>
  <c r="G2143" i="1"/>
  <c r="L2142" i="1"/>
  <c r="J2142" i="1"/>
  <c r="G2142" i="1"/>
  <c r="L2141" i="1"/>
  <c r="J2141" i="1"/>
  <c r="G2141" i="1"/>
  <c r="L2140" i="1"/>
  <c r="J2140" i="1"/>
  <c r="G2140" i="1"/>
  <c r="L2139" i="1"/>
  <c r="J2139" i="1"/>
  <c r="L2138" i="1"/>
  <c r="J2138" i="1"/>
  <c r="G2138" i="1"/>
  <c r="L2137" i="1"/>
  <c r="J2137" i="1"/>
  <c r="G2137" i="1"/>
  <c r="L2112" i="1"/>
  <c r="J2112" i="1"/>
  <c r="L2111" i="1"/>
  <c r="I2111" i="1"/>
  <c r="H2111" i="1"/>
  <c r="L2110" i="1"/>
  <c r="I2110" i="1"/>
  <c r="H2110" i="1"/>
  <c r="L2109" i="1"/>
  <c r="J2109" i="1"/>
  <c r="G2109" i="1"/>
  <c r="L2108" i="1"/>
  <c r="J2108" i="1"/>
  <c r="G2108" i="1"/>
  <c r="L2107" i="1"/>
  <c r="J2107" i="1"/>
  <c r="G2107" i="1"/>
  <c r="L2106" i="1"/>
  <c r="J2106" i="1"/>
  <c r="G2106" i="1"/>
  <c r="L2105" i="1"/>
  <c r="J2105" i="1"/>
  <c r="G2105" i="1"/>
  <c r="L2104" i="1"/>
  <c r="J2104" i="1"/>
  <c r="G2104" i="1"/>
  <c r="L2103" i="1"/>
  <c r="J2103" i="1"/>
  <c r="G2103" i="1"/>
  <c r="L2102" i="1"/>
  <c r="J2102" i="1"/>
  <c r="G2102" i="1"/>
  <c r="L2101" i="1"/>
  <c r="J2101" i="1"/>
  <c r="G2101" i="1"/>
  <c r="K2100" i="1"/>
  <c r="L2100" i="1" s="1"/>
  <c r="I2100" i="1"/>
  <c r="J2100" i="1" s="1"/>
  <c r="G2100" i="1"/>
  <c r="K2099" i="1"/>
  <c r="L2099" i="1" s="1"/>
  <c r="I2099" i="1"/>
  <c r="J2099" i="1" s="1"/>
  <c r="G2099" i="1"/>
  <c r="K2098" i="1"/>
  <c r="L2098" i="1" s="1"/>
  <c r="I2098" i="1"/>
  <c r="J2098" i="1" s="1"/>
  <c r="G2098" i="1"/>
  <c r="K2097" i="1"/>
  <c r="L2097" i="1" s="1"/>
  <c r="I2097" i="1"/>
  <c r="J2097" i="1" s="1"/>
  <c r="G2097" i="1"/>
  <c r="K2096" i="1"/>
  <c r="L2096" i="1" s="1"/>
  <c r="I2096" i="1"/>
  <c r="J2096" i="1" s="1"/>
  <c r="G2096" i="1"/>
  <c r="K2095" i="1"/>
  <c r="L2095" i="1" s="1"/>
  <c r="I2095" i="1"/>
  <c r="J2095" i="1" s="1"/>
  <c r="G2095" i="1"/>
  <c r="L2094" i="1"/>
  <c r="J2094" i="1"/>
  <c r="G2094" i="1"/>
  <c r="L2093" i="1"/>
  <c r="J2093" i="1"/>
  <c r="G2093" i="1"/>
  <c r="L2092" i="1"/>
  <c r="J2092" i="1"/>
  <c r="G2092" i="1"/>
  <c r="L2091" i="1"/>
  <c r="J2091" i="1"/>
  <c r="G2091" i="1"/>
  <c r="L2090" i="1"/>
  <c r="J2090" i="1"/>
  <c r="G2090" i="1"/>
  <c r="L2089" i="1"/>
  <c r="J2089" i="1"/>
  <c r="G2089" i="1"/>
  <c r="L2088" i="1"/>
  <c r="J2088" i="1"/>
  <c r="G2088" i="1"/>
  <c r="L2087" i="1"/>
  <c r="J2087" i="1"/>
  <c r="G2087" i="1"/>
  <c r="L2086" i="1"/>
  <c r="J2086" i="1"/>
  <c r="G2086" i="1"/>
  <c r="L2085" i="1"/>
  <c r="J2085" i="1"/>
  <c r="G2085" i="1"/>
  <c r="L2084" i="1"/>
  <c r="J2084" i="1"/>
  <c r="G2084" i="1"/>
  <c r="L2083" i="1"/>
  <c r="J2083" i="1"/>
  <c r="G2083" i="1"/>
  <c r="L2082" i="1"/>
  <c r="J2082" i="1"/>
  <c r="G2082" i="1"/>
  <c r="L2081" i="1"/>
  <c r="J2081" i="1"/>
  <c r="G2081" i="1"/>
  <c r="L2080" i="1"/>
  <c r="J2080" i="1"/>
  <c r="G2080" i="1"/>
  <c r="L2079" i="1"/>
  <c r="J2079" i="1"/>
  <c r="G2079" i="1"/>
  <c r="L2078" i="1"/>
  <c r="J2078" i="1"/>
  <c r="G2078" i="1"/>
  <c r="L2077" i="1"/>
  <c r="J2077" i="1"/>
  <c r="G2077" i="1"/>
  <c r="L2076" i="1"/>
  <c r="J2076" i="1"/>
  <c r="G2076" i="1"/>
  <c r="L2075" i="1"/>
  <c r="J2075" i="1"/>
  <c r="G2075" i="1"/>
  <c r="L2074" i="1"/>
  <c r="J2074" i="1"/>
  <c r="G2074" i="1"/>
  <c r="L2073" i="1"/>
  <c r="J2073" i="1"/>
  <c r="G2073" i="1"/>
  <c r="L2072" i="1"/>
  <c r="J2072" i="1"/>
  <c r="G2072" i="1"/>
  <c r="L2071" i="1"/>
  <c r="J2071" i="1"/>
  <c r="G2071" i="1"/>
  <c r="L2070" i="1"/>
  <c r="J2070" i="1"/>
  <c r="G2070" i="1"/>
  <c r="L2069" i="1"/>
  <c r="J2069" i="1"/>
  <c r="G2069" i="1"/>
  <c r="L2068" i="1"/>
  <c r="J2068" i="1"/>
  <c r="G2068" i="1"/>
  <c r="L2067" i="1"/>
  <c r="J2067" i="1"/>
  <c r="G2067" i="1"/>
  <c r="L2066" i="1"/>
  <c r="J2066" i="1"/>
  <c r="G2066" i="1"/>
  <c r="L2065" i="1"/>
  <c r="J2065" i="1"/>
  <c r="L2064" i="1"/>
  <c r="J2064" i="1"/>
  <c r="G2064" i="1"/>
  <c r="L2063" i="1"/>
  <c r="J2063" i="1"/>
  <c r="G2063" i="1"/>
  <c r="L2062" i="1"/>
  <c r="J2062" i="1"/>
  <c r="G2062" i="1"/>
  <c r="L2061" i="1"/>
  <c r="J2061" i="1"/>
  <c r="G2061" i="1"/>
  <c r="L2060" i="1"/>
  <c r="J2060" i="1"/>
  <c r="G2060" i="1"/>
  <c r="L2059" i="1"/>
  <c r="L2135" i="1" s="1"/>
  <c r="J2059" i="1"/>
  <c r="J2135" i="1" s="1"/>
  <c r="G2059" i="1"/>
  <c r="L2054" i="1"/>
  <c r="J2054" i="1"/>
  <c r="L2053" i="1"/>
  <c r="I2053" i="1"/>
  <c r="H2053" i="1"/>
  <c r="L2052" i="1"/>
  <c r="I2052" i="1"/>
  <c r="H2052" i="1"/>
  <c r="L2051" i="1"/>
  <c r="J2051" i="1"/>
  <c r="G2051" i="1"/>
  <c r="L2050" i="1"/>
  <c r="J2050" i="1"/>
  <c r="G2050" i="1"/>
  <c r="K2049" i="1"/>
  <c r="L2049" i="1" s="1"/>
  <c r="I2049" i="1"/>
  <c r="J2049" i="1" s="1"/>
  <c r="G2049" i="1"/>
  <c r="K2048" i="1"/>
  <c r="L2048" i="1" s="1"/>
  <c r="I2048" i="1"/>
  <c r="J2048" i="1" s="1"/>
  <c r="G2048" i="1"/>
  <c r="K2047" i="1"/>
  <c r="L2047" i="1" s="1"/>
  <c r="I2047" i="1"/>
  <c r="J2047" i="1" s="1"/>
  <c r="G2047" i="1"/>
  <c r="K2046" i="1"/>
  <c r="L2046" i="1" s="1"/>
  <c r="I2046" i="1"/>
  <c r="J2046" i="1" s="1"/>
  <c r="G2046" i="1"/>
  <c r="K2045" i="1"/>
  <c r="L2045" i="1" s="1"/>
  <c r="I2045" i="1"/>
  <c r="J2045" i="1" s="1"/>
  <c r="G2045" i="1"/>
  <c r="K2044" i="1"/>
  <c r="L2044" i="1" s="1"/>
  <c r="I2044" i="1"/>
  <c r="J2044" i="1" s="1"/>
  <c r="G2044" i="1"/>
  <c r="L2043" i="1"/>
  <c r="J2043" i="1"/>
  <c r="G2043" i="1"/>
  <c r="L2042" i="1"/>
  <c r="J2042" i="1"/>
  <c r="G2042" i="1"/>
  <c r="L2041" i="1"/>
  <c r="J2041" i="1"/>
  <c r="G2041" i="1"/>
  <c r="L2040" i="1"/>
  <c r="J2040" i="1"/>
  <c r="G2040" i="1"/>
  <c r="L2039" i="1"/>
  <c r="J2039" i="1"/>
  <c r="G2039" i="1"/>
  <c r="L2038" i="1"/>
  <c r="J2038" i="1"/>
  <c r="G2038" i="1"/>
  <c r="L2037" i="1"/>
  <c r="J2037" i="1"/>
  <c r="G2037" i="1"/>
  <c r="L2036" i="1"/>
  <c r="J2036" i="1"/>
  <c r="G2036" i="1"/>
  <c r="L2035" i="1"/>
  <c r="J2035" i="1"/>
  <c r="G2035" i="1"/>
  <c r="L2034" i="1"/>
  <c r="J2034" i="1"/>
  <c r="G2034" i="1"/>
  <c r="L2033" i="1"/>
  <c r="J2033" i="1"/>
  <c r="G2033" i="1"/>
  <c r="L2032" i="1"/>
  <c r="J2032" i="1"/>
  <c r="G2032" i="1"/>
  <c r="L2031" i="1"/>
  <c r="J2031" i="1"/>
  <c r="G2031" i="1"/>
  <c r="L2030" i="1"/>
  <c r="J2030" i="1"/>
  <c r="G2030" i="1"/>
  <c r="L2029" i="1"/>
  <c r="J2029" i="1"/>
  <c r="G2029" i="1"/>
  <c r="L2028" i="1"/>
  <c r="J2028" i="1"/>
  <c r="G2028" i="1"/>
  <c r="L2027" i="1"/>
  <c r="J2027" i="1"/>
  <c r="G2027" i="1"/>
  <c r="L2026" i="1"/>
  <c r="J2026" i="1"/>
  <c r="G2026" i="1"/>
  <c r="L2025" i="1"/>
  <c r="J2025" i="1"/>
  <c r="G2025" i="1"/>
  <c r="L2024" i="1"/>
  <c r="J2024" i="1"/>
  <c r="G2024" i="1"/>
  <c r="L2023" i="1"/>
  <c r="J2023" i="1"/>
  <c r="G2023" i="1"/>
  <c r="L2022" i="1"/>
  <c r="J2022" i="1"/>
  <c r="G2022" i="1"/>
  <c r="L2021" i="1"/>
  <c r="J2021" i="1"/>
  <c r="G2021" i="1"/>
  <c r="K2020" i="1"/>
  <c r="L2020" i="1" s="1"/>
  <c r="I2020" i="1"/>
  <c r="J2020" i="1" s="1"/>
  <c r="G2020" i="1"/>
  <c r="K2019" i="1"/>
  <c r="L2019" i="1" s="1"/>
  <c r="I2019" i="1"/>
  <c r="J2019" i="1" s="1"/>
  <c r="G2019" i="1"/>
  <c r="K2018" i="1"/>
  <c r="L2018" i="1" s="1"/>
  <c r="I2018" i="1"/>
  <c r="J2018" i="1" s="1"/>
  <c r="G2018" i="1"/>
  <c r="K2017" i="1"/>
  <c r="L2017" i="1" s="1"/>
  <c r="I2017" i="1"/>
  <c r="J2017" i="1" s="1"/>
  <c r="G2017" i="1"/>
  <c r="K2016" i="1"/>
  <c r="L2016" i="1" s="1"/>
  <c r="I2016" i="1"/>
  <c r="J2016" i="1" s="1"/>
  <c r="G2016" i="1"/>
  <c r="K2015" i="1"/>
  <c r="L2015" i="1" s="1"/>
  <c r="I2015" i="1"/>
  <c r="J2015" i="1" s="1"/>
  <c r="G2015" i="1"/>
  <c r="K2014" i="1"/>
  <c r="L2014" i="1" s="1"/>
  <c r="I2014" i="1"/>
  <c r="J2014" i="1" s="1"/>
  <c r="G2014" i="1"/>
  <c r="K2013" i="1"/>
  <c r="L2013" i="1" s="1"/>
  <c r="I2013" i="1"/>
  <c r="J2013" i="1" s="1"/>
  <c r="G2013" i="1"/>
  <c r="L2012" i="1"/>
  <c r="J2012" i="1"/>
  <c r="L2011" i="1"/>
  <c r="J2011" i="1"/>
  <c r="G2011" i="1"/>
  <c r="L2010" i="1"/>
  <c r="J2010" i="1"/>
  <c r="G2010" i="1"/>
  <c r="L2009" i="1"/>
  <c r="J2009" i="1"/>
  <c r="G2009" i="1"/>
  <c r="L2008" i="1"/>
  <c r="J2008" i="1"/>
  <c r="G2008" i="1"/>
  <c r="L2007" i="1"/>
  <c r="L2057" i="1" s="1"/>
  <c r="J2007" i="1"/>
  <c r="J2057" i="1" s="1"/>
  <c r="G2007" i="1"/>
  <c r="L1990" i="1"/>
  <c r="J1990" i="1"/>
  <c r="L1989" i="1"/>
  <c r="I1989" i="1"/>
  <c r="H1989" i="1"/>
  <c r="L1988" i="1"/>
  <c r="I1988" i="1"/>
  <c r="H1988" i="1"/>
  <c r="L1987" i="1"/>
  <c r="J1987" i="1"/>
  <c r="G1987" i="1"/>
  <c r="L1986" i="1"/>
  <c r="J1986" i="1"/>
  <c r="G1986" i="1"/>
  <c r="L1985" i="1"/>
  <c r="J1985" i="1"/>
  <c r="G1985" i="1"/>
  <c r="L1984" i="1"/>
  <c r="J1984" i="1"/>
  <c r="G1984" i="1"/>
  <c r="L1983" i="1"/>
  <c r="J1983" i="1"/>
  <c r="G1983" i="1"/>
  <c r="L1982" i="1"/>
  <c r="J1982" i="1"/>
  <c r="G1982" i="1"/>
  <c r="L1981" i="1"/>
  <c r="L2005" i="1" s="1"/>
  <c r="J1981" i="1"/>
  <c r="G1981" i="1"/>
  <c r="K1959" i="1"/>
  <c r="L1959" i="1" s="1"/>
  <c r="I1959" i="1"/>
  <c r="J1959" i="1" s="1"/>
  <c r="G1959" i="1"/>
  <c r="L1958" i="1"/>
  <c r="J1958" i="1"/>
  <c r="G1958" i="1"/>
  <c r="L1957" i="1"/>
  <c r="J1957" i="1"/>
  <c r="G1957" i="1"/>
  <c r="L1956" i="1"/>
  <c r="J1956" i="1"/>
  <c r="L1955" i="1"/>
  <c r="L1979" i="1" s="1"/>
  <c r="J1955" i="1"/>
  <c r="J1979" i="1" s="1"/>
  <c r="G1955" i="1"/>
  <c r="L1938" i="1"/>
  <c r="J1938" i="1"/>
  <c r="L1937" i="1"/>
  <c r="I1937" i="1"/>
  <c r="H1937" i="1"/>
  <c r="L1936" i="1"/>
  <c r="I1936" i="1"/>
  <c r="H1936" i="1"/>
  <c r="L1935" i="1"/>
  <c r="I1935" i="1"/>
  <c r="H1935" i="1"/>
  <c r="L1934" i="1"/>
  <c r="J1934" i="1"/>
  <c r="G1934" i="1"/>
  <c r="L1933" i="1"/>
  <c r="J1933" i="1"/>
  <c r="G1933" i="1"/>
  <c r="L1932" i="1"/>
  <c r="J1932" i="1"/>
  <c r="G1932" i="1"/>
  <c r="L1931" i="1"/>
  <c r="J1931" i="1"/>
  <c r="G1931" i="1"/>
  <c r="L1930" i="1"/>
  <c r="J1930" i="1"/>
  <c r="G1930" i="1"/>
  <c r="L1929" i="1"/>
  <c r="L1953" i="1" s="1"/>
  <c r="J1929" i="1"/>
  <c r="G1929" i="1"/>
  <c r="L1924" i="1"/>
  <c r="J1924" i="1"/>
  <c r="L1923" i="1"/>
  <c r="I1923" i="1"/>
  <c r="H1923" i="1"/>
  <c r="L1922" i="1"/>
  <c r="I1922" i="1"/>
  <c r="H1922" i="1"/>
  <c r="L1921" i="1"/>
  <c r="I1921" i="1"/>
  <c r="H1921" i="1"/>
  <c r="L1920" i="1"/>
  <c r="I1920" i="1"/>
  <c r="H1920" i="1"/>
  <c r="L1919" i="1"/>
  <c r="J1919" i="1"/>
  <c r="G1919" i="1"/>
  <c r="L1918" i="1"/>
  <c r="J1918" i="1"/>
  <c r="G1918" i="1"/>
  <c r="L1917" i="1"/>
  <c r="J1917" i="1"/>
  <c r="G1917" i="1"/>
  <c r="L1916" i="1"/>
  <c r="J1916" i="1"/>
  <c r="G1916" i="1"/>
  <c r="L1915" i="1"/>
  <c r="J1915" i="1"/>
  <c r="G1915" i="1"/>
  <c r="L1914" i="1"/>
  <c r="J1914" i="1"/>
  <c r="G1914" i="1"/>
  <c r="L1913" i="1"/>
  <c r="J1913" i="1"/>
  <c r="G1913" i="1"/>
  <c r="L1912" i="1"/>
  <c r="J1912" i="1"/>
  <c r="G1912" i="1"/>
  <c r="L1911" i="1"/>
  <c r="J1911" i="1"/>
  <c r="G1911" i="1"/>
  <c r="L1910" i="1"/>
  <c r="J1910" i="1"/>
  <c r="G1910" i="1"/>
  <c r="L1909" i="1"/>
  <c r="J1909" i="1"/>
  <c r="G1909" i="1"/>
  <c r="L1908" i="1"/>
  <c r="J1908" i="1"/>
  <c r="G1908" i="1"/>
  <c r="L1907" i="1"/>
  <c r="J1907" i="1"/>
  <c r="G1907" i="1"/>
  <c r="L1906" i="1"/>
  <c r="J1906" i="1"/>
  <c r="G1906" i="1"/>
  <c r="L1905" i="1"/>
  <c r="J1905" i="1"/>
  <c r="G1905" i="1"/>
  <c r="L1904" i="1"/>
  <c r="J1904" i="1"/>
  <c r="G1904" i="1"/>
  <c r="L1903" i="1"/>
  <c r="L1927" i="1" s="1"/>
  <c r="J1903" i="1"/>
  <c r="G1903" i="1"/>
  <c r="L1894" i="1"/>
  <c r="J1894" i="1"/>
  <c r="L1893" i="1"/>
  <c r="I1893" i="1"/>
  <c r="H1893" i="1"/>
  <c r="L1892" i="1"/>
  <c r="J1892" i="1"/>
  <c r="G1892" i="1"/>
  <c r="L1891" i="1"/>
  <c r="J1891" i="1"/>
  <c r="G1891" i="1"/>
  <c r="L1890" i="1"/>
  <c r="J1890" i="1"/>
  <c r="G1890" i="1"/>
  <c r="L1889" i="1"/>
  <c r="J1889" i="1"/>
  <c r="G1889" i="1"/>
  <c r="L1888" i="1"/>
  <c r="J1888" i="1"/>
  <c r="G1888" i="1"/>
  <c r="K1887" i="1"/>
  <c r="L1887" i="1" s="1"/>
  <c r="I1887" i="1"/>
  <c r="J1887" i="1" s="1"/>
  <c r="G1887" i="1"/>
  <c r="L1886" i="1"/>
  <c r="J1886" i="1"/>
  <c r="G1886" i="1"/>
  <c r="L1885" i="1"/>
  <c r="J1885" i="1"/>
  <c r="G1885" i="1"/>
  <c r="L1884" i="1"/>
  <c r="J1884" i="1"/>
  <c r="G1884" i="1"/>
  <c r="L1883" i="1"/>
  <c r="J1883" i="1"/>
  <c r="G1883" i="1"/>
  <c r="K1882" i="1"/>
  <c r="L1882" i="1" s="1"/>
  <c r="I1882" i="1"/>
  <c r="J1882" i="1" s="1"/>
  <c r="G1882" i="1"/>
  <c r="K1881" i="1"/>
  <c r="L1881" i="1" s="1"/>
  <c r="I1881" i="1"/>
  <c r="J1881" i="1" s="1"/>
  <c r="G1881" i="1"/>
  <c r="K1880" i="1"/>
  <c r="L1880" i="1" s="1"/>
  <c r="I1880" i="1"/>
  <c r="J1880" i="1" s="1"/>
  <c r="G1880" i="1"/>
  <c r="K1879" i="1"/>
  <c r="L1879" i="1" s="1"/>
  <c r="I1879" i="1"/>
  <c r="J1879" i="1" s="1"/>
  <c r="G1879" i="1"/>
  <c r="K1878" i="1"/>
  <c r="L1878" i="1" s="1"/>
  <c r="I1878" i="1"/>
  <c r="J1878" i="1" s="1"/>
  <c r="G1878" i="1"/>
  <c r="K1877" i="1"/>
  <c r="L1877" i="1" s="1"/>
  <c r="L1901" i="1" s="1"/>
  <c r="I1877" i="1"/>
  <c r="J1877" i="1" s="1"/>
  <c r="J1901" i="1" s="1"/>
  <c r="G1877" i="1"/>
  <c r="L1861" i="1"/>
  <c r="J1861" i="1"/>
  <c r="L1860" i="1"/>
  <c r="I1860" i="1"/>
  <c r="H1860" i="1"/>
  <c r="L1859" i="1"/>
  <c r="I1859" i="1"/>
  <c r="H1859" i="1"/>
  <c r="L1858" i="1"/>
  <c r="J1858" i="1"/>
  <c r="G1858" i="1"/>
  <c r="L1857" i="1"/>
  <c r="J1857" i="1"/>
  <c r="G1857" i="1"/>
  <c r="L1856" i="1"/>
  <c r="J1856" i="1"/>
  <c r="G1856" i="1"/>
  <c r="L1855" i="1"/>
  <c r="J1855" i="1"/>
  <c r="G1855" i="1"/>
  <c r="L1854" i="1"/>
  <c r="J1854" i="1"/>
  <c r="G1854" i="1"/>
  <c r="L1853" i="1"/>
  <c r="J1853" i="1"/>
  <c r="G1853" i="1"/>
  <c r="K1852" i="1"/>
  <c r="L1852" i="1" s="1"/>
  <c r="I1852" i="1"/>
  <c r="J1852" i="1" s="1"/>
  <c r="G1852" i="1"/>
  <c r="K1851" i="1"/>
  <c r="L1851" i="1" s="1"/>
  <c r="I1851" i="1"/>
  <c r="J1851" i="1" s="1"/>
  <c r="G1851" i="1"/>
  <c r="K1850" i="1"/>
  <c r="L1850" i="1" s="1"/>
  <c r="I1850" i="1"/>
  <c r="J1850" i="1" s="1"/>
  <c r="G1850" i="1"/>
  <c r="K1849" i="1"/>
  <c r="L1849" i="1" s="1"/>
  <c r="I1849" i="1"/>
  <c r="J1849" i="1" s="1"/>
  <c r="G1849" i="1"/>
  <c r="K1848" i="1"/>
  <c r="L1848" i="1" s="1"/>
  <c r="I1848" i="1"/>
  <c r="J1848" i="1" s="1"/>
  <c r="G1848" i="1"/>
  <c r="L1847" i="1"/>
  <c r="J1847" i="1"/>
  <c r="G1847" i="1"/>
  <c r="L1846" i="1"/>
  <c r="J1846" i="1"/>
  <c r="G1846" i="1"/>
  <c r="L1845" i="1"/>
  <c r="J1845" i="1"/>
  <c r="G1845" i="1"/>
  <c r="L1844" i="1"/>
  <c r="J1844" i="1"/>
  <c r="G1844" i="1"/>
  <c r="L1843" i="1"/>
  <c r="J1843" i="1"/>
  <c r="G1843" i="1"/>
  <c r="L1842" i="1"/>
  <c r="J1842" i="1"/>
  <c r="G1842" i="1"/>
  <c r="L1841" i="1"/>
  <c r="J1841" i="1"/>
  <c r="G1841" i="1"/>
  <c r="L1840" i="1"/>
  <c r="J1840" i="1"/>
  <c r="G1840" i="1"/>
  <c r="L1839" i="1"/>
  <c r="J1839" i="1"/>
  <c r="G1839" i="1"/>
  <c r="L1838" i="1"/>
  <c r="J1838" i="1"/>
  <c r="G1838" i="1"/>
  <c r="L1837" i="1"/>
  <c r="J1837" i="1"/>
  <c r="G1837" i="1"/>
  <c r="L1836" i="1"/>
  <c r="J1836" i="1"/>
  <c r="J1875" i="1" s="1"/>
  <c r="G1836" i="1"/>
  <c r="M1835" i="1"/>
  <c r="L1835" i="1"/>
  <c r="L1875" i="1" s="1"/>
  <c r="J1835" i="1"/>
  <c r="G1835" i="1"/>
  <c r="H1835" i="1" s="1"/>
  <c r="N1835" i="1" s="1"/>
  <c r="L1834" i="1"/>
  <c r="J1834" i="1"/>
  <c r="G1834" i="1"/>
  <c r="L1833" i="1"/>
  <c r="J1833" i="1"/>
  <c r="G1833" i="1"/>
  <c r="L1832" i="1"/>
  <c r="J1832" i="1"/>
  <c r="G1832" i="1"/>
  <c r="L1831" i="1"/>
  <c r="J1831" i="1"/>
  <c r="G1831" i="1"/>
  <c r="L1830" i="1"/>
  <c r="J1830" i="1"/>
  <c r="G1830" i="1"/>
  <c r="L1829" i="1"/>
  <c r="J1829" i="1"/>
  <c r="G1829" i="1"/>
  <c r="L1828" i="1"/>
  <c r="J1828" i="1"/>
  <c r="G1828" i="1"/>
  <c r="L1827" i="1"/>
  <c r="J1827" i="1"/>
  <c r="G1827" i="1"/>
  <c r="L1826" i="1"/>
  <c r="J1826" i="1"/>
  <c r="G1826" i="1"/>
  <c r="L1825" i="1"/>
  <c r="J1825" i="1"/>
  <c r="G1825" i="1"/>
  <c r="L1824" i="1"/>
  <c r="J1824" i="1"/>
  <c r="G1824" i="1"/>
  <c r="L1823" i="1"/>
  <c r="J1823" i="1"/>
  <c r="G1823" i="1"/>
  <c r="L1822" i="1"/>
  <c r="J1822" i="1"/>
  <c r="G1822" i="1"/>
  <c r="L1821" i="1"/>
  <c r="J1821" i="1"/>
  <c r="G1821" i="1"/>
  <c r="L1820" i="1"/>
  <c r="J1820" i="1"/>
  <c r="G1820" i="1"/>
  <c r="L1819" i="1"/>
  <c r="J1819" i="1"/>
  <c r="G1819" i="1"/>
  <c r="L1818" i="1"/>
  <c r="J1818" i="1"/>
  <c r="G1818" i="1"/>
  <c r="L1817" i="1"/>
  <c r="J1817" i="1"/>
  <c r="G1817" i="1"/>
  <c r="L1816" i="1"/>
  <c r="J1816" i="1"/>
  <c r="G1816" i="1"/>
  <c r="L1815" i="1"/>
  <c r="J1815" i="1"/>
  <c r="G1815" i="1"/>
  <c r="L1814" i="1"/>
  <c r="J1814" i="1"/>
  <c r="G1814" i="1"/>
  <c r="L1813" i="1"/>
  <c r="J1813" i="1"/>
  <c r="G1813" i="1"/>
  <c r="L1812" i="1"/>
  <c r="J1812" i="1"/>
  <c r="G1812" i="1"/>
  <c r="L1811" i="1"/>
  <c r="J1811" i="1"/>
  <c r="G1811" i="1"/>
  <c r="L1810" i="1"/>
  <c r="J1810" i="1"/>
  <c r="G1810" i="1"/>
  <c r="L1809" i="1"/>
  <c r="J1809" i="1"/>
  <c r="G1809" i="1"/>
  <c r="L1808" i="1"/>
  <c r="J1808" i="1"/>
  <c r="G1808" i="1"/>
  <c r="L1807" i="1"/>
  <c r="J1807" i="1"/>
  <c r="L1806" i="1"/>
  <c r="J1806" i="1"/>
  <c r="G1806" i="1"/>
  <c r="L1805" i="1"/>
  <c r="J1805" i="1"/>
  <c r="G1805" i="1"/>
  <c r="L1804" i="1"/>
  <c r="J1804" i="1"/>
  <c r="G1804" i="1"/>
  <c r="L1803" i="1"/>
  <c r="J1803" i="1"/>
  <c r="G1803" i="1"/>
  <c r="L1802" i="1"/>
  <c r="J1802" i="1"/>
  <c r="G1802" i="1"/>
  <c r="L1801" i="1"/>
  <c r="J1801" i="1"/>
  <c r="G1801" i="1"/>
  <c r="L1800" i="1"/>
  <c r="J1800" i="1"/>
  <c r="G1800" i="1"/>
  <c r="L1799" i="1"/>
  <c r="J1799" i="1"/>
  <c r="G1799" i="1"/>
  <c r="L1772" i="1"/>
  <c r="J1772" i="1"/>
  <c r="L1771" i="1"/>
  <c r="I1771" i="1"/>
  <c r="H1771" i="1"/>
  <c r="L1770" i="1"/>
  <c r="I1770" i="1"/>
  <c r="H1770" i="1"/>
  <c r="L1769" i="1"/>
  <c r="J1769" i="1"/>
  <c r="G1769" i="1"/>
  <c r="L1768" i="1"/>
  <c r="J1768" i="1"/>
  <c r="G1768" i="1"/>
  <c r="K1767" i="1"/>
  <c r="L1767" i="1" s="1"/>
  <c r="I1767" i="1"/>
  <c r="J1767" i="1" s="1"/>
  <c r="G1767" i="1"/>
  <c r="L1766" i="1"/>
  <c r="J1766" i="1"/>
  <c r="G1766" i="1"/>
  <c r="L1765" i="1"/>
  <c r="J1765" i="1"/>
  <c r="G1765" i="1"/>
  <c r="L1764" i="1"/>
  <c r="J1764" i="1"/>
  <c r="G1764" i="1"/>
  <c r="L1763" i="1"/>
  <c r="J1763" i="1"/>
  <c r="G1763" i="1"/>
  <c r="L1762" i="1"/>
  <c r="J1762" i="1"/>
  <c r="G1762" i="1"/>
  <c r="L1761" i="1"/>
  <c r="J1761" i="1"/>
  <c r="G1761" i="1"/>
  <c r="L1760" i="1"/>
  <c r="J1760" i="1"/>
  <c r="G1760" i="1"/>
  <c r="L1759" i="1"/>
  <c r="J1759" i="1"/>
  <c r="G1759" i="1"/>
  <c r="L1758" i="1"/>
  <c r="J1758" i="1"/>
  <c r="G1758" i="1"/>
  <c r="L1757" i="1"/>
  <c r="J1757" i="1"/>
  <c r="G1757" i="1"/>
  <c r="L1756" i="1"/>
  <c r="J1756" i="1"/>
  <c r="G1756" i="1"/>
  <c r="L1755" i="1"/>
  <c r="J1755" i="1"/>
  <c r="G1755" i="1"/>
  <c r="L1754" i="1"/>
  <c r="J1754" i="1"/>
  <c r="G1754" i="1"/>
  <c r="L1753" i="1"/>
  <c r="J1753" i="1"/>
  <c r="G1753" i="1"/>
  <c r="L1752" i="1"/>
  <c r="J1752" i="1"/>
  <c r="G1752" i="1"/>
  <c r="L1751" i="1"/>
  <c r="J1751" i="1"/>
  <c r="G1751" i="1"/>
  <c r="L1750" i="1"/>
  <c r="J1750" i="1"/>
  <c r="G1750" i="1"/>
  <c r="L1749" i="1"/>
  <c r="J1749" i="1"/>
  <c r="G1749" i="1"/>
  <c r="L1748" i="1"/>
  <c r="J1748" i="1"/>
  <c r="G1748" i="1"/>
  <c r="L1747" i="1"/>
  <c r="J1747" i="1"/>
  <c r="G1747" i="1"/>
  <c r="L1746" i="1"/>
  <c r="J1746" i="1"/>
  <c r="G1746" i="1"/>
  <c r="L1745" i="1"/>
  <c r="J1745" i="1"/>
  <c r="G1745" i="1"/>
  <c r="L1744" i="1"/>
  <c r="J1744" i="1"/>
  <c r="G1744" i="1"/>
  <c r="L1743" i="1"/>
  <c r="J1743" i="1"/>
  <c r="G1743" i="1"/>
  <c r="L1742" i="1"/>
  <c r="J1742" i="1"/>
  <c r="G1742" i="1"/>
  <c r="L1741" i="1"/>
  <c r="J1741" i="1"/>
  <c r="G1741" i="1"/>
  <c r="L1740" i="1"/>
  <c r="J1740" i="1"/>
  <c r="G1740" i="1"/>
  <c r="L1739" i="1"/>
  <c r="J1739" i="1"/>
  <c r="G1739" i="1"/>
  <c r="K1738" i="1"/>
  <c r="L1738" i="1" s="1"/>
  <c r="I1738" i="1"/>
  <c r="J1738" i="1" s="1"/>
  <c r="G1738" i="1"/>
  <c r="K1737" i="1"/>
  <c r="L1737" i="1" s="1"/>
  <c r="I1737" i="1"/>
  <c r="J1737" i="1" s="1"/>
  <c r="G1737" i="1"/>
  <c r="K1736" i="1"/>
  <c r="L1736" i="1" s="1"/>
  <c r="I1736" i="1"/>
  <c r="J1736" i="1" s="1"/>
  <c r="G1736" i="1"/>
  <c r="K1735" i="1"/>
  <c r="L1735" i="1" s="1"/>
  <c r="I1735" i="1"/>
  <c r="J1735" i="1" s="1"/>
  <c r="G1735" i="1"/>
  <c r="K1734" i="1"/>
  <c r="L1734" i="1" s="1"/>
  <c r="I1734" i="1"/>
  <c r="J1734" i="1" s="1"/>
  <c r="G1734" i="1"/>
  <c r="K1733" i="1"/>
  <c r="L1733" i="1" s="1"/>
  <c r="I1733" i="1"/>
  <c r="J1733" i="1" s="1"/>
  <c r="G1733" i="1"/>
  <c r="K1732" i="1"/>
  <c r="L1732" i="1" s="1"/>
  <c r="I1732" i="1"/>
  <c r="J1732" i="1" s="1"/>
  <c r="G1732" i="1"/>
  <c r="K1731" i="1"/>
  <c r="L1731" i="1" s="1"/>
  <c r="I1731" i="1"/>
  <c r="J1731" i="1" s="1"/>
  <c r="G1731" i="1"/>
  <c r="K1730" i="1"/>
  <c r="L1730" i="1" s="1"/>
  <c r="I1730" i="1"/>
  <c r="J1730" i="1" s="1"/>
  <c r="G1730" i="1"/>
  <c r="K1729" i="1"/>
  <c r="L1729" i="1" s="1"/>
  <c r="I1729" i="1"/>
  <c r="J1729" i="1" s="1"/>
  <c r="G1729" i="1"/>
  <c r="K1728" i="1"/>
  <c r="L1728" i="1" s="1"/>
  <c r="I1728" i="1"/>
  <c r="J1728" i="1" s="1"/>
  <c r="G1728" i="1"/>
  <c r="L1727" i="1"/>
  <c r="J1727" i="1"/>
  <c r="L1726" i="1"/>
  <c r="J1726" i="1"/>
  <c r="G1726" i="1"/>
  <c r="L1725" i="1"/>
  <c r="J1725" i="1"/>
  <c r="G1725" i="1"/>
  <c r="L1724" i="1"/>
  <c r="J1724" i="1"/>
  <c r="G1724" i="1"/>
  <c r="L1723" i="1"/>
  <c r="J1723" i="1"/>
  <c r="G1723" i="1"/>
  <c r="L1722" i="1"/>
  <c r="J1722" i="1"/>
  <c r="G1722" i="1"/>
  <c r="L1721" i="1"/>
  <c r="L1797" i="1" s="1"/>
  <c r="J1721" i="1"/>
  <c r="J1797" i="1" s="1"/>
  <c r="G1721" i="1"/>
  <c r="L1703" i="1"/>
  <c r="J1703" i="1"/>
  <c r="L1702" i="1"/>
  <c r="I1702" i="1"/>
  <c r="H1702" i="1"/>
  <c r="L1701" i="1"/>
  <c r="I1701" i="1"/>
  <c r="H1701" i="1"/>
  <c r="L1700" i="1"/>
  <c r="J1700" i="1"/>
  <c r="G1700" i="1"/>
  <c r="L1699" i="1"/>
  <c r="J1699" i="1"/>
  <c r="G1699" i="1"/>
  <c r="L1698" i="1"/>
  <c r="J1698" i="1"/>
  <c r="G1698" i="1"/>
  <c r="L1697" i="1"/>
  <c r="J1697" i="1"/>
  <c r="G1697" i="1"/>
  <c r="L1696" i="1"/>
  <c r="J1696" i="1"/>
  <c r="G1696" i="1"/>
  <c r="L1695" i="1"/>
  <c r="L1719" i="1" s="1"/>
  <c r="J1695" i="1"/>
  <c r="G1695" i="1"/>
  <c r="K1678" i="1"/>
  <c r="L1678" i="1" s="1"/>
  <c r="I1678" i="1"/>
  <c r="J1678" i="1" s="1"/>
  <c r="G1678" i="1"/>
  <c r="K1677" i="1"/>
  <c r="L1677" i="1" s="1"/>
  <c r="I1677" i="1"/>
  <c r="J1677" i="1" s="1"/>
  <c r="G1677" i="1"/>
  <c r="L1676" i="1"/>
  <c r="J1676" i="1"/>
  <c r="G1676" i="1"/>
  <c r="L1675" i="1"/>
  <c r="J1675" i="1"/>
  <c r="G1675" i="1"/>
  <c r="L1674" i="1"/>
  <c r="J1674" i="1"/>
  <c r="G1674" i="1"/>
  <c r="L1673" i="1"/>
  <c r="J1673" i="1"/>
  <c r="G1673" i="1"/>
  <c r="L1672" i="1"/>
  <c r="J1672" i="1"/>
  <c r="L1671" i="1"/>
  <c r="J1671" i="1"/>
  <c r="G1671" i="1"/>
  <c r="L1670" i="1"/>
  <c r="J1670" i="1"/>
  <c r="G1670" i="1"/>
  <c r="L1669" i="1"/>
  <c r="J1669" i="1"/>
  <c r="G1669" i="1"/>
  <c r="L1650" i="1"/>
  <c r="J1650" i="1"/>
  <c r="L1649" i="1"/>
  <c r="I1649" i="1"/>
  <c r="H1649" i="1"/>
  <c r="L1648" i="1"/>
  <c r="I1648" i="1"/>
  <c r="H1648" i="1"/>
  <c r="L1647" i="1"/>
  <c r="I1647" i="1"/>
  <c r="H1647" i="1"/>
  <c r="L1646" i="1"/>
  <c r="J1646" i="1"/>
  <c r="G1646" i="1"/>
  <c r="L1645" i="1"/>
  <c r="J1645" i="1"/>
  <c r="G1645" i="1"/>
  <c r="L1644" i="1"/>
  <c r="J1644" i="1"/>
  <c r="G1644" i="1"/>
  <c r="L1643" i="1"/>
  <c r="L1667" i="1" s="1"/>
  <c r="J1643" i="1"/>
  <c r="G1643" i="1"/>
  <c r="L1617" i="1"/>
  <c r="L1641" i="1" s="1"/>
  <c r="J1617" i="1"/>
  <c r="J1641" i="1" s="1"/>
  <c r="G1617" i="1"/>
  <c r="L1595" i="1"/>
  <c r="J1595" i="1"/>
  <c r="G1595" i="1"/>
  <c r="L1594" i="1"/>
  <c r="J1594" i="1"/>
  <c r="G1594" i="1"/>
  <c r="L1593" i="1"/>
  <c r="J1593" i="1"/>
  <c r="G1593" i="1"/>
  <c r="L1592" i="1"/>
  <c r="J1592" i="1"/>
  <c r="G1592" i="1"/>
  <c r="L1591" i="1"/>
  <c r="L1615" i="1" s="1"/>
  <c r="J1591" i="1"/>
  <c r="J1615" i="1" s="1"/>
  <c r="G1591" i="1"/>
  <c r="L1588" i="1"/>
  <c r="J1588" i="1"/>
  <c r="L1587" i="1"/>
  <c r="I1587" i="1"/>
  <c r="H1587" i="1"/>
  <c r="L1586" i="1"/>
  <c r="I1586" i="1"/>
  <c r="H1586" i="1"/>
  <c r="L1585" i="1"/>
  <c r="I1585" i="1"/>
  <c r="H1585" i="1"/>
  <c r="L1584" i="1"/>
  <c r="I1584" i="1"/>
  <c r="H1584" i="1"/>
  <c r="L1583" i="1"/>
  <c r="J1583" i="1"/>
  <c r="G1583" i="1"/>
  <c r="L1582" i="1"/>
  <c r="J1582" i="1"/>
  <c r="G1582" i="1"/>
  <c r="L1581" i="1"/>
  <c r="J1581" i="1"/>
  <c r="G1581" i="1"/>
  <c r="L1580" i="1"/>
  <c r="J1580" i="1"/>
  <c r="G1580" i="1"/>
  <c r="L1579" i="1"/>
  <c r="J1579" i="1"/>
  <c r="G1579" i="1"/>
  <c r="L1578" i="1"/>
  <c r="J1578" i="1"/>
  <c r="G1578" i="1"/>
  <c r="L1577" i="1"/>
  <c r="J1577" i="1"/>
  <c r="G1577" i="1"/>
  <c r="L1576" i="1"/>
  <c r="J1576" i="1"/>
  <c r="G1576" i="1"/>
  <c r="L1575" i="1"/>
  <c r="J1575" i="1"/>
  <c r="G1575" i="1"/>
  <c r="L1574" i="1"/>
  <c r="J1574" i="1"/>
  <c r="G1574" i="1"/>
  <c r="L1573" i="1"/>
  <c r="J1573" i="1"/>
  <c r="G1573" i="1"/>
  <c r="L1572" i="1"/>
  <c r="J1572" i="1"/>
  <c r="G1572" i="1"/>
  <c r="L1571" i="1"/>
  <c r="J1571" i="1"/>
  <c r="G1571" i="1"/>
  <c r="L1570" i="1"/>
  <c r="J1570" i="1"/>
  <c r="G1570" i="1"/>
  <c r="L1569" i="1"/>
  <c r="J1569" i="1"/>
  <c r="G1569" i="1"/>
  <c r="L1568" i="1"/>
  <c r="J1568" i="1"/>
  <c r="G1568" i="1"/>
  <c r="L1567" i="1"/>
  <c r="J1567" i="1"/>
  <c r="G1567" i="1"/>
  <c r="L1566" i="1"/>
  <c r="J1566" i="1"/>
  <c r="G1566" i="1"/>
  <c r="L1565" i="1"/>
  <c r="L1589" i="1" s="1"/>
  <c r="J1565" i="1"/>
  <c r="G1565" i="1"/>
  <c r="L1562" i="1"/>
  <c r="I1562" i="1"/>
  <c r="H1562" i="1"/>
  <c r="L1561" i="1"/>
  <c r="I1561" i="1"/>
  <c r="H1561" i="1"/>
  <c r="L1560" i="1"/>
  <c r="J1560" i="1"/>
  <c r="G1560" i="1"/>
  <c r="L1559" i="1"/>
  <c r="J1559" i="1"/>
  <c r="G1559" i="1"/>
  <c r="L1558" i="1"/>
  <c r="J1558" i="1"/>
  <c r="G1558" i="1"/>
  <c r="L1557" i="1"/>
  <c r="J1557" i="1"/>
  <c r="G1557" i="1"/>
  <c r="L1556" i="1"/>
  <c r="J1556" i="1"/>
  <c r="G1556" i="1"/>
  <c r="L1555" i="1"/>
  <c r="J1555" i="1"/>
  <c r="G1555" i="1"/>
  <c r="L1554" i="1"/>
  <c r="J1554" i="1"/>
  <c r="G1554" i="1"/>
  <c r="L1553" i="1"/>
  <c r="J1553" i="1"/>
  <c r="G1553" i="1"/>
  <c r="L1552" i="1"/>
  <c r="J1552" i="1"/>
  <c r="G1552" i="1"/>
  <c r="L1551" i="1"/>
  <c r="J1551" i="1"/>
  <c r="G1551" i="1"/>
  <c r="L1550" i="1"/>
  <c r="J1550" i="1"/>
  <c r="G1550" i="1"/>
  <c r="L1549" i="1"/>
  <c r="J1549" i="1"/>
  <c r="G1549" i="1"/>
  <c r="L1548" i="1"/>
  <c r="J1548" i="1"/>
  <c r="G1548" i="1"/>
  <c r="L1547" i="1"/>
  <c r="J1547" i="1"/>
  <c r="G1547" i="1"/>
  <c r="L1546" i="1"/>
  <c r="J1546" i="1"/>
  <c r="G1546" i="1"/>
  <c r="L1545" i="1"/>
  <c r="J1545" i="1"/>
  <c r="G1545" i="1"/>
  <c r="L1544" i="1"/>
  <c r="J1544" i="1"/>
  <c r="G1544" i="1"/>
  <c r="L1543" i="1"/>
  <c r="J1543" i="1"/>
  <c r="G1543" i="1"/>
  <c r="L1542" i="1"/>
  <c r="J1542" i="1"/>
  <c r="G1542" i="1"/>
  <c r="L1541" i="1"/>
  <c r="J1541" i="1"/>
  <c r="G1541" i="1"/>
  <c r="L1540" i="1"/>
  <c r="J1540" i="1"/>
  <c r="G1540" i="1"/>
  <c r="L1539" i="1"/>
  <c r="J1539" i="1"/>
  <c r="G1539" i="1"/>
  <c r="L1538" i="1"/>
  <c r="J1538" i="1"/>
  <c r="G1538" i="1"/>
  <c r="L1537" i="1"/>
  <c r="J1537" i="1"/>
  <c r="G1537" i="1"/>
  <c r="L1536" i="1"/>
  <c r="J1536" i="1"/>
  <c r="G1536" i="1"/>
  <c r="L1535" i="1"/>
  <c r="J1535" i="1"/>
  <c r="G1535" i="1"/>
  <c r="L1534" i="1"/>
  <c r="J1534" i="1"/>
  <c r="G1534" i="1"/>
  <c r="L1533" i="1"/>
  <c r="J1533" i="1"/>
  <c r="G1533" i="1"/>
  <c r="L1532" i="1"/>
  <c r="J1532" i="1"/>
  <c r="G1532" i="1"/>
  <c r="L1531" i="1"/>
  <c r="J1531" i="1"/>
  <c r="G1531" i="1"/>
  <c r="L1530" i="1"/>
  <c r="J1530" i="1"/>
  <c r="G1530" i="1"/>
  <c r="L1529" i="1"/>
  <c r="J1529" i="1"/>
  <c r="G1529" i="1"/>
  <c r="L1528" i="1"/>
  <c r="J1528" i="1"/>
  <c r="G1528" i="1"/>
  <c r="L1527" i="1"/>
  <c r="J1527" i="1"/>
  <c r="G1527" i="1"/>
  <c r="L1526" i="1"/>
  <c r="J1526" i="1"/>
  <c r="G1526" i="1"/>
  <c r="L1525" i="1"/>
  <c r="J1525" i="1"/>
  <c r="G1525" i="1"/>
  <c r="L1524" i="1"/>
  <c r="J1524" i="1"/>
  <c r="G1524" i="1"/>
  <c r="L1523" i="1"/>
  <c r="J1523" i="1"/>
  <c r="G1523" i="1"/>
  <c r="L1522" i="1"/>
  <c r="J1522" i="1"/>
  <c r="G1522" i="1"/>
  <c r="L1521" i="1"/>
  <c r="J1521" i="1"/>
  <c r="G1521" i="1"/>
  <c r="L1520" i="1"/>
  <c r="J1520" i="1"/>
  <c r="G1520" i="1"/>
  <c r="L1519" i="1"/>
  <c r="J1519" i="1"/>
  <c r="G1519" i="1"/>
  <c r="L1518" i="1"/>
  <c r="J1518" i="1"/>
  <c r="G1518" i="1"/>
  <c r="L1517" i="1"/>
  <c r="J1517" i="1"/>
  <c r="G1517" i="1"/>
  <c r="M1516" i="1"/>
  <c r="J1516" i="1"/>
  <c r="H1516" i="1"/>
  <c r="N1516" i="1" s="1"/>
  <c r="L1515" i="1"/>
  <c r="J1515" i="1"/>
  <c r="G1515" i="1"/>
  <c r="L1514" i="1"/>
  <c r="J1514" i="1"/>
  <c r="G1514" i="1"/>
  <c r="L1513" i="1"/>
  <c r="L1563" i="1" s="1"/>
  <c r="J1513" i="1"/>
  <c r="G1513" i="1"/>
  <c r="L1485" i="1"/>
  <c r="J1485" i="1"/>
  <c r="G1485" i="1"/>
  <c r="L1484" i="1"/>
  <c r="J1484" i="1"/>
  <c r="G1484" i="1"/>
  <c r="L1483" i="1"/>
  <c r="J1483" i="1"/>
  <c r="G1483" i="1"/>
  <c r="L1482" i="1"/>
  <c r="J1482" i="1"/>
  <c r="G1482" i="1"/>
  <c r="L1481" i="1"/>
  <c r="J1481" i="1"/>
  <c r="G1481" i="1"/>
  <c r="L1480" i="1"/>
  <c r="J1480" i="1"/>
  <c r="G1480" i="1"/>
  <c r="L1479" i="1"/>
  <c r="J1479" i="1"/>
  <c r="G1479" i="1"/>
  <c r="L1478" i="1"/>
  <c r="J1478" i="1"/>
  <c r="G1478" i="1"/>
  <c r="L1477" i="1"/>
  <c r="L1511" i="1" s="1"/>
  <c r="J1477" i="1"/>
  <c r="J1511" i="1" s="1"/>
  <c r="G1477" i="1"/>
  <c r="L1476" i="1"/>
  <c r="J1476" i="1"/>
  <c r="G1476" i="1"/>
  <c r="L1475" i="1"/>
  <c r="J1475" i="1"/>
  <c r="G1475" i="1"/>
  <c r="L1474" i="1"/>
  <c r="J1474" i="1"/>
  <c r="G1474" i="1"/>
  <c r="L1473" i="1"/>
  <c r="J1473" i="1"/>
  <c r="G1473" i="1"/>
  <c r="L1472" i="1"/>
  <c r="J1472" i="1"/>
  <c r="G1472" i="1"/>
  <c r="L1471" i="1"/>
  <c r="J1471" i="1"/>
  <c r="G1471" i="1"/>
  <c r="L1470" i="1"/>
  <c r="J1470" i="1"/>
  <c r="G1470" i="1"/>
  <c r="L1469" i="1"/>
  <c r="J1469" i="1"/>
  <c r="G1469" i="1"/>
  <c r="L1468" i="1"/>
  <c r="J1468" i="1"/>
  <c r="G1468" i="1"/>
  <c r="L1467" i="1"/>
  <c r="J1467" i="1"/>
  <c r="G1467" i="1"/>
  <c r="L1466" i="1"/>
  <c r="J1466" i="1"/>
  <c r="G1466" i="1"/>
  <c r="L1465" i="1"/>
  <c r="J1465" i="1"/>
  <c r="G1465" i="1"/>
  <c r="L1464" i="1"/>
  <c r="J1464" i="1"/>
  <c r="G1464" i="1"/>
  <c r="L1463" i="1"/>
  <c r="J1463" i="1"/>
  <c r="G1463" i="1"/>
  <c r="L1462" i="1"/>
  <c r="J1462" i="1"/>
  <c r="G1462" i="1"/>
  <c r="L1461" i="1"/>
  <c r="J1461" i="1"/>
  <c r="G1461" i="1"/>
  <c r="L1441" i="1"/>
  <c r="J1441" i="1"/>
  <c r="G1441" i="1"/>
  <c r="L1440" i="1"/>
  <c r="J1440" i="1"/>
  <c r="G1440" i="1"/>
  <c r="L1439" i="1"/>
  <c r="J1439" i="1"/>
  <c r="G1439" i="1"/>
  <c r="L1438" i="1"/>
  <c r="J1438" i="1"/>
  <c r="G1438" i="1"/>
  <c r="L1437" i="1"/>
  <c r="J1437" i="1"/>
  <c r="G1437" i="1"/>
  <c r="L1436" i="1"/>
  <c r="J1436" i="1"/>
  <c r="G1436" i="1"/>
  <c r="L1435" i="1"/>
  <c r="L1459" i="1" s="1"/>
  <c r="J1435" i="1"/>
  <c r="J1459" i="1" s="1"/>
  <c r="G1435" i="1"/>
  <c r="L1407" i="1"/>
  <c r="J1407" i="1"/>
  <c r="G1407" i="1"/>
  <c r="L1406" i="1"/>
  <c r="J1406" i="1"/>
  <c r="G1406" i="1"/>
  <c r="L1405" i="1"/>
  <c r="J1405" i="1"/>
  <c r="G1405" i="1"/>
  <c r="L1404" i="1"/>
  <c r="J1404" i="1"/>
  <c r="G1404" i="1"/>
  <c r="L1403" i="1"/>
  <c r="J1403" i="1"/>
  <c r="G1403" i="1"/>
  <c r="L1402" i="1"/>
  <c r="J1402" i="1"/>
  <c r="G1402" i="1"/>
  <c r="L1401" i="1"/>
  <c r="J1401" i="1"/>
  <c r="G1401" i="1"/>
  <c r="L1400" i="1"/>
  <c r="J1400" i="1"/>
  <c r="G1400" i="1"/>
  <c r="L1399" i="1"/>
  <c r="J1399" i="1"/>
  <c r="G1399" i="1"/>
  <c r="L1398" i="1"/>
  <c r="J1398" i="1"/>
  <c r="G1398" i="1"/>
  <c r="L1397" i="1"/>
  <c r="J1397" i="1"/>
  <c r="G1397" i="1"/>
  <c r="L1396" i="1"/>
  <c r="J1396" i="1"/>
  <c r="G1396" i="1"/>
  <c r="L1395" i="1"/>
  <c r="J1395" i="1"/>
  <c r="G1395" i="1"/>
  <c r="L1394" i="1"/>
  <c r="J1394" i="1"/>
  <c r="G1394" i="1"/>
  <c r="L1393" i="1"/>
  <c r="J1393" i="1"/>
  <c r="G1393" i="1"/>
  <c r="L1392" i="1"/>
  <c r="J1392" i="1"/>
  <c r="G1392" i="1"/>
  <c r="L1391" i="1"/>
  <c r="J1391" i="1"/>
  <c r="G1391" i="1"/>
  <c r="L1390" i="1"/>
  <c r="J1390" i="1"/>
  <c r="G1390" i="1"/>
  <c r="L1389" i="1"/>
  <c r="J1389" i="1"/>
  <c r="G1389" i="1"/>
  <c r="L1388" i="1"/>
  <c r="J1388" i="1"/>
  <c r="G1388" i="1"/>
  <c r="L1387" i="1"/>
  <c r="J1387" i="1"/>
  <c r="G1387" i="1"/>
  <c r="L1386" i="1"/>
  <c r="J1386" i="1"/>
  <c r="G1386" i="1"/>
  <c r="L1385" i="1"/>
  <c r="J1385" i="1"/>
  <c r="G1385" i="1"/>
  <c r="L1384" i="1"/>
  <c r="J1384" i="1"/>
  <c r="G1384" i="1"/>
  <c r="L1383" i="1"/>
  <c r="L1433" i="1" s="1"/>
  <c r="J1383" i="1"/>
  <c r="J1433" i="1" s="1"/>
  <c r="G1383" i="1"/>
  <c r="L1368" i="1"/>
  <c r="J1368" i="1"/>
  <c r="G1368" i="1"/>
  <c r="L1367" i="1"/>
  <c r="J1367" i="1"/>
  <c r="G1367" i="1"/>
  <c r="L1366" i="1"/>
  <c r="J1366" i="1"/>
  <c r="G1366" i="1"/>
  <c r="L1365" i="1"/>
  <c r="J1365" i="1"/>
  <c r="G1365" i="1"/>
  <c r="L1364" i="1"/>
  <c r="J1364" i="1"/>
  <c r="G1364" i="1"/>
  <c r="L1363" i="1"/>
  <c r="J1363" i="1"/>
  <c r="G1363" i="1"/>
  <c r="L1362" i="1"/>
  <c r="J1362" i="1"/>
  <c r="G1362" i="1"/>
  <c r="L1361" i="1"/>
  <c r="J1361" i="1"/>
  <c r="G1361" i="1"/>
  <c r="L1360" i="1"/>
  <c r="J1360" i="1"/>
  <c r="G1360" i="1"/>
  <c r="L1359" i="1"/>
  <c r="J1359" i="1"/>
  <c r="G1359" i="1"/>
  <c r="L1358" i="1"/>
  <c r="J1358" i="1"/>
  <c r="G1358" i="1"/>
  <c r="L1357" i="1"/>
  <c r="L1381" i="1" s="1"/>
  <c r="J1357" i="1"/>
  <c r="J1381" i="1" s="1"/>
  <c r="G1357" i="1"/>
  <c r="L1341" i="1"/>
  <c r="J1341" i="1"/>
  <c r="G1341" i="1"/>
  <c r="L1340" i="1"/>
  <c r="J1340" i="1"/>
  <c r="G1340" i="1"/>
  <c r="L1339" i="1"/>
  <c r="J1339" i="1"/>
  <c r="G1339" i="1"/>
  <c r="L1338" i="1"/>
  <c r="J1338" i="1"/>
  <c r="G1338" i="1"/>
  <c r="L1337" i="1"/>
  <c r="J1337" i="1"/>
  <c r="G1337" i="1"/>
  <c r="L1336" i="1"/>
  <c r="J1336" i="1"/>
  <c r="G1336" i="1"/>
  <c r="L1335" i="1"/>
  <c r="J1335" i="1"/>
  <c r="G1335" i="1"/>
  <c r="L1334" i="1"/>
  <c r="J1334" i="1"/>
  <c r="G1334" i="1"/>
  <c r="L1333" i="1"/>
  <c r="J1333" i="1"/>
  <c r="G1333" i="1"/>
  <c r="L1332" i="1"/>
  <c r="J1332" i="1"/>
  <c r="G1332" i="1"/>
  <c r="L1331" i="1"/>
  <c r="J1331" i="1"/>
  <c r="G1331" i="1"/>
  <c r="L1330" i="1"/>
  <c r="J1330" i="1"/>
  <c r="G1330" i="1"/>
  <c r="L1329" i="1"/>
  <c r="J1329" i="1"/>
  <c r="G1329" i="1"/>
  <c r="L1328" i="1"/>
  <c r="J1328" i="1"/>
  <c r="G1328" i="1"/>
  <c r="L1327" i="1"/>
  <c r="J1327" i="1"/>
  <c r="G1327" i="1"/>
  <c r="L1326" i="1"/>
  <c r="J1326" i="1"/>
  <c r="G1326" i="1"/>
  <c r="L1325" i="1"/>
  <c r="J1325" i="1"/>
  <c r="G1325" i="1"/>
  <c r="L1324" i="1"/>
  <c r="J1324" i="1"/>
  <c r="G1324" i="1"/>
  <c r="L1323" i="1"/>
  <c r="J1323" i="1"/>
  <c r="G1323" i="1"/>
  <c r="L1322" i="1"/>
  <c r="J1322" i="1"/>
  <c r="G1322" i="1"/>
  <c r="L1321" i="1"/>
  <c r="J1321" i="1"/>
  <c r="G1321" i="1"/>
  <c r="L1320" i="1"/>
  <c r="J1320" i="1"/>
  <c r="G1320" i="1"/>
  <c r="L1319" i="1"/>
  <c r="J1319" i="1"/>
  <c r="G1319" i="1"/>
  <c r="L1318" i="1"/>
  <c r="J1318" i="1"/>
  <c r="G1318" i="1"/>
  <c r="L1317" i="1"/>
  <c r="J1317" i="1"/>
  <c r="G1317" i="1"/>
  <c r="L1316" i="1"/>
  <c r="J1316" i="1"/>
  <c r="G1316" i="1"/>
  <c r="L1315" i="1"/>
  <c r="J1315" i="1"/>
  <c r="G1315" i="1"/>
  <c r="L1314" i="1"/>
  <c r="J1314" i="1"/>
  <c r="G1314" i="1"/>
  <c r="L1313" i="1"/>
  <c r="J1313" i="1"/>
  <c r="G1313" i="1"/>
  <c r="L1312" i="1"/>
  <c r="J1312" i="1"/>
  <c r="G1312" i="1"/>
  <c r="L1311" i="1"/>
  <c r="J1311" i="1"/>
  <c r="G1311" i="1"/>
  <c r="L1310" i="1"/>
  <c r="J1310" i="1"/>
  <c r="G1310" i="1"/>
  <c r="L1309" i="1"/>
  <c r="J1309" i="1"/>
  <c r="G1309" i="1"/>
  <c r="L1308" i="1"/>
  <c r="J1308" i="1"/>
  <c r="G1308" i="1"/>
  <c r="L1307" i="1"/>
  <c r="J1307" i="1"/>
  <c r="G1307" i="1"/>
  <c r="L1306" i="1"/>
  <c r="J1306" i="1"/>
  <c r="G1306" i="1"/>
  <c r="L1305" i="1"/>
  <c r="J1305" i="1"/>
  <c r="G1305" i="1"/>
  <c r="L1304" i="1"/>
  <c r="J1304" i="1"/>
  <c r="G1304" i="1"/>
  <c r="L1303" i="1"/>
  <c r="J1303" i="1"/>
  <c r="G1303" i="1"/>
  <c r="L1302" i="1"/>
  <c r="J1302" i="1"/>
  <c r="G1302" i="1"/>
  <c r="L1301" i="1"/>
  <c r="J1301" i="1"/>
  <c r="G1301" i="1"/>
  <c r="L1300" i="1"/>
  <c r="J1300" i="1"/>
  <c r="G1300" i="1"/>
  <c r="L1299" i="1"/>
  <c r="J1299" i="1"/>
  <c r="G1299" i="1"/>
  <c r="L1298" i="1"/>
  <c r="J1298" i="1"/>
  <c r="G1298" i="1"/>
  <c r="L1297" i="1"/>
  <c r="J1297" i="1"/>
  <c r="G1297" i="1"/>
  <c r="L1296" i="1"/>
  <c r="J1296" i="1"/>
  <c r="G1296" i="1"/>
  <c r="L1295" i="1"/>
  <c r="J1295" i="1"/>
  <c r="G1295" i="1"/>
  <c r="L1294" i="1"/>
  <c r="J1294" i="1"/>
  <c r="G1294" i="1"/>
  <c r="L1293" i="1"/>
  <c r="J1293" i="1"/>
  <c r="G1293" i="1"/>
  <c r="L1292" i="1"/>
  <c r="J1292" i="1"/>
  <c r="G1292" i="1"/>
  <c r="L1291" i="1"/>
  <c r="J1291" i="1"/>
  <c r="G1291" i="1"/>
  <c r="L1290" i="1"/>
  <c r="J1290" i="1"/>
  <c r="G1290" i="1"/>
  <c r="L1289" i="1"/>
  <c r="J1289" i="1"/>
  <c r="G1289" i="1"/>
  <c r="L1288" i="1"/>
  <c r="J1288" i="1"/>
  <c r="G1288" i="1"/>
  <c r="L1287" i="1"/>
  <c r="J1287" i="1"/>
  <c r="G1287" i="1"/>
  <c r="L1286" i="1"/>
  <c r="J1286" i="1"/>
  <c r="G1286" i="1"/>
  <c r="L1285" i="1"/>
  <c r="J1285" i="1"/>
  <c r="G1285" i="1"/>
  <c r="L1284" i="1"/>
  <c r="J1284" i="1"/>
  <c r="G1284" i="1"/>
  <c r="L1283" i="1"/>
  <c r="J1283" i="1"/>
  <c r="G1283" i="1"/>
  <c r="L1282" i="1"/>
  <c r="J1282" i="1"/>
  <c r="G1282" i="1"/>
  <c r="L1281" i="1"/>
  <c r="J1281" i="1"/>
  <c r="G1281" i="1"/>
  <c r="L1280" i="1"/>
  <c r="J1280" i="1"/>
  <c r="G1280" i="1"/>
  <c r="L1279" i="1"/>
  <c r="J1279" i="1"/>
  <c r="G1279" i="1"/>
  <c r="L1278" i="1"/>
  <c r="J1278" i="1"/>
  <c r="G1278" i="1"/>
  <c r="L1277" i="1"/>
  <c r="J1277" i="1"/>
  <c r="G1277" i="1"/>
  <c r="L1276" i="1"/>
  <c r="J1276" i="1"/>
  <c r="G1276" i="1"/>
  <c r="L1275" i="1"/>
  <c r="J1275" i="1"/>
  <c r="G1275" i="1"/>
  <c r="L1274" i="1"/>
  <c r="J1274" i="1"/>
  <c r="G1274" i="1"/>
  <c r="L1273" i="1"/>
  <c r="J1273" i="1"/>
  <c r="G1273" i="1"/>
  <c r="L1272" i="1"/>
  <c r="J1272" i="1"/>
  <c r="G1272" i="1"/>
  <c r="L1271" i="1"/>
  <c r="J1271" i="1"/>
  <c r="G1271" i="1"/>
  <c r="L1270" i="1"/>
  <c r="J1270" i="1"/>
  <c r="G1270" i="1"/>
  <c r="L1269" i="1"/>
  <c r="J1269" i="1"/>
  <c r="G1269" i="1"/>
  <c r="L1268" i="1"/>
  <c r="J1268" i="1"/>
  <c r="G1268" i="1"/>
  <c r="L1267" i="1"/>
  <c r="J1267" i="1"/>
  <c r="G1267" i="1"/>
  <c r="L1266" i="1"/>
  <c r="J1266" i="1"/>
  <c r="G1266" i="1"/>
  <c r="L1265" i="1"/>
  <c r="J1265" i="1"/>
  <c r="G1265" i="1"/>
  <c r="L1264" i="1"/>
  <c r="J1264" i="1"/>
  <c r="G1264" i="1"/>
  <c r="L1263" i="1"/>
  <c r="J1263" i="1"/>
  <c r="G1263" i="1"/>
  <c r="L1262" i="1"/>
  <c r="J1262" i="1"/>
  <c r="G1262" i="1"/>
  <c r="L1261" i="1"/>
  <c r="J1261" i="1"/>
  <c r="G1261" i="1"/>
  <c r="L1260" i="1"/>
  <c r="J1260" i="1"/>
  <c r="G1260" i="1"/>
  <c r="L1259" i="1"/>
  <c r="J1259" i="1"/>
  <c r="G1259" i="1"/>
  <c r="L1258" i="1"/>
  <c r="J1258" i="1"/>
  <c r="G1258" i="1"/>
  <c r="L1257" i="1"/>
  <c r="J1257" i="1"/>
  <c r="G1257" i="1"/>
  <c r="L1256" i="1"/>
  <c r="J1256" i="1"/>
  <c r="G1256" i="1"/>
  <c r="L1255" i="1"/>
  <c r="J1255" i="1"/>
  <c r="G1255" i="1"/>
  <c r="L1254" i="1"/>
  <c r="J1254" i="1"/>
  <c r="G1254" i="1"/>
  <c r="L1253" i="1"/>
  <c r="L1355" i="1" s="1"/>
  <c r="J1253" i="1"/>
  <c r="J1355" i="1" s="1"/>
  <c r="G1253" i="1"/>
  <c r="L1236" i="1"/>
  <c r="I1236" i="1"/>
  <c r="H1236" i="1"/>
  <c r="L1235" i="1"/>
  <c r="J1235" i="1"/>
  <c r="G1235" i="1"/>
  <c r="L1234" i="1"/>
  <c r="J1234" i="1"/>
  <c r="G1234" i="1"/>
  <c r="L1233" i="1"/>
  <c r="J1233" i="1"/>
  <c r="G1233" i="1"/>
  <c r="L1232" i="1"/>
  <c r="J1232" i="1"/>
  <c r="G1232" i="1"/>
  <c r="L1231" i="1"/>
  <c r="J1231" i="1"/>
  <c r="G1231" i="1"/>
  <c r="L1230" i="1"/>
  <c r="J1230" i="1"/>
  <c r="G1230" i="1"/>
  <c r="L1229" i="1"/>
  <c r="I1229" i="1"/>
  <c r="H1229" i="1"/>
  <c r="L1228" i="1"/>
  <c r="J1228" i="1"/>
  <c r="G1228" i="1"/>
  <c r="L1227" i="1"/>
  <c r="L1251" i="1" s="1"/>
  <c r="J1227" i="1"/>
  <c r="G1227" i="1"/>
  <c r="L1208" i="1"/>
  <c r="J1208" i="1"/>
  <c r="L1207" i="1"/>
  <c r="I1207" i="1"/>
  <c r="H1207" i="1"/>
  <c r="L1206" i="1"/>
  <c r="I1206" i="1"/>
  <c r="H1206" i="1"/>
  <c r="L1205" i="1"/>
  <c r="I1205" i="1"/>
  <c r="H1205" i="1"/>
  <c r="L1204" i="1"/>
  <c r="J1204" i="1"/>
  <c r="G1204" i="1"/>
  <c r="L1203" i="1"/>
  <c r="J1203" i="1"/>
  <c r="G1203" i="1"/>
  <c r="K1202" i="1"/>
  <c r="L1202" i="1" s="1"/>
  <c r="I1202" i="1"/>
  <c r="J1202" i="1" s="1"/>
  <c r="G1202" i="1"/>
  <c r="K1201" i="1"/>
  <c r="L1201" i="1" s="1"/>
  <c r="I1201" i="1"/>
  <c r="J1201" i="1" s="1"/>
  <c r="G1201" i="1"/>
  <c r="L1200" i="1"/>
  <c r="J1200" i="1"/>
  <c r="G1200" i="1"/>
  <c r="K1199" i="1"/>
  <c r="L1199" i="1" s="1"/>
  <c r="I1199" i="1"/>
  <c r="J1199" i="1" s="1"/>
  <c r="G1199" i="1"/>
  <c r="L1198" i="1"/>
  <c r="J1198" i="1"/>
  <c r="G1198" i="1"/>
  <c r="L1197" i="1"/>
  <c r="J1197" i="1"/>
  <c r="G1197" i="1"/>
  <c r="K1196" i="1"/>
  <c r="L1196" i="1" s="1"/>
  <c r="I1196" i="1"/>
  <c r="J1196" i="1" s="1"/>
  <c r="G1196" i="1"/>
  <c r="K1195" i="1"/>
  <c r="L1195" i="1" s="1"/>
  <c r="I1195" i="1"/>
  <c r="J1195" i="1" s="1"/>
  <c r="G1195" i="1"/>
  <c r="L1194" i="1"/>
  <c r="J1194" i="1"/>
  <c r="G1194" i="1"/>
  <c r="L1193" i="1"/>
  <c r="J1193" i="1"/>
  <c r="G1193" i="1"/>
  <c r="L1192" i="1"/>
  <c r="J1192" i="1"/>
  <c r="G1192" i="1"/>
  <c r="L1191" i="1"/>
  <c r="J1191" i="1"/>
  <c r="G1191" i="1"/>
  <c r="L1190" i="1"/>
  <c r="J1190" i="1"/>
  <c r="G1190" i="1"/>
  <c r="L1189" i="1"/>
  <c r="J1189" i="1"/>
  <c r="G1189" i="1"/>
  <c r="L1188" i="1"/>
  <c r="J1188" i="1"/>
  <c r="G1188" i="1"/>
  <c r="K1187" i="1"/>
  <c r="L1187" i="1" s="1"/>
  <c r="I1187" i="1"/>
  <c r="J1187" i="1" s="1"/>
  <c r="G1187" i="1"/>
  <c r="K1186" i="1"/>
  <c r="L1186" i="1" s="1"/>
  <c r="I1186" i="1"/>
  <c r="J1186" i="1" s="1"/>
  <c r="G1186" i="1"/>
  <c r="L1185" i="1"/>
  <c r="J1185" i="1"/>
  <c r="G1185" i="1"/>
  <c r="L1184" i="1"/>
  <c r="J1184" i="1"/>
  <c r="G1184" i="1"/>
  <c r="L1183" i="1"/>
  <c r="J1183" i="1"/>
  <c r="G1183" i="1"/>
  <c r="L1182" i="1"/>
  <c r="J1182" i="1"/>
  <c r="G1182" i="1"/>
  <c r="L1181" i="1"/>
  <c r="J1181" i="1"/>
  <c r="G1181" i="1"/>
  <c r="L1180" i="1"/>
  <c r="J1180" i="1"/>
  <c r="G1180" i="1"/>
  <c r="L1179" i="1"/>
  <c r="J1179" i="1"/>
  <c r="G1179" i="1"/>
  <c r="L1178" i="1"/>
  <c r="J1178" i="1"/>
  <c r="G1178" i="1"/>
  <c r="L1177" i="1"/>
  <c r="J1177" i="1"/>
  <c r="L1176" i="1"/>
  <c r="J1176" i="1"/>
  <c r="G1176" i="1"/>
  <c r="L1175" i="1"/>
  <c r="L1225" i="1" s="1"/>
  <c r="J1175" i="1"/>
  <c r="J1225" i="1" s="1"/>
  <c r="G1175" i="1"/>
  <c r="L1163" i="1"/>
  <c r="J1163" i="1"/>
  <c r="G1163" i="1"/>
  <c r="L1162" i="1"/>
  <c r="J1162" i="1"/>
  <c r="G1162" i="1"/>
  <c r="K1161" i="1"/>
  <c r="L1161" i="1" s="1"/>
  <c r="I1161" i="1"/>
  <c r="J1161" i="1" s="1"/>
  <c r="G1161" i="1"/>
  <c r="K1160" i="1"/>
  <c r="L1160" i="1" s="1"/>
  <c r="I1160" i="1"/>
  <c r="J1160" i="1" s="1"/>
  <c r="G1160" i="1"/>
  <c r="K1159" i="1"/>
  <c r="L1159" i="1" s="1"/>
  <c r="I1159" i="1"/>
  <c r="J1159" i="1" s="1"/>
  <c r="G1159" i="1"/>
  <c r="K1158" i="1"/>
  <c r="L1158" i="1" s="1"/>
  <c r="I1158" i="1"/>
  <c r="J1158" i="1" s="1"/>
  <c r="G1158" i="1"/>
  <c r="K1157" i="1"/>
  <c r="L1157" i="1" s="1"/>
  <c r="I1157" i="1"/>
  <c r="J1157" i="1" s="1"/>
  <c r="G1157" i="1"/>
  <c r="K1156" i="1"/>
  <c r="L1156" i="1" s="1"/>
  <c r="I1156" i="1"/>
  <c r="J1156" i="1" s="1"/>
  <c r="G1156" i="1"/>
  <c r="K1155" i="1"/>
  <c r="L1155" i="1" s="1"/>
  <c r="I1155" i="1"/>
  <c r="J1155" i="1" s="1"/>
  <c r="G1155" i="1"/>
  <c r="K1154" i="1"/>
  <c r="L1154" i="1" s="1"/>
  <c r="I1154" i="1"/>
  <c r="J1154" i="1" s="1"/>
  <c r="G1154" i="1"/>
  <c r="K1153" i="1"/>
  <c r="L1153" i="1" s="1"/>
  <c r="I1153" i="1"/>
  <c r="J1153" i="1" s="1"/>
  <c r="G1153" i="1"/>
  <c r="M1152" i="1"/>
  <c r="L1152" i="1"/>
  <c r="L1173" i="1" s="1"/>
  <c r="J1152" i="1"/>
  <c r="J1173" i="1" s="1"/>
  <c r="H1152" i="1"/>
  <c r="N1152" i="1" s="1"/>
  <c r="G1152" i="1"/>
  <c r="L1151" i="1"/>
  <c r="J1151" i="1"/>
  <c r="G1151" i="1"/>
  <c r="L1150" i="1"/>
  <c r="J1150" i="1"/>
  <c r="L1149" i="1"/>
  <c r="J1149" i="1"/>
  <c r="G1149" i="1"/>
  <c r="L1132" i="1"/>
  <c r="J1132" i="1"/>
  <c r="L1131" i="1"/>
  <c r="I1131" i="1"/>
  <c r="H1131" i="1"/>
  <c r="L1130" i="1"/>
  <c r="I1130" i="1"/>
  <c r="H1130" i="1"/>
  <c r="L1129" i="1"/>
  <c r="J1129" i="1"/>
  <c r="G1129" i="1"/>
  <c r="L1128" i="1"/>
  <c r="J1128" i="1"/>
  <c r="G1128" i="1"/>
  <c r="L1127" i="1"/>
  <c r="J1127" i="1"/>
  <c r="G1127" i="1"/>
  <c r="L1126" i="1"/>
  <c r="J1126" i="1"/>
  <c r="G1126" i="1"/>
  <c r="L1125" i="1"/>
  <c r="J1125" i="1"/>
  <c r="G1125" i="1"/>
  <c r="L1124" i="1"/>
  <c r="J1124" i="1"/>
  <c r="G1124" i="1"/>
  <c r="L1123" i="1"/>
  <c r="J1123" i="1"/>
  <c r="G1123" i="1"/>
  <c r="L1122" i="1"/>
  <c r="J1122" i="1"/>
  <c r="G1122" i="1"/>
  <c r="L1121" i="1"/>
  <c r="J1121" i="1"/>
  <c r="G1121" i="1"/>
  <c r="L1120" i="1"/>
  <c r="J1120" i="1"/>
  <c r="G1120" i="1"/>
  <c r="L1119" i="1"/>
  <c r="J1119" i="1"/>
  <c r="G1119" i="1"/>
  <c r="L1118" i="1"/>
  <c r="J1118" i="1"/>
  <c r="G1118" i="1"/>
  <c r="L1117" i="1"/>
  <c r="J1117" i="1"/>
  <c r="G1117" i="1"/>
  <c r="L1116" i="1"/>
  <c r="J1116" i="1"/>
  <c r="G1116" i="1"/>
  <c r="L1115" i="1"/>
  <c r="J1115" i="1"/>
  <c r="G1115" i="1"/>
  <c r="L1114" i="1"/>
  <c r="J1114" i="1"/>
  <c r="G1114" i="1"/>
  <c r="L1113" i="1"/>
  <c r="J1113" i="1"/>
  <c r="G1113" i="1"/>
  <c r="L1112" i="1"/>
  <c r="J1112" i="1"/>
  <c r="G1112" i="1"/>
  <c r="L1111" i="1"/>
  <c r="J1111" i="1"/>
  <c r="G1111" i="1"/>
  <c r="L1110" i="1"/>
  <c r="J1110" i="1"/>
  <c r="G1110" i="1"/>
  <c r="L1109" i="1"/>
  <c r="J1109" i="1"/>
  <c r="G1109" i="1"/>
  <c r="L1108" i="1"/>
  <c r="J1108" i="1"/>
  <c r="G1108" i="1"/>
  <c r="L1107" i="1"/>
  <c r="J1107" i="1"/>
  <c r="G1107" i="1"/>
  <c r="L1106" i="1"/>
  <c r="J1106" i="1"/>
  <c r="G1106" i="1"/>
  <c r="L1105" i="1"/>
  <c r="J1105" i="1"/>
  <c r="G1105" i="1"/>
  <c r="L1104" i="1"/>
  <c r="J1104" i="1"/>
  <c r="G1104" i="1"/>
  <c r="L1103" i="1"/>
  <c r="J1103" i="1"/>
  <c r="G1103" i="1"/>
  <c r="L1102" i="1"/>
  <c r="J1102" i="1"/>
  <c r="G1102" i="1"/>
  <c r="L1101" i="1"/>
  <c r="J1101" i="1"/>
  <c r="G1101" i="1"/>
  <c r="L1100" i="1"/>
  <c r="J1100" i="1"/>
  <c r="G1100" i="1"/>
  <c r="L1099" i="1"/>
  <c r="J1099" i="1"/>
  <c r="G1099" i="1"/>
  <c r="L1098" i="1"/>
  <c r="J1098" i="1"/>
  <c r="G1098" i="1"/>
  <c r="L1097" i="1"/>
  <c r="J1097" i="1"/>
  <c r="G1097" i="1"/>
  <c r="L1096" i="1"/>
  <c r="J1096" i="1"/>
  <c r="G1096" i="1"/>
  <c r="L1095" i="1"/>
  <c r="J1095" i="1"/>
  <c r="G1095" i="1"/>
  <c r="L1094" i="1"/>
  <c r="J1094" i="1"/>
  <c r="G1094" i="1"/>
  <c r="L1093" i="1"/>
  <c r="J1093" i="1"/>
  <c r="G1093" i="1"/>
  <c r="L1092" i="1"/>
  <c r="J1092" i="1"/>
  <c r="G1092" i="1"/>
  <c r="L1091" i="1"/>
  <c r="J1091" i="1"/>
  <c r="G1091" i="1"/>
  <c r="L1090" i="1"/>
  <c r="J1090" i="1"/>
  <c r="G1090" i="1"/>
  <c r="L1089" i="1"/>
  <c r="J1089" i="1"/>
  <c r="G1089" i="1"/>
  <c r="L1088" i="1"/>
  <c r="J1088" i="1"/>
  <c r="G1088" i="1"/>
  <c r="L1087" i="1"/>
  <c r="J1087" i="1"/>
  <c r="G1087" i="1"/>
  <c r="L1086" i="1"/>
  <c r="J1086" i="1"/>
  <c r="G1086" i="1"/>
  <c r="L1085" i="1"/>
  <c r="J1085" i="1"/>
  <c r="G1085" i="1"/>
  <c r="L1084" i="1"/>
  <c r="J1084" i="1"/>
  <c r="G1084" i="1"/>
  <c r="L1083" i="1"/>
  <c r="J1083" i="1"/>
  <c r="G1083" i="1"/>
  <c r="L1082" i="1"/>
  <c r="J1082" i="1"/>
  <c r="G1082" i="1"/>
  <c r="L1081" i="1"/>
  <c r="J1081" i="1"/>
  <c r="G1081" i="1"/>
  <c r="L1080" i="1"/>
  <c r="J1080" i="1"/>
  <c r="G1080" i="1"/>
  <c r="L1079" i="1"/>
  <c r="J1079" i="1"/>
  <c r="G1079" i="1"/>
  <c r="L1078" i="1"/>
  <c r="J1078" i="1"/>
  <c r="G1078" i="1"/>
  <c r="L1077" i="1"/>
  <c r="J1077" i="1"/>
  <c r="G1077" i="1"/>
  <c r="L1076" i="1"/>
  <c r="J1076" i="1"/>
  <c r="G1076" i="1"/>
  <c r="L1075" i="1"/>
  <c r="J1075" i="1"/>
  <c r="G1075" i="1"/>
  <c r="L1074" i="1"/>
  <c r="J1074" i="1"/>
  <c r="G1074" i="1"/>
  <c r="L1073" i="1"/>
  <c r="J1073" i="1"/>
  <c r="G1073" i="1"/>
  <c r="L1072" i="1"/>
  <c r="J1072" i="1"/>
  <c r="G1072" i="1"/>
  <c r="L1071" i="1"/>
  <c r="J1071" i="1"/>
  <c r="G1071" i="1"/>
  <c r="L1070" i="1"/>
  <c r="J1070" i="1"/>
  <c r="G1070" i="1"/>
  <c r="L1069" i="1"/>
  <c r="J1069" i="1"/>
  <c r="G1069" i="1"/>
  <c r="L1068" i="1"/>
  <c r="J1068" i="1"/>
  <c r="G1068" i="1"/>
  <c r="L1067" i="1"/>
  <c r="J1067" i="1"/>
  <c r="G1067" i="1"/>
  <c r="L1066" i="1"/>
  <c r="J1066" i="1"/>
  <c r="G1066" i="1"/>
  <c r="L1065" i="1"/>
  <c r="J1065" i="1"/>
  <c r="G1065" i="1"/>
  <c r="L1064" i="1"/>
  <c r="J1064" i="1"/>
  <c r="G1064" i="1"/>
  <c r="L1063" i="1"/>
  <c r="J1063" i="1"/>
  <c r="G1063" i="1"/>
  <c r="L1062" i="1"/>
  <c r="J1062" i="1"/>
  <c r="G1062" i="1"/>
  <c r="L1061" i="1"/>
  <c r="J1061" i="1"/>
  <c r="G1061" i="1"/>
  <c r="L1060" i="1"/>
  <c r="J1060" i="1"/>
  <c r="G1060" i="1"/>
  <c r="L1059" i="1"/>
  <c r="J1059" i="1"/>
  <c r="G1059" i="1"/>
  <c r="L1058" i="1"/>
  <c r="J1058" i="1"/>
  <c r="G1058" i="1"/>
  <c r="L1057" i="1"/>
  <c r="J1057" i="1"/>
  <c r="G1057" i="1"/>
  <c r="L1056" i="1"/>
  <c r="J1056" i="1"/>
  <c r="G1056" i="1"/>
  <c r="L1055" i="1"/>
  <c r="J1055" i="1"/>
  <c r="G1055" i="1"/>
  <c r="L1054" i="1"/>
  <c r="J1054" i="1"/>
  <c r="G1054" i="1"/>
  <c r="L1053" i="1"/>
  <c r="J1053" i="1"/>
  <c r="G1053" i="1"/>
  <c r="L1052" i="1"/>
  <c r="J1052" i="1"/>
  <c r="G1052" i="1"/>
  <c r="L1051" i="1"/>
  <c r="J1051" i="1"/>
  <c r="G1051" i="1"/>
  <c r="L1050" i="1"/>
  <c r="J1050" i="1"/>
  <c r="G1050" i="1"/>
  <c r="K1049" i="1"/>
  <c r="L1049" i="1" s="1"/>
  <c r="I1049" i="1"/>
  <c r="J1049" i="1" s="1"/>
  <c r="G1049" i="1"/>
  <c r="L1048" i="1"/>
  <c r="J1048" i="1"/>
  <c r="G1048" i="1"/>
  <c r="K1047" i="1"/>
  <c r="L1047" i="1" s="1"/>
  <c r="I1047" i="1"/>
  <c r="J1047" i="1" s="1"/>
  <c r="G1047" i="1"/>
  <c r="K1046" i="1"/>
  <c r="L1046" i="1" s="1"/>
  <c r="I1046" i="1"/>
  <c r="J1046" i="1" s="1"/>
  <c r="G1046" i="1"/>
  <c r="K1045" i="1"/>
  <c r="L1045" i="1" s="1"/>
  <c r="I1045" i="1"/>
  <c r="J1045" i="1" s="1"/>
  <c r="G1045" i="1"/>
  <c r="K1044" i="1"/>
  <c r="L1044" i="1" s="1"/>
  <c r="I1044" i="1"/>
  <c r="J1044" i="1" s="1"/>
  <c r="G1044" i="1"/>
  <c r="K1043" i="1"/>
  <c r="L1043" i="1" s="1"/>
  <c r="I1043" i="1"/>
  <c r="J1043" i="1" s="1"/>
  <c r="G1043" i="1"/>
  <c r="K1042" i="1"/>
  <c r="L1042" i="1" s="1"/>
  <c r="I1042" i="1"/>
  <c r="J1042" i="1" s="1"/>
  <c r="G1042" i="1"/>
  <c r="L1041" i="1"/>
  <c r="J1041" i="1"/>
  <c r="G1041" i="1"/>
  <c r="L1040" i="1"/>
  <c r="J1040" i="1"/>
  <c r="G1040" i="1"/>
  <c r="L1039" i="1"/>
  <c r="J1039" i="1"/>
  <c r="G1039" i="1"/>
  <c r="L1038" i="1"/>
  <c r="J1038" i="1"/>
  <c r="G1038" i="1"/>
  <c r="L1037" i="1"/>
  <c r="J1037" i="1"/>
  <c r="G1037" i="1"/>
  <c r="L1036" i="1"/>
  <c r="J1036" i="1"/>
  <c r="G1036" i="1"/>
  <c r="L1035" i="1"/>
  <c r="J1035" i="1"/>
  <c r="G1035" i="1"/>
  <c r="L1034" i="1"/>
  <c r="J1034" i="1"/>
  <c r="G1034" i="1"/>
  <c r="L1033" i="1"/>
  <c r="J1033" i="1"/>
  <c r="G1033" i="1"/>
  <c r="L1032" i="1"/>
  <c r="J1032" i="1"/>
  <c r="G1032" i="1"/>
  <c r="L1031" i="1"/>
  <c r="J1031" i="1"/>
  <c r="G1031" i="1"/>
  <c r="L1030" i="1"/>
  <c r="J1030" i="1"/>
  <c r="G1030" i="1"/>
  <c r="L1029" i="1"/>
  <c r="J1029" i="1"/>
  <c r="G1029" i="1"/>
  <c r="L1028" i="1"/>
  <c r="J1028" i="1"/>
  <c r="G1028" i="1"/>
  <c r="L1027" i="1"/>
  <c r="J1027" i="1"/>
  <c r="G1027" i="1"/>
  <c r="L1026" i="1"/>
  <c r="J1026" i="1"/>
  <c r="G1026" i="1"/>
  <c r="L1025" i="1"/>
  <c r="J1025" i="1"/>
  <c r="G1025" i="1"/>
  <c r="L1024" i="1"/>
  <c r="J1024" i="1"/>
  <c r="G1024" i="1"/>
  <c r="L1023" i="1"/>
  <c r="J1023" i="1"/>
  <c r="G1023" i="1"/>
  <c r="L1022" i="1"/>
  <c r="J1022" i="1"/>
  <c r="G1022" i="1"/>
  <c r="L1021" i="1"/>
  <c r="J1021" i="1"/>
  <c r="G1021" i="1"/>
  <c r="L1020" i="1"/>
  <c r="J1020" i="1"/>
  <c r="G1020" i="1"/>
  <c r="L1019" i="1"/>
  <c r="J1019" i="1"/>
  <c r="G1019" i="1"/>
  <c r="L1018" i="1"/>
  <c r="J1018" i="1"/>
  <c r="G1018" i="1"/>
  <c r="L1017" i="1"/>
  <c r="J1017" i="1"/>
  <c r="G1017" i="1"/>
  <c r="L1016" i="1"/>
  <c r="J1016" i="1"/>
  <c r="G1016" i="1"/>
  <c r="K1015" i="1"/>
  <c r="L1015" i="1" s="1"/>
  <c r="I1015" i="1"/>
  <c r="J1015" i="1" s="1"/>
  <c r="G1015" i="1"/>
  <c r="K1014" i="1"/>
  <c r="L1014" i="1" s="1"/>
  <c r="I1014" i="1"/>
  <c r="J1014" i="1" s="1"/>
  <c r="G1014" i="1"/>
  <c r="K1013" i="1"/>
  <c r="L1013" i="1" s="1"/>
  <c r="I1013" i="1"/>
  <c r="J1013" i="1" s="1"/>
  <c r="G1013" i="1"/>
  <c r="K1012" i="1"/>
  <c r="L1012" i="1" s="1"/>
  <c r="I1012" i="1"/>
  <c r="J1012" i="1" s="1"/>
  <c r="G1012" i="1"/>
  <c r="K1011" i="1"/>
  <c r="L1011" i="1" s="1"/>
  <c r="I1011" i="1"/>
  <c r="J1011" i="1" s="1"/>
  <c r="G1011" i="1"/>
  <c r="K1010" i="1"/>
  <c r="L1010" i="1" s="1"/>
  <c r="I1010" i="1"/>
  <c r="J1010" i="1" s="1"/>
  <c r="G1010" i="1"/>
  <c r="K1009" i="1"/>
  <c r="L1009" i="1" s="1"/>
  <c r="I1009" i="1"/>
  <c r="J1009" i="1" s="1"/>
  <c r="G1009" i="1"/>
  <c r="K1008" i="1"/>
  <c r="L1008" i="1" s="1"/>
  <c r="I1008" i="1"/>
  <c r="J1008" i="1" s="1"/>
  <c r="G1008" i="1"/>
  <c r="K1007" i="1"/>
  <c r="L1007" i="1" s="1"/>
  <c r="I1007" i="1"/>
  <c r="J1007" i="1" s="1"/>
  <c r="G1007" i="1"/>
  <c r="L1006" i="1"/>
  <c r="J1006" i="1"/>
  <c r="G1006" i="1"/>
  <c r="L1005" i="1"/>
  <c r="J1005" i="1"/>
  <c r="G1005" i="1"/>
  <c r="L1004" i="1"/>
  <c r="J1004" i="1"/>
  <c r="G1004" i="1"/>
  <c r="L1003" i="1"/>
  <c r="J1003" i="1"/>
  <c r="G1003" i="1"/>
  <c r="L1002" i="1"/>
  <c r="J1002" i="1"/>
  <c r="G1002" i="1"/>
  <c r="L1001" i="1"/>
  <c r="J1001" i="1"/>
  <c r="G1001" i="1"/>
  <c r="L1000" i="1"/>
  <c r="J1000" i="1"/>
  <c r="G1000" i="1"/>
  <c r="L999" i="1"/>
  <c r="J999" i="1"/>
  <c r="G999" i="1"/>
  <c r="L998" i="1"/>
  <c r="J998" i="1"/>
  <c r="G998" i="1"/>
  <c r="L997" i="1"/>
  <c r="J997" i="1"/>
  <c r="G997" i="1"/>
  <c r="L996" i="1"/>
  <c r="J996" i="1"/>
  <c r="L995" i="1"/>
  <c r="J995" i="1"/>
  <c r="G995" i="1"/>
  <c r="L994" i="1"/>
  <c r="J994" i="1"/>
  <c r="G994" i="1"/>
  <c r="L993" i="1"/>
  <c r="L1147" i="1" s="1"/>
  <c r="J993" i="1"/>
  <c r="J1147" i="1" s="1"/>
  <c r="G993" i="1"/>
  <c r="L965" i="1"/>
  <c r="J965" i="1"/>
  <c r="L964" i="1"/>
  <c r="I964" i="1"/>
  <c r="H964" i="1"/>
  <c r="L963" i="1"/>
  <c r="I963" i="1"/>
  <c r="H963" i="1"/>
  <c r="L962" i="1"/>
  <c r="J962" i="1"/>
  <c r="G962" i="1"/>
  <c r="L961" i="1"/>
  <c r="J961" i="1"/>
  <c r="G961" i="1"/>
  <c r="L960" i="1"/>
  <c r="J960" i="1"/>
  <c r="G960" i="1"/>
  <c r="L959" i="1"/>
  <c r="J959" i="1"/>
  <c r="G959" i="1"/>
  <c r="L958" i="1"/>
  <c r="J958" i="1"/>
  <c r="G958" i="1"/>
  <c r="L957" i="1"/>
  <c r="J957" i="1"/>
  <c r="G957" i="1"/>
  <c r="L956" i="1"/>
  <c r="J956" i="1"/>
  <c r="G956" i="1"/>
  <c r="L955" i="1"/>
  <c r="J955" i="1"/>
  <c r="G955" i="1"/>
  <c r="L954" i="1"/>
  <c r="J954" i="1"/>
  <c r="G954" i="1"/>
  <c r="L953" i="1"/>
  <c r="J953" i="1"/>
  <c r="G953" i="1"/>
  <c r="L952" i="1"/>
  <c r="J952" i="1"/>
  <c r="G952" i="1"/>
  <c r="L951" i="1"/>
  <c r="J951" i="1"/>
  <c r="G951" i="1"/>
  <c r="L950" i="1"/>
  <c r="J950" i="1"/>
  <c r="G950" i="1"/>
  <c r="L949" i="1"/>
  <c r="J949" i="1"/>
  <c r="G949" i="1"/>
  <c r="L948" i="1"/>
  <c r="J948" i="1"/>
  <c r="G948" i="1"/>
  <c r="L947" i="1"/>
  <c r="J947" i="1"/>
  <c r="G947" i="1"/>
  <c r="K946" i="1"/>
  <c r="L946" i="1" s="1"/>
  <c r="I946" i="1"/>
  <c r="J946" i="1" s="1"/>
  <c r="G946" i="1"/>
  <c r="K945" i="1"/>
  <c r="L945" i="1" s="1"/>
  <c r="I945" i="1"/>
  <c r="J945" i="1" s="1"/>
  <c r="G945" i="1"/>
  <c r="K944" i="1"/>
  <c r="L944" i="1" s="1"/>
  <c r="I944" i="1"/>
  <c r="J944" i="1" s="1"/>
  <c r="G944" i="1"/>
  <c r="K943" i="1"/>
  <c r="L943" i="1" s="1"/>
  <c r="I943" i="1"/>
  <c r="J943" i="1" s="1"/>
  <c r="G943" i="1"/>
  <c r="K942" i="1"/>
  <c r="L942" i="1" s="1"/>
  <c r="I942" i="1"/>
  <c r="J942" i="1" s="1"/>
  <c r="G942" i="1"/>
  <c r="L941" i="1"/>
  <c r="J941" i="1"/>
  <c r="G941" i="1"/>
  <c r="L940" i="1"/>
  <c r="J940" i="1"/>
  <c r="G940" i="1"/>
  <c r="L939" i="1"/>
  <c r="J939" i="1"/>
  <c r="G939" i="1"/>
  <c r="K938" i="1"/>
  <c r="L938" i="1" s="1"/>
  <c r="I938" i="1"/>
  <c r="J938" i="1" s="1"/>
  <c r="G938" i="1"/>
  <c r="K937" i="1"/>
  <c r="L937" i="1" s="1"/>
  <c r="I937" i="1"/>
  <c r="J937" i="1" s="1"/>
  <c r="G937" i="1"/>
  <c r="K936" i="1"/>
  <c r="L936" i="1" s="1"/>
  <c r="I936" i="1"/>
  <c r="J936" i="1" s="1"/>
  <c r="G936" i="1"/>
  <c r="K935" i="1"/>
  <c r="L935" i="1" s="1"/>
  <c r="I935" i="1"/>
  <c r="J935" i="1" s="1"/>
  <c r="G935" i="1"/>
  <c r="K934" i="1"/>
  <c r="L934" i="1" s="1"/>
  <c r="I934" i="1"/>
  <c r="J934" i="1" s="1"/>
  <c r="G934" i="1"/>
  <c r="K933" i="1"/>
  <c r="L933" i="1" s="1"/>
  <c r="I933" i="1"/>
  <c r="J933" i="1" s="1"/>
  <c r="G933" i="1"/>
  <c r="L932" i="1"/>
  <c r="J932" i="1"/>
  <c r="G932" i="1"/>
  <c r="L931" i="1"/>
  <c r="J931" i="1"/>
  <c r="G931" i="1"/>
  <c r="L930" i="1"/>
  <c r="J930" i="1"/>
  <c r="G930" i="1"/>
  <c r="L929" i="1"/>
  <c r="J929" i="1"/>
  <c r="G929" i="1"/>
  <c r="L928" i="1"/>
  <c r="J928" i="1"/>
  <c r="G928" i="1"/>
  <c r="L927" i="1"/>
  <c r="J927" i="1"/>
  <c r="G927" i="1"/>
  <c r="L926" i="1"/>
  <c r="J926" i="1"/>
  <c r="G926" i="1"/>
  <c r="L925" i="1"/>
  <c r="J925" i="1"/>
  <c r="G925" i="1"/>
  <c r="L924" i="1"/>
  <c r="J924" i="1"/>
  <c r="G924" i="1"/>
  <c r="L923" i="1"/>
  <c r="J923" i="1"/>
  <c r="G923" i="1"/>
  <c r="L922" i="1"/>
  <c r="J922" i="1"/>
  <c r="G922" i="1"/>
  <c r="L921" i="1"/>
  <c r="J921" i="1"/>
  <c r="G921" i="1"/>
  <c r="L920" i="1"/>
  <c r="J920" i="1"/>
  <c r="G920" i="1"/>
  <c r="L919" i="1"/>
  <c r="J919" i="1"/>
  <c r="G919" i="1"/>
  <c r="L918" i="1"/>
  <c r="J918" i="1"/>
  <c r="G918" i="1"/>
  <c r="L917" i="1"/>
  <c r="J917" i="1"/>
  <c r="G917" i="1"/>
  <c r="L916" i="1"/>
  <c r="J916" i="1"/>
  <c r="G916" i="1"/>
  <c r="L915" i="1"/>
  <c r="J915" i="1"/>
  <c r="G915" i="1"/>
  <c r="L914" i="1"/>
  <c r="J914" i="1"/>
  <c r="G914" i="1"/>
  <c r="L913" i="1"/>
  <c r="J913" i="1"/>
  <c r="G913" i="1"/>
  <c r="L912" i="1"/>
  <c r="J912" i="1"/>
  <c r="G912" i="1"/>
  <c r="L911" i="1"/>
  <c r="J911" i="1"/>
  <c r="G911" i="1"/>
  <c r="L910" i="1"/>
  <c r="J910" i="1"/>
  <c r="G910" i="1"/>
  <c r="L909" i="1"/>
  <c r="J909" i="1"/>
  <c r="G909" i="1"/>
  <c r="L908" i="1"/>
  <c r="J908" i="1"/>
  <c r="G908" i="1"/>
  <c r="L907" i="1"/>
  <c r="J907" i="1"/>
  <c r="G907" i="1"/>
  <c r="L906" i="1"/>
  <c r="J906" i="1"/>
  <c r="G906" i="1"/>
  <c r="L905" i="1"/>
  <c r="J905" i="1"/>
  <c r="G905" i="1"/>
  <c r="M904" i="1"/>
  <c r="L904" i="1"/>
  <c r="J904" i="1"/>
  <c r="G904" i="1"/>
  <c r="H904" i="1" s="1"/>
  <c r="N904" i="1" s="1"/>
  <c r="L903" i="1"/>
  <c r="J903" i="1"/>
  <c r="G903" i="1"/>
  <c r="L902" i="1"/>
  <c r="J902" i="1"/>
  <c r="G902" i="1"/>
  <c r="L901" i="1"/>
  <c r="J901" i="1"/>
  <c r="G901" i="1"/>
  <c r="K900" i="1"/>
  <c r="L900" i="1" s="1"/>
  <c r="I900" i="1"/>
  <c r="J900" i="1" s="1"/>
  <c r="G900" i="1"/>
  <c r="K899" i="1"/>
  <c r="L899" i="1" s="1"/>
  <c r="I899" i="1"/>
  <c r="J899" i="1" s="1"/>
  <c r="G899" i="1"/>
  <c r="K898" i="1"/>
  <c r="L898" i="1" s="1"/>
  <c r="I898" i="1"/>
  <c r="J898" i="1" s="1"/>
  <c r="G898" i="1"/>
  <c r="K897" i="1"/>
  <c r="L897" i="1" s="1"/>
  <c r="I897" i="1"/>
  <c r="J897" i="1" s="1"/>
  <c r="G897" i="1"/>
  <c r="K896" i="1"/>
  <c r="L896" i="1" s="1"/>
  <c r="L991" i="1" s="1"/>
  <c r="I896" i="1"/>
  <c r="J896" i="1" s="1"/>
  <c r="J991" i="1" s="1"/>
  <c r="G896" i="1"/>
  <c r="L895" i="1"/>
  <c r="J895" i="1"/>
  <c r="L894" i="1"/>
  <c r="J894" i="1"/>
  <c r="G894" i="1"/>
  <c r="L893" i="1"/>
  <c r="J893" i="1"/>
  <c r="G893" i="1"/>
  <c r="L892" i="1"/>
  <c r="J892" i="1"/>
  <c r="G892" i="1"/>
  <c r="L891" i="1"/>
  <c r="J891" i="1"/>
  <c r="G891" i="1"/>
  <c r="L890" i="1"/>
  <c r="J890" i="1"/>
  <c r="G890" i="1"/>
  <c r="L889" i="1"/>
  <c r="J889" i="1"/>
  <c r="G889" i="1"/>
  <c r="L872" i="1"/>
  <c r="J872" i="1"/>
  <c r="L871" i="1"/>
  <c r="I871" i="1"/>
  <c r="H871" i="1"/>
  <c r="L870" i="1"/>
  <c r="I870" i="1"/>
  <c r="H870" i="1"/>
  <c r="K869" i="1"/>
  <c r="L869" i="1" s="1"/>
  <c r="I869" i="1"/>
  <c r="J869" i="1" s="1"/>
  <c r="G869" i="1"/>
  <c r="K868" i="1"/>
  <c r="L868" i="1" s="1"/>
  <c r="I868" i="1"/>
  <c r="J868" i="1" s="1"/>
  <c r="G868" i="1"/>
  <c r="L867" i="1"/>
  <c r="J867" i="1"/>
  <c r="G867" i="1"/>
  <c r="L866" i="1"/>
  <c r="J866" i="1"/>
  <c r="G866" i="1"/>
  <c r="L865" i="1"/>
  <c r="J865" i="1"/>
  <c r="G865" i="1"/>
  <c r="L864" i="1"/>
  <c r="J864" i="1"/>
  <c r="G864" i="1"/>
  <c r="L863" i="1"/>
  <c r="J863" i="1"/>
  <c r="G863" i="1"/>
  <c r="L862" i="1"/>
  <c r="J862" i="1"/>
  <c r="G862" i="1"/>
  <c r="L861" i="1"/>
  <c r="J861" i="1"/>
  <c r="G861" i="1"/>
  <c r="L860" i="1"/>
  <c r="J860" i="1"/>
  <c r="G860" i="1"/>
  <c r="L859" i="1"/>
  <c r="J859" i="1"/>
  <c r="G859" i="1"/>
  <c r="L858" i="1"/>
  <c r="J858" i="1"/>
  <c r="G858" i="1"/>
  <c r="L857" i="1"/>
  <c r="J857" i="1"/>
  <c r="G857" i="1"/>
  <c r="L856" i="1"/>
  <c r="J856" i="1"/>
  <c r="G856" i="1"/>
  <c r="L855" i="1"/>
  <c r="J855" i="1"/>
  <c r="G855" i="1"/>
  <c r="L854" i="1"/>
  <c r="J854" i="1"/>
  <c r="G854" i="1"/>
  <c r="L853" i="1"/>
  <c r="J853" i="1"/>
  <c r="G853" i="1"/>
  <c r="L852" i="1"/>
  <c r="J852" i="1"/>
  <c r="G852" i="1"/>
  <c r="L851" i="1"/>
  <c r="J851" i="1"/>
  <c r="G851" i="1"/>
  <c r="L850" i="1"/>
  <c r="J850" i="1"/>
  <c r="G850" i="1"/>
  <c r="L849" i="1"/>
  <c r="J849" i="1"/>
  <c r="G849" i="1"/>
  <c r="L848" i="1"/>
  <c r="J848" i="1"/>
  <c r="G848" i="1"/>
  <c r="L847" i="1"/>
  <c r="J847" i="1"/>
  <c r="G847" i="1"/>
  <c r="L846" i="1"/>
  <c r="J846" i="1"/>
  <c r="G846" i="1"/>
  <c r="L845" i="1"/>
  <c r="J845" i="1"/>
  <c r="G845" i="1"/>
  <c r="L844" i="1"/>
  <c r="J844" i="1"/>
  <c r="G844" i="1"/>
  <c r="L843" i="1"/>
  <c r="J843" i="1"/>
  <c r="G843" i="1"/>
  <c r="L842" i="1"/>
  <c r="J842" i="1"/>
  <c r="G842" i="1"/>
  <c r="L841" i="1"/>
  <c r="J841" i="1"/>
  <c r="G841" i="1"/>
  <c r="K840" i="1"/>
  <c r="L840" i="1" s="1"/>
  <c r="I840" i="1"/>
  <c r="J840" i="1" s="1"/>
  <c r="G840" i="1"/>
  <c r="K839" i="1"/>
  <c r="L839" i="1" s="1"/>
  <c r="I839" i="1"/>
  <c r="J839" i="1" s="1"/>
  <c r="G839" i="1"/>
  <c r="K838" i="1"/>
  <c r="L838" i="1" s="1"/>
  <c r="I838" i="1"/>
  <c r="J838" i="1" s="1"/>
  <c r="G838" i="1"/>
  <c r="K837" i="1"/>
  <c r="L837" i="1" s="1"/>
  <c r="I837" i="1"/>
  <c r="J837" i="1" s="1"/>
  <c r="G837" i="1"/>
  <c r="K836" i="1"/>
  <c r="L836" i="1" s="1"/>
  <c r="I836" i="1"/>
  <c r="J836" i="1" s="1"/>
  <c r="G836" i="1"/>
  <c r="K835" i="1"/>
  <c r="L835" i="1" s="1"/>
  <c r="I835" i="1"/>
  <c r="J835" i="1" s="1"/>
  <c r="G835" i="1"/>
  <c r="K834" i="1"/>
  <c r="L834" i="1" s="1"/>
  <c r="I834" i="1"/>
  <c r="J834" i="1" s="1"/>
  <c r="G834" i="1"/>
  <c r="L833" i="1"/>
  <c r="J833" i="1"/>
  <c r="G833" i="1"/>
  <c r="L832" i="1"/>
  <c r="J832" i="1"/>
  <c r="G832" i="1"/>
  <c r="L831" i="1"/>
  <c r="J831" i="1"/>
  <c r="G831" i="1"/>
  <c r="L830" i="1"/>
  <c r="J830" i="1"/>
  <c r="G830" i="1"/>
  <c r="L829" i="1"/>
  <c r="J829" i="1"/>
  <c r="G829" i="1"/>
  <c r="L828" i="1"/>
  <c r="J828" i="1"/>
  <c r="G828" i="1"/>
  <c r="L827" i="1"/>
  <c r="J827" i="1"/>
  <c r="G827" i="1"/>
  <c r="K826" i="1"/>
  <c r="L826" i="1" s="1"/>
  <c r="I826" i="1"/>
  <c r="J826" i="1" s="1"/>
  <c r="G826" i="1"/>
  <c r="K825" i="1"/>
  <c r="L825" i="1" s="1"/>
  <c r="I825" i="1"/>
  <c r="J825" i="1" s="1"/>
  <c r="G825" i="1"/>
  <c r="K824" i="1"/>
  <c r="L824" i="1" s="1"/>
  <c r="I824" i="1"/>
  <c r="J824" i="1" s="1"/>
  <c r="G824" i="1"/>
  <c r="K823" i="1"/>
  <c r="L823" i="1" s="1"/>
  <c r="I823" i="1"/>
  <c r="J823" i="1" s="1"/>
  <c r="G823" i="1"/>
  <c r="K822" i="1"/>
  <c r="L822" i="1" s="1"/>
  <c r="I822" i="1"/>
  <c r="J822" i="1" s="1"/>
  <c r="G822" i="1"/>
  <c r="K821" i="1"/>
  <c r="L821" i="1" s="1"/>
  <c r="I821" i="1"/>
  <c r="J821" i="1" s="1"/>
  <c r="G821" i="1"/>
  <c r="K820" i="1"/>
  <c r="L820" i="1" s="1"/>
  <c r="I820" i="1"/>
  <c r="J820" i="1" s="1"/>
  <c r="G820" i="1"/>
  <c r="K819" i="1"/>
  <c r="L819" i="1" s="1"/>
  <c r="I819" i="1"/>
  <c r="J819" i="1" s="1"/>
  <c r="G819" i="1"/>
  <c r="L818" i="1"/>
  <c r="J818" i="1"/>
  <c r="G818" i="1"/>
  <c r="K817" i="1"/>
  <c r="L817" i="1" s="1"/>
  <c r="I817" i="1"/>
  <c r="J817" i="1" s="1"/>
  <c r="G817" i="1"/>
  <c r="L816" i="1"/>
  <c r="J816" i="1"/>
  <c r="G816" i="1"/>
  <c r="L815" i="1"/>
  <c r="J815" i="1"/>
  <c r="G815" i="1"/>
  <c r="L814" i="1"/>
  <c r="J814" i="1"/>
  <c r="G814" i="1"/>
  <c r="L813" i="1"/>
  <c r="J813" i="1"/>
  <c r="G813" i="1"/>
  <c r="L812" i="1"/>
  <c r="J812" i="1"/>
  <c r="G812" i="1"/>
  <c r="L811" i="1"/>
  <c r="J811" i="1"/>
  <c r="G811" i="1"/>
  <c r="L810" i="1"/>
  <c r="J810" i="1"/>
  <c r="G810" i="1"/>
  <c r="L809" i="1"/>
  <c r="J809" i="1"/>
  <c r="G809" i="1"/>
  <c r="L808" i="1"/>
  <c r="J808" i="1"/>
  <c r="G808" i="1"/>
  <c r="L807" i="1"/>
  <c r="J807" i="1"/>
  <c r="G807" i="1"/>
  <c r="L806" i="1"/>
  <c r="J806" i="1"/>
  <c r="G806" i="1"/>
  <c r="L805" i="1"/>
  <c r="J805" i="1"/>
  <c r="G805" i="1"/>
  <c r="L804" i="1"/>
  <c r="J804" i="1"/>
  <c r="G804" i="1"/>
  <c r="L803" i="1"/>
  <c r="J803" i="1"/>
  <c r="G803" i="1"/>
  <c r="L802" i="1"/>
  <c r="J802" i="1"/>
  <c r="G802" i="1"/>
  <c r="L801" i="1"/>
  <c r="J801" i="1"/>
  <c r="G801" i="1"/>
  <c r="L800" i="1"/>
  <c r="J800" i="1"/>
  <c r="G800" i="1"/>
  <c r="L799" i="1"/>
  <c r="J799" i="1"/>
  <c r="G799" i="1"/>
  <c r="L798" i="1"/>
  <c r="J798" i="1"/>
  <c r="G798" i="1"/>
  <c r="L797" i="1"/>
  <c r="J797" i="1"/>
  <c r="G797" i="1"/>
  <c r="L796" i="1"/>
  <c r="J796" i="1"/>
  <c r="G796" i="1"/>
  <c r="L795" i="1"/>
  <c r="J795" i="1"/>
  <c r="G795" i="1"/>
  <c r="L794" i="1"/>
  <c r="J794" i="1"/>
  <c r="G794" i="1"/>
  <c r="L793" i="1"/>
  <c r="J793" i="1"/>
  <c r="G793" i="1"/>
  <c r="L792" i="1"/>
  <c r="J792" i="1"/>
  <c r="G792" i="1"/>
  <c r="L791" i="1"/>
  <c r="J791" i="1"/>
  <c r="G791" i="1"/>
  <c r="L790" i="1"/>
  <c r="J790" i="1"/>
  <c r="G790" i="1"/>
  <c r="L789" i="1"/>
  <c r="J789" i="1"/>
  <c r="G789" i="1"/>
  <c r="L788" i="1"/>
  <c r="J788" i="1"/>
  <c r="G788" i="1"/>
  <c r="L787" i="1"/>
  <c r="J787" i="1"/>
  <c r="G787" i="1"/>
  <c r="L786" i="1"/>
  <c r="J786" i="1"/>
  <c r="G786" i="1"/>
  <c r="L785" i="1"/>
  <c r="J785" i="1"/>
  <c r="G785" i="1"/>
  <c r="L784" i="1"/>
  <c r="J784" i="1"/>
  <c r="G784" i="1"/>
  <c r="L783" i="1"/>
  <c r="J783" i="1"/>
  <c r="G783" i="1"/>
  <c r="L782" i="1"/>
  <c r="J782" i="1"/>
  <c r="G782" i="1"/>
  <c r="L781" i="1"/>
  <c r="J781" i="1"/>
  <c r="G781" i="1"/>
  <c r="L780" i="1"/>
  <c r="J780" i="1"/>
  <c r="G780" i="1"/>
  <c r="L779" i="1"/>
  <c r="J779" i="1"/>
  <c r="G779" i="1"/>
  <c r="L778" i="1"/>
  <c r="J778" i="1"/>
  <c r="G778" i="1"/>
  <c r="L777" i="1"/>
  <c r="J777" i="1"/>
  <c r="G777" i="1"/>
  <c r="L776" i="1"/>
  <c r="J776" i="1"/>
  <c r="G776" i="1"/>
  <c r="L775" i="1"/>
  <c r="J775" i="1"/>
  <c r="G775" i="1"/>
  <c r="L774" i="1"/>
  <c r="J774" i="1"/>
  <c r="G774" i="1"/>
  <c r="L773" i="1"/>
  <c r="J773" i="1"/>
  <c r="G773" i="1"/>
  <c r="L772" i="1"/>
  <c r="J772" i="1"/>
  <c r="G772" i="1"/>
  <c r="L771" i="1"/>
  <c r="J771" i="1"/>
  <c r="G771" i="1"/>
  <c r="L770" i="1"/>
  <c r="J770" i="1"/>
  <c r="G770" i="1"/>
  <c r="L769" i="1"/>
  <c r="J769" i="1"/>
  <c r="G769" i="1"/>
  <c r="L768" i="1"/>
  <c r="J768" i="1"/>
  <c r="G768" i="1"/>
  <c r="L767" i="1"/>
  <c r="J767" i="1"/>
  <c r="G767" i="1"/>
  <c r="L766" i="1"/>
  <c r="J766" i="1"/>
  <c r="G766" i="1"/>
  <c r="L765" i="1"/>
  <c r="J765" i="1"/>
  <c r="G765" i="1"/>
  <c r="L764" i="1"/>
  <c r="J764" i="1"/>
  <c r="G764" i="1"/>
  <c r="L763" i="1"/>
  <c r="J763" i="1"/>
  <c r="G763" i="1"/>
  <c r="L762" i="1"/>
  <c r="J762" i="1"/>
  <c r="G762" i="1"/>
  <c r="L761" i="1"/>
  <c r="J761" i="1"/>
  <c r="G761" i="1"/>
  <c r="L760" i="1"/>
  <c r="J760" i="1"/>
  <c r="G760" i="1"/>
  <c r="L759" i="1"/>
  <c r="J759" i="1"/>
  <c r="G759" i="1"/>
  <c r="L758" i="1"/>
  <c r="J758" i="1"/>
  <c r="G758" i="1"/>
  <c r="L757" i="1"/>
  <c r="J757" i="1"/>
  <c r="G757" i="1"/>
  <c r="L756" i="1"/>
  <c r="J756" i="1"/>
  <c r="G756" i="1"/>
  <c r="L755" i="1"/>
  <c r="J755" i="1"/>
  <c r="G755" i="1"/>
  <c r="L754" i="1"/>
  <c r="J754" i="1"/>
  <c r="G754" i="1"/>
  <c r="L753" i="1"/>
  <c r="J753" i="1"/>
  <c r="G753" i="1"/>
  <c r="L752" i="1"/>
  <c r="J752" i="1"/>
  <c r="G752" i="1"/>
  <c r="L751" i="1"/>
  <c r="J751" i="1"/>
  <c r="G751" i="1"/>
  <c r="L750" i="1"/>
  <c r="J750" i="1"/>
  <c r="G750" i="1"/>
  <c r="L749" i="1"/>
  <c r="J749" i="1"/>
  <c r="G749" i="1"/>
  <c r="L748" i="1"/>
  <c r="J748" i="1"/>
  <c r="G748" i="1"/>
  <c r="L747" i="1"/>
  <c r="J747" i="1"/>
  <c r="G747" i="1"/>
  <c r="L746" i="1"/>
  <c r="J746" i="1"/>
  <c r="G746" i="1"/>
  <c r="L745" i="1"/>
  <c r="J745" i="1"/>
  <c r="G745" i="1"/>
  <c r="L744" i="1"/>
  <c r="J744" i="1"/>
  <c r="G744" i="1"/>
  <c r="L743" i="1"/>
  <c r="J743" i="1"/>
  <c r="G743" i="1"/>
  <c r="L742" i="1"/>
  <c r="J742" i="1"/>
  <c r="G742" i="1"/>
  <c r="L741" i="1"/>
  <c r="J741" i="1"/>
  <c r="G741" i="1"/>
  <c r="L740" i="1"/>
  <c r="J740" i="1"/>
  <c r="G740" i="1"/>
  <c r="L739" i="1"/>
  <c r="J739" i="1"/>
  <c r="G739" i="1"/>
  <c r="L738" i="1"/>
  <c r="J738" i="1"/>
  <c r="G738" i="1"/>
  <c r="L737" i="1"/>
  <c r="J737" i="1"/>
  <c r="G737" i="1"/>
  <c r="L736" i="1"/>
  <c r="J736" i="1"/>
  <c r="G736" i="1"/>
  <c r="L735" i="1"/>
  <c r="J735" i="1"/>
  <c r="G735" i="1"/>
  <c r="L734" i="1"/>
  <c r="J734" i="1"/>
  <c r="G734" i="1"/>
  <c r="L733" i="1"/>
  <c r="J733" i="1"/>
  <c r="G733" i="1"/>
  <c r="L732" i="1"/>
  <c r="J732" i="1"/>
  <c r="G732" i="1"/>
  <c r="L731" i="1"/>
  <c r="J731" i="1"/>
  <c r="G731" i="1"/>
  <c r="L730" i="1"/>
  <c r="J730" i="1"/>
  <c r="G730" i="1"/>
  <c r="L729" i="1"/>
  <c r="J729" i="1"/>
  <c r="G729" i="1"/>
  <c r="L728" i="1"/>
  <c r="J728" i="1"/>
  <c r="G728" i="1"/>
  <c r="L727" i="1"/>
  <c r="J727" i="1"/>
  <c r="G727" i="1"/>
  <c r="L726" i="1"/>
  <c r="J726" i="1"/>
  <c r="G726" i="1"/>
  <c r="L725" i="1"/>
  <c r="J725" i="1"/>
  <c r="G725" i="1"/>
  <c r="L724" i="1"/>
  <c r="J724" i="1"/>
  <c r="G724" i="1"/>
  <c r="L723" i="1"/>
  <c r="J723" i="1"/>
  <c r="L722" i="1"/>
  <c r="J722" i="1"/>
  <c r="G722" i="1"/>
  <c r="L721" i="1"/>
  <c r="J721" i="1"/>
  <c r="G721" i="1"/>
  <c r="L720" i="1"/>
  <c r="J720" i="1"/>
  <c r="G720" i="1"/>
  <c r="L719" i="1"/>
  <c r="J719" i="1"/>
  <c r="G719" i="1"/>
  <c r="L718" i="1"/>
  <c r="J718" i="1"/>
  <c r="G718" i="1"/>
  <c r="L717" i="1"/>
  <c r="J717" i="1"/>
  <c r="G717" i="1"/>
  <c r="L716" i="1"/>
  <c r="J716" i="1"/>
  <c r="G716" i="1"/>
  <c r="L715" i="1"/>
  <c r="J715" i="1"/>
  <c r="G715" i="1"/>
  <c r="L714" i="1"/>
  <c r="J714" i="1"/>
  <c r="G714" i="1"/>
  <c r="L713" i="1"/>
  <c r="J713" i="1"/>
  <c r="G713" i="1"/>
  <c r="L712" i="1"/>
  <c r="J712" i="1"/>
  <c r="G712" i="1"/>
  <c r="L711" i="1"/>
  <c r="J711" i="1"/>
  <c r="G711" i="1"/>
  <c r="L710" i="1"/>
  <c r="J710" i="1"/>
  <c r="G710" i="1"/>
  <c r="L709" i="1"/>
  <c r="J709" i="1"/>
  <c r="G709" i="1"/>
  <c r="L708" i="1"/>
  <c r="J708" i="1"/>
  <c r="G708" i="1"/>
  <c r="L707" i="1"/>
  <c r="L887" i="1" s="1"/>
  <c r="J707" i="1"/>
  <c r="J887" i="1" s="1"/>
  <c r="G707" i="1"/>
  <c r="L698" i="1"/>
  <c r="J698" i="1"/>
  <c r="L697" i="1"/>
  <c r="I697" i="1"/>
  <c r="H697" i="1"/>
  <c r="L696" i="1"/>
  <c r="I696" i="1"/>
  <c r="H696" i="1"/>
  <c r="K695" i="1"/>
  <c r="L695" i="1" s="1"/>
  <c r="I695" i="1"/>
  <c r="J695" i="1" s="1"/>
  <c r="G695" i="1"/>
  <c r="K694" i="1"/>
  <c r="L694" i="1" s="1"/>
  <c r="I694" i="1"/>
  <c r="J694" i="1" s="1"/>
  <c r="G694" i="1"/>
  <c r="K693" i="1"/>
  <c r="L693" i="1" s="1"/>
  <c r="I693" i="1"/>
  <c r="J693" i="1" s="1"/>
  <c r="G693" i="1"/>
  <c r="K692" i="1"/>
  <c r="L692" i="1" s="1"/>
  <c r="I692" i="1"/>
  <c r="J692" i="1" s="1"/>
  <c r="G692" i="1"/>
  <c r="L691" i="1"/>
  <c r="J691" i="1"/>
  <c r="G691" i="1"/>
  <c r="L690" i="1"/>
  <c r="J690" i="1"/>
  <c r="G690" i="1"/>
  <c r="L689" i="1"/>
  <c r="J689" i="1"/>
  <c r="G689" i="1"/>
  <c r="L688" i="1"/>
  <c r="J688" i="1"/>
  <c r="G688" i="1"/>
  <c r="L687" i="1"/>
  <c r="J687" i="1"/>
  <c r="G687" i="1"/>
  <c r="L686" i="1"/>
  <c r="J686" i="1"/>
  <c r="G686" i="1"/>
  <c r="L685" i="1"/>
  <c r="J685" i="1"/>
  <c r="G685" i="1"/>
  <c r="L684" i="1"/>
  <c r="J684" i="1"/>
  <c r="G684" i="1"/>
  <c r="L683" i="1"/>
  <c r="J683" i="1"/>
  <c r="G683" i="1"/>
  <c r="L682" i="1"/>
  <c r="J682" i="1"/>
  <c r="G682" i="1"/>
  <c r="L681" i="1"/>
  <c r="J681" i="1"/>
  <c r="G681" i="1"/>
  <c r="L680" i="1"/>
  <c r="J680" i="1"/>
  <c r="G680" i="1"/>
  <c r="L679" i="1"/>
  <c r="J679" i="1"/>
  <c r="G679" i="1"/>
  <c r="L678" i="1"/>
  <c r="J678" i="1"/>
  <c r="G678" i="1"/>
  <c r="L677" i="1"/>
  <c r="J677" i="1"/>
  <c r="G677" i="1"/>
  <c r="M676" i="1"/>
  <c r="L676" i="1"/>
  <c r="J676" i="1"/>
  <c r="G676" i="1"/>
  <c r="H676" i="1" s="1"/>
  <c r="N676" i="1" s="1"/>
  <c r="L675" i="1"/>
  <c r="J675" i="1"/>
  <c r="G675" i="1"/>
  <c r="L674" i="1"/>
  <c r="J674" i="1"/>
  <c r="G674" i="1"/>
  <c r="L673" i="1"/>
  <c r="J673" i="1"/>
  <c r="G673" i="1"/>
  <c r="L672" i="1"/>
  <c r="J672" i="1"/>
  <c r="G672" i="1"/>
  <c r="L671" i="1"/>
  <c r="J671" i="1"/>
  <c r="G671" i="1"/>
  <c r="L670" i="1"/>
  <c r="J670" i="1"/>
  <c r="G670" i="1"/>
  <c r="L669" i="1"/>
  <c r="J669" i="1"/>
  <c r="G669" i="1"/>
  <c r="L668" i="1"/>
  <c r="J668" i="1"/>
  <c r="G668" i="1"/>
  <c r="L667" i="1"/>
  <c r="J667" i="1"/>
  <c r="G667" i="1"/>
  <c r="L666" i="1"/>
  <c r="J666" i="1"/>
  <c r="G666" i="1"/>
  <c r="L665" i="1"/>
  <c r="J665" i="1"/>
  <c r="G665" i="1"/>
  <c r="L664" i="1"/>
  <c r="J664" i="1"/>
  <c r="G664" i="1"/>
  <c r="L663" i="1"/>
  <c r="J663" i="1"/>
  <c r="G663" i="1"/>
  <c r="L662" i="1"/>
  <c r="J662" i="1"/>
  <c r="G662" i="1"/>
  <c r="L661" i="1"/>
  <c r="J661" i="1"/>
  <c r="G661" i="1"/>
  <c r="L660" i="1"/>
  <c r="J660" i="1"/>
  <c r="G660" i="1"/>
  <c r="L659" i="1"/>
  <c r="J659" i="1"/>
  <c r="G659" i="1"/>
  <c r="L658" i="1"/>
  <c r="J658" i="1"/>
  <c r="G658" i="1"/>
  <c r="L657" i="1"/>
  <c r="J657" i="1"/>
  <c r="G657" i="1"/>
  <c r="L656" i="1"/>
  <c r="J656" i="1"/>
  <c r="G656" i="1"/>
  <c r="L655" i="1"/>
  <c r="J655" i="1"/>
  <c r="G655" i="1"/>
  <c r="L654" i="1"/>
  <c r="J654" i="1"/>
  <c r="G654" i="1"/>
  <c r="L653" i="1"/>
  <c r="J653" i="1"/>
  <c r="G653" i="1"/>
  <c r="L652" i="1"/>
  <c r="J652" i="1"/>
  <c r="G652" i="1"/>
  <c r="L651" i="1"/>
  <c r="J651" i="1"/>
  <c r="G651" i="1"/>
  <c r="L650" i="1"/>
  <c r="J650" i="1"/>
  <c r="G650" i="1"/>
  <c r="L649" i="1"/>
  <c r="J649" i="1"/>
  <c r="G649" i="1"/>
  <c r="L648" i="1"/>
  <c r="J648" i="1"/>
  <c r="G648" i="1"/>
  <c r="L647" i="1"/>
  <c r="J647" i="1"/>
  <c r="G647" i="1"/>
  <c r="L646" i="1"/>
  <c r="J646" i="1"/>
  <c r="G646" i="1"/>
  <c r="L645" i="1"/>
  <c r="J645" i="1"/>
  <c r="G645" i="1"/>
  <c r="L644" i="1"/>
  <c r="J644" i="1"/>
  <c r="G644" i="1"/>
  <c r="L643" i="1"/>
  <c r="J643" i="1"/>
  <c r="G643" i="1"/>
  <c r="L642" i="1"/>
  <c r="J642" i="1"/>
  <c r="G642" i="1"/>
  <c r="L641" i="1"/>
  <c r="J641" i="1"/>
  <c r="G641" i="1"/>
  <c r="L640" i="1"/>
  <c r="J640" i="1"/>
  <c r="G640" i="1"/>
  <c r="L639" i="1"/>
  <c r="J639" i="1"/>
  <c r="G639" i="1"/>
  <c r="L638" i="1"/>
  <c r="J638" i="1"/>
  <c r="G638" i="1"/>
  <c r="L637" i="1"/>
  <c r="J637" i="1"/>
  <c r="G637" i="1"/>
  <c r="L636" i="1"/>
  <c r="J636" i="1"/>
  <c r="G636" i="1"/>
  <c r="L635" i="1"/>
  <c r="J635" i="1"/>
  <c r="G635" i="1"/>
  <c r="L634" i="1"/>
  <c r="J634" i="1"/>
  <c r="G634" i="1"/>
  <c r="L633" i="1"/>
  <c r="J633" i="1"/>
  <c r="G633" i="1"/>
  <c r="L632" i="1"/>
  <c r="J632" i="1"/>
  <c r="G632" i="1"/>
  <c r="L631" i="1"/>
  <c r="J631" i="1"/>
  <c r="G631" i="1"/>
  <c r="L630" i="1"/>
  <c r="J630" i="1"/>
  <c r="G630" i="1"/>
  <c r="K629" i="1"/>
  <c r="L629" i="1" s="1"/>
  <c r="I629" i="1"/>
  <c r="J629" i="1" s="1"/>
  <c r="G629" i="1"/>
  <c r="K628" i="1"/>
  <c r="L628" i="1" s="1"/>
  <c r="I628" i="1"/>
  <c r="J628" i="1" s="1"/>
  <c r="G628" i="1"/>
  <c r="K627" i="1"/>
  <c r="L627" i="1" s="1"/>
  <c r="I627" i="1"/>
  <c r="J627" i="1" s="1"/>
  <c r="G627" i="1"/>
  <c r="K626" i="1"/>
  <c r="L626" i="1" s="1"/>
  <c r="I626" i="1"/>
  <c r="J626" i="1" s="1"/>
  <c r="G626" i="1"/>
  <c r="K625" i="1"/>
  <c r="L625" i="1" s="1"/>
  <c r="I625" i="1"/>
  <c r="J625" i="1" s="1"/>
  <c r="G625" i="1"/>
  <c r="K624" i="1"/>
  <c r="L624" i="1" s="1"/>
  <c r="I624" i="1"/>
  <c r="J624" i="1" s="1"/>
  <c r="G624" i="1"/>
  <c r="K623" i="1"/>
  <c r="L623" i="1" s="1"/>
  <c r="I623" i="1"/>
  <c r="J623" i="1" s="1"/>
  <c r="G623" i="1"/>
  <c r="K622" i="1"/>
  <c r="L622" i="1" s="1"/>
  <c r="I622" i="1"/>
  <c r="J622" i="1" s="1"/>
  <c r="G622" i="1"/>
  <c r="K621" i="1"/>
  <c r="L621" i="1" s="1"/>
  <c r="I621" i="1"/>
  <c r="J621" i="1" s="1"/>
  <c r="G621" i="1"/>
  <c r="K620" i="1"/>
  <c r="L620" i="1" s="1"/>
  <c r="I620" i="1"/>
  <c r="J620" i="1" s="1"/>
  <c r="G620" i="1"/>
  <c r="K619" i="1"/>
  <c r="L619" i="1" s="1"/>
  <c r="I619" i="1"/>
  <c r="J619" i="1" s="1"/>
  <c r="G619" i="1"/>
  <c r="K618" i="1"/>
  <c r="L618" i="1" s="1"/>
  <c r="I618" i="1"/>
  <c r="J618" i="1" s="1"/>
  <c r="G618" i="1"/>
  <c r="K617" i="1"/>
  <c r="L617" i="1" s="1"/>
  <c r="I617" i="1"/>
  <c r="J617" i="1" s="1"/>
  <c r="G617" i="1"/>
  <c r="K616" i="1"/>
  <c r="L616" i="1" s="1"/>
  <c r="I616" i="1"/>
  <c r="J616" i="1" s="1"/>
  <c r="G616" i="1"/>
  <c r="K615" i="1"/>
  <c r="L615" i="1" s="1"/>
  <c r="I615" i="1"/>
  <c r="J615" i="1" s="1"/>
  <c r="G615" i="1"/>
  <c r="L614" i="1"/>
  <c r="J614" i="1"/>
  <c r="G614" i="1"/>
  <c r="L613" i="1"/>
  <c r="J613" i="1"/>
  <c r="G613" i="1"/>
  <c r="L612" i="1"/>
  <c r="J612" i="1"/>
  <c r="G612" i="1"/>
  <c r="L611" i="1"/>
  <c r="J611" i="1"/>
  <c r="G611" i="1"/>
  <c r="L610" i="1"/>
  <c r="J610" i="1"/>
  <c r="G610" i="1"/>
  <c r="L609" i="1"/>
  <c r="J609" i="1"/>
  <c r="G609" i="1"/>
  <c r="L608" i="1"/>
  <c r="J608" i="1"/>
  <c r="G608" i="1"/>
  <c r="L607" i="1"/>
  <c r="J607" i="1"/>
  <c r="G607" i="1"/>
  <c r="L606" i="1"/>
  <c r="J606" i="1"/>
  <c r="G606" i="1"/>
  <c r="L605" i="1"/>
  <c r="J605" i="1"/>
  <c r="G605" i="1"/>
  <c r="L604" i="1"/>
  <c r="J604" i="1"/>
  <c r="G604" i="1"/>
  <c r="L603" i="1"/>
  <c r="J603" i="1"/>
  <c r="G603" i="1"/>
  <c r="L602" i="1"/>
  <c r="J602" i="1"/>
  <c r="G602" i="1"/>
  <c r="L601" i="1"/>
  <c r="J601" i="1"/>
  <c r="G601" i="1"/>
  <c r="L600" i="1"/>
  <c r="J600" i="1"/>
  <c r="G600" i="1"/>
  <c r="L599" i="1"/>
  <c r="J599" i="1"/>
  <c r="G599" i="1"/>
  <c r="L598" i="1"/>
  <c r="J598" i="1"/>
  <c r="G598" i="1"/>
  <c r="L597" i="1"/>
  <c r="J597" i="1"/>
  <c r="G597" i="1"/>
  <c r="L596" i="1"/>
  <c r="J596" i="1"/>
  <c r="G596" i="1"/>
  <c r="L595" i="1"/>
  <c r="J595" i="1"/>
  <c r="G595" i="1"/>
  <c r="L594" i="1"/>
  <c r="J594" i="1"/>
  <c r="G594" i="1"/>
  <c r="L593" i="1"/>
  <c r="J593" i="1"/>
  <c r="G593" i="1"/>
  <c r="L592" i="1"/>
  <c r="J592" i="1"/>
  <c r="G592" i="1"/>
  <c r="L591" i="1"/>
  <c r="J591" i="1"/>
  <c r="G591" i="1"/>
  <c r="L590" i="1"/>
  <c r="J590" i="1"/>
  <c r="G590" i="1"/>
  <c r="L589" i="1"/>
  <c r="J589" i="1"/>
  <c r="G589" i="1"/>
  <c r="L588" i="1"/>
  <c r="J588" i="1"/>
  <c r="G588" i="1"/>
  <c r="L587" i="1"/>
  <c r="J587" i="1"/>
  <c r="G587" i="1"/>
  <c r="L586" i="1"/>
  <c r="J586" i="1"/>
  <c r="G586" i="1"/>
  <c r="L585" i="1"/>
  <c r="J585" i="1"/>
  <c r="G585" i="1"/>
  <c r="L584" i="1"/>
  <c r="J584" i="1"/>
  <c r="G584" i="1"/>
  <c r="L583" i="1"/>
  <c r="J583" i="1"/>
  <c r="G583" i="1"/>
  <c r="L582" i="1"/>
  <c r="J582" i="1"/>
  <c r="G582" i="1"/>
  <c r="L581" i="1"/>
  <c r="J581" i="1"/>
  <c r="G581" i="1"/>
  <c r="L580" i="1"/>
  <c r="J580" i="1"/>
  <c r="G580" i="1"/>
  <c r="L579" i="1"/>
  <c r="J579" i="1"/>
  <c r="G579" i="1"/>
  <c r="L578" i="1"/>
  <c r="J578" i="1"/>
  <c r="G578" i="1"/>
  <c r="L577" i="1"/>
  <c r="J577" i="1"/>
  <c r="G577" i="1"/>
  <c r="L576" i="1"/>
  <c r="J576" i="1"/>
  <c r="G576" i="1"/>
  <c r="L575" i="1"/>
  <c r="J575" i="1"/>
  <c r="G575" i="1"/>
  <c r="L574" i="1"/>
  <c r="J574" i="1"/>
  <c r="G574" i="1"/>
  <c r="L573" i="1"/>
  <c r="J573" i="1"/>
  <c r="G573" i="1"/>
  <c r="L572" i="1"/>
  <c r="J572" i="1"/>
  <c r="G572" i="1"/>
  <c r="L571" i="1"/>
  <c r="J571" i="1"/>
  <c r="G571" i="1"/>
  <c r="L570" i="1"/>
  <c r="J570" i="1"/>
  <c r="G570" i="1"/>
  <c r="L569" i="1"/>
  <c r="J569" i="1"/>
  <c r="G569" i="1"/>
  <c r="L568" i="1"/>
  <c r="J568" i="1"/>
  <c r="G568" i="1"/>
  <c r="L567" i="1"/>
  <c r="J567" i="1"/>
  <c r="G567" i="1"/>
  <c r="L566" i="1"/>
  <c r="J566" i="1"/>
  <c r="G566" i="1"/>
  <c r="L565" i="1"/>
  <c r="J565" i="1"/>
  <c r="G565" i="1"/>
  <c r="L564" i="1"/>
  <c r="J564" i="1"/>
  <c r="G564" i="1"/>
  <c r="L563" i="1"/>
  <c r="J563" i="1"/>
  <c r="G563" i="1"/>
  <c r="L562" i="1"/>
  <c r="J562" i="1"/>
  <c r="G562" i="1"/>
  <c r="L561" i="1"/>
  <c r="J561" i="1"/>
  <c r="G561" i="1"/>
  <c r="L560" i="1"/>
  <c r="J560" i="1"/>
  <c r="G560" i="1"/>
  <c r="L559" i="1"/>
  <c r="J559" i="1"/>
  <c r="G559" i="1"/>
  <c r="L558" i="1"/>
  <c r="J558" i="1"/>
  <c r="G558" i="1"/>
  <c r="L557" i="1"/>
  <c r="J557" i="1"/>
  <c r="G557" i="1"/>
  <c r="L556" i="1"/>
  <c r="J556" i="1"/>
  <c r="G556" i="1"/>
  <c r="L555" i="1"/>
  <c r="J555" i="1"/>
  <c r="G555" i="1"/>
  <c r="L554" i="1"/>
  <c r="J554" i="1"/>
  <c r="G554" i="1"/>
  <c r="L553" i="1"/>
  <c r="J553" i="1"/>
  <c r="G553" i="1"/>
  <c r="L552" i="1"/>
  <c r="J552" i="1"/>
  <c r="G552" i="1"/>
  <c r="L551" i="1"/>
  <c r="J551" i="1"/>
  <c r="G551" i="1"/>
  <c r="L550" i="1"/>
  <c r="J550" i="1"/>
  <c r="G550" i="1"/>
  <c r="L549" i="1"/>
  <c r="J549" i="1"/>
  <c r="G549" i="1"/>
  <c r="L548" i="1"/>
  <c r="J548" i="1"/>
  <c r="G548" i="1"/>
  <c r="L547" i="1"/>
  <c r="J547" i="1"/>
  <c r="G547" i="1"/>
  <c r="L546" i="1"/>
  <c r="J546" i="1"/>
  <c r="G546" i="1"/>
  <c r="L545" i="1"/>
  <c r="J545" i="1"/>
  <c r="G545" i="1"/>
  <c r="L544" i="1"/>
  <c r="J544" i="1"/>
  <c r="G544" i="1"/>
  <c r="L543" i="1"/>
  <c r="J543" i="1"/>
  <c r="G543" i="1"/>
  <c r="L542" i="1"/>
  <c r="J542" i="1"/>
  <c r="G542" i="1"/>
  <c r="L541" i="1"/>
  <c r="J541" i="1"/>
  <c r="G541" i="1"/>
  <c r="L540" i="1"/>
  <c r="J540" i="1"/>
  <c r="G540" i="1"/>
  <c r="L539" i="1"/>
  <c r="J539" i="1"/>
  <c r="G539" i="1"/>
  <c r="L538" i="1"/>
  <c r="J538" i="1"/>
  <c r="G538" i="1"/>
  <c r="L537" i="1"/>
  <c r="J537" i="1"/>
  <c r="G537" i="1"/>
  <c r="L536" i="1"/>
  <c r="J536" i="1"/>
  <c r="G536" i="1"/>
  <c r="L535" i="1"/>
  <c r="J535" i="1"/>
  <c r="G535" i="1"/>
  <c r="L534" i="1"/>
  <c r="J534" i="1"/>
  <c r="G534" i="1"/>
  <c r="L533" i="1"/>
  <c r="J533" i="1"/>
  <c r="G533" i="1"/>
  <c r="L532" i="1"/>
  <c r="J532" i="1"/>
  <c r="G532" i="1"/>
  <c r="K531" i="1"/>
  <c r="L531" i="1" s="1"/>
  <c r="I531" i="1"/>
  <c r="J531" i="1" s="1"/>
  <c r="G531" i="1"/>
  <c r="K530" i="1"/>
  <c r="L530" i="1" s="1"/>
  <c r="I530" i="1"/>
  <c r="J530" i="1" s="1"/>
  <c r="G530" i="1"/>
  <c r="K529" i="1"/>
  <c r="L529" i="1" s="1"/>
  <c r="I529" i="1"/>
  <c r="J529" i="1" s="1"/>
  <c r="G529" i="1"/>
  <c r="K528" i="1"/>
  <c r="L528" i="1" s="1"/>
  <c r="I528" i="1"/>
  <c r="J528" i="1" s="1"/>
  <c r="G528" i="1"/>
  <c r="K527" i="1"/>
  <c r="L527" i="1" s="1"/>
  <c r="I527" i="1"/>
  <c r="J527" i="1" s="1"/>
  <c r="G527" i="1"/>
  <c r="K526" i="1"/>
  <c r="L526" i="1" s="1"/>
  <c r="I526" i="1"/>
  <c r="J526" i="1" s="1"/>
  <c r="G526" i="1"/>
  <c r="K525" i="1"/>
  <c r="L525" i="1" s="1"/>
  <c r="I525" i="1"/>
  <c r="J525" i="1" s="1"/>
  <c r="G525" i="1"/>
  <c r="K524" i="1"/>
  <c r="L524" i="1" s="1"/>
  <c r="I524" i="1"/>
  <c r="J524" i="1" s="1"/>
  <c r="G524" i="1"/>
  <c r="K523" i="1"/>
  <c r="L523" i="1" s="1"/>
  <c r="I523" i="1"/>
  <c r="J523" i="1" s="1"/>
  <c r="G523" i="1"/>
  <c r="K522" i="1"/>
  <c r="L522" i="1" s="1"/>
  <c r="I522" i="1"/>
  <c r="J522" i="1" s="1"/>
  <c r="G522" i="1"/>
  <c r="K521" i="1"/>
  <c r="L521" i="1" s="1"/>
  <c r="I521" i="1"/>
  <c r="J521" i="1" s="1"/>
  <c r="G521" i="1"/>
  <c r="K520" i="1"/>
  <c r="L520" i="1" s="1"/>
  <c r="I520" i="1"/>
  <c r="J520" i="1" s="1"/>
  <c r="G520" i="1"/>
  <c r="K519" i="1"/>
  <c r="L519" i="1" s="1"/>
  <c r="I519" i="1"/>
  <c r="J519" i="1" s="1"/>
  <c r="G519" i="1"/>
  <c r="K518" i="1"/>
  <c r="L518" i="1" s="1"/>
  <c r="I518" i="1"/>
  <c r="J518" i="1" s="1"/>
  <c r="G518" i="1"/>
  <c r="K517" i="1"/>
  <c r="L517" i="1" s="1"/>
  <c r="I517" i="1"/>
  <c r="J517" i="1" s="1"/>
  <c r="G517" i="1"/>
  <c r="K516" i="1"/>
  <c r="L516" i="1" s="1"/>
  <c r="I516" i="1"/>
  <c r="J516" i="1" s="1"/>
  <c r="G516" i="1"/>
  <c r="K515" i="1"/>
  <c r="L515" i="1" s="1"/>
  <c r="I515" i="1"/>
  <c r="J515" i="1" s="1"/>
  <c r="G515" i="1"/>
  <c r="K514" i="1"/>
  <c r="L514" i="1" s="1"/>
  <c r="I514" i="1"/>
  <c r="J514" i="1" s="1"/>
  <c r="G514" i="1"/>
  <c r="K513" i="1"/>
  <c r="L513" i="1" s="1"/>
  <c r="I513" i="1"/>
  <c r="J513" i="1" s="1"/>
  <c r="G513" i="1"/>
  <c r="K512" i="1"/>
  <c r="L512" i="1" s="1"/>
  <c r="I512" i="1"/>
  <c r="J512" i="1" s="1"/>
  <c r="G512" i="1"/>
  <c r="K511" i="1"/>
  <c r="L511" i="1" s="1"/>
  <c r="I511" i="1"/>
  <c r="J511" i="1" s="1"/>
  <c r="G511" i="1"/>
  <c r="K510" i="1"/>
  <c r="L510" i="1" s="1"/>
  <c r="L705" i="1" s="1"/>
  <c r="I510" i="1"/>
  <c r="J510" i="1" s="1"/>
  <c r="J705" i="1" s="1"/>
  <c r="G510" i="1"/>
  <c r="L509" i="1"/>
  <c r="J509" i="1"/>
  <c r="L508" i="1"/>
  <c r="J508" i="1"/>
  <c r="G508" i="1"/>
  <c r="L507" i="1"/>
  <c r="J507" i="1"/>
  <c r="G507" i="1"/>
  <c r="L506" i="1"/>
  <c r="J506" i="1"/>
  <c r="G506" i="1"/>
  <c r="L505" i="1"/>
  <c r="J505" i="1"/>
  <c r="G505" i="1"/>
  <c r="L504" i="1"/>
  <c r="J504" i="1"/>
  <c r="G504" i="1"/>
  <c r="L503" i="1"/>
  <c r="J503" i="1"/>
  <c r="G503" i="1"/>
  <c r="L502" i="1"/>
  <c r="J502" i="1"/>
  <c r="G502" i="1"/>
  <c r="L501" i="1"/>
  <c r="J501" i="1"/>
  <c r="G501" i="1"/>
  <c r="L500" i="1"/>
  <c r="J500" i="1"/>
  <c r="G500" i="1"/>
  <c r="L499" i="1"/>
  <c r="J499" i="1"/>
  <c r="G499" i="1"/>
  <c r="L492" i="1"/>
  <c r="J492" i="1"/>
  <c r="L491" i="1"/>
  <c r="I491" i="1"/>
  <c r="H491" i="1"/>
  <c r="L490" i="1"/>
  <c r="I490" i="1"/>
  <c r="H490" i="1"/>
  <c r="L489" i="1"/>
  <c r="J489" i="1"/>
  <c r="G489" i="1"/>
  <c r="L488" i="1"/>
  <c r="J488" i="1"/>
  <c r="G488" i="1"/>
  <c r="L487" i="1"/>
  <c r="J487" i="1"/>
  <c r="G487" i="1"/>
  <c r="L486" i="1"/>
  <c r="J486" i="1"/>
  <c r="G486" i="1"/>
  <c r="L485" i="1"/>
  <c r="J485" i="1"/>
  <c r="G485" i="1"/>
  <c r="L484" i="1"/>
  <c r="J484" i="1"/>
  <c r="G484" i="1"/>
  <c r="L483" i="1"/>
  <c r="J483" i="1"/>
  <c r="G483" i="1"/>
  <c r="L482" i="1"/>
  <c r="J482" i="1"/>
  <c r="G482" i="1"/>
  <c r="L481" i="1"/>
  <c r="J481" i="1"/>
  <c r="G481" i="1"/>
  <c r="L480" i="1"/>
  <c r="J480" i="1"/>
  <c r="G480" i="1"/>
  <c r="L479" i="1"/>
  <c r="J479" i="1"/>
  <c r="G479" i="1"/>
  <c r="L478" i="1"/>
  <c r="J478" i="1"/>
  <c r="G478" i="1"/>
  <c r="L477" i="1"/>
  <c r="J477" i="1"/>
  <c r="G477" i="1"/>
  <c r="L476" i="1"/>
  <c r="J476" i="1"/>
  <c r="G476" i="1"/>
  <c r="L475" i="1"/>
  <c r="J475" i="1"/>
  <c r="G475" i="1"/>
  <c r="L474" i="1"/>
  <c r="J474" i="1"/>
  <c r="G474" i="1"/>
  <c r="L473" i="1"/>
  <c r="L497" i="1" s="1"/>
  <c r="J473" i="1"/>
  <c r="G473" i="1"/>
  <c r="L449" i="1"/>
  <c r="J449" i="1"/>
  <c r="L448" i="1"/>
  <c r="I448" i="1"/>
  <c r="H448" i="1"/>
  <c r="L447" i="1"/>
  <c r="I447" i="1"/>
  <c r="H447" i="1"/>
  <c r="M446" i="1"/>
  <c r="K446" i="1"/>
  <c r="L446" i="1" s="1"/>
  <c r="J446" i="1"/>
  <c r="I446" i="1"/>
  <c r="G446" i="1"/>
  <c r="H446" i="1" s="1"/>
  <c r="N446" i="1" s="1"/>
  <c r="K445" i="1"/>
  <c r="L445" i="1" s="1"/>
  <c r="I445" i="1"/>
  <c r="J445" i="1" s="1"/>
  <c r="G445" i="1"/>
  <c r="K444" i="1"/>
  <c r="L444" i="1" s="1"/>
  <c r="I444" i="1"/>
  <c r="J444" i="1" s="1"/>
  <c r="G444" i="1"/>
  <c r="K443" i="1"/>
  <c r="L443" i="1" s="1"/>
  <c r="I443" i="1"/>
  <c r="J443" i="1" s="1"/>
  <c r="G443" i="1"/>
  <c r="L442" i="1"/>
  <c r="J442" i="1"/>
  <c r="G442" i="1"/>
  <c r="L441" i="1"/>
  <c r="J441" i="1"/>
  <c r="G441" i="1"/>
  <c r="L440" i="1"/>
  <c r="J440" i="1"/>
  <c r="G440" i="1"/>
  <c r="L439" i="1"/>
  <c r="J439" i="1"/>
  <c r="G439" i="1"/>
  <c r="L438" i="1"/>
  <c r="J438" i="1"/>
  <c r="G438" i="1"/>
  <c r="L437" i="1"/>
  <c r="J437" i="1"/>
  <c r="G437" i="1"/>
  <c r="L436" i="1"/>
  <c r="J436" i="1"/>
  <c r="G436" i="1"/>
  <c r="L435" i="1"/>
  <c r="J435" i="1"/>
  <c r="G435" i="1"/>
  <c r="L434" i="1"/>
  <c r="J434" i="1"/>
  <c r="G434" i="1"/>
  <c r="L433" i="1"/>
  <c r="J433" i="1"/>
  <c r="G433" i="1"/>
  <c r="L432" i="1"/>
  <c r="J432" i="1"/>
  <c r="G432" i="1"/>
  <c r="L431" i="1"/>
  <c r="J431" i="1"/>
  <c r="G431" i="1"/>
  <c r="L430" i="1"/>
  <c r="J430" i="1"/>
  <c r="G430" i="1"/>
  <c r="L429" i="1"/>
  <c r="J429" i="1"/>
  <c r="G429" i="1"/>
  <c r="L428" i="1"/>
  <c r="J428" i="1"/>
  <c r="G428" i="1"/>
  <c r="L427" i="1"/>
  <c r="J427" i="1"/>
  <c r="G427" i="1"/>
  <c r="L426" i="1"/>
  <c r="J426" i="1"/>
  <c r="G426" i="1"/>
  <c r="L425" i="1"/>
  <c r="J425" i="1"/>
  <c r="G425" i="1"/>
  <c r="L424" i="1"/>
  <c r="J424" i="1"/>
  <c r="G424" i="1"/>
  <c r="L423" i="1"/>
  <c r="J423" i="1"/>
  <c r="G423" i="1"/>
  <c r="L422" i="1"/>
  <c r="J422" i="1"/>
  <c r="G422" i="1"/>
  <c r="L421" i="1"/>
  <c r="J421" i="1"/>
  <c r="G421" i="1"/>
  <c r="L420" i="1"/>
  <c r="J420" i="1"/>
  <c r="G420" i="1"/>
  <c r="L419" i="1"/>
  <c r="J419" i="1"/>
  <c r="G419" i="1"/>
  <c r="L418" i="1"/>
  <c r="J418" i="1"/>
  <c r="G418" i="1"/>
  <c r="L417" i="1"/>
  <c r="J417" i="1"/>
  <c r="G417" i="1"/>
  <c r="L416" i="1"/>
  <c r="J416" i="1"/>
  <c r="G416" i="1"/>
  <c r="L415" i="1"/>
  <c r="J415" i="1"/>
  <c r="G415" i="1"/>
  <c r="L414" i="1"/>
  <c r="J414" i="1"/>
  <c r="G414" i="1"/>
  <c r="L413" i="1"/>
  <c r="J413" i="1"/>
  <c r="G413" i="1"/>
  <c r="L412" i="1"/>
  <c r="J412" i="1"/>
  <c r="G412" i="1"/>
  <c r="L411" i="1"/>
  <c r="J411" i="1"/>
  <c r="G411" i="1"/>
  <c r="L410" i="1"/>
  <c r="J410" i="1"/>
  <c r="G410" i="1"/>
  <c r="L409" i="1"/>
  <c r="J409" i="1"/>
  <c r="G409" i="1"/>
  <c r="L408" i="1"/>
  <c r="J408" i="1"/>
  <c r="G408" i="1"/>
  <c r="L407" i="1"/>
  <c r="J407" i="1"/>
  <c r="G407" i="1"/>
  <c r="L406" i="1"/>
  <c r="J406" i="1"/>
  <c r="G406" i="1"/>
  <c r="L405" i="1"/>
  <c r="J405" i="1"/>
  <c r="G405" i="1"/>
  <c r="L404" i="1"/>
  <c r="J404" i="1"/>
  <c r="G404" i="1"/>
  <c r="L403" i="1"/>
  <c r="J403" i="1"/>
  <c r="G403" i="1"/>
  <c r="L402" i="1"/>
  <c r="J402" i="1"/>
  <c r="G402" i="1"/>
  <c r="L401" i="1"/>
  <c r="J401" i="1"/>
  <c r="G401" i="1"/>
  <c r="L400" i="1"/>
  <c r="J400" i="1"/>
  <c r="G400" i="1"/>
  <c r="L399" i="1"/>
  <c r="J399" i="1"/>
  <c r="G399" i="1"/>
  <c r="L398" i="1"/>
  <c r="J398" i="1"/>
  <c r="G398" i="1"/>
  <c r="L397" i="1"/>
  <c r="J397" i="1"/>
  <c r="G397" i="1"/>
  <c r="L396" i="1"/>
  <c r="J396" i="1"/>
  <c r="G396" i="1"/>
  <c r="L395" i="1"/>
  <c r="J395" i="1"/>
  <c r="G395" i="1"/>
  <c r="L394" i="1"/>
  <c r="J394" i="1"/>
  <c r="G394" i="1"/>
  <c r="L393" i="1"/>
  <c r="J393" i="1"/>
  <c r="G393" i="1"/>
  <c r="L392" i="1"/>
  <c r="J392" i="1"/>
  <c r="G392" i="1"/>
  <c r="L391" i="1"/>
  <c r="J391" i="1"/>
  <c r="G391" i="1"/>
  <c r="K390" i="1"/>
  <c r="L390" i="1" s="1"/>
  <c r="I390" i="1"/>
  <c r="J390" i="1" s="1"/>
  <c r="G390" i="1"/>
  <c r="K389" i="1"/>
  <c r="L389" i="1" s="1"/>
  <c r="I389" i="1"/>
  <c r="J389" i="1" s="1"/>
  <c r="G389" i="1"/>
  <c r="K388" i="1"/>
  <c r="L388" i="1" s="1"/>
  <c r="I388" i="1"/>
  <c r="J388" i="1" s="1"/>
  <c r="G388" i="1"/>
  <c r="K387" i="1"/>
  <c r="L387" i="1" s="1"/>
  <c r="I387" i="1"/>
  <c r="J387" i="1" s="1"/>
  <c r="G387" i="1"/>
  <c r="K386" i="1"/>
  <c r="L386" i="1" s="1"/>
  <c r="I386" i="1"/>
  <c r="J386" i="1" s="1"/>
  <c r="G386" i="1"/>
  <c r="K385" i="1"/>
  <c r="L385" i="1" s="1"/>
  <c r="I385" i="1"/>
  <c r="J385" i="1" s="1"/>
  <c r="G385" i="1"/>
  <c r="K384" i="1"/>
  <c r="L384" i="1" s="1"/>
  <c r="I384" i="1"/>
  <c r="J384" i="1" s="1"/>
  <c r="G384" i="1"/>
  <c r="K383" i="1"/>
  <c r="L383" i="1" s="1"/>
  <c r="I383" i="1"/>
  <c r="J383" i="1" s="1"/>
  <c r="G383" i="1"/>
  <c r="L382" i="1"/>
  <c r="J382" i="1"/>
  <c r="G382" i="1"/>
  <c r="L381" i="1"/>
  <c r="J381" i="1"/>
  <c r="G381" i="1"/>
  <c r="L380" i="1"/>
  <c r="J380" i="1"/>
  <c r="G380" i="1"/>
  <c r="L379" i="1"/>
  <c r="J379" i="1"/>
  <c r="G379" i="1"/>
  <c r="L378" i="1"/>
  <c r="J378" i="1"/>
  <c r="G378" i="1"/>
  <c r="L377" i="1"/>
  <c r="J377" i="1"/>
  <c r="G377" i="1"/>
  <c r="L376" i="1"/>
  <c r="J376" i="1"/>
  <c r="G376" i="1"/>
  <c r="L375" i="1"/>
  <c r="J375" i="1"/>
  <c r="G375" i="1"/>
  <c r="L374" i="1"/>
  <c r="J374" i="1"/>
  <c r="G374" i="1"/>
  <c r="L373" i="1"/>
  <c r="J373" i="1"/>
  <c r="G373" i="1"/>
  <c r="L372" i="1"/>
  <c r="J372" i="1"/>
  <c r="G372" i="1"/>
  <c r="L371" i="1"/>
  <c r="J371" i="1"/>
  <c r="G371" i="1"/>
  <c r="L370" i="1"/>
  <c r="J370" i="1"/>
  <c r="G370" i="1"/>
  <c r="L369" i="1"/>
  <c r="J369" i="1"/>
  <c r="G369" i="1"/>
  <c r="L368" i="1"/>
  <c r="J368" i="1"/>
  <c r="G368" i="1"/>
  <c r="L367" i="1"/>
  <c r="J367" i="1"/>
  <c r="G367" i="1"/>
  <c r="L366" i="1"/>
  <c r="J366" i="1"/>
  <c r="G366" i="1"/>
  <c r="L365" i="1"/>
  <c r="J365" i="1"/>
  <c r="G365" i="1"/>
  <c r="L364" i="1"/>
  <c r="J364" i="1"/>
  <c r="G364" i="1"/>
  <c r="L363" i="1"/>
  <c r="J363" i="1"/>
  <c r="G363" i="1"/>
  <c r="L362" i="1"/>
  <c r="J362" i="1"/>
  <c r="G362" i="1"/>
  <c r="L361" i="1"/>
  <c r="J361" i="1"/>
  <c r="G361" i="1"/>
  <c r="L360" i="1"/>
  <c r="J360" i="1"/>
  <c r="G360" i="1"/>
  <c r="L359" i="1"/>
  <c r="J359" i="1"/>
  <c r="G359" i="1"/>
  <c r="L358" i="1"/>
  <c r="J358" i="1"/>
  <c r="G358" i="1"/>
  <c r="L357" i="1"/>
  <c r="J357" i="1"/>
  <c r="G357" i="1"/>
  <c r="L356" i="1"/>
  <c r="J356" i="1"/>
  <c r="G356" i="1"/>
  <c r="L355" i="1"/>
  <c r="J355" i="1"/>
  <c r="G355" i="1"/>
  <c r="L354" i="1"/>
  <c r="J354" i="1"/>
  <c r="G354" i="1"/>
  <c r="L353" i="1"/>
  <c r="J353" i="1"/>
  <c r="G353" i="1"/>
  <c r="L352" i="1"/>
  <c r="J352" i="1"/>
  <c r="G352" i="1"/>
  <c r="L351" i="1"/>
  <c r="J351" i="1"/>
  <c r="G351" i="1"/>
  <c r="L350" i="1"/>
  <c r="J350" i="1"/>
  <c r="G350" i="1"/>
  <c r="L349" i="1"/>
  <c r="J349" i="1"/>
  <c r="G349" i="1"/>
  <c r="L348" i="1"/>
  <c r="J348" i="1"/>
  <c r="G348" i="1"/>
  <c r="L347" i="1"/>
  <c r="J347" i="1"/>
  <c r="G347" i="1"/>
  <c r="L346" i="1"/>
  <c r="J346" i="1"/>
  <c r="G346" i="1"/>
  <c r="L345" i="1"/>
  <c r="J345" i="1"/>
  <c r="G345" i="1"/>
  <c r="L344" i="1"/>
  <c r="J344" i="1"/>
  <c r="G344" i="1"/>
  <c r="L343" i="1"/>
  <c r="J343" i="1"/>
  <c r="G343" i="1"/>
  <c r="L342" i="1"/>
  <c r="J342" i="1"/>
  <c r="G342" i="1"/>
  <c r="L341" i="1"/>
  <c r="J341" i="1"/>
  <c r="G341" i="1"/>
  <c r="L340" i="1"/>
  <c r="J340" i="1"/>
  <c r="G340" i="1"/>
  <c r="L339" i="1"/>
  <c r="J339" i="1"/>
  <c r="G339" i="1"/>
  <c r="L338" i="1"/>
  <c r="J338" i="1"/>
  <c r="G338" i="1"/>
  <c r="L337" i="1"/>
  <c r="J337" i="1"/>
  <c r="G337" i="1"/>
  <c r="L336" i="1"/>
  <c r="J336" i="1"/>
  <c r="G336" i="1"/>
  <c r="L335" i="1"/>
  <c r="J335" i="1"/>
  <c r="G335" i="1"/>
  <c r="L334" i="1"/>
  <c r="J334" i="1"/>
  <c r="G334" i="1"/>
  <c r="L333" i="1"/>
  <c r="J333" i="1"/>
  <c r="G333" i="1"/>
  <c r="L332" i="1"/>
  <c r="J332" i="1"/>
  <c r="G332" i="1"/>
  <c r="L331" i="1"/>
  <c r="J331" i="1"/>
  <c r="G331" i="1"/>
  <c r="L330" i="1"/>
  <c r="J330" i="1"/>
  <c r="G330" i="1"/>
  <c r="L329" i="1"/>
  <c r="J329" i="1"/>
  <c r="G329" i="1"/>
  <c r="L328" i="1"/>
  <c r="J328" i="1"/>
  <c r="G328" i="1"/>
  <c r="L327" i="1"/>
  <c r="J327" i="1"/>
  <c r="G327" i="1"/>
  <c r="L326" i="1"/>
  <c r="J326" i="1"/>
  <c r="G326" i="1"/>
  <c r="L325" i="1"/>
  <c r="J325" i="1"/>
  <c r="G325" i="1"/>
  <c r="L324" i="1"/>
  <c r="J324" i="1"/>
  <c r="G324" i="1"/>
  <c r="L323" i="1"/>
  <c r="J323" i="1"/>
  <c r="G323" i="1"/>
  <c r="L322" i="1"/>
  <c r="J322" i="1"/>
  <c r="G322" i="1"/>
  <c r="L321" i="1"/>
  <c r="J321" i="1"/>
  <c r="G321" i="1"/>
  <c r="L320" i="1"/>
  <c r="J320" i="1"/>
  <c r="G320" i="1"/>
  <c r="L319" i="1"/>
  <c r="J319" i="1"/>
  <c r="G319" i="1"/>
  <c r="L318" i="1"/>
  <c r="J318" i="1"/>
  <c r="G318" i="1"/>
  <c r="L317" i="1"/>
  <c r="J317" i="1"/>
  <c r="G317" i="1"/>
  <c r="L316" i="1"/>
  <c r="J316" i="1"/>
  <c r="G316" i="1"/>
  <c r="L315" i="1"/>
  <c r="J315" i="1"/>
  <c r="G315" i="1"/>
  <c r="L314" i="1"/>
  <c r="J314" i="1"/>
  <c r="G314" i="1"/>
  <c r="L313" i="1"/>
  <c r="J313" i="1"/>
  <c r="G313" i="1"/>
  <c r="L312" i="1"/>
  <c r="J312" i="1"/>
  <c r="G312" i="1"/>
  <c r="L311" i="1"/>
  <c r="J311" i="1"/>
  <c r="G311" i="1"/>
  <c r="L310" i="1"/>
  <c r="J310" i="1"/>
  <c r="G310" i="1"/>
  <c r="L309" i="1"/>
  <c r="J309" i="1"/>
  <c r="G309" i="1"/>
  <c r="L308" i="1"/>
  <c r="J308" i="1"/>
  <c r="G308" i="1"/>
  <c r="L307" i="1"/>
  <c r="J307" i="1"/>
  <c r="G307" i="1"/>
  <c r="L306" i="1"/>
  <c r="J306" i="1"/>
  <c r="G306" i="1"/>
  <c r="L305" i="1"/>
  <c r="J305" i="1"/>
  <c r="G305" i="1"/>
  <c r="L304" i="1"/>
  <c r="J304" i="1"/>
  <c r="G304" i="1"/>
  <c r="L303" i="1"/>
  <c r="J303" i="1"/>
  <c r="G303" i="1"/>
  <c r="L302" i="1"/>
  <c r="J302" i="1"/>
  <c r="G302" i="1"/>
  <c r="L301" i="1"/>
  <c r="J301" i="1"/>
  <c r="G301" i="1"/>
  <c r="L300" i="1"/>
  <c r="J300" i="1"/>
  <c r="G300" i="1"/>
  <c r="L299" i="1"/>
  <c r="J299" i="1"/>
  <c r="G299" i="1"/>
  <c r="L298" i="1"/>
  <c r="J298" i="1"/>
  <c r="G298" i="1"/>
  <c r="L297" i="1"/>
  <c r="J297" i="1"/>
  <c r="G297" i="1"/>
  <c r="L296" i="1"/>
  <c r="J296" i="1"/>
  <c r="G296" i="1"/>
  <c r="L295" i="1"/>
  <c r="J295" i="1"/>
  <c r="G295" i="1"/>
  <c r="L294" i="1"/>
  <c r="J294" i="1"/>
  <c r="G294" i="1"/>
  <c r="L293" i="1"/>
  <c r="J293" i="1"/>
  <c r="G293" i="1"/>
  <c r="L292" i="1"/>
  <c r="J292" i="1"/>
  <c r="G292" i="1"/>
  <c r="K291" i="1"/>
  <c r="L291" i="1" s="1"/>
  <c r="I291" i="1"/>
  <c r="J291" i="1" s="1"/>
  <c r="G291" i="1"/>
  <c r="K290" i="1"/>
  <c r="L290" i="1" s="1"/>
  <c r="I290" i="1"/>
  <c r="J290" i="1" s="1"/>
  <c r="G290" i="1"/>
  <c r="K289" i="1"/>
  <c r="L289" i="1" s="1"/>
  <c r="I289" i="1"/>
  <c r="J289" i="1" s="1"/>
  <c r="G289" i="1"/>
  <c r="K288" i="1"/>
  <c r="L288" i="1" s="1"/>
  <c r="I288" i="1"/>
  <c r="J288" i="1" s="1"/>
  <c r="G288" i="1"/>
  <c r="K287" i="1"/>
  <c r="L287" i="1" s="1"/>
  <c r="I287" i="1"/>
  <c r="J287" i="1" s="1"/>
  <c r="G287" i="1"/>
  <c r="K286" i="1"/>
  <c r="L286" i="1" s="1"/>
  <c r="I286" i="1"/>
  <c r="J286" i="1" s="1"/>
  <c r="G286" i="1"/>
  <c r="K285" i="1"/>
  <c r="L285" i="1" s="1"/>
  <c r="I285" i="1"/>
  <c r="J285" i="1" s="1"/>
  <c r="G285" i="1"/>
  <c r="K284" i="1"/>
  <c r="L284" i="1" s="1"/>
  <c r="I284" i="1"/>
  <c r="J284" i="1" s="1"/>
  <c r="G284" i="1"/>
  <c r="K283" i="1"/>
  <c r="L283" i="1" s="1"/>
  <c r="I283" i="1"/>
  <c r="J283" i="1" s="1"/>
  <c r="G283" i="1"/>
  <c r="K282" i="1"/>
  <c r="L282" i="1" s="1"/>
  <c r="I282" i="1"/>
  <c r="J282" i="1" s="1"/>
  <c r="G282" i="1"/>
  <c r="K281" i="1"/>
  <c r="L281" i="1" s="1"/>
  <c r="I281" i="1"/>
  <c r="J281" i="1" s="1"/>
  <c r="G281" i="1"/>
  <c r="K280" i="1"/>
  <c r="L280" i="1" s="1"/>
  <c r="I280" i="1"/>
  <c r="J280" i="1" s="1"/>
  <c r="G280" i="1"/>
  <c r="K279" i="1"/>
  <c r="L279" i="1" s="1"/>
  <c r="I279" i="1"/>
  <c r="J279" i="1" s="1"/>
  <c r="G279" i="1"/>
  <c r="K278" i="1"/>
  <c r="L278" i="1" s="1"/>
  <c r="I278" i="1"/>
  <c r="J278" i="1" s="1"/>
  <c r="G278" i="1"/>
  <c r="K277" i="1"/>
  <c r="L277" i="1" s="1"/>
  <c r="I277" i="1"/>
  <c r="J277" i="1" s="1"/>
  <c r="G277" i="1"/>
  <c r="K276" i="1"/>
  <c r="L276" i="1" s="1"/>
  <c r="L471" i="1" s="1"/>
  <c r="I276" i="1"/>
  <c r="J276" i="1" s="1"/>
  <c r="J471" i="1" s="1"/>
  <c r="G276" i="1"/>
  <c r="L275" i="1"/>
  <c r="J275" i="1"/>
  <c r="L274" i="1"/>
  <c r="J274" i="1"/>
  <c r="G274" i="1"/>
  <c r="L273" i="1"/>
  <c r="J273" i="1"/>
  <c r="G273" i="1"/>
  <c r="L272" i="1"/>
  <c r="J272" i="1"/>
  <c r="G272" i="1"/>
  <c r="L271" i="1"/>
  <c r="J271" i="1"/>
  <c r="G271" i="1"/>
  <c r="L270" i="1"/>
  <c r="J270" i="1"/>
  <c r="G270" i="1"/>
  <c r="L269" i="1"/>
  <c r="J269" i="1"/>
  <c r="G269" i="1"/>
  <c r="L268" i="1"/>
  <c r="J268" i="1"/>
  <c r="G268" i="1"/>
  <c r="L267" i="1"/>
  <c r="J267" i="1"/>
  <c r="G267" i="1"/>
  <c r="L266" i="1"/>
  <c r="J266" i="1"/>
  <c r="G266" i="1"/>
  <c r="L265" i="1"/>
  <c r="J265" i="1"/>
  <c r="G265" i="1"/>
  <c r="L257" i="1"/>
  <c r="J257" i="1"/>
  <c r="L256" i="1"/>
  <c r="I256" i="1"/>
  <c r="H256" i="1"/>
  <c r="L255" i="1"/>
  <c r="I255" i="1"/>
  <c r="H255" i="1"/>
  <c r="K254" i="1"/>
  <c r="L254" i="1" s="1"/>
  <c r="I254" i="1"/>
  <c r="J254" i="1" s="1"/>
  <c r="G254" i="1"/>
  <c r="K253" i="1"/>
  <c r="L253" i="1" s="1"/>
  <c r="I253" i="1"/>
  <c r="J253" i="1" s="1"/>
  <c r="G253" i="1"/>
  <c r="K252" i="1"/>
  <c r="L252" i="1" s="1"/>
  <c r="I252" i="1"/>
  <c r="J252" i="1" s="1"/>
  <c r="G252" i="1"/>
  <c r="K251" i="1"/>
  <c r="L251" i="1" s="1"/>
  <c r="I251" i="1"/>
  <c r="J251" i="1" s="1"/>
  <c r="G251" i="1"/>
  <c r="K250" i="1"/>
  <c r="L250" i="1" s="1"/>
  <c r="I250" i="1"/>
  <c r="J250" i="1" s="1"/>
  <c r="G250" i="1"/>
  <c r="L249" i="1"/>
  <c r="J249" i="1"/>
  <c r="G249" i="1"/>
  <c r="L248" i="1"/>
  <c r="J248" i="1"/>
  <c r="G248" i="1"/>
  <c r="K247" i="1"/>
  <c r="L247" i="1" s="1"/>
  <c r="I247" i="1"/>
  <c r="J247" i="1" s="1"/>
  <c r="G247" i="1"/>
  <c r="L246" i="1"/>
  <c r="J246" i="1"/>
  <c r="G246" i="1"/>
  <c r="L245" i="1"/>
  <c r="J245" i="1"/>
  <c r="G245" i="1"/>
  <c r="L244" i="1"/>
  <c r="J244" i="1"/>
  <c r="G244" i="1"/>
  <c r="L243" i="1"/>
  <c r="J243" i="1"/>
  <c r="G243" i="1"/>
  <c r="L242" i="1"/>
  <c r="J242" i="1"/>
  <c r="G242" i="1"/>
  <c r="L241" i="1"/>
  <c r="J241" i="1"/>
  <c r="G241" i="1"/>
  <c r="L240" i="1"/>
  <c r="J240" i="1"/>
  <c r="G240" i="1"/>
  <c r="L239" i="1"/>
  <c r="J239" i="1"/>
  <c r="G239" i="1"/>
  <c r="L238" i="1"/>
  <c r="J238" i="1"/>
  <c r="G238" i="1"/>
  <c r="L237" i="1"/>
  <c r="J237" i="1"/>
  <c r="G237" i="1"/>
  <c r="M236" i="1"/>
  <c r="L236" i="1"/>
  <c r="J236" i="1"/>
  <c r="G236" i="1"/>
  <c r="H236" i="1" s="1"/>
  <c r="N236" i="1" s="1"/>
  <c r="L235" i="1"/>
  <c r="J235" i="1"/>
  <c r="G235" i="1"/>
  <c r="L234" i="1"/>
  <c r="J234" i="1"/>
  <c r="G234" i="1"/>
  <c r="L233" i="1"/>
  <c r="J233" i="1"/>
  <c r="G233" i="1"/>
  <c r="L232" i="1"/>
  <c r="J232" i="1"/>
  <c r="G232" i="1"/>
  <c r="L231" i="1"/>
  <c r="J231" i="1"/>
  <c r="G231" i="1"/>
  <c r="K230" i="1"/>
  <c r="L230" i="1" s="1"/>
  <c r="I230" i="1"/>
  <c r="J230" i="1" s="1"/>
  <c r="G230" i="1"/>
  <c r="K229" i="1"/>
  <c r="L229" i="1" s="1"/>
  <c r="I229" i="1"/>
  <c r="J229" i="1" s="1"/>
  <c r="G229" i="1"/>
  <c r="K228" i="1"/>
  <c r="L228" i="1" s="1"/>
  <c r="I228" i="1"/>
  <c r="J228" i="1" s="1"/>
  <c r="G228" i="1"/>
  <c r="K227" i="1"/>
  <c r="L227" i="1" s="1"/>
  <c r="I227" i="1"/>
  <c r="J227" i="1" s="1"/>
  <c r="G227" i="1"/>
  <c r="K226" i="1"/>
  <c r="L226" i="1" s="1"/>
  <c r="I226" i="1"/>
  <c r="J226" i="1" s="1"/>
  <c r="G226" i="1"/>
  <c r="K225" i="1"/>
  <c r="L225" i="1" s="1"/>
  <c r="I225" i="1"/>
  <c r="J225" i="1" s="1"/>
  <c r="G225" i="1"/>
  <c r="K224" i="1"/>
  <c r="L224" i="1" s="1"/>
  <c r="I224" i="1"/>
  <c r="J224" i="1" s="1"/>
  <c r="G224" i="1"/>
  <c r="K223" i="1"/>
  <c r="L223" i="1" s="1"/>
  <c r="I223" i="1"/>
  <c r="J223" i="1" s="1"/>
  <c r="G223" i="1"/>
  <c r="K222" i="1"/>
  <c r="L222" i="1" s="1"/>
  <c r="I222" i="1"/>
  <c r="J222" i="1" s="1"/>
  <c r="G222" i="1"/>
  <c r="K221" i="1"/>
  <c r="L221" i="1" s="1"/>
  <c r="I221" i="1"/>
  <c r="J221" i="1" s="1"/>
  <c r="G221" i="1"/>
  <c r="K220" i="1"/>
  <c r="L220" i="1" s="1"/>
  <c r="I220" i="1"/>
  <c r="J220" i="1" s="1"/>
  <c r="G220" i="1"/>
  <c r="K219" i="1"/>
  <c r="L219" i="1" s="1"/>
  <c r="I219" i="1"/>
  <c r="J219" i="1" s="1"/>
  <c r="G219" i="1"/>
  <c r="K218" i="1"/>
  <c r="L218" i="1" s="1"/>
  <c r="I218" i="1"/>
  <c r="J218" i="1" s="1"/>
  <c r="G218" i="1"/>
  <c r="L217" i="1"/>
  <c r="J217" i="1"/>
  <c r="G217" i="1"/>
  <c r="L216" i="1"/>
  <c r="J216" i="1"/>
  <c r="G216" i="1"/>
  <c r="L215" i="1"/>
  <c r="J215" i="1"/>
  <c r="G215" i="1"/>
  <c r="L214" i="1"/>
  <c r="J214" i="1"/>
  <c r="G214" i="1"/>
  <c r="L213" i="1"/>
  <c r="J213" i="1"/>
  <c r="G213" i="1"/>
  <c r="L212" i="1"/>
  <c r="J212" i="1"/>
  <c r="G212" i="1"/>
  <c r="L211" i="1"/>
  <c r="J211" i="1"/>
  <c r="G211" i="1"/>
  <c r="L210" i="1"/>
  <c r="J210" i="1"/>
  <c r="G210" i="1"/>
  <c r="L209" i="1"/>
  <c r="J209" i="1"/>
  <c r="G209" i="1"/>
  <c r="L208" i="1"/>
  <c r="J208" i="1"/>
  <c r="G208" i="1"/>
  <c r="L207" i="1"/>
  <c r="J207" i="1"/>
  <c r="G207" i="1"/>
  <c r="K206" i="1"/>
  <c r="L206" i="1" s="1"/>
  <c r="I206" i="1"/>
  <c r="J206" i="1" s="1"/>
  <c r="G206" i="1"/>
  <c r="K205" i="1"/>
  <c r="L205" i="1" s="1"/>
  <c r="I205" i="1"/>
  <c r="J205" i="1" s="1"/>
  <c r="G205" i="1"/>
  <c r="L204" i="1"/>
  <c r="J204" i="1"/>
  <c r="G204" i="1"/>
  <c r="L203" i="1"/>
  <c r="J203" i="1"/>
  <c r="G203" i="1"/>
  <c r="L202" i="1"/>
  <c r="J202" i="1"/>
  <c r="G202" i="1"/>
  <c r="L201" i="1"/>
  <c r="J201" i="1"/>
  <c r="G201" i="1"/>
  <c r="L200" i="1"/>
  <c r="J200" i="1"/>
  <c r="G200" i="1"/>
  <c r="L199" i="1"/>
  <c r="J199" i="1"/>
  <c r="G199" i="1"/>
  <c r="L198" i="1"/>
  <c r="J198" i="1"/>
  <c r="G198" i="1"/>
  <c r="L197" i="1"/>
  <c r="J197" i="1"/>
  <c r="G197" i="1"/>
  <c r="L196" i="1"/>
  <c r="J196" i="1"/>
  <c r="G196" i="1"/>
  <c r="L195" i="1"/>
  <c r="J195" i="1"/>
  <c r="G195" i="1"/>
  <c r="L194" i="1"/>
  <c r="J194" i="1"/>
  <c r="G194" i="1"/>
  <c r="L193" i="1"/>
  <c r="J193" i="1"/>
  <c r="G193" i="1"/>
  <c r="L192" i="1"/>
  <c r="J192" i="1"/>
  <c r="G192" i="1"/>
  <c r="L191" i="1"/>
  <c r="J191" i="1"/>
  <c r="G191" i="1"/>
  <c r="L190" i="1"/>
  <c r="J190" i="1"/>
  <c r="G190" i="1"/>
  <c r="L189" i="1"/>
  <c r="J189" i="1"/>
  <c r="G189" i="1"/>
  <c r="L188" i="1"/>
  <c r="J188" i="1"/>
  <c r="G188" i="1"/>
  <c r="L187" i="1"/>
  <c r="J187" i="1"/>
  <c r="G187" i="1"/>
  <c r="L186" i="1"/>
  <c r="J186" i="1"/>
  <c r="G186" i="1"/>
  <c r="L185" i="1"/>
  <c r="J185" i="1"/>
  <c r="G185" i="1"/>
  <c r="L184" i="1"/>
  <c r="J184" i="1"/>
  <c r="G184" i="1"/>
  <c r="L183" i="1"/>
  <c r="J183" i="1"/>
  <c r="G183" i="1"/>
  <c r="L182" i="1"/>
  <c r="J182" i="1"/>
  <c r="G182" i="1"/>
  <c r="L181" i="1"/>
  <c r="J181" i="1"/>
  <c r="G181" i="1"/>
  <c r="L180" i="1"/>
  <c r="J180" i="1"/>
  <c r="G180" i="1"/>
  <c r="L179" i="1"/>
  <c r="J179" i="1"/>
  <c r="G179" i="1"/>
  <c r="L178" i="1"/>
  <c r="J178" i="1"/>
  <c r="G178" i="1"/>
  <c r="L177" i="1"/>
  <c r="J177" i="1"/>
  <c r="G177" i="1"/>
  <c r="L176" i="1"/>
  <c r="J176" i="1"/>
  <c r="G176" i="1"/>
  <c r="L175" i="1"/>
  <c r="J175" i="1"/>
  <c r="G175" i="1"/>
  <c r="L174" i="1"/>
  <c r="J174" i="1"/>
  <c r="G174" i="1"/>
  <c r="L173" i="1"/>
  <c r="J173" i="1"/>
  <c r="G173" i="1"/>
  <c r="L172" i="1"/>
  <c r="J172" i="1"/>
  <c r="G172" i="1"/>
  <c r="L171" i="1"/>
  <c r="J171" i="1"/>
  <c r="G171" i="1"/>
  <c r="L170" i="1"/>
  <c r="J170" i="1"/>
  <c r="G170" i="1"/>
  <c r="L169" i="1"/>
  <c r="J169" i="1"/>
  <c r="G169" i="1"/>
  <c r="L168" i="1"/>
  <c r="J168" i="1"/>
  <c r="G168" i="1"/>
  <c r="L167" i="1"/>
  <c r="J167" i="1"/>
  <c r="G167" i="1"/>
  <c r="L166" i="1"/>
  <c r="J166" i="1"/>
  <c r="G166" i="1"/>
  <c r="L165" i="1"/>
  <c r="J165" i="1"/>
  <c r="G165" i="1"/>
  <c r="L164" i="1"/>
  <c r="J164" i="1"/>
  <c r="G164" i="1"/>
  <c r="L163" i="1"/>
  <c r="J163" i="1"/>
  <c r="G163" i="1"/>
  <c r="L162" i="1"/>
  <c r="J162" i="1"/>
  <c r="G162" i="1"/>
  <c r="L161" i="1"/>
  <c r="J161" i="1"/>
  <c r="G161" i="1"/>
  <c r="L160" i="1"/>
  <c r="J160" i="1"/>
  <c r="G160" i="1"/>
  <c r="L159" i="1"/>
  <c r="J159" i="1"/>
  <c r="G159" i="1"/>
  <c r="L158" i="1"/>
  <c r="J158" i="1"/>
  <c r="G158" i="1"/>
  <c r="L157" i="1"/>
  <c r="J157" i="1"/>
  <c r="G157" i="1"/>
  <c r="L156" i="1"/>
  <c r="J156" i="1"/>
  <c r="G156" i="1"/>
  <c r="L155" i="1"/>
  <c r="J155" i="1"/>
  <c r="G155" i="1"/>
  <c r="L154" i="1"/>
  <c r="J154" i="1"/>
  <c r="G154" i="1"/>
  <c r="L153" i="1"/>
  <c r="J153" i="1"/>
  <c r="G153" i="1"/>
  <c r="L152" i="1"/>
  <c r="J152" i="1"/>
  <c r="G152" i="1"/>
  <c r="L151" i="1"/>
  <c r="J151" i="1"/>
  <c r="G151" i="1"/>
  <c r="L150" i="1"/>
  <c r="J150" i="1"/>
  <c r="G150" i="1"/>
  <c r="L149" i="1"/>
  <c r="J149" i="1"/>
  <c r="G149" i="1"/>
  <c r="L148" i="1"/>
  <c r="J148" i="1"/>
  <c r="G148" i="1"/>
  <c r="L147" i="1"/>
  <c r="J147" i="1"/>
  <c r="G147" i="1"/>
  <c r="L146" i="1"/>
  <c r="J146" i="1"/>
  <c r="G146" i="1"/>
  <c r="L145" i="1"/>
  <c r="J145" i="1"/>
  <c r="G145" i="1"/>
  <c r="L144" i="1"/>
  <c r="J144" i="1"/>
  <c r="G144" i="1"/>
  <c r="L143" i="1"/>
  <c r="J143" i="1"/>
  <c r="G143" i="1"/>
  <c r="L142" i="1"/>
  <c r="J142" i="1"/>
  <c r="G142" i="1"/>
  <c r="L141" i="1"/>
  <c r="J141" i="1"/>
  <c r="G141" i="1"/>
  <c r="L140" i="1"/>
  <c r="J140" i="1"/>
  <c r="G140" i="1"/>
  <c r="L139" i="1"/>
  <c r="J139" i="1"/>
  <c r="G139" i="1"/>
  <c r="L138" i="1"/>
  <c r="J138" i="1"/>
  <c r="G138" i="1"/>
  <c r="L137" i="1"/>
  <c r="J137" i="1"/>
  <c r="G137" i="1"/>
  <c r="L136" i="1"/>
  <c r="J136" i="1"/>
  <c r="G136" i="1"/>
  <c r="L135" i="1"/>
  <c r="J135" i="1"/>
  <c r="G135" i="1"/>
  <c r="L134" i="1"/>
  <c r="J134" i="1"/>
  <c r="G134" i="1"/>
  <c r="L133" i="1"/>
  <c r="J133" i="1"/>
  <c r="G133" i="1"/>
  <c r="L132" i="1"/>
  <c r="J132" i="1"/>
  <c r="G132" i="1"/>
  <c r="L131" i="1"/>
  <c r="J131" i="1"/>
  <c r="G131" i="1"/>
  <c r="L130" i="1"/>
  <c r="J130" i="1"/>
  <c r="G130" i="1"/>
  <c r="L129" i="1"/>
  <c r="J129" i="1"/>
  <c r="G129" i="1"/>
  <c r="L128" i="1"/>
  <c r="J128" i="1"/>
  <c r="G128" i="1"/>
  <c r="L127" i="1"/>
  <c r="J127" i="1"/>
  <c r="G127" i="1"/>
  <c r="L126" i="1"/>
  <c r="J126" i="1"/>
  <c r="G126" i="1"/>
  <c r="L125" i="1"/>
  <c r="J125" i="1"/>
  <c r="G125" i="1"/>
  <c r="L124" i="1"/>
  <c r="J124" i="1"/>
  <c r="G124" i="1"/>
  <c r="L123" i="1"/>
  <c r="J123" i="1"/>
  <c r="G123" i="1"/>
  <c r="L122" i="1"/>
  <c r="J122" i="1"/>
  <c r="G122" i="1"/>
  <c r="L121" i="1"/>
  <c r="J121" i="1"/>
  <c r="G121" i="1"/>
  <c r="L120" i="1"/>
  <c r="J120" i="1"/>
  <c r="G120" i="1"/>
  <c r="L119" i="1"/>
  <c r="J119" i="1"/>
  <c r="G119" i="1"/>
  <c r="L118" i="1"/>
  <c r="J118" i="1"/>
  <c r="G118" i="1"/>
  <c r="L117" i="1"/>
  <c r="J117" i="1"/>
  <c r="G117" i="1"/>
  <c r="L116" i="1"/>
  <c r="J116" i="1"/>
  <c r="G116" i="1"/>
  <c r="L115" i="1"/>
  <c r="J115" i="1"/>
  <c r="G115" i="1"/>
  <c r="L114" i="1"/>
  <c r="J114" i="1"/>
  <c r="G114" i="1"/>
  <c r="L113" i="1"/>
  <c r="J113" i="1"/>
  <c r="G113" i="1"/>
  <c r="K112" i="1"/>
  <c r="L112" i="1" s="1"/>
  <c r="I112" i="1"/>
  <c r="J112" i="1" s="1"/>
  <c r="G112" i="1"/>
  <c r="K111" i="1"/>
  <c r="L111" i="1" s="1"/>
  <c r="I111" i="1"/>
  <c r="J111" i="1" s="1"/>
  <c r="G111" i="1"/>
  <c r="K110" i="1"/>
  <c r="L110" i="1" s="1"/>
  <c r="I110" i="1"/>
  <c r="J110" i="1" s="1"/>
  <c r="G110" i="1"/>
  <c r="K109" i="1"/>
  <c r="L109" i="1" s="1"/>
  <c r="I109" i="1"/>
  <c r="J109" i="1" s="1"/>
  <c r="G109" i="1"/>
  <c r="K108" i="1"/>
  <c r="L108" i="1" s="1"/>
  <c r="I108" i="1"/>
  <c r="J108" i="1" s="1"/>
  <c r="G108" i="1"/>
  <c r="K107" i="1"/>
  <c r="L107" i="1" s="1"/>
  <c r="I107" i="1"/>
  <c r="J107" i="1" s="1"/>
  <c r="G107" i="1"/>
  <c r="K106" i="1"/>
  <c r="L106" i="1" s="1"/>
  <c r="I106" i="1"/>
  <c r="J106" i="1" s="1"/>
  <c r="G106" i="1"/>
  <c r="K105" i="1"/>
  <c r="L105" i="1" s="1"/>
  <c r="I105" i="1"/>
  <c r="J105" i="1" s="1"/>
  <c r="G105" i="1"/>
  <c r="K104" i="1"/>
  <c r="L104" i="1" s="1"/>
  <c r="I104" i="1"/>
  <c r="J104" i="1" s="1"/>
  <c r="G104" i="1"/>
  <c r="K103" i="1"/>
  <c r="L103" i="1" s="1"/>
  <c r="I103" i="1"/>
  <c r="J103" i="1" s="1"/>
  <c r="G103" i="1"/>
  <c r="K102" i="1"/>
  <c r="L102" i="1" s="1"/>
  <c r="I102" i="1"/>
  <c r="J102" i="1" s="1"/>
  <c r="G102" i="1"/>
  <c r="K101" i="1"/>
  <c r="L101" i="1" s="1"/>
  <c r="I101" i="1"/>
  <c r="J101" i="1" s="1"/>
  <c r="G101" i="1"/>
  <c r="K100" i="1"/>
  <c r="L100" i="1" s="1"/>
  <c r="I100" i="1"/>
  <c r="J100" i="1" s="1"/>
  <c r="G100" i="1"/>
  <c r="K99" i="1"/>
  <c r="L99" i="1" s="1"/>
  <c r="I99" i="1"/>
  <c r="J99" i="1" s="1"/>
  <c r="G99" i="1"/>
  <c r="K98" i="1"/>
  <c r="L98" i="1" s="1"/>
  <c r="I98" i="1"/>
  <c r="J98" i="1" s="1"/>
  <c r="G98" i="1"/>
  <c r="K97" i="1"/>
  <c r="L97" i="1" s="1"/>
  <c r="L263" i="1" s="1"/>
  <c r="I97" i="1"/>
  <c r="J97" i="1" s="1"/>
  <c r="J263" i="1" s="1"/>
  <c r="G97" i="1"/>
  <c r="L96" i="1"/>
  <c r="J96" i="1"/>
  <c r="L95" i="1"/>
  <c r="J95" i="1"/>
  <c r="G95" i="1"/>
  <c r="L94" i="1"/>
  <c r="J94" i="1"/>
  <c r="G94" i="1"/>
  <c r="L93" i="1"/>
  <c r="J93" i="1"/>
  <c r="G93" i="1"/>
  <c r="L92" i="1"/>
  <c r="J92" i="1"/>
  <c r="G92" i="1"/>
  <c r="L91" i="1"/>
  <c r="J91" i="1"/>
  <c r="G91" i="1"/>
  <c r="L90" i="1"/>
  <c r="J90" i="1"/>
  <c r="G90" i="1"/>
  <c r="L89" i="1"/>
  <c r="J89" i="1"/>
  <c r="G89" i="1"/>
  <c r="L88" i="1"/>
  <c r="J88" i="1"/>
  <c r="G88" i="1"/>
  <c r="L87" i="1"/>
  <c r="J87" i="1"/>
  <c r="G87" i="1"/>
  <c r="L86" i="1"/>
  <c r="J86" i="1"/>
  <c r="G86" i="1"/>
  <c r="L85" i="1"/>
  <c r="J85" i="1"/>
  <c r="G85" i="1"/>
  <c r="L84" i="1"/>
  <c r="J84" i="1"/>
  <c r="G84" i="1"/>
  <c r="L83" i="1"/>
  <c r="J83" i="1"/>
  <c r="G83" i="1"/>
  <c r="K64" i="1"/>
  <c r="L64" i="1" s="1"/>
  <c r="I64" i="1"/>
  <c r="J64" i="1" s="1"/>
  <c r="G64" i="1"/>
  <c r="K63" i="1"/>
  <c r="L63" i="1" s="1"/>
  <c r="I63" i="1"/>
  <c r="J63" i="1" s="1"/>
  <c r="G63" i="1"/>
  <c r="L62" i="1"/>
  <c r="J62" i="1"/>
  <c r="G62" i="1"/>
  <c r="L61" i="1"/>
  <c r="J61" i="1"/>
  <c r="G61" i="1"/>
  <c r="L60" i="1"/>
  <c r="J60" i="1"/>
  <c r="L59" i="1"/>
  <c r="J59" i="1"/>
  <c r="G59" i="1"/>
  <c r="L58" i="1"/>
  <c r="J58" i="1"/>
  <c r="G58" i="1"/>
  <c r="L57" i="1"/>
  <c r="L81" i="1" s="1"/>
  <c r="J57" i="1"/>
  <c r="J81" i="1" s="1"/>
  <c r="G57" i="1"/>
  <c r="L51" i="1"/>
  <c r="J51" i="1"/>
  <c r="L50" i="1"/>
  <c r="I50" i="1"/>
  <c r="H50" i="1"/>
  <c r="L49" i="1"/>
  <c r="I49" i="1"/>
  <c r="H49" i="1"/>
  <c r="L48" i="1"/>
  <c r="J48" i="1"/>
  <c r="G48" i="1"/>
  <c r="L47" i="1"/>
  <c r="J47" i="1"/>
  <c r="G47" i="1"/>
  <c r="L46" i="1"/>
  <c r="J46" i="1"/>
  <c r="G46" i="1"/>
  <c r="L45" i="1"/>
  <c r="J45" i="1"/>
  <c r="G45" i="1"/>
  <c r="L44" i="1"/>
  <c r="J44" i="1"/>
  <c r="G44" i="1"/>
  <c r="L43" i="1"/>
  <c r="J43" i="1"/>
  <c r="G43" i="1"/>
  <c r="L42" i="1"/>
  <c r="J42" i="1"/>
  <c r="G42" i="1"/>
  <c r="L41" i="1"/>
  <c r="J41" i="1"/>
  <c r="G41" i="1"/>
  <c r="L40" i="1"/>
  <c r="J40" i="1"/>
  <c r="G40" i="1"/>
  <c r="L39" i="1"/>
  <c r="J39" i="1"/>
  <c r="G39" i="1"/>
  <c r="L38" i="1"/>
  <c r="J38" i="1"/>
  <c r="G38" i="1"/>
  <c r="L37" i="1"/>
  <c r="J37" i="1"/>
  <c r="G37" i="1"/>
  <c r="L36" i="1"/>
  <c r="J36" i="1"/>
  <c r="G36" i="1"/>
  <c r="L35" i="1"/>
  <c r="J35" i="1"/>
  <c r="G35" i="1"/>
  <c r="L34" i="1"/>
  <c r="J34" i="1"/>
  <c r="G34" i="1"/>
  <c r="L33" i="1"/>
  <c r="J33" i="1"/>
  <c r="G33" i="1"/>
  <c r="L32" i="1"/>
  <c r="J32" i="1"/>
  <c r="G32" i="1"/>
  <c r="L31" i="1"/>
  <c r="J31" i="1"/>
  <c r="G31" i="1"/>
  <c r="L30" i="1"/>
  <c r="J30" i="1"/>
  <c r="G30" i="1"/>
  <c r="L29" i="1"/>
  <c r="J29" i="1"/>
  <c r="G29" i="1"/>
  <c r="L28" i="1"/>
  <c r="J28" i="1"/>
  <c r="G28" i="1"/>
  <c r="L27" i="1"/>
  <c r="J27" i="1"/>
  <c r="G27" i="1"/>
  <c r="L26" i="1"/>
  <c r="J26" i="1"/>
  <c r="G26" i="1"/>
  <c r="L25" i="1"/>
  <c r="J25" i="1"/>
  <c r="G25" i="1"/>
  <c r="L24" i="1"/>
  <c r="J24" i="1"/>
  <c r="G24" i="1"/>
  <c r="L23" i="1"/>
  <c r="J23" i="1"/>
  <c r="G23" i="1"/>
  <c r="L22" i="1"/>
  <c r="J22" i="1"/>
  <c r="G22" i="1"/>
  <c r="L21" i="1"/>
  <c r="J21" i="1"/>
  <c r="G21" i="1"/>
  <c r="L20" i="1"/>
  <c r="J20" i="1"/>
  <c r="G20" i="1"/>
  <c r="L19" i="1"/>
  <c r="J19" i="1"/>
  <c r="G19" i="1"/>
  <c r="L18" i="1"/>
  <c r="J18" i="1"/>
  <c r="G18" i="1"/>
  <c r="L17" i="1"/>
  <c r="J17" i="1"/>
  <c r="G17" i="1"/>
  <c r="L16" i="1"/>
  <c r="J16" i="1"/>
  <c r="G16" i="1"/>
  <c r="L15" i="1"/>
  <c r="J15" i="1"/>
  <c r="G15" i="1"/>
  <c r="L14" i="1"/>
  <c r="J14" i="1"/>
  <c r="G14" i="1"/>
  <c r="L13" i="1"/>
  <c r="J13" i="1"/>
  <c r="G13" i="1"/>
  <c r="L12" i="1"/>
  <c r="J12" i="1"/>
  <c r="G12" i="1"/>
  <c r="L11" i="1"/>
  <c r="L55" i="1" s="1"/>
  <c r="J11" i="1"/>
  <c r="G11" i="1"/>
  <c r="L10" i="1"/>
  <c r="J10" i="1"/>
  <c r="G10" i="1"/>
  <c r="L9" i="1"/>
  <c r="J9" i="1"/>
  <c r="G9" i="1"/>
  <c r="L8" i="1"/>
  <c r="J8" i="1"/>
  <c r="G8" i="1"/>
  <c r="L7" i="1"/>
  <c r="J7" i="1"/>
  <c r="G7" i="1"/>
  <c r="L6" i="1"/>
  <c r="J6" i="1"/>
  <c r="G6" i="1"/>
  <c r="L5" i="1"/>
  <c r="J5" i="1"/>
  <c r="G5" i="1"/>
  <c r="M4313" i="1" l="1"/>
  <c r="H4313" i="1"/>
  <c r="N4313" i="1" s="1"/>
  <c r="M4312" i="1"/>
  <c r="H4312" i="1"/>
  <c r="N4312" i="1" s="1"/>
  <c r="M4311" i="1"/>
  <c r="L4311" i="1"/>
  <c r="N4311" i="1" s="1"/>
  <c r="M4310" i="1"/>
  <c r="L4310" i="1"/>
  <c r="N4310" i="1" s="1"/>
  <c r="M4309" i="1"/>
  <c r="L4309" i="1"/>
  <c r="N4309" i="1" s="1"/>
  <c r="L4308" i="1"/>
  <c r="N4308" i="1" s="1"/>
  <c r="M4308" i="1"/>
  <c r="M4307" i="1"/>
  <c r="L4307" i="1"/>
  <c r="N4307" i="1" s="1"/>
  <c r="M4306" i="1"/>
  <c r="L4306" i="1"/>
  <c r="J4305" i="1"/>
  <c r="N4305" i="1" s="1"/>
  <c r="M4305" i="1"/>
  <c r="M4304" i="1"/>
  <c r="J4304" i="1"/>
  <c r="N4304" i="1" s="1"/>
  <c r="M4303" i="1"/>
  <c r="J4303" i="1"/>
  <c r="N4303" i="1" s="1"/>
  <c r="M4302" i="1"/>
  <c r="J4302" i="1"/>
  <c r="N4302" i="1" s="1"/>
  <c r="M4301" i="1"/>
  <c r="J4301" i="1"/>
  <c r="M4300" i="1"/>
  <c r="H4300" i="1"/>
  <c r="N4300" i="1" s="1"/>
  <c r="M4299" i="1"/>
  <c r="H4299" i="1"/>
  <c r="N4299" i="1" s="1"/>
  <c r="M4298" i="1"/>
  <c r="H4298" i="1"/>
  <c r="N4298" i="1" s="1"/>
  <c r="M4297" i="1"/>
  <c r="H4297" i="1"/>
  <c r="N4297" i="1" s="1"/>
  <c r="M4296" i="1"/>
  <c r="H4296" i="1"/>
  <c r="N4296" i="1" s="1"/>
  <c r="H4295" i="1"/>
  <c r="N4295" i="1" s="1"/>
  <c r="M4295" i="1"/>
  <c r="H4294" i="1"/>
  <c r="N4294" i="1" s="1"/>
  <c r="M4294" i="1"/>
  <c r="M4293" i="1"/>
  <c r="H4293" i="1"/>
  <c r="N4293" i="1" s="1"/>
  <c r="H4291" i="1"/>
  <c r="N4291" i="1" s="1"/>
  <c r="M4291" i="1"/>
  <c r="M4290" i="1"/>
  <c r="H4290" i="1"/>
  <c r="N4290" i="1" s="1"/>
  <c r="H4289" i="1"/>
  <c r="N4289" i="1" s="1"/>
  <c r="M4289" i="1"/>
  <c r="H4288" i="1"/>
  <c r="N4288" i="1" s="1"/>
  <c r="M4288" i="1"/>
  <c r="M4287" i="1"/>
  <c r="H4287" i="1"/>
  <c r="N4287" i="1" s="1"/>
  <c r="H4286" i="1"/>
  <c r="N4286" i="1" s="1"/>
  <c r="M4286" i="1"/>
  <c r="H4285" i="1"/>
  <c r="N4285" i="1" s="1"/>
  <c r="M4285" i="1"/>
  <c r="H4284" i="1"/>
  <c r="N4284" i="1" s="1"/>
  <c r="M4284" i="1"/>
  <c r="H4283" i="1"/>
  <c r="N4283" i="1" s="1"/>
  <c r="M4283" i="1"/>
  <c r="M4282" i="1"/>
  <c r="H4282" i="1"/>
  <c r="N4282" i="1" s="1"/>
  <c r="M4281" i="1"/>
  <c r="H4281" i="1"/>
  <c r="N4281" i="1" s="1"/>
  <c r="H4280" i="1"/>
  <c r="N4280" i="1" s="1"/>
  <c r="M4280" i="1"/>
  <c r="H4279" i="1"/>
  <c r="N4279" i="1" s="1"/>
  <c r="M4279" i="1"/>
  <c r="M4278" i="1"/>
  <c r="H4278" i="1"/>
  <c r="N4278" i="1" s="1"/>
  <c r="M4277" i="1"/>
  <c r="H4277" i="1"/>
  <c r="N4277" i="1" s="1"/>
  <c r="M4276" i="1"/>
  <c r="H4276" i="1"/>
  <c r="N4276" i="1" s="1"/>
  <c r="H4275" i="1"/>
  <c r="N4275" i="1" s="1"/>
  <c r="M4275" i="1"/>
  <c r="H4274" i="1"/>
  <c r="N4274" i="1" s="1"/>
  <c r="M4274" i="1"/>
  <c r="H4273" i="1"/>
  <c r="N4273" i="1" s="1"/>
  <c r="M4273" i="1"/>
  <c r="M4272" i="1"/>
  <c r="H4272" i="1"/>
  <c r="N4272" i="1" s="1"/>
  <c r="M4271" i="1"/>
  <c r="H4271" i="1"/>
  <c r="N4271" i="1" s="1"/>
  <c r="H4270" i="1"/>
  <c r="N4270" i="1" s="1"/>
  <c r="M4270" i="1"/>
  <c r="M4269" i="1"/>
  <c r="H4269" i="1"/>
  <c r="H4257" i="1"/>
  <c r="N4257" i="1" s="1"/>
  <c r="M4257" i="1"/>
  <c r="H4256" i="1"/>
  <c r="N4256" i="1" s="1"/>
  <c r="M4256" i="1"/>
  <c r="H4255" i="1"/>
  <c r="N4255" i="1" s="1"/>
  <c r="M4255" i="1"/>
  <c r="H4254" i="1"/>
  <c r="N4254" i="1" s="1"/>
  <c r="M4254" i="1"/>
  <c r="H4253" i="1"/>
  <c r="N4253" i="1" s="1"/>
  <c r="M4253" i="1"/>
  <c r="H4252" i="1"/>
  <c r="N4252" i="1" s="1"/>
  <c r="M4252" i="1"/>
  <c r="H4251" i="1"/>
  <c r="N4251" i="1" s="1"/>
  <c r="M4251" i="1"/>
  <c r="H4250" i="1"/>
  <c r="N4250" i="1" s="1"/>
  <c r="M4250" i="1"/>
  <c r="M4249" i="1"/>
  <c r="H4249" i="1"/>
  <c r="N4249" i="1" s="1"/>
  <c r="M4248" i="1"/>
  <c r="H4248" i="1"/>
  <c r="N4248" i="1" s="1"/>
  <c r="M4247" i="1"/>
  <c r="H4247" i="1"/>
  <c r="N4247" i="1" s="1"/>
  <c r="M4246" i="1"/>
  <c r="H4246" i="1"/>
  <c r="N4246" i="1" s="1"/>
  <c r="M4245" i="1"/>
  <c r="H4245" i="1"/>
  <c r="N4245" i="1" s="1"/>
  <c r="H4244" i="1"/>
  <c r="N4244" i="1" s="1"/>
  <c r="M4244" i="1"/>
  <c r="M4243" i="1"/>
  <c r="H4243" i="1"/>
  <c r="H4224" i="1"/>
  <c r="N4224" i="1" s="1"/>
  <c r="M4224" i="1"/>
  <c r="H4223" i="1"/>
  <c r="N4223" i="1" s="1"/>
  <c r="M4223" i="1"/>
  <c r="H4222" i="1"/>
  <c r="N4222" i="1" s="1"/>
  <c r="M4222" i="1"/>
  <c r="H4221" i="1"/>
  <c r="N4221" i="1" s="1"/>
  <c r="M4221" i="1"/>
  <c r="M4220" i="1"/>
  <c r="H4220" i="1"/>
  <c r="N4220" i="1" s="1"/>
  <c r="M4219" i="1"/>
  <c r="H4219" i="1"/>
  <c r="N4219" i="1" s="1"/>
  <c r="H4218" i="1"/>
  <c r="N4218" i="1" s="1"/>
  <c r="M4218" i="1"/>
  <c r="H4217" i="1"/>
  <c r="M4217" i="1"/>
  <c r="M4199" i="1"/>
  <c r="H4199" i="1"/>
  <c r="N4199" i="1" s="1"/>
  <c r="M4198" i="1"/>
  <c r="H4198" i="1"/>
  <c r="N4198" i="1" s="1"/>
  <c r="M4197" i="1"/>
  <c r="H4197" i="1"/>
  <c r="N4197" i="1" s="1"/>
  <c r="H4196" i="1"/>
  <c r="N4196" i="1" s="1"/>
  <c r="M4196" i="1"/>
  <c r="M4195" i="1"/>
  <c r="H4195" i="1"/>
  <c r="N4195" i="1" s="1"/>
  <c r="M4194" i="1"/>
  <c r="H4194" i="1"/>
  <c r="N4194" i="1" s="1"/>
  <c r="M4193" i="1"/>
  <c r="H4193" i="1"/>
  <c r="N4193" i="1" s="1"/>
  <c r="H4192" i="1"/>
  <c r="N4192" i="1" s="1"/>
  <c r="M4192" i="1"/>
  <c r="H4191" i="1"/>
  <c r="M4191" i="1"/>
  <c r="M4172" i="1"/>
  <c r="H4172" i="1"/>
  <c r="N4172" i="1" s="1"/>
  <c r="M4171" i="1"/>
  <c r="H4171" i="1"/>
  <c r="N4171" i="1" s="1"/>
  <c r="H4170" i="1"/>
  <c r="N4170" i="1" s="1"/>
  <c r="M4170" i="1"/>
  <c r="M4169" i="1"/>
  <c r="H4169" i="1"/>
  <c r="N4169" i="1" s="1"/>
  <c r="M4168" i="1"/>
  <c r="H4168" i="1"/>
  <c r="N4168" i="1" s="1"/>
  <c r="M4167" i="1"/>
  <c r="H4167" i="1"/>
  <c r="N4167" i="1" s="1"/>
  <c r="M4166" i="1"/>
  <c r="H4166" i="1"/>
  <c r="N4166" i="1" s="1"/>
  <c r="H4165" i="1"/>
  <c r="M4165" i="1"/>
  <c r="M4156" i="1"/>
  <c r="H4156" i="1"/>
  <c r="N4156" i="1" s="1"/>
  <c r="H4155" i="1"/>
  <c r="N4155" i="1" s="1"/>
  <c r="M4155" i="1"/>
  <c r="H4154" i="1"/>
  <c r="N4154" i="1" s="1"/>
  <c r="M4154" i="1"/>
  <c r="H4153" i="1"/>
  <c r="N4153" i="1" s="1"/>
  <c r="M4153" i="1"/>
  <c r="H4152" i="1"/>
  <c r="N4152" i="1" s="1"/>
  <c r="M4152" i="1"/>
  <c r="H4151" i="1"/>
  <c r="N4151" i="1" s="1"/>
  <c r="M4151" i="1"/>
  <c r="H4150" i="1"/>
  <c r="N4150" i="1" s="1"/>
  <c r="M4150" i="1"/>
  <c r="H4149" i="1"/>
  <c r="N4149" i="1" s="1"/>
  <c r="M4149" i="1"/>
  <c r="M4148" i="1"/>
  <c r="H4148" i="1"/>
  <c r="N4148" i="1" s="1"/>
  <c r="H4147" i="1"/>
  <c r="N4147" i="1" s="1"/>
  <c r="M4147" i="1"/>
  <c r="H4146" i="1"/>
  <c r="N4146" i="1" s="1"/>
  <c r="M4146" i="1"/>
  <c r="H4145" i="1"/>
  <c r="N4145" i="1" s="1"/>
  <c r="M4145" i="1"/>
  <c r="M4144" i="1"/>
  <c r="H4144" i="1"/>
  <c r="N4144" i="1" s="1"/>
  <c r="H4143" i="1"/>
  <c r="N4143" i="1" s="1"/>
  <c r="M4143" i="1"/>
  <c r="H4142" i="1"/>
  <c r="N4142" i="1" s="1"/>
  <c r="M4142" i="1"/>
  <c r="H4141" i="1"/>
  <c r="N4141" i="1" s="1"/>
  <c r="M4141" i="1"/>
  <c r="M4140" i="1"/>
  <c r="H4140" i="1"/>
  <c r="N4140" i="1" s="1"/>
  <c r="H4139" i="1"/>
  <c r="M4139" i="1"/>
  <c r="H4115" i="1"/>
  <c r="N4115" i="1" s="1"/>
  <c r="M4115" i="1"/>
  <c r="M4114" i="1"/>
  <c r="H4114" i="1"/>
  <c r="N4114" i="1" s="1"/>
  <c r="H4113" i="1"/>
  <c r="M4113" i="1"/>
  <c r="H4091" i="1"/>
  <c r="N4091" i="1" s="1"/>
  <c r="M4091" i="1"/>
  <c r="H4090" i="1"/>
  <c r="N4090" i="1" s="1"/>
  <c r="M4090" i="1"/>
  <c r="L4089" i="1"/>
  <c r="N4089" i="1" s="1"/>
  <c r="M4089" i="1"/>
  <c r="L4088" i="1"/>
  <c r="N4088" i="1" s="1"/>
  <c r="M4088" i="1"/>
  <c r="M4087" i="1"/>
  <c r="L4087" i="1"/>
  <c r="N4087" i="1" s="1"/>
  <c r="L4086" i="1"/>
  <c r="N4086" i="1" s="1"/>
  <c r="M4086" i="1"/>
  <c r="M4085" i="1"/>
  <c r="L4085" i="1"/>
  <c r="N4085" i="1" s="1"/>
  <c r="L4084" i="1"/>
  <c r="M4084" i="1"/>
  <c r="M4083" i="1"/>
  <c r="J4083" i="1"/>
  <c r="N4083" i="1" s="1"/>
  <c r="M4082" i="1"/>
  <c r="J4082" i="1"/>
  <c r="N4082" i="1" s="1"/>
  <c r="M4081" i="1"/>
  <c r="J4081" i="1"/>
  <c r="N4081" i="1" s="1"/>
  <c r="M4080" i="1"/>
  <c r="J4080" i="1"/>
  <c r="N4080" i="1" s="1"/>
  <c r="M4079" i="1"/>
  <c r="J4079" i="1"/>
  <c r="M4078" i="1"/>
  <c r="H4078" i="1"/>
  <c r="N4078" i="1" s="1"/>
  <c r="H4077" i="1"/>
  <c r="N4077" i="1" s="1"/>
  <c r="M4077" i="1"/>
  <c r="H4076" i="1"/>
  <c r="N4076" i="1" s="1"/>
  <c r="M4076" i="1"/>
  <c r="H4075" i="1"/>
  <c r="N4075" i="1" s="1"/>
  <c r="M4075" i="1"/>
  <c r="M4074" i="1"/>
  <c r="H4074" i="1"/>
  <c r="N4074" i="1" s="1"/>
  <c r="H4073" i="1"/>
  <c r="N4073" i="1" s="1"/>
  <c r="M4073" i="1"/>
  <c r="M4072" i="1"/>
  <c r="H4072" i="1"/>
  <c r="N4072" i="1" s="1"/>
  <c r="M4071" i="1"/>
  <c r="H4071" i="1"/>
  <c r="N4071" i="1" s="1"/>
  <c r="H4070" i="1"/>
  <c r="N4070" i="1" s="1"/>
  <c r="M4070" i="1"/>
  <c r="M4069" i="1"/>
  <c r="H4069" i="1"/>
  <c r="N4069" i="1" s="1"/>
  <c r="H4068" i="1"/>
  <c r="N4068" i="1" s="1"/>
  <c r="M4068" i="1"/>
  <c r="M4067" i="1"/>
  <c r="H4067" i="1"/>
  <c r="N4067" i="1" s="1"/>
  <c r="M4066" i="1"/>
  <c r="H4066" i="1"/>
  <c r="N4066" i="1" s="1"/>
  <c r="M4065" i="1"/>
  <c r="H4065" i="1"/>
  <c r="N4065" i="1" s="1"/>
  <c r="M4064" i="1"/>
  <c r="H4064" i="1"/>
  <c r="N4064" i="1" s="1"/>
  <c r="M4063" i="1"/>
  <c r="H4063" i="1"/>
  <c r="N4063" i="1" s="1"/>
  <c r="H4062" i="1"/>
  <c r="N4062" i="1" s="1"/>
  <c r="M4062" i="1"/>
  <c r="M4061" i="1"/>
  <c r="H4061" i="1"/>
  <c r="M4047" i="1"/>
  <c r="H4047" i="1"/>
  <c r="N4047" i="1" s="1"/>
  <c r="H4046" i="1"/>
  <c r="N4046" i="1" s="1"/>
  <c r="M4046" i="1"/>
  <c r="M4044" i="1"/>
  <c r="H4044" i="1"/>
  <c r="N4044" i="1" s="1"/>
  <c r="M4043" i="1"/>
  <c r="H4043" i="1"/>
  <c r="N4043" i="1" s="1"/>
  <c r="M4042" i="1"/>
  <c r="H4042" i="1"/>
  <c r="N4042" i="1" s="1"/>
  <c r="M4041" i="1"/>
  <c r="H4041" i="1"/>
  <c r="N4041" i="1" s="1"/>
  <c r="H4040" i="1"/>
  <c r="N4040" i="1" s="1"/>
  <c r="M4040" i="1"/>
  <c r="M4039" i="1"/>
  <c r="H4039" i="1"/>
  <c r="N4039" i="1" s="1"/>
  <c r="M4038" i="1"/>
  <c r="H4038" i="1"/>
  <c r="N4038" i="1" s="1"/>
  <c r="M4037" i="1"/>
  <c r="H4037" i="1"/>
  <c r="N4037" i="1" s="1"/>
  <c r="M4036" i="1"/>
  <c r="H4036" i="1"/>
  <c r="N4036" i="1" s="1"/>
  <c r="M4035" i="1"/>
  <c r="H4035" i="1"/>
  <c r="H4026" i="1"/>
  <c r="N4026" i="1" s="1"/>
  <c r="M4026" i="1"/>
  <c r="M4025" i="1"/>
  <c r="H4025" i="1"/>
  <c r="N4025" i="1" s="1"/>
  <c r="H4024" i="1"/>
  <c r="N4024" i="1" s="1"/>
  <c r="M4024" i="1"/>
  <c r="H4023" i="1"/>
  <c r="N4023" i="1" s="1"/>
  <c r="M4023" i="1"/>
  <c r="H4022" i="1"/>
  <c r="N4022" i="1" s="1"/>
  <c r="M4022" i="1"/>
  <c r="H4021" i="1"/>
  <c r="N4021" i="1" s="1"/>
  <c r="M4021" i="1"/>
  <c r="H4020" i="1"/>
  <c r="N4020" i="1" s="1"/>
  <c r="M4020" i="1"/>
  <c r="M4019" i="1"/>
  <c r="H4019" i="1"/>
  <c r="N4019" i="1" s="1"/>
  <c r="H4018" i="1"/>
  <c r="N4018" i="1" s="1"/>
  <c r="M4018" i="1"/>
  <c r="M4017" i="1"/>
  <c r="H4017" i="1"/>
  <c r="N4017" i="1" s="1"/>
  <c r="M4016" i="1"/>
  <c r="H4016" i="1"/>
  <c r="N4016" i="1" s="1"/>
  <c r="M4015" i="1"/>
  <c r="H4015" i="1"/>
  <c r="N4015" i="1" s="1"/>
  <c r="H4014" i="1"/>
  <c r="N4014" i="1" s="1"/>
  <c r="M4014" i="1"/>
  <c r="M4013" i="1"/>
  <c r="H4013" i="1"/>
  <c r="N4013" i="1" s="1"/>
  <c r="H4012" i="1"/>
  <c r="N4012" i="1" s="1"/>
  <c r="M4012" i="1"/>
  <c r="M4010" i="1"/>
  <c r="H4010" i="1"/>
  <c r="N4010" i="1" s="1"/>
  <c r="H4009" i="1"/>
  <c r="M4009" i="1"/>
  <c r="M3915" i="1"/>
  <c r="H3915" i="1"/>
  <c r="N3915" i="1" s="1"/>
  <c r="M3914" i="1"/>
  <c r="H3914" i="1"/>
  <c r="N3914" i="1" s="1"/>
  <c r="H3913" i="1"/>
  <c r="N3913" i="1" s="1"/>
  <c r="M3913" i="1"/>
  <c r="H3912" i="1"/>
  <c r="N3912" i="1" s="1"/>
  <c r="M3912" i="1"/>
  <c r="M3911" i="1"/>
  <c r="H3911" i="1"/>
  <c r="N3911" i="1" s="1"/>
  <c r="H3910" i="1"/>
  <c r="N3910" i="1" s="1"/>
  <c r="M3910" i="1"/>
  <c r="M3909" i="1"/>
  <c r="H3909" i="1"/>
  <c r="N3909" i="1" s="1"/>
  <c r="M3908" i="1"/>
  <c r="H3908" i="1"/>
  <c r="N3908" i="1" s="1"/>
  <c r="M3907" i="1"/>
  <c r="H3907" i="1"/>
  <c r="N3907" i="1" s="1"/>
  <c r="M3906" i="1"/>
  <c r="H3906" i="1"/>
  <c r="N3906" i="1" s="1"/>
  <c r="M3905" i="1"/>
  <c r="H3905" i="1"/>
  <c r="H3885" i="1"/>
  <c r="N3885" i="1" s="1"/>
  <c r="M3885" i="1"/>
  <c r="M3884" i="1"/>
  <c r="H3884" i="1"/>
  <c r="N3884" i="1" s="1"/>
  <c r="M3883" i="1"/>
  <c r="L3883" i="1"/>
  <c r="N3883" i="1" s="1"/>
  <c r="M3882" i="1"/>
  <c r="L3882" i="1"/>
  <c r="N3882" i="1" s="1"/>
  <c r="M3881" i="1"/>
  <c r="L3881" i="1"/>
  <c r="N3881" i="1" s="1"/>
  <c r="L3880" i="1"/>
  <c r="N3880" i="1" s="1"/>
  <c r="M3880" i="1"/>
  <c r="L3879" i="1"/>
  <c r="L3903" i="1" s="1"/>
  <c r="M3879" i="1"/>
  <c r="H3903" i="1"/>
  <c r="N3903" i="1" s="1"/>
  <c r="N3879" i="1"/>
  <c r="M3859" i="1"/>
  <c r="H3859" i="1"/>
  <c r="N3859" i="1" s="1"/>
  <c r="H3858" i="1"/>
  <c r="N3858" i="1" s="1"/>
  <c r="M3858" i="1"/>
  <c r="H3857" i="1"/>
  <c r="N3857" i="1" s="1"/>
  <c r="M3857" i="1"/>
  <c r="M3856" i="1"/>
  <c r="H3856" i="1"/>
  <c r="N3856" i="1" s="1"/>
  <c r="H3855" i="1"/>
  <c r="N3855" i="1" s="1"/>
  <c r="M3855" i="1"/>
  <c r="H3854" i="1"/>
  <c r="N3854" i="1" s="1"/>
  <c r="M3854" i="1"/>
  <c r="H3853" i="1"/>
  <c r="M3853" i="1"/>
  <c r="H3833" i="1"/>
  <c r="N3833" i="1" s="1"/>
  <c r="M3833" i="1"/>
  <c r="H3832" i="1"/>
  <c r="N3832" i="1" s="1"/>
  <c r="M3832" i="1"/>
  <c r="M3831" i="1"/>
  <c r="H3831" i="1"/>
  <c r="N3831" i="1" s="1"/>
  <c r="M3830" i="1"/>
  <c r="H3830" i="1"/>
  <c r="N3830" i="1" s="1"/>
  <c r="H3829" i="1"/>
  <c r="N3829" i="1" s="1"/>
  <c r="M3829" i="1"/>
  <c r="M3828" i="1"/>
  <c r="H3828" i="1"/>
  <c r="N3828" i="1" s="1"/>
  <c r="H3827" i="1"/>
  <c r="M3827" i="1"/>
  <c r="H3814" i="1"/>
  <c r="N3814" i="1" s="1"/>
  <c r="M3814" i="1"/>
  <c r="M3813" i="1"/>
  <c r="J3813" i="1"/>
  <c r="N3813" i="1" s="1"/>
  <c r="H3812" i="1"/>
  <c r="N3812" i="1" s="1"/>
  <c r="M3812" i="1"/>
  <c r="H3811" i="1"/>
  <c r="N3811" i="1" s="1"/>
  <c r="M3811" i="1"/>
  <c r="H3809" i="1"/>
  <c r="N3809" i="1" s="1"/>
  <c r="M3809" i="1"/>
  <c r="M3808" i="1"/>
  <c r="H3808" i="1"/>
  <c r="N3808" i="1" s="1"/>
  <c r="H3807" i="1"/>
  <c r="N3807" i="1" s="1"/>
  <c r="M3807" i="1"/>
  <c r="H3806" i="1"/>
  <c r="N3806" i="1" s="1"/>
  <c r="M3806" i="1"/>
  <c r="M3805" i="1"/>
  <c r="H3805" i="1"/>
  <c r="N3805" i="1" s="1"/>
  <c r="M3804" i="1"/>
  <c r="H3804" i="1"/>
  <c r="N3804" i="1" s="1"/>
  <c r="M3803" i="1"/>
  <c r="H3803" i="1"/>
  <c r="N3803" i="1" s="1"/>
  <c r="H3802" i="1"/>
  <c r="N3802" i="1" s="1"/>
  <c r="M3802" i="1"/>
  <c r="M3801" i="1"/>
  <c r="H3801" i="1"/>
  <c r="J3800" i="1"/>
  <c r="N3800" i="1" s="1"/>
  <c r="M3800" i="1"/>
  <c r="J3799" i="1"/>
  <c r="N3799" i="1" s="1"/>
  <c r="M3799" i="1"/>
  <c r="M3798" i="1"/>
  <c r="J3798" i="1"/>
  <c r="N3798" i="1" s="1"/>
  <c r="M3797" i="1"/>
  <c r="J3797" i="1"/>
  <c r="N3797" i="1" s="1"/>
  <c r="J3796" i="1"/>
  <c r="N3796" i="1" s="1"/>
  <c r="M3796" i="1"/>
  <c r="M3795" i="1"/>
  <c r="J3795" i="1"/>
  <c r="N3795" i="1" s="1"/>
  <c r="J3794" i="1"/>
  <c r="N3794" i="1" s="1"/>
  <c r="M3794" i="1"/>
  <c r="J3793" i="1"/>
  <c r="N3793" i="1" s="1"/>
  <c r="M3793" i="1"/>
  <c r="M3792" i="1"/>
  <c r="J3792" i="1"/>
  <c r="N3792" i="1" s="1"/>
  <c r="M3791" i="1"/>
  <c r="J3791" i="1"/>
  <c r="N3791" i="1" s="1"/>
  <c r="M3790" i="1"/>
  <c r="J3790" i="1"/>
  <c r="N3790" i="1" s="1"/>
  <c r="J3789" i="1"/>
  <c r="N3789" i="1" s="1"/>
  <c r="M3789" i="1"/>
  <c r="J3788" i="1"/>
  <c r="N3788" i="1" s="1"/>
  <c r="M3788" i="1"/>
  <c r="J3787" i="1"/>
  <c r="N3787" i="1" s="1"/>
  <c r="M3787" i="1"/>
  <c r="J3786" i="1"/>
  <c r="N3786" i="1" s="1"/>
  <c r="M3786" i="1"/>
  <c r="J3785" i="1"/>
  <c r="N3785" i="1" s="1"/>
  <c r="M3785" i="1"/>
  <c r="J3784" i="1"/>
  <c r="N3784" i="1" s="1"/>
  <c r="M3784" i="1"/>
  <c r="J3783" i="1"/>
  <c r="N3783" i="1" s="1"/>
  <c r="M3783" i="1"/>
  <c r="M3782" i="1"/>
  <c r="J3782" i="1"/>
  <c r="N3782" i="1" s="1"/>
  <c r="M3781" i="1"/>
  <c r="J3781" i="1"/>
  <c r="N3781" i="1" s="1"/>
  <c r="J3780" i="1"/>
  <c r="N3780" i="1" s="1"/>
  <c r="M3780" i="1"/>
  <c r="M3779" i="1"/>
  <c r="J3779" i="1"/>
  <c r="N3779" i="1" s="1"/>
  <c r="J3778" i="1"/>
  <c r="N3778" i="1" s="1"/>
  <c r="M3778" i="1"/>
  <c r="J3777" i="1"/>
  <c r="N3777" i="1" s="1"/>
  <c r="M3777" i="1"/>
  <c r="J3776" i="1"/>
  <c r="N3776" i="1" s="1"/>
  <c r="M3776" i="1"/>
  <c r="J3775" i="1"/>
  <c r="M3775" i="1"/>
  <c r="H3751" i="1"/>
  <c r="N3751" i="1" s="1"/>
  <c r="M3751" i="1"/>
  <c r="M3750" i="1"/>
  <c r="H3750" i="1"/>
  <c r="N3750" i="1" s="1"/>
  <c r="H3749" i="1"/>
  <c r="M3749" i="1"/>
  <c r="H3721" i="1"/>
  <c r="N3721" i="1" s="1"/>
  <c r="M3721" i="1"/>
  <c r="H3720" i="1"/>
  <c r="N3720" i="1" s="1"/>
  <c r="M3720" i="1"/>
  <c r="H3719" i="1"/>
  <c r="N3719" i="1" s="1"/>
  <c r="M3719" i="1"/>
  <c r="M3718" i="1"/>
  <c r="H3718" i="1"/>
  <c r="N3718" i="1" s="1"/>
  <c r="M3717" i="1"/>
  <c r="H3717" i="1"/>
  <c r="N3717" i="1" s="1"/>
  <c r="M3716" i="1"/>
  <c r="H3716" i="1"/>
  <c r="N3716" i="1" s="1"/>
  <c r="H3715" i="1"/>
  <c r="N3715" i="1" s="1"/>
  <c r="M3715" i="1"/>
  <c r="M3714" i="1"/>
  <c r="H3714" i="1"/>
  <c r="N3714" i="1" s="1"/>
  <c r="H3713" i="1"/>
  <c r="N3713" i="1" s="1"/>
  <c r="M3713" i="1"/>
  <c r="M3712" i="1"/>
  <c r="H3712" i="1"/>
  <c r="N3712" i="1" s="1"/>
  <c r="M3711" i="1"/>
  <c r="H3711" i="1"/>
  <c r="N3711" i="1" s="1"/>
  <c r="M3710" i="1"/>
  <c r="H3710" i="1"/>
  <c r="N3710" i="1" s="1"/>
  <c r="M3709" i="1"/>
  <c r="H3709" i="1"/>
  <c r="N3709" i="1" s="1"/>
  <c r="M3708" i="1"/>
  <c r="H3708" i="1"/>
  <c r="N3708" i="1" s="1"/>
  <c r="M3707" i="1"/>
  <c r="H3707" i="1"/>
  <c r="N3707" i="1" s="1"/>
  <c r="M3706" i="1"/>
  <c r="H3706" i="1"/>
  <c r="N3706" i="1" s="1"/>
  <c r="H3705" i="1"/>
  <c r="N3705" i="1" s="1"/>
  <c r="M3705" i="1"/>
  <c r="H3704" i="1"/>
  <c r="N3704" i="1" s="1"/>
  <c r="M3704" i="1"/>
  <c r="M3703" i="1"/>
  <c r="H3703" i="1"/>
  <c r="N3703" i="1" s="1"/>
  <c r="H3702" i="1"/>
  <c r="N3702" i="1" s="1"/>
  <c r="M3702" i="1"/>
  <c r="M3701" i="1"/>
  <c r="H3701" i="1"/>
  <c r="N3701" i="1" s="1"/>
  <c r="M3700" i="1"/>
  <c r="H3700" i="1"/>
  <c r="N3700" i="1" s="1"/>
  <c r="M3699" i="1"/>
  <c r="H3699" i="1"/>
  <c r="N3699" i="1" s="1"/>
  <c r="M3698" i="1"/>
  <c r="H3698" i="1"/>
  <c r="N3698" i="1" s="1"/>
  <c r="M3697" i="1"/>
  <c r="H3697" i="1"/>
  <c r="M3679" i="1"/>
  <c r="H3679" i="1"/>
  <c r="N3679" i="1" s="1"/>
  <c r="H3678" i="1"/>
  <c r="N3678" i="1" s="1"/>
  <c r="M3678" i="1"/>
  <c r="H3677" i="1"/>
  <c r="N3677" i="1" s="1"/>
  <c r="M3677" i="1"/>
  <c r="H3676" i="1"/>
  <c r="N3676" i="1" s="1"/>
  <c r="M3676" i="1"/>
  <c r="M3675" i="1"/>
  <c r="H3675" i="1"/>
  <c r="N3675" i="1" s="1"/>
  <c r="H3674" i="1"/>
  <c r="N3674" i="1" s="1"/>
  <c r="M3674" i="1"/>
  <c r="H3673" i="1"/>
  <c r="N3673" i="1" s="1"/>
  <c r="M3673" i="1"/>
  <c r="M3672" i="1"/>
  <c r="H3672" i="1"/>
  <c r="N3672" i="1" s="1"/>
  <c r="M3671" i="1"/>
  <c r="H3671" i="1"/>
  <c r="H3655" i="1"/>
  <c r="N3655" i="1" s="1"/>
  <c r="M3655" i="1"/>
  <c r="H3654" i="1"/>
  <c r="N3654" i="1" s="1"/>
  <c r="M3654" i="1"/>
  <c r="H3653" i="1"/>
  <c r="N3653" i="1" s="1"/>
  <c r="M3653" i="1"/>
  <c r="H3652" i="1"/>
  <c r="N3652" i="1" s="1"/>
  <c r="M3652" i="1"/>
  <c r="M3651" i="1"/>
  <c r="H3651" i="1"/>
  <c r="N3651" i="1" s="1"/>
  <c r="M3650" i="1"/>
  <c r="H3650" i="1"/>
  <c r="N3650" i="1" s="1"/>
  <c r="M3649" i="1"/>
  <c r="H3649" i="1"/>
  <c r="N3649" i="1" s="1"/>
  <c r="M3648" i="1"/>
  <c r="H3648" i="1"/>
  <c r="N3648" i="1" s="1"/>
  <c r="M3647" i="1"/>
  <c r="H3647" i="1"/>
  <c r="N3647" i="1" s="1"/>
  <c r="H3646" i="1"/>
  <c r="N3646" i="1" s="1"/>
  <c r="M3646" i="1"/>
  <c r="M3645" i="1"/>
  <c r="H3645" i="1"/>
  <c r="M3635" i="1"/>
  <c r="H3635" i="1"/>
  <c r="N3635" i="1" s="1"/>
  <c r="M3634" i="1"/>
  <c r="H3634" i="1"/>
  <c r="N3634" i="1" s="1"/>
  <c r="H3633" i="1"/>
  <c r="N3633" i="1" s="1"/>
  <c r="M3633" i="1"/>
  <c r="M3632" i="1"/>
  <c r="H3632" i="1"/>
  <c r="N3632" i="1" s="1"/>
  <c r="M3631" i="1"/>
  <c r="H3631" i="1"/>
  <c r="N3631" i="1" s="1"/>
  <c r="M3630" i="1"/>
  <c r="H3630" i="1"/>
  <c r="N3630" i="1" s="1"/>
  <c r="M3629" i="1"/>
  <c r="H3629" i="1"/>
  <c r="N3629" i="1" s="1"/>
  <c r="M3628" i="1"/>
  <c r="H3628" i="1"/>
  <c r="N3628" i="1" s="1"/>
  <c r="M3627" i="1"/>
  <c r="H3627" i="1"/>
  <c r="N3627" i="1" s="1"/>
  <c r="M3626" i="1"/>
  <c r="H3626" i="1"/>
  <c r="N3626" i="1" s="1"/>
  <c r="M3625" i="1"/>
  <c r="H3625" i="1"/>
  <c r="N3625" i="1" s="1"/>
  <c r="M3624" i="1"/>
  <c r="H3624" i="1"/>
  <c r="N3624" i="1" s="1"/>
  <c r="M3623" i="1"/>
  <c r="H3623" i="1"/>
  <c r="N3623" i="1" s="1"/>
  <c r="M3622" i="1"/>
  <c r="H3622" i="1"/>
  <c r="N3622" i="1" s="1"/>
  <c r="M3621" i="1"/>
  <c r="H3621" i="1"/>
  <c r="N3621" i="1" s="1"/>
  <c r="H3620" i="1"/>
  <c r="N3620" i="1" s="1"/>
  <c r="M3620" i="1"/>
  <c r="M3619" i="1"/>
  <c r="H3619" i="1"/>
  <c r="M3609" i="1"/>
  <c r="H3609" i="1"/>
  <c r="N3609" i="1" s="1"/>
  <c r="M3608" i="1"/>
  <c r="H3608" i="1"/>
  <c r="N3608" i="1" s="1"/>
  <c r="M3607" i="1"/>
  <c r="H3607" i="1"/>
  <c r="N3607" i="1" s="1"/>
  <c r="M3606" i="1"/>
  <c r="H3606" i="1"/>
  <c r="N3606" i="1" s="1"/>
  <c r="M3605" i="1"/>
  <c r="H3605" i="1"/>
  <c r="N3605" i="1" s="1"/>
  <c r="M3604" i="1"/>
  <c r="H3604" i="1"/>
  <c r="N3604" i="1" s="1"/>
  <c r="M3603" i="1"/>
  <c r="H3603" i="1"/>
  <c r="N3603" i="1" s="1"/>
  <c r="M3602" i="1"/>
  <c r="H3602" i="1"/>
  <c r="N3602" i="1" s="1"/>
  <c r="M3601" i="1"/>
  <c r="H3601" i="1"/>
  <c r="N3601" i="1" s="1"/>
  <c r="M3600" i="1"/>
  <c r="H3600" i="1"/>
  <c r="N3600" i="1" s="1"/>
  <c r="M3599" i="1"/>
  <c r="H3599" i="1"/>
  <c r="N3599" i="1" s="1"/>
  <c r="M3598" i="1"/>
  <c r="H3598" i="1"/>
  <c r="N3598" i="1" s="1"/>
  <c r="M3597" i="1"/>
  <c r="H3597" i="1"/>
  <c r="N3597" i="1" s="1"/>
  <c r="M3596" i="1"/>
  <c r="H3596" i="1"/>
  <c r="N3596" i="1" s="1"/>
  <c r="M3595" i="1"/>
  <c r="H3595" i="1"/>
  <c r="N3595" i="1" s="1"/>
  <c r="M3594" i="1"/>
  <c r="H3594" i="1"/>
  <c r="N3594" i="1" s="1"/>
  <c r="M3593" i="1"/>
  <c r="H3593" i="1"/>
  <c r="M3576" i="1"/>
  <c r="H3576" i="1"/>
  <c r="N3576" i="1" s="1"/>
  <c r="M3575" i="1"/>
  <c r="H3575" i="1"/>
  <c r="N3575" i="1" s="1"/>
  <c r="M3574" i="1"/>
  <c r="H3574" i="1"/>
  <c r="N3574" i="1" s="1"/>
  <c r="M3573" i="1"/>
  <c r="H3573" i="1"/>
  <c r="N3573" i="1" s="1"/>
  <c r="M3572" i="1"/>
  <c r="H3572" i="1"/>
  <c r="N3572" i="1" s="1"/>
  <c r="M3571" i="1"/>
  <c r="H3571" i="1"/>
  <c r="N3571" i="1" s="1"/>
  <c r="M3570" i="1"/>
  <c r="H3570" i="1"/>
  <c r="N3570" i="1" s="1"/>
  <c r="M3569" i="1"/>
  <c r="H3569" i="1"/>
  <c r="N3569" i="1" s="1"/>
  <c r="M3568" i="1"/>
  <c r="H3568" i="1"/>
  <c r="N3568" i="1" s="1"/>
  <c r="M3567" i="1"/>
  <c r="H3567" i="1"/>
  <c r="M3552" i="1"/>
  <c r="H3552" i="1"/>
  <c r="N3552" i="1" s="1"/>
  <c r="M3551" i="1"/>
  <c r="H3551" i="1"/>
  <c r="N3551" i="1" s="1"/>
  <c r="M3550" i="1"/>
  <c r="H3550" i="1"/>
  <c r="N3550" i="1" s="1"/>
  <c r="M3549" i="1"/>
  <c r="H3549" i="1"/>
  <c r="N3549" i="1" s="1"/>
  <c r="M3548" i="1"/>
  <c r="H3548" i="1"/>
  <c r="N3548" i="1" s="1"/>
  <c r="M3547" i="1"/>
  <c r="H3547" i="1"/>
  <c r="N3547" i="1" s="1"/>
  <c r="M3546" i="1"/>
  <c r="H3546" i="1"/>
  <c r="N3546" i="1" s="1"/>
  <c r="M3545" i="1"/>
  <c r="H3545" i="1"/>
  <c r="N3545" i="1" s="1"/>
  <c r="H3544" i="1"/>
  <c r="N3544" i="1" s="1"/>
  <c r="M3544" i="1"/>
  <c r="M3543" i="1"/>
  <c r="H3543" i="1"/>
  <c r="N3543" i="1" s="1"/>
  <c r="M3542" i="1"/>
  <c r="H3542" i="1"/>
  <c r="N3542" i="1" s="1"/>
  <c r="M3541" i="1"/>
  <c r="H3541" i="1"/>
  <c r="N3541" i="1" s="1"/>
  <c r="M3540" i="1"/>
  <c r="H3540" i="1"/>
  <c r="N3540" i="1" s="1"/>
  <c r="M3539" i="1"/>
  <c r="H3539" i="1"/>
  <c r="N3539" i="1" s="1"/>
  <c r="M3538" i="1"/>
  <c r="H3538" i="1"/>
  <c r="N3538" i="1" s="1"/>
  <c r="M3537" i="1"/>
  <c r="H3537" i="1"/>
  <c r="N3537" i="1" s="1"/>
  <c r="H3536" i="1"/>
  <c r="N3536" i="1" s="1"/>
  <c r="M3536" i="1"/>
  <c r="H3535" i="1"/>
  <c r="N3535" i="1" s="1"/>
  <c r="M3535" i="1"/>
  <c r="M3534" i="1"/>
  <c r="H3534" i="1"/>
  <c r="N3534" i="1" s="1"/>
  <c r="M3533" i="1"/>
  <c r="H3533" i="1"/>
  <c r="N3533" i="1" s="1"/>
  <c r="M3532" i="1"/>
  <c r="H3532" i="1"/>
  <c r="N3532" i="1" s="1"/>
  <c r="M3531" i="1"/>
  <c r="H3531" i="1"/>
  <c r="N3531" i="1" s="1"/>
  <c r="M3530" i="1"/>
  <c r="H3530" i="1"/>
  <c r="N3530" i="1" s="1"/>
  <c r="M3529" i="1"/>
  <c r="H3529" i="1"/>
  <c r="N3529" i="1" s="1"/>
  <c r="M3528" i="1"/>
  <c r="H3528" i="1"/>
  <c r="N3528" i="1" s="1"/>
  <c r="M3527" i="1"/>
  <c r="H3527" i="1"/>
  <c r="N3527" i="1" s="1"/>
  <c r="M3526" i="1"/>
  <c r="H3526" i="1"/>
  <c r="N3526" i="1" s="1"/>
  <c r="M3525" i="1"/>
  <c r="H3525" i="1"/>
  <c r="N3525" i="1" s="1"/>
  <c r="M3524" i="1"/>
  <c r="H3524" i="1"/>
  <c r="N3524" i="1" s="1"/>
  <c r="M3523" i="1"/>
  <c r="H3523" i="1"/>
  <c r="N3523" i="1" s="1"/>
  <c r="M3522" i="1"/>
  <c r="H3522" i="1"/>
  <c r="N3522" i="1" s="1"/>
  <c r="M3521" i="1"/>
  <c r="H3521" i="1"/>
  <c r="N3521" i="1" s="1"/>
  <c r="M3520" i="1"/>
  <c r="H3520" i="1"/>
  <c r="N3520" i="1" s="1"/>
  <c r="M3519" i="1"/>
  <c r="H3519" i="1"/>
  <c r="N3519" i="1" s="1"/>
  <c r="H3518" i="1"/>
  <c r="N3518" i="1" s="1"/>
  <c r="M3518" i="1"/>
  <c r="M3517" i="1"/>
  <c r="H3517" i="1"/>
  <c r="N3517" i="1" s="1"/>
  <c r="M3516" i="1"/>
  <c r="H3516" i="1"/>
  <c r="N3516" i="1" s="1"/>
  <c r="M3515" i="1"/>
  <c r="H3515" i="1"/>
  <c r="M3498" i="1"/>
  <c r="H3498" i="1"/>
  <c r="N3498" i="1" s="1"/>
  <c r="M3497" i="1"/>
  <c r="H3497" i="1"/>
  <c r="N3497" i="1" s="1"/>
  <c r="M3496" i="1"/>
  <c r="H3496" i="1"/>
  <c r="N3496" i="1" s="1"/>
  <c r="M3495" i="1"/>
  <c r="H3495" i="1"/>
  <c r="N3495" i="1" s="1"/>
  <c r="M3494" i="1"/>
  <c r="H3494" i="1"/>
  <c r="N3494" i="1" s="1"/>
  <c r="M3493" i="1"/>
  <c r="H3493" i="1"/>
  <c r="N3493" i="1" s="1"/>
  <c r="M3492" i="1"/>
  <c r="H3492" i="1"/>
  <c r="N3492" i="1" s="1"/>
  <c r="M3491" i="1"/>
  <c r="H3491" i="1"/>
  <c r="N3491" i="1" s="1"/>
  <c r="M3490" i="1"/>
  <c r="H3490" i="1"/>
  <c r="N3490" i="1" s="1"/>
  <c r="M3489" i="1"/>
  <c r="H3489" i="1"/>
  <c r="M3464" i="1"/>
  <c r="H3464" i="1"/>
  <c r="N3464" i="1" s="1"/>
  <c r="M3463" i="1"/>
  <c r="H3463" i="1"/>
  <c r="M3458" i="1"/>
  <c r="J3458" i="1"/>
  <c r="N3458" i="1" s="1"/>
  <c r="M3457" i="1"/>
  <c r="J3457" i="1"/>
  <c r="N3457" i="1" s="1"/>
  <c r="M3456" i="1"/>
  <c r="J3456" i="1"/>
  <c r="M3455" i="1"/>
  <c r="H3455" i="1"/>
  <c r="N3455" i="1" s="1"/>
  <c r="M3454" i="1"/>
  <c r="H3454" i="1"/>
  <c r="N3454" i="1" s="1"/>
  <c r="H3453" i="1"/>
  <c r="N3453" i="1" s="1"/>
  <c r="M3453" i="1"/>
  <c r="M3452" i="1"/>
  <c r="H3452" i="1"/>
  <c r="N3452" i="1" s="1"/>
  <c r="M3451" i="1"/>
  <c r="H3451" i="1"/>
  <c r="N3451" i="1" s="1"/>
  <c r="M3450" i="1"/>
  <c r="H3450" i="1"/>
  <c r="N3450" i="1" s="1"/>
  <c r="M3449" i="1"/>
  <c r="H3449" i="1"/>
  <c r="N3449" i="1" s="1"/>
  <c r="M3448" i="1"/>
  <c r="H3448" i="1"/>
  <c r="N3448" i="1" s="1"/>
  <c r="M3447" i="1"/>
  <c r="H3447" i="1"/>
  <c r="N3447" i="1" s="1"/>
  <c r="M3446" i="1"/>
  <c r="H3446" i="1"/>
  <c r="N3446" i="1" s="1"/>
  <c r="M3445" i="1"/>
  <c r="H3445" i="1"/>
  <c r="N3445" i="1" s="1"/>
  <c r="H3444" i="1"/>
  <c r="N3444" i="1" s="1"/>
  <c r="M3444" i="1"/>
  <c r="M3443" i="1"/>
  <c r="H3443" i="1"/>
  <c r="N3443" i="1" s="1"/>
  <c r="M3442" i="1"/>
  <c r="H3442" i="1"/>
  <c r="N3442" i="1" s="1"/>
  <c r="M3441" i="1"/>
  <c r="H3441" i="1"/>
  <c r="N3441" i="1" s="1"/>
  <c r="M3440" i="1"/>
  <c r="H3440" i="1"/>
  <c r="N3440" i="1" s="1"/>
  <c r="M3439" i="1"/>
  <c r="H3439" i="1"/>
  <c r="N3439" i="1" s="1"/>
  <c r="M3438" i="1"/>
  <c r="H3438" i="1"/>
  <c r="N3438" i="1" s="1"/>
  <c r="M3437" i="1"/>
  <c r="H3437" i="1"/>
  <c r="N3437" i="1" s="1"/>
  <c r="M3436" i="1"/>
  <c r="H3436" i="1"/>
  <c r="N3436" i="1" s="1"/>
  <c r="M3435" i="1"/>
  <c r="H3435" i="1"/>
  <c r="N3435" i="1" s="1"/>
  <c r="M3434" i="1"/>
  <c r="H3434" i="1"/>
  <c r="N3434" i="1" s="1"/>
  <c r="M3433" i="1"/>
  <c r="H3433" i="1"/>
  <c r="N3433" i="1" s="1"/>
  <c r="M3432" i="1"/>
  <c r="H3432" i="1"/>
  <c r="N3432" i="1" s="1"/>
  <c r="M3431" i="1"/>
  <c r="H3431" i="1"/>
  <c r="N3431" i="1" s="1"/>
  <c r="M3430" i="1"/>
  <c r="H3430" i="1"/>
  <c r="N3430" i="1" s="1"/>
  <c r="H3429" i="1"/>
  <c r="N3429" i="1" s="1"/>
  <c r="M3429" i="1"/>
  <c r="M3428" i="1"/>
  <c r="H3428" i="1"/>
  <c r="N3428" i="1" s="1"/>
  <c r="H3427" i="1"/>
  <c r="N3427" i="1" s="1"/>
  <c r="M3427" i="1"/>
  <c r="H3426" i="1"/>
  <c r="N3426" i="1" s="1"/>
  <c r="M3426" i="1"/>
  <c r="M3425" i="1"/>
  <c r="H3425" i="1"/>
  <c r="N3425" i="1" s="1"/>
  <c r="H3424" i="1"/>
  <c r="N3424" i="1" s="1"/>
  <c r="M3424" i="1"/>
  <c r="M3423" i="1"/>
  <c r="H3423" i="1"/>
  <c r="N3423" i="1" s="1"/>
  <c r="M3422" i="1"/>
  <c r="H3422" i="1"/>
  <c r="N3422" i="1" s="1"/>
  <c r="M3421" i="1"/>
  <c r="H3421" i="1"/>
  <c r="N3421" i="1" s="1"/>
  <c r="M3420" i="1"/>
  <c r="H3420" i="1"/>
  <c r="N3420" i="1" s="1"/>
  <c r="H3419" i="1"/>
  <c r="N3419" i="1" s="1"/>
  <c r="M3419" i="1"/>
  <c r="H3418" i="1"/>
  <c r="N3418" i="1" s="1"/>
  <c r="M3418" i="1"/>
  <c r="M3417" i="1"/>
  <c r="H3417" i="1"/>
  <c r="N3417" i="1" s="1"/>
  <c r="H3416" i="1"/>
  <c r="N3416" i="1" s="1"/>
  <c r="M3416" i="1"/>
  <c r="M3415" i="1"/>
  <c r="H3415" i="1"/>
  <c r="N3415" i="1" s="1"/>
  <c r="M3414" i="1"/>
  <c r="H3414" i="1"/>
  <c r="N3414" i="1" s="1"/>
  <c r="H3413" i="1"/>
  <c r="N3413" i="1" s="1"/>
  <c r="M3413" i="1"/>
  <c r="H3412" i="1"/>
  <c r="N3412" i="1" s="1"/>
  <c r="M3412" i="1"/>
  <c r="H3411" i="1"/>
  <c r="N3411" i="1" s="1"/>
  <c r="M3411" i="1"/>
  <c r="H3410" i="1"/>
  <c r="N3410" i="1" s="1"/>
  <c r="M3410" i="1"/>
  <c r="M3409" i="1"/>
  <c r="H3409" i="1"/>
  <c r="N3409" i="1" s="1"/>
  <c r="M3408" i="1"/>
  <c r="H3408" i="1"/>
  <c r="N3408" i="1" s="1"/>
  <c r="M3407" i="1"/>
  <c r="H3407" i="1"/>
  <c r="N3407" i="1" s="1"/>
  <c r="M3406" i="1"/>
  <c r="H3406" i="1"/>
  <c r="N3406" i="1" s="1"/>
  <c r="M3405" i="1"/>
  <c r="H3405" i="1"/>
  <c r="N3405" i="1" s="1"/>
  <c r="H3404" i="1"/>
  <c r="N3404" i="1" s="1"/>
  <c r="M3404" i="1"/>
  <c r="H3403" i="1"/>
  <c r="N3403" i="1" s="1"/>
  <c r="M3403" i="1"/>
  <c r="M3402" i="1"/>
  <c r="H3402" i="1"/>
  <c r="N3402" i="1" s="1"/>
  <c r="H3401" i="1"/>
  <c r="N3401" i="1" s="1"/>
  <c r="M3401" i="1"/>
  <c r="M3400" i="1"/>
  <c r="H3400" i="1"/>
  <c r="N3400" i="1" s="1"/>
  <c r="H3399" i="1"/>
  <c r="N3399" i="1" s="1"/>
  <c r="M3399" i="1"/>
  <c r="H3398" i="1"/>
  <c r="N3398" i="1" s="1"/>
  <c r="M3398" i="1"/>
  <c r="M3397" i="1"/>
  <c r="H3397" i="1"/>
  <c r="N3397" i="1" s="1"/>
  <c r="H3396" i="1"/>
  <c r="N3396" i="1" s="1"/>
  <c r="M3396" i="1"/>
  <c r="M3395" i="1"/>
  <c r="H3395" i="1"/>
  <c r="N3395" i="1" s="1"/>
  <c r="M3394" i="1"/>
  <c r="H3394" i="1"/>
  <c r="N3394" i="1" s="1"/>
  <c r="M3393" i="1"/>
  <c r="H3393" i="1"/>
  <c r="N3393" i="1" s="1"/>
  <c r="M3392" i="1"/>
  <c r="H3392" i="1"/>
  <c r="N3392" i="1" s="1"/>
  <c r="M3391" i="1"/>
  <c r="H3391" i="1"/>
  <c r="N3391" i="1" s="1"/>
  <c r="H3390" i="1"/>
  <c r="N3390" i="1" s="1"/>
  <c r="M3390" i="1"/>
  <c r="M3389" i="1"/>
  <c r="H3389" i="1"/>
  <c r="N3389" i="1" s="1"/>
  <c r="M3388" i="1"/>
  <c r="H3388" i="1"/>
  <c r="N3388" i="1" s="1"/>
  <c r="M3387" i="1"/>
  <c r="H3387" i="1"/>
  <c r="N3387" i="1" s="1"/>
  <c r="H3386" i="1"/>
  <c r="N3386" i="1" s="1"/>
  <c r="M3386" i="1"/>
  <c r="M3385" i="1"/>
  <c r="H3385" i="1"/>
  <c r="M3361" i="1"/>
  <c r="H3361" i="1"/>
  <c r="N3361" i="1" s="1"/>
  <c r="H3360" i="1"/>
  <c r="N3360" i="1" s="1"/>
  <c r="M3360" i="1"/>
  <c r="H3359" i="1"/>
  <c r="M3359" i="1"/>
  <c r="M3333" i="1"/>
  <c r="H3333" i="1"/>
  <c r="N3333" i="1" s="1"/>
  <c r="M3332" i="1"/>
  <c r="H3332" i="1"/>
  <c r="N3332" i="1" s="1"/>
  <c r="M3331" i="1"/>
  <c r="L3331" i="1"/>
  <c r="N3331" i="1" s="1"/>
  <c r="M3330" i="1"/>
  <c r="L3330" i="1"/>
  <c r="N3330" i="1" s="1"/>
  <c r="M3329" i="1"/>
  <c r="L3329" i="1"/>
  <c r="N3329" i="1" s="1"/>
  <c r="M3328" i="1"/>
  <c r="L3328" i="1"/>
  <c r="N3328" i="1" s="1"/>
  <c r="M3327" i="1"/>
  <c r="L3327" i="1"/>
  <c r="N3327" i="1" s="1"/>
  <c r="M3326" i="1"/>
  <c r="L3326" i="1"/>
  <c r="M3325" i="1"/>
  <c r="J3325" i="1"/>
  <c r="N3325" i="1" s="1"/>
  <c r="J3324" i="1"/>
  <c r="N3324" i="1" s="1"/>
  <c r="M3324" i="1"/>
  <c r="J3323" i="1"/>
  <c r="N3323" i="1" s="1"/>
  <c r="M3323" i="1"/>
  <c r="J3322" i="1"/>
  <c r="N3322" i="1" s="1"/>
  <c r="M3322" i="1"/>
  <c r="M3321" i="1"/>
  <c r="J3321" i="1"/>
  <c r="N3321" i="1" s="1"/>
  <c r="M3320" i="1"/>
  <c r="H3320" i="1"/>
  <c r="N3320" i="1" s="1"/>
  <c r="H3319" i="1"/>
  <c r="N3319" i="1" s="1"/>
  <c r="M3319" i="1"/>
  <c r="M3318" i="1"/>
  <c r="H3318" i="1"/>
  <c r="N3318" i="1" s="1"/>
  <c r="M3317" i="1"/>
  <c r="H3317" i="1"/>
  <c r="N3317" i="1" s="1"/>
  <c r="M3316" i="1"/>
  <c r="H3316" i="1"/>
  <c r="N3316" i="1" s="1"/>
  <c r="M3315" i="1"/>
  <c r="H3315" i="1"/>
  <c r="N3315" i="1" s="1"/>
  <c r="H3314" i="1"/>
  <c r="N3314" i="1" s="1"/>
  <c r="M3314" i="1"/>
  <c r="M3313" i="1"/>
  <c r="H3313" i="1"/>
  <c r="N3313" i="1" s="1"/>
  <c r="M3312" i="1"/>
  <c r="H3312" i="1"/>
  <c r="N3312" i="1" s="1"/>
  <c r="M3311" i="1"/>
  <c r="H3311" i="1"/>
  <c r="N3311" i="1" s="1"/>
  <c r="M3310" i="1"/>
  <c r="H3310" i="1"/>
  <c r="N3310" i="1" s="1"/>
  <c r="H3309" i="1"/>
  <c r="N3309" i="1" s="1"/>
  <c r="M3309" i="1"/>
  <c r="M3308" i="1"/>
  <c r="H3308" i="1"/>
  <c r="N3308" i="1" s="1"/>
  <c r="M3307" i="1"/>
  <c r="H3307" i="1"/>
  <c r="N3307" i="1" s="1"/>
  <c r="M3306" i="1"/>
  <c r="H3306" i="1"/>
  <c r="N3306" i="1" s="1"/>
  <c r="M3305" i="1"/>
  <c r="H3305" i="1"/>
  <c r="N3305" i="1" s="1"/>
  <c r="M3304" i="1"/>
  <c r="H3304" i="1"/>
  <c r="N3304" i="1" s="1"/>
  <c r="M3303" i="1"/>
  <c r="H3303" i="1"/>
  <c r="N3303" i="1" s="1"/>
  <c r="H3302" i="1"/>
  <c r="N3302" i="1" s="1"/>
  <c r="M3302" i="1"/>
  <c r="M3301" i="1"/>
  <c r="H3301" i="1"/>
  <c r="N3301" i="1" s="1"/>
  <c r="M3300" i="1"/>
  <c r="H3300" i="1"/>
  <c r="N3300" i="1" s="1"/>
  <c r="M3299" i="1"/>
  <c r="H3299" i="1"/>
  <c r="N3299" i="1" s="1"/>
  <c r="M3298" i="1"/>
  <c r="H3298" i="1"/>
  <c r="N3298" i="1" s="1"/>
  <c r="M3297" i="1"/>
  <c r="H3297" i="1"/>
  <c r="N3297" i="1" s="1"/>
  <c r="M3296" i="1"/>
  <c r="H3296" i="1"/>
  <c r="N3296" i="1" s="1"/>
  <c r="M3295" i="1"/>
  <c r="H3295" i="1"/>
  <c r="N3295" i="1" s="1"/>
  <c r="M3294" i="1"/>
  <c r="H3294" i="1"/>
  <c r="N3294" i="1" s="1"/>
  <c r="M3293" i="1"/>
  <c r="H3293" i="1"/>
  <c r="N3293" i="1" s="1"/>
  <c r="M3292" i="1"/>
  <c r="H3292" i="1"/>
  <c r="N3292" i="1" s="1"/>
  <c r="M3291" i="1"/>
  <c r="H3291" i="1"/>
  <c r="N3291" i="1" s="1"/>
  <c r="M3290" i="1"/>
  <c r="H3290" i="1"/>
  <c r="N3290" i="1" s="1"/>
  <c r="H3289" i="1"/>
  <c r="N3289" i="1" s="1"/>
  <c r="M3289" i="1"/>
  <c r="M3288" i="1"/>
  <c r="H3288" i="1"/>
  <c r="N3288" i="1" s="1"/>
  <c r="M3287" i="1"/>
  <c r="H3287" i="1"/>
  <c r="N3287" i="1" s="1"/>
  <c r="M3286" i="1"/>
  <c r="H3286" i="1"/>
  <c r="N3286" i="1" s="1"/>
  <c r="H3285" i="1"/>
  <c r="N3285" i="1" s="1"/>
  <c r="M3285" i="1"/>
  <c r="M3284" i="1"/>
  <c r="H3284" i="1"/>
  <c r="N3284" i="1" s="1"/>
  <c r="H3283" i="1"/>
  <c r="N3283" i="1" s="1"/>
  <c r="M3283" i="1"/>
  <c r="M3282" i="1"/>
  <c r="H3282" i="1"/>
  <c r="N3282" i="1" s="1"/>
  <c r="M3281" i="1"/>
  <c r="H3281" i="1"/>
  <c r="N3281" i="1" s="1"/>
  <c r="M3280" i="1"/>
  <c r="H3280" i="1"/>
  <c r="N3280" i="1" s="1"/>
  <c r="M3279" i="1"/>
  <c r="H3279" i="1"/>
  <c r="N3279" i="1" s="1"/>
  <c r="M3278" i="1"/>
  <c r="H3278" i="1"/>
  <c r="N3278" i="1" s="1"/>
  <c r="M3277" i="1"/>
  <c r="H3277" i="1"/>
  <c r="N3277" i="1" s="1"/>
  <c r="M3276" i="1"/>
  <c r="H3276" i="1"/>
  <c r="N3276" i="1" s="1"/>
  <c r="M3275" i="1"/>
  <c r="H3275" i="1"/>
  <c r="N3275" i="1" s="1"/>
  <c r="M3274" i="1"/>
  <c r="H3274" i="1"/>
  <c r="N3274" i="1" s="1"/>
  <c r="M3273" i="1"/>
  <c r="H3273" i="1"/>
  <c r="N3273" i="1" s="1"/>
  <c r="M3272" i="1"/>
  <c r="H3272" i="1"/>
  <c r="N3272" i="1" s="1"/>
  <c r="H3271" i="1"/>
  <c r="N3271" i="1" s="1"/>
  <c r="M3271" i="1"/>
  <c r="M3270" i="1"/>
  <c r="H3270" i="1"/>
  <c r="N3270" i="1" s="1"/>
  <c r="H3269" i="1"/>
  <c r="N3269" i="1" s="1"/>
  <c r="M3269" i="1"/>
  <c r="H3268" i="1"/>
  <c r="N3268" i="1" s="1"/>
  <c r="M3268" i="1"/>
  <c r="M3267" i="1"/>
  <c r="H3267" i="1"/>
  <c r="N3267" i="1" s="1"/>
  <c r="H3266" i="1"/>
  <c r="N3266" i="1" s="1"/>
  <c r="M3266" i="1"/>
  <c r="H3265" i="1"/>
  <c r="N3265" i="1" s="1"/>
  <c r="M3265" i="1"/>
  <c r="M3264" i="1"/>
  <c r="H3264" i="1"/>
  <c r="N3264" i="1" s="1"/>
  <c r="M3263" i="1"/>
  <c r="H3263" i="1"/>
  <c r="N3263" i="1" s="1"/>
  <c r="M3262" i="1"/>
  <c r="H3262" i="1"/>
  <c r="N3262" i="1" s="1"/>
  <c r="M3261" i="1"/>
  <c r="H3261" i="1"/>
  <c r="N3261" i="1" s="1"/>
  <c r="M3260" i="1"/>
  <c r="H3260" i="1"/>
  <c r="N3260" i="1" s="1"/>
  <c r="H3259" i="1"/>
  <c r="N3259" i="1" s="1"/>
  <c r="M3259" i="1"/>
  <c r="H3258" i="1"/>
  <c r="N3258" i="1" s="1"/>
  <c r="M3258" i="1"/>
  <c r="H3257" i="1"/>
  <c r="N3257" i="1" s="1"/>
  <c r="M3257" i="1"/>
  <c r="H3256" i="1"/>
  <c r="N3256" i="1" s="1"/>
  <c r="M3256" i="1"/>
  <c r="H3255" i="1"/>
  <c r="N3255" i="1" s="1"/>
  <c r="M3255" i="1"/>
  <c r="H3254" i="1"/>
  <c r="N3254" i="1" s="1"/>
  <c r="M3254" i="1"/>
  <c r="H3253" i="1"/>
  <c r="N3253" i="1" s="1"/>
  <c r="M3253" i="1"/>
  <c r="M3252" i="1"/>
  <c r="H3252" i="1"/>
  <c r="N3252" i="1" s="1"/>
  <c r="M3251" i="1"/>
  <c r="H3251" i="1"/>
  <c r="N3251" i="1" s="1"/>
  <c r="M3250" i="1"/>
  <c r="H3250" i="1"/>
  <c r="N3250" i="1" s="1"/>
  <c r="M3249" i="1"/>
  <c r="H3249" i="1"/>
  <c r="N3249" i="1" s="1"/>
  <c r="H3248" i="1"/>
  <c r="N3248" i="1" s="1"/>
  <c r="M3248" i="1"/>
  <c r="M3247" i="1"/>
  <c r="J3247" i="1"/>
  <c r="N3247" i="1" s="1"/>
  <c r="M3246" i="1"/>
  <c r="J3246" i="1"/>
  <c r="M3245" i="1"/>
  <c r="H3245" i="1"/>
  <c r="N3245" i="1" s="1"/>
  <c r="M3244" i="1"/>
  <c r="H3244" i="1"/>
  <c r="N3244" i="1" s="1"/>
  <c r="M3243" i="1"/>
  <c r="H3243" i="1"/>
  <c r="N3243" i="1" s="1"/>
  <c r="M3242" i="1"/>
  <c r="H3242" i="1"/>
  <c r="N3242" i="1" s="1"/>
  <c r="H3241" i="1"/>
  <c r="N3241" i="1" s="1"/>
  <c r="M3241" i="1"/>
  <c r="M3240" i="1"/>
  <c r="H3240" i="1"/>
  <c r="N3240" i="1" s="1"/>
  <c r="M3239" i="1"/>
  <c r="H3239" i="1"/>
  <c r="N3239" i="1" s="1"/>
  <c r="M3238" i="1"/>
  <c r="H3238" i="1"/>
  <c r="N3238" i="1" s="1"/>
  <c r="H3237" i="1"/>
  <c r="N3237" i="1" s="1"/>
  <c r="M3237" i="1"/>
  <c r="H3236" i="1"/>
  <c r="N3236" i="1" s="1"/>
  <c r="M3236" i="1"/>
  <c r="M3235" i="1"/>
  <c r="H3235" i="1"/>
  <c r="N3235" i="1" s="1"/>
  <c r="H3234" i="1"/>
  <c r="N3234" i="1" s="1"/>
  <c r="M3234" i="1"/>
  <c r="H3233" i="1"/>
  <c r="N3233" i="1" s="1"/>
  <c r="M3233" i="1"/>
  <c r="M3232" i="1"/>
  <c r="H3232" i="1"/>
  <c r="N3232" i="1" s="1"/>
  <c r="M3231" i="1"/>
  <c r="H3231" i="1"/>
  <c r="N3231" i="1" s="1"/>
  <c r="M3230" i="1"/>
  <c r="H3230" i="1"/>
  <c r="N3230" i="1" s="1"/>
  <c r="M3229" i="1"/>
  <c r="H3229" i="1"/>
  <c r="H3207" i="1"/>
  <c r="N3207" i="1" s="1"/>
  <c r="M3207" i="1"/>
  <c r="M3206" i="1"/>
  <c r="H3206" i="1"/>
  <c r="N3206" i="1" s="1"/>
  <c r="M3205" i="1"/>
  <c r="H3205" i="1"/>
  <c r="N3205" i="1" s="1"/>
  <c r="M3204" i="1"/>
  <c r="H3204" i="1"/>
  <c r="N3204" i="1" s="1"/>
  <c r="M3203" i="1"/>
  <c r="H3203" i="1"/>
  <c r="H3195" i="1"/>
  <c r="N3195" i="1" s="1"/>
  <c r="M3195" i="1"/>
  <c r="M3194" i="1"/>
  <c r="H3194" i="1"/>
  <c r="N3194" i="1" s="1"/>
  <c r="M3193" i="1"/>
  <c r="H3193" i="1"/>
  <c r="N3193" i="1" s="1"/>
  <c r="H3192" i="1"/>
  <c r="N3192" i="1" s="1"/>
  <c r="M3192" i="1"/>
  <c r="H3191" i="1"/>
  <c r="N3191" i="1" s="1"/>
  <c r="M3191" i="1"/>
  <c r="H3190" i="1"/>
  <c r="N3190" i="1" s="1"/>
  <c r="M3190" i="1"/>
  <c r="H3189" i="1"/>
  <c r="N3189" i="1" s="1"/>
  <c r="M3189" i="1"/>
  <c r="M3188" i="1"/>
  <c r="H3188" i="1"/>
  <c r="N3188" i="1" s="1"/>
  <c r="H3187" i="1"/>
  <c r="N3187" i="1" s="1"/>
  <c r="M3187" i="1"/>
  <c r="H3186" i="1"/>
  <c r="N3186" i="1" s="1"/>
  <c r="M3186" i="1"/>
  <c r="H3185" i="1"/>
  <c r="N3185" i="1" s="1"/>
  <c r="M3185" i="1"/>
  <c r="H3184" i="1"/>
  <c r="N3184" i="1" s="1"/>
  <c r="M3184" i="1"/>
  <c r="H3183" i="1"/>
  <c r="N3183" i="1" s="1"/>
  <c r="M3183" i="1"/>
  <c r="H3182" i="1"/>
  <c r="N3182" i="1" s="1"/>
  <c r="M3182" i="1"/>
  <c r="H3181" i="1"/>
  <c r="N3181" i="1" s="1"/>
  <c r="M3181" i="1"/>
  <c r="H3180" i="1"/>
  <c r="N3180" i="1" s="1"/>
  <c r="M3180" i="1"/>
  <c r="H3179" i="1"/>
  <c r="N3179" i="1" s="1"/>
  <c r="M3179" i="1"/>
  <c r="H3178" i="1"/>
  <c r="N3178" i="1" s="1"/>
  <c r="M3178" i="1"/>
  <c r="M3177" i="1"/>
  <c r="H3177" i="1"/>
  <c r="M3155" i="1"/>
  <c r="H3155" i="1"/>
  <c r="N3155" i="1" s="1"/>
  <c r="M3154" i="1"/>
  <c r="H3154" i="1"/>
  <c r="N3154" i="1" s="1"/>
  <c r="M3153" i="1"/>
  <c r="H3153" i="1"/>
  <c r="N3153" i="1" s="1"/>
  <c r="M3152" i="1"/>
  <c r="H3152" i="1"/>
  <c r="N3152" i="1" s="1"/>
  <c r="M3151" i="1"/>
  <c r="H3151" i="1"/>
  <c r="N3151" i="1" s="1"/>
  <c r="M3150" i="1"/>
  <c r="H3150" i="1"/>
  <c r="N3150" i="1" s="1"/>
  <c r="M3149" i="1"/>
  <c r="H3149" i="1"/>
  <c r="N3149" i="1" s="1"/>
  <c r="M3148" i="1"/>
  <c r="H3148" i="1"/>
  <c r="N3148" i="1" s="1"/>
  <c r="H3147" i="1"/>
  <c r="N3147" i="1" s="1"/>
  <c r="M3147" i="1"/>
  <c r="H3146" i="1"/>
  <c r="N3146" i="1" s="1"/>
  <c r="M3146" i="1"/>
  <c r="M3145" i="1"/>
  <c r="H3145" i="1"/>
  <c r="N3145" i="1" s="1"/>
  <c r="M3144" i="1"/>
  <c r="H3144" i="1"/>
  <c r="N3144" i="1" s="1"/>
  <c r="M3143" i="1"/>
  <c r="H3143" i="1"/>
  <c r="N3143" i="1" s="1"/>
  <c r="H3142" i="1"/>
  <c r="N3142" i="1" s="1"/>
  <c r="M3142" i="1"/>
  <c r="H3141" i="1"/>
  <c r="N3141" i="1" s="1"/>
  <c r="M3141" i="1"/>
  <c r="H3140" i="1"/>
  <c r="N3140" i="1" s="1"/>
  <c r="M3140" i="1"/>
  <c r="M3139" i="1"/>
  <c r="H3139" i="1"/>
  <c r="N3139" i="1" s="1"/>
  <c r="H3138" i="1"/>
  <c r="N3138" i="1" s="1"/>
  <c r="M3138" i="1"/>
  <c r="H3137" i="1"/>
  <c r="N3137" i="1" s="1"/>
  <c r="M3137" i="1"/>
  <c r="H3136" i="1"/>
  <c r="N3136" i="1" s="1"/>
  <c r="M3136" i="1"/>
  <c r="M3135" i="1"/>
  <c r="H3135" i="1"/>
  <c r="N3135" i="1" s="1"/>
  <c r="H3134" i="1"/>
  <c r="N3134" i="1" s="1"/>
  <c r="M3134" i="1"/>
  <c r="H3133" i="1"/>
  <c r="N3133" i="1" s="1"/>
  <c r="M3133" i="1"/>
  <c r="H3132" i="1"/>
  <c r="N3132" i="1" s="1"/>
  <c r="M3132" i="1"/>
  <c r="H3131" i="1"/>
  <c r="N3131" i="1" s="1"/>
  <c r="M3131" i="1"/>
  <c r="M3130" i="1"/>
  <c r="H3130" i="1"/>
  <c r="N3130" i="1" s="1"/>
  <c r="M3129" i="1"/>
  <c r="H3129" i="1"/>
  <c r="N3129" i="1" s="1"/>
  <c r="M3128" i="1"/>
  <c r="H3128" i="1"/>
  <c r="N3128" i="1" s="1"/>
  <c r="H3127" i="1"/>
  <c r="N3127" i="1" s="1"/>
  <c r="M3127" i="1"/>
  <c r="H3126" i="1"/>
  <c r="N3126" i="1" s="1"/>
  <c r="M3126" i="1"/>
  <c r="H3125" i="1"/>
  <c r="M3125" i="1"/>
  <c r="M3111" i="1"/>
  <c r="H3111" i="1"/>
  <c r="N3111" i="1" s="1"/>
  <c r="H3110" i="1"/>
  <c r="N3110" i="1" s="1"/>
  <c r="M3110" i="1"/>
  <c r="M3109" i="1"/>
  <c r="H3109" i="1"/>
  <c r="N3109" i="1" s="1"/>
  <c r="H3108" i="1"/>
  <c r="N3108" i="1" s="1"/>
  <c r="M3108" i="1"/>
  <c r="H3107" i="1"/>
  <c r="N3107" i="1" s="1"/>
  <c r="M3107" i="1"/>
  <c r="M3106" i="1"/>
  <c r="H3106" i="1"/>
  <c r="N3106" i="1" s="1"/>
  <c r="H3105" i="1"/>
  <c r="N3105" i="1" s="1"/>
  <c r="M3105" i="1"/>
  <c r="M3104" i="1"/>
  <c r="H3104" i="1"/>
  <c r="N3104" i="1" s="1"/>
  <c r="M3103" i="1"/>
  <c r="H3103" i="1"/>
  <c r="N3103" i="1" s="1"/>
  <c r="M3102" i="1"/>
  <c r="H3102" i="1"/>
  <c r="N3102" i="1" s="1"/>
  <c r="M3101" i="1"/>
  <c r="H3101" i="1"/>
  <c r="N3101" i="1" s="1"/>
  <c r="H3100" i="1"/>
  <c r="N3100" i="1" s="1"/>
  <c r="M3100" i="1"/>
  <c r="H3099" i="1"/>
  <c r="M3099" i="1"/>
  <c r="H3079" i="1"/>
  <c r="N3079" i="1" s="1"/>
  <c r="M3079" i="1"/>
  <c r="M3078" i="1"/>
  <c r="H3078" i="1"/>
  <c r="N3078" i="1" s="1"/>
  <c r="H3077" i="1"/>
  <c r="N3077" i="1" s="1"/>
  <c r="M3077" i="1"/>
  <c r="H3076" i="1"/>
  <c r="N3076" i="1" s="1"/>
  <c r="M3076" i="1"/>
  <c r="H3075" i="1"/>
  <c r="N3075" i="1" s="1"/>
  <c r="M3075" i="1"/>
  <c r="M3074" i="1"/>
  <c r="H3074" i="1"/>
  <c r="N3074" i="1" s="1"/>
  <c r="H3073" i="1"/>
  <c r="M3073" i="1"/>
  <c r="H3064" i="1"/>
  <c r="N3064" i="1" s="1"/>
  <c r="M3064" i="1"/>
  <c r="M3063" i="1"/>
  <c r="H3063" i="1"/>
  <c r="N3063" i="1" s="1"/>
  <c r="M3062" i="1"/>
  <c r="H3062" i="1"/>
  <c r="N3062" i="1" s="1"/>
  <c r="H3061" i="1"/>
  <c r="N3061" i="1" s="1"/>
  <c r="M3061" i="1"/>
  <c r="M3060" i="1"/>
  <c r="H3060" i="1"/>
  <c r="N3060" i="1" s="1"/>
  <c r="M3059" i="1"/>
  <c r="H3059" i="1"/>
  <c r="N3059" i="1" s="1"/>
  <c r="H3058" i="1"/>
  <c r="N3058" i="1" s="1"/>
  <c r="M3058" i="1"/>
  <c r="M3057" i="1"/>
  <c r="H3057" i="1"/>
  <c r="N3057" i="1" s="1"/>
  <c r="H3056" i="1"/>
  <c r="N3056" i="1" s="1"/>
  <c r="M3056" i="1"/>
  <c r="H3055" i="1"/>
  <c r="N3055" i="1" s="1"/>
  <c r="M3055" i="1"/>
  <c r="H3054" i="1"/>
  <c r="N3054" i="1" s="1"/>
  <c r="M3054" i="1"/>
  <c r="M3053" i="1"/>
  <c r="H3053" i="1"/>
  <c r="N3053" i="1" s="1"/>
  <c r="H3052" i="1"/>
  <c r="N3052" i="1" s="1"/>
  <c r="M3052" i="1"/>
  <c r="H3051" i="1"/>
  <c r="N3051" i="1" s="1"/>
  <c r="M3051" i="1"/>
  <c r="M3050" i="1"/>
  <c r="H3050" i="1"/>
  <c r="N3050" i="1" s="1"/>
  <c r="M3049" i="1"/>
  <c r="H3049" i="1"/>
  <c r="N3049" i="1" s="1"/>
  <c r="M3048" i="1"/>
  <c r="H3048" i="1"/>
  <c r="N3048" i="1" s="1"/>
  <c r="M3047" i="1"/>
  <c r="H3047" i="1"/>
  <c r="M3032" i="1"/>
  <c r="L3032" i="1"/>
  <c r="N3032" i="1" s="1"/>
  <c r="M3031" i="1"/>
  <c r="L3031" i="1"/>
  <c r="N3031" i="1" s="1"/>
  <c r="M3030" i="1"/>
  <c r="L3030" i="1"/>
  <c r="N3030" i="1" s="1"/>
  <c r="M3029" i="1"/>
  <c r="L3029" i="1"/>
  <c r="N3029" i="1" s="1"/>
  <c r="M3028" i="1"/>
  <c r="L3028" i="1"/>
  <c r="N3028" i="1" s="1"/>
  <c r="M3027" i="1"/>
  <c r="L3027" i="1"/>
  <c r="N3027" i="1" s="1"/>
  <c r="M3026" i="1"/>
  <c r="L3026" i="1"/>
  <c r="N3026" i="1" s="1"/>
  <c r="L3025" i="1"/>
  <c r="N3025" i="1" s="1"/>
  <c r="M3025" i="1"/>
  <c r="L3024" i="1"/>
  <c r="N3024" i="1" s="1"/>
  <c r="M3024" i="1"/>
  <c r="H3023" i="1"/>
  <c r="N3023" i="1" s="1"/>
  <c r="M3023" i="1"/>
  <c r="M3022" i="1"/>
  <c r="L3022" i="1"/>
  <c r="M3021" i="1"/>
  <c r="H3021" i="1"/>
  <c r="M3003" i="1"/>
  <c r="L3003" i="1"/>
  <c r="N3003" i="1" s="1"/>
  <c r="M3002" i="1"/>
  <c r="L3002" i="1"/>
  <c r="N3002" i="1" s="1"/>
  <c r="L3001" i="1"/>
  <c r="N3001" i="1" s="1"/>
  <c r="M3001" i="1"/>
  <c r="L3000" i="1"/>
  <c r="N3000" i="1" s="1"/>
  <c r="M3000" i="1"/>
  <c r="L2999" i="1"/>
  <c r="N2999" i="1" s="1"/>
  <c r="M2999" i="1"/>
  <c r="M2998" i="1"/>
  <c r="L2998" i="1"/>
  <c r="N2998" i="1" s="1"/>
  <c r="M2997" i="1"/>
  <c r="H2997" i="1"/>
  <c r="N2997" i="1" s="1"/>
  <c r="L2996" i="1"/>
  <c r="M2996" i="1"/>
  <c r="H2995" i="1"/>
  <c r="M2995" i="1"/>
  <c r="M2979" i="1"/>
  <c r="L2979" i="1"/>
  <c r="N2979" i="1" s="1"/>
  <c r="M2978" i="1"/>
  <c r="L2978" i="1"/>
  <c r="N2978" i="1" s="1"/>
  <c r="M2977" i="1"/>
  <c r="L2977" i="1"/>
  <c r="N2977" i="1" s="1"/>
  <c r="L2976" i="1"/>
  <c r="N2976" i="1" s="1"/>
  <c r="M2976" i="1"/>
  <c r="M2975" i="1"/>
  <c r="L2975" i="1"/>
  <c r="N2975" i="1" s="1"/>
  <c r="M2974" i="1"/>
  <c r="L2974" i="1"/>
  <c r="N2974" i="1" s="1"/>
  <c r="M2973" i="1"/>
  <c r="L2973" i="1"/>
  <c r="N2973" i="1" s="1"/>
  <c r="M2972" i="1"/>
  <c r="L2972" i="1"/>
  <c r="N2972" i="1" s="1"/>
  <c r="H2971" i="1"/>
  <c r="N2971" i="1" s="1"/>
  <c r="M2971" i="1"/>
  <c r="L2970" i="1"/>
  <c r="M2970" i="1"/>
  <c r="H2969" i="1"/>
  <c r="M2969" i="1"/>
  <c r="M2953" i="1"/>
  <c r="L2953" i="1"/>
  <c r="N2953" i="1" s="1"/>
  <c r="M2952" i="1"/>
  <c r="L2952" i="1"/>
  <c r="N2952" i="1" s="1"/>
  <c r="L2951" i="1"/>
  <c r="N2951" i="1" s="1"/>
  <c r="M2951" i="1"/>
  <c r="L2950" i="1"/>
  <c r="N2950" i="1" s="1"/>
  <c r="M2950" i="1"/>
  <c r="M2949" i="1"/>
  <c r="L2949" i="1"/>
  <c r="N2949" i="1" s="1"/>
  <c r="L2948" i="1"/>
  <c r="N2948" i="1" s="1"/>
  <c r="M2948" i="1"/>
  <c r="L2947" i="1"/>
  <c r="N2947" i="1" s="1"/>
  <c r="M2947" i="1"/>
  <c r="M2946" i="1"/>
  <c r="L2946" i="1"/>
  <c r="N2946" i="1" s="1"/>
  <c r="M2945" i="1"/>
  <c r="H2945" i="1"/>
  <c r="N2945" i="1" s="1"/>
  <c r="M2944" i="1"/>
  <c r="L2944" i="1"/>
  <c r="M2943" i="1"/>
  <c r="H2943" i="1"/>
  <c r="M2916" i="1"/>
  <c r="L2916" i="1"/>
  <c r="N2916" i="1" s="1"/>
  <c r="M2915" i="1"/>
  <c r="L2915" i="1"/>
  <c r="N2915" i="1" s="1"/>
  <c r="M2914" i="1"/>
  <c r="L2914" i="1"/>
  <c r="N2914" i="1" s="1"/>
  <c r="L2913" i="1"/>
  <c r="N2913" i="1" s="1"/>
  <c r="M2913" i="1"/>
  <c r="L2912" i="1"/>
  <c r="N2912" i="1" s="1"/>
  <c r="M2912" i="1"/>
  <c r="L2911" i="1"/>
  <c r="N2911" i="1" s="1"/>
  <c r="M2911" i="1"/>
  <c r="M2910" i="1"/>
  <c r="L2910" i="1"/>
  <c r="N2910" i="1" s="1"/>
  <c r="L2909" i="1"/>
  <c r="N2909" i="1" s="1"/>
  <c r="M2909" i="1"/>
  <c r="M2908" i="1"/>
  <c r="L2908" i="1"/>
  <c r="N2908" i="1" s="1"/>
  <c r="L2907" i="1"/>
  <c r="N2907" i="1" s="1"/>
  <c r="M2907" i="1"/>
  <c r="H2906" i="1"/>
  <c r="N2906" i="1" s="1"/>
  <c r="M2906" i="1"/>
  <c r="L2905" i="1"/>
  <c r="N2905" i="1" s="1"/>
  <c r="M2905" i="1"/>
  <c r="L2904" i="1"/>
  <c r="N2904" i="1" s="1"/>
  <c r="M2904" i="1"/>
  <c r="M2903" i="1"/>
  <c r="L2903" i="1"/>
  <c r="N2903" i="1" s="1"/>
  <c r="L2902" i="1"/>
  <c r="N2902" i="1" s="1"/>
  <c r="M2902" i="1"/>
  <c r="M2901" i="1"/>
  <c r="L2901" i="1"/>
  <c r="N2901" i="1" s="1"/>
  <c r="M2900" i="1"/>
  <c r="L2900" i="1"/>
  <c r="N2900" i="1" s="1"/>
  <c r="M2899" i="1"/>
  <c r="L2899" i="1"/>
  <c r="N2899" i="1" s="1"/>
  <c r="M2898" i="1"/>
  <c r="L2898" i="1"/>
  <c r="N2898" i="1" s="1"/>
  <c r="L2897" i="1"/>
  <c r="N2897" i="1" s="1"/>
  <c r="M2897" i="1"/>
  <c r="M2896" i="1"/>
  <c r="L2896" i="1"/>
  <c r="N2896" i="1" s="1"/>
  <c r="M2895" i="1"/>
  <c r="L2895" i="1"/>
  <c r="N2895" i="1" s="1"/>
  <c r="M2894" i="1"/>
  <c r="L2894" i="1"/>
  <c r="N2894" i="1" s="1"/>
  <c r="H2893" i="1"/>
  <c r="N2893" i="1" s="1"/>
  <c r="M2893" i="1"/>
  <c r="M2892" i="1"/>
  <c r="L2892" i="1"/>
  <c r="H2891" i="1"/>
  <c r="M2891" i="1"/>
  <c r="M2885" i="1"/>
  <c r="J2885" i="1"/>
  <c r="H2884" i="1"/>
  <c r="N2884" i="1" s="1"/>
  <c r="M2884" i="1"/>
  <c r="M2883" i="1"/>
  <c r="H2883" i="1"/>
  <c r="N2883" i="1" s="1"/>
  <c r="H2882" i="1"/>
  <c r="N2882" i="1" s="1"/>
  <c r="M2882" i="1"/>
  <c r="H2881" i="1"/>
  <c r="N2881" i="1" s="1"/>
  <c r="M2881" i="1"/>
  <c r="H2880" i="1"/>
  <c r="N2880" i="1" s="1"/>
  <c r="M2880" i="1"/>
  <c r="H2879" i="1"/>
  <c r="N2879" i="1" s="1"/>
  <c r="M2879" i="1"/>
  <c r="M2878" i="1"/>
  <c r="H2878" i="1"/>
  <c r="N2878" i="1" s="1"/>
  <c r="M2877" i="1"/>
  <c r="H2877" i="1"/>
  <c r="N2877" i="1" s="1"/>
  <c r="M2876" i="1"/>
  <c r="H2876" i="1"/>
  <c r="N2876" i="1" s="1"/>
  <c r="M2875" i="1"/>
  <c r="H2875" i="1"/>
  <c r="N2875" i="1" s="1"/>
  <c r="M2874" i="1"/>
  <c r="H2874" i="1"/>
  <c r="N2874" i="1" s="1"/>
  <c r="M2873" i="1"/>
  <c r="H2873" i="1"/>
  <c r="N2873" i="1" s="1"/>
  <c r="M2872" i="1"/>
  <c r="H2872" i="1"/>
  <c r="N2872" i="1" s="1"/>
  <c r="M2871" i="1"/>
  <c r="H2871" i="1"/>
  <c r="N2871" i="1" s="1"/>
  <c r="M2870" i="1"/>
  <c r="H2870" i="1"/>
  <c r="N2870" i="1" s="1"/>
  <c r="M2869" i="1"/>
  <c r="H2869" i="1"/>
  <c r="N2869" i="1" s="1"/>
  <c r="M2868" i="1"/>
  <c r="H2868" i="1"/>
  <c r="N2868" i="1" s="1"/>
  <c r="M2866" i="1"/>
  <c r="H2866" i="1"/>
  <c r="N2866" i="1" s="1"/>
  <c r="M2865" i="1"/>
  <c r="H2865" i="1"/>
  <c r="J2838" i="1"/>
  <c r="N2838" i="1" s="1"/>
  <c r="M2838" i="1"/>
  <c r="M2837" i="1"/>
  <c r="J2837" i="1"/>
  <c r="M2836" i="1"/>
  <c r="H2836" i="1"/>
  <c r="N2836" i="1" s="1"/>
  <c r="M2835" i="1"/>
  <c r="H2835" i="1"/>
  <c r="N2835" i="1" s="1"/>
  <c r="H2834" i="1"/>
  <c r="N2834" i="1" s="1"/>
  <c r="M2834" i="1"/>
  <c r="H2833" i="1"/>
  <c r="N2833" i="1" s="1"/>
  <c r="M2833" i="1"/>
  <c r="M2832" i="1"/>
  <c r="H2832" i="1"/>
  <c r="N2832" i="1" s="1"/>
  <c r="H2831" i="1"/>
  <c r="N2831" i="1" s="1"/>
  <c r="M2831" i="1"/>
  <c r="H2830" i="1"/>
  <c r="N2830" i="1" s="1"/>
  <c r="M2830" i="1"/>
  <c r="H2829" i="1"/>
  <c r="N2829" i="1" s="1"/>
  <c r="M2829" i="1"/>
  <c r="H2828" i="1"/>
  <c r="N2828" i="1" s="1"/>
  <c r="M2828" i="1"/>
  <c r="M2827" i="1"/>
  <c r="H2827" i="1"/>
  <c r="N2827" i="1" s="1"/>
  <c r="M2826" i="1"/>
  <c r="H2826" i="1"/>
  <c r="N2826" i="1" s="1"/>
  <c r="M2825" i="1"/>
  <c r="H2825" i="1"/>
  <c r="N2825" i="1" s="1"/>
  <c r="H2824" i="1"/>
  <c r="N2824" i="1" s="1"/>
  <c r="M2824" i="1"/>
  <c r="M2823" i="1"/>
  <c r="H2823" i="1"/>
  <c r="N2823" i="1" s="1"/>
  <c r="M2822" i="1"/>
  <c r="H2822" i="1"/>
  <c r="N2822" i="1" s="1"/>
  <c r="H2821" i="1"/>
  <c r="N2821" i="1" s="1"/>
  <c r="M2821" i="1"/>
  <c r="H2820" i="1"/>
  <c r="N2820" i="1" s="1"/>
  <c r="M2820" i="1"/>
  <c r="H2819" i="1"/>
  <c r="N2819" i="1" s="1"/>
  <c r="M2819" i="1"/>
  <c r="H2818" i="1"/>
  <c r="N2818" i="1" s="1"/>
  <c r="M2818" i="1"/>
  <c r="H2817" i="1"/>
  <c r="N2817" i="1" s="1"/>
  <c r="M2817" i="1"/>
  <c r="M2816" i="1"/>
  <c r="H2816" i="1"/>
  <c r="N2816" i="1" s="1"/>
  <c r="M2814" i="1"/>
  <c r="H2814" i="1"/>
  <c r="N2814" i="1" s="1"/>
  <c r="H2813" i="1"/>
  <c r="M2813" i="1"/>
  <c r="J2802" i="1"/>
  <c r="N2802" i="1" s="1"/>
  <c r="M2802" i="1"/>
  <c r="J2801" i="1"/>
  <c r="M2801" i="1"/>
  <c r="M2800" i="1"/>
  <c r="H2800" i="1"/>
  <c r="N2800" i="1" s="1"/>
  <c r="H2799" i="1"/>
  <c r="N2799" i="1" s="1"/>
  <c r="M2799" i="1"/>
  <c r="M2798" i="1"/>
  <c r="H2798" i="1"/>
  <c r="N2798" i="1" s="1"/>
  <c r="H2797" i="1"/>
  <c r="N2797" i="1" s="1"/>
  <c r="M2797" i="1"/>
  <c r="M2796" i="1"/>
  <c r="H2796" i="1"/>
  <c r="N2796" i="1" s="1"/>
  <c r="H2795" i="1"/>
  <c r="N2795" i="1" s="1"/>
  <c r="M2795" i="1"/>
  <c r="H2794" i="1"/>
  <c r="N2794" i="1" s="1"/>
  <c r="M2794" i="1"/>
  <c r="H2793" i="1"/>
  <c r="N2793" i="1" s="1"/>
  <c r="M2793" i="1"/>
  <c r="H2792" i="1"/>
  <c r="N2792" i="1" s="1"/>
  <c r="M2792" i="1"/>
  <c r="H2791" i="1"/>
  <c r="N2791" i="1" s="1"/>
  <c r="M2791" i="1"/>
  <c r="H2790" i="1"/>
  <c r="N2790" i="1" s="1"/>
  <c r="M2790" i="1"/>
  <c r="M2789" i="1"/>
  <c r="H2789" i="1"/>
  <c r="N2789" i="1" s="1"/>
  <c r="M2788" i="1"/>
  <c r="H2788" i="1"/>
  <c r="N2788" i="1" s="1"/>
  <c r="H2787" i="1"/>
  <c r="N2787" i="1" s="1"/>
  <c r="M2787" i="1"/>
  <c r="H2786" i="1"/>
  <c r="N2786" i="1" s="1"/>
  <c r="M2786" i="1"/>
  <c r="M2785" i="1"/>
  <c r="H2785" i="1"/>
  <c r="N2785" i="1" s="1"/>
  <c r="M2784" i="1"/>
  <c r="H2784" i="1"/>
  <c r="N2784" i="1" s="1"/>
  <c r="M2783" i="1"/>
  <c r="H2783" i="1"/>
  <c r="N2783" i="1" s="1"/>
  <c r="M2782" i="1"/>
  <c r="H2782" i="1"/>
  <c r="N2782" i="1" s="1"/>
  <c r="H2781" i="1"/>
  <c r="N2781" i="1" s="1"/>
  <c r="M2781" i="1"/>
  <c r="M2780" i="1"/>
  <c r="H2780" i="1"/>
  <c r="N2780" i="1" s="1"/>
  <c r="H2779" i="1"/>
  <c r="N2779" i="1" s="1"/>
  <c r="M2779" i="1"/>
  <c r="M2778" i="1"/>
  <c r="H2778" i="1"/>
  <c r="N2778" i="1" s="1"/>
  <c r="M2777" i="1"/>
  <c r="H2777" i="1"/>
  <c r="N2777" i="1" s="1"/>
  <c r="H2776" i="1"/>
  <c r="N2776" i="1" s="1"/>
  <c r="M2776" i="1"/>
  <c r="M2775" i="1"/>
  <c r="H2775" i="1"/>
  <c r="N2775" i="1" s="1"/>
  <c r="M2774" i="1"/>
  <c r="H2774" i="1"/>
  <c r="N2774" i="1" s="1"/>
  <c r="M2773" i="1"/>
  <c r="H2773" i="1"/>
  <c r="N2773" i="1" s="1"/>
  <c r="H2772" i="1"/>
  <c r="N2772" i="1" s="1"/>
  <c r="M2772" i="1"/>
  <c r="M2771" i="1"/>
  <c r="H2771" i="1"/>
  <c r="N2771" i="1" s="1"/>
  <c r="M2770" i="1"/>
  <c r="H2770" i="1"/>
  <c r="N2770" i="1" s="1"/>
  <c r="M2769" i="1"/>
  <c r="H2769" i="1"/>
  <c r="N2769" i="1" s="1"/>
  <c r="M2768" i="1"/>
  <c r="H2768" i="1"/>
  <c r="N2768" i="1" s="1"/>
  <c r="M2767" i="1"/>
  <c r="H2767" i="1"/>
  <c r="N2767" i="1" s="1"/>
  <c r="M2766" i="1"/>
  <c r="H2766" i="1"/>
  <c r="N2766" i="1" s="1"/>
  <c r="M2765" i="1"/>
  <c r="H2765" i="1"/>
  <c r="N2765" i="1" s="1"/>
  <c r="M2764" i="1"/>
  <c r="H2764" i="1"/>
  <c r="N2764" i="1" s="1"/>
  <c r="H2763" i="1"/>
  <c r="N2763" i="1" s="1"/>
  <c r="M2763" i="1"/>
  <c r="H2762" i="1"/>
  <c r="N2762" i="1" s="1"/>
  <c r="M2762" i="1"/>
  <c r="H2761" i="1"/>
  <c r="N2761" i="1" s="1"/>
  <c r="M2761" i="1"/>
  <c r="M2760" i="1"/>
  <c r="H2760" i="1"/>
  <c r="N2760" i="1" s="1"/>
  <c r="H2759" i="1"/>
  <c r="N2759" i="1" s="1"/>
  <c r="M2759" i="1"/>
  <c r="H2758" i="1"/>
  <c r="N2758" i="1" s="1"/>
  <c r="M2758" i="1"/>
  <c r="M2757" i="1"/>
  <c r="H2757" i="1"/>
  <c r="N2757" i="1" s="1"/>
  <c r="H2756" i="1"/>
  <c r="N2756" i="1" s="1"/>
  <c r="M2756" i="1"/>
  <c r="H2755" i="1"/>
  <c r="N2755" i="1" s="1"/>
  <c r="M2755" i="1"/>
  <c r="M2754" i="1"/>
  <c r="H2754" i="1"/>
  <c r="N2754" i="1" s="1"/>
  <c r="M2753" i="1"/>
  <c r="H2753" i="1"/>
  <c r="N2753" i="1" s="1"/>
  <c r="H2752" i="1"/>
  <c r="N2752" i="1" s="1"/>
  <c r="M2752" i="1"/>
  <c r="M2751" i="1"/>
  <c r="H2751" i="1"/>
  <c r="N2751" i="1" s="1"/>
  <c r="M2750" i="1"/>
  <c r="H2750" i="1"/>
  <c r="N2750" i="1" s="1"/>
  <c r="H2749" i="1"/>
  <c r="N2749" i="1" s="1"/>
  <c r="M2749" i="1"/>
  <c r="H2748" i="1"/>
  <c r="N2748" i="1" s="1"/>
  <c r="M2748" i="1"/>
  <c r="H2747" i="1"/>
  <c r="N2747" i="1" s="1"/>
  <c r="M2747" i="1"/>
  <c r="H2746" i="1"/>
  <c r="N2746" i="1" s="1"/>
  <c r="M2746" i="1"/>
  <c r="H2745" i="1"/>
  <c r="N2745" i="1" s="1"/>
  <c r="M2745" i="1"/>
  <c r="H2744" i="1"/>
  <c r="N2744" i="1" s="1"/>
  <c r="M2744" i="1"/>
  <c r="H2743" i="1"/>
  <c r="N2743" i="1" s="1"/>
  <c r="M2743" i="1"/>
  <c r="M2741" i="1"/>
  <c r="H2741" i="1"/>
  <c r="N2741" i="1" s="1"/>
  <c r="H2740" i="1"/>
  <c r="N2740" i="1" s="1"/>
  <c r="M2740" i="1"/>
  <c r="M2739" i="1"/>
  <c r="H2739" i="1"/>
  <c r="N2739" i="1" s="1"/>
  <c r="H2738" i="1"/>
  <c r="N2738" i="1" s="1"/>
  <c r="M2738" i="1"/>
  <c r="M2737" i="1"/>
  <c r="H2737" i="1"/>
  <c r="N2737" i="1" s="1"/>
  <c r="M2736" i="1"/>
  <c r="H2736" i="1"/>
  <c r="N2736" i="1" s="1"/>
  <c r="M2735" i="1"/>
  <c r="H2735" i="1"/>
  <c r="M2725" i="1"/>
  <c r="J2725" i="1"/>
  <c r="N2725" i="1" s="1"/>
  <c r="M2724" i="1"/>
  <c r="J2724" i="1"/>
  <c r="M2723" i="1"/>
  <c r="H2723" i="1"/>
  <c r="N2723" i="1" s="1"/>
  <c r="M2722" i="1"/>
  <c r="H2722" i="1"/>
  <c r="N2722" i="1" s="1"/>
  <c r="H2721" i="1"/>
  <c r="N2721" i="1" s="1"/>
  <c r="M2721" i="1"/>
  <c r="H2720" i="1"/>
  <c r="N2720" i="1" s="1"/>
  <c r="M2720" i="1"/>
  <c r="M2719" i="1"/>
  <c r="H2719" i="1"/>
  <c r="N2719" i="1" s="1"/>
  <c r="M2718" i="1"/>
  <c r="H2718" i="1"/>
  <c r="N2718" i="1" s="1"/>
  <c r="M2717" i="1"/>
  <c r="H2717" i="1"/>
  <c r="N2717" i="1" s="1"/>
  <c r="M2716" i="1"/>
  <c r="H2716" i="1"/>
  <c r="N2716" i="1" s="1"/>
  <c r="H2715" i="1"/>
  <c r="N2715" i="1" s="1"/>
  <c r="M2715" i="1"/>
  <c r="H2714" i="1"/>
  <c r="N2714" i="1" s="1"/>
  <c r="M2714" i="1"/>
  <c r="M2713" i="1"/>
  <c r="H2713" i="1"/>
  <c r="N2713" i="1" s="1"/>
  <c r="M2712" i="1"/>
  <c r="H2712" i="1"/>
  <c r="N2712" i="1" s="1"/>
  <c r="M2711" i="1"/>
  <c r="H2711" i="1"/>
  <c r="N2711" i="1" s="1"/>
  <c r="M2710" i="1"/>
  <c r="H2710" i="1"/>
  <c r="N2710" i="1" s="1"/>
  <c r="H2709" i="1"/>
  <c r="N2709" i="1" s="1"/>
  <c r="M2709" i="1"/>
  <c r="M2708" i="1"/>
  <c r="H2708" i="1"/>
  <c r="N2708" i="1" s="1"/>
  <c r="M2707" i="1"/>
  <c r="H2707" i="1"/>
  <c r="N2707" i="1" s="1"/>
  <c r="H2706" i="1"/>
  <c r="N2706" i="1" s="1"/>
  <c r="M2706" i="1"/>
  <c r="M2705" i="1"/>
  <c r="H2705" i="1"/>
  <c r="N2705" i="1" s="1"/>
  <c r="M2704" i="1"/>
  <c r="H2704" i="1"/>
  <c r="N2704" i="1" s="1"/>
  <c r="M2703" i="1"/>
  <c r="H2703" i="1"/>
  <c r="N2703" i="1" s="1"/>
  <c r="M2702" i="1"/>
  <c r="H2702" i="1"/>
  <c r="N2702" i="1" s="1"/>
  <c r="M2701" i="1"/>
  <c r="H2701" i="1"/>
  <c r="N2701" i="1" s="1"/>
  <c r="M2700" i="1"/>
  <c r="H2700" i="1"/>
  <c r="N2700" i="1" s="1"/>
  <c r="M2699" i="1"/>
  <c r="H2699" i="1"/>
  <c r="N2699" i="1" s="1"/>
  <c r="M2698" i="1"/>
  <c r="H2698" i="1"/>
  <c r="N2698" i="1" s="1"/>
  <c r="M2697" i="1"/>
  <c r="H2697" i="1"/>
  <c r="N2697" i="1" s="1"/>
  <c r="M2696" i="1"/>
  <c r="H2696" i="1"/>
  <c r="N2696" i="1" s="1"/>
  <c r="M2695" i="1"/>
  <c r="H2695" i="1"/>
  <c r="N2695" i="1" s="1"/>
  <c r="M2694" i="1"/>
  <c r="H2694" i="1"/>
  <c r="N2694" i="1" s="1"/>
  <c r="M2693" i="1"/>
  <c r="H2693" i="1"/>
  <c r="N2693" i="1" s="1"/>
  <c r="M2692" i="1"/>
  <c r="H2692" i="1"/>
  <c r="N2692" i="1" s="1"/>
  <c r="M2691" i="1"/>
  <c r="H2691" i="1"/>
  <c r="N2691" i="1" s="1"/>
  <c r="M2690" i="1"/>
  <c r="H2690" i="1"/>
  <c r="N2690" i="1" s="1"/>
  <c r="M2689" i="1"/>
  <c r="H2689" i="1"/>
  <c r="N2689" i="1" s="1"/>
  <c r="M2688" i="1"/>
  <c r="H2688" i="1"/>
  <c r="N2688" i="1" s="1"/>
  <c r="M2687" i="1"/>
  <c r="H2687" i="1"/>
  <c r="N2687" i="1" s="1"/>
  <c r="M2686" i="1"/>
  <c r="H2686" i="1"/>
  <c r="N2686" i="1" s="1"/>
  <c r="M2685" i="1"/>
  <c r="H2685" i="1"/>
  <c r="N2685" i="1" s="1"/>
  <c r="M2684" i="1"/>
  <c r="H2684" i="1"/>
  <c r="N2684" i="1" s="1"/>
  <c r="M2683" i="1"/>
  <c r="H2683" i="1"/>
  <c r="N2683" i="1" s="1"/>
  <c r="M2682" i="1"/>
  <c r="H2682" i="1"/>
  <c r="N2682" i="1" s="1"/>
  <c r="M2681" i="1"/>
  <c r="H2681" i="1"/>
  <c r="N2681" i="1" s="1"/>
  <c r="M2680" i="1"/>
  <c r="H2680" i="1"/>
  <c r="N2680" i="1" s="1"/>
  <c r="M2679" i="1"/>
  <c r="H2679" i="1"/>
  <c r="N2679" i="1" s="1"/>
  <c r="M2678" i="1"/>
  <c r="H2678" i="1"/>
  <c r="N2678" i="1" s="1"/>
  <c r="M2677" i="1"/>
  <c r="H2677" i="1"/>
  <c r="N2677" i="1" s="1"/>
  <c r="M2676" i="1"/>
  <c r="H2676" i="1"/>
  <c r="N2676" i="1" s="1"/>
  <c r="M2675" i="1"/>
  <c r="H2675" i="1"/>
  <c r="N2675" i="1" s="1"/>
  <c r="M2674" i="1"/>
  <c r="H2674" i="1"/>
  <c r="N2674" i="1" s="1"/>
  <c r="M2673" i="1"/>
  <c r="H2673" i="1"/>
  <c r="N2673" i="1" s="1"/>
  <c r="M2672" i="1"/>
  <c r="H2672" i="1"/>
  <c r="N2672" i="1" s="1"/>
  <c r="M2671" i="1"/>
  <c r="H2671" i="1"/>
  <c r="N2671" i="1" s="1"/>
  <c r="H2670" i="1"/>
  <c r="N2670" i="1" s="1"/>
  <c r="M2670" i="1"/>
  <c r="M2669" i="1"/>
  <c r="H2669" i="1"/>
  <c r="N2669" i="1" s="1"/>
  <c r="M2668" i="1"/>
  <c r="H2668" i="1"/>
  <c r="N2668" i="1" s="1"/>
  <c r="M2667" i="1"/>
  <c r="H2667" i="1"/>
  <c r="N2667" i="1" s="1"/>
  <c r="M2666" i="1"/>
  <c r="H2666" i="1"/>
  <c r="N2666" i="1" s="1"/>
  <c r="H2665" i="1"/>
  <c r="N2665" i="1" s="1"/>
  <c r="M2665" i="1"/>
  <c r="M2664" i="1"/>
  <c r="H2664" i="1"/>
  <c r="N2664" i="1" s="1"/>
  <c r="M2663" i="1"/>
  <c r="H2663" i="1"/>
  <c r="N2663" i="1" s="1"/>
  <c r="M2662" i="1"/>
  <c r="H2662" i="1"/>
  <c r="N2662" i="1" s="1"/>
  <c r="M2661" i="1"/>
  <c r="H2661" i="1"/>
  <c r="N2661" i="1" s="1"/>
  <c r="M2660" i="1"/>
  <c r="H2660" i="1"/>
  <c r="N2660" i="1" s="1"/>
  <c r="M2659" i="1"/>
  <c r="H2659" i="1"/>
  <c r="N2659" i="1" s="1"/>
  <c r="H2658" i="1"/>
  <c r="N2658" i="1" s="1"/>
  <c r="M2658" i="1"/>
  <c r="H2657" i="1"/>
  <c r="N2657" i="1" s="1"/>
  <c r="M2657" i="1"/>
  <c r="H2656" i="1"/>
  <c r="N2656" i="1" s="1"/>
  <c r="M2656" i="1"/>
  <c r="H2655" i="1"/>
  <c r="N2655" i="1" s="1"/>
  <c r="M2655" i="1"/>
  <c r="H2654" i="1"/>
  <c r="N2654" i="1" s="1"/>
  <c r="M2654" i="1"/>
  <c r="M2653" i="1"/>
  <c r="H2653" i="1"/>
  <c r="N2653" i="1" s="1"/>
  <c r="M2652" i="1"/>
  <c r="H2652" i="1"/>
  <c r="N2652" i="1" s="1"/>
  <c r="M2651" i="1"/>
  <c r="H2651" i="1"/>
  <c r="N2651" i="1" s="1"/>
  <c r="M2650" i="1"/>
  <c r="H2650" i="1"/>
  <c r="N2650" i="1" s="1"/>
  <c r="M2649" i="1"/>
  <c r="H2649" i="1"/>
  <c r="N2649" i="1" s="1"/>
  <c r="M2648" i="1"/>
  <c r="H2648" i="1"/>
  <c r="N2648" i="1" s="1"/>
  <c r="H2647" i="1"/>
  <c r="N2647" i="1" s="1"/>
  <c r="M2647" i="1"/>
  <c r="H2646" i="1"/>
  <c r="N2646" i="1" s="1"/>
  <c r="M2646" i="1"/>
  <c r="M2645" i="1"/>
  <c r="H2645" i="1"/>
  <c r="N2645" i="1" s="1"/>
  <c r="M2644" i="1"/>
  <c r="H2644" i="1"/>
  <c r="N2644" i="1" s="1"/>
  <c r="M2643" i="1"/>
  <c r="H2643" i="1"/>
  <c r="N2643" i="1" s="1"/>
  <c r="H2642" i="1"/>
  <c r="N2642" i="1" s="1"/>
  <c r="M2642" i="1"/>
  <c r="M2641" i="1"/>
  <c r="H2641" i="1"/>
  <c r="N2641" i="1" s="1"/>
  <c r="M2640" i="1"/>
  <c r="H2640" i="1"/>
  <c r="N2640" i="1" s="1"/>
  <c r="M2639" i="1"/>
  <c r="H2639" i="1"/>
  <c r="N2639" i="1" s="1"/>
  <c r="H2638" i="1"/>
  <c r="N2638" i="1" s="1"/>
  <c r="M2638" i="1"/>
  <c r="M2637" i="1"/>
  <c r="H2637" i="1"/>
  <c r="N2637" i="1" s="1"/>
  <c r="H2636" i="1"/>
  <c r="N2636" i="1" s="1"/>
  <c r="M2636" i="1"/>
  <c r="M2635" i="1"/>
  <c r="H2635" i="1"/>
  <c r="N2635" i="1" s="1"/>
  <c r="H2634" i="1"/>
  <c r="N2634" i="1" s="1"/>
  <c r="M2634" i="1"/>
  <c r="H2633" i="1"/>
  <c r="N2633" i="1" s="1"/>
  <c r="M2633" i="1"/>
  <c r="M2632" i="1"/>
  <c r="H2632" i="1"/>
  <c r="N2632" i="1" s="1"/>
  <c r="H2631" i="1"/>
  <c r="N2631" i="1" s="1"/>
  <c r="M2631" i="1"/>
  <c r="H2630" i="1"/>
  <c r="N2630" i="1" s="1"/>
  <c r="M2630" i="1"/>
  <c r="H2629" i="1"/>
  <c r="N2629" i="1" s="1"/>
  <c r="M2629" i="1"/>
  <c r="H2628" i="1"/>
  <c r="N2628" i="1" s="1"/>
  <c r="M2628" i="1"/>
  <c r="H2627" i="1"/>
  <c r="N2627" i="1" s="1"/>
  <c r="M2627" i="1"/>
  <c r="M2626" i="1"/>
  <c r="H2626" i="1"/>
  <c r="N2626" i="1" s="1"/>
  <c r="H2625" i="1"/>
  <c r="N2625" i="1" s="1"/>
  <c r="M2625" i="1"/>
  <c r="M2624" i="1"/>
  <c r="H2624" i="1"/>
  <c r="N2624" i="1" s="1"/>
  <c r="H2623" i="1"/>
  <c r="N2623" i="1" s="1"/>
  <c r="M2623" i="1"/>
  <c r="H2622" i="1"/>
  <c r="N2622" i="1" s="1"/>
  <c r="M2622" i="1"/>
  <c r="H2621" i="1"/>
  <c r="N2621" i="1" s="1"/>
  <c r="M2621" i="1"/>
  <c r="M2620" i="1"/>
  <c r="H2620" i="1"/>
  <c r="N2620" i="1" s="1"/>
  <c r="M2619" i="1"/>
  <c r="H2619" i="1"/>
  <c r="N2619" i="1" s="1"/>
  <c r="H2618" i="1"/>
  <c r="N2618" i="1" s="1"/>
  <c r="M2618" i="1"/>
  <c r="M2617" i="1"/>
  <c r="H2617" i="1"/>
  <c r="N2617" i="1" s="1"/>
  <c r="M2616" i="1"/>
  <c r="H2616" i="1"/>
  <c r="N2616" i="1" s="1"/>
  <c r="M2615" i="1"/>
  <c r="H2615" i="1"/>
  <c r="N2615" i="1" s="1"/>
  <c r="M2614" i="1"/>
  <c r="H2614" i="1"/>
  <c r="N2614" i="1" s="1"/>
  <c r="M2613" i="1"/>
  <c r="H2613" i="1"/>
  <c r="N2613" i="1" s="1"/>
  <c r="M2611" i="1"/>
  <c r="H2611" i="1"/>
  <c r="N2611" i="1" s="1"/>
  <c r="H2610" i="1"/>
  <c r="N2610" i="1" s="1"/>
  <c r="M2610" i="1"/>
  <c r="H2609" i="1"/>
  <c r="N2609" i="1" s="1"/>
  <c r="M2609" i="1"/>
  <c r="H2608" i="1"/>
  <c r="N2608" i="1" s="1"/>
  <c r="M2608" i="1"/>
  <c r="M2607" i="1"/>
  <c r="H2607" i="1"/>
  <c r="N2607" i="1" s="1"/>
  <c r="M2606" i="1"/>
  <c r="H2606" i="1"/>
  <c r="N2606" i="1" s="1"/>
  <c r="M2605" i="1"/>
  <c r="H2605" i="1"/>
  <c r="J2592" i="1"/>
  <c r="N2592" i="1" s="1"/>
  <c r="M2592" i="1"/>
  <c r="M2591" i="1"/>
  <c r="J2591" i="1"/>
  <c r="H2590" i="1"/>
  <c r="N2590" i="1" s="1"/>
  <c r="M2590" i="1"/>
  <c r="M2589" i="1"/>
  <c r="H2589" i="1"/>
  <c r="N2589" i="1" s="1"/>
  <c r="M2588" i="1"/>
  <c r="H2588" i="1"/>
  <c r="N2588" i="1" s="1"/>
  <c r="M2587" i="1"/>
  <c r="H2587" i="1"/>
  <c r="N2587" i="1" s="1"/>
  <c r="M2586" i="1"/>
  <c r="H2586" i="1"/>
  <c r="N2586" i="1" s="1"/>
  <c r="M2585" i="1"/>
  <c r="H2585" i="1"/>
  <c r="N2585" i="1" s="1"/>
  <c r="M2584" i="1"/>
  <c r="H2584" i="1"/>
  <c r="N2584" i="1" s="1"/>
  <c r="H2583" i="1"/>
  <c r="N2583" i="1" s="1"/>
  <c r="M2583" i="1"/>
  <c r="M2582" i="1"/>
  <c r="H2582" i="1"/>
  <c r="N2582" i="1" s="1"/>
  <c r="H2581" i="1"/>
  <c r="N2581" i="1" s="1"/>
  <c r="M2581" i="1"/>
  <c r="M2580" i="1"/>
  <c r="H2580" i="1"/>
  <c r="N2580" i="1" s="1"/>
  <c r="M2579" i="1"/>
  <c r="H2579" i="1"/>
  <c r="M2574" i="1"/>
  <c r="J2574" i="1"/>
  <c r="N2574" i="1" s="1"/>
  <c r="J2573" i="1"/>
  <c r="M2573" i="1"/>
  <c r="M2572" i="1"/>
  <c r="H2572" i="1"/>
  <c r="N2572" i="1" s="1"/>
  <c r="H2571" i="1"/>
  <c r="N2571" i="1" s="1"/>
  <c r="M2571" i="1"/>
  <c r="H2570" i="1"/>
  <c r="N2570" i="1" s="1"/>
  <c r="M2570" i="1"/>
  <c r="M2569" i="1"/>
  <c r="H2569" i="1"/>
  <c r="N2569" i="1" s="1"/>
  <c r="M2568" i="1"/>
  <c r="H2568" i="1"/>
  <c r="N2568" i="1" s="1"/>
  <c r="M2567" i="1"/>
  <c r="H2567" i="1"/>
  <c r="N2567" i="1" s="1"/>
  <c r="M2566" i="1"/>
  <c r="H2566" i="1"/>
  <c r="N2566" i="1" s="1"/>
  <c r="M2565" i="1"/>
  <c r="H2565" i="1"/>
  <c r="N2565" i="1" s="1"/>
  <c r="H2564" i="1"/>
  <c r="N2564" i="1" s="1"/>
  <c r="M2564" i="1"/>
  <c r="H2563" i="1"/>
  <c r="N2563" i="1" s="1"/>
  <c r="M2563" i="1"/>
  <c r="H2562" i="1"/>
  <c r="N2562" i="1" s="1"/>
  <c r="M2562" i="1"/>
  <c r="H2561" i="1"/>
  <c r="N2561" i="1" s="1"/>
  <c r="M2561" i="1"/>
  <c r="H2560" i="1"/>
  <c r="N2560" i="1" s="1"/>
  <c r="M2560" i="1"/>
  <c r="H2559" i="1"/>
  <c r="N2559" i="1" s="1"/>
  <c r="M2559" i="1"/>
  <c r="H2558" i="1"/>
  <c r="N2558" i="1" s="1"/>
  <c r="M2558" i="1"/>
  <c r="H2557" i="1"/>
  <c r="N2557" i="1" s="1"/>
  <c r="M2557" i="1"/>
  <c r="H2556" i="1"/>
  <c r="N2556" i="1" s="1"/>
  <c r="M2556" i="1"/>
  <c r="H2555" i="1"/>
  <c r="N2555" i="1" s="1"/>
  <c r="M2555" i="1"/>
  <c r="H2554" i="1"/>
  <c r="N2554" i="1" s="1"/>
  <c r="M2554" i="1"/>
  <c r="M2553" i="1"/>
  <c r="H2553" i="1"/>
  <c r="N2553" i="1" s="1"/>
  <c r="H2552" i="1"/>
  <c r="N2552" i="1" s="1"/>
  <c r="M2552" i="1"/>
  <c r="H2551" i="1"/>
  <c r="N2551" i="1" s="1"/>
  <c r="M2551" i="1"/>
  <c r="M2550" i="1"/>
  <c r="H2550" i="1"/>
  <c r="N2550" i="1" s="1"/>
  <c r="M2549" i="1"/>
  <c r="H2549" i="1"/>
  <c r="N2549" i="1" s="1"/>
  <c r="H2548" i="1"/>
  <c r="N2548" i="1" s="1"/>
  <c r="M2548" i="1"/>
  <c r="M2547" i="1"/>
  <c r="H2547" i="1"/>
  <c r="N2547" i="1" s="1"/>
  <c r="M2546" i="1"/>
  <c r="H2546" i="1"/>
  <c r="N2546" i="1" s="1"/>
  <c r="M2545" i="1"/>
  <c r="H2545" i="1"/>
  <c r="N2545" i="1" s="1"/>
  <c r="H2544" i="1"/>
  <c r="N2544" i="1" s="1"/>
  <c r="M2544" i="1"/>
  <c r="M2543" i="1"/>
  <c r="H2543" i="1"/>
  <c r="N2543" i="1" s="1"/>
  <c r="M2542" i="1"/>
  <c r="H2542" i="1"/>
  <c r="N2542" i="1" s="1"/>
  <c r="H2541" i="1"/>
  <c r="N2541" i="1" s="1"/>
  <c r="M2541" i="1"/>
  <c r="M2540" i="1"/>
  <c r="H2540" i="1"/>
  <c r="N2540" i="1" s="1"/>
  <c r="H2539" i="1"/>
  <c r="N2539" i="1" s="1"/>
  <c r="M2539" i="1"/>
  <c r="M2538" i="1"/>
  <c r="H2538" i="1"/>
  <c r="N2538" i="1" s="1"/>
  <c r="H2537" i="1"/>
  <c r="N2537" i="1" s="1"/>
  <c r="M2537" i="1"/>
  <c r="H2536" i="1"/>
  <c r="N2536" i="1" s="1"/>
  <c r="M2536" i="1"/>
  <c r="M2535" i="1"/>
  <c r="H2535" i="1"/>
  <c r="N2535" i="1" s="1"/>
  <c r="H2534" i="1"/>
  <c r="N2534" i="1" s="1"/>
  <c r="M2534" i="1"/>
  <c r="M2533" i="1"/>
  <c r="H2533" i="1"/>
  <c r="N2533" i="1" s="1"/>
  <c r="H2532" i="1"/>
  <c r="N2532" i="1" s="1"/>
  <c r="M2532" i="1"/>
  <c r="M2531" i="1"/>
  <c r="H2531" i="1"/>
  <c r="N2531" i="1" s="1"/>
  <c r="M2529" i="1"/>
  <c r="H2529" i="1"/>
  <c r="N2529" i="1" s="1"/>
  <c r="H2528" i="1"/>
  <c r="N2528" i="1" s="1"/>
  <c r="M2528" i="1"/>
  <c r="H2527" i="1"/>
  <c r="N2527" i="1" s="1"/>
  <c r="M2527" i="1"/>
  <c r="M2526" i="1"/>
  <c r="H2526" i="1"/>
  <c r="N2526" i="1" s="1"/>
  <c r="M2525" i="1"/>
  <c r="H2525" i="1"/>
  <c r="N2525" i="1" s="1"/>
  <c r="M2524" i="1"/>
  <c r="H2524" i="1"/>
  <c r="N2524" i="1" s="1"/>
  <c r="H2523" i="1"/>
  <c r="N2523" i="1" s="1"/>
  <c r="M2523" i="1"/>
  <c r="M2522" i="1"/>
  <c r="H2522" i="1"/>
  <c r="N2522" i="1" s="1"/>
  <c r="M2521" i="1"/>
  <c r="H2521" i="1"/>
  <c r="N2521" i="1" s="1"/>
  <c r="M2520" i="1"/>
  <c r="H2520" i="1"/>
  <c r="N2520" i="1" s="1"/>
  <c r="H2519" i="1"/>
  <c r="N2519" i="1" s="1"/>
  <c r="M2519" i="1"/>
  <c r="M2518" i="1"/>
  <c r="H2518" i="1"/>
  <c r="N2518" i="1" s="1"/>
  <c r="H2517" i="1"/>
  <c r="N2517" i="1" s="1"/>
  <c r="M2517" i="1"/>
  <c r="M2516" i="1"/>
  <c r="H2516" i="1"/>
  <c r="N2516" i="1" s="1"/>
  <c r="H2515" i="1"/>
  <c r="N2515" i="1" s="1"/>
  <c r="M2515" i="1"/>
  <c r="M2514" i="1"/>
  <c r="H2514" i="1"/>
  <c r="N2514" i="1" s="1"/>
  <c r="H2513" i="1"/>
  <c r="N2513" i="1" s="1"/>
  <c r="M2513" i="1"/>
  <c r="H2512" i="1"/>
  <c r="N2512" i="1" s="1"/>
  <c r="M2512" i="1"/>
  <c r="H2511" i="1"/>
  <c r="N2511" i="1" s="1"/>
  <c r="M2511" i="1"/>
  <c r="H2510" i="1"/>
  <c r="N2510" i="1" s="1"/>
  <c r="M2510" i="1"/>
  <c r="H2509" i="1"/>
  <c r="N2509" i="1" s="1"/>
  <c r="M2509" i="1"/>
  <c r="M2508" i="1"/>
  <c r="H2508" i="1"/>
  <c r="N2508" i="1" s="1"/>
  <c r="M2507" i="1"/>
  <c r="H2507" i="1"/>
  <c r="N2507" i="1" s="1"/>
  <c r="M2506" i="1"/>
  <c r="H2506" i="1"/>
  <c r="N2506" i="1" s="1"/>
  <c r="M2505" i="1"/>
  <c r="H2505" i="1"/>
  <c r="N2505" i="1" s="1"/>
  <c r="M2504" i="1"/>
  <c r="H2504" i="1"/>
  <c r="N2504" i="1" s="1"/>
  <c r="H2503" i="1"/>
  <c r="N2503" i="1" s="1"/>
  <c r="M2503" i="1"/>
  <c r="H2502" i="1"/>
  <c r="N2502" i="1" s="1"/>
  <c r="M2502" i="1"/>
  <c r="H2501" i="1"/>
  <c r="N2501" i="1" s="1"/>
  <c r="M2501" i="1"/>
  <c r="H2500" i="1"/>
  <c r="N2500" i="1" s="1"/>
  <c r="M2500" i="1"/>
  <c r="H2499" i="1"/>
  <c r="N2499" i="1" s="1"/>
  <c r="M2499" i="1"/>
  <c r="H2498" i="1"/>
  <c r="N2498" i="1" s="1"/>
  <c r="M2498" i="1"/>
  <c r="H2497" i="1"/>
  <c r="N2497" i="1" s="1"/>
  <c r="M2497" i="1"/>
  <c r="M2496" i="1"/>
  <c r="H2496" i="1"/>
  <c r="N2496" i="1" s="1"/>
  <c r="H2495" i="1"/>
  <c r="N2495" i="1" s="1"/>
  <c r="M2495" i="1"/>
  <c r="H2494" i="1"/>
  <c r="N2494" i="1" s="1"/>
  <c r="M2494" i="1"/>
  <c r="H2493" i="1"/>
  <c r="N2493" i="1" s="1"/>
  <c r="M2493" i="1"/>
  <c r="M2492" i="1"/>
  <c r="H2492" i="1"/>
  <c r="N2492" i="1" s="1"/>
  <c r="H2491" i="1"/>
  <c r="N2491" i="1" s="1"/>
  <c r="M2491" i="1"/>
  <c r="H2490" i="1"/>
  <c r="N2490" i="1" s="1"/>
  <c r="M2490" i="1"/>
  <c r="H2489" i="1"/>
  <c r="N2489" i="1" s="1"/>
  <c r="M2489" i="1"/>
  <c r="M2488" i="1"/>
  <c r="H2488" i="1"/>
  <c r="N2488" i="1" s="1"/>
  <c r="H2487" i="1"/>
  <c r="N2487" i="1" s="1"/>
  <c r="M2487" i="1"/>
  <c r="M2486" i="1"/>
  <c r="H2486" i="1"/>
  <c r="N2486" i="1" s="1"/>
  <c r="M2485" i="1"/>
  <c r="H2485" i="1"/>
  <c r="N2485" i="1" s="1"/>
  <c r="M2484" i="1"/>
  <c r="H2484" i="1"/>
  <c r="N2484" i="1" s="1"/>
  <c r="M2483" i="1"/>
  <c r="H2483" i="1"/>
  <c r="N2483" i="1" s="1"/>
  <c r="H2482" i="1"/>
  <c r="N2482" i="1" s="1"/>
  <c r="M2482" i="1"/>
  <c r="M2480" i="1"/>
  <c r="H2480" i="1"/>
  <c r="N2480" i="1" s="1"/>
  <c r="H2479" i="1"/>
  <c r="N2479" i="1" s="1"/>
  <c r="M2479" i="1"/>
  <c r="H2478" i="1"/>
  <c r="N2478" i="1" s="1"/>
  <c r="M2478" i="1"/>
  <c r="M2477" i="1"/>
  <c r="H2477" i="1"/>
  <c r="N2477" i="1" s="1"/>
  <c r="M2476" i="1"/>
  <c r="H2476" i="1"/>
  <c r="N2476" i="1" s="1"/>
  <c r="M2475" i="1"/>
  <c r="H2475" i="1"/>
  <c r="H2459" i="1"/>
  <c r="N2459" i="1" s="1"/>
  <c r="M2459" i="1"/>
  <c r="M2458" i="1"/>
  <c r="H2458" i="1"/>
  <c r="N2458" i="1" s="1"/>
  <c r="H2457" i="1"/>
  <c r="N2457" i="1" s="1"/>
  <c r="M2457" i="1"/>
  <c r="M2456" i="1"/>
  <c r="H2456" i="1"/>
  <c r="N2456" i="1" s="1"/>
  <c r="M2455" i="1"/>
  <c r="H2455" i="1"/>
  <c r="N2455" i="1" s="1"/>
  <c r="H2454" i="1"/>
  <c r="N2454" i="1" s="1"/>
  <c r="M2454" i="1"/>
  <c r="M2453" i="1"/>
  <c r="H2453" i="1"/>
  <c r="N2453" i="1" s="1"/>
  <c r="M2452" i="1"/>
  <c r="H2452" i="1"/>
  <c r="N2452" i="1" s="1"/>
  <c r="M2451" i="1"/>
  <c r="H2451" i="1"/>
  <c r="N2451" i="1" s="1"/>
  <c r="M2449" i="1"/>
  <c r="H2449" i="1"/>
  <c r="J2429" i="1"/>
  <c r="N2429" i="1" s="1"/>
  <c r="M2429" i="1"/>
  <c r="M2428" i="1"/>
  <c r="J2428" i="1"/>
  <c r="M2427" i="1"/>
  <c r="H2427" i="1"/>
  <c r="N2427" i="1" s="1"/>
  <c r="M2426" i="1"/>
  <c r="H2426" i="1"/>
  <c r="N2426" i="1" s="1"/>
  <c r="M2425" i="1"/>
  <c r="H2425" i="1"/>
  <c r="N2425" i="1" s="1"/>
  <c r="M2424" i="1"/>
  <c r="H2424" i="1"/>
  <c r="N2424" i="1" s="1"/>
  <c r="H2423" i="1"/>
  <c r="M2423" i="1"/>
  <c r="H2397" i="1"/>
  <c r="M2397" i="1"/>
  <c r="J2380" i="1"/>
  <c r="M2380" i="1"/>
  <c r="M2379" i="1"/>
  <c r="H2379" i="1"/>
  <c r="N2379" i="1" s="1"/>
  <c r="H2378" i="1"/>
  <c r="N2378" i="1" s="1"/>
  <c r="M2378" i="1"/>
  <c r="H2377" i="1"/>
  <c r="N2377" i="1" s="1"/>
  <c r="M2377" i="1"/>
  <c r="M2376" i="1"/>
  <c r="H2376" i="1"/>
  <c r="N2376" i="1" s="1"/>
  <c r="H2375" i="1"/>
  <c r="N2375" i="1" s="1"/>
  <c r="M2375" i="1"/>
  <c r="H2374" i="1"/>
  <c r="N2374" i="1" s="1"/>
  <c r="M2374" i="1"/>
  <c r="H2373" i="1"/>
  <c r="N2373" i="1" s="1"/>
  <c r="M2373" i="1"/>
  <c r="H2371" i="1"/>
  <c r="M2371" i="1"/>
  <c r="J2345" i="1"/>
  <c r="N2345" i="1" s="1"/>
  <c r="M2345" i="1"/>
  <c r="M2344" i="1"/>
  <c r="J2344" i="1"/>
  <c r="M2343" i="1"/>
  <c r="H2343" i="1"/>
  <c r="N2343" i="1" s="1"/>
  <c r="M2342" i="1"/>
  <c r="H2342" i="1"/>
  <c r="N2342" i="1" s="1"/>
  <c r="M2341" i="1"/>
  <c r="H2341" i="1"/>
  <c r="N2341" i="1" s="1"/>
  <c r="H2340" i="1"/>
  <c r="N2340" i="1" s="1"/>
  <c r="M2340" i="1"/>
  <c r="H2339" i="1"/>
  <c r="N2339" i="1" s="1"/>
  <c r="M2339" i="1"/>
  <c r="H2338" i="1"/>
  <c r="N2338" i="1" s="1"/>
  <c r="M2338" i="1"/>
  <c r="M2337" i="1"/>
  <c r="H2337" i="1"/>
  <c r="N2337" i="1" s="1"/>
  <c r="M2336" i="1"/>
  <c r="H2336" i="1"/>
  <c r="N2336" i="1" s="1"/>
  <c r="M2335" i="1"/>
  <c r="H2335" i="1"/>
  <c r="N2335" i="1" s="1"/>
  <c r="M2334" i="1"/>
  <c r="H2334" i="1"/>
  <c r="N2334" i="1" s="1"/>
  <c r="M2333" i="1"/>
  <c r="H2333" i="1"/>
  <c r="N2333" i="1" s="1"/>
  <c r="M2332" i="1"/>
  <c r="H2332" i="1"/>
  <c r="N2332" i="1" s="1"/>
  <c r="M2331" i="1"/>
  <c r="H2331" i="1"/>
  <c r="N2331" i="1" s="1"/>
  <c r="M2330" i="1"/>
  <c r="H2330" i="1"/>
  <c r="N2330" i="1" s="1"/>
  <c r="M2329" i="1"/>
  <c r="H2329" i="1"/>
  <c r="N2329" i="1" s="1"/>
  <c r="M2328" i="1"/>
  <c r="H2328" i="1"/>
  <c r="N2328" i="1" s="1"/>
  <c r="M2327" i="1"/>
  <c r="H2327" i="1"/>
  <c r="N2327" i="1" s="1"/>
  <c r="M2326" i="1"/>
  <c r="H2326" i="1"/>
  <c r="N2326" i="1" s="1"/>
  <c r="H2325" i="1"/>
  <c r="N2325" i="1" s="1"/>
  <c r="M2325" i="1"/>
  <c r="H2324" i="1"/>
  <c r="N2324" i="1" s="1"/>
  <c r="M2324" i="1"/>
  <c r="M2322" i="1"/>
  <c r="H2322" i="1"/>
  <c r="N2322" i="1" s="1"/>
  <c r="M2321" i="1"/>
  <c r="H2321" i="1"/>
  <c r="N2321" i="1" s="1"/>
  <c r="M2320" i="1"/>
  <c r="H2320" i="1"/>
  <c r="N2320" i="1" s="1"/>
  <c r="M2319" i="1"/>
  <c r="H2319" i="1"/>
  <c r="M2294" i="1"/>
  <c r="J2294" i="1"/>
  <c r="N2294" i="1" s="1"/>
  <c r="M2293" i="1"/>
  <c r="J2293" i="1"/>
  <c r="M2292" i="1"/>
  <c r="H2292" i="1"/>
  <c r="N2292" i="1" s="1"/>
  <c r="M2291" i="1"/>
  <c r="H2291" i="1"/>
  <c r="N2291" i="1" s="1"/>
  <c r="H2290" i="1"/>
  <c r="N2290" i="1" s="1"/>
  <c r="M2290" i="1"/>
  <c r="M2289" i="1"/>
  <c r="H2289" i="1"/>
  <c r="N2289" i="1" s="1"/>
  <c r="M2288" i="1"/>
  <c r="H2288" i="1"/>
  <c r="N2288" i="1" s="1"/>
  <c r="M2287" i="1"/>
  <c r="H2287" i="1"/>
  <c r="N2287" i="1" s="1"/>
  <c r="M2286" i="1"/>
  <c r="H2286" i="1"/>
  <c r="N2286" i="1" s="1"/>
  <c r="H2285" i="1"/>
  <c r="N2285" i="1" s="1"/>
  <c r="M2285" i="1"/>
  <c r="H2284" i="1"/>
  <c r="N2284" i="1" s="1"/>
  <c r="M2284" i="1"/>
  <c r="M2283" i="1"/>
  <c r="H2283" i="1"/>
  <c r="N2283" i="1" s="1"/>
  <c r="M2282" i="1"/>
  <c r="H2282" i="1"/>
  <c r="N2282" i="1" s="1"/>
  <c r="M2281" i="1"/>
  <c r="H2281" i="1"/>
  <c r="N2281" i="1" s="1"/>
  <c r="M2280" i="1"/>
  <c r="H2280" i="1"/>
  <c r="N2280" i="1" s="1"/>
  <c r="M2279" i="1"/>
  <c r="H2279" i="1"/>
  <c r="N2279" i="1" s="1"/>
  <c r="H2278" i="1"/>
  <c r="N2278" i="1" s="1"/>
  <c r="M2278" i="1"/>
  <c r="M2277" i="1"/>
  <c r="H2277" i="1"/>
  <c r="N2277" i="1" s="1"/>
  <c r="M2276" i="1"/>
  <c r="H2276" i="1"/>
  <c r="N2276" i="1" s="1"/>
  <c r="H2275" i="1"/>
  <c r="N2275" i="1" s="1"/>
  <c r="M2275" i="1"/>
  <c r="M2274" i="1"/>
  <c r="H2274" i="1"/>
  <c r="N2274" i="1" s="1"/>
  <c r="H2273" i="1"/>
  <c r="N2273" i="1" s="1"/>
  <c r="M2273" i="1"/>
  <c r="M2272" i="1"/>
  <c r="H2272" i="1"/>
  <c r="N2272" i="1" s="1"/>
  <c r="H2271" i="1"/>
  <c r="N2271" i="1" s="1"/>
  <c r="M2271" i="1"/>
  <c r="M2270" i="1"/>
  <c r="H2270" i="1"/>
  <c r="N2270" i="1" s="1"/>
  <c r="M2268" i="1"/>
  <c r="H2268" i="1"/>
  <c r="N2268" i="1" s="1"/>
  <c r="H2267" i="1"/>
  <c r="M2267" i="1"/>
  <c r="J2246" i="1"/>
  <c r="N2246" i="1" s="1"/>
  <c r="M2246" i="1"/>
  <c r="M2245" i="1"/>
  <c r="J2245" i="1"/>
  <c r="M2244" i="1"/>
  <c r="H2244" i="1"/>
  <c r="N2244" i="1" s="1"/>
  <c r="M2243" i="1"/>
  <c r="H2243" i="1"/>
  <c r="N2243" i="1" s="1"/>
  <c r="H2242" i="1"/>
  <c r="N2242" i="1" s="1"/>
  <c r="M2242" i="1"/>
  <c r="H2241" i="1"/>
  <c r="M2241" i="1"/>
  <c r="H2229" i="1"/>
  <c r="N2229" i="1" s="1"/>
  <c r="M2229" i="1"/>
  <c r="M2228" i="1"/>
  <c r="H2228" i="1"/>
  <c r="N2228" i="1" s="1"/>
  <c r="M2227" i="1"/>
  <c r="H2227" i="1"/>
  <c r="N2227" i="1" s="1"/>
  <c r="H2226" i="1"/>
  <c r="N2226" i="1" s="1"/>
  <c r="M2226" i="1"/>
  <c r="M2225" i="1"/>
  <c r="H2225" i="1"/>
  <c r="N2225" i="1" s="1"/>
  <c r="M2224" i="1"/>
  <c r="H2224" i="1"/>
  <c r="N2224" i="1" s="1"/>
  <c r="H2223" i="1"/>
  <c r="N2223" i="1" s="1"/>
  <c r="M2223" i="1"/>
  <c r="M2222" i="1"/>
  <c r="H2222" i="1"/>
  <c r="N2222" i="1" s="1"/>
  <c r="M2221" i="1"/>
  <c r="H2221" i="1"/>
  <c r="N2221" i="1" s="1"/>
  <c r="H2220" i="1"/>
  <c r="N2220" i="1" s="1"/>
  <c r="M2220" i="1"/>
  <c r="M2218" i="1"/>
  <c r="H2218" i="1"/>
  <c r="N2218" i="1" s="1"/>
  <c r="M2217" i="1"/>
  <c r="H2217" i="1"/>
  <c r="N2217" i="1" s="1"/>
  <c r="M2216" i="1"/>
  <c r="H2216" i="1"/>
  <c r="N2216" i="1" s="1"/>
  <c r="M2215" i="1"/>
  <c r="H2215" i="1"/>
  <c r="J2194" i="1"/>
  <c r="N2194" i="1" s="1"/>
  <c r="M2194" i="1"/>
  <c r="M2193" i="1"/>
  <c r="J2193" i="1"/>
  <c r="N2193" i="1" s="1"/>
  <c r="M2192" i="1"/>
  <c r="J2192" i="1"/>
  <c r="M2191" i="1"/>
  <c r="H2191" i="1"/>
  <c r="N2191" i="1" s="1"/>
  <c r="H2190" i="1"/>
  <c r="N2190" i="1" s="1"/>
  <c r="M2190" i="1"/>
  <c r="M2189" i="1"/>
  <c r="H2189" i="1"/>
  <c r="M2164" i="1"/>
  <c r="J2164" i="1"/>
  <c r="H2163" i="1"/>
  <c r="N2163" i="1" s="1"/>
  <c r="M2163" i="1"/>
  <c r="H2162" i="1"/>
  <c r="N2162" i="1" s="1"/>
  <c r="M2162" i="1"/>
  <c r="M2161" i="1"/>
  <c r="H2161" i="1"/>
  <c r="N2161" i="1" s="1"/>
  <c r="H2160" i="1"/>
  <c r="N2160" i="1" s="1"/>
  <c r="M2160" i="1"/>
  <c r="M2159" i="1"/>
  <c r="H2159" i="1"/>
  <c r="N2159" i="1" s="1"/>
  <c r="H2158" i="1"/>
  <c r="N2158" i="1" s="1"/>
  <c r="M2158" i="1"/>
  <c r="H2157" i="1"/>
  <c r="N2157" i="1" s="1"/>
  <c r="M2157" i="1"/>
  <c r="H2156" i="1"/>
  <c r="N2156" i="1" s="1"/>
  <c r="M2156" i="1"/>
  <c r="H2155" i="1"/>
  <c r="N2155" i="1" s="1"/>
  <c r="M2155" i="1"/>
  <c r="H2154" i="1"/>
  <c r="N2154" i="1" s="1"/>
  <c r="M2154" i="1"/>
  <c r="H2153" i="1"/>
  <c r="N2153" i="1" s="1"/>
  <c r="M2153" i="1"/>
  <c r="H2151" i="1"/>
  <c r="N2151" i="1" s="1"/>
  <c r="M2151" i="1"/>
  <c r="M2150" i="1"/>
  <c r="H2150" i="1"/>
  <c r="N2150" i="1" s="1"/>
  <c r="M2149" i="1"/>
  <c r="H2149" i="1"/>
  <c r="N2149" i="1" s="1"/>
  <c r="M2148" i="1"/>
  <c r="H2148" i="1"/>
  <c r="N2148" i="1" s="1"/>
  <c r="H2147" i="1"/>
  <c r="N2147" i="1" s="1"/>
  <c r="M2147" i="1"/>
  <c r="H2146" i="1"/>
  <c r="N2146" i="1" s="1"/>
  <c r="M2146" i="1"/>
  <c r="H2145" i="1"/>
  <c r="N2145" i="1" s="1"/>
  <c r="M2145" i="1"/>
  <c r="M2144" i="1"/>
  <c r="H2144" i="1"/>
  <c r="N2144" i="1" s="1"/>
  <c r="M2143" i="1"/>
  <c r="H2143" i="1"/>
  <c r="N2143" i="1" s="1"/>
  <c r="M2142" i="1"/>
  <c r="H2142" i="1"/>
  <c r="N2142" i="1" s="1"/>
  <c r="H2141" i="1"/>
  <c r="N2141" i="1" s="1"/>
  <c r="M2141" i="1"/>
  <c r="M2140" i="1"/>
  <c r="H2140" i="1"/>
  <c r="N2140" i="1" s="1"/>
  <c r="H2138" i="1"/>
  <c r="N2138" i="1" s="1"/>
  <c r="M2138" i="1"/>
  <c r="H2137" i="1"/>
  <c r="M2137" i="1"/>
  <c r="J2111" i="1"/>
  <c r="N2111" i="1" s="1"/>
  <c r="M2111" i="1"/>
  <c r="J2110" i="1"/>
  <c r="M2110" i="1"/>
  <c r="H2109" i="1"/>
  <c r="N2109" i="1" s="1"/>
  <c r="M2109" i="1"/>
  <c r="M2108" i="1"/>
  <c r="H2108" i="1"/>
  <c r="N2108" i="1" s="1"/>
  <c r="H2107" i="1"/>
  <c r="N2107" i="1" s="1"/>
  <c r="M2107" i="1"/>
  <c r="M2106" i="1"/>
  <c r="H2106" i="1"/>
  <c r="N2106" i="1" s="1"/>
  <c r="M2105" i="1"/>
  <c r="H2105" i="1"/>
  <c r="N2105" i="1" s="1"/>
  <c r="H2104" i="1"/>
  <c r="N2104" i="1" s="1"/>
  <c r="M2104" i="1"/>
  <c r="M2103" i="1"/>
  <c r="H2103" i="1"/>
  <c r="N2103" i="1" s="1"/>
  <c r="M2102" i="1"/>
  <c r="H2102" i="1"/>
  <c r="N2102" i="1" s="1"/>
  <c r="M2101" i="1"/>
  <c r="H2101" i="1"/>
  <c r="N2101" i="1" s="1"/>
  <c r="M2100" i="1"/>
  <c r="H2100" i="1"/>
  <c r="N2100" i="1" s="1"/>
  <c r="M2099" i="1"/>
  <c r="H2099" i="1"/>
  <c r="N2099" i="1" s="1"/>
  <c r="M2098" i="1"/>
  <c r="H2098" i="1"/>
  <c r="N2098" i="1" s="1"/>
  <c r="H2097" i="1"/>
  <c r="N2097" i="1" s="1"/>
  <c r="M2097" i="1"/>
  <c r="M2096" i="1"/>
  <c r="H2096" i="1"/>
  <c r="N2096" i="1" s="1"/>
  <c r="M2095" i="1"/>
  <c r="H2095" i="1"/>
  <c r="N2095" i="1" s="1"/>
  <c r="M2094" i="1"/>
  <c r="H2094" i="1"/>
  <c r="N2094" i="1" s="1"/>
  <c r="M2093" i="1"/>
  <c r="H2093" i="1"/>
  <c r="N2093" i="1" s="1"/>
  <c r="M2092" i="1"/>
  <c r="H2092" i="1"/>
  <c r="N2092" i="1" s="1"/>
  <c r="H2091" i="1"/>
  <c r="N2091" i="1" s="1"/>
  <c r="M2091" i="1"/>
  <c r="M2090" i="1"/>
  <c r="H2090" i="1"/>
  <c r="N2090" i="1" s="1"/>
  <c r="M2089" i="1"/>
  <c r="H2089" i="1"/>
  <c r="N2089" i="1" s="1"/>
  <c r="M2088" i="1"/>
  <c r="H2088" i="1"/>
  <c r="N2088" i="1" s="1"/>
  <c r="M2087" i="1"/>
  <c r="H2087" i="1"/>
  <c r="N2087" i="1" s="1"/>
  <c r="M2086" i="1"/>
  <c r="H2086" i="1"/>
  <c r="N2086" i="1" s="1"/>
  <c r="M2085" i="1"/>
  <c r="H2085" i="1"/>
  <c r="N2085" i="1" s="1"/>
  <c r="H2084" i="1"/>
  <c r="N2084" i="1" s="1"/>
  <c r="M2084" i="1"/>
  <c r="H2083" i="1"/>
  <c r="N2083" i="1" s="1"/>
  <c r="M2083" i="1"/>
  <c r="H2082" i="1"/>
  <c r="N2082" i="1" s="1"/>
  <c r="M2082" i="1"/>
  <c r="M2081" i="1"/>
  <c r="H2081" i="1"/>
  <c r="N2081" i="1" s="1"/>
  <c r="H2080" i="1"/>
  <c r="N2080" i="1" s="1"/>
  <c r="M2080" i="1"/>
  <c r="M2079" i="1"/>
  <c r="H2079" i="1"/>
  <c r="N2079" i="1" s="1"/>
  <c r="M2078" i="1"/>
  <c r="H2078" i="1"/>
  <c r="N2078" i="1" s="1"/>
  <c r="M2077" i="1"/>
  <c r="H2077" i="1"/>
  <c r="N2077" i="1" s="1"/>
  <c r="H2076" i="1"/>
  <c r="N2076" i="1" s="1"/>
  <c r="M2076" i="1"/>
  <c r="M2075" i="1"/>
  <c r="H2075" i="1"/>
  <c r="N2075" i="1" s="1"/>
  <c r="H2074" i="1"/>
  <c r="N2074" i="1" s="1"/>
  <c r="M2074" i="1"/>
  <c r="H2073" i="1"/>
  <c r="N2073" i="1" s="1"/>
  <c r="M2073" i="1"/>
  <c r="M2072" i="1"/>
  <c r="H2072" i="1"/>
  <c r="N2072" i="1" s="1"/>
  <c r="M2071" i="1"/>
  <c r="H2071" i="1"/>
  <c r="N2071" i="1" s="1"/>
  <c r="H2070" i="1"/>
  <c r="N2070" i="1" s="1"/>
  <c r="M2070" i="1"/>
  <c r="H2069" i="1"/>
  <c r="N2069" i="1" s="1"/>
  <c r="M2069" i="1"/>
  <c r="H2068" i="1"/>
  <c r="N2068" i="1" s="1"/>
  <c r="M2068" i="1"/>
  <c r="M2067" i="1"/>
  <c r="H2067" i="1"/>
  <c r="N2067" i="1" s="1"/>
  <c r="H2066" i="1"/>
  <c r="N2066" i="1" s="1"/>
  <c r="M2066" i="1"/>
  <c r="M2064" i="1"/>
  <c r="H2064" i="1"/>
  <c r="N2064" i="1" s="1"/>
  <c r="M2063" i="1"/>
  <c r="H2063" i="1"/>
  <c r="N2063" i="1" s="1"/>
  <c r="M2062" i="1"/>
  <c r="H2062" i="1"/>
  <c r="N2062" i="1" s="1"/>
  <c r="H2061" i="1"/>
  <c r="N2061" i="1" s="1"/>
  <c r="M2061" i="1"/>
  <c r="H2060" i="1"/>
  <c r="N2060" i="1" s="1"/>
  <c r="M2060" i="1"/>
  <c r="M2059" i="1"/>
  <c r="H2059" i="1"/>
  <c r="J2053" i="1"/>
  <c r="N2053" i="1" s="1"/>
  <c r="M2053" i="1"/>
  <c r="J2052" i="1"/>
  <c r="M2052" i="1"/>
  <c r="H2051" i="1"/>
  <c r="N2051" i="1" s="1"/>
  <c r="M2051" i="1"/>
  <c r="H2050" i="1"/>
  <c r="N2050" i="1" s="1"/>
  <c r="M2050" i="1"/>
  <c r="H2049" i="1"/>
  <c r="N2049" i="1" s="1"/>
  <c r="M2049" i="1"/>
  <c r="H2048" i="1"/>
  <c r="N2048" i="1" s="1"/>
  <c r="M2048" i="1"/>
  <c r="H2047" i="1"/>
  <c r="N2047" i="1" s="1"/>
  <c r="M2047" i="1"/>
  <c r="H2046" i="1"/>
  <c r="N2046" i="1" s="1"/>
  <c r="M2046" i="1"/>
  <c r="H2045" i="1"/>
  <c r="N2045" i="1" s="1"/>
  <c r="M2045" i="1"/>
  <c r="H2044" i="1"/>
  <c r="N2044" i="1" s="1"/>
  <c r="M2044" i="1"/>
  <c r="M2043" i="1"/>
  <c r="H2043" i="1"/>
  <c r="N2043" i="1" s="1"/>
  <c r="M2042" i="1"/>
  <c r="H2042" i="1"/>
  <c r="N2042" i="1" s="1"/>
  <c r="H2041" i="1"/>
  <c r="N2041" i="1" s="1"/>
  <c r="M2041" i="1"/>
  <c r="M2040" i="1"/>
  <c r="H2040" i="1"/>
  <c r="N2040" i="1" s="1"/>
  <c r="M2039" i="1"/>
  <c r="H2039" i="1"/>
  <c r="N2039" i="1" s="1"/>
  <c r="M2038" i="1"/>
  <c r="H2038" i="1"/>
  <c r="N2038" i="1" s="1"/>
  <c r="M2037" i="1"/>
  <c r="H2037" i="1"/>
  <c r="N2037" i="1" s="1"/>
  <c r="H2036" i="1"/>
  <c r="N2036" i="1" s="1"/>
  <c r="M2036" i="1"/>
  <c r="M2035" i="1"/>
  <c r="H2035" i="1"/>
  <c r="N2035" i="1" s="1"/>
  <c r="H2034" i="1"/>
  <c r="N2034" i="1" s="1"/>
  <c r="M2034" i="1"/>
  <c r="H2033" i="1"/>
  <c r="N2033" i="1" s="1"/>
  <c r="M2033" i="1"/>
  <c r="H2032" i="1"/>
  <c r="N2032" i="1" s="1"/>
  <c r="M2032" i="1"/>
  <c r="M2031" i="1"/>
  <c r="H2031" i="1"/>
  <c r="N2031" i="1" s="1"/>
  <c r="H2030" i="1"/>
  <c r="N2030" i="1" s="1"/>
  <c r="M2030" i="1"/>
  <c r="H2029" i="1"/>
  <c r="N2029" i="1" s="1"/>
  <c r="M2029" i="1"/>
  <c r="H2028" i="1"/>
  <c r="N2028" i="1" s="1"/>
  <c r="M2028" i="1"/>
  <c r="M2027" i="1"/>
  <c r="H2027" i="1"/>
  <c r="N2027" i="1" s="1"/>
  <c r="M2026" i="1"/>
  <c r="H2026" i="1"/>
  <c r="N2026" i="1" s="1"/>
  <c r="M2025" i="1"/>
  <c r="H2025" i="1"/>
  <c r="N2025" i="1" s="1"/>
  <c r="M2024" i="1"/>
  <c r="H2024" i="1"/>
  <c r="N2024" i="1" s="1"/>
  <c r="M2023" i="1"/>
  <c r="H2023" i="1"/>
  <c r="N2023" i="1" s="1"/>
  <c r="H2022" i="1"/>
  <c r="N2022" i="1" s="1"/>
  <c r="M2022" i="1"/>
  <c r="H2021" i="1"/>
  <c r="N2021" i="1" s="1"/>
  <c r="M2021" i="1"/>
  <c r="H2020" i="1"/>
  <c r="N2020" i="1" s="1"/>
  <c r="M2020" i="1"/>
  <c r="M2019" i="1"/>
  <c r="H2019" i="1"/>
  <c r="N2019" i="1" s="1"/>
  <c r="M2018" i="1"/>
  <c r="H2018" i="1"/>
  <c r="N2018" i="1" s="1"/>
  <c r="M2017" i="1"/>
  <c r="H2017" i="1"/>
  <c r="N2017" i="1" s="1"/>
  <c r="M2016" i="1"/>
  <c r="H2016" i="1"/>
  <c r="N2016" i="1" s="1"/>
  <c r="M2015" i="1"/>
  <c r="H2015" i="1"/>
  <c r="N2015" i="1" s="1"/>
  <c r="M2014" i="1"/>
  <c r="H2014" i="1"/>
  <c r="N2014" i="1" s="1"/>
  <c r="M2013" i="1"/>
  <c r="H2013" i="1"/>
  <c r="N2013" i="1" s="1"/>
  <c r="H2011" i="1"/>
  <c r="N2011" i="1" s="1"/>
  <c r="M2011" i="1"/>
  <c r="H2010" i="1"/>
  <c r="N2010" i="1" s="1"/>
  <c r="M2010" i="1"/>
  <c r="H2009" i="1"/>
  <c r="N2009" i="1" s="1"/>
  <c r="M2009" i="1"/>
  <c r="H2008" i="1"/>
  <c r="N2008" i="1" s="1"/>
  <c r="M2008" i="1"/>
  <c r="M2007" i="1"/>
  <c r="H2007" i="1"/>
  <c r="M1989" i="1"/>
  <c r="J1989" i="1"/>
  <c r="N1989" i="1" s="1"/>
  <c r="J1988" i="1"/>
  <c r="M1988" i="1"/>
  <c r="H1987" i="1"/>
  <c r="N1987" i="1" s="1"/>
  <c r="M1987" i="1"/>
  <c r="M1986" i="1"/>
  <c r="H1986" i="1"/>
  <c r="N1986" i="1" s="1"/>
  <c r="H1985" i="1"/>
  <c r="N1985" i="1" s="1"/>
  <c r="M1985" i="1"/>
  <c r="H1984" i="1"/>
  <c r="N1984" i="1" s="1"/>
  <c r="M1984" i="1"/>
  <c r="H1983" i="1"/>
  <c r="N1983" i="1" s="1"/>
  <c r="M1983" i="1"/>
  <c r="H1982" i="1"/>
  <c r="N1982" i="1" s="1"/>
  <c r="M1982" i="1"/>
  <c r="H1981" i="1"/>
  <c r="M1981" i="1"/>
  <c r="M1959" i="1"/>
  <c r="H1959" i="1"/>
  <c r="N1959" i="1" s="1"/>
  <c r="H1958" i="1"/>
  <c r="N1958" i="1" s="1"/>
  <c r="M1958" i="1"/>
  <c r="H1957" i="1"/>
  <c r="N1957" i="1" s="1"/>
  <c r="M1957" i="1"/>
  <c r="M1955" i="1"/>
  <c r="H1955" i="1"/>
  <c r="M1937" i="1"/>
  <c r="J1937" i="1"/>
  <c r="N1937" i="1" s="1"/>
  <c r="M1936" i="1"/>
  <c r="J1936" i="1"/>
  <c r="N1936" i="1" s="1"/>
  <c r="J1935" i="1"/>
  <c r="M1935" i="1"/>
  <c r="M1934" i="1"/>
  <c r="H1934" i="1"/>
  <c r="N1934" i="1" s="1"/>
  <c r="H1933" i="1"/>
  <c r="N1933" i="1" s="1"/>
  <c r="M1933" i="1"/>
  <c r="M1932" i="1"/>
  <c r="H1932" i="1"/>
  <c r="N1932" i="1" s="1"/>
  <c r="H1931" i="1"/>
  <c r="N1931" i="1" s="1"/>
  <c r="M1931" i="1"/>
  <c r="H1930" i="1"/>
  <c r="N1930" i="1" s="1"/>
  <c r="M1930" i="1"/>
  <c r="H1929" i="1"/>
  <c r="M1929" i="1"/>
  <c r="J1923" i="1"/>
  <c r="N1923" i="1" s="1"/>
  <c r="M1923" i="1"/>
  <c r="J1922" i="1"/>
  <c r="N1922" i="1" s="1"/>
  <c r="M1922" i="1"/>
  <c r="M1921" i="1"/>
  <c r="J1921" i="1"/>
  <c r="N1921" i="1" s="1"/>
  <c r="J1920" i="1"/>
  <c r="M1920" i="1"/>
  <c r="M1919" i="1"/>
  <c r="H1919" i="1"/>
  <c r="N1919" i="1" s="1"/>
  <c r="M1918" i="1"/>
  <c r="H1918" i="1"/>
  <c r="N1918" i="1" s="1"/>
  <c r="H1917" i="1"/>
  <c r="N1917" i="1" s="1"/>
  <c r="M1917" i="1"/>
  <c r="M1916" i="1"/>
  <c r="H1916" i="1"/>
  <c r="N1916" i="1" s="1"/>
  <c r="M1915" i="1"/>
  <c r="H1915" i="1"/>
  <c r="N1915" i="1" s="1"/>
  <c r="H1914" i="1"/>
  <c r="N1914" i="1" s="1"/>
  <c r="M1914" i="1"/>
  <c r="M1913" i="1"/>
  <c r="H1913" i="1"/>
  <c r="N1913" i="1" s="1"/>
  <c r="H1912" i="1"/>
  <c r="N1912" i="1" s="1"/>
  <c r="M1912" i="1"/>
  <c r="M1911" i="1"/>
  <c r="H1911" i="1"/>
  <c r="N1911" i="1" s="1"/>
  <c r="H1910" i="1"/>
  <c r="N1910" i="1" s="1"/>
  <c r="M1910" i="1"/>
  <c r="M1909" i="1"/>
  <c r="H1909" i="1"/>
  <c r="N1909" i="1" s="1"/>
  <c r="H1908" i="1"/>
  <c r="N1908" i="1" s="1"/>
  <c r="M1908" i="1"/>
  <c r="M1907" i="1"/>
  <c r="H1907" i="1"/>
  <c r="N1907" i="1" s="1"/>
  <c r="M1906" i="1"/>
  <c r="H1906" i="1"/>
  <c r="N1906" i="1" s="1"/>
  <c r="H1905" i="1"/>
  <c r="N1905" i="1" s="1"/>
  <c r="M1905" i="1"/>
  <c r="M1904" i="1"/>
  <c r="H1904" i="1"/>
  <c r="N1904" i="1" s="1"/>
  <c r="H1903" i="1"/>
  <c r="M1903" i="1"/>
  <c r="J1893" i="1"/>
  <c r="M1893" i="1"/>
  <c r="H1892" i="1"/>
  <c r="N1892" i="1" s="1"/>
  <c r="M1892" i="1"/>
  <c r="M1891" i="1"/>
  <c r="H1891" i="1"/>
  <c r="N1891" i="1" s="1"/>
  <c r="M1890" i="1"/>
  <c r="H1890" i="1"/>
  <c r="N1890" i="1" s="1"/>
  <c r="M1889" i="1"/>
  <c r="H1889" i="1"/>
  <c r="N1889" i="1" s="1"/>
  <c r="H1888" i="1"/>
  <c r="N1888" i="1" s="1"/>
  <c r="M1888" i="1"/>
  <c r="H1887" i="1"/>
  <c r="N1887" i="1" s="1"/>
  <c r="M1887" i="1"/>
  <c r="H1886" i="1"/>
  <c r="N1886" i="1" s="1"/>
  <c r="M1886" i="1"/>
  <c r="M1885" i="1"/>
  <c r="H1885" i="1"/>
  <c r="N1885" i="1" s="1"/>
  <c r="H1884" i="1"/>
  <c r="N1884" i="1" s="1"/>
  <c r="M1884" i="1"/>
  <c r="H1883" i="1"/>
  <c r="N1883" i="1" s="1"/>
  <c r="M1883" i="1"/>
  <c r="H1882" i="1"/>
  <c r="N1882" i="1" s="1"/>
  <c r="M1882" i="1"/>
  <c r="H1881" i="1"/>
  <c r="N1881" i="1" s="1"/>
  <c r="M1881" i="1"/>
  <c r="M1880" i="1"/>
  <c r="H1880" i="1"/>
  <c r="N1880" i="1" s="1"/>
  <c r="M1879" i="1"/>
  <c r="H1879" i="1"/>
  <c r="N1879" i="1" s="1"/>
  <c r="H1878" i="1"/>
  <c r="N1878" i="1" s="1"/>
  <c r="M1878" i="1"/>
  <c r="H1877" i="1"/>
  <c r="M1877" i="1"/>
  <c r="J1860" i="1"/>
  <c r="N1860" i="1" s="1"/>
  <c r="M1860" i="1"/>
  <c r="M1859" i="1"/>
  <c r="J1859" i="1"/>
  <c r="M1858" i="1"/>
  <c r="H1858" i="1"/>
  <c r="N1858" i="1" s="1"/>
  <c r="M1857" i="1"/>
  <c r="H1857" i="1"/>
  <c r="N1857" i="1" s="1"/>
  <c r="M1856" i="1"/>
  <c r="H1856" i="1"/>
  <c r="N1856" i="1" s="1"/>
  <c r="H1855" i="1"/>
  <c r="N1855" i="1" s="1"/>
  <c r="M1855" i="1"/>
  <c r="M1854" i="1"/>
  <c r="H1854" i="1"/>
  <c r="N1854" i="1" s="1"/>
  <c r="M1853" i="1"/>
  <c r="H1853" i="1"/>
  <c r="N1853" i="1" s="1"/>
  <c r="M1852" i="1"/>
  <c r="H1852" i="1"/>
  <c r="N1852" i="1" s="1"/>
  <c r="M1851" i="1"/>
  <c r="H1851" i="1"/>
  <c r="N1851" i="1" s="1"/>
  <c r="H1850" i="1"/>
  <c r="N1850" i="1" s="1"/>
  <c r="M1850" i="1"/>
  <c r="M1849" i="1"/>
  <c r="H1849" i="1"/>
  <c r="N1849" i="1" s="1"/>
  <c r="M1848" i="1"/>
  <c r="H1848" i="1"/>
  <c r="N1848" i="1" s="1"/>
  <c r="H1847" i="1"/>
  <c r="N1847" i="1" s="1"/>
  <c r="M1847" i="1"/>
  <c r="M1846" i="1"/>
  <c r="H1846" i="1"/>
  <c r="N1846" i="1" s="1"/>
  <c r="H1845" i="1"/>
  <c r="N1845" i="1" s="1"/>
  <c r="M1845" i="1"/>
  <c r="H1844" i="1"/>
  <c r="N1844" i="1" s="1"/>
  <c r="M1844" i="1"/>
  <c r="H1843" i="1"/>
  <c r="N1843" i="1" s="1"/>
  <c r="M1843" i="1"/>
  <c r="H1842" i="1"/>
  <c r="N1842" i="1" s="1"/>
  <c r="M1842" i="1"/>
  <c r="H1841" i="1"/>
  <c r="N1841" i="1" s="1"/>
  <c r="M1841" i="1"/>
  <c r="M1840" i="1"/>
  <c r="H1840" i="1"/>
  <c r="N1840" i="1" s="1"/>
  <c r="H1839" i="1"/>
  <c r="N1839" i="1" s="1"/>
  <c r="M1839" i="1"/>
  <c r="M1838" i="1"/>
  <c r="H1838" i="1"/>
  <c r="N1838" i="1" s="1"/>
  <c r="M1837" i="1"/>
  <c r="H1837" i="1"/>
  <c r="N1837" i="1" s="1"/>
  <c r="H1836" i="1"/>
  <c r="N1836" i="1" s="1"/>
  <c r="M1836" i="1"/>
  <c r="H1834" i="1"/>
  <c r="N1834" i="1" s="1"/>
  <c r="M1834" i="1"/>
  <c r="H1833" i="1"/>
  <c r="N1833" i="1" s="1"/>
  <c r="M1833" i="1"/>
  <c r="M1832" i="1"/>
  <c r="H1832" i="1"/>
  <c r="N1832" i="1" s="1"/>
  <c r="H1831" i="1"/>
  <c r="N1831" i="1" s="1"/>
  <c r="M1831" i="1"/>
  <c r="M1830" i="1"/>
  <c r="H1830" i="1"/>
  <c r="N1830" i="1" s="1"/>
  <c r="H1829" i="1"/>
  <c r="N1829" i="1" s="1"/>
  <c r="M1829" i="1"/>
  <c r="H1828" i="1"/>
  <c r="N1828" i="1" s="1"/>
  <c r="M1828" i="1"/>
  <c r="H1827" i="1"/>
  <c r="N1827" i="1" s="1"/>
  <c r="M1827" i="1"/>
  <c r="H1826" i="1"/>
  <c r="N1826" i="1" s="1"/>
  <c r="M1826" i="1"/>
  <c r="M1825" i="1"/>
  <c r="H1825" i="1"/>
  <c r="N1825" i="1" s="1"/>
  <c r="H1824" i="1"/>
  <c r="N1824" i="1" s="1"/>
  <c r="M1824" i="1"/>
  <c r="M1823" i="1"/>
  <c r="H1823" i="1"/>
  <c r="N1823" i="1" s="1"/>
  <c r="M1822" i="1"/>
  <c r="H1822" i="1"/>
  <c r="N1822" i="1" s="1"/>
  <c r="H1821" i="1"/>
  <c r="N1821" i="1" s="1"/>
  <c r="M1821" i="1"/>
  <c r="H1820" i="1"/>
  <c r="N1820" i="1" s="1"/>
  <c r="M1820" i="1"/>
  <c r="M1819" i="1"/>
  <c r="H1819" i="1"/>
  <c r="N1819" i="1" s="1"/>
  <c r="H1818" i="1"/>
  <c r="N1818" i="1" s="1"/>
  <c r="M1818" i="1"/>
  <c r="M1817" i="1"/>
  <c r="H1817" i="1"/>
  <c r="N1817" i="1" s="1"/>
  <c r="M1816" i="1"/>
  <c r="H1816" i="1"/>
  <c r="N1816" i="1" s="1"/>
  <c r="M1815" i="1"/>
  <c r="H1815" i="1"/>
  <c r="N1815" i="1" s="1"/>
  <c r="M1814" i="1"/>
  <c r="H1814" i="1"/>
  <c r="N1814" i="1" s="1"/>
  <c r="H1813" i="1"/>
  <c r="N1813" i="1" s="1"/>
  <c r="M1813" i="1"/>
  <c r="M1812" i="1"/>
  <c r="H1812" i="1"/>
  <c r="N1812" i="1" s="1"/>
  <c r="M1811" i="1"/>
  <c r="H1811" i="1"/>
  <c r="N1811" i="1" s="1"/>
  <c r="M1810" i="1"/>
  <c r="H1810" i="1"/>
  <c r="N1810" i="1" s="1"/>
  <c r="H1809" i="1"/>
  <c r="N1809" i="1" s="1"/>
  <c r="M1809" i="1"/>
  <c r="M1808" i="1"/>
  <c r="H1808" i="1"/>
  <c r="N1808" i="1" s="1"/>
  <c r="M1806" i="1"/>
  <c r="H1806" i="1"/>
  <c r="N1806" i="1" s="1"/>
  <c r="H1805" i="1"/>
  <c r="N1805" i="1" s="1"/>
  <c r="M1805" i="1"/>
  <c r="M1804" i="1"/>
  <c r="H1804" i="1"/>
  <c r="N1804" i="1" s="1"/>
  <c r="H1803" i="1"/>
  <c r="N1803" i="1" s="1"/>
  <c r="M1803" i="1"/>
  <c r="M1802" i="1"/>
  <c r="H1802" i="1"/>
  <c r="N1802" i="1" s="1"/>
  <c r="M1801" i="1"/>
  <c r="H1801" i="1"/>
  <c r="N1801" i="1" s="1"/>
  <c r="H1800" i="1"/>
  <c r="N1800" i="1" s="1"/>
  <c r="M1800" i="1"/>
  <c r="H1799" i="1"/>
  <c r="M1799" i="1"/>
  <c r="J1771" i="1"/>
  <c r="N1771" i="1" s="1"/>
  <c r="M1771" i="1"/>
  <c r="J1770" i="1"/>
  <c r="M1770" i="1"/>
  <c r="H1769" i="1"/>
  <c r="N1769" i="1" s="1"/>
  <c r="M1769" i="1"/>
  <c r="M1768" i="1"/>
  <c r="H1768" i="1"/>
  <c r="N1768" i="1" s="1"/>
  <c r="H1767" i="1"/>
  <c r="N1767" i="1" s="1"/>
  <c r="M1767" i="1"/>
  <c r="M1766" i="1"/>
  <c r="H1766" i="1"/>
  <c r="N1766" i="1" s="1"/>
  <c r="H1765" i="1"/>
  <c r="N1765" i="1" s="1"/>
  <c r="M1765" i="1"/>
  <c r="H1764" i="1"/>
  <c r="N1764" i="1" s="1"/>
  <c r="M1764" i="1"/>
  <c r="M1763" i="1"/>
  <c r="H1763" i="1"/>
  <c r="N1763" i="1" s="1"/>
  <c r="M1762" i="1"/>
  <c r="H1762" i="1"/>
  <c r="N1762" i="1" s="1"/>
  <c r="H1761" i="1"/>
  <c r="N1761" i="1" s="1"/>
  <c r="M1761" i="1"/>
  <c r="M1760" i="1"/>
  <c r="H1760" i="1"/>
  <c r="N1760" i="1" s="1"/>
  <c r="M1759" i="1"/>
  <c r="H1759" i="1"/>
  <c r="N1759" i="1" s="1"/>
  <c r="M1758" i="1"/>
  <c r="H1758" i="1"/>
  <c r="N1758" i="1" s="1"/>
  <c r="M1757" i="1"/>
  <c r="H1757" i="1"/>
  <c r="N1757" i="1" s="1"/>
  <c r="H1756" i="1"/>
  <c r="N1756" i="1" s="1"/>
  <c r="M1756" i="1"/>
  <c r="H1755" i="1"/>
  <c r="N1755" i="1" s="1"/>
  <c r="M1755" i="1"/>
  <c r="M1754" i="1"/>
  <c r="H1754" i="1"/>
  <c r="N1754" i="1" s="1"/>
  <c r="M1753" i="1"/>
  <c r="H1753" i="1"/>
  <c r="N1753" i="1" s="1"/>
  <c r="H1752" i="1"/>
  <c r="N1752" i="1" s="1"/>
  <c r="M1752" i="1"/>
  <c r="M1751" i="1"/>
  <c r="H1751" i="1"/>
  <c r="N1751" i="1" s="1"/>
  <c r="H1750" i="1"/>
  <c r="N1750" i="1" s="1"/>
  <c r="M1750" i="1"/>
  <c r="M1749" i="1"/>
  <c r="H1749" i="1"/>
  <c r="N1749" i="1" s="1"/>
  <c r="H1748" i="1"/>
  <c r="N1748" i="1" s="1"/>
  <c r="M1748" i="1"/>
  <c r="H1747" i="1"/>
  <c r="N1747" i="1" s="1"/>
  <c r="M1747" i="1"/>
  <c r="H1746" i="1"/>
  <c r="N1746" i="1" s="1"/>
  <c r="M1746" i="1"/>
  <c r="M1745" i="1"/>
  <c r="H1745" i="1"/>
  <c r="N1745" i="1" s="1"/>
  <c r="H1744" i="1"/>
  <c r="N1744" i="1" s="1"/>
  <c r="M1744" i="1"/>
  <c r="H1743" i="1"/>
  <c r="N1743" i="1" s="1"/>
  <c r="M1743" i="1"/>
  <c r="H1742" i="1"/>
  <c r="N1742" i="1" s="1"/>
  <c r="M1742" i="1"/>
  <c r="M1741" i="1"/>
  <c r="H1741" i="1"/>
  <c r="N1741" i="1" s="1"/>
  <c r="M1740" i="1"/>
  <c r="H1740" i="1"/>
  <c r="N1740" i="1" s="1"/>
  <c r="M1739" i="1"/>
  <c r="H1739" i="1"/>
  <c r="N1739" i="1" s="1"/>
  <c r="M1738" i="1"/>
  <c r="H1738" i="1"/>
  <c r="N1738" i="1" s="1"/>
  <c r="H1737" i="1"/>
  <c r="N1737" i="1" s="1"/>
  <c r="M1737" i="1"/>
  <c r="H1736" i="1"/>
  <c r="N1736" i="1" s="1"/>
  <c r="M1736" i="1"/>
  <c r="M1735" i="1"/>
  <c r="H1735" i="1"/>
  <c r="N1735" i="1" s="1"/>
  <c r="H1734" i="1"/>
  <c r="N1734" i="1" s="1"/>
  <c r="M1734" i="1"/>
  <c r="H1733" i="1"/>
  <c r="N1733" i="1" s="1"/>
  <c r="M1733" i="1"/>
  <c r="H1732" i="1"/>
  <c r="N1732" i="1" s="1"/>
  <c r="M1732" i="1"/>
  <c r="M1731" i="1"/>
  <c r="H1731" i="1"/>
  <c r="N1731" i="1" s="1"/>
  <c r="H1730" i="1"/>
  <c r="N1730" i="1" s="1"/>
  <c r="M1730" i="1"/>
  <c r="H1729" i="1"/>
  <c r="N1729" i="1" s="1"/>
  <c r="M1729" i="1"/>
  <c r="M1728" i="1"/>
  <c r="H1728" i="1"/>
  <c r="N1728" i="1" s="1"/>
  <c r="M1726" i="1"/>
  <c r="H1726" i="1"/>
  <c r="N1726" i="1" s="1"/>
  <c r="H1725" i="1"/>
  <c r="N1725" i="1" s="1"/>
  <c r="M1725" i="1"/>
  <c r="H1724" i="1"/>
  <c r="N1724" i="1" s="1"/>
  <c r="M1724" i="1"/>
  <c r="H1723" i="1"/>
  <c r="N1723" i="1" s="1"/>
  <c r="M1723" i="1"/>
  <c r="H1722" i="1"/>
  <c r="N1722" i="1" s="1"/>
  <c r="M1722" i="1"/>
  <c r="H1721" i="1"/>
  <c r="M1721" i="1"/>
  <c r="J1702" i="1"/>
  <c r="N1702" i="1" s="1"/>
  <c r="M1702" i="1"/>
  <c r="J1701" i="1"/>
  <c r="M1701" i="1"/>
  <c r="M1700" i="1"/>
  <c r="H1700" i="1"/>
  <c r="N1700" i="1" s="1"/>
  <c r="H1699" i="1"/>
  <c r="N1699" i="1" s="1"/>
  <c r="M1699" i="1"/>
  <c r="H1698" i="1"/>
  <c r="N1698" i="1" s="1"/>
  <c r="M1698" i="1"/>
  <c r="H1697" i="1"/>
  <c r="N1697" i="1" s="1"/>
  <c r="M1697" i="1"/>
  <c r="H1696" i="1"/>
  <c r="N1696" i="1" s="1"/>
  <c r="M1696" i="1"/>
  <c r="H1695" i="1"/>
  <c r="M1695" i="1"/>
  <c r="H1678" i="1"/>
  <c r="N1678" i="1" s="1"/>
  <c r="M1678" i="1"/>
  <c r="H1677" i="1"/>
  <c r="N1677" i="1" s="1"/>
  <c r="M1677" i="1"/>
  <c r="M1676" i="1"/>
  <c r="H1676" i="1"/>
  <c r="N1676" i="1" s="1"/>
  <c r="H1675" i="1"/>
  <c r="N1675" i="1" s="1"/>
  <c r="M1675" i="1"/>
  <c r="H1674" i="1"/>
  <c r="N1674" i="1" s="1"/>
  <c r="M1674" i="1"/>
  <c r="M1673" i="1"/>
  <c r="H1673" i="1"/>
  <c r="N1673" i="1" s="1"/>
  <c r="M1671" i="1"/>
  <c r="H1671" i="1"/>
  <c r="N1671" i="1" s="1"/>
  <c r="M1670" i="1"/>
  <c r="H1670" i="1"/>
  <c r="N1670" i="1" s="1"/>
  <c r="M1669" i="1"/>
  <c r="H1669" i="1"/>
  <c r="M1649" i="1"/>
  <c r="J1649" i="1"/>
  <c r="N1649" i="1" s="1"/>
  <c r="M1648" i="1"/>
  <c r="J1648" i="1"/>
  <c r="N1648" i="1" s="1"/>
  <c r="J1647" i="1"/>
  <c r="M1647" i="1"/>
  <c r="H1646" i="1"/>
  <c r="N1646" i="1" s="1"/>
  <c r="M1646" i="1"/>
  <c r="H1645" i="1"/>
  <c r="N1645" i="1" s="1"/>
  <c r="M1645" i="1"/>
  <c r="H1644" i="1"/>
  <c r="N1644" i="1" s="1"/>
  <c r="M1644" i="1"/>
  <c r="M1643" i="1"/>
  <c r="H1643" i="1"/>
  <c r="H1617" i="1"/>
  <c r="M1617" i="1"/>
  <c r="M1595" i="1"/>
  <c r="H1595" i="1"/>
  <c r="N1595" i="1" s="1"/>
  <c r="M1594" i="1"/>
  <c r="H1594" i="1"/>
  <c r="N1594" i="1" s="1"/>
  <c r="M1593" i="1"/>
  <c r="H1593" i="1"/>
  <c r="N1593" i="1" s="1"/>
  <c r="M1592" i="1"/>
  <c r="H1592" i="1"/>
  <c r="N1592" i="1" s="1"/>
  <c r="H1591" i="1"/>
  <c r="M1591" i="1"/>
  <c r="M1587" i="1"/>
  <c r="J1587" i="1"/>
  <c r="N1587" i="1" s="1"/>
  <c r="J1586" i="1"/>
  <c r="N1586" i="1" s="1"/>
  <c r="M1586" i="1"/>
  <c r="M1585" i="1"/>
  <c r="J1585" i="1"/>
  <c r="N1585" i="1" s="1"/>
  <c r="J1584" i="1"/>
  <c r="M1584" i="1"/>
  <c r="H1583" i="1"/>
  <c r="N1583" i="1" s="1"/>
  <c r="M1583" i="1"/>
  <c r="H1582" i="1"/>
  <c r="N1582" i="1" s="1"/>
  <c r="M1582" i="1"/>
  <c r="H1581" i="1"/>
  <c r="N1581" i="1" s="1"/>
  <c r="M1581" i="1"/>
  <c r="H1580" i="1"/>
  <c r="N1580" i="1" s="1"/>
  <c r="M1580" i="1"/>
  <c r="M1579" i="1"/>
  <c r="H1579" i="1"/>
  <c r="N1579" i="1" s="1"/>
  <c r="M1578" i="1"/>
  <c r="H1578" i="1"/>
  <c r="N1578" i="1" s="1"/>
  <c r="M1577" i="1"/>
  <c r="H1577" i="1"/>
  <c r="N1577" i="1" s="1"/>
  <c r="M1576" i="1"/>
  <c r="H1576" i="1"/>
  <c r="N1576" i="1" s="1"/>
  <c r="M1575" i="1"/>
  <c r="H1575" i="1"/>
  <c r="N1575" i="1" s="1"/>
  <c r="M1574" i="1"/>
  <c r="H1574" i="1"/>
  <c r="N1574" i="1" s="1"/>
  <c r="H1573" i="1"/>
  <c r="N1573" i="1" s="1"/>
  <c r="M1573" i="1"/>
  <c r="H1572" i="1"/>
  <c r="N1572" i="1" s="1"/>
  <c r="M1572" i="1"/>
  <c r="H1571" i="1"/>
  <c r="N1571" i="1" s="1"/>
  <c r="M1571" i="1"/>
  <c r="H1570" i="1"/>
  <c r="N1570" i="1" s="1"/>
  <c r="M1570" i="1"/>
  <c r="H1569" i="1"/>
  <c r="N1569" i="1" s="1"/>
  <c r="M1569" i="1"/>
  <c r="H1568" i="1"/>
  <c r="N1568" i="1" s="1"/>
  <c r="M1568" i="1"/>
  <c r="H1567" i="1"/>
  <c r="N1567" i="1" s="1"/>
  <c r="M1567" i="1"/>
  <c r="M1566" i="1"/>
  <c r="H1566" i="1"/>
  <c r="N1566" i="1" s="1"/>
  <c r="M1565" i="1"/>
  <c r="H1565" i="1"/>
  <c r="J1562" i="1"/>
  <c r="N1562" i="1" s="1"/>
  <c r="M1562" i="1"/>
  <c r="M1561" i="1"/>
  <c r="J1561" i="1"/>
  <c r="M1560" i="1"/>
  <c r="H1560" i="1"/>
  <c r="N1560" i="1" s="1"/>
  <c r="M1559" i="1"/>
  <c r="H1559" i="1"/>
  <c r="N1559" i="1" s="1"/>
  <c r="H1558" i="1"/>
  <c r="N1558" i="1" s="1"/>
  <c r="M1558" i="1"/>
  <c r="M1557" i="1"/>
  <c r="H1557" i="1"/>
  <c r="N1557" i="1" s="1"/>
  <c r="M1556" i="1"/>
  <c r="H1556" i="1"/>
  <c r="N1556" i="1" s="1"/>
  <c r="M1555" i="1"/>
  <c r="H1555" i="1"/>
  <c r="N1555" i="1" s="1"/>
  <c r="M1554" i="1"/>
  <c r="H1554" i="1"/>
  <c r="N1554" i="1" s="1"/>
  <c r="M1553" i="1"/>
  <c r="H1553" i="1"/>
  <c r="N1553" i="1" s="1"/>
  <c r="M1552" i="1"/>
  <c r="H1552" i="1"/>
  <c r="N1552" i="1" s="1"/>
  <c r="M1551" i="1"/>
  <c r="H1551" i="1"/>
  <c r="N1551" i="1" s="1"/>
  <c r="H1550" i="1"/>
  <c r="N1550" i="1" s="1"/>
  <c r="M1550" i="1"/>
  <c r="H1549" i="1"/>
  <c r="N1549" i="1" s="1"/>
  <c r="M1549" i="1"/>
  <c r="H1548" i="1"/>
  <c r="N1548" i="1" s="1"/>
  <c r="M1548" i="1"/>
  <c r="H1547" i="1"/>
  <c r="N1547" i="1" s="1"/>
  <c r="M1547" i="1"/>
  <c r="M1546" i="1"/>
  <c r="H1546" i="1"/>
  <c r="N1546" i="1" s="1"/>
  <c r="M1545" i="1"/>
  <c r="H1545" i="1"/>
  <c r="N1545" i="1" s="1"/>
  <c r="M1544" i="1"/>
  <c r="H1544" i="1"/>
  <c r="N1544" i="1" s="1"/>
  <c r="M1543" i="1"/>
  <c r="H1543" i="1"/>
  <c r="N1543" i="1" s="1"/>
  <c r="M1542" i="1"/>
  <c r="H1542" i="1"/>
  <c r="N1542" i="1" s="1"/>
  <c r="H1541" i="1"/>
  <c r="N1541" i="1" s="1"/>
  <c r="M1541" i="1"/>
  <c r="H1540" i="1"/>
  <c r="N1540" i="1" s="1"/>
  <c r="M1540" i="1"/>
  <c r="H1539" i="1"/>
  <c r="N1539" i="1" s="1"/>
  <c r="M1539" i="1"/>
  <c r="M1538" i="1"/>
  <c r="H1538" i="1"/>
  <c r="N1538" i="1" s="1"/>
  <c r="H1537" i="1"/>
  <c r="N1537" i="1" s="1"/>
  <c r="M1537" i="1"/>
  <c r="H1536" i="1"/>
  <c r="N1536" i="1" s="1"/>
  <c r="M1536" i="1"/>
  <c r="H1535" i="1"/>
  <c r="N1535" i="1" s="1"/>
  <c r="M1535" i="1"/>
  <c r="H1534" i="1"/>
  <c r="N1534" i="1" s="1"/>
  <c r="M1534" i="1"/>
  <c r="H1533" i="1"/>
  <c r="N1533" i="1" s="1"/>
  <c r="M1533" i="1"/>
  <c r="M1532" i="1"/>
  <c r="H1532" i="1"/>
  <c r="N1532" i="1" s="1"/>
  <c r="H1531" i="1"/>
  <c r="N1531" i="1" s="1"/>
  <c r="M1531" i="1"/>
  <c r="M1530" i="1"/>
  <c r="H1530" i="1"/>
  <c r="N1530" i="1" s="1"/>
  <c r="H1529" i="1"/>
  <c r="N1529" i="1" s="1"/>
  <c r="M1529" i="1"/>
  <c r="H1528" i="1"/>
  <c r="N1528" i="1" s="1"/>
  <c r="M1528" i="1"/>
  <c r="H1527" i="1"/>
  <c r="N1527" i="1" s="1"/>
  <c r="M1527" i="1"/>
  <c r="H1526" i="1"/>
  <c r="N1526" i="1" s="1"/>
  <c r="M1526" i="1"/>
  <c r="M1525" i="1"/>
  <c r="H1525" i="1"/>
  <c r="N1525" i="1" s="1"/>
  <c r="M1524" i="1"/>
  <c r="H1524" i="1"/>
  <c r="N1524" i="1" s="1"/>
  <c r="H1523" i="1"/>
  <c r="N1523" i="1" s="1"/>
  <c r="M1523" i="1"/>
  <c r="H1522" i="1"/>
  <c r="N1522" i="1" s="1"/>
  <c r="M1522" i="1"/>
  <c r="H1521" i="1"/>
  <c r="N1521" i="1" s="1"/>
  <c r="M1521" i="1"/>
  <c r="M1520" i="1"/>
  <c r="H1520" i="1"/>
  <c r="N1520" i="1" s="1"/>
  <c r="H1519" i="1"/>
  <c r="N1519" i="1" s="1"/>
  <c r="M1519" i="1"/>
  <c r="M1518" i="1"/>
  <c r="H1518" i="1"/>
  <c r="N1518" i="1" s="1"/>
  <c r="M1517" i="1"/>
  <c r="H1517" i="1"/>
  <c r="N1517" i="1" s="1"/>
  <c r="M1515" i="1"/>
  <c r="H1515" i="1"/>
  <c r="N1515" i="1" s="1"/>
  <c r="M1514" i="1"/>
  <c r="H1514" i="1"/>
  <c r="N1514" i="1" s="1"/>
  <c r="H1513" i="1"/>
  <c r="M1513" i="1"/>
  <c r="H1485" i="1"/>
  <c r="N1485" i="1" s="1"/>
  <c r="M1485" i="1"/>
  <c r="H1484" i="1"/>
  <c r="N1484" i="1" s="1"/>
  <c r="M1484" i="1"/>
  <c r="H1483" i="1"/>
  <c r="N1483" i="1" s="1"/>
  <c r="M1483" i="1"/>
  <c r="M1482" i="1"/>
  <c r="H1482" i="1"/>
  <c r="N1482" i="1" s="1"/>
  <c r="H1481" i="1"/>
  <c r="N1481" i="1" s="1"/>
  <c r="M1481" i="1"/>
  <c r="H1480" i="1"/>
  <c r="N1480" i="1" s="1"/>
  <c r="M1480" i="1"/>
  <c r="M1479" i="1"/>
  <c r="H1479" i="1"/>
  <c r="N1479" i="1" s="1"/>
  <c r="M1478" i="1"/>
  <c r="H1478" i="1"/>
  <c r="N1478" i="1" s="1"/>
  <c r="M1477" i="1"/>
  <c r="H1477" i="1"/>
  <c r="N1477" i="1" s="1"/>
  <c r="M1476" i="1"/>
  <c r="H1476" i="1"/>
  <c r="N1476" i="1" s="1"/>
  <c r="H1475" i="1"/>
  <c r="N1475" i="1" s="1"/>
  <c r="M1475" i="1"/>
  <c r="H1474" i="1"/>
  <c r="N1474" i="1" s="1"/>
  <c r="M1474" i="1"/>
  <c r="H1473" i="1"/>
  <c r="N1473" i="1" s="1"/>
  <c r="M1473" i="1"/>
  <c r="H1472" i="1"/>
  <c r="N1472" i="1" s="1"/>
  <c r="M1472" i="1"/>
  <c r="H1471" i="1"/>
  <c r="N1471" i="1" s="1"/>
  <c r="M1471" i="1"/>
  <c r="H1470" i="1"/>
  <c r="N1470" i="1" s="1"/>
  <c r="M1470" i="1"/>
  <c r="H1469" i="1"/>
  <c r="N1469" i="1" s="1"/>
  <c r="M1469" i="1"/>
  <c r="M1468" i="1"/>
  <c r="H1468" i="1"/>
  <c r="N1468" i="1" s="1"/>
  <c r="M1467" i="1"/>
  <c r="H1467" i="1"/>
  <c r="N1467" i="1" s="1"/>
  <c r="M1466" i="1"/>
  <c r="H1466" i="1"/>
  <c r="N1466" i="1" s="1"/>
  <c r="M1465" i="1"/>
  <c r="H1465" i="1"/>
  <c r="N1465" i="1" s="1"/>
  <c r="M1464" i="1"/>
  <c r="H1464" i="1"/>
  <c r="N1464" i="1" s="1"/>
  <c r="M1463" i="1"/>
  <c r="H1463" i="1"/>
  <c r="N1463" i="1" s="1"/>
  <c r="M1462" i="1"/>
  <c r="H1462" i="1"/>
  <c r="N1462" i="1" s="1"/>
  <c r="M1461" i="1"/>
  <c r="H1461" i="1"/>
  <c r="M1441" i="1"/>
  <c r="H1441" i="1"/>
  <c r="N1441" i="1" s="1"/>
  <c r="H1440" i="1"/>
  <c r="N1440" i="1" s="1"/>
  <c r="M1440" i="1"/>
  <c r="M1439" i="1"/>
  <c r="H1439" i="1"/>
  <c r="N1439" i="1" s="1"/>
  <c r="M1438" i="1"/>
  <c r="H1438" i="1"/>
  <c r="N1438" i="1" s="1"/>
  <c r="M1437" i="1"/>
  <c r="H1437" i="1"/>
  <c r="N1437" i="1" s="1"/>
  <c r="M1436" i="1"/>
  <c r="H1436" i="1"/>
  <c r="N1436" i="1" s="1"/>
  <c r="M1435" i="1"/>
  <c r="H1435" i="1"/>
  <c r="M1407" i="1"/>
  <c r="H1407" i="1"/>
  <c r="N1407" i="1" s="1"/>
  <c r="M1406" i="1"/>
  <c r="H1406" i="1"/>
  <c r="N1406" i="1" s="1"/>
  <c r="M1405" i="1"/>
  <c r="H1405" i="1"/>
  <c r="N1405" i="1" s="1"/>
  <c r="M1404" i="1"/>
  <c r="H1404" i="1"/>
  <c r="N1404" i="1" s="1"/>
  <c r="H1403" i="1"/>
  <c r="N1403" i="1" s="1"/>
  <c r="M1403" i="1"/>
  <c r="H1402" i="1"/>
  <c r="N1402" i="1" s="1"/>
  <c r="M1402" i="1"/>
  <c r="H1401" i="1"/>
  <c r="N1401" i="1" s="1"/>
  <c r="M1401" i="1"/>
  <c r="M1400" i="1"/>
  <c r="H1400" i="1"/>
  <c r="N1400" i="1" s="1"/>
  <c r="M1399" i="1"/>
  <c r="H1399" i="1"/>
  <c r="N1399" i="1" s="1"/>
  <c r="H1398" i="1"/>
  <c r="N1398" i="1" s="1"/>
  <c r="M1398" i="1"/>
  <c r="H1397" i="1"/>
  <c r="N1397" i="1" s="1"/>
  <c r="M1397" i="1"/>
  <c r="H1396" i="1"/>
  <c r="N1396" i="1" s="1"/>
  <c r="M1396" i="1"/>
  <c r="H1395" i="1"/>
  <c r="N1395" i="1" s="1"/>
  <c r="M1395" i="1"/>
  <c r="H1394" i="1"/>
  <c r="N1394" i="1" s="1"/>
  <c r="M1394" i="1"/>
  <c r="H1393" i="1"/>
  <c r="N1393" i="1" s="1"/>
  <c r="M1393" i="1"/>
  <c r="H1392" i="1"/>
  <c r="N1392" i="1" s="1"/>
  <c r="M1392" i="1"/>
  <c r="M1391" i="1"/>
  <c r="H1391" i="1"/>
  <c r="N1391" i="1" s="1"/>
  <c r="H1390" i="1"/>
  <c r="N1390" i="1" s="1"/>
  <c r="M1390" i="1"/>
  <c r="M1389" i="1"/>
  <c r="H1389" i="1"/>
  <c r="N1389" i="1" s="1"/>
  <c r="M1388" i="1"/>
  <c r="H1388" i="1"/>
  <c r="N1388" i="1" s="1"/>
  <c r="M1387" i="1"/>
  <c r="H1387" i="1"/>
  <c r="N1387" i="1" s="1"/>
  <c r="H1386" i="1"/>
  <c r="N1386" i="1" s="1"/>
  <c r="M1386" i="1"/>
  <c r="M1385" i="1"/>
  <c r="H1385" i="1"/>
  <c r="N1385" i="1" s="1"/>
  <c r="M1384" i="1"/>
  <c r="H1384" i="1"/>
  <c r="N1384" i="1" s="1"/>
  <c r="M1383" i="1"/>
  <c r="H1383" i="1"/>
  <c r="M1368" i="1"/>
  <c r="H1368" i="1"/>
  <c r="N1368" i="1" s="1"/>
  <c r="M1367" i="1"/>
  <c r="H1367" i="1"/>
  <c r="N1367" i="1" s="1"/>
  <c r="M1366" i="1"/>
  <c r="H1366" i="1"/>
  <c r="N1366" i="1" s="1"/>
  <c r="M1365" i="1"/>
  <c r="H1365" i="1"/>
  <c r="N1365" i="1" s="1"/>
  <c r="H1364" i="1"/>
  <c r="N1364" i="1" s="1"/>
  <c r="M1364" i="1"/>
  <c r="M1363" i="1"/>
  <c r="H1363" i="1"/>
  <c r="N1363" i="1" s="1"/>
  <c r="M1362" i="1"/>
  <c r="H1362" i="1"/>
  <c r="N1362" i="1" s="1"/>
  <c r="M1361" i="1"/>
  <c r="H1361" i="1"/>
  <c r="N1361" i="1" s="1"/>
  <c r="M1360" i="1"/>
  <c r="H1360" i="1"/>
  <c r="N1360" i="1" s="1"/>
  <c r="M1359" i="1"/>
  <c r="H1359" i="1"/>
  <c r="N1359" i="1" s="1"/>
  <c r="M1358" i="1"/>
  <c r="H1358" i="1"/>
  <c r="N1358" i="1" s="1"/>
  <c r="M1357" i="1"/>
  <c r="H1357" i="1"/>
  <c r="H1341" i="1"/>
  <c r="N1341" i="1" s="1"/>
  <c r="M1341" i="1"/>
  <c r="H1340" i="1"/>
  <c r="N1340" i="1" s="1"/>
  <c r="M1340" i="1"/>
  <c r="H1339" i="1"/>
  <c r="N1339" i="1" s="1"/>
  <c r="M1339" i="1"/>
  <c r="H1338" i="1"/>
  <c r="N1338" i="1" s="1"/>
  <c r="M1338" i="1"/>
  <c r="M1337" i="1"/>
  <c r="H1337" i="1"/>
  <c r="N1337" i="1" s="1"/>
  <c r="H1336" i="1"/>
  <c r="N1336" i="1" s="1"/>
  <c r="M1336" i="1"/>
  <c r="M1335" i="1"/>
  <c r="H1335" i="1"/>
  <c r="N1335" i="1" s="1"/>
  <c r="M1334" i="1"/>
  <c r="H1334" i="1"/>
  <c r="N1334" i="1" s="1"/>
  <c r="H1333" i="1"/>
  <c r="N1333" i="1" s="1"/>
  <c r="M1333" i="1"/>
  <c r="M1332" i="1"/>
  <c r="H1332" i="1"/>
  <c r="N1332" i="1" s="1"/>
  <c r="M1331" i="1"/>
  <c r="H1331" i="1"/>
  <c r="N1331" i="1" s="1"/>
  <c r="M1330" i="1"/>
  <c r="H1330" i="1"/>
  <c r="N1330" i="1" s="1"/>
  <c r="H1329" i="1"/>
  <c r="N1329" i="1" s="1"/>
  <c r="M1329" i="1"/>
  <c r="H1328" i="1"/>
  <c r="N1328" i="1" s="1"/>
  <c r="M1328" i="1"/>
  <c r="H1327" i="1"/>
  <c r="N1327" i="1" s="1"/>
  <c r="M1327" i="1"/>
  <c r="H1326" i="1"/>
  <c r="N1326" i="1" s="1"/>
  <c r="M1326" i="1"/>
  <c r="H1325" i="1"/>
  <c r="N1325" i="1" s="1"/>
  <c r="M1325" i="1"/>
  <c r="H1324" i="1"/>
  <c r="N1324" i="1" s="1"/>
  <c r="M1324" i="1"/>
  <c r="M1323" i="1"/>
  <c r="H1323" i="1"/>
  <c r="N1323" i="1" s="1"/>
  <c r="M1322" i="1"/>
  <c r="H1322" i="1"/>
  <c r="N1322" i="1" s="1"/>
  <c r="M1321" i="1"/>
  <c r="H1321" i="1"/>
  <c r="N1321" i="1" s="1"/>
  <c r="H1320" i="1"/>
  <c r="N1320" i="1" s="1"/>
  <c r="M1320" i="1"/>
  <c r="H1319" i="1"/>
  <c r="N1319" i="1" s="1"/>
  <c r="M1319" i="1"/>
  <c r="H1318" i="1"/>
  <c r="N1318" i="1" s="1"/>
  <c r="M1318" i="1"/>
  <c r="H1317" i="1"/>
  <c r="N1317" i="1" s="1"/>
  <c r="M1317" i="1"/>
  <c r="H1316" i="1"/>
  <c r="N1316" i="1" s="1"/>
  <c r="M1316" i="1"/>
  <c r="H1315" i="1"/>
  <c r="N1315" i="1" s="1"/>
  <c r="M1315" i="1"/>
  <c r="M1314" i="1"/>
  <c r="H1314" i="1"/>
  <c r="N1314" i="1" s="1"/>
  <c r="M1313" i="1"/>
  <c r="H1313" i="1"/>
  <c r="N1313" i="1" s="1"/>
  <c r="M1312" i="1"/>
  <c r="H1312" i="1"/>
  <c r="N1312" i="1" s="1"/>
  <c r="M1311" i="1"/>
  <c r="H1311" i="1"/>
  <c r="N1311" i="1" s="1"/>
  <c r="M1310" i="1"/>
  <c r="H1310" i="1"/>
  <c r="N1310" i="1" s="1"/>
  <c r="M1309" i="1"/>
  <c r="H1309" i="1"/>
  <c r="N1309" i="1" s="1"/>
  <c r="M1308" i="1"/>
  <c r="H1308" i="1"/>
  <c r="N1308" i="1" s="1"/>
  <c r="H1307" i="1"/>
  <c r="N1307" i="1" s="1"/>
  <c r="M1307" i="1"/>
  <c r="H1306" i="1"/>
  <c r="N1306" i="1" s="1"/>
  <c r="M1306" i="1"/>
  <c r="H1305" i="1"/>
  <c r="N1305" i="1" s="1"/>
  <c r="M1305" i="1"/>
  <c r="H1304" i="1"/>
  <c r="N1304" i="1" s="1"/>
  <c r="M1304" i="1"/>
  <c r="H1303" i="1"/>
  <c r="N1303" i="1" s="1"/>
  <c r="M1303" i="1"/>
  <c r="H1302" i="1"/>
  <c r="N1302" i="1" s="1"/>
  <c r="M1302" i="1"/>
  <c r="H1301" i="1"/>
  <c r="N1301" i="1" s="1"/>
  <c r="M1301" i="1"/>
  <c r="H1300" i="1"/>
  <c r="N1300" i="1" s="1"/>
  <c r="M1300" i="1"/>
  <c r="H1299" i="1"/>
  <c r="N1299" i="1" s="1"/>
  <c r="M1299" i="1"/>
  <c r="H1298" i="1"/>
  <c r="N1298" i="1" s="1"/>
  <c r="M1298" i="1"/>
  <c r="M1297" i="1"/>
  <c r="H1297" i="1"/>
  <c r="N1297" i="1" s="1"/>
  <c r="H1296" i="1"/>
  <c r="N1296" i="1" s="1"/>
  <c r="M1296" i="1"/>
  <c r="H1295" i="1"/>
  <c r="N1295" i="1" s="1"/>
  <c r="M1295" i="1"/>
  <c r="H1294" i="1"/>
  <c r="N1294" i="1" s="1"/>
  <c r="M1294" i="1"/>
  <c r="M1293" i="1"/>
  <c r="H1293" i="1"/>
  <c r="N1293" i="1" s="1"/>
  <c r="M1292" i="1"/>
  <c r="H1292" i="1"/>
  <c r="N1292" i="1" s="1"/>
  <c r="H1291" i="1"/>
  <c r="N1291" i="1" s="1"/>
  <c r="M1291" i="1"/>
  <c r="H1290" i="1"/>
  <c r="N1290" i="1" s="1"/>
  <c r="M1290" i="1"/>
  <c r="H1289" i="1"/>
  <c r="N1289" i="1" s="1"/>
  <c r="M1289" i="1"/>
  <c r="M1288" i="1"/>
  <c r="H1288" i="1"/>
  <c r="N1288" i="1" s="1"/>
  <c r="M1287" i="1"/>
  <c r="H1287" i="1"/>
  <c r="N1287" i="1" s="1"/>
  <c r="M1286" i="1"/>
  <c r="H1286" i="1"/>
  <c r="N1286" i="1" s="1"/>
  <c r="M1285" i="1"/>
  <c r="H1285" i="1"/>
  <c r="N1285" i="1" s="1"/>
  <c r="M1284" i="1"/>
  <c r="H1284" i="1"/>
  <c r="N1284" i="1" s="1"/>
  <c r="H1283" i="1"/>
  <c r="N1283" i="1" s="1"/>
  <c r="M1283" i="1"/>
  <c r="M1282" i="1"/>
  <c r="H1282" i="1"/>
  <c r="N1282" i="1" s="1"/>
  <c r="H1281" i="1"/>
  <c r="N1281" i="1" s="1"/>
  <c r="M1281" i="1"/>
  <c r="M1280" i="1"/>
  <c r="H1280" i="1"/>
  <c r="N1280" i="1" s="1"/>
  <c r="M1279" i="1"/>
  <c r="H1279" i="1"/>
  <c r="N1279" i="1" s="1"/>
  <c r="M1278" i="1"/>
  <c r="H1278" i="1"/>
  <c r="N1278" i="1" s="1"/>
  <c r="M1277" i="1"/>
  <c r="H1277" i="1"/>
  <c r="N1277" i="1" s="1"/>
  <c r="M1276" i="1"/>
  <c r="H1276" i="1"/>
  <c r="N1276" i="1" s="1"/>
  <c r="M1275" i="1"/>
  <c r="H1275" i="1"/>
  <c r="N1275" i="1" s="1"/>
  <c r="M1274" i="1"/>
  <c r="H1274" i="1"/>
  <c r="N1274" i="1" s="1"/>
  <c r="H1273" i="1"/>
  <c r="N1273" i="1" s="1"/>
  <c r="M1273" i="1"/>
  <c r="M1272" i="1"/>
  <c r="H1272" i="1"/>
  <c r="N1272" i="1" s="1"/>
  <c r="H1271" i="1"/>
  <c r="N1271" i="1" s="1"/>
  <c r="M1271" i="1"/>
  <c r="H1270" i="1"/>
  <c r="N1270" i="1" s="1"/>
  <c r="M1270" i="1"/>
  <c r="M1269" i="1"/>
  <c r="H1269" i="1"/>
  <c r="N1269" i="1" s="1"/>
  <c r="M1268" i="1"/>
  <c r="H1268" i="1"/>
  <c r="N1268" i="1" s="1"/>
  <c r="M1267" i="1"/>
  <c r="H1267" i="1"/>
  <c r="N1267" i="1" s="1"/>
  <c r="M1266" i="1"/>
  <c r="H1266" i="1"/>
  <c r="N1266" i="1" s="1"/>
  <c r="H1265" i="1"/>
  <c r="N1265" i="1" s="1"/>
  <c r="M1265" i="1"/>
  <c r="M1264" i="1"/>
  <c r="H1264" i="1"/>
  <c r="N1264" i="1" s="1"/>
  <c r="H1263" i="1"/>
  <c r="N1263" i="1" s="1"/>
  <c r="M1263" i="1"/>
  <c r="H1262" i="1"/>
  <c r="N1262" i="1" s="1"/>
  <c r="M1262" i="1"/>
  <c r="H1261" i="1"/>
  <c r="N1261" i="1" s="1"/>
  <c r="M1261" i="1"/>
  <c r="H1260" i="1"/>
  <c r="N1260" i="1" s="1"/>
  <c r="M1260" i="1"/>
  <c r="H1259" i="1"/>
  <c r="N1259" i="1" s="1"/>
  <c r="M1259" i="1"/>
  <c r="H1258" i="1"/>
  <c r="N1258" i="1" s="1"/>
  <c r="M1258" i="1"/>
  <c r="H1257" i="1"/>
  <c r="N1257" i="1" s="1"/>
  <c r="M1257" i="1"/>
  <c r="H1256" i="1"/>
  <c r="N1256" i="1" s="1"/>
  <c r="M1256" i="1"/>
  <c r="H1255" i="1"/>
  <c r="N1255" i="1" s="1"/>
  <c r="M1255" i="1"/>
  <c r="H1254" i="1"/>
  <c r="N1254" i="1" s="1"/>
  <c r="M1254" i="1"/>
  <c r="M1253" i="1"/>
  <c r="H1253" i="1"/>
  <c r="M1236" i="1"/>
  <c r="J1236" i="1"/>
  <c r="N1236" i="1" s="1"/>
  <c r="M1235" i="1"/>
  <c r="H1235" i="1"/>
  <c r="N1235" i="1" s="1"/>
  <c r="H1234" i="1"/>
  <c r="N1234" i="1" s="1"/>
  <c r="M1234" i="1"/>
  <c r="H1233" i="1"/>
  <c r="N1233" i="1" s="1"/>
  <c r="M1233" i="1"/>
  <c r="M1232" i="1"/>
  <c r="H1232" i="1"/>
  <c r="N1232" i="1" s="1"/>
  <c r="M1231" i="1"/>
  <c r="H1231" i="1"/>
  <c r="N1231" i="1" s="1"/>
  <c r="M1230" i="1"/>
  <c r="H1230" i="1"/>
  <c r="N1230" i="1" s="1"/>
  <c r="M1229" i="1"/>
  <c r="J1229" i="1"/>
  <c r="M1228" i="1"/>
  <c r="H1228" i="1"/>
  <c r="N1228" i="1" s="1"/>
  <c r="M1227" i="1"/>
  <c r="H1227" i="1"/>
  <c r="J1207" i="1"/>
  <c r="N1207" i="1" s="1"/>
  <c r="M1207" i="1"/>
  <c r="M1206" i="1"/>
  <c r="J1206" i="1"/>
  <c r="N1206" i="1" s="1"/>
  <c r="M1205" i="1"/>
  <c r="J1205" i="1"/>
  <c r="H1204" i="1"/>
  <c r="N1204" i="1" s="1"/>
  <c r="M1204" i="1"/>
  <c r="M1203" i="1"/>
  <c r="H1203" i="1"/>
  <c r="N1203" i="1" s="1"/>
  <c r="M1202" i="1"/>
  <c r="H1202" i="1"/>
  <c r="N1202" i="1" s="1"/>
  <c r="H1201" i="1"/>
  <c r="N1201" i="1" s="1"/>
  <c r="M1201" i="1"/>
  <c r="M1200" i="1"/>
  <c r="H1200" i="1"/>
  <c r="N1200" i="1" s="1"/>
  <c r="M1199" i="1"/>
  <c r="H1199" i="1"/>
  <c r="N1199" i="1" s="1"/>
  <c r="M1198" i="1"/>
  <c r="H1198" i="1"/>
  <c r="N1198" i="1" s="1"/>
  <c r="M1197" i="1"/>
  <c r="H1197" i="1"/>
  <c r="N1197" i="1" s="1"/>
  <c r="M1196" i="1"/>
  <c r="H1196" i="1"/>
  <c r="N1196" i="1" s="1"/>
  <c r="H1195" i="1"/>
  <c r="N1195" i="1" s="1"/>
  <c r="M1195" i="1"/>
  <c r="M1194" i="1"/>
  <c r="H1194" i="1"/>
  <c r="N1194" i="1" s="1"/>
  <c r="H1193" i="1"/>
  <c r="N1193" i="1" s="1"/>
  <c r="M1193" i="1"/>
  <c r="M1192" i="1"/>
  <c r="H1192" i="1"/>
  <c r="N1192" i="1" s="1"/>
  <c r="H1191" i="1"/>
  <c r="N1191" i="1" s="1"/>
  <c r="M1191" i="1"/>
  <c r="H1190" i="1"/>
  <c r="N1190" i="1" s="1"/>
  <c r="M1190" i="1"/>
  <c r="H1189" i="1"/>
  <c r="N1189" i="1" s="1"/>
  <c r="M1189" i="1"/>
  <c r="M1188" i="1"/>
  <c r="H1188" i="1"/>
  <c r="N1188" i="1" s="1"/>
  <c r="H1187" i="1"/>
  <c r="N1187" i="1" s="1"/>
  <c r="M1187" i="1"/>
  <c r="M1186" i="1"/>
  <c r="H1186" i="1"/>
  <c r="N1186" i="1" s="1"/>
  <c r="M1185" i="1"/>
  <c r="H1185" i="1"/>
  <c r="N1185" i="1" s="1"/>
  <c r="M1184" i="1"/>
  <c r="H1184" i="1"/>
  <c r="N1184" i="1" s="1"/>
  <c r="H1183" i="1"/>
  <c r="N1183" i="1" s="1"/>
  <c r="M1183" i="1"/>
  <c r="H1182" i="1"/>
  <c r="N1182" i="1" s="1"/>
  <c r="M1182" i="1"/>
  <c r="H1181" i="1"/>
  <c r="N1181" i="1" s="1"/>
  <c r="M1181" i="1"/>
  <c r="H1180" i="1"/>
  <c r="N1180" i="1" s="1"/>
  <c r="M1180" i="1"/>
  <c r="H1179" i="1"/>
  <c r="N1179" i="1" s="1"/>
  <c r="M1179" i="1"/>
  <c r="H1178" i="1"/>
  <c r="N1178" i="1" s="1"/>
  <c r="M1178" i="1"/>
  <c r="H1176" i="1"/>
  <c r="N1176" i="1" s="1"/>
  <c r="M1176" i="1"/>
  <c r="M1175" i="1"/>
  <c r="H1175" i="1"/>
  <c r="M1163" i="1"/>
  <c r="H1163" i="1"/>
  <c r="N1163" i="1" s="1"/>
  <c r="M1162" i="1"/>
  <c r="H1162" i="1"/>
  <c r="N1162" i="1" s="1"/>
  <c r="M1161" i="1"/>
  <c r="H1161" i="1"/>
  <c r="N1161" i="1" s="1"/>
  <c r="M1160" i="1"/>
  <c r="H1160" i="1"/>
  <c r="N1160" i="1" s="1"/>
  <c r="M1159" i="1"/>
  <c r="H1159" i="1"/>
  <c r="N1159" i="1" s="1"/>
  <c r="M1158" i="1"/>
  <c r="H1158" i="1"/>
  <c r="N1158" i="1" s="1"/>
  <c r="H1157" i="1"/>
  <c r="N1157" i="1" s="1"/>
  <c r="M1157" i="1"/>
  <c r="H1156" i="1"/>
  <c r="N1156" i="1" s="1"/>
  <c r="M1156" i="1"/>
  <c r="M1155" i="1"/>
  <c r="H1155" i="1"/>
  <c r="N1155" i="1" s="1"/>
  <c r="H1154" i="1"/>
  <c r="N1154" i="1" s="1"/>
  <c r="M1154" i="1"/>
  <c r="M1153" i="1"/>
  <c r="H1153" i="1"/>
  <c r="N1153" i="1" s="1"/>
  <c r="H1151" i="1"/>
  <c r="N1151" i="1" s="1"/>
  <c r="M1151" i="1"/>
  <c r="M1149" i="1"/>
  <c r="H1149" i="1"/>
  <c r="J1131" i="1"/>
  <c r="N1131" i="1" s="1"/>
  <c r="M1131" i="1"/>
  <c r="J1130" i="1"/>
  <c r="M1130" i="1"/>
  <c r="H1129" i="1"/>
  <c r="N1129" i="1" s="1"/>
  <c r="M1129" i="1"/>
  <c r="H1128" i="1"/>
  <c r="N1128" i="1" s="1"/>
  <c r="M1128" i="1"/>
  <c r="M1127" i="1"/>
  <c r="H1127" i="1"/>
  <c r="N1127" i="1" s="1"/>
  <c r="H1126" i="1"/>
  <c r="N1126" i="1" s="1"/>
  <c r="M1126" i="1"/>
  <c r="H1125" i="1"/>
  <c r="N1125" i="1" s="1"/>
  <c r="M1125" i="1"/>
  <c r="H1124" i="1"/>
  <c r="N1124" i="1" s="1"/>
  <c r="M1124" i="1"/>
  <c r="H1123" i="1"/>
  <c r="N1123" i="1" s="1"/>
  <c r="M1123" i="1"/>
  <c r="M1122" i="1"/>
  <c r="H1122" i="1"/>
  <c r="N1122" i="1" s="1"/>
  <c r="M1121" i="1"/>
  <c r="H1121" i="1"/>
  <c r="N1121" i="1" s="1"/>
  <c r="H1120" i="1"/>
  <c r="N1120" i="1" s="1"/>
  <c r="M1120" i="1"/>
  <c r="M1119" i="1"/>
  <c r="H1119" i="1"/>
  <c r="N1119" i="1" s="1"/>
  <c r="M1118" i="1"/>
  <c r="H1118" i="1"/>
  <c r="N1118" i="1" s="1"/>
  <c r="M1117" i="1"/>
  <c r="H1117" i="1"/>
  <c r="N1117" i="1" s="1"/>
  <c r="M1116" i="1"/>
  <c r="H1116" i="1"/>
  <c r="N1116" i="1" s="1"/>
  <c r="M1115" i="1"/>
  <c r="H1115" i="1"/>
  <c r="N1115" i="1" s="1"/>
  <c r="M1114" i="1"/>
  <c r="H1114" i="1"/>
  <c r="N1114" i="1" s="1"/>
  <c r="H1113" i="1"/>
  <c r="N1113" i="1" s="1"/>
  <c r="M1113" i="1"/>
  <c r="H1112" i="1"/>
  <c r="N1112" i="1" s="1"/>
  <c r="M1112" i="1"/>
  <c r="M1111" i="1"/>
  <c r="H1111" i="1"/>
  <c r="N1111" i="1" s="1"/>
  <c r="H1110" i="1"/>
  <c r="N1110" i="1" s="1"/>
  <c r="M1110" i="1"/>
  <c r="M1109" i="1"/>
  <c r="H1109" i="1"/>
  <c r="N1109" i="1" s="1"/>
  <c r="M1108" i="1"/>
  <c r="H1108" i="1"/>
  <c r="N1108" i="1" s="1"/>
  <c r="M1107" i="1"/>
  <c r="H1107" i="1"/>
  <c r="N1107" i="1" s="1"/>
  <c r="M1106" i="1"/>
  <c r="H1106" i="1"/>
  <c r="N1106" i="1" s="1"/>
  <c r="M1105" i="1"/>
  <c r="H1105" i="1"/>
  <c r="N1105" i="1" s="1"/>
  <c r="H1104" i="1"/>
  <c r="N1104" i="1" s="1"/>
  <c r="M1104" i="1"/>
  <c r="H1103" i="1"/>
  <c r="N1103" i="1" s="1"/>
  <c r="M1103" i="1"/>
  <c r="M1102" i="1"/>
  <c r="H1102" i="1"/>
  <c r="N1102" i="1" s="1"/>
  <c r="H1101" i="1"/>
  <c r="N1101" i="1" s="1"/>
  <c r="M1101" i="1"/>
  <c r="H1100" i="1"/>
  <c r="N1100" i="1" s="1"/>
  <c r="M1100" i="1"/>
  <c r="H1099" i="1"/>
  <c r="N1099" i="1" s="1"/>
  <c r="M1099" i="1"/>
  <c r="M1098" i="1"/>
  <c r="H1098" i="1"/>
  <c r="N1098" i="1" s="1"/>
  <c r="H1097" i="1"/>
  <c r="N1097" i="1" s="1"/>
  <c r="M1097" i="1"/>
  <c r="M1096" i="1"/>
  <c r="H1096" i="1"/>
  <c r="N1096" i="1" s="1"/>
  <c r="M1095" i="1"/>
  <c r="H1095" i="1"/>
  <c r="N1095" i="1" s="1"/>
  <c r="M1094" i="1"/>
  <c r="H1094" i="1"/>
  <c r="N1094" i="1" s="1"/>
  <c r="H1093" i="1"/>
  <c r="N1093" i="1" s="1"/>
  <c r="M1093" i="1"/>
  <c r="M1092" i="1"/>
  <c r="H1092" i="1"/>
  <c r="N1092" i="1" s="1"/>
  <c r="M1091" i="1"/>
  <c r="H1091" i="1"/>
  <c r="N1091" i="1" s="1"/>
  <c r="M1090" i="1"/>
  <c r="H1090" i="1"/>
  <c r="N1090" i="1" s="1"/>
  <c r="H1089" i="1"/>
  <c r="N1089" i="1" s="1"/>
  <c r="M1089" i="1"/>
  <c r="H1088" i="1"/>
  <c r="N1088" i="1" s="1"/>
  <c r="M1088" i="1"/>
  <c r="M1087" i="1"/>
  <c r="H1087" i="1"/>
  <c r="N1087" i="1" s="1"/>
  <c r="M1086" i="1"/>
  <c r="H1086" i="1"/>
  <c r="N1086" i="1" s="1"/>
  <c r="M1085" i="1"/>
  <c r="H1085" i="1"/>
  <c r="N1085" i="1" s="1"/>
  <c r="M1084" i="1"/>
  <c r="H1084" i="1"/>
  <c r="N1084" i="1" s="1"/>
  <c r="H1083" i="1"/>
  <c r="N1083" i="1" s="1"/>
  <c r="M1083" i="1"/>
  <c r="M1082" i="1"/>
  <c r="H1082" i="1"/>
  <c r="N1082" i="1" s="1"/>
  <c r="M1081" i="1"/>
  <c r="H1081" i="1"/>
  <c r="N1081" i="1" s="1"/>
  <c r="M1080" i="1"/>
  <c r="H1080" i="1"/>
  <c r="N1080" i="1" s="1"/>
  <c r="M1079" i="1"/>
  <c r="H1079" i="1"/>
  <c r="N1079" i="1" s="1"/>
  <c r="H1078" i="1"/>
  <c r="N1078" i="1" s="1"/>
  <c r="M1078" i="1"/>
  <c r="M1077" i="1"/>
  <c r="H1077" i="1"/>
  <c r="N1077" i="1" s="1"/>
  <c r="M1076" i="1"/>
  <c r="H1076" i="1"/>
  <c r="N1076" i="1" s="1"/>
  <c r="H1075" i="1"/>
  <c r="N1075" i="1" s="1"/>
  <c r="M1075" i="1"/>
  <c r="H1074" i="1"/>
  <c r="N1074" i="1" s="1"/>
  <c r="M1074" i="1"/>
  <c r="M1073" i="1"/>
  <c r="H1073" i="1"/>
  <c r="N1073" i="1" s="1"/>
  <c r="H1072" i="1"/>
  <c r="N1072" i="1" s="1"/>
  <c r="M1072" i="1"/>
  <c r="M1071" i="1"/>
  <c r="H1071" i="1"/>
  <c r="N1071" i="1" s="1"/>
  <c r="H1070" i="1"/>
  <c r="N1070" i="1" s="1"/>
  <c r="M1070" i="1"/>
  <c r="M1069" i="1"/>
  <c r="H1069" i="1"/>
  <c r="N1069" i="1" s="1"/>
  <c r="M1068" i="1"/>
  <c r="H1068" i="1"/>
  <c r="N1068" i="1" s="1"/>
  <c r="M1067" i="1"/>
  <c r="H1067" i="1"/>
  <c r="N1067" i="1" s="1"/>
  <c r="M1066" i="1"/>
  <c r="H1066" i="1"/>
  <c r="N1066" i="1" s="1"/>
  <c r="M1065" i="1"/>
  <c r="H1065" i="1"/>
  <c r="N1065" i="1" s="1"/>
  <c r="H1064" i="1"/>
  <c r="N1064" i="1" s="1"/>
  <c r="M1064" i="1"/>
  <c r="M1063" i="1"/>
  <c r="H1063" i="1"/>
  <c r="N1063" i="1" s="1"/>
  <c r="H1062" i="1"/>
  <c r="N1062" i="1" s="1"/>
  <c r="M1062" i="1"/>
  <c r="M1061" i="1"/>
  <c r="H1061" i="1"/>
  <c r="N1061" i="1" s="1"/>
  <c r="H1060" i="1"/>
  <c r="N1060" i="1" s="1"/>
  <c r="M1060" i="1"/>
  <c r="H1059" i="1"/>
  <c r="N1059" i="1" s="1"/>
  <c r="M1059" i="1"/>
  <c r="M1058" i="1"/>
  <c r="H1058" i="1"/>
  <c r="N1058" i="1" s="1"/>
  <c r="M1057" i="1"/>
  <c r="H1057" i="1"/>
  <c r="N1057" i="1" s="1"/>
  <c r="H1056" i="1"/>
  <c r="N1056" i="1" s="1"/>
  <c r="M1056" i="1"/>
  <c r="M1055" i="1"/>
  <c r="H1055" i="1"/>
  <c r="N1055" i="1" s="1"/>
  <c r="M1054" i="1"/>
  <c r="H1054" i="1"/>
  <c r="N1054" i="1" s="1"/>
  <c r="H1053" i="1"/>
  <c r="N1053" i="1" s="1"/>
  <c r="M1053" i="1"/>
  <c r="M1052" i="1"/>
  <c r="H1052" i="1"/>
  <c r="N1052" i="1" s="1"/>
  <c r="H1051" i="1"/>
  <c r="N1051" i="1" s="1"/>
  <c r="M1051" i="1"/>
  <c r="H1050" i="1"/>
  <c r="N1050" i="1" s="1"/>
  <c r="M1050" i="1"/>
  <c r="H1049" i="1"/>
  <c r="N1049" i="1" s="1"/>
  <c r="M1049" i="1"/>
  <c r="H1048" i="1"/>
  <c r="N1048" i="1" s="1"/>
  <c r="M1048" i="1"/>
  <c r="M1047" i="1"/>
  <c r="H1047" i="1"/>
  <c r="N1047" i="1" s="1"/>
  <c r="M1046" i="1"/>
  <c r="H1046" i="1"/>
  <c r="N1046" i="1" s="1"/>
  <c r="M1045" i="1"/>
  <c r="H1045" i="1"/>
  <c r="N1045" i="1" s="1"/>
  <c r="M1044" i="1"/>
  <c r="H1044" i="1"/>
  <c r="N1044" i="1" s="1"/>
  <c r="H1043" i="1"/>
  <c r="N1043" i="1" s="1"/>
  <c r="M1043" i="1"/>
  <c r="M1042" i="1"/>
  <c r="H1042" i="1"/>
  <c r="N1042" i="1" s="1"/>
  <c r="M1041" i="1"/>
  <c r="H1041" i="1"/>
  <c r="N1041" i="1" s="1"/>
  <c r="H1040" i="1"/>
  <c r="N1040" i="1" s="1"/>
  <c r="M1040" i="1"/>
  <c r="M1039" i="1"/>
  <c r="H1039" i="1"/>
  <c r="N1039" i="1" s="1"/>
  <c r="M1038" i="1"/>
  <c r="H1038" i="1"/>
  <c r="N1038" i="1" s="1"/>
  <c r="M1037" i="1"/>
  <c r="H1037" i="1"/>
  <c r="N1037" i="1" s="1"/>
  <c r="M1036" i="1"/>
  <c r="H1036" i="1"/>
  <c r="N1036" i="1" s="1"/>
  <c r="M1035" i="1"/>
  <c r="H1035" i="1"/>
  <c r="N1035" i="1" s="1"/>
  <c r="M1034" i="1"/>
  <c r="H1034" i="1"/>
  <c r="N1034" i="1" s="1"/>
  <c r="M1033" i="1"/>
  <c r="H1033" i="1"/>
  <c r="N1033" i="1" s="1"/>
  <c r="H1032" i="1"/>
  <c r="N1032" i="1" s="1"/>
  <c r="M1032" i="1"/>
  <c r="H1031" i="1"/>
  <c r="N1031" i="1" s="1"/>
  <c r="M1031" i="1"/>
  <c r="M1030" i="1"/>
  <c r="H1030" i="1"/>
  <c r="N1030" i="1" s="1"/>
  <c r="M1029" i="1"/>
  <c r="H1029" i="1"/>
  <c r="N1029" i="1" s="1"/>
  <c r="M1028" i="1"/>
  <c r="H1028" i="1"/>
  <c r="N1028" i="1" s="1"/>
  <c r="M1027" i="1"/>
  <c r="H1027" i="1"/>
  <c r="N1027" i="1" s="1"/>
  <c r="M1026" i="1"/>
  <c r="H1026" i="1"/>
  <c r="N1026" i="1" s="1"/>
  <c r="M1025" i="1"/>
  <c r="H1025" i="1"/>
  <c r="N1025" i="1" s="1"/>
  <c r="H1024" i="1"/>
  <c r="N1024" i="1" s="1"/>
  <c r="M1024" i="1"/>
  <c r="H1023" i="1"/>
  <c r="N1023" i="1" s="1"/>
  <c r="M1023" i="1"/>
  <c r="H1022" i="1"/>
  <c r="N1022" i="1" s="1"/>
  <c r="M1022" i="1"/>
  <c r="M1021" i="1"/>
  <c r="H1021" i="1"/>
  <c r="N1021" i="1" s="1"/>
  <c r="H1020" i="1"/>
  <c r="N1020" i="1" s="1"/>
  <c r="M1020" i="1"/>
  <c r="M1019" i="1"/>
  <c r="H1019" i="1"/>
  <c r="N1019" i="1" s="1"/>
  <c r="H1018" i="1"/>
  <c r="N1018" i="1" s="1"/>
  <c r="M1018" i="1"/>
  <c r="M1017" i="1"/>
  <c r="H1017" i="1"/>
  <c r="N1017" i="1" s="1"/>
  <c r="M1016" i="1"/>
  <c r="H1016" i="1"/>
  <c r="N1016" i="1" s="1"/>
  <c r="M1015" i="1"/>
  <c r="H1015" i="1"/>
  <c r="N1015" i="1" s="1"/>
  <c r="M1014" i="1"/>
  <c r="H1014" i="1"/>
  <c r="N1014" i="1" s="1"/>
  <c r="M1013" i="1"/>
  <c r="H1013" i="1"/>
  <c r="N1013" i="1" s="1"/>
  <c r="M1012" i="1"/>
  <c r="H1012" i="1"/>
  <c r="N1012" i="1" s="1"/>
  <c r="H1011" i="1"/>
  <c r="N1011" i="1" s="1"/>
  <c r="M1011" i="1"/>
  <c r="M1010" i="1"/>
  <c r="H1010" i="1"/>
  <c r="N1010" i="1" s="1"/>
  <c r="M1009" i="1"/>
  <c r="H1009" i="1"/>
  <c r="N1009" i="1" s="1"/>
  <c r="M1008" i="1"/>
  <c r="H1008" i="1"/>
  <c r="N1008" i="1" s="1"/>
  <c r="M1007" i="1"/>
  <c r="H1007" i="1"/>
  <c r="N1007" i="1" s="1"/>
  <c r="M1006" i="1"/>
  <c r="H1006" i="1"/>
  <c r="N1006" i="1" s="1"/>
  <c r="M1005" i="1"/>
  <c r="H1005" i="1"/>
  <c r="N1005" i="1" s="1"/>
  <c r="H1004" i="1"/>
  <c r="N1004" i="1" s="1"/>
  <c r="M1004" i="1"/>
  <c r="H1003" i="1"/>
  <c r="N1003" i="1" s="1"/>
  <c r="M1003" i="1"/>
  <c r="H1002" i="1"/>
  <c r="N1002" i="1" s="1"/>
  <c r="M1002" i="1"/>
  <c r="H1001" i="1"/>
  <c r="N1001" i="1" s="1"/>
  <c r="M1001" i="1"/>
  <c r="M1000" i="1"/>
  <c r="H1000" i="1"/>
  <c r="N1000" i="1" s="1"/>
  <c r="M999" i="1"/>
  <c r="H999" i="1"/>
  <c r="N999" i="1" s="1"/>
  <c r="M998" i="1"/>
  <c r="H998" i="1"/>
  <c r="N998" i="1" s="1"/>
  <c r="M997" i="1"/>
  <c r="H997" i="1"/>
  <c r="N997" i="1" s="1"/>
  <c r="M995" i="1"/>
  <c r="H995" i="1"/>
  <c r="N995" i="1" s="1"/>
  <c r="M994" i="1"/>
  <c r="H994" i="1"/>
  <c r="N994" i="1" s="1"/>
  <c r="M993" i="1"/>
  <c r="H993" i="1"/>
  <c r="M964" i="1"/>
  <c r="J964" i="1"/>
  <c r="N964" i="1" s="1"/>
  <c r="J963" i="1"/>
  <c r="M963" i="1"/>
  <c r="M962" i="1"/>
  <c r="H962" i="1"/>
  <c r="N962" i="1" s="1"/>
  <c r="H961" i="1"/>
  <c r="N961" i="1" s="1"/>
  <c r="M961" i="1"/>
  <c r="M960" i="1"/>
  <c r="H960" i="1"/>
  <c r="N960" i="1" s="1"/>
  <c r="H959" i="1"/>
  <c r="N959" i="1" s="1"/>
  <c r="M959" i="1"/>
  <c r="M958" i="1"/>
  <c r="H958" i="1"/>
  <c r="N958" i="1" s="1"/>
  <c r="M957" i="1"/>
  <c r="H957" i="1"/>
  <c r="N957" i="1" s="1"/>
  <c r="M956" i="1"/>
  <c r="H956" i="1"/>
  <c r="N956" i="1" s="1"/>
  <c r="H955" i="1"/>
  <c r="N955" i="1" s="1"/>
  <c r="M955" i="1"/>
  <c r="M954" i="1"/>
  <c r="H954" i="1"/>
  <c r="N954" i="1" s="1"/>
  <c r="M953" i="1"/>
  <c r="H953" i="1"/>
  <c r="N953" i="1" s="1"/>
  <c r="M952" i="1"/>
  <c r="H952" i="1"/>
  <c r="N952" i="1" s="1"/>
  <c r="M951" i="1"/>
  <c r="H951" i="1"/>
  <c r="N951" i="1" s="1"/>
  <c r="M950" i="1"/>
  <c r="H950" i="1"/>
  <c r="N950" i="1" s="1"/>
  <c r="M949" i="1"/>
  <c r="H949" i="1"/>
  <c r="N949" i="1" s="1"/>
  <c r="M948" i="1"/>
  <c r="H948" i="1"/>
  <c r="N948" i="1" s="1"/>
  <c r="M947" i="1"/>
  <c r="H947" i="1"/>
  <c r="N947" i="1" s="1"/>
  <c r="M946" i="1"/>
  <c r="H946" i="1"/>
  <c r="N946" i="1" s="1"/>
  <c r="M945" i="1"/>
  <c r="H945" i="1"/>
  <c r="N945" i="1" s="1"/>
  <c r="H944" i="1"/>
  <c r="N944" i="1" s="1"/>
  <c r="M944" i="1"/>
  <c r="M943" i="1"/>
  <c r="H943" i="1"/>
  <c r="N943" i="1" s="1"/>
  <c r="H942" i="1"/>
  <c r="N942" i="1" s="1"/>
  <c r="M942" i="1"/>
  <c r="H941" i="1"/>
  <c r="N941" i="1" s="1"/>
  <c r="M941" i="1"/>
  <c r="M940" i="1"/>
  <c r="H940" i="1"/>
  <c r="N940" i="1" s="1"/>
  <c r="M939" i="1"/>
  <c r="H939" i="1"/>
  <c r="N939" i="1" s="1"/>
  <c r="M938" i="1"/>
  <c r="H938" i="1"/>
  <c r="N938" i="1" s="1"/>
  <c r="M937" i="1"/>
  <c r="H937" i="1"/>
  <c r="N937" i="1" s="1"/>
  <c r="H936" i="1"/>
  <c r="N936" i="1" s="1"/>
  <c r="M936" i="1"/>
  <c r="H935" i="1"/>
  <c r="N935" i="1" s="1"/>
  <c r="M935" i="1"/>
  <c r="M934" i="1"/>
  <c r="H934" i="1"/>
  <c r="N934" i="1" s="1"/>
  <c r="H933" i="1"/>
  <c r="N933" i="1" s="1"/>
  <c r="M933" i="1"/>
  <c r="M932" i="1"/>
  <c r="H932" i="1"/>
  <c r="N932" i="1" s="1"/>
  <c r="H931" i="1"/>
  <c r="N931" i="1" s="1"/>
  <c r="M931" i="1"/>
  <c r="M930" i="1"/>
  <c r="H930" i="1"/>
  <c r="N930" i="1" s="1"/>
  <c r="M929" i="1"/>
  <c r="H929" i="1"/>
  <c r="N929" i="1" s="1"/>
  <c r="H928" i="1"/>
  <c r="N928" i="1" s="1"/>
  <c r="M928" i="1"/>
  <c r="M927" i="1"/>
  <c r="H927" i="1"/>
  <c r="N927" i="1" s="1"/>
  <c r="M926" i="1"/>
  <c r="H926" i="1"/>
  <c r="N926" i="1" s="1"/>
  <c r="M925" i="1"/>
  <c r="H925" i="1"/>
  <c r="N925" i="1" s="1"/>
  <c r="M924" i="1"/>
  <c r="H924" i="1"/>
  <c r="N924" i="1" s="1"/>
  <c r="M923" i="1"/>
  <c r="H923" i="1"/>
  <c r="N923" i="1" s="1"/>
  <c r="M922" i="1"/>
  <c r="H922" i="1"/>
  <c r="N922" i="1" s="1"/>
  <c r="M921" i="1"/>
  <c r="H921" i="1"/>
  <c r="N921" i="1" s="1"/>
  <c r="M920" i="1"/>
  <c r="H920" i="1"/>
  <c r="N920" i="1" s="1"/>
  <c r="H919" i="1"/>
  <c r="N919" i="1" s="1"/>
  <c r="M919" i="1"/>
  <c r="M918" i="1"/>
  <c r="H918" i="1"/>
  <c r="N918" i="1" s="1"/>
  <c r="H917" i="1"/>
  <c r="N917" i="1" s="1"/>
  <c r="M917" i="1"/>
  <c r="H916" i="1"/>
  <c r="N916" i="1" s="1"/>
  <c r="M916" i="1"/>
  <c r="H915" i="1"/>
  <c r="N915" i="1" s="1"/>
  <c r="M915" i="1"/>
  <c r="H914" i="1"/>
  <c r="N914" i="1" s="1"/>
  <c r="M914" i="1"/>
  <c r="M913" i="1"/>
  <c r="H913" i="1"/>
  <c r="N913" i="1" s="1"/>
  <c r="M912" i="1"/>
  <c r="H912" i="1"/>
  <c r="N912" i="1" s="1"/>
  <c r="M911" i="1"/>
  <c r="H911" i="1"/>
  <c r="N911" i="1" s="1"/>
  <c r="H910" i="1"/>
  <c r="N910" i="1" s="1"/>
  <c r="M910" i="1"/>
  <c r="H909" i="1"/>
  <c r="N909" i="1" s="1"/>
  <c r="M909" i="1"/>
  <c r="M908" i="1"/>
  <c r="H908" i="1"/>
  <c r="N908" i="1" s="1"/>
  <c r="M907" i="1"/>
  <c r="H907" i="1"/>
  <c r="N907" i="1" s="1"/>
  <c r="M906" i="1"/>
  <c r="H906" i="1"/>
  <c r="N906" i="1" s="1"/>
  <c r="M905" i="1"/>
  <c r="H905" i="1"/>
  <c r="N905" i="1" s="1"/>
  <c r="M903" i="1"/>
  <c r="H903" i="1"/>
  <c r="N903" i="1" s="1"/>
  <c r="M902" i="1"/>
  <c r="H902" i="1"/>
  <c r="N902" i="1" s="1"/>
  <c r="M901" i="1"/>
  <c r="H901" i="1"/>
  <c r="N901" i="1" s="1"/>
  <c r="M900" i="1"/>
  <c r="H900" i="1"/>
  <c r="N900" i="1" s="1"/>
  <c r="M899" i="1"/>
  <c r="H899" i="1"/>
  <c r="N899" i="1" s="1"/>
  <c r="M898" i="1"/>
  <c r="H898" i="1"/>
  <c r="N898" i="1" s="1"/>
  <c r="H897" i="1"/>
  <c r="N897" i="1" s="1"/>
  <c r="M897" i="1"/>
  <c r="H896" i="1"/>
  <c r="N896" i="1" s="1"/>
  <c r="M896" i="1"/>
  <c r="M894" i="1"/>
  <c r="H894" i="1"/>
  <c r="N894" i="1" s="1"/>
  <c r="M893" i="1"/>
  <c r="H893" i="1"/>
  <c r="N893" i="1" s="1"/>
  <c r="M892" i="1"/>
  <c r="H892" i="1"/>
  <c r="N892" i="1" s="1"/>
  <c r="M891" i="1"/>
  <c r="H891" i="1"/>
  <c r="N891" i="1" s="1"/>
  <c r="M890" i="1"/>
  <c r="H890" i="1"/>
  <c r="N890" i="1" s="1"/>
  <c r="M889" i="1"/>
  <c r="H889" i="1"/>
  <c r="M871" i="1"/>
  <c r="J871" i="1"/>
  <c r="N871" i="1" s="1"/>
  <c r="J870" i="1"/>
  <c r="M870" i="1"/>
  <c r="M869" i="1"/>
  <c r="H869" i="1"/>
  <c r="N869" i="1" s="1"/>
  <c r="H868" i="1"/>
  <c r="N868" i="1" s="1"/>
  <c r="M868" i="1"/>
  <c r="H867" i="1"/>
  <c r="N867" i="1" s="1"/>
  <c r="M867" i="1"/>
  <c r="M866" i="1"/>
  <c r="H866" i="1"/>
  <c r="N866" i="1" s="1"/>
  <c r="M865" i="1"/>
  <c r="H865" i="1"/>
  <c r="N865" i="1" s="1"/>
  <c r="M864" i="1"/>
  <c r="H864" i="1"/>
  <c r="N864" i="1" s="1"/>
  <c r="M863" i="1"/>
  <c r="H863" i="1"/>
  <c r="N863" i="1" s="1"/>
  <c r="M862" i="1"/>
  <c r="H862" i="1"/>
  <c r="N862" i="1" s="1"/>
  <c r="M861" i="1"/>
  <c r="H861" i="1"/>
  <c r="N861" i="1" s="1"/>
  <c r="M860" i="1"/>
  <c r="H860" i="1"/>
  <c r="N860" i="1" s="1"/>
  <c r="H859" i="1"/>
  <c r="N859" i="1" s="1"/>
  <c r="M859" i="1"/>
  <c r="M858" i="1"/>
  <c r="H858" i="1"/>
  <c r="N858" i="1" s="1"/>
  <c r="H857" i="1"/>
  <c r="N857" i="1" s="1"/>
  <c r="M857" i="1"/>
  <c r="H856" i="1"/>
  <c r="N856" i="1" s="1"/>
  <c r="M856" i="1"/>
  <c r="H855" i="1"/>
  <c r="N855" i="1" s="1"/>
  <c r="M855" i="1"/>
  <c r="H854" i="1"/>
  <c r="N854" i="1" s="1"/>
  <c r="M854" i="1"/>
  <c r="M853" i="1"/>
  <c r="H853" i="1"/>
  <c r="N853" i="1" s="1"/>
  <c r="M852" i="1"/>
  <c r="H852" i="1"/>
  <c r="N852" i="1" s="1"/>
  <c r="M851" i="1"/>
  <c r="H851" i="1"/>
  <c r="N851" i="1" s="1"/>
  <c r="M850" i="1"/>
  <c r="H850" i="1"/>
  <c r="N850" i="1" s="1"/>
  <c r="M849" i="1"/>
  <c r="H849" i="1"/>
  <c r="N849" i="1" s="1"/>
  <c r="M848" i="1"/>
  <c r="H848" i="1"/>
  <c r="N848" i="1" s="1"/>
  <c r="M847" i="1"/>
  <c r="H847" i="1"/>
  <c r="N847" i="1" s="1"/>
  <c r="H846" i="1"/>
  <c r="N846" i="1" s="1"/>
  <c r="M846" i="1"/>
  <c r="H845" i="1"/>
  <c r="N845" i="1" s="1"/>
  <c r="M845" i="1"/>
  <c r="H844" i="1"/>
  <c r="N844" i="1" s="1"/>
  <c r="M844" i="1"/>
  <c r="H843" i="1"/>
  <c r="N843" i="1" s="1"/>
  <c r="M843" i="1"/>
  <c r="H842" i="1"/>
  <c r="N842" i="1" s="1"/>
  <c r="M842" i="1"/>
  <c r="M841" i="1"/>
  <c r="H841" i="1"/>
  <c r="N841" i="1" s="1"/>
  <c r="M840" i="1"/>
  <c r="H840" i="1"/>
  <c r="N840" i="1" s="1"/>
  <c r="M839" i="1"/>
  <c r="H839" i="1"/>
  <c r="N839" i="1" s="1"/>
  <c r="H838" i="1"/>
  <c r="N838" i="1" s="1"/>
  <c r="M838" i="1"/>
  <c r="H837" i="1"/>
  <c r="N837" i="1" s="1"/>
  <c r="M837" i="1"/>
  <c r="H836" i="1"/>
  <c r="N836" i="1" s="1"/>
  <c r="M836" i="1"/>
  <c r="M835" i="1"/>
  <c r="H835" i="1"/>
  <c r="N835" i="1" s="1"/>
  <c r="M834" i="1"/>
  <c r="H834" i="1"/>
  <c r="N834" i="1" s="1"/>
  <c r="M833" i="1"/>
  <c r="H833" i="1"/>
  <c r="N833" i="1" s="1"/>
  <c r="M832" i="1"/>
  <c r="H832" i="1"/>
  <c r="N832" i="1" s="1"/>
  <c r="H831" i="1"/>
  <c r="N831" i="1" s="1"/>
  <c r="M831" i="1"/>
  <c r="H830" i="1"/>
  <c r="N830" i="1" s="1"/>
  <c r="M830" i="1"/>
  <c r="M829" i="1"/>
  <c r="H829" i="1"/>
  <c r="N829" i="1" s="1"/>
  <c r="M828" i="1"/>
  <c r="H828" i="1"/>
  <c r="N828" i="1" s="1"/>
  <c r="M827" i="1"/>
  <c r="H827" i="1"/>
  <c r="N827" i="1" s="1"/>
  <c r="M826" i="1"/>
  <c r="H826" i="1"/>
  <c r="N826" i="1" s="1"/>
  <c r="M825" i="1"/>
  <c r="H825" i="1"/>
  <c r="N825" i="1" s="1"/>
  <c r="M824" i="1"/>
  <c r="H824" i="1"/>
  <c r="N824" i="1" s="1"/>
  <c r="M823" i="1"/>
  <c r="H823" i="1"/>
  <c r="N823" i="1" s="1"/>
  <c r="M822" i="1"/>
  <c r="H822" i="1"/>
  <c r="N822" i="1" s="1"/>
  <c r="M821" i="1"/>
  <c r="H821" i="1"/>
  <c r="N821" i="1" s="1"/>
  <c r="M820" i="1"/>
  <c r="H820" i="1"/>
  <c r="N820" i="1" s="1"/>
  <c r="M819" i="1"/>
  <c r="H819" i="1"/>
  <c r="N819" i="1" s="1"/>
  <c r="M818" i="1"/>
  <c r="H818" i="1"/>
  <c r="N818" i="1" s="1"/>
  <c r="M817" i="1"/>
  <c r="H817" i="1"/>
  <c r="N817" i="1" s="1"/>
  <c r="M816" i="1"/>
  <c r="H816" i="1"/>
  <c r="N816" i="1" s="1"/>
  <c r="M815" i="1"/>
  <c r="H815" i="1"/>
  <c r="N815" i="1" s="1"/>
  <c r="M814" i="1"/>
  <c r="H814" i="1"/>
  <c r="N814" i="1" s="1"/>
  <c r="M813" i="1"/>
  <c r="H813" i="1"/>
  <c r="N813" i="1" s="1"/>
  <c r="M812" i="1"/>
  <c r="H812" i="1"/>
  <c r="N812" i="1" s="1"/>
  <c r="M811" i="1"/>
  <c r="H811" i="1"/>
  <c r="N811" i="1" s="1"/>
  <c r="M810" i="1"/>
  <c r="H810" i="1"/>
  <c r="N810" i="1" s="1"/>
  <c r="H809" i="1"/>
  <c r="N809" i="1" s="1"/>
  <c r="M809" i="1"/>
  <c r="H808" i="1"/>
  <c r="N808" i="1" s="1"/>
  <c r="M808" i="1"/>
  <c r="H807" i="1"/>
  <c r="N807" i="1" s="1"/>
  <c r="M807" i="1"/>
  <c r="H806" i="1"/>
  <c r="N806" i="1" s="1"/>
  <c r="M806" i="1"/>
  <c r="H805" i="1"/>
  <c r="N805" i="1" s="1"/>
  <c r="M805" i="1"/>
  <c r="H804" i="1"/>
  <c r="N804" i="1" s="1"/>
  <c r="M804" i="1"/>
  <c r="H803" i="1"/>
  <c r="N803" i="1" s="1"/>
  <c r="M803" i="1"/>
  <c r="H802" i="1"/>
  <c r="N802" i="1" s="1"/>
  <c r="M802" i="1"/>
  <c r="H801" i="1"/>
  <c r="N801" i="1" s="1"/>
  <c r="M801" i="1"/>
  <c r="H800" i="1"/>
  <c r="N800" i="1" s="1"/>
  <c r="M800" i="1"/>
  <c r="H799" i="1"/>
  <c r="N799" i="1" s="1"/>
  <c r="M799" i="1"/>
  <c r="M798" i="1"/>
  <c r="H798" i="1"/>
  <c r="N798" i="1" s="1"/>
  <c r="M797" i="1"/>
  <c r="H797" i="1"/>
  <c r="N797" i="1" s="1"/>
  <c r="M796" i="1"/>
  <c r="H796" i="1"/>
  <c r="N796" i="1" s="1"/>
  <c r="M795" i="1"/>
  <c r="H795" i="1"/>
  <c r="N795" i="1" s="1"/>
  <c r="M794" i="1"/>
  <c r="H794" i="1"/>
  <c r="N794" i="1" s="1"/>
  <c r="M793" i="1"/>
  <c r="H793" i="1"/>
  <c r="N793" i="1" s="1"/>
  <c r="H792" i="1"/>
  <c r="N792" i="1" s="1"/>
  <c r="M792" i="1"/>
  <c r="H791" i="1"/>
  <c r="N791" i="1" s="1"/>
  <c r="M791" i="1"/>
  <c r="H790" i="1"/>
  <c r="N790" i="1" s="1"/>
  <c r="M790" i="1"/>
  <c r="H789" i="1"/>
  <c r="N789" i="1" s="1"/>
  <c r="M789" i="1"/>
  <c r="H788" i="1"/>
  <c r="N788" i="1" s="1"/>
  <c r="M788" i="1"/>
  <c r="M787" i="1"/>
  <c r="H787" i="1"/>
  <c r="N787" i="1" s="1"/>
  <c r="M786" i="1"/>
  <c r="H786" i="1"/>
  <c r="N786" i="1" s="1"/>
  <c r="M785" i="1"/>
  <c r="H785" i="1"/>
  <c r="N785" i="1" s="1"/>
  <c r="M784" i="1"/>
  <c r="H784" i="1"/>
  <c r="N784" i="1" s="1"/>
  <c r="M783" i="1"/>
  <c r="H783" i="1"/>
  <c r="N783" i="1" s="1"/>
  <c r="M782" i="1"/>
  <c r="H782" i="1"/>
  <c r="N782" i="1" s="1"/>
  <c r="H781" i="1"/>
  <c r="N781" i="1" s="1"/>
  <c r="M781" i="1"/>
  <c r="H780" i="1"/>
  <c r="N780" i="1" s="1"/>
  <c r="M780" i="1"/>
  <c r="H779" i="1"/>
  <c r="N779" i="1" s="1"/>
  <c r="M779" i="1"/>
  <c r="M778" i="1"/>
  <c r="H778" i="1"/>
  <c r="N778" i="1" s="1"/>
  <c r="H777" i="1"/>
  <c r="N777" i="1" s="1"/>
  <c r="M777" i="1"/>
  <c r="H776" i="1"/>
  <c r="N776" i="1" s="1"/>
  <c r="M776" i="1"/>
  <c r="H775" i="1"/>
  <c r="N775" i="1" s="1"/>
  <c r="M775" i="1"/>
  <c r="H774" i="1"/>
  <c r="N774" i="1" s="1"/>
  <c r="M774" i="1"/>
  <c r="H773" i="1"/>
  <c r="N773" i="1" s="1"/>
  <c r="M773" i="1"/>
  <c r="H772" i="1"/>
  <c r="N772" i="1" s="1"/>
  <c r="M772" i="1"/>
  <c r="H771" i="1"/>
  <c r="N771" i="1" s="1"/>
  <c r="M771" i="1"/>
  <c r="H770" i="1"/>
  <c r="N770" i="1" s="1"/>
  <c r="M770" i="1"/>
  <c r="M769" i="1"/>
  <c r="H769" i="1"/>
  <c r="N769" i="1" s="1"/>
  <c r="M768" i="1"/>
  <c r="H768" i="1"/>
  <c r="N768" i="1" s="1"/>
  <c r="H767" i="1"/>
  <c r="N767" i="1" s="1"/>
  <c r="M767" i="1"/>
  <c r="H766" i="1"/>
  <c r="N766" i="1" s="1"/>
  <c r="M766" i="1"/>
  <c r="M765" i="1"/>
  <c r="H765" i="1"/>
  <c r="N765" i="1" s="1"/>
  <c r="H764" i="1"/>
  <c r="N764" i="1" s="1"/>
  <c r="M764" i="1"/>
  <c r="H763" i="1"/>
  <c r="N763" i="1" s="1"/>
  <c r="M763" i="1"/>
  <c r="H762" i="1"/>
  <c r="N762" i="1" s="1"/>
  <c r="M762" i="1"/>
  <c r="M761" i="1"/>
  <c r="H761" i="1"/>
  <c r="N761" i="1" s="1"/>
  <c r="H760" i="1"/>
  <c r="N760" i="1" s="1"/>
  <c r="M760" i="1"/>
  <c r="M759" i="1"/>
  <c r="H759" i="1"/>
  <c r="N759" i="1" s="1"/>
  <c r="H758" i="1"/>
  <c r="N758" i="1" s="1"/>
  <c r="M758" i="1"/>
  <c r="M757" i="1"/>
  <c r="H757" i="1"/>
  <c r="N757" i="1" s="1"/>
  <c r="M756" i="1"/>
  <c r="H756" i="1"/>
  <c r="N756" i="1" s="1"/>
  <c r="H755" i="1"/>
  <c r="N755" i="1" s="1"/>
  <c r="M755" i="1"/>
  <c r="M754" i="1"/>
  <c r="H754" i="1"/>
  <c r="N754" i="1" s="1"/>
  <c r="H753" i="1"/>
  <c r="N753" i="1" s="1"/>
  <c r="M753" i="1"/>
  <c r="M752" i="1"/>
  <c r="H752" i="1"/>
  <c r="N752" i="1" s="1"/>
  <c r="M751" i="1"/>
  <c r="H751" i="1"/>
  <c r="N751" i="1" s="1"/>
  <c r="H750" i="1"/>
  <c r="N750" i="1" s="1"/>
  <c r="M750" i="1"/>
  <c r="M749" i="1"/>
  <c r="H749" i="1"/>
  <c r="N749" i="1" s="1"/>
  <c r="M748" i="1"/>
  <c r="H748" i="1"/>
  <c r="N748" i="1" s="1"/>
  <c r="M747" i="1"/>
  <c r="H747" i="1"/>
  <c r="N747" i="1" s="1"/>
  <c r="H746" i="1"/>
  <c r="N746" i="1" s="1"/>
  <c r="M746" i="1"/>
  <c r="M745" i="1"/>
  <c r="H745" i="1"/>
  <c r="N745" i="1" s="1"/>
  <c r="M744" i="1"/>
  <c r="H744" i="1"/>
  <c r="N744" i="1" s="1"/>
  <c r="H743" i="1"/>
  <c r="N743" i="1" s="1"/>
  <c r="M743" i="1"/>
  <c r="H742" i="1"/>
  <c r="N742" i="1" s="1"/>
  <c r="M742" i="1"/>
  <c r="M741" i="1"/>
  <c r="H741" i="1"/>
  <c r="N741" i="1" s="1"/>
  <c r="M740" i="1"/>
  <c r="H740" i="1"/>
  <c r="N740" i="1" s="1"/>
  <c r="M739" i="1"/>
  <c r="H739" i="1"/>
  <c r="N739" i="1" s="1"/>
  <c r="M738" i="1"/>
  <c r="H738" i="1"/>
  <c r="N738" i="1" s="1"/>
  <c r="H737" i="1"/>
  <c r="N737" i="1" s="1"/>
  <c r="M737" i="1"/>
  <c r="M736" i="1"/>
  <c r="H736" i="1"/>
  <c r="N736" i="1" s="1"/>
  <c r="M735" i="1"/>
  <c r="H735" i="1"/>
  <c r="N735" i="1" s="1"/>
  <c r="M734" i="1"/>
  <c r="H734" i="1"/>
  <c r="N734" i="1" s="1"/>
  <c r="H733" i="1"/>
  <c r="N733" i="1" s="1"/>
  <c r="M733" i="1"/>
  <c r="H732" i="1"/>
  <c r="N732" i="1" s="1"/>
  <c r="M732" i="1"/>
  <c r="M731" i="1"/>
  <c r="H731" i="1"/>
  <c r="N731" i="1" s="1"/>
  <c r="M730" i="1"/>
  <c r="H730" i="1"/>
  <c r="N730" i="1" s="1"/>
  <c r="H729" i="1"/>
  <c r="N729" i="1" s="1"/>
  <c r="M729" i="1"/>
  <c r="M728" i="1"/>
  <c r="H728" i="1"/>
  <c r="N728" i="1" s="1"/>
  <c r="M727" i="1"/>
  <c r="H727" i="1"/>
  <c r="N727" i="1" s="1"/>
  <c r="M726" i="1"/>
  <c r="H726" i="1"/>
  <c r="N726" i="1" s="1"/>
  <c r="H725" i="1"/>
  <c r="N725" i="1" s="1"/>
  <c r="M725" i="1"/>
  <c r="M724" i="1"/>
  <c r="H724" i="1"/>
  <c r="N724" i="1" s="1"/>
  <c r="M722" i="1"/>
  <c r="H722" i="1"/>
  <c r="N722" i="1" s="1"/>
  <c r="M721" i="1"/>
  <c r="H721" i="1"/>
  <c r="N721" i="1" s="1"/>
  <c r="M720" i="1"/>
  <c r="H720" i="1"/>
  <c r="N720" i="1" s="1"/>
  <c r="M719" i="1"/>
  <c r="H719" i="1"/>
  <c r="N719" i="1" s="1"/>
  <c r="M718" i="1"/>
  <c r="H718" i="1"/>
  <c r="N718" i="1" s="1"/>
  <c r="M717" i="1"/>
  <c r="H717" i="1"/>
  <c r="N717" i="1" s="1"/>
  <c r="M716" i="1"/>
  <c r="H716" i="1"/>
  <c r="N716" i="1" s="1"/>
  <c r="M715" i="1"/>
  <c r="H715" i="1"/>
  <c r="N715" i="1" s="1"/>
  <c r="M714" i="1"/>
  <c r="H714" i="1"/>
  <c r="N714" i="1" s="1"/>
  <c r="M713" i="1"/>
  <c r="H713" i="1"/>
  <c r="N713" i="1" s="1"/>
  <c r="M712" i="1"/>
  <c r="H712" i="1"/>
  <c r="N712" i="1" s="1"/>
  <c r="M711" i="1"/>
  <c r="H711" i="1"/>
  <c r="N711" i="1" s="1"/>
  <c r="M710" i="1"/>
  <c r="H710" i="1"/>
  <c r="N710" i="1" s="1"/>
  <c r="M709" i="1"/>
  <c r="H709" i="1"/>
  <c r="N709" i="1" s="1"/>
  <c r="M708" i="1"/>
  <c r="H708" i="1"/>
  <c r="N708" i="1" s="1"/>
  <c r="H707" i="1"/>
  <c r="M707" i="1"/>
  <c r="M697" i="1"/>
  <c r="J697" i="1"/>
  <c r="N697" i="1" s="1"/>
  <c r="J696" i="1"/>
  <c r="M696" i="1"/>
  <c r="M695" i="1"/>
  <c r="H695" i="1"/>
  <c r="N695" i="1" s="1"/>
  <c r="H694" i="1"/>
  <c r="N694" i="1" s="1"/>
  <c r="M694" i="1"/>
  <c r="M693" i="1"/>
  <c r="H693" i="1"/>
  <c r="N693" i="1" s="1"/>
  <c r="H692" i="1"/>
  <c r="N692" i="1" s="1"/>
  <c r="M692" i="1"/>
  <c r="H691" i="1"/>
  <c r="N691" i="1" s="1"/>
  <c r="M691" i="1"/>
  <c r="M690" i="1"/>
  <c r="H690" i="1"/>
  <c r="N690" i="1" s="1"/>
  <c r="M689" i="1"/>
  <c r="H689" i="1"/>
  <c r="N689" i="1" s="1"/>
  <c r="H688" i="1"/>
  <c r="N688" i="1" s="1"/>
  <c r="M688" i="1"/>
  <c r="M687" i="1"/>
  <c r="H687" i="1"/>
  <c r="N687" i="1" s="1"/>
  <c r="H686" i="1"/>
  <c r="N686" i="1" s="1"/>
  <c r="M686" i="1"/>
  <c r="H685" i="1"/>
  <c r="N685" i="1" s="1"/>
  <c r="M685" i="1"/>
  <c r="H684" i="1"/>
  <c r="N684" i="1" s="1"/>
  <c r="M684" i="1"/>
  <c r="H683" i="1"/>
  <c r="N683" i="1" s="1"/>
  <c r="M683" i="1"/>
  <c r="M682" i="1"/>
  <c r="H682" i="1"/>
  <c r="N682" i="1" s="1"/>
  <c r="H681" i="1"/>
  <c r="N681" i="1" s="1"/>
  <c r="M681" i="1"/>
  <c r="M680" i="1"/>
  <c r="H680" i="1"/>
  <c r="N680" i="1" s="1"/>
  <c r="M679" i="1"/>
  <c r="H679" i="1"/>
  <c r="N679" i="1" s="1"/>
  <c r="M678" i="1"/>
  <c r="H678" i="1"/>
  <c r="N678" i="1" s="1"/>
  <c r="M677" i="1"/>
  <c r="H677" i="1"/>
  <c r="N677" i="1" s="1"/>
  <c r="M675" i="1"/>
  <c r="H675" i="1"/>
  <c r="N675" i="1" s="1"/>
  <c r="H674" i="1"/>
  <c r="N674" i="1" s="1"/>
  <c r="M674" i="1"/>
  <c r="H673" i="1"/>
  <c r="N673" i="1" s="1"/>
  <c r="M673" i="1"/>
  <c r="H672" i="1"/>
  <c r="N672" i="1" s="1"/>
  <c r="M672" i="1"/>
  <c r="H671" i="1"/>
  <c r="N671" i="1" s="1"/>
  <c r="M671" i="1"/>
  <c r="M670" i="1"/>
  <c r="H670" i="1"/>
  <c r="N670" i="1" s="1"/>
  <c r="H669" i="1"/>
  <c r="N669" i="1" s="1"/>
  <c r="M669" i="1"/>
  <c r="M668" i="1"/>
  <c r="H668" i="1"/>
  <c r="N668" i="1" s="1"/>
  <c r="H667" i="1"/>
  <c r="N667" i="1" s="1"/>
  <c r="M667" i="1"/>
  <c r="M666" i="1"/>
  <c r="H666" i="1"/>
  <c r="N666" i="1" s="1"/>
  <c r="M665" i="1"/>
  <c r="H665" i="1"/>
  <c r="N665" i="1" s="1"/>
  <c r="M664" i="1"/>
  <c r="H664" i="1"/>
  <c r="N664" i="1" s="1"/>
  <c r="M663" i="1"/>
  <c r="H663" i="1"/>
  <c r="N663" i="1" s="1"/>
  <c r="M662" i="1"/>
  <c r="H662" i="1"/>
  <c r="N662" i="1" s="1"/>
  <c r="M661" i="1"/>
  <c r="H661" i="1"/>
  <c r="N661" i="1" s="1"/>
  <c r="M660" i="1"/>
  <c r="H660" i="1"/>
  <c r="N660" i="1" s="1"/>
  <c r="H659" i="1"/>
  <c r="N659" i="1" s="1"/>
  <c r="M659" i="1"/>
  <c r="M658" i="1"/>
  <c r="H658" i="1"/>
  <c r="N658" i="1" s="1"/>
  <c r="M657" i="1"/>
  <c r="H657" i="1"/>
  <c r="N657" i="1" s="1"/>
  <c r="M656" i="1"/>
  <c r="H656" i="1"/>
  <c r="N656" i="1" s="1"/>
  <c r="M655" i="1"/>
  <c r="H655" i="1"/>
  <c r="N655" i="1" s="1"/>
  <c r="H654" i="1"/>
  <c r="N654" i="1" s="1"/>
  <c r="M654" i="1"/>
  <c r="H653" i="1"/>
  <c r="N653" i="1" s="1"/>
  <c r="M653" i="1"/>
  <c r="M652" i="1"/>
  <c r="H652" i="1"/>
  <c r="N652" i="1" s="1"/>
  <c r="H651" i="1"/>
  <c r="N651" i="1" s="1"/>
  <c r="M651" i="1"/>
  <c r="H650" i="1"/>
  <c r="N650" i="1" s="1"/>
  <c r="M650" i="1"/>
  <c r="H649" i="1"/>
  <c r="N649" i="1" s="1"/>
  <c r="M649" i="1"/>
  <c r="M648" i="1"/>
  <c r="H648" i="1"/>
  <c r="N648" i="1" s="1"/>
  <c r="M647" i="1"/>
  <c r="H647" i="1"/>
  <c r="N647" i="1" s="1"/>
  <c r="H646" i="1"/>
  <c r="N646" i="1" s="1"/>
  <c r="M646" i="1"/>
  <c r="H645" i="1"/>
  <c r="N645" i="1" s="1"/>
  <c r="M645" i="1"/>
  <c r="H644" i="1"/>
  <c r="N644" i="1" s="1"/>
  <c r="M644" i="1"/>
  <c r="H643" i="1"/>
  <c r="N643" i="1" s="1"/>
  <c r="M643" i="1"/>
  <c r="M642" i="1"/>
  <c r="H642" i="1"/>
  <c r="N642" i="1" s="1"/>
  <c r="H641" i="1"/>
  <c r="N641" i="1" s="1"/>
  <c r="M641" i="1"/>
  <c r="M640" i="1"/>
  <c r="H640" i="1"/>
  <c r="N640" i="1" s="1"/>
  <c r="M639" i="1"/>
  <c r="H639" i="1"/>
  <c r="N639" i="1" s="1"/>
  <c r="M638" i="1"/>
  <c r="H638" i="1"/>
  <c r="N638" i="1" s="1"/>
  <c r="M637" i="1"/>
  <c r="H637" i="1"/>
  <c r="N637" i="1" s="1"/>
  <c r="H636" i="1"/>
  <c r="N636" i="1" s="1"/>
  <c r="M636" i="1"/>
  <c r="M635" i="1"/>
  <c r="H635" i="1"/>
  <c r="N635" i="1" s="1"/>
  <c r="M634" i="1"/>
  <c r="H634" i="1"/>
  <c r="N634" i="1" s="1"/>
  <c r="M633" i="1"/>
  <c r="H633" i="1"/>
  <c r="N633" i="1" s="1"/>
  <c r="M632" i="1"/>
  <c r="H632" i="1"/>
  <c r="N632" i="1" s="1"/>
  <c r="M631" i="1"/>
  <c r="H631" i="1"/>
  <c r="N631" i="1" s="1"/>
  <c r="M630" i="1"/>
  <c r="H630" i="1"/>
  <c r="N630" i="1" s="1"/>
  <c r="M629" i="1"/>
  <c r="H629" i="1"/>
  <c r="N629" i="1" s="1"/>
  <c r="H628" i="1"/>
  <c r="N628" i="1" s="1"/>
  <c r="M628" i="1"/>
  <c r="M627" i="1"/>
  <c r="H627" i="1"/>
  <c r="N627" i="1" s="1"/>
  <c r="M626" i="1"/>
  <c r="H626" i="1"/>
  <c r="N626" i="1" s="1"/>
  <c r="M625" i="1"/>
  <c r="H625" i="1"/>
  <c r="N625" i="1" s="1"/>
  <c r="H624" i="1"/>
  <c r="N624" i="1" s="1"/>
  <c r="M624" i="1"/>
  <c r="M623" i="1"/>
  <c r="H623" i="1"/>
  <c r="N623" i="1" s="1"/>
  <c r="M622" i="1"/>
  <c r="H622" i="1"/>
  <c r="N622" i="1" s="1"/>
  <c r="M621" i="1"/>
  <c r="H621" i="1"/>
  <c r="N621" i="1" s="1"/>
  <c r="H620" i="1"/>
  <c r="N620" i="1" s="1"/>
  <c r="M620" i="1"/>
  <c r="M619" i="1"/>
  <c r="H619" i="1"/>
  <c r="N619" i="1" s="1"/>
  <c r="H618" i="1"/>
  <c r="N618" i="1" s="1"/>
  <c r="M618" i="1"/>
  <c r="H617" i="1"/>
  <c r="N617" i="1" s="1"/>
  <c r="M617" i="1"/>
  <c r="H616" i="1"/>
  <c r="N616" i="1" s="1"/>
  <c r="M616" i="1"/>
  <c r="M615" i="1"/>
  <c r="H615" i="1"/>
  <c r="N615" i="1" s="1"/>
  <c r="M614" i="1"/>
  <c r="H614" i="1"/>
  <c r="N614" i="1" s="1"/>
  <c r="M613" i="1"/>
  <c r="H613" i="1"/>
  <c r="N613" i="1" s="1"/>
  <c r="M612" i="1"/>
  <c r="H612" i="1"/>
  <c r="N612" i="1" s="1"/>
  <c r="M611" i="1"/>
  <c r="H611" i="1"/>
  <c r="N611" i="1" s="1"/>
  <c r="M610" i="1"/>
  <c r="H610" i="1"/>
  <c r="N610" i="1" s="1"/>
  <c r="M609" i="1"/>
  <c r="H609" i="1"/>
  <c r="N609" i="1" s="1"/>
  <c r="H608" i="1"/>
  <c r="N608" i="1" s="1"/>
  <c r="M608" i="1"/>
  <c r="H607" i="1"/>
  <c r="N607" i="1" s="1"/>
  <c r="M607" i="1"/>
  <c r="M606" i="1"/>
  <c r="H606" i="1"/>
  <c r="N606" i="1" s="1"/>
  <c r="M605" i="1"/>
  <c r="H605" i="1"/>
  <c r="N605" i="1" s="1"/>
  <c r="M604" i="1"/>
  <c r="H604" i="1"/>
  <c r="N604" i="1" s="1"/>
  <c r="M603" i="1"/>
  <c r="H603" i="1"/>
  <c r="N603" i="1" s="1"/>
  <c r="M602" i="1"/>
  <c r="H602" i="1"/>
  <c r="N602" i="1" s="1"/>
  <c r="M601" i="1"/>
  <c r="H601" i="1"/>
  <c r="N601" i="1" s="1"/>
  <c r="M600" i="1"/>
  <c r="H600" i="1"/>
  <c r="N600" i="1" s="1"/>
  <c r="H599" i="1"/>
  <c r="N599" i="1" s="1"/>
  <c r="M599" i="1"/>
  <c r="M598" i="1"/>
  <c r="H598" i="1"/>
  <c r="N598" i="1" s="1"/>
  <c r="H597" i="1"/>
  <c r="N597" i="1" s="1"/>
  <c r="M597" i="1"/>
  <c r="M596" i="1"/>
  <c r="H596" i="1"/>
  <c r="N596" i="1" s="1"/>
  <c r="M595" i="1"/>
  <c r="H595" i="1"/>
  <c r="N595" i="1" s="1"/>
  <c r="M594" i="1"/>
  <c r="H594" i="1"/>
  <c r="N594" i="1" s="1"/>
  <c r="M593" i="1"/>
  <c r="H593" i="1"/>
  <c r="N593" i="1" s="1"/>
  <c r="M592" i="1"/>
  <c r="H592" i="1"/>
  <c r="N592" i="1" s="1"/>
  <c r="M591" i="1"/>
  <c r="H591" i="1"/>
  <c r="N591" i="1" s="1"/>
  <c r="M590" i="1"/>
  <c r="H590" i="1"/>
  <c r="N590" i="1" s="1"/>
  <c r="H589" i="1"/>
  <c r="N589" i="1" s="1"/>
  <c r="M589" i="1"/>
  <c r="M588" i="1"/>
  <c r="H588" i="1"/>
  <c r="N588" i="1" s="1"/>
  <c r="M587" i="1"/>
  <c r="H587" i="1"/>
  <c r="N587" i="1" s="1"/>
  <c r="M586" i="1"/>
  <c r="H586" i="1"/>
  <c r="N586" i="1" s="1"/>
  <c r="H585" i="1"/>
  <c r="N585" i="1" s="1"/>
  <c r="M585" i="1"/>
  <c r="M584" i="1"/>
  <c r="H584" i="1"/>
  <c r="N584" i="1" s="1"/>
  <c r="M583" i="1"/>
  <c r="H583" i="1"/>
  <c r="N583" i="1" s="1"/>
  <c r="M582" i="1"/>
  <c r="H582" i="1"/>
  <c r="N582" i="1" s="1"/>
  <c r="H581" i="1"/>
  <c r="N581" i="1" s="1"/>
  <c r="M581" i="1"/>
  <c r="M580" i="1"/>
  <c r="H580" i="1"/>
  <c r="N580" i="1" s="1"/>
  <c r="M579" i="1"/>
  <c r="H579" i="1"/>
  <c r="N579" i="1" s="1"/>
  <c r="M578" i="1"/>
  <c r="H578" i="1"/>
  <c r="N578" i="1" s="1"/>
  <c r="M577" i="1"/>
  <c r="H577" i="1"/>
  <c r="N577" i="1" s="1"/>
  <c r="M576" i="1"/>
  <c r="H576" i="1"/>
  <c r="N576" i="1" s="1"/>
  <c r="M575" i="1"/>
  <c r="H575" i="1"/>
  <c r="N575" i="1" s="1"/>
  <c r="H574" i="1"/>
  <c r="N574" i="1" s="1"/>
  <c r="M574" i="1"/>
  <c r="M573" i="1"/>
  <c r="H573" i="1"/>
  <c r="N573" i="1" s="1"/>
  <c r="M572" i="1"/>
  <c r="H572" i="1"/>
  <c r="N572" i="1" s="1"/>
  <c r="M571" i="1"/>
  <c r="H571" i="1"/>
  <c r="N571" i="1" s="1"/>
  <c r="M570" i="1"/>
  <c r="H570" i="1"/>
  <c r="N570" i="1" s="1"/>
  <c r="M569" i="1"/>
  <c r="H569" i="1"/>
  <c r="N569" i="1" s="1"/>
  <c r="M568" i="1"/>
  <c r="H568" i="1"/>
  <c r="N568" i="1" s="1"/>
  <c r="M567" i="1"/>
  <c r="H567" i="1"/>
  <c r="N567" i="1" s="1"/>
  <c r="M566" i="1"/>
  <c r="H566" i="1"/>
  <c r="N566" i="1" s="1"/>
  <c r="M565" i="1"/>
  <c r="H565" i="1"/>
  <c r="N565" i="1" s="1"/>
  <c r="M564" i="1"/>
  <c r="H564" i="1"/>
  <c r="N564" i="1" s="1"/>
  <c r="M563" i="1"/>
  <c r="H563" i="1"/>
  <c r="N563" i="1" s="1"/>
  <c r="M562" i="1"/>
  <c r="H562" i="1"/>
  <c r="N562" i="1" s="1"/>
  <c r="M561" i="1"/>
  <c r="H561" i="1"/>
  <c r="N561" i="1" s="1"/>
  <c r="M560" i="1"/>
  <c r="H560" i="1"/>
  <c r="N560" i="1" s="1"/>
  <c r="M559" i="1"/>
  <c r="H559" i="1"/>
  <c r="N559" i="1" s="1"/>
  <c r="M558" i="1"/>
  <c r="H558" i="1"/>
  <c r="N558" i="1" s="1"/>
  <c r="M557" i="1"/>
  <c r="H557" i="1"/>
  <c r="N557" i="1" s="1"/>
  <c r="M556" i="1"/>
  <c r="H556" i="1"/>
  <c r="N556" i="1" s="1"/>
  <c r="M555" i="1"/>
  <c r="H555" i="1"/>
  <c r="N555" i="1" s="1"/>
  <c r="M554" i="1"/>
  <c r="H554" i="1"/>
  <c r="N554" i="1" s="1"/>
  <c r="M553" i="1"/>
  <c r="H553" i="1"/>
  <c r="N553" i="1" s="1"/>
  <c r="M552" i="1"/>
  <c r="H552" i="1"/>
  <c r="N552" i="1" s="1"/>
  <c r="M551" i="1"/>
  <c r="H551" i="1"/>
  <c r="N551" i="1" s="1"/>
  <c r="M550" i="1"/>
  <c r="H550" i="1"/>
  <c r="N550" i="1" s="1"/>
  <c r="H549" i="1"/>
  <c r="N549" i="1" s="1"/>
  <c r="M549" i="1"/>
  <c r="H548" i="1"/>
  <c r="N548" i="1" s="1"/>
  <c r="M548" i="1"/>
  <c r="M547" i="1"/>
  <c r="H547" i="1"/>
  <c r="N547" i="1" s="1"/>
  <c r="M546" i="1"/>
  <c r="H546" i="1"/>
  <c r="N546" i="1" s="1"/>
  <c r="M545" i="1"/>
  <c r="H545" i="1"/>
  <c r="N545" i="1" s="1"/>
  <c r="M544" i="1"/>
  <c r="H544" i="1"/>
  <c r="N544" i="1" s="1"/>
  <c r="H543" i="1"/>
  <c r="N543" i="1" s="1"/>
  <c r="M543" i="1"/>
  <c r="H542" i="1"/>
  <c r="N542" i="1" s="1"/>
  <c r="M542" i="1"/>
  <c r="H541" i="1"/>
  <c r="N541" i="1" s="1"/>
  <c r="M541" i="1"/>
  <c r="H540" i="1"/>
  <c r="N540" i="1" s="1"/>
  <c r="M540" i="1"/>
  <c r="H539" i="1"/>
  <c r="N539" i="1" s="1"/>
  <c r="M539" i="1"/>
  <c r="M538" i="1"/>
  <c r="H538" i="1"/>
  <c r="N538" i="1" s="1"/>
  <c r="H537" i="1"/>
  <c r="N537" i="1" s="1"/>
  <c r="M537" i="1"/>
  <c r="H536" i="1"/>
  <c r="N536" i="1" s="1"/>
  <c r="M536" i="1"/>
  <c r="H535" i="1"/>
  <c r="N535" i="1" s="1"/>
  <c r="M535" i="1"/>
  <c r="H534" i="1"/>
  <c r="N534" i="1" s="1"/>
  <c r="M534" i="1"/>
  <c r="M533" i="1"/>
  <c r="H533" i="1"/>
  <c r="N533" i="1" s="1"/>
  <c r="H532" i="1"/>
  <c r="N532" i="1" s="1"/>
  <c r="M532" i="1"/>
  <c r="M531" i="1"/>
  <c r="H531" i="1"/>
  <c r="N531" i="1" s="1"/>
  <c r="M530" i="1"/>
  <c r="H530" i="1"/>
  <c r="N530" i="1" s="1"/>
  <c r="H529" i="1"/>
  <c r="N529" i="1" s="1"/>
  <c r="M529" i="1"/>
  <c r="M528" i="1"/>
  <c r="H528" i="1"/>
  <c r="N528" i="1" s="1"/>
  <c r="H527" i="1"/>
  <c r="N527" i="1" s="1"/>
  <c r="M527" i="1"/>
  <c r="H526" i="1"/>
  <c r="N526" i="1" s="1"/>
  <c r="M526" i="1"/>
  <c r="H525" i="1"/>
  <c r="N525" i="1" s="1"/>
  <c r="M525" i="1"/>
  <c r="M524" i="1"/>
  <c r="H524" i="1"/>
  <c r="N524" i="1" s="1"/>
  <c r="H523" i="1"/>
  <c r="N523" i="1" s="1"/>
  <c r="M523" i="1"/>
  <c r="H522" i="1"/>
  <c r="N522" i="1" s="1"/>
  <c r="M522" i="1"/>
  <c r="H521" i="1"/>
  <c r="N521" i="1" s="1"/>
  <c r="M521" i="1"/>
  <c r="H520" i="1"/>
  <c r="N520" i="1" s="1"/>
  <c r="M520" i="1"/>
  <c r="H519" i="1"/>
  <c r="N519" i="1" s="1"/>
  <c r="M519" i="1"/>
  <c r="H518" i="1"/>
  <c r="N518" i="1" s="1"/>
  <c r="M518" i="1"/>
  <c r="H517" i="1"/>
  <c r="N517" i="1" s="1"/>
  <c r="M517" i="1"/>
  <c r="H516" i="1"/>
  <c r="N516" i="1" s="1"/>
  <c r="M516" i="1"/>
  <c r="M515" i="1"/>
  <c r="H515" i="1"/>
  <c r="N515" i="1" s="1"/>
  <c r="M514" i="1"/>
  <c r="H514" i="1"/>
  <c r="N514" i="1" s="1"/>
  <c r="H513" i="1"/>
  <c r="N513" i="1" s="1"/>
  <c r="M513" i="1"/>
  <c r="H512" i="1"/>
  <c r="N512" i="1" s="1"/>
  <c r="M512" i="1"/>
  <c r="H511" i="1"/>
  <c r="N511" i="1" s="1"/>
  <c r="M511" i="1"/>
  <c r="H510" i="1"/>
  <c r="N510" i="1" s="1"/>
  <c r="M510" i="1"/>
  <c r="M508" i="1"/>
  <c r="H508" i="1"/>
  <c r="N508" i="1" s="1"/>
  <c r="M507" i="1"/>
  <c r="H507" i="1"/>
  <c r="N507" i="1" s="1"/>
  <c r="H506" i="1"/>
  <c r="N506" i="1" s="1"/>
  <c r="M506" i="1"/>
  <c r="H505" i="1"/>
  <c r="N505" i="1" s="1"/>
  <c r="M505" i="1"/>
  <c r="H504" i="1"/>
  <c r="N504" i="1" s="1"/>
  <c r="M504" i="1"/>
  <c r="H503" i="1"/>
  <c r="N503" i="1" s="1"/>
  <c r="M503" i="1"/>
  <c r="M502" i="1"/>
  <c r="H502" i="1"/>
  <c r="N502" i="1" s="1"/>
  <c r="M501" i="1"/>
  <c r="H501" i="1"/>
  <c r="N501" i="1" s="1"/>
  <c r="M500" i="1"/>
  <c r="H500" i="1"/>
  <c r="N500" i="1" s="1"/>
  <c r="M499" i="1"/>
  <c r="H499" i="1"/>
  <c r="J491" i="1"/>
  <c r="N491" i="1" s="1"/>
  <c r="M491" i="1"/>
  <c r="M490" i="1"/>
  <c r="J490" i="1"/>
  <c r="H489" i="1"/>
  <c r="N489" i="1" s="1"/>
  <c r="M489" i="1"/>
  <c r="M488" i="1"/>
  <c r="H488" i="1"/>
  <c r="N488" i="1" s="1"/>
  <c r="M487" i="1"/>
  <c r="H487" i="1"/>
  <c r="N487" i="1" s="1"/>
  <c r="H486" i="1"/>
  <c r="N486" i="1" s="1"/>
  <c r="M486" i="1"/>
  <c r="H485" i="1"/>
  <c r="N485" i="1" s="1"/>
  <c r="M485" i="1"/>
  <c r="H484" i="1"/>
  <c r="N484" i="1" s="1"/>
  <c r="M484" i="1"/>
  <c r="H483" i="1"/>
  <c r="N483" i="1" s="1"/>
  <c r="M483" i="1"/>
  <c r="H482" i="1"/>
  <c r="N482" i="1" s="1"/>
  <c r="M482" i="1"/>
  <c r="M481" i="1"/>
  <c r="H481" i="1"/>
  <c r="N481" i="1" s="1"/>
  <c r="H480" i="1"/>
  <c r="N480" i="1" s="1"/>
  <c r="M480" i="1"/>
  <c r="H479" i="1"/>
  <c r="N479" i="1" s="1"/>
  <c r="M479" i="1"/>
  <c r="H478" i="1"/>
  <c r="N478" i="1" s="1"/>
  <c r="M478" i="1"/>
  <c r="M477" i="1"/>
  <c r="H477" i="1"/>
  <c r="N477" i="1" s="1"/>
  <c r="M476" i="1"/>
  <c r="H476" i="1"/>
  <c r="N476" i="1" s="1"/>
  <c r="H475" i="1"/>
  <c r="N475" i="1" s="1"/>
  <c r="M475" i="1"/>
  <c r="M474" i="1"/>
  <c r="H474" i="1"/>
  <c r="N474" i="1" s="1"/>
  <c r="M473" i="1"/>
  <c r="H473" i="1"/>
  <c r="J448" i="1"/>
  <c r="N448" i="1" s="1"/>
  <c r="M448" i="1"/>
  <c r="M447" i="1"/>
  <c r="J447" i="1"/>
  <c r="H445" i="1"/>
  <c r="N445" i="1" s="1"/>
  <c r="M445" i="1"/>
  <c r="H444" i="1"/>
  <c r="N444" i="1" s="1"/>
  <c r="M444" i="1"/>
  <c r="M443" i="1"/>
  <c r="H443" i="1"/>
  <c r="N443" i="1" s="1"/>
  <c r="H442" i="1"/>
  <c r="N442" i="1" s="1"/>
  <c r="M442" i="1"/>
  <c r="H441" i="1"/>
  <c r="N441" i="1" s="1"/>
  <c r="M441" i="1"/>
  <c r="H440" i="1"/>
  <c r="N440" i="1" s="1"/>
  <c r="M440" i="1"/>
  <c r="M439" i="1"/>
  <c r="H439" i="1"/>
  <c r="N439" i="1" s="1"/>
  <c r="M438" i="1"/>
  <c r="H438" i="1"/>
  <c r="N438" i="1" s="1"/>
  <c r="M437" i="1"/>
  <c r="H437" i="1"/>
  <c r="N437" i="1" s="1"/>
  <c r="M436" i="1"/>
  <c r="H436" i="1"/>
  <c r="N436" i="1" s="1"/>
  <c r="M435" i="1"/>
  <c r="H435" i="1"/>
  <c r="N435" i="1" s="1"/>
  <c r="M434" i="1"/>
  <c r="H434" i="1"/>
  <c r="N434" i="1" s="1"/>
  <c r="M433" i="1"/>
  <c r="H433" i="1"/>
  <c r="N433" i="1" s="1"/>
  <c r="M432" i="1"/>
  <c r="H432" i="1"/>
  <c r="N432" i="1" s="1"/>
  <c r="H431" i="1"/>
  <c r="N431" i="1" s="1"/>
  <c r="M431" i="1"/>
  <c r="M430" i="1"/>
  <c r="H430" i="1"/>
  <c r="N430" i="1" s="1"/>
  <c r="M429" i="1"/>
  <c r="H429" i="1"/>
  <c r="N429" i="1" s="1"/>
  <c r="H428" i="1"/>
  <c r="N428" i="1" s="1"/>
  <c r="M428" i="1"/>
  <c r="H427" i="1"/>
  <c r="N427" i="1" s="1"/>
  <c r="M427" i="1"/>
  <c r="H426" i="1"/>
  <c r="N426" i="1" s="1"/>
  <c r="M426" i="1"/>
  <c r="H425" i="1"/>
  <c r="N425" i="1" s="1"/>
  <c r="M425" i="1"/>
  <c r="H424" i="1"/>
  <c r="N424" i="1" s="1"/>
  <c r="M424" i="1"/>
  <c r="H423" i="1"/>
  <c r="N423" i="1" s="1"/>
  <c r="M423" i="1"/>
  <c r="H422" i="1"/>
  <c r="N422" i="1" s="1"/>
  <c r="M422" i="1"/>
  <c r="H421" i="1"/>
  <c r="N421" i="1" s="1"/>
  <c r="M421" i="1"/>
  <c r="H420" i="1"/>
  <c r="N420" i="1" s="1"/>
  <c r="M420" i="1"/>
  <c r="H419" i="1"/>
  <c r="N419" i="1" s="1"/>
  <c r="M419" i="1"/>
  <c r="H418" i="1"/>
  <c r="N418" i="1" s="1"/>
  <c r="M418" i="1"/>
  <c r="M417" i="1"/>
  <c r="H417" i="1"/>
  <c r="N417" i="1" s="1"/>
  <c r="M416" i="1"/>
  <c r="H416" i="1"/>
  <c r="N416" i="1" s="1"/>
  <c r="M415" i="1"/>
  <c r="H415" i="1"/>
  <c r="N415" i="1" s="1"/>
  <c r="H414" i="1"/>
  <c r="N414" i="1" s="1"/>
  <c r="M414" i="1"/>
  <c r="H413" i="1"/>
  <c r="N413" i="1" s="1"/>
  <c r="M413" i="1"/>
  <c r="H412" i="1"/>
  <c r="N412" i="1" s="1"/>
  <c r="M412" i="1"/>
  <c r="M411" i="1"/>
  <c r="H411" i="1"/>
  <c r="N411" i="1" s="1"/>
  <c r="H410" i="1"/>
  <c r="N410" i="1" s="1"/>
  <c r="M410" i="1"/>
  <c r="M409" i="1"/>
  <c r="H409" i="1"/>
  <c r="N409" i="1" s="1"/>
  <c r="M408" i="1"/>
  <c r="H408" i="1"/>
  <c r="N408" i="1" s="1"/>
  <c r="H407" i="1"/>
  <c r="N407" i="1" s="1"/>
  <c r="M407" i="1"/>
  <c r="H406" i="1"/>
  <c r="N406" i="1" s="1"/>
  <c r="M406" i="1"/>
  <c r="M405" i="1"/>
  <c r="H405" i="1"/>
  <c r="N405" i="1" s="1"/>
  <c r="M404" i="1"/>
  <c r="H404" i="1"/>
  <c r="N404" i="1" s="1"/>
  <c r="M403" i="1"/>
  <c r="H403" i="1"/>
  <c r="N403" i="1" s="1"/>
  <c r="M402" i="1"/>
  <c r="H402" i="1"/>
  <c r="N402" i="1" s="1"/>
  <c r="M401" i="1"/>
  <c r="H401" i="1"/>
  <c r="N401" i="1" s="1"/>
  <c r="H400" i="1"/>
  <c r="N400" i="1" s="1"/>
  <c r="M400" i="1"/>
  <c r="H399" i="1"/>
  <c r="N399" i="1" s="1"/>
  <c r="M399" i="1"/>
  <c r="H398" i="1"/>
  <c r="N398" i="1" s="1"/>
  <c r="M398" i="1"/>
  <c r="M397" i="1"/>
  <c r="H397" i="1"/>
  <c r="N397" i="1" s="1"/>
  <c r="H396" i="1"/>
  <c r="N396" i="1" s="1"/>
  <c r="M396" i="1"/>
  <c r="H395" i="1"/>
  <c r="N395" i="1" s="1"/>
  <c r="M395" i="1"/>
  <c r="H394" i="1"/>
  <c r="N394" i="1" s="1"/>
  <c r="M394" i="1"/>
  <c r="M393" i="1"/>
  <c r="H393" i="1"/>
  <c r="N393" i="1" s="1"/>
  <c r="M392" i="1"/>
  <c r="H392" i="1"/>
  <c r="N392" i="1" s="1"/>
  <c r="M391" i="1"/>
  <c r="H391" i="1"/>
  <c r="N391" i="1" s="1"/>
  <c r="H390" i="1"/>
  <c r="N390" i="1" s="1"/>
  <c r="M390" i="1"/>
  <c r="M389" i="1"/>
  <c r="H389" i="1"/>
  <c r="N389" i="1" s="1"/>
  <c r="M388" i="1"/>
  <c r="H388" i="1"/>
  <c r="N388" i="1" s="1"/>
  <c r="H387" i="1"/>
  <c r="N387" i="1" s="1"/>
  <c r="M387" i="1"/>
  <c r="M386" i="1"/>
  <c r="H386" i="1"/>
  <c r="N386" i="1" s="1"/>
  <c r="M385" i="1"/>
  <c r="H385" i="1"/>
  <c r="N385" i="1" s="1"/>
  <c r="H384" i="1"/>
  <c r="N384" i="1" s="1"/>
  <c r="M384" i="1"/>
  <c r="M383" i="1"/>
  <c r="H383" i="1"/>
  <c r="N383" i="1" s="1"/>
  <c r="M382" i="1"/>
  <c r="H382" i="1"/>
  <c r="N382" i="1" s="1"/>
  <c r="M381" i="1"/>
  <c r="H381" i="1"/>
  <c r="N381" i="1" s="1"/>
  <c r="H380" i="1"/>
  <c r="N380" i="1" s="1"/>
  <c r="M380" i="1"/>
  <c r="H379" i="1"/>
  <c r="N379" i="1" s="1"/>
  <c r="M379" i="1"/>
  <c r="H378" i="1"/>
  <c r="N378" i="1" s="1"/>
  <c r="M378" i="1"/>
  <c r="M377" i="1"/>
  <c r="H377" i="1"/>
  <c r="N377" i="1" s="1"/>
  <c r="M376" i="1"/>
  <c r="H376" i="1"/>
  <c r="N376" i="1" s="1"/>
  <c r="H375" i="1"/>
  <c r="N375" i="1" s="1"/>
  <c r="M375" i="1"/>
  <c r="H374" i="1"/>
  <c r="N374" i="1" s="1"/>
  <c r="M374" i="1"/>
  <c r="H373" i="1"/>
  <c r="N373" i="1" s="1"/>
  <c r="M373" i="1"/>
  <c r="M372" i="1"/>
  <c r="H372" i="1"/>
  <c r="N372" i="1" s="1"/>
  <c r="M371" i="1"/>
  <c r="H371" i="1"/>
  <c r="N371" i="1" s="1"/>
  <c r="H370" i="1"/>
  <c r="N370" i="1" s="1"/>
  <c r="M370" i="1"/>
  <c r="H369" i="1"/>
  <c r="N369" i="1" s="1"/>
  <c r="M369" i="1"/>
  <c r="M368" i="1"/>
  <c r="H368" i="1"/>
  <c r="N368" i="1" s="1"/>
  <c r="M367" i="1"/>
  <c r="H367" i="1"/>
  <c r="N367" i="1" s="1"/>
  <c r="H366" i="1"/>
  <c r="N366" i="1" s="1"/>
  <c r="M366" i="1"/>
  <c r="M365" i="1"/>
  <c r="H365" i="1"/>
  <c r="N365" i="1" s="1"/>
  <c r="H364" i="1"/>
  <c r="N364" i="1" s="1"/>
  <c r="M364" i="1"/>
  <c r="H363" i="1"/>
  <c r="N363" i="1" s="1"/>
  <c r="M363" i="1"/>
  <c r="M362" i="1"/>
  <c r="H362" i="1"/>
  <c r="N362" i="1" s="1"/>
  <c r="H361" i="1"/>
  <c r="N361" i="1" s="1"/>
  <c r="M361" i="1"/>
  <c r="H360" i="1"/>
  <c r="N360" i="1" s="1"/>
  <c r="M360" i="1"/>
  <c r="M359" i="1"/>
  <c r="H359" i="1"/>
  <c r="N359" i="1" s="1"/>
  <c r="M358" i="1"/>
  <c r="H358" i="1"/>
  <c r="N358" i="1" s="1"/>
  <c r="M357" i="1"/>
  <c r="H357" i="1"/>
  <c r="N357" i="1" s="1"/>
  <c r="M356" i="1"/>
  <c r="H356" i="1"/>
  <c r="N356" i="1" s="1"/>
  <c r="M355" i="1"/>
  <c r="H355" i="1"/>
  <c r="N355" i="1" s="1"/>
  <c r="M354" i="1"/>
  <c r="H354" i="1"/>
  <c r="N354" i="1" s="1"/>
  <c r="M353" i="1"/>
  <c r="H353" i="1"/>
  <c r="N353" i="1" s="1"/>
  <c r="M352" i="1"/>
  <c r="H352" i="1"/>
  <c r="N352" i="1" s="1"/>
  <c r="M351" i="1"/>
  <c r="H351" i="1"/>
  <c r="N351" i="1" s="1"/>
  <c r="M350" i="1"/>
  <c r="H350" i="1"/>
  <c r="N350" i="1" s="1"/>
  <c r="M349" i="1"/>
  <c r="H349" i="1"/>
  <c r="N349" i="1" s="1"/>
  <c r="M348" i="1"/>
  <c r="H348" i="1"/>
  <c r="N348" i="1" s="1"/>
  <c r="M347" i="1"/>
  <c r="H347" i="1"/>
  <c r="N347" i="1" s="1"/>
  <c r="M346" i="1"/>
  <c r="H346" i="1"/>
  <c r="N346" i="1" s="1"/>
  <c r="H345" i="1"/>
  <c r="N345" i="1" s="1"/>
  <c r="M345" i="1"/>
  <c r="H344" i="1"/>
  <c r="N344" i="1" s="1"/>
  <c r="M344" i="1"/>
  <c r="M343" i="1"/>
  <c r="H343" i="1"/>
  <c r="N343" i="1" s="1"/>
  <c r="H342" i="1"/>
  <c r="N342" i="1" s="1"/>
  <c r="M342" i="1"/>
  <c r="M341" i="1"/>
  <c r="H341" i="1"/>
  <c r="N341" i="1" s="1"/>
  <c r="M340" i="1"/>
  <c r="H340" i="1"/>
  <c r="N340" i="1" s="1"/>
  <c r="H339" i="1"/>
  <c r="N339" i="1" s="1"/>
  <c r="M339" i="1"/>
  <c r="H338" i="1"/>
  <c r="N338" i="1" s="1"/>
  <c r="M338" i="1"/>
  <c r="H337" i="1"/>
  <c r="N337" i="1" s="1"/>
  <c r="M337" i="1"/>
  <c r="M336" i="1"/>
  <c r="H336" i="1"/>
  <c r="N336" i="1" s="1"/>
  <c r="M335" i="1"/>
  <c r="H335" i="1"/>
  <c r="N335" i="1" s="1"/>
  <c r="M334" i="1"/>
  <c r="H334" i="1"/>
  <c r="N334" i="1" s="1"/>
  <c r="M333" i="1"/>
  <c r="H333" i="1"/>
  <c r="N333" i="1" s="1"/>
  <c r="M332" i="1"/>
  <c r="H332" i="1"/>
  <c r="N332" i="1" s="1"/>
  <c r="H331" i="1"/>
  <c r="N331" i="1" s="1"/>
  <c r="M331" i="1"/>
  <c r="M330" i="1"/>
  <c r="H330" i="1"/>
  <c r="N330" i="1" s="1"/>
  <c r="M329" i="1"/>
  <c r="H329" i="1"/>
  <c r="N329" i="1" s="1"/>
  <c r="M328" i="1"/>
  <c r="H328" i="1"/>
  <c r="N328" i="1" s="1"/>
  <c r="H327" i="1"/>
  <c r="N327" i="1" s="1"/>
  <c r="M327" i="1"/>
  <c r="M326" i="1"/>
  <c r="H326" i="1"/>
  <c r="N326" i="1" s="1"/>
  <c r="M325" i="1"/>
  <c r="H325" i="1"/>
  <c r="N325" i="1" s="1"/>
  <c r="M324" i="1"/>
  <c r="H324" i="1"/>
  <c r="N324" i="1" s="1"/>
  <c r="H323" i="1"/>
  <c r="N323" i="1" s="1"/>
  <c r="M323" i="1"/>
  <c r="H322" i="1"/>
  <c r="N322" i="1" s="1"/>
  <c r="M322" i="1"/>
  <c r="H321" i="1"/>
  <c r="N321" i="1" s="1"/>
  <c r="M321" i="1"/>
  <c r="H320" i="1"/>
  <c r="N320" i="1" s="1"/>
  <c r="M320" i="1"/>
  <c r="H319" i="1"/>
  <c r="N319" i="1" s="1"/>
  <c r="M319" i="1"/>
  <c r="M318" i="1"/>
  <c r="H318" i="1"/>
  <c r="N318" i="1" s="1"/>
  <c r="M317" i="1"/>
  <c r="H317" i="1"/>
  <c r="N317" i="1" s="1"/>
  <c r="M316" i="1"/>
  <c r="H316" i="1"/>
  <c r="N316" i="1" s="1"/>
  <c r="M315" i="1"/>
  <c r="H315" i="1"/>
  <c r="N315" i="1" s="1"/>
  <c r="M314" i="1"/>
  <c r="H314" i="1"/>
  <c r="N314" i="1" s="1"/>
  <c r="M313" i="1"/>
  <c r="H313" i="1"/>
  <c r="N313" i="1" s="1"/>
  <c r="H312" i="1"/>
  <c r="N312" i="1" s="1"/>
  <c r="M312" i="1"/>
  <c r="M311" i="1"/>
  <c r="H311" i="1"/>
  <c r="N311" i="1" s="1"/>
  <c r="M310" i="1"/>
  <c r="H310" i="1"/>
  <c r="N310" i="1" s="1"/>
  <c r="M309" i="1"/>
  <c r="H309" i="1"/>
  <c r="N309" i="1" s="1"/>
  <c r="M308" i="1"/>
  <c r="H308" i="1"/>
  <c r="N308" i="1" s="1"/>
  <c r="M307" i="1"/>
  <c r="H307" i="1"/>
  <c r="N307" i="1" s="1"/>
  <c r="M306" i="1"/>
  <c r="H306" i="1"/>
  <c r="N306" i="1" s="1"/>
  <c r="M305" i="1"/>
  <c r="H305" i="1"/>
  <c r="N305" i="1" s="1"/>
  <c r="M304" i="1"/>
  <c r="H304" i="1"/>
  <c r="N304" i="1" s="1"/>
  <c r="M303" i="1"/>
  <c r="H303" i="1"/>
  <c r="N303" i="1" s="1"/>
  <c r="H302" i="1"/>
  <c r="N302" i="1" s="1"/>
  <c r="M302" i="1"/>
  <c r="M301" i="1"/>
  <c r="H301" i="1"/>
  <c r="N301" i="1" s="1"/>
  <c r="M300" i="1"/>
  <c r="H300" i="1"/>
  <c r="N300" i="1" s="1"/>
  <c r="M299" i="1"/>
  <c r="H299" i="1"/>
  <c r="N299" i="1" s="1"/>
  <c r="M298" i="1"/>
  <c r="H298" i="1"/>
  <c r="N298" i="1" s="1"/>
  <c r="M297" i="1"/>
  <c r="H297" i="1"/>
  <c r="N297" i="1" s="1"/>
  <c r="H296" i="1"/>
  <c r="N296" i="1" s="1"/>
  <c r="M296" i="1"/>
  <c r="M295" i="1"/>
  <c r="H295" i="1"/>
  <c r="N295" i="1" s="1"/>
  <c r="M294" i="1"/>
  <c r="H294" i="1"/>
  <c r="N294" i="1" s="1"/>
  <c r="H293" i="1"/>
  <c r="N293" i="1" s="1"/>
  <c r="M293" i="1"/>
  <c r="M292" i="1"/>
  <c r="H292" i="1"/>
  <c r="N292" i="1" s="1"/>
  <c r="M291" i="1"/>
  <c r="H291" i="1"/>
  <c r="N291" i="1" s="1"/>
  <c r="H290" i="1"/>
  <c r="N290" i="1" s="1"/>
  <c r="M290" i="1"/>
  <c r="M289" i="1"/>
  <c r="H289" i="1"/>
  <c r="N289" i="1" s="1"/>
  <c r="M288" i="1"/>
  <c r="H288" i="1"/>
  <c r="N288" i="1" s="1"/>
  <c r="M287" i="1"/>
  <c r="H287" i="1"/>
  <c r="N287" i="1" s="1"/>
  <c r="H286" i="1"/>
  <c r="N286" i="1" s="1"/>
  <c r="M286" i="1"/>
  <c r="H285" i="1"/>
  <c r="N285" i="1" s="1"/>
  <c r="M285" i="1"/>
  <c r="M284" i="1"/>
  <c r="H284" i="1"/>
  <c r="N284" i="1" s="1"/>
  <c r="M283" i="1"/>
  <c r="H283" i="1"/>
  <c r="N283" i="1" s="1"/>
  <c r="H282" i="1"/>
  <c r="N282" i="1" s="1"/>
  <c r="M282" i="1"/>
  <c r="H281" i="1"/>
  <c r="N281" i="1" s="1"/>
  <c r="M281" i="1"/>
  <c r="M280" i="1"/>
  <c r="H280" i="1"/>
  <c r="N280" i="1" s="1"/>
  <c r="H279" i="1"/>
  <c r="N279" i="1" s="1"/>
  <c r="M279" i="1"/>
  <c r="M278" i="1"/>
  <c r="H278" i="1"/>
  <c r="N278" i="1" s="1"/>
  <c r="H277" i="1"/>
  <c r="N277" i="1" s="1"/>
  <c r="M277" i="1"/>
  <c r="M276" i="1"/>
  <c r="H276" i="1"/>
  <c r="N276" i="1" s="1"/>
  <c r="M274" i="1"/>
  <c r="H274" i="1"/>
  <c r="N274" i="1" s="1"/>
  <c r="M273" i="1"/>
  <c r="H273" i="1"/>
  <c r="N273" i="1" s="1"/>
  <c r="M272" i="1"/>
  <c r="H272" i="1"/>
  <c r="N272" i="1" s="1"/>
  <c r="M271" i="1"/>
  <c r="H271" i="1"/>
  <c r="N271" i="1" s="1"/>
  <c r="M270" i="1"/>
  <c r="H270" i="1"/>
  <c r="N270" i="1" s="1"/>
  <c r="M269" i="1"/>
  <c r="H269" i="1"/>
  <c r="N269" i="1" s="1"/>
  <c r="H268" i="1"/>
  <c r="N268" i="1" s="1"/>
  <c r="M268" i="1"/>
  <c r="M267" i="1"/>
  <c r="H267" i="1"/>
  <c r="N267" i="1" s="1"/>
  <c r="M266" i="1"/>
  <c r="H266" i="1"/>
  <c r="N266" i="1" s="1"/>
  <c r="H265" i="1"/>
  <c r="M265" i="1"/>
  <c r="J256" i="1"/>
  <c r="N256" i="1" s="1"/>
  <c r="M256" i="1"/>
  <c r="M255" i="1"/>
  <c r="J255" i="1"/>
  <c r="M254" i="1"/>
  <c r="H254" i="1"/>
  <c r="N254" i="1" s="1"/>
  <c r="M253" i="1"/>
  <c r="H253" i="1"/>
  <c r="N253" i="1" s="1"/>
  <c r="M252" i="1"/>
  <c r="H252" i="1"/>
  <c r="N252" i="1" s="1"/>
  <c r="H251" i="1"/>
  <c r="N251" i="1" s="1"/>
  <c r="M251" i="1"/>
  <c r="M250" i="1"/>
  <c r="H250" i="1"/>
  <c r="N250" i="1" s="1"/>
  <c r="H249" i="1"/>
  <c r="N249" i="1" s="1"/>
  <c r="M249" i="1"/>
  <c r="H248" i="1"/>
  <c r="N248" i="1" s="1"/>
  <c r="M248" i="1"/>
  <c r="H247" i="1"/>
  <c r="N247" i="1" s="1"/>
  <c r="M247" i="1"/>
  <c r="H246" i="1"/>
  <c r="N246" i="1" s="1"/>
  <c r="M246" i="1"/>
  <c r="M245" i="1"/>
  <c r="H245" i="1"/>
  <c r="N245" i="1" s="1"/>
  <c r="H244" i="1"/>
  <c r="N244" i="1" s="1"/>
  <c r="M244" i="1"/>
  <c r="H243" i="1"/>
  <c r="N243" i="1" s="1"/>
  <c r="M243" i="1"/>
  <c r="M242" i="1"/>
  <c r="H242" i="1"/>
  <c r="N242" i="1" s="1"/>
  <c r="M241" i="1"/>
  <c r="H241" i="1"/>
  <c r="N241" i="1" s="1"/>
  <c r="H240" i="1"/>
  <c r="N240" i="1" s="1"/>
  <c r="M240" i="1"/>
  <c r="H239" i="1"/>
  <c r="N239" i="1" s="1"/>
  <c r="M239" i="1"/>
  <c r="H238" i="1"/>
  <c r="N238" i="1" s="1"/>
  <c r="M238" i="1"/>
  <c r="M237" i="1"/>
  <c r="H237" i="1"/>
  <c r="N237" i="1" s="1"/>
  <c r="M235" i="1"/>
  <c r="H235" i="1"/>
  <c r="N235" i="1" s="1"/>
  <c r="M234" i="1"/>
  <c r="H234" i="1"/>
  <c r="N234" i="1" s="1"/>
  <c r="H233" i="1"/>
  <c r="N233" i="1" s="1"/>
  <c r="M233" i="1"/>
  <c r="M232" i="1"/>
  <c r="H232" i="1"/>
  <c r="N232" i="1" s="1"/>
  <c r="M231" i="1"/>
  <c r="H231" i="1"/>
  <c r="N231" i="1" s="1"/>
  <c r="M230" i="1"/>
  <c r="H230" i="1"/>
  <c r="N230" i="1" s="1"/>
  <c r="M229" i="1"/>
  <c r="H229" i="1"/>
  <c r="N229" i="1" s="1"/>
  <c r="M228" i="1"/>
  <c r="H228" i="1"/>
  <c r="N228" i="1" s="1"/>
  <c r="M227" i="1"/>
  <c r="H227" i="1"/>
  <c r="N227" i="1" s="1"/>
  <c r="M226" i="1"/>
  <c r="H226" i="1"/>
  <c r="N226" i="1" s="1"/>
  <c r="H225" i="1"/>
  <c r="N225" i="1" s="1"/>
  <c r="M225" i="1"/>
  <c r="M224" i="1"/>
  <c r="H224" i="1"/>
  <c r="N224" i="1" s="1"/>
  <c r="M223" i="1"/>
  <c r="H223" i="1"/>
  <c r="N223" i="1" s="1"/>
  <c r="M222" i="1"/>
  <c r="H222" i="1"/>
  <c r="N222" i="1" s="1"/>
  <c r="M221" i="1"/>
  <c r="H221" i="1"/>
  <c r="N221" i="1" s="1"/>
  <c r="M220" i="1"/>
  <c r="H220" i="1"/>
  <c r="N220" i="1" s="1"/>
  <c r="H219" i="1"/>
  <c r="N219" i="1" s="1"/>
  <c r="M219" i="1"/>
  <c r="H218" i="1"/>
  <c r="N218" i="1" s="1"/>
  <c r="M218" i="1"/>
  <c r="M217" i="1"/>
  <c r="H217" i="1"/>
  <c r="N217" i="1" s="1"/>
  <c r="H216" i="1"/>
  <c r="N216" i="1" s="1"/>
  <c r="M216" i="1"/>
  <c r="H215" i="1"/>
  <c r="N215" i="1" s="1"/>
  <c r="M215" i="1"/>
  <c r="M214" i="1"/>
  <c r="H214" i="1"/>
  <c r="N214" i="1" s="1"/>
  <c r="H213" i="1"/>
  <c r="N213" i="1" s="1"/>
  <c r="M213" i="1"/>
  <c r="M212" i="1"/>
  <c r="H212" i="1"/>
  <c r="N212" i="1" s="1"/>
  <c r="M211" i="1"/>
  <c r="H211" i="1"/>
  <c r="N211" i="1" s="1"/>
  <c r="H210" i="1"/>
  <c r="N210" i="1" s="1"/>
  <c r="M210" i="1"/>
  <c r="M209" i="1"/>
  <c r="H209" i="1"/>
  <c r="N209" i="1" s="1"/>
  <c r="M208" i="1"/>
  <c r="H208" i="1"/>
  <c r="N208" i="1" s="1"/>
  <c r="H207" i="1"/>
  <c r="N207" i="1" s="1"/>
  <c r="M207" i="1"/>
  <c r="H206" i="1"/>
  <c r="N206" i="1" s="1"/>
  <c r="M206" i="1"/>
  <c r="M205" i="1"/>
  <c r="H205" i="1"/>
  <c r="N205" i="1" s="1"/>
  <c r="M204" i="1"/>
  <c r="H204" i="1"/>
  <c r="N204" i="1" s="1"/>
  <c r="H203" i="1"/>
  <c r="N203" i="1" s="1"/>
  <c r="M203" i="1"/>
  <c r="M202" i="1"/>
  <c r="H202" i="1"/>
  <c r="N202" i="1" s="1"/>
  <c r="M201" i="1"/>
  <c r="H201" i="1"/>
  <c r="N201" i="1" s="1"/>
  <c r="M200" i="1"/>
  <c r="H200" i="1"/>
  <c r="N200" i="1" s="1"/>
  <c r="H199" i="1"/>
  <c r="N199" i="1" s="1"/>
  <c r="M199" i="1"/>
  <c r="M198" i="1"/>
  <c r="H198" i="1"/>
  <c r="N198" i="1" s="1"/>
  <c r="M197" i="1"/>
  <c r="H197" i="1"/>
  <c r="N197" i="1" s="1"/>
  <c r="M196" i="1"/>
  <c r="H196" i="1"/>
  <c r="N196" i="1" s="1"/>
  <c r="M195" i="1"/>
  <c r="H195" i="1"/>
  <c r="N195" i="1" s="1"/>
  <c r="M194" i="1"/>
  <c r="H194" i="1"/>
  <c r="N194" i="1" s="1"/>
  <c r="M193" i="1"/>
  <c r="H193" i="1"/>
  <c r="N193" i="1" s="1"/>
  <c r="M192" i="1"/>
  <c r="H192" i="1"/>
  <c r="N192" i="1" s="1"/>
  <c r="M191" i="1"/>
  <c r="H191" i="1"/>
  <c r="N191" i="1" s="1"/>
  <c r="H190" i="1"/>
  <c r="N190" i="1" s="1"/>
  <c r="M190" i="1"/>
  <c r="M189" i="1"/>
  <c r="H189" i="1"/>
  <c r="N189" i="1" s="1"/>
  <c r="M188" i="1"/>
  <c r="H188" i="1"/>
  <c r="N188" i="1" s="1"/>
  <c r="M187" i="1"/>
  <c r="H187" i="1"/>
  <c r="N187" i="1" s="1"/>
  <c r="M186" i="1"/>
  <c r="H186" i="1"/>
  <c r="N186" i="1" s="1"/>
  <c r="M185" i="1"/>
  <c r="H185" i="1"/>
  <c r="N185" i="1" s="1"/>
  <c r="M184" i="1"/>
  <c r="H184" i="1"/>
  <c r="N184" i="1" s="1"/>
  <c r="H183" i="1"/>
  <c r="N183" i="1" s="1"/>
  <c r="M183" i="1"/>
  <c r="H182" i="1"/>
  <c r="N182" i="1" s="1"/>
  <c r="M182" i="1"/>
  <c r="H181" i="1"/>
  <c r="N181" i="1" s="1"/>
  <c r="M181" i="1"/>
  <c r="H180" i="1"/>
  <c r="N180" i="1" s="1"/>
  <c r="M180" i="1"/>
  <c r="H179" i="1"/>
  <c r="N179" i="1" s="1"/>
  <c r="M179" i="1"/>
  <c r="H178" i="1"/>
  <c r="N178" i="1" s="1"/>
  <c r="M178" i="1"/>
  <c r="M177" i="1"/>
  <c r="H177" i="1"/>
  <c r="N177" i="1" s="1"/>
  <c r="M176" i="1"/>
  <c r="H176" i="1"/>
  <c r="N176" i="1" s="1"/>
  <c r="M175" i="1"/>
  <c r="H175" i="1"/>
  <c r="N175" i="1" s="1"/>
  <c r="M174" i="1"/>
  <c r="H174" i="1"/>
  <c r="N174" i="1" s="1"/>
  <c r="M173" i="1"/>
  <c r="H173" i="1"/>
  <c r="N173" i="1" s="1"/>
  <c r="M172" i="1"/>
  <c r="H172" i="1"/>
  <c r="N172" i="1" s="1"/>
  <c r="M171" i="1"/>
  <c r="H171" i="1"/>
  <c r="N171" i="1" s="1"/>
  <c r="M170" i="1"/>
  <c r="H170" i="1"/>
  <c r="N170" i="1" s="1"/>
  <c r="H169" i="1"/>
  <c r="N169" i="1" s="1"/>
  <c r="M169" i="1"/>
  <c r="M168" i="1"/>
  <c r="H168" i="1"/>
  <c r="N168" i="1" s="1"/>
  <c r="H167" i="1"/>
  <c r="N167" i="1" s="1"/>
  <c r="M167" i="1"/>
  <c r="M166" i="1"/>
  <c r="H166" i="1"/>
  <c r="N166" i="1" s="1"/>
  <c r="H165" i="1"/>
  <c r="N165" i="1" s="1"/>
  <c r="M165" i="1"/>
  <c r="M164" i="1"/>
  <c r="H164" i="1"/>
  <c r="N164" i="1" s="1"/>
  <c r="H163" i="1"/>
  <c r="N163" i="1" s="1"/>
  <c r="M163" i="1"/>
  <c r="H162" i="1"/>
  <c r="N162" i="1" s="1"/>
  <c r="M162" i="1"/>
  <c r="M161" i="1"/>
  <c r="H161" i="1"/>
  <c r="N161" i="1" s="1"/>
  <c r="H160" i="1"/>
  <c r="N160" i="1" s="1"/>
  <c r="M160" i="1"/>
  <c r="H159" i="1"/>
  <c r="N159" i="1" s="1"/>
  <c r="M159" i="1"/>
  <c r="M158" i="1"/>
  <c r="H158" i="1"/>
  <c r="N158" i="1" s="1"/>
  <c r="M157" i="1"/>
  <c r="H157" i="1"/>
  <c r="N157" i="1" s="1"/>
  <c r="M156" i="1"/>
  <c r="H156" i="1"/>
  <c r="N156" i="1" s="1"/>
  <c r="M155" i="1"/>
  <c r="H155" i="1"/>
  <c r="N155" i="1" s="1"/>
  <c r="M154" i="1"/>
  <c r="H154" i="1"/>
  <c r="N154" i="1" s="1"/>
  <c r="M153" i="1"/>
  <c r="H153" i="1"/>
  <c r="N153" i="1" s="1"/>
  <c r="M152" i="1"/>
  <c r="H152" i="1"/>
  <c r="N152" i="1" s="1"/>
  <c r="M151" i="1"/>
  <c r="H151" i="1"/>
  <c r="N151" i="1" s="1"/>
  <c r="M150" i="1"/>
  <c r="H150" i="1"/>
  <c r="N150" i="1" s="1"/>
  <c r="H149" i="1"/>
  <c r="N149" i="1" s="1"/>
  <c r="M149" i="1"/>
  <c r="H148" i="1"/>
  <c r="N148" i="1" s="1"/>
  <c r="M148" i="1"/>
  <c r="M147" i="1"/>
  <c r="H147" i="1"/>
  <c r="N147" i="1" s="1"/>
  <c r="H146" i="1"/>
  <c r="N146" i="1" s="1"/>
  <c r="M146" i="1"/>
  <c r="H145" i="1"/>
  <c r="N145" i="1" s="1"/>
  <c r="M145" i="1"/>
  <c r="H144" i="1"/>
  <c r="N144" i="1" s="1"/>
  <c r="M144" i="1"/>
  <c r="H143" i="1"/>
  <c r="N143" i="1" s="1"/>
  <c r="M143" i="1"/>
  <c r="M142" i="1"/>
  <c r="H142" i="1"/>
  <c r="N142" i="1" s="1"/>
  <c r="H141" i="1"/>
  <c r="N141" i="1" s="1"/>
  <c r="M141" i="1"/>
  <c r="M140" i="1"/>
  <c r="H140" i="1"/>
  <c r="N140" i="1" s="1"/>
  <c r="M139" i="1"/>
  <c r="H139" i="1"/>
  <c r="N139" i="1" s="1"/>
  <c r="H138" i="1"/>
  <c r="N138" i="1" s="1"/>
  <c r="M138" i="1"/>
  <c r="H137" i="1"/>
  <c r="N137" i="1" s="1"/>
  <c r="M137" i="1"/>
  <c r="H136" i="1"/>
  <c r="N136" i="1" s="1"/>
  <c r="M136" i="1"/>
  <c r="H135" i="1"/>
  <c r="N135" i="1" s="1"/>
  <c r="M135" i="1"/>
  <c r="H134" i="1"/>
  <c r="N134" i="1" s="1"/>
  <c r="M134" i="1"/>
  <c r="M133" i="1"/>
  <c r="H133" i="1"/>
  <c r="N133" i="1" s="1"/>
  <c r="H132" i="1"/>
  <c r="N132" i="1" s="1"/>
  <c r="M132" i="1"/>
  <c r="H131" i="1"/>
  <c r="N131" i="1" s="1"/>
  <c r="M131" i="1"/>
  <c r="M130" i="1"/>
  <c r="H130" i="1"/>
  <c r="N130" i="1" s="1"/>
  <c r="H129" i="1"/>
  <c r="N129" i="1" s="1"/>
  <c r="M129" i="1"/>
  <c r="H128" i="1"/>
  <c r="N128" i="1" s="1"/>
  <c r="M128" i="1"/>
  <c r="M127" i="1"/>
  <c r="H127" i="1"/>
  <c r="N127" i="1" s="1"/>
  <c r="M126" i="1"/>
  <c r="H126" i="1"/>
  <c r="N126" i="1" s="1"/>
  <c r="H125" i="1"/>
  <c r="N125" i="1" s="1"/>
  <c r="M125" i="1"/>
  <c r="H124" i="1"/>
  <c r="N124" i="1" s="1"/>
  <c r="M124" i="1"/>
  <c r="M123" i="1"/>
  <c r="H123" i="1"/>
  <c r="N123" i="1" s="1"/>
  <c r="M122" i="1"/>
  <c r="H122" i="1"/>
  <c r="N122" i="1" s="1"/>
  <c r="M121" i="1"/>
  <c r="H121" i="1"/>
  <c r="N121" i="1" s="1"/>
  <c r="H120" i="1"/>
  <c r="N120" i="1" s="1"/>
  <c r="M120" i="1"/>
  <c r="M119" i="1"/>
  <c r="H119" i="1"/>
  <c r="N119" i="1" s="1"/>
  <c r="H118" i="1"/>
  <c r="N118" i="1" s="1"/>
  <c r="M118" i="1"/>
  <c r="M117" i="1"/>
  <c r="H117" i="1"/>
  <c r="N117" i="1" s="1"/>
  <c r="M116" i="1"/>
  <c r="H116" i="1"/>
  <c r="N116" i="1" s="1"/>
  <c r="M115" i="1"/>
  <c r="H115" i="1"/>
  <c r="N115" i="1" s="1"/>
  <c r="M114" i="1"/>
  <c r="H114" i="1"/>
  <c r="N114" i="1" s="1"/>
  <c r="M113" i="1"/>
  <c r="H113" i="1"/>
  <c r="N113" i="1" s="1"/>
  <c r="H112" i="1"/>
  <c r="N112" i="1" s="1"/>
  <c r="M112" i="1"/>
  <c r="M111" i="1"/>
  <c r="H111" i="1"/>
  <c r="N111" i="1" s="1"/>
  <c r="M110" i="1"/>
  <c r="H110" i="1"/>
  <c r="N110" i="1" s="1"/>
  <c r="M109" i="1"/>
  <c r="H109" i="1"/>
  <c r="N109" i="1" s="1"/>
  <c r="M108" i="1"/>
  <c r="H108" i="1"/>
  <c r="N108" i="1" s="1"/>
  <c r="M107" i="1"/>
  <c r="H107" i="1"/>
  <c r="N107" i="1" s="1"/>
  <c r="H106" i="1"/>
  <c r="N106" i="1" s="1"/>
  <c r="M106" i="1"/>
  <c r="H105" i="1"/>
  <c r="N105" i="1" s="1"/>
  <c r="M105" i="1"/>
  <c r="H104" i="1"/>
  <c r="N104" i="1" s="1"/>
  <c r="M104" i="1"/>
  <c r="M103" i="1"/>
  <c r="H103" i="1"/>
  <c r="N103" i="1" s="1"/>
  <c r="H102" i="1"/>
  <c r="N102" i="1" s="1"/>
  <c r="M102" i="1"/>
  <c r="H101" i="1"/>
  <c r="N101" i="1" s="1"/>
  <c r="M101" i="1"/>
  <c r="H100" i="1"/>
  <c r="N100" i="1" s="1"/>
  <c r="M100" i="1"/>
  <c r="H99" i="1"/>
  <c r="N99" i="1" s="1"/>
  <c r="M99" i="1"/>
  <c r="M98" i="1"/>
  <c r="H98" i="1"/>
  <c r="N98" i="1" s="1"/>
  <c r="H97" i="1"/>
  <c r="N97" i="1" s="1"/>
  <c r="M97" i="1"/>
  <c r="M95" i="1"/>
  <c r="H95" i="1"/>
  <c r="N95" i="1" s="1"/>
  <c r="M94" i="1"/>
  <c r="H94" i="1"/>
  <c r="N94" i="1" s="1"/>
  <c r="H93" i="1"/>
  <c r="N93" i="1" s="1"/>
  <c r="M93" i="1"/>
  <c r="M92" i="1"/>
  <c r="H92" i="1"/>
  <c r="N92" i="1" s="1"/>
  <c r="M91" i="1"/>
  <c r="H91" i="1"/>
  <c r="N91" i="1" s="1"/>
  <c r="H90" i="1"/>
  <c r="N90" i="1" s="1"/>
  <c r="M90" i="1"/>
  <c r="M89" i="1"/>
  <c r="H89" i="1"/>
  <c r="N89" i="1" s="1"/>
  <c r="M88" i="1"/>
  <c r="H88" i="1"/>
  <c r="N88" i="1" s="1"/>
  <c r="H87" i="1"/>
  <c r="N87" i="1" s="1"/>
  <c r="M87" i="1"/>
  <c r="M86" i="1"/>
  <c r="H86" i="1"/>
  <c r="N86" i="1" s="1"/>
  <c r="M85" i="1"/>
  <c r="H85" i="1"/>
  <c r="N85" i="1" s="1"/>
  <c r="M84" i="1"/>
  <c r="H84" i="1"/>
  <c r="N84" i="1" s="1"/>
  <c r="H83" i="1"/>
  <c r="M83" i="1"/>
  <c r="H64" i="1"/>
  <c r="N64" i="1" s="1"/>
  <c r="M64" i="1"/>
  <c r="M63" i="1"/>
  <c r="H63" i="1"/>
  <c r="N63" i="1" s="1"/>
  <c r="M62" i="1"/>
  <c r="H62" i="1"/>
  <c r="N62" i="1" s="1"/>
  <c r="M61" i="1"/>
  <c r="H61" i="1"/>
  <c r="N61" i="1" s="1"/>
  <c r="M59" i="1"/>
  <c r="H59" i="1"/>
  <c r="N59" i="1" s="1"/>
  <c r="M58" i="1"/>
  <c r="H58" i="1"/>
  <c r="N58" i="1" s="1"/>
  <c r="M57" i="1"/>
  <c r="H57" i="1"/>
  <c r="J50" i="1"/>
  <c r="N50" i="1" s="1"/>
  <c r="M50" i="1"/>
  <c r="J49" i="1"/>
  <c r="M49" i="1"/>
  <c r="M48" i="1"/>
  <c r="H48" i="1"/>
  <c r="N48" i="1" s="1"/>
  <c r="M47" i="1"/>
  <c r="H47" i="1"/>
  <c r="N47" i="1" s="1"/>
  <c r="M46" i="1"/>
  <c r="H46" i="1"/>
  <c r="N46" i="1" s="1"/>
  <c r="M45" i="1"/>
  <c r="H45" i="1"/>
  <c r="N45" i="1" s="1"/>
  <c r="M44" i="1"/>
  <c r="H44" i="1"/>
  <c r="N44" i="1" s="1"/>
  <c r="M43" i="1"/>
  <c r="H43" i="1"/>
  <c r="N43" i="1" s="1"/>
  <c r="M42" i="1"/>
  <c r="H42" i="1"/>
  <c r="N42" i="1" s="1"/>
  <c r="M41" i="1"/>
  <c r="H41" i="1"/>
  <c r="N41" i="1" s="1"/>
  <c r="H40" i="1"/>
  <c r="N40" i="1" s="1"/>
  <c r="M40" i="1"/>
  <c r="H39" i="1"/>
  <c r="N39" i="1" s="1"/>
  <c r="M39" i="1"/>
  <c r="H38" i="1"/>
  <c r="N38" i="1" s="1"/>
  <c r="M38" i="1"/>
  <c r="H37" i="1"/>
  <c r="N37" i="1" s="1"/>
  <c r="M37" i="1"/>
  <c r="H36" i="1"/>
  <c r="N36" i="1" s="1"/>
  <c r="M36" i="1"/>
  <c r="H35" i="1"/>
  <c r="N35" i="1" s="1"/>
  <c r="M35" i="1"/>
  <c r="H34" i="1"/>
  <c r="N34" i="1" s="1"/>
  <c r="M34" i="1"/>
  <c r="H33" i="1"/>
  <c r="N33" i="1" s="1"/>
  <c r="M33" i="1"/>
  <c r="M32" i="1"/>
  <c r="H32" i="1"/>
  <c r="N32" i="1" s="1"/>
  <c r="M31" i="1"/>
  <c r="H31" i="1"/>
  <c r="N31" i="1" s="1"/>
  <c r="M30" i="1"/>
  <c r="H30" i="1"/>
  <c r="N30" i="1" s="1"/>
  <c r="H29" i="1"/>
  <c r="N29" i="1" s="1"/>
  <c r="M29" i="1"/>
  <c r="H28" i="1"/>
  <c r="N28" i="1" s="1"/>
  <c r="M28" i="1"/>
  <c r="H27" i="1"/>
  <c r="N27" i="1" s="1"/>
  <c r="M27" i="1"/>
  <c r="H26" i="1"/>
  <c r="N26" i="1" s="1"/>
  <c r="M26" i="1"/>
  <c r="H25" i="1"/>
  <c r="N25" i="1" s="1"/>
  <c r="M25" i="1"/>
  <c r="H24" i="1"/>
  <c r="N24" i="1" s="1"/>
  <c r="M24" i="1"/>
  <c r="M23" i="1"/>
  <c r="H23" i="1"/>
  <c r="N23" i="1" s="1"/>
  <c r="M22" i="1"/>
  <c r="H22" i="1"/>
  <c r="N22" i="1" s="1"/>
  <c r="M21" i="1"/>
  <c r="H21" i="1"/>
  <c r="N21" i="1" s="1"/>
  <c r="M20" i="1"/>
  <c r="H20" i="1"/>
  <c r="N20" i="1" s="1"/>
  <c r="M19" i="1"/>
  <c r="H19" i="1"/>
  <c r="N19" i="1" s="1"/>
  <c r="M18" i="1"/>
  <c r="H18" i="1"/>
  <c r="N18" i="1" s="1"/>
  <c r="M17" i="1"/>
  <c r="H17" i="1"/>
  <c r="N17" i="1" s="1"/>
  <c r="M16" i="1"/>
  <c r="H16" i="1"/>
  <c r="N16" i="1" s="1"/>
  <c r="M15" i="1"/>
  <c r="H15" i="1"/>
  <c r="N15" i="1" s="1"/>
  <c r="M14" i="1"/>
  <c r="H14" i="1"/>
  <c r="N14" i="1" s="1"/>
  <c r="H13" i="1"/>
  <c r="N13" i="1" s="1"/>
  <c r="M13" i="1"/>
  <c r="H12" i="1"/>
  <c r="N12" i="1" s="1"/>
  <c r="M12" i="1"/>
  <c r="H11" i="1"/>
  <c r="N11" i="1" s="1"/>
  <c r="M11" i="1"/>
  <c r="H10" i="1"/>
  <c r="N10" i="1" s="1"/>
  <c r="M10" i="1"/>
  <c r="H9" i="1"/>
  <c r="N9" i="1" s="1"/>
  <c r="M9" i="1"/>
  <c r="H8" i="1"/>
  <c r="N8" i="1" s="1"/>
  <c r="M8" i="1"/>
  <c r="H7" i="1"/>
  <c r="N7" i="1" s="1"/>
  <c r="M7" i="1"/>
  <c r="H6" i="1"/>
  <c r="N6" i="1" s="1"/>
  <c r="M6" i="1"/>
  <c r="H5" i="1"/>
  <c r="M5" i="1"/>
  <c r="L2187" i="1"/>
  <c r="J2187" i="1"/>
  <c r="L1693" i="1"/>
  <c r="J1693" i="1"/>
  <c r="L4319" i="1" l="1"/>
  <c r="N4306" i="1"/>
  <c r="J4319" i="1"/>
  <c r="N4301" i="1"/>
  <c r="N4269" i="1"/>
  <c r="H4319" i="1"/>
  <c r="N4243" i="1"/>
  <c r="H4267" i="1"/>
  <c r="N4267" i="1" s="1"/>
  <c r="N4217" i="1"/>
  <c r="H4241" i="1"/>
  <c r="N4241" i="1" s="1"/>
  <c r="N4191" i="1"/>
  <c r="H4215" i="1"/>
  <c r="N4215" i="1" s="1"/>
  <c r="N4165" i="1"/>
  <c r="H4189" i="1"/>
  <c r="N4189" i="1" s="1"/>
  <c r="H4163" i="1"/>
  <c r="N4163" i="1" s="1"/>
  <c r="N4139" i="1"/>
  <c r="H4137" i="1"/>
  <c r="N4137" i="1" s="1"/>
  <c r="N4113" i="1"/>
  <c r="N4084" i="1"/>
  <c r="L4111" i="1"/>
  <c r="J4111" i="1"/>
  <c r="N4079" i="1"/>
  <c r="H4111" i="1"/>
  <c r="N4061" i="1"/>
  <c r="N4035" i="1"/>
  <c r="H4059" i="1"/>
  <c r="N4059" i="1" s="1"/>
  <c r="H4033" i="1"/>
  <c r="N4033" i="1" s="1"/>
  <c r="N4009" i="1"/>
  <c r="N3905" i="1"/>
  <c r="H3929" i="1"/>
  <c r="N3929" i="1" s="1"/>
  <c r="N3853" i="1"/>
  <c r="H3877" i="1"/>
  <c r="N3877" i="1" s="1"/>
  <c r="N3827" i="1"/>
  <c r="H3851" i="1"/>
  <c r="N3851" i="1" s="1"/>
  <c r="N3801" i="1"/>
  <c r="H3825" i="1"/>
  <c r="N3775" i="1"/>
  <c r="J3825" i="1"/>
  <c r="N3749" i="1"/>
  <c r="H3773" i="1"/>
  <c r="N3773" i="1" s="1"/>
  <c r="N3697" i="1"/>
  <c r="H3747" i="1"/>
  <c r="N3747" i="1" s="1"/>
  <c r="N3671" i="1"/>
  <c r="H3695" i="1"/>
  <c r="N3695" i="1" s="1"/>
  <c r="N3645" i="1"/>
  <c r="H3669" i="1"/>
  <c r="N3669" i="1" s="1"/>
  <c r="N3619" i="1"/>
  <c r="H3643" i="1"/>
  <c r="N3643" i="1" s="1"/>
  <c r="N3593" i="1"/>
  <c r="H3617" i="1"/>
  <c r="N3617" i="1" s="1"/>
  <c r="N3567" i="1"/>
  <c r="H3591" i="1"/>
  <c r="N3591" i="1" s="1"/>
  <c r="N3515" i="1"/>
  <c r="H3565" i="1"/>
  <c r="N3565" i="1" s="1"/>
  <c r="N3489" i="1"/>
  <c r="H3513" i="1"/>
  <c r="N3513" i="1" s="1"/>
  <c r="N3463" i="1"/>
  <c r="H3487" i="1"/>
  <c r="N3487" i="1" s="1"/>
  <c r="J3461" i="1"/>
  <c r="N3456" i="1"/>
  <c r="G3459" i="1"/>
  <c r="N3385" i="1"/>
  <c r="N3359" i="1"/>
  <c r="H3383" i="1"/>
  <c r="N3383" i="1" s="1"/>
  <c r="L3357" i="1"/>
  <c r="N3326" i="1"/>
  <c r="J3357" i="1"/>
  <c r="N3246" i="1"/>
  <c r="N3229" i="1"/>
  <c r="H3357" i="1"/>
  <c r="N3203" i="1"/>
  <c r="H3227" i="1"/>
  <c r="N3227" i="1" s="1"/>
  <c r="N3177" i="1"/>
  <c r="H3201" i="1"/>
  <c r="N3201" i="1" s="1"/>
  <c r="N3125" i="1"/>
  <c r="H3175" i="1"/>
  <c r="N3175" i="1" s="1"/>
  <c r="N3099" i="1"/>
  <c r="H3123" i="1"/>
  <c r="N3123" i="1" s="1"/>
  <c r="N3073" i="1"/>
  <c r="H3097" i="1"/>
  <c r="N3097" i="1" s="1"/>
  <c r="N3047" i="1"/>
  <c r="H3071" i="1"/>
  <c r="N3071" i="1" s="1"/>
  <c r="N3022" i="1"/>
  <c r="L3045" i="1"/>
  <c r="N3021" i="1"/>
  <c r="H3045" i="1"/>
  <c r="N3045" i="1" s="1"/>
  <c r="L3019" i="1"/>
  <c r="N2996" i="1"/>
  <c r="N2995" i="1"/>
  <c r="H3019" i="1"/>
  <c r="N3019" i="1" s="1"/>
  <c r="N2970" i="1"/>
  <c r="L2993" i="1"/>
  <c r="N2969" i="1"/>
  <c r="H2993" i="1"/>
  <c r="N2944" i="1"/>
  <c r="L2967" i="1"/>
  <c r="N2943" i="1"/>
  <c r="H2967" i="1"/>
  <c r="N2967" i="1" s="1"/>
  <c r="N2892" i="1"/>
  <c r="L2941" i="1"/>
  <c r="N2891" i="1"/>
  <c r="H2941" i="1"/>
  <c r="N2941" i="1" s="1"/>
  <c r="N2885" i="1"/>
  <c r="G2886" i="1"/>
  <c r="N2865" i="1"/>
  <c r="G2867" i="1"/>
  <c r="N2837" i="1"/>
  <c r="G2839" i="1"/>
  <c r="N2813" i="1"/>
  <c r="G2815" i="1"/>
  <c r="N2801" i="1"/>
  <c r="G2803" i="1"/>
  <c r="N2735" i="1"/>
  <c r="G2742" i="1"/>
  <c r="N2724" i="1"/>
  <c r="G2726" i="1"/>
  <c r="N2605" i="1"/>
  <c r="G2612" i="1"/>
  <c r="J2603" i="1"/>
  <c r="N2591" i="1"/>
  <c r="G2593" i="1"/>
  <c r="N2579" i="1"/>
  <c r="N2573" i="1"/>
  <c r="G2575" i="1"/>
  <c r="N2475" i="1"/>
  <c r="G2481" i="1"/>
  <c r="N2449" i="1"/>
  <c r="G2450" i="1"/>
  <c r="J2447" i="1"/>
  <c r="N2428" i="1"/>
  <c r="G2430" i="1"/>
  <c r="N2423" i="1"/>
  <c r="N2397" i="1"/>
  <c r="H2421" i="1"/>
  <c r="N2421" i="1" s="1"/>
  <c r="N2380" i="1"/>
  <c r="G2381" i="1"/>
  <c r="N2371" i="1"/>
  <c r="G2372" i="1"/>
  <c r="N2344" i="1"/>
  <c r="G2346" i="1"/>
  <c r="N2319" i="1"/>
  <c r="G2323" i="1"/>
  <c r="N2293" i="1"/>
  <c r="G2295" i="1"/>
  <c r="N2267" i="1"/>
  <c r="G2269" i="1"/>
  <c r="N2245" i="1"/>
  <c r="J2265" i="1"/>
  <c r="G2247" i="1"/>
  <c r="N2241" i="1"/>
  <c r="N2215" i="1"/>
  <c r="G2219" i="1"/>
  <c r="J2213" i="1"/>
  <c r="N2192" i="1"/>
  <c r="G2195" i="1"/>
  <c r="N2189" i="1"/>
  <c r="N2164" i="1"/>
  <c r="G2165" i="1"/>
  <c r="N2137" i="1"/>
  <c r="G2139" i="1"/>
  <c r="N2110" i="1"/>
  <c r="G2112" i="1"/>
  <c r="N2059" i="1"/>
  <c r="G2065" i="1"/>
  <c r="N2052" i="1"/>
  <c r="G2054" i="1"/>
  <c r="N2007" i="1"/>
  <c r="G2012" i="1"/>
  <c r="J2005" i="1"/>
  <c r="N1988" i="1"/>
  <c r="G1990" i="1"/>
  <c r="N1981" i="1"/>
  <c r="N1955" i="1"/>
  <c r="G1956" i="1"/>
  <c r="N1935" i="1"/>
  <c r="J1953" i="1"/>
  <c r="G1938" i="1"/>
  <c r="N1929" i="1"/>
  <c r="J1927" i="1"/>
  <c r="N1920" i="1"/>
  <c r="G1924" i="1"/>
  <c r="N1903" i="1"/>
  <c r="N1893" i="1"/>
  <c r="G1894" i="1"/>
  <c r="N1877" i="1"/>
  <c r="H1901" i="1"/>
  <c r="N1901" i="1" s="1"/>
  <c r="N1859" i="1"/>
  <c r="G1861" i="1"/>
  <c r="N1799" i="1"/>
  <c r="G1807" i="1"/>
  <c r="N1770" i="1"/>
  <c r="G1772" i="1"/>
  <c r="N1721" i="1"/>
  <c r="G1727" i="1"/>
  <c r="J1719" i="1"/>
  <c r="N1701" i="1"/>
  <c r="G1703" i="1"/>
  <c r="N1695" i="1"/>
  <c r="N1669" i="1"/>
  <c r="G1672" i="1"/>
  <c r="J1667" i="1"/>
  <c r="N1647" i="1"/>
  <c r="G1650" i="1"/>
  <c r="N1643" i="1"/>
  <c r="N1617" i="1"/>
  <c r="H1641" i="1"/>
  <c r="N1641" i="1" s="1"/>
  <c r="N1591" i="1"/>
  <c r="H1615" i="1"/>
  <c r="N1615" i="1" s="1"/>
  <c r="J1589" i="1"/>
  <c r="N1584" i="1"/>
  <c r="G1588" i="1"/>
  <c r="N1565" i="1"/>
  <c r="J1563" i="1"/>
  <c r="N1561" i="1"/>
  <c r="N1513" i="1"/>
  <c r="H1563" i="1"/>
  <c r="N1563" i="1" s="1"/>
  <c r="N1461" i="1"/>
  <c r="H1511" i="1"/>
  <c r="N1511" i="1" s="1"/>
  <c r="N1435" i="1"/>
  <c r="H1459" i="1"/>
  <c r="N1459" i="1" s="1"/>
  <c r="N1383" i="1"/>
  <c r="H1433" i="1"/>
  <c r="N1433" i="1" s="1"/>
  <c r="N1357" i="1"/>
  <c r="H1381" i="1"/>
  <c r="N1381" i="1" s="1"/>
  <c r="N1253" i="1"/>
  <c r="H1355" i="1"/>
  <c r="N1355" i="1" s="1"/>
  <c r="J1251" i="1"/>
  <c r="N1229" i="1"/>
  <c r="N1227" i="1"/>
  <c r="H1251" i="1"/>
  <c r="N1251" i="1" s="1"/>
  <c r="N1205" i="1"/>
  <c r="G1208" i="1"/>
  <c r="N1175" i="1"/>
  <c r="G1177" i="1"/>
  <c r="N1149" i="1"/>
  <c r="G1150" i="1"/>
  <c r="N1130" i="1"/>
  <c r="G1132" i="1"/>
  <c r="N993" i="1"/>
  <c r="G996" i="1"/>
  <c r="N963" i="1"/>
  <c r="G965" i="1"/>
  <c r="N889" i="1"/>
  <c r="G895" i="1"/>
  <c r="N870" i="1"/>
  <c r="G872" i="1"/>
  <c r="N707" i="1"/>
  <c r="G723" i="1"/>
  <c r="N696" i="1"/>
  <c r="G698" i="1"/>
  <c r="N499" i="1"/>
  <c r="G509" i="1"/>
  <c r="J497" i="1"/>
  <c r="N490" i="1"/>
  <c r="G492" i="1"/>
  <c r="N473" i="1"/>
  <c r="N447" i="1"/>
  <c r="G449" i="1"/>
  <c r="N265" i="1"/>
  <c r="G275" i="1"/>
  <c r="N255" i="1"/>
  <c r="G257" i="1"/>
  <c r="N83" i="1"/>
  <c r="G96" i="1"/>
  <c r="N57" i="1"/>
  <c r="G60" i="1"/>
  <c r="J55" i="1"/>
  <c r="N49" i="1"/>
  <c r="G51" i="1"/>
  <c r="N5" i="1"/>
  <c r="H3459" i="1" l="1"/>
  <c r="M3459" i="1"/>
  <c r="H2886" i="1"/>
  <c r="N2886" i="1" s="1"/>
  <c r="M2886" i="1"/>
  <c r="H2867" i="1"/>
  <c r="M2867" i="1"/>
  <c r="H2839" i="1"/>
  <c r="N2839" i="1" s="1"/>
  <c r="M2839" i="1"/>
  <c r="H2815" i="1"/>
  <c r="M2815" i="1"/>
  <c r="H2803" i="1"/>
  <c r="N2803" i="1" s="1"/>
  <c r="M2803" i="1"/>
  <c r="H2742" i="1"/>
  <c r="M2742" i="1"/>
  <c r="H2726" i="1"/>
  <c r="N2726" i="1" s="1"/>
  <c r="M2726" i="1"/>
  <c r="H2612" i="1"/>
  <c r="M2612" i="1"/>
  <c r="H2593" i="1"/>
  <c r="M2593" i="1"/>
  <c r="H2575" i="1"/>
  <c r="N2575" i="1" s="1"/>
  <c r="M2575" i="1"/>
  <c r="H2481" i="1"/>
  <c r="M2481" i="1"/>
  <c r="H2450" i="1"/>
  <c r="M2450" i="1"/>
  <c r="H2430" i="1"/>
  <c r="M2430" i="1"/>
  <c r="H2381" i="1"/>
  <c r="N2381" i="1" s="1"/>
  <c r="M2381" i="1"/>
  <c r="H2372" i="1"/>
  <c r="M2372" i="1"/>
  <c r="H2346" i="1"/>
  <c r="N2346" i="1" s="1"/>
  <c r="M2346" i="1"/>
  <c r="H2323" i="1"/>
  <c r="M2323" i="1"/>
  <c r="H2295" i="1"/>
  <c r="N2295" i="1" s="1"/>
  <c r="M2295" i="1"/>
  <c r="H2269" i="1"/>
  <c r="M2269" i="1"/>
  <c r="H2247" i="1"/>
  <c r="M2247" i="1"/>
  <c r="H2219" i="1"/>
  <c r="M2219" i="1"/>
  <c r="H2195" i="1"/>
  <c r="M2195" i="1"/>
  <c r="H2165" i="1"/>
  <c r="N2165" i="1" s="1"/>
  <c r="M2165" i="1"/>
  <c r="H2139" i="1"/>
  <c r="M2139" i="1"/>
  <c r="H2112" i="1"/>
  <c r="N2112" i="1" s="1"/>
  <c r="M2112" i="1"/>
  <c r="H2065" i="1"/>
  <c r="M2065" i="1"/>
  <c r="H2054" i="1"/>
  <c r="N2054" i="1" s="1"/>
  <c r="M2054" i="1"/>
  <c r="H2012" i="1"/>
  <c r="M2012" i="1"/>
  <c r="H1990" i="1"/>
  <c r="M1990" i="1"/>
  <c r="H1956" i="1"/>
  <c r="M1956" i="1"/>
  <c r="H1938" i="1"/>
  <c r="M1938" i="1"/>
  <c r="H1924" i="1"/>
  <c r="M1924" i="1"/>
  <c r="H1894" i="1"/>
  <c r="N1894" i="1" s="1"/>
  <c r="M1894" i="1"/>
  <c r="H1861" i="1"/>
  <c r="N1861" i="1" s="1"/>
  <c r="M1861" i="1"/>
  <c r="H1807" i="1"/>
  <c r="M1807" i="1"/>
  <c r="H1772" i="1"/>
  <c r="N1772" i="1" s="1"/>
  <c r="M1772" i="1"/>
  <c r="H1727" i="1"/>
  <c r="M1727" i="1"/>
  <c r="H1703" i="1"/>
  <c r="M1703" i="1"/>
  <c r="H1672" i="1"/>
  <c r="M1672" i="1"/>
  <c r="H1650" i="1"/>
  <c r="M1650" i="1"/>
  <c r="H1588" i="1"/>
  <c r="M1588" i="1"/>
  <c r="H1208" i="1"/>
  <c r="N1208" i="1" s="1"/>
  <c r="M1208" i="1"/>
  <c r="H1177" i="1"/>
  <c r="M1177" i="1"/>
  <c r="H1150" i="1"/>
  <c r="M1150" i="1"/>
  <c r="H1132" i="1"/>
  <c r="N1132" i="1" s="1"/>
  <c r="M1132" i="1"/>
  <c r="H996" i="1"/>
  <c r="M996" i="1"/>
  <c r="H965" i="1"/>
  <c r="N965" i="1" s="1"/>
  <c r="M965" i="1"/>
  <c r="H895" i="1"/>
  <c r="M895" i="1"/>
  <c r="H872" i="1"/>
  <c r="N872" i="1" s="1"/>
  <c r="M872" i="1"/>
  <c r="H723" i="1"/>
  <c r="M723" i="1"/>
  <c r="H698" i="1"/>
  <c r="N698" i="1" s="1"/>
  <c r="M698" i="1"/>
  <c r="H509" i="1"/>
  <c r="M509" i="1"/>
  <c r="H492" i="1"/>
  <c r="M492" i="1"/>
  <c r="H449" i="1"/>
  <c r="N449" i="1" s="1"/>
  <c r="M449" i="1"/>
  <c r="H275" i="1"/>
  <c r="M275" i="1"/>
  <c r="H257" i="1"/>
  <c r="N257" i="1" s="1"/>
  <c r="M257" i="1"/>
  <c r="H96" i="1"/>
  <c r="M96" i="1"/>
  <c r="H60" i="1"/>
  <c r="M60" i="1"/>
  <c r="H51" i="1"/>
  <c r="M51" i="1"/>
  <c r="N3357" i="1"/>
  <c r="N2993" i="1"/>
  <c r="N3825" i="1"/>
  <c r="N4319" i="1"/>
  <c r="N4111" i="1"/>
  <c r="H3461" i="1" l="1"/>
  <c r="N3461" i="1" s="1"/>
  <c r="N3459" i="1"/>
  <c r="H2889" i="1"/>
  <c r="N2889" i="1" s="1"/>
  <c r="N2867" i="1"/>
  <c r="H2863" i="1"/>
  <c r="N2863" i="1" s="1"/>
  <c r="N2815" i="1"/>
  <c r="H2811" i="1"/>
  <c r="N2811" i="1" s="1"/>
  <c r="N2742" i="1"/>
  <c r="H2733" i="1"/>
  <c r="N2733" i="1" s="1"/>
  <c r="N2612" i="1"/>
  <c r="H2603" i="1"/>
  <c r="N2603" i="1" s="1"/>
  <c r="N2593" i="1"/>
  <c r="H2577" i="1"/>
  <c r="N2577" i="1" s="1"/>
  <c r="N2481" i="1"/>
  <c r="H2473" i="1"/>
  <c r="N2473" i="1" s="1"/>
  <c r="N2450" i="1"/>
  <c r="H2447" i="1"/>
  <c r="N2447" i="1" s="1"/>
  <c r="N2430" i="1"/>
  <c r="H2395" i="1"/>
  <c r="N2395" i="1" s="1"/>
  <c r="N2372" i="1"/>
  <c r="H2369" i="1"/>
  <c r="N2369" i="1" s="1"/>
  <c r="N2323" i="1"/>
  <c r="H2317" i="1"/>
  <c r="N2317" i="1" s="1"/>
  <c r="N2269" i="1"/>
  <c r="H2265" i="1"/>
  <c r="N2265" i="1" s="1"/>
  <c r="N2247" i="1"/>
  <c r="H2239" i="1"/>
  <c r="N2239" i="1" s="1"/>
  <c r="N2219" i="1"/>
  <c r="H2213" i="1"/>
  <c r="N2213" i="1" s="1"/>
  <c r="N2195" i="1"/>
  <c r="H2187" i="1"/>
  <c r="N2187" i="1" s="1"/>
  <c r="N2139" i="1"/>
  <c r="H2135" i="1"/>
  <c r="N2135" i="1" s="1"/>
  <c r="N2065" i="1"/>
  <c r="H2057" i="1"/>
  <c r="N2057" i="1" s="1"/>
  <c r="N2012" i="1"/>
  <c r="H2005" i="1"/>
  <c r="N2005" i="1" s="1"/>
  <c r="N1990" i="1"/>
  <c r="H1979" i="1"/>
  <c r="N1979" i="1" s="1"/>
  <c r="N1956" i="1"/>
  <c r="H1953" i="1"/>
  <c r="N1953" i="1" s="1"/>
  <c r="N1938" i="1"/>
  <c r="H1927" i="1"/>
  <c r="N1927" i="1" s="1"/>
  <c r="N1924" i="1"/>
  <c r="H1875" i="1"/>
  <c r="N1875" i="1" s="1"/>
  <c r="N1807" i="1"/>
  <c r="H1797" i="1"/>
  <c r="N1797" i="1" s="1"/>
  <c r="N1727" i="1"/>
  <c r="H1719" i="1"/>
  <c r="N1719" i="1" s="1"/>
  <c r="N1703" i="1"/>
  <c r="H1693" i="1"/>
  <c r="N1693" i="1" s="1"/>
  <c r="N1672" i="1"/>
  <c r="H1667" i="1"/>
  <c r="N1667" i="1" s="1"/>
  <c r="N1650" i="1"/>
  <c r="H1589" i="1"/>
  <c r="N1589" i="1" s="1"/>
  <c r="N1588" i="1"/>
  <c r="H1225" i="1"/>
  <c r="N1225" i="1" s="1"/>
  <c r="N1177" i="1"/>
  <c r="H1173" i="1"/>
  <c r="N1173" i="1" s="1"/>
  <c r="N1150" i="1"/>
  <c r="H1147" i="1"/>
  <c r="N1147" i="1" s="1"/>
  <c r="N996" i="1"/>
  <c r="H991" i="1"/>
  <c r="N991" i="1" s="1"/>
  <c r="N895" i="1"/>
  <c r="H887" i="1"/>
  <c r="N887" i="1" s="1"/>
  <c r="N723" i="1"/>
  <c r="H705" i="1"/>
  <c r="N705" i="1" s="1"/>
  <c r="N509" i="1"/>
  <c r="H497" i="1"/>
  <c r="N497" i="1" s="1"/>
  <c r="N492" i="1"/>
  <c r="H471" i="1"/>
  <c r="N471" i="1" s="1"/>
  <c r="N275" i="1"/>
  <c r="H263" i="1"/>
  <c r="N263" i="1" s="1"/>
  <c r="N96" i="1"/>
  <c r="H81" i="1"/>
  <c r="N81" i="1" s="1"/>
  <c r="N60" i="1"/>
  <c r="H55" i="1"/>
  <c r="N55" i="1" s="1"/>
  <c r="N51" i="1"/>
</calcChain>
</file>

<file path=xl/sharedStrings.xml><?xml version="1.0" encoding="utf-8"?>
<sst xmlns="http://schemas.openxmlformats.org/spreadsheetml/2006/main" count="17430" uniqueCount="3861">
  <si>
    <t>[공사명]  인천소방학교 이전신축공사 설계용역(기계)</t>
  </si>
  <si>
    <t>공종</t>
  </si>
  <si>
    <t>코드</t>
  </si>
  <si>
    <t>품          명</t>
  </si>
  <si>
    <t>규       격</t>
  </si>
  <si>
    <t>단위</t>
  </si>
  <si>
    <t>수량</t>
  </si>
  <si>
    <t>재  료  비</t>
  </si>
  <si>
    <t>노  무  비</t>
  </si>
  <si>
    <t>경    비</t>
  </si>
  <si>
    <t>합    계</t>
  </si>
  <si>
    <t>비고</t>
  </si>
  <si>
    <t>단가</t>
  </si>
  <si>
    <t>금액</t>
  </si>
  <si>
    <t>010101  장비설치공사</t>
  </si>
  <si>
    <t>010101</t>
  </si>
  <si>
    <t>MM948385915</t>
  </si>
  <si>
    <t>P-102 우수조경펌프(볼류트)</t>
  </si>
  <si>
    <t>110LPMx32Mx1.5KW</t>
  </si>
  <si>
    <t>대</t>
  </si>
  <si>
    <t/>
  </si>
  <si>
    <t>MM938207668</t>
  </si>
  <si>
    <t>P-103 냉온수순환펌프(인라인)</t>
  </si>
  <si>
    <t>550LPMx30Mx7.5KW</t>
  </si>
  <si>
    <t>MM938207669</t>
  </si>
  <si>
    <t>P-104 급탕순환펌프(인라인)</t>
  </si>
  <si>
    <t>100LPMx6Mx0.37KW</t>
  </si>
  <si>
    <t>MM938207670</t>
  </si>
  <si>
    <t>P-105 배수펌프(수중형)</t>
  </si>
  <si>
    <t>480LPMx15Mx2.2KW</t>
  </si>
  <si>
    <t>MM938207671</t>
  </si>
  <si>
    <t>P-106 급탕대류펌프(인라인)</t>
  </si>
  <si>
    <t>30LPMx1Mx0.03KW</t>
  </si>
  <si>
    <t>수정</t>
  </si>
  <si>
    <t>MM938207673</t>
  </si>
  <si>
    <t>FCU-1 팬코일유니트설치비</t>
  </si>
  <si>
    <t>냉방2.09KW 난방3.59KW</t>
  </si>
  <si>
    <t>MM938207675</t>
  </si>
  <si>
    <t>FCU-2 팬코일유니트설치비</t>
  </si>
  <si>
    <t>냉방3.00KW 난방4.77KW</t>
  </si>
  <si>
    <t>MM938207677</t>
  </si>
  <si>
    <t>FCU-4 팬코일유니트설치비</t>
  </si>
  <si>
    <t>냉방3.58KW 난방5.45KW</t>
  </si>
  <si>
    <t>MM938207679</t>
  </si>
  <si>
    <t>FCU-5 팬코일유니트설치비</t>
  </si>
  <si>
    <t>냉방4.77KW 난방7.71KW</t>
  </si>
  <si>
    <t>MM938207681</t>
  </si>
  <si>
    <t>FCU-6 팬코일유니트설치비</t>
  </si>
  <si>
    <t>냉방5.06KW 난방7.09KW</t>
  </si>
  <si>
    <t>MM938207683</t>
  </si>
  <si>
    <t>FCU-7 팬코일유니트설치비</t>
  </si>
  <si>
    <t>냉방6.22KW 난방8.96KW</t>
  </si>
  <si>
    <t>MM938207685</t>
  </si>
  <si>
    <t>FCU-8 팬코일유니트설치비</t>
  </si>
  <si>
    <t>냉방7.39KW 난방10.7KW</t>
  </si>
  <si>
    <t>MM938207687</t>
  </si>
  <si>
    <t>FCU-9 팬코일유니트설치비</t>
  </si>
  <si>
    <t>냉방9.59KW 난방14.19KW</t>
  </si>
  <si>
    <t>MM938207689</t>
  </si>
  <si>
    <t>FCU-10 팬코일유니트설치비</t>
  </si>
  <si>
    <t>냉방11.63KW 난방17.79KW</t>
  </si>
  <si>
    <t>MM938207691</t>
  </si>
  <si>
    <t>FCU-12 팬코일유니트설치비</t>
  </si>
  <si>
    <t>냉방7.33KW 난방12.27KW</t>
  </si>
  <si>
    <t>MM938207693</t>
  </si>
  <si>
    <t>FCU-13 팬코일유니트설치비</t>
  </si>
  <si>
    <t>냉방12.31KW 난방19.77KW</t>
  </si>
  <si>
    <t>MM938207694</t>
  </si>
  <si>
    <t>OF-101 급기휀(인라인)D550</t>
  </si>
  <si>
    <t>8,100CMHx270PAx2.2KW</t>
  </si>
  <si>
    <t>MM938207695</t>
  </si>
  <si>
    <t>OF-102 급기휀(인라인)D770</t>
  </si>
  <si>
    <t>13,200CMHx260PAx3.7KW</t>
  </si>
  <si>
    <t>MM938207696</t>
  </si>
  <si>
    <t>OF-103 급기휀(인라인)D550</t>
  </si>
  <si>
    <t>7,700CMHx340PAx2.2KW</t>
  </si>
  <si>
    <t>MM938207697</t>
  </si>
  <si>
    <t>OF-104 급기휀(시로코)#4.5</t>
  </si>
  <si>
    <t>14,800CMHx270PAx3.7KW</t>
  </si>
  <si>
    <t>MM938207698</t>
  </si>
  <si>
    <t>OF-105 급기휀(인라인)D770</t>
  </si>
  <si>
    <t>10,800CMHx240PAx3.7KW</t>
  </si>
  <si>
    <t>MM938207699</t>
  </si>
  <si>
    <t>OF-106 급기휀(시로코)#5</t>
  </si>
  <si>
    <t>17,900CMHx240PAx3.7KW</t>
  </si>
  <si>
    <t>MM938207700</t>
  </si>
  <si>
    <t>OF-107 급기휀(시로코)#3</t>
  </si>
  <si>
    <t>5,700CMHx190PAx1.5KW</t>
  </si>
  <si>
    <t>MM938207701</t>
  </si>
  <si>
    <t>OF-108 급기휀(시로코)#2</t>
  </si>
  <si>
    <t>2,500CMHx150PAx0.75KW</t>
  </si>
  <si>
    <t>MM938207702</t>
  </si>
  <si>
    <t>EF-101 배기휀(인라인)D550</t>
  </si>
  <si>
    <t>8,100CMHx250PAx2.2KW</t>
  </si>
  <si>
    <t>MM938207703</t>
  </si>
  <si>
    <t>EF-102 배기휀(인라인)D770</t>
  </si>
  <si>
    <t>13,200CMHx240PAx3.7KW</t>
  </si>
  <si>
    <t>MM938207704</t>
  </si>
  <si>
    <t>EF-103 배기휀(인라인)D550</t>
  </si>
  <si>
    <t>7,700CMHx310PAx2.2KW</t>
  </si>
  <si>
    <t>MM938207705</t>
  </si>
  <si>
    <t>EF-104 배기휀(벽부형)D250</t>
  </si>
  <si>
    <t>1,100CMHx0.053KW</t>
  </si>
  <si>
    <t>MM938207706</t>
  </si>
  <si>
    <t>EF-105 배기휀(천정형)D150</t>
  </si>
  <si>
    <t>210CMHx0.03KW</t>
  </si>
  <si>
    <t>MM938207707</t>
  </si>
  <si>
    <t>EF-106 배기휀(벽부형)D200</t>
  </si>
  <si>
    <t>780CMHx0.043KW</t>
  </si>
  <si>
    <t>MM938207708</t>
  </si>
  <si>
    <t>EF-107 배기휀(인라인)D770</t>
  </si>
  <si>
    <t>10,800CMHx280PAx3.7KW</t>
  </si>
  <si>
    <t>MM938207709</t>
  </si>
  <si>
    <t>EF-108 배기휀(시로코)#3</t>
  </si>
  <si>
    <t>7,630CMHx290PAx3.7KW</t>
  </si>
  <si>
    <t>MM938207710</t>
  </si>
  <si>
    <t>EF-109 배기휀(천정형)D150</t>
  </si>
  <si>
    <t>150CMHx0.03KW</t>
  </si>
  <si>
    <t>MM938207711</t>
  </si>
  <si>
    <t>EF-110 배기휀(시로코)#2</t>
  </si>
  <si>
    <t>2,280CMHx240PAx0.75KW</t>
  </si>
  <si>
    <t>MM938207712</t>
  </si>
  <si>
    <t>EF-111 배기휀(시로코)#2</t>
  </si>
  <si>
    <t>2,920CMHx210CMHx1.5KW</t>
  </si>
  <si>
    <t>MM938207713</t>
  </si>
  <si>
    <t>EF-112 배기휀(시로코)#4.5</t>
  </si>
  <si>
    <t>17,900CMHx300PAx5.5KW</t>
  </si>
  <si>
    <t>MM938207714</t>
  </si>
  <si>
    <t>EF-113 배기휀(시로코)#3</t>
  </si>
  <si>
    <t>5,700CMHx250PAx1.5KW</t>
  </si>
  <si>
    <t>MM938207715</t>
  </si>
  <si>
    <t>EF-114 배기휀(시로코)#2</t>
  </si>
  <si>
    <t>2,500CMHx220PAx0.75KW</t>
  </si>
  <si>
    <t>MM938207718</t>
  </si>
  <si>
    <t>EF-115 배기휀(시로코)#2</t>
  </si>
  <si>
    <t>1,600CMHx210PAx0.4KW</t>
  </si>
  <si>
    <t>MM938207716</t>
  </si>
  <si>
    <t>EFU-1 탈취유니트</t>
  </si>
  <si>
    <t>18,500CMH</t>
  </si>
  <si>
    <t>MM938207717</t>
  </si>
  <si>
    <t>SFU-1 급기필터</t>
  </si>
  <si>
    <t>14,800CMH</t>
  </si>
  <si>
    <t>MM938207719</t>
  </si>
  <si>
    <t>ET-1 팽창탱크(급탕용)</t>
  </si>
  <si>
    <t>500LIT(D760*1,544H)</t>
  </si>
  <si>
    <t>MM938207720</t>
  </si>
  <si>
    <t>AS-1 팽창기수분리기</t>
  </si>
  <si>
    <t>200LITx1.1KW</t>
  </si>
  <si>
    <t>MM938207730</t>
  </si>
  <si>
    <t>물탱크건식패드</t>
  </si>
  <si>
    <t>350~525mmh</t>
  </si>
  <si>
    <t>ea</t>
  </si>
  <si>
    <t>56900017041</t>
  </si>
  <si>
    <t>노무비</t>
  </si>
  <si>
    <t>보통인부</t>
  </si>
  <si>
    <t>인</t>
  </si>
  <si>
    <t>56900017014</t>
  </si>
  <si>
    <t>기계공</t>
  </si>
  <si>
    <t>PPS00000003</t>
  </si>
  <si>
    <t>공구손료</t>
  </si>
  <si>
    <t>노무비의 2%</t>
  </si>
  <si>
    <t>식</t>
  </si>
  <si>
    <t>[ 합           계 ]</t>
  </si>
  <si>
    <t>010102  옥외배관공사</t>
  </si>
  <si>
    <t>010102</t>
  </si>
  <si>
    <t>47100787101</t>
  </si>
  <si>
    <t>수도용 폴리에틸렌관</t>
  </si>
  <si>
    <t>PE수도관(1종), D13</t>
  </si>
  <si>
    <t>M</t>
  </si>
  <si>
    <t>47100787102</t>
  </si>
  <si>
    <t>PE수도관(1종), D16</t>
  </si>
  <si>
    <t>47100787109</t>
  </si>
  <si>
    <t>PE수도관(1종), D75</t>
  </si>
  <si>
    <t>PPS00000001</t>
  </si>
  <si>
    <t>잡재료비</t>
  </si>
  <si>
    <t>관의 3%</t>
  </si>
  <si>
    <t>47300977008</t>
  </si>
  <si>
    <t>수도용 폴리에칠렌이음관</t>
  </si>
  <si>
    <t>90˚엘보(융착식) D75</t>
  </si>
  <si>
    <t>EA</t>
  </si>
  <si>
    <t>47300977022</t>
  </si>
  <si>
    <t>90˚엘보(나사조임식) D15</t>
  </si>
  <si>
    <t>56940250010</t>
  </si>
  <si>
    <t>PEM 접합 (수도용)</t>
  </si>
  <si>
    <t>D15</t>
  </si>
  <si>
    <t>개소</t>
  </si>
  <si>
    <t>56940250080</t>
  </si>
  <si>
    <t>D75</t>
  </si>
  <si>
    <t>010103  기계실배관공사</t>
  </si>
  <si>
    <t>010103</t>
  </si>
  <si>
    <t>47100407001</t>
  </si>
  <si>
    <t>일반배관용 스테인리스 강관</t>
  </si>
  <si>
    <t>K-TYPE, D15</t>
  </si>
  <si>
    <t>47100407002</t>
  </si>
  <si>
    <t>K-TYPE, D20</t>
  </si>
  <si>
    <t>47100407003</t>
  </si>
  <si>
    <t>K-TYPE, D25</t>
  </si>
  <si>
    <t>47100407004</t>
  </si>
  <si>
    <t>K-TYPE, D32</t>
  </si>
  <si>
    <t>47100407005</t>
  </si>
  <si>
    <t>K-TYPE, D40</t>
  </si>
  <si>
    <t>47100407006</t>
  </si>
  <si>
    <t>K-TYPE, D50</t>
  </si>
  <si>
    <t>47100407007</t>
  </si>
  <si>
    <t>K-TYPE, D65</t>
  </si>
  <si>
    <t>47100407009</t>
  </si>
  <si>
    <t>K-TYPE, D80</t>
  </si>
  <si>
    <t>47100407010</t>
  </si>
  <si>
    <t>K-TYPE, D100</t>
  </si>
  <si>
    <t>47100417506</t>
  </si>
  <si>
    <t>배관용스테인리스강관(무용접)</t>
  </si>
  <si>
    <t>D50x3T</t>
  </si>
  <si>
    <t>47100417509</t>
  </si>
  <si>
    <t>D100x3T</t>
  </si>
  <si>
    <t>47100417510</t>
  </si>
  <si>
    <t>D125x3T</t>
  </si>
  <si>
    <t>47100417511</t>
  </si>
  <si>
    <t>D150x3T</t>
  </si>
  <si>
    <t>56940850332</t>
  </si>
  <si>
    <t>관보온(고무발포,강관용)</t>
  </si>
  <si>
    <t>13TxD20</t>
  </si>
  <si>
    <t>56940850333</t>
  </si>
  <si>
    <t>13TxD25</t>
  </si>
  <si>
    <t>56940850334</t>
  </si>
  <si>
    <t>13TxD32</t>
  </si>
  <si>
    <t>56940850335</t>
  </si>
  <si>
    <t>13TxD40</t>
  </si>
  <si>
    <t>56940850336</t>
  </si>
  <si>
    <t>13TxD50</t>
  </si>
  <si>
    <t>56940850337</t>
  </si>
  <si>
    <t>13TxD65</t>
  </si>
  <si>
    <t>56940850338</t>
  </si>
  <si>
    <t>13TxD80</t>
  </si>
  <si>
    <t>56940850369</t>
  </si>
  <si>
    <t>19TxD100</t>
  </si>
  <si>
    <t>56940850371</t>
  </si>
  <si>
    <t>19TxD150</t>
  </si>
  <si>
    <t>56940850393</t>
  </si>
  <si>
    <t>25TxD25</t>
  </si>
  <si>
    <t>56940850394</t>
  </si>
  <si>
    <t>25TxD32</t>
  </si>
  <si>
    <t>56940850395</t>
  </si>
  <si>
    <t>25TxD40</t>
  </si>
  <si>
    <t>56940850426</t>
  </si>
  <si>
    <t>32TxD50</t>
  </si>
  <si>
    <t>56940850427</t>
  </si>
  <si>
    <t>32TxD65</t>
  </si>
  <si>
    <t>56940850428</t>
  </si>
  <si>
    <t>32TxD80</t>
  </si>
  <si>
    <t>56940850429</t>
  </si>
  <si>
    <t>32TxD100</t>
  </si>
  <si>
    <t>47301108124</t>
  </si>
  <si>
    <t>일반배관용 STS강관 이음쇠</t>
  </si>
  <si>
    <t>엘보 (SR) D20</t>
  </si>
  <si>
    <t>47301108125</t>
  </si>
  <si>
    <t>엘보 (SR) D25</t>
  </si>
  <si>
    <t>47301108126</t>
  </si>
  <si>
    <t>엘보 (SR) D30</t>
  </si>
  <si>
    <t>47301108127</t>
  </si>
  <si>
    <t>엘보 (SR) D40</t>
  </si>
  <si>
    <t>47301108128</t>
  </si>
  <si>
    <t>엘보 (SR) D50</t>
  </si>
  <si>
    <t>47301108129</t>
  </si>
  <si>
    <t>엘보 (SR) D60</t>
  </si>
  <si>
    <t>47301108151</t>
  </si>
  <si>
    <t>엘보 (SR) D80</t>
  </si>
  <si>
    <t>47301108152</t>
  </si>
  <si>
    <t>엘보 (SR) D100</t>
  </si>
  <si>
    <t>47301108306</t>
  </si>
  <si>
    <t>티이 (SR) D25x25</t>
  </si>
  <si>
    <t>47301108314</t>
  </si>
  <si>
    <t>티이 (SR) D40x40</t>
  </si>
  <si>
    <t>47301108324</t>
  </si>
  <si>
    <t>티이 (SR) D60x60</t>
  </si>
  <si>
    <t>47301108339</t>
  </si>
  <si>
    <t>티이 (SR) D80x80</t>
  </si>
  <si>
    <t>47301108341</t>
  </si>
  <si>
    <t>티이 (SR) D100x100</t>
  </si>
  <si>
    <t>47301108522</t>
  </si>
  <si>
    <t>리듀서 (SR) D25x13</t>
  </si>
  <si>
    <t>47301108527</t>
  </si>
  <si>
    <t>리듀서 (SR) D40x13</t>
  </si>
  <si>
    <t>47301108530</t>
  </si>
  <si>
    <t>리듀서 (SR) D40x30</t>
  </si>
  <si>
    <t>47301108535</t>
  </si>
  <si>
    <t>리듀서 (SR) D50x40</t>
  </si>
  <si>
    <t>47301108576</t>
  </si>
  <si>
    <t>리듀서 (SR) D60x13</t>
  </si>
  <si>
    <t>47301108583</t>
  </si>
  <si>
    <t>리듀서 (SR) D60x40</t>
  </si>
  <si>
    <t>47301107265</t>
  </si>
  <si>
    <t>캡(SR),D40</t>
  </si>
  <si>
    <t>47301107282</t>
  </si>
  <si>
    <t>캡(SR),D80</t>
  </si>
  <si>
    <t>47301108743</t>
  </si>
  <si>
    <t>K-유니온 (SR) D25x1</t>
  </si>
  <si>
    <t>47301108744</t>
  </si>
  <si>
    <t>K-유니온 (SR) D30x1 1/4</t>
  </si>
  <si>
    <t>47301108746</t>
  </si>
  <si>
    <t>K-유니온 (SR) D40x1 1/2</t>
  </si>
  <si>
    <t>47301108748</t>
  </si>
  <si>
    <t>K-유니온 (SR) D50x2</t>
  </si>
  <si>
    <t>47301108846</t>
  </si>
  <si>
    <t>소켓 (SR) D20</t>
  </si>
  <si>
    <t>47301108847</t>
  </si>
  <si>
    <t>소켓 (SR) D25</t>
  </si>
  <si>
    <t>47301108848</t>
  </si>
  <si>
    <t>소켓 (SR) D30</t>
  </si>
  <si>
    <t>47301108849</t>
  </si>
  <si>
    <t>소켓 (SR) D40</t>
  </si>
  <si>
    <t>47301108850</t>
  </si>
  <si>
    <t>소켓 (SR) D50</t>
  </si>
  <si>
    <t>47301108947</t>
  </si>
  <si>
    <t>소켓 (SR) D60</t>
  </si>
  <si>
    <t>47301108948</t>
  </si>
  <si>
    <t>소켓 (SR) D80</t>
  </si>
  <si>
    <t>47301108949</t>
  </si>
  <si>
    <t>소켓 (SR) D100</t>
  </si>
  <si>
    <t>47301108865</t>
  </si>
  <si>
    <t>숫아답타소켓 (SR) D13x1/2</t>
  </si>
  <si>
    <t>47301108866</t>
  </si>
  <si>
    <t>숫아답타소켓 (SR) D20x3/4</t>
  </si>
  <si>
    <t>47301108867</t>
  </si>
  <si>
    <t>숫아답타소켓 (SR) D25x1</t>
  </si>
  <si>
    <t>47301108868</t>
  </si>
  <si>
    <t>숫아답타소켓 (SR) D30x1 1/4</t>
  </si>
  <si>
    <t>47301108869</t>
  </si>
  <si>
    <t>숫아답타소켓 (SR) D40x1 1/2</t>
  </si>
  <si>
    <t>47301108870</t>
  </si>
  <si>
    <t>숫아답타소켓 (SR) D50x2</t>
  </si>
  <si>
    <t>47301108963</t>
  </si>
  <si>
    <t>후렌지 (SR) D25</t>
  </si>
  <si>
    <t>47301108964</t>
  </si>
  <si>
    <t>후렌지 (SR) D30</t>
  </si>
  <si>
    <t>47301108973</t>
  </si>
  <si>
    <t>후렌지 (SR) D40</t>
  </si>
  <si>
    <t>47301108974</t>
  </si>
  <si>
    <t>후렌지 (SR) D50</t>
  </si>
  <si>
    <t>47301108975</t>
  </si>
  <si>
    <t>후렌지 (SR) D60</t>
  </si>
  <si>
    <t>47301108982</t>
  </si>
  <si>
    <t>후렌지 (SR) D80</t>
  </si>
  <si>
    <t>47301108983</t>
  </si>
  <si>
    <t>후렌지 (SR) D100</t>
  </si>
  <si>
    <t>47305288002</t>
  </si>
  <si>
    <t>무용접스텐고정식커플링(일반용)</t>
  </si>
  <si>
    <t>D50</t>
  </si>
  <si>
    <t>47305288005</t>
  </si>
  <si>
    <t>D100</t>
  </si>
  <si>
    <t>47305288006</t>
  </si>
  <si>
    <t>D125</t>
  </si>
  <si>
    <t>47305288007</t>
  </si>
  <si>
    <t>D150</t>
  </si>
  <si>
    <t>47305288065</t>
  </si>
  <si>
    <t>무용접 스텐90엘보(일반용)</t>
  </si>
  <si>
    <t>47305288068</t>
  </si>
  <si>
    <t>47305288069</t>
  </si>
  <si>
    <t>47305288070</t>
  </si>
  <si>
    <t>47305288148</t>
  </si>
  <si>
    <t>무용접 스텐티이(일반용)</t>
  </si>
  <si>
    <t>47305288150</t>
  </si>
  <si>
    <t>47305288225</t>
  </si>
  <si>
    <t>무용접 스텐레듀셔(일반용)</t>
  </si>
  <si>
    <t>47305288280</t>
  </si>
  <si>
    <t>무용접스텐후렌지아답타(일반)</t>
  </si>
  <si>
    <t>47305288283</t>
  </si>
  <si>
    <t>47305288284</t>
  </si>
  <si>
    <t>47305288285</t>
  </si>
  <si>
    <t>47305257439</t>
  </si>
  <si>
    <t>플랜지(FLANGE)</t>
  </si>
  <si>
    <t>STS맹플랜지(10KG) D100</t>
  </si>
  <si>
    <t>47305257441</t>
  </si>
  <si>
    <t>STS맹플랜지(10KG) D150</t>
  </si>
  <si>
    <t>48200167106</t>
  </si>
  <si>
    <t>게이트 밸브</t>
  </si>
  <si>
    <t>청동,10kg,D50</t>
  </si>
  <si>
    <t>48200167204</t>
  </si>
  <si>
    <t>주철,10kg,D100</t>
  </si>
  <si>
    <t>48200167601</t>
  </si>
  <si>
    <t>나사, 스테인리스, D15</t>
  </si>
  <si>
    <t>48200167602</t>
  </si>
  <si>
    <t>나사, 스테인리스, D20</t>
  </si>
  <si>
    <t>48200167603</t>
  </si>
  <si>
    <t>나사, 스테인리스, D25</t>
  </si>
  <si>
    <t>48200167604</t>
  </si>
  <si>
    <t>나사, 스테인리스, D32</t>
  </si>
  <si>
    <t>48200167605</t>
  </si>
  <si>
    <t>나사, 스테인리스, D40</t>
  </si>
  <si>
    <t>48200167606</t>
  </si>
  <si>
    <t>나사, 스테인리스, D50</t>
  </si>
  <si>
    <t>48200137152</t>
  </si>
  <si>
    <t>버터플라이 밸브</t>
  </si>
  <si>
    <t>GEAR,10K*D65</t>
  </si>
  <si>
    <t>48200137153</t>
  </si>
  <si>
    <t>GEAR,10K*D80</t>
  </si>
  <si>
    <t>48200137155</t>
  </si>
  <si>
    <t>GEAR,10K*D125</t>
  </si>
  <si>
    <t>48200137156</t>
  </si>
  <si>
    <t>GEAR,10K*D150</t>
  </si>
  <si>
    <t>48200427202</t>
  </si>
  <si>
    <t>체크 밸브</t>
  </si>
  <si>
    <t>주철,10kg,D65</t>
  </si>
  <si>
    <t>48200427204</t>
  </si>
  <si>
    <t>48200427804</t>
  </si>
  <si>
    <t>나사식,스테인리스,D32</t>
  </si>
  <si>
    <t>MM526581237</t>
  </si>
  <si>
    <t>스모렌스키,D25</t>
  </si>
  <si>
    <t>48200428305</t>
  </si>
  <si>
    <t>스모렌스키,D40</t>
  </si>
  <si>
    <t>48200428310</t>
  </si>
  <si>
    <t>스모렌스키,D125</t>
  </si>
  <si>
    <t>47300627024</t>
  </si>
  <si>
    <t>스트레이너</t>
  </si>
  <si>
    <t>후랜지, 10kg, D125</t>
  </si>
  <si>
    <t>47300627203</t>
  </si>
  <si>
    <t>47300627205</t>
  </si>
  <si>
    <t>47300627606</t>
  </si>
  <si>
    <t>여과망, D50</t>
  </si>
  <si>
    <t>47300627611</t>
  </si>
  <si>
    <t>여과망, D150</t>
  </si>
  <si>
    <t>47300357005</t>
  </si>
  <si>
    <t>플랙시블 조인트</t>
  </si>
  <si>
    <t>벨로즈형, D40*10k</t>
  </si>
  <si>
    <t>47300357010</t>
  </si>
  <si>
    <t>벨로즈형, D125*10k</t>
  </si>
  <si>
    <t>80000014415</t>
  </si>
  <si>
    <t>플랙시블조인트설치</t>
  </si>
  <si>
    <t>D32 - 50mm</t>
  </si>
  <si>
    <t>개</t>
  </si>
  <si>
    <t>표준시장단가</t>
  </si>
  <si>
    <t>80000014419</t>
  </si>
  <si>
    <t>D125mm</t>
  </si>
  <si>
    <t>47300857005</t>
  </si>
  <si>
    <t>수격방지기</t>
  </si>
  <si>
    <t>W.H.C D40</t>
  </si>
  <si>
    <t>47300857010</t>
  </si>
  <si>
    <t>W.H.C D125</t>
  </si>
  <si>
    <t>56941183040</t>
  </si>
  <si>
    <t>정수위조절밸브(STS)SR</t>
  </si>
  <si>
    <t>D25x25x25</t>
  </si>
  <si>
    <t>56941183095</t>
  </si>
  <si>
    <t>D80x80x80</t>
  </si>
  <si>
    <t>48100187153</t>
  </si>
  <si>
    <t>바램 밸브</t>
  </si>
  <si>
    <t>D25</t>
  </si>
  <si>
    <t>MM938369718</t>
  </si>
  <si>
    <t>바램밸브</t>
  </si>
  <si>
    <t>D80</t>
  </si>
  <si>
    <t>48200237204</t>
  </si>
  <si>
    <t>감압 밸브</t>
  </si>
  <si>
    <t>냉온수,나사, 10kg, D32</t>
  </si>
  <si>
    <t>80000014404</t>
  </si>
  <si>
    <t>밸브 설치</t>
  </si>
  <si>
    <t>D15 - 25mm</t>
  </si>
  <si>
    <t>80000014405</t>
  </si>
  <si>
    <t>80000014406</t>
  </si>
  <si>
    <t>D65mm</t>
  </si>
  <si>
    <t>80000014407</t>
  </si>
  <si>
    <t>D80mm</t>
  </si>
  <si>
    <t>80000014408</t>
  </si>
  <si>
    <t>D100mm</t>
  </si>
  <si>
    <t>80000014410</t>
  </si>
  <si>
    <t>D150mm</t>
  </si>
  <si>
    <t>66951007078</t>
  </si>
  <si>
    <t>유량계(원격식)</t>
  </si>
  <si>
    <t>66951007080</t>
  </si>
  <si>
    <t>56940740831</t>
  </si>
  <si>
    <t>밸브보온 (고무발포)</t>
  </si>
  <si>
    <t>25TxD65</t>
  </si>
  <si>
    <t>56940740832</t>
  </si>
  <si>
    <t>25TxD80</t>
  </si>
  <si>
    <t>56940740835</t>
  </si>
  <si>
    <t>25TxD150</t>
  </si>
  <si>
    <t>56941320040</t>
  </si>
  <si>
    <t>압력계설치(STS)</t>
  </si>
  <si>
    <t>0-35KG/CM2</t>
  </si>
  <si>
    <t>조</t>
  </si>
  <si>
    <t>56941320080</t>
  </si>
  <si>
    <t>온도계설치(STS)</t>
  </si>
  <si>
    <t>L형</t>
  </si>
  <si>
    <t>56941220081</t>
  </si>
  <si>
    <t>자동공기변설치(물용)SR</t>
  </si>
  <si>
    <t>56940520020</t>
  </si>
  <si>
    <t>절연행가(달대볼트)</t>
  </si>
  <si>
    <t>D20</t>
  </si>
  <si>
    <t>56940520030</t>
  </si>
  <si>
    <t>56940520040</t>
  </si>
  <si>
    <t>D32</t>
  </si>
  <si>
    <t>56940520050</t>
  </si>
  <si>
    <t>D40</t>
  </si>
  <si>
    <t>56940520060</t>
  </si>
  <si>
    <t>56940520080</t>
  </si>
  <si>
    <t>56940520090</t>
  </si>
  <si>
    <t>53060228324</t>
  </si>
  <si>
    <t>U자형볼트/너트</t>
  </si>
  <si>
    <t>절연, D32</t>
  </si>
  <si>
    <t>53060228325</t>
  </si>
  <si>
    <t>절연, D40</t>
  </si>
  <si>
    <t>53060228326</t>
  </si>
  <si>
    <t>절연, D50</t>
  </si>
  <si>
    <t>53060228327</t>
  </si>
  <si>
    <t>절연, D65</t>
  </si>
  <si>
    <t>53060228329</t>
  </si>
  <si>
    <t>절연, D100</t>
  </si>
  <si>
    <t>53060228331</t>
  </si>
  <si>
    <t>절연, D150</t>
  </si>
  <si>
    <t>47300787034</t>
  </si>
  <si>
    <t>파이프슈</t>
  </si>
  <si>
    <t>슈(SHOE),절연앙카 D32</t>
  </si>
  <si>
    <t>47300787036</t>
  </si>
  <si>
    <t>슈(SHOE),절연앙카 D50</t>
  </si>
  <si>
    <t>47300787038</t>
  </si>
  <si>
    <t>슈(SHOE),절연앙카 D80</t>
  </si>
  <si>
    <t>47300787163</t>
  </si>
  <si>
    <t>슈(SHOE),절연레스팅 D25</t>
  </si>
  <si>
    <t>47300787164</t>
  </si>
  <si>
    <t>슈(SHOE),절연레스팅 D32</t>
  </si>
  <si>
    <t>47300787165</t>
  </si>
  <si>
    <t>슈(SHOE),절연레스팅 D40</t>
  </si>
  <si>
    <t>47300787166</t>
  </si>
  <si>
    <t>슈(SHOE),절연레스팅 D50</t>
  </si>
  <si>
    <t>47300787167</t>
  </si>
  <si>
    <t>슈(SHOE),절연레스팅 D65</t>
  </si>
  <si>
    <t>47300787168</t>
  </si>
  <si>
    <t>슈(SHOE),절연레스팅 D80</t>
  </si>
  <si>
    <t>47300787169</t>
  </si>
  <si>
    <t>슈(SHOE),절연레스팅 D100</t>
  </si>
  <si>
    <t>56940620080</t>
  </si>
  <si>
    <t>강관스리브(지수판포함,벽체)</t>
  </si>
  <si>
    <t>95200017301</t>
  </si>
  <si>
    <t>ㄷ형강</t>
  </si>
  <si>
    <t>100×50×5×7.5mm</t>
  </si>
  <si>
    <t>KG</t>
  </si>
  <si>
    <t>95200027101</t>
  </si>
  <si>
    <t>ㄱ형강</t>
  </si>
  <si>
    <t>등변, 75×75×6mm</t>
  </si>
  <si>
    <t>56941340020</t>
  </si>
  <si>
    <t>인서트플레이트</t>
  </si>
  <si>
    <t>200x200x9T</t>
  </si>
  <si>
    <t>56941491011</t>
  </si>
  <si>
    <t>펌프가대설치(배수펌프)</t>
  </si>
  <si>
    <t>펌프2대설치기준</t>
  </si>
  <si>
    <t>56941420020</t>
  </si>
  <si>
    <t>유성페인트칠</t>
  </si>
  <si>
    <t>철재면2회</t>
  </si>
  <si>
    <t>M2</t>
  </si>
  <si>
    <t>56941422020</t>
  </si>
  <si>
    <t>녹막이페인트칠</t>
  </si>
  <si>
    <t>2회</t>
  </si>
  <si>
    <t>56941410010</t>
  </si>
  <si>
    <t>잡철물제작설치</t>
  </si>
  <si>
    <t>간단</t>
  </si>
  <si>
    <t>TON</t>
  </si>
  <si>
    <t>56900017030</t>
  </si>
  <si>
    <t>배관공</t>
  </si>
  <si>
    <t>010104  공조배관공사</t>
  </si>
  <si>
    <t>010104</t>
  </si>
  <si>
    <t>47100417512</t>
  </si>
  <si>
    <t>D200x3T</t>
  </si>
  <si>
    <t>56940850392</t>
  </si>
  <si>
    <t>25TxD20</t>
  </si>
  <si>
    <t>56940850396</t>
  </si>
  <si>
    <t>25TxD50</t>
  </si>
  <si>
    <t>56940850460</t>
  </si>
  <si>
    <t>38TxD125</t>
  </si>
  <si>
    <t>56940850462</t>
  </si>
  <si>
    <t>38TxD200</t>
  </si>
  <si>
    <t>47301108305</t>
  </si>
  <si>
    <t>티이 (SR) D20x20</t>
  </si>
  <si>
    <t>47301108309</t>
  </si>
  <si>
    <t>티이 (SR) D30x30</t>
  </si>
  <si>
    <t>47301108318</t>
  </si>
  <si>
    <t>티이 (SR) D50x50</t>
  </si>
  <si>
    <t>47301108523</t>
  </si>
  <si>
    <t>리듀서 (SR) D25x20</t>
  </si>
  <si>
    <t>47301108526</t>
  </si>
  <si>
    <t>리듀서 (SR) D30x25</t>
  </si>
  <si>
    <t>47301108531</t>
  </si>
  <si>
    <t>리듀서 (SR) D50x13</t>
  </si>
  <si>
    <t>47301108532</t>
  </si>
  <si>
    <t>리듀서 (SR) D50x20</t>
  </si>
  <si>
    <t>47301108577</t>
  </si>
  <si>
    <t>리듀서 (SR) D60x20</t>
  </si>
  <si>
    <t>47301108584</t>
  </si>
  <si>
    <t>리듀서 (SR) D60x50</t>
  </si>
  <si>
    <t>47301108589</t>
  </si>
  <si>
    <t>리듀서 (SR) D80x40</t>
  </si>
  <si>
    <t>47301108591</t>
  </si>
  <si>
    <t>리듀서 (SR) D80x60</t>
  </si>
  <si>
    <t>47301108592</t>
  </si>
  <si>
    <t>리듀서 (SR) D100x13</t>
  </si>
  <si>
    <t>47301108593</t>
  </si>
  <si>
    <t>리듀서 (SR) D100x20</t>
  </si>
  <si>
    <t>47301108598</t>
  </si>
  <si>
    <t>리듀서 (SR) D100x60</t>
  </si>
  <si>
    <t>47301108599</t>
  </si>
  <si>
    <t>리듀서 (SR) D100x80</t>
  </si>
  <si>
    <t>47301107262</t>
  </si>
  <si>
    <t>캡(SR),D20</t>
  </si>
  <si>
    <t>47301107263</t>
  </si>
  <si>
    <t>캡(SR),D25</t>
  </si>
  <si>
    <t>47301107264</t>
  </si>
  <si>
    <t>캡(SR),D30</t>
  </si>
  <si>
    <t>47301107266</t>
  </si>
  <si>
    <t>캡(SR),D50</t>
  </si>
  <si>
    <t>47301108742</t>
  </si>
  <si>
    <t>K-유니온 (SR) D20x3/4</t>
  </si>
  <si>
    <t>47305288008</t>
  </si>
  <si>
    <t>D200</t>
  </si>
  <si>
    <t>47305288071</t>
  </si>
  <si>
    <t>47305288149</t>
  </si>
  <si>
    <t>47305288151</t>
  </si>
  <si>
    <t>47305288224</t>
  </si>
  <si>
    <t>47305288226</t>
  </si>
  <si>
    <t>48200147602</t>
  </si>
  <si>
    <t>볼 밸브</t>
  </si>
  <si>
    <t>48200037202</t>
  </si>
  <si>
    <t>글로브 밸브</t>
  </si>
  <si>
    <t>주철, 10kg, D65</t>
  </si>
  <si>
    <t>48200037203</t>
  </si>
  <si>
    <t>주철, 10kg, D80</t>
  </si>
  <si>
    <t>48200037204</t>
  </si>
  <si>
    <t>주철, 10kg, D100</t>
  </si>
  <si>
    <t>48200037305</t>
  </si>
  <si>
    <t>48200037306</t>
  </si>
  <si>
    <t>48200137154</t>
  </si>
  <si>
    <t>GEAR,10K*D100</t>
  </si>
  <si>
    <t>47300627021</t>
  </si>
  <si>
    <t>후랜지, 10kg, D65</t>
  </si>
  <si>
    <t>47300627022</t>
  </si>
  <si>
    <t>후랜지, 10kg, D80</t>
  </si>
  <si>
    <t>47300627023</t>
  </si>
  <si>
    <t>후랜지, 10kg, D100</t>
  </si>
  <si>
    <t>47300627206</t>
  </si>
  <si>
    <t>48200067196</t>
  </si>
  <si>
    <t>복합밸브(FCU)</t>
  </si>
  <si>
    <t>48200067205</t>
  </si>
  <si>
    <t>복합밸브</t>
  </si>
  <si>
    <t>48200067206</t>
  </si>
  <si>
    <t>48200067207</t>
  </si>
  <si>
    <t>D65</t>
  </si>
  <si>
    <t>48200067209</t>
  </si>
  <si>
    <t>56940680040</t>
  </si>
  <si>
    <t>신축접수 (STS 복식)</t>
  </si>
  <si>
    <t>56940680050</t>
  </si>
  <si>
    <t>56940680070</t>
  </si>
  <si>
    <t>56940680090</t>
  </si>
  <si>
    <t>56941700200</t>
  </si>
  <si>
    <t>신축접수고정앙카가대</t>
  </si>
  <si>
    <t>53060228323</t>
  </si>
  <si>
    <t>절연, D25</t>
  </si>
  <si>
    <t>53060228330</t>
  </si>
  <si>
    <t>절연, D125</t>
  </si>
  <si>
    <t>53060228332</t>
  </si>
  <si>
    <t>절연, D200</t>
  </si>
  <si>
    <t>47300787033</t>
  </si>
  <si>
    <t>슈(SHOE),절연앙카 D25</t>
  </si>
  <si>
    <t>47300787035</t>
  </si>
  <si>
    <t>슈(SHOE),절연앙카 D40</t>
  </si>
  <si>
    <t>47300787037</t>
  </si>
  <si>
    <t>슈(SHOE),절연앙카 D65</t>
  </si>
  <si>
    <t>47300787039</t>
  </si>
  <si>
    <t>슈(SHOE),절연앙카 D100</t>
  </si>
  <si>
    <t>47300787040</t>
  </si>
  <si>
    <t>슈(SHOE),절연앙카 D125</t>
  </si>
  <si>
    <t>47300787104</t>
  </si>
  <si>
    <t>슈(SHOE),절연가이드 D32</t>
  </si>
  <si>
    <t>47300787105</t>
  </si>
  <si>
    <t>슈(SHOE),절연가이드 D40</t>
  </si>
  <si>
    <t>47300787107</t>
  </si>
  <si>
    <t>슈(SHOE),절연가이드 D65</t>
  </si>
  <si>
    <t>47300787109</t>
  </si>
  <si>
    <t>슈(SHOE),절연가이드 D100</t>
  </si>
  <si>
    <t>47300787162</t>
  </si>
  <si>
    <t>슈(SHOE),절연레스팅 D20</t>
  </si>
  <si>
    <t>47300787170</t>
  </si>
  <si>
    <t>슈(SHOE),절연레스팅 D125</t>
  </si>
  <si>
    <t>47300787172</t>
  </si>
  <si>
    <t>슈(SHOE),절연레스팅 D200</t>
  </si>
  <si>
    <t>56810021004</t>
  </si>
  <si>
    <t>내화충전재(강관,벽체)</t>
  </si>
  <si>
    <t>56810021005</t>
  </si>
  <si>
    <t>56810021006</t>
  </si>
  <si>
    <t>56810021007</t>
  </si>
  <si>
    <t>56810021008</t>
  </si>
  <si>
    <t>56810021012</t>
  </si>
  <si>
    <t>56810021106</t>
  </si>
  <si>
    <t>내화충전재(강관,바닥)</t>
  </si>
  <si>
    <t>56810021107</t>
  </si>
  <si>
    <t>56810021110</t>
  </si>
  <si>
    <t>56810021111</t>
  </si>
  <si>
    <t>56810021113</t>
  </si>
  <si>
    <t>D175</t>
  </si>
  <si>
    <t>47301148884</t>
  </si>
  <si>
    <t>배수용 경질염화비닐 이음관</t>
  </si>
  <si>
    <t>스리브 D35</t>
  </si>
  <si>
    <t>47301148885</t>
  </si>
  <si>
    <t>스리브 D40</t>
  </si>
  <si>
    <t>47301148886</t>
  </si>
  <si>
    <t>스리브 D50</t>
  </si>
  <si>
    <t>47301148887</t>
  </si>
  <si>
    <t>스리브 D75</t>
  </si>
  <si>
    <t>47301148888</t>
  </si>
  <si>
    <t>스리브 D100</t>
  </si>
  <si>
    <t>47301148905</t>
  </si>
  <si>
    <t>스리브 D200</t>
  </si>
  <si>
    <t>47301148952</t>
  </si>
  <si>
    <t>입상관스리브 D50</t>
  </si>
  <si>
    <t>47301148953</t>
  </si>
  <si>
    <t>입상관스리브 D75</t>
  </si>
  <si>
    <t>47301148954</t>
  </si>
  <si>
    <t>입상관스리브 D100</t>
  </si>
  <si>
    <t>47301148955</t>
  </si>
  <si>
    <t>입상관스리브 D125</t>
  </si>
  <si>
    <t>47301148957</t>
  </si>
  <si>
    <t>입상관스리브 D200</t>
  </si>
  <si>
    <t>010105  위생기구설치공사</t>
  </si>
  <si>
    <t>010105</t>
  </si>
  <si>
    <t>45100077086</t>
  </si>
  <si>
    <t>절수형양변기(LT)</t>
  </si>
  <si>
    <t>VC-1210</t>
  </si>
  <si>
    <t>SET</t>
  </si>
  <si>
    <t>45100077096</t>
  </si>
  <si>
    <t>절수형양변기(FV)</t>
  </si>
  <si>
    <t>VC-910</t>
  </si>
  <si>
    <t>45100077098</t>
  </si>
  <si>
    <t>절수형양변기(FV,전자감지식)</t>
  </si>
  <si>
    <t>45100087010</t>
  </si>
  <si>
    <t>소변기</t>
  </si>
  <si>
    <t>전자감지식,VU-410</t>
  </si>
  <si>
    <t>45100017075</t>
  </si>
  <si>
    <t>각형세면기(SL,센서형)</t>
  </si>
  <si>
    <t>VL-610</t>
  </si>
  <si>
    <t>45100017088</t>
  </si>
  <si>
    <t>원형세면기(SL,절수형)</t>
  </si>
  <si>
    <t>VL-1050</t>
  </si>
  <si>
    <t>45100237001</t>
  </si>
  <si>
    <t>청소씽크</t>
  </si>
  <si>
    <t>VS-210</t>
  </si>
  <si>
    <t>45100247029</t>
  </si>
  <si>
    <t>씽크혼합수전</t>
  </si>
  <si>
    <t>45100247046</t>
  </si>
  <si>
    <t>샤워기(입식)</t>
  </si>
  <si>
    <t>45100247033</t>
  </si>
  <si>
    <t>수도꼭지</t>
  </si>
  <si>
    <t>가로꼭지, 15mm</t>
  </si>
  <si>
    <t>45100247059</t>
  </si>
  <si>
    <t>세탁기수전(D15)</t>
  </si>
  <si>
    <t>72900477009</t>
  </si>
  <si>
    <t>핸드드라이어</t>
  </si>
  <si>
    <t>45100047002</t>
  </si>
  <si>
    <t>수건걸이(STS)</t>
  </si>
  <si>
    <t>45100057001</t>
  </si>
  <si>
    <t>휴지걸이(STS)</t>
  </si>
  <si>
    <t>45100577013</t>
  </si>
  <si>
    <t>장애자용가대(양변기용)</t>
  </si>
  <si>
    <t>고정식</t>
  </si>
  <si>
    <t>45100577014</t>
  </si>
  <si>
    <t>가동식</t>
  </si>
  <si>
    <t>45100577010</t>
  </si>
  <si>
    <t>장애자용가대(세면기용)</t>
  </si>
  <si>
    <t>56900017072</t>
  </si>
  <si>
    <t>위생공</t>
  </si>
  <si>
    <t>010106  급수급탕배관공사</t>
  </si>
  <si>
    <t>010106</t>
  </si>
  <si>
    <t>56940840100</t>
  </si>
  <si>
    <t>아티론보온</t>
  </si>
  <si>
    <t>5TxD15</t>
  </si>
  <si>
    <t>56940840101</t>
  </si>
  <si>
    <t>5TxD20</t>
  </si>
  <si>
    <t>56940840102</t>
  </si>
  <si>
    <t>5TxD25</t>
  </si>
  <si>
    <t>56940850331</t>
  </si>
  <si>
    <t>13TxD15</t>
  </si>
  <si>
    <t>56940850370</t>
  </si>
  <si>
    <t>19TxD125</t>
  </si>
  <si>
    <t>56940850391</t>
  </si>
  <si>
    <t>25TxD15</t>
  </si>
  <si>
    <t>47301108123</t>
  </si>
  <si>
    <t>엘보 (SR) D13</t>
  </si>
  <si>
    <t>47301107021</t>
  </si>
  <si>
    <t>수전엘보우(SR),D13*1/2</t>
  </si>
  <si>
    <t>47301107023</t>
  </si>
  <si>
    <t>수전엘보우(SR),D20*3/4</t>
  </si>
  <si>
    <t>47301107024</t>
  </si>
  <si>
    <t>수전엘보우(SR),D25*1</t>
  </si>
  <si>
    <t>47301108331</t>
  </si>
  <si>
    <t>급수전티이 (SR) D13x1/2</t>
  </si>
  <si>
    <t>47301108521</t>
  </si>
  <si>
    <t>리듀서 (SR) D20x13</t>
  </si>
  <si>
    <t>47301108524</t>
  </si>
  <si>
    <t>리듀서 (SR) D30x13</t>
  </si>
  <si>
    <t>47301108525</t>
  </si>
  <si>
    <t>리듀서 (SR) D30x20</t>
  </si>
  <si>
    <t>47301108528</t>
  </si>
  <si>
    <t>리듀서 (SR) D40x20</t>
  </si>
  <si>
    <t>47301108529</t>
  </si>
  <si>
    <t>리듀서 (SR) D40x25</t>
  </si>
  <si>
    <t>47301108533</t>
  </si>
  <si>
    <t>리듀서 (SR) D50x25</t>
  </si>
  <si>
    <t>47301108534</t>
  </si>
  <si>
    <t>리듀서 (SR) D50x30</t>
  </si>
  <si>
    <t>47301108578</t>
  </si>
  <si>
    <t>리듀서 (SR) D60x25</t>
  </si>
  <si>
    <t>47301108586</t>
  </si>
  <si>
    <t>리듀서 (SR) D80x20</t>
  </si>
  <si>
    <t>47301108596</t>
  </si>
  <si>
    <t>리듀서 (SR) D100x40</t>
  </si>
  <si>
    <t>47301107261</t>
  </si>
  <si>
    <t>캡(SR),D13</t>
  </si>
  <si>
    <t>47301108741</t>
  </si>
  <si>
    <t>K-유니온 (SR) D13x1/2</t>
  </si>
  <si>
    <t>47300857006</t>
  </si>
  <si>
    <t>W.H.C D50</t>
  </si>
  <si>
    <t>47300857007</t>
  </si>
  <si>
    <t>W.H.C D65</t>
  </si>
  <si>
    <t>47300857008</t>
  </si>
  <si>
    <t>W.H.C D80</t>
  </si>
  <si>
    <t>56940680030</t>
  </si>
  <si>
    <t>56940680060</t>
  </si>
  <si>
    <t>56940680080</t>
  </si>
  <si>
    <t>56940520010</t>
  </si>
  <si>
    <t>56940520070</t>
  </si>
  <si>
    <t>53060228322</t>
  </si>
  <si>
    <t>절연, D20</t>
  </si>
  <si>
    <t>53060228328</t>
  </si>
  <si>
    <t>절연, D80</t>
  </si>
  <si>
    <t>47300787032</t>
  </si>
  <si>
    <t>슈(SHOE),절연앙카 D20</t>
  </si>
  <si>
    <t>47300787103</t>
  </si>
  <si>
    <t>슈(SHOE),절연가이드 D25</t>
  </si>
  <si>
    <t>47300787106</t>
  </si>
  <si>
    <t>슈(SHOE),절연가이드 D50</t>
  </si>
  <si>
    <t>47300787108</t>
  </si>
  <si>
    <t>슈(SHOE),절연가이드 D80</t>
  </si>
  <si>
    <t>56810021002</t>
  </si>
  <si>
    <t>56810021003</t>
  </si>
  <si>
    <t>56810021009</t>
  </si>
  <si>
    <t>56810021010</t>
  </si>
  <si>
    <t>56810021102</t>
  </si>
  <si>
    <t>56810021103</t>
  </si>
  <si>
    <t>56810021104</t>
  </si>
  <si>
    <t>56810021105</t>
  </si>
  <si>
    <t>56810021108</t>
  </si>
  <si>
    <t>47301148882</t>
  </si>
  <si>
    <t>스리브 D20</t>
  </si>
  <si>
    <t>47301148883</t>
  </si>
  <si>
    <t>스리브 D25</t>
  </si>
  <si>
    <t>47301148889</t>
  </si>
  <si>
    <t>스리브 D125</t>
  </si>
  <si>
    <t>47301148949</t>
  </si>
  <si>
    <t>입상관스리브 D25</t>
  </si>
  <si>
    <t>47301148950</t>
  </si>
  <si>
    <t>입상관스리브 D32</t>
  </si>
  <si>
    <t>47301148951</t>
  </si>
  <si>
    <t>입상관스리브 D40</t>
  </si>
  <si>
    <t>53060707008</t>
  </si>
  <si>
    <t>셋트앵커</t>
  </si>
  <si>
    <t>M10×L75mm</t>
  </si>
  <si>
    <t>95200027071</t>
  </si>
  <si>
    <t>등변, 50×50×6mm</t>
  </si>
  <si>
    <t>010107  오배수배관공사</t>
  </si>
  <si>
    <t>010107</t>
  </si>
  <si>
    <t>47100727106</t>
  </si>
  <si>
    <t>일반용 경질염화비닐관</t>
  </si>
  <si>
    <t>PVC관(VG1,DTS) D50</t>
  </si>
  <si>
    <t>47100727108</t>
  </si>
  <si>
    <t>PVC관(VG1,DTS) D75</t>
  </si>
  <si>
    <t>47100727109</t>
  </si>
  <si>
    <t>PVC관(VG1,DTS) D100</t>
  </si>
  <si>
    <t>47100727111</t>
  </si>
  <si>
    <t>PVC관(VG1,DTS) D150</t>
  </si>
  <si>
    <t>47100727112</t>
  </si>
  <si>
    <t>PVC관(VG1,DTS) D200</t>
  </si>
  <si>
    <t>47100727158</t>
  </si>
  <si>
    <t>PVC관(VG2,DTS) D150</t>
  </si>
  <si>
    <t>47100727123</t>
  </si>
  <si>
    <t>PVC관(VG1,DRF) D35</t>
  </si>
  <si>
    <t>47100727124</t>
  </si>
  <si>
    <t>PVC관(VG1,DRF) D40</t>
  </si>
  <si>
    <t>47100727125</t>
  </si>
  <si>
    <t>PVC관(VG1,DRF) D50</t>
  </si>
  <si>
    <t>47100727127</t>
  </si>
  <si>
    <t>PVC관(VG1,DRF) D75</t>
  </si>
  <si>
    <t>47100727128</t>
  </si>
  <si>
    <t>PVC관(VG1,DRF) D100</t>
  </si>
  <si>
    <t>47100727129</t>
  </si>
  <si>
    <t>PVC관(VG1,DRF) D125</t>
  </si>
  <si>
    <t>47100727172</t>
  </si>
  <si>
    <t>PVC관(VG2,DRF) D50</t>
  </si>
  <si>
    <t>47100727176</t>
  </si>
  <si>
    <t>PVC관(VG2,DRF) D125</t>
  </si>
  <si>
    <t>80000012372</t>
  </si>
  <si>
    <t>PVC 옥내일반배관,PVC관미포함</t>
  </si>
  <si>
    <t>D35mm,소켓접합,고소작업대</t>
  </si>
  <si>
    <t>m</t>
  </si>
  <si>
    <t>80000012373</t>
  </si>
  <si>
    <t>D40mm,소켓접합,고소작업대</t>
  </si>
  <si>
    <t>80000012374</t>
  </si>
  <si>
    <t>D50mm,소켓접합,고소작업대</t>
  </si>
  <si>
    <t>80000012376</t>
  </si>
  <si>
    <t>D75mm,소켓접합,고소작업대</t>
  </si>
  <si>
    <t>80000012377</t>
  </si>
  <si>
    <t>D100mm,소켓접합,고소작업대</t>
  </si>
  <si>
    <t>80000012378</t>
  </si>
  <si>
    <t>D125mm,소켓접합,고소작업대</t>
  </si>
  <si>
    <t>80000012379</t>
  </si>
  <si>
    <t>D150mm,소켓접합,고소작업대</t>
  </si>
  <si>
    <t>80000012380</t>
  </si>
  <si>
    <t>D200mm,소켓접합,고소작업대</t>
  </si>
  <si>
    <t>47305288145</t>
  </si>
  <si>
    <t>47300248201</t>
  </si>
  <si>
    <t>바닥배수구(F.D)</t>
  </si>
  <si>
    <t>47300248202</t>
  </si>
  <si>
    <t>47300248203</t>
  </si>
  <si>
    <t>47301148043</t>
  </si>
  <si>
    <t>90˚단곡관(DTS) D50</t>
  </si>
  <si>
    <t>47301148047</t>
  </si>
  <si>
    <t>90˚단곡관(DTS) D150</t>
  </si>
  <si>
    <t>47301148062</t>
  </si>
  <si>
    <t>45˚단곡관(DTS) D75</t>
  </si>
  <si>
    <t>47301148063</t>
  </si>
  <si>
    <t>45˚단곡관(DTS) D100</t>
  </si>
  <si>
    <t>47301148065</t>
  </si>
  <si>
    <t>45˚단곡관(DTS) D150</t>
  </si>
  <si>
    <t>47301148066</t>
  </si>
  <si>
    <t>45˚단곡관(DTS) D200</t>
  </si>
  <si>
    <t>47301148146</t>
  </si>
  <si>
    <t>소켓 (DTS) D100</t>
  </si>
  <si>
    <t>47301148148</t>
  </si>
  <si>
    <t>소켓 (DTS) D150</t>
  </si>
  <si>
    <t>47301148149</t>
  </si>
  <si>
    <t>소켓 (DTS) D200</t>
  </si>
  <si>
    <t>47301148242</t>
  </si>
  <si>
    <t>리듀서(DTS) D150xD125</t>
  </si>
  <si>
    <t>47301148374</t>
  </si>
  <si>
    <t>Y관(DTS) D100x100</t>
  </si>
  <si>
    <t>47301148378</t>
  </si>
  <si>
    <t>Y관(DTS) D100x75</t>
  </si>
  <si>
    <t>47301148385</t>
  </si>
  <si>
    <t>Y관(DTS) D150xD150</t>
  </si>
  <si>
    <t>47301148388</t>
  </si>
  <si>
    <t>Y관(DTS) D150x50</t>
  </si>
  <si>
    <t>47301148390</t>
  </si>
  <si>
    <t>Y관(DTS) D150x100</t>
  </si>
  <si>
    <t>47301148392</t>
  </si>
  <si>
    <t>Y관(DTS) D200x200</t>
  </si>
  <si>
    <t>47301148395</t>
  </si>
  <si>
    <t>Y관(DTS) D200x100</t>
  </si>
  <si>
    <t>47301148396</t>
  </si>
  <si>
    <t>Y관(DTS) D200x125</t>
  </si>
  <si>
    <t>47301148397</t>
  </si>
  <si>
    <t>Y관(DTS) D200x150</t>
  </si>
  <si>
    <t>47301148625</t>
  </si>
  <si>
    <t>YT관(DTS) D150xD150</t>
  </si>
  <si>
    <t>47301148628</t>
  </si>
  <si>
    <t>YT관(DTS) D150xD50</t>
  </si>
  <si>
    <t>47301148630</t>
  </si>
  <si>
    <t>YT관(DTS) D150xD100</t>
  </si>
  <si>
    <t>47301148632</t>
  </si>
  <si>
    <t>YT관(DTS) D200xD200</t>
  </si>
  <si>
    <t>47301148848</t>
  </si>
  <si>
    <t>C.O.(DTS)D150</t>
  </si>
  <si>
    <t>47301148849</t>
  </si>
  <si>
    <t>C.O.(DTS)D200</t>
  </si>
  <si>
    <t>47301148856</t>
  </si>
  <si>
    <t>F.C.O.(DTS)D100</t>
  </si>
  <si>
    <t>47301148814</t>
  </si>
  <si>
    <t>P트랩(DTS) D75</t>
  </si>
  <si>
    <t>47301148650</t>
  </si>
  <si>
    <t>90˚단곡관(DRF) D35</t>
  </si>
  <si>
    <t>47301148652</t>
  </si>
  <si>
    <t>90˚단곡관(DRF) D50</t>
  </si>
  <si>
    <t>47301148653</t>
  </si>
  <si>
    <t>90˚단곡관(DRF) D75</t>
  </si>
  <si>
    <t>47301148654</t>
  </si>
  <si>
    <t>90˚단곡관(DRF) D100</t>
  </si>
  <si>
    <t>47301148655</t>
  </si>
  <si>
    <t>90˚단곡관(DRF) D125</t>
  </si>
  <si>
    <t>47301148659</t>
  </si>
  <si>
    <t>45˚단곡관(DRF) D50</t>
  </si>
  <si>
    <t>47301148660</t>
  </si>
  <si>
    <t>45˚단곡관(DRF) D75</t>
  </si>
  <si>
    <t>47301148661</t>
  </si>
  <si>
    <t>45˚단곡관(DRF) D100</t>
  </si>
  <si>
    <t>47301148662</t>
  </si>
  <si>
    <t>45˚단곡관(DRF) D125</t>
  </si>
  <si>
    <t>47301148666</t>
  </si>
  <si>
    <t>Y관 (DRF) D50x50</t>
  </si>
  <si>
    <t>47301148669</t>
  </si>
  <si>
    <t>Y관 (DRF) D75x50</t>
  </si>
  <si>
    <t>47301148670</t>
  </si>
  <si>
    <t>Y관 (DRF) D75x75</t>
  </si>
  <si>
    <t>47301148671</t>
  </si>
  <si>
    <t>Y관 (DRF) D100x50</t>
  </si>
  <si>
    <t>47301148672</t>
  </si>
  <si>
    <t>Y관 (DRF) D100x75</t>
  </si>
  <si>
    <t>47301148675</t>
  </si>
  <si>
    <t>Y관 (DRF) D125x50</t>
  </si>
  <si>
    <t>47301148736</t>
  </si>
  <si>
    <t>Y관 (DRF) D125x75</t>
  </si>
  <si>
    <t>47301148674</t>
  </si>
  <si>
    <t>Y관 (DRF) D125x100</t>
  </si>
  <si>
    <t>47301148754</t>
  </si>
  <si>
    <t>Y관 (DRF) D125x125</t>
  </si>
  <si>
    <t>47301148678</t>
  </si>
  <si>
    <t>LT관 (DRF) D50x50</t>
  </si>
  <si>
    <t>47301148680</t>
  </si>
  <si>
    <t>LT관 (DRF) D75x50</t>
  </si>
  <si>
    <t>47301148682</t>
  </si>
  <si>
    <t>LT관 (DRF) D100x50</t>
  </si>
  <si>
    <t>47301148684</t>
  </si>
  <si>
    <t>LT관 (DRF) D100x100</t>
  </si>
  <si>
    <t>47301148852</t>
  </si>
  <si>
    <t>LT관 (DRF) D125x50</t>
  </si>
  <si>
    <t>47301148685</t>
  </si>
  <si>
    <t>LT관 (DRF) D125x100</t>
  </si>
  <si>
    <t>47301148714</t>
  </si>
  <si>
    <t>소켓 (DRF) D50</t>
  </si>
  <si>
    <t>47301148715</t>
  </si>
  <si>
    <t>소켓 (DRF) D75</t>
  </si>
  <si>
    <t>47301148716</t>
  </si>
  <si>
    <t>소켓 (DRF) D100</t>
  </si>
  <si>
    <t>47301148717</t>
  </si>
  <si>
    <t>소켓 (DRF) D125</t>
  </si>
  <si>
    <t>47301148718</t>
  </si>
  <si>
    <t>이경소켓 (DRF) D50x35</t>
  </si>
  <si>
    <t>47301148719</t>
  </si>
  <si>
    <t>이경소켓 (DRF) D50x40</t>
  </si>
  <si>
    <t>47301148721</t>
  </si>
  <si>
    <t>이경소켓 (DRF) D100x50</t>
  </si>
  <si>
    <t>47301148726</t>
  </si>
  <si>
    <t>P 트랩 (DRF) D50</t>
  </si>
  <si>
    <t>47301148727</t>
  </si>
  <si>
    <t>P 트랩 (DRF) D75</t>
  </si>
  <si>
    <t>47301148728</t>
  </si>
  <si>
    <t>P 트랩 (DRF) D100</t>
  </si>
  <si>
    <t>47301148778</t>
  </si>
  <si>
    <t>소제구 (DRF) D50</t>
  </si>
  <si>
    <t>47301148790</t>
  </si>
  <si>
    <t>소제구 (DRF) D75</t>
  </si>
  <si>
    <t>47301148795</t>
  </si>
  <si>
    <t>소제구 (DRF) D100</t>
  </si>
  <si>
    <t>47301148802</t>
  </si>
  <si>
    <t>소제구 (DRF) D125</t>
  </si>
  <si>
    <t>47301148900</t>
  </si>
  <si>
    <t>V.T.R(PVC) D125</t>
  </si>
  <si>
    <t>47301148901</t>
  </si>
  <si>
    <t>V.T.R(PVC) D150</t>
  </si>
  <si>
    <t>47301148921</t>
  </si>
  <si>
    <t>V.T.W(PVC) D150</t>
  </si>
  <si>
    <t>48200427806</t>
  </si>
  <si>
    <t>나사식,스테인리스,D50</t>
  </si>
  <si>
    <t>80000014456</t>
  </si>
  <si>
    <t>압력계(강관용)</t>
  </si>
  <si>
    <t>D100mm 2-35 kg/cm2</t>
  </si>
  <si>
    <t>56940510060</t>
  </si>
  <si>
    <t>일반행거(달대볼트)</t>
  </si>
  <si>
    <t>56940510080</t>
  </si>
  <si>
    <t>56940510090</t>
  </si>
  <si>
    <t>56940510100</t>
  </si>
  <si>
    <t>56940510110</t>
  </si>
  <si>
    <t>56940510120</t>
  </si>
  <si>
    <t>53060228338</t>
  </si>
  <si>
    <t>비절연, D50</t>
  </si>
  <si>
    <t>53060228341</t>
  </si>
  <si>
    <t>비절연, D100</t>
  </si>
  <si>
    <t>53060228342</t>
  </si>
  <si>
    <t>비절연, D125</t>
  </si>
  <si>
    <t>53060228343</t>
  </si>
  <si>
    <t>비절연, D150</t>
  </si>
  <si>
    <t>53060228344</t>
  </si>
  <si>
    <t>비절연, D200</t>
  </si>
  <si>
    <t>56940620060</t>
  </si>
  <si>
    <t>56940620090</t>
  </si>
  <si>
    <t>56940620100</t>
  </si>
  <si>
    <t>56940620110</t>
  </si>
  <si>
    <t>56940620120</t>
  </si>
  <si>
    <t>56940620400</t>
  </si>
  <si>
    <t>강관스리브(지수판포함,바닥)</t>
  </si>
  <si>
    <t>56940620410</t>
  </si>
  <si>
    <t>56810022007</t>
  </si>
  <si>
    <t>내화충전재(PVC관,벽체)</t>
  </si>
  <si>
    <t>56810022009</t>
  </si>
  <si>
    <t>56810022010</t>
  </si>
  <si>
    <t>56810022012</t>
  </si>
  <si>
    <t>56810022013</t>
  </si>
  <si>
    <t>56810022107</t>
  </si>
  <si>
    <t>내화충전재(PVC관,바닥)</t>
  </si>
  <si>
    <t>56810022110</t>
  </si>
  <si>
    <t>56810022111</t>
  </si>
  <si>
    <t>56810022112</t>
  </si>
  <si>
    <t>56810022113</t>
  </si>
  <si>
    <t>47301148890</t>
  </si>
  <si>
    <t>스리브 D150</t>
  </si>
  <si>
    <t>47301148956</t>
  </si>
  <si>
    <t>입상관스리브 D150</t>
  </si>
  <si>
    <t>47301148939</t>
  </si>
  <si>
    <t>청소씽크스리브 D75</t>
  </si>
  <si>
    <t>47301148940</t>
  </si>
  <si>
    <t>세면기스리브 D35</t>
  </si>
  <si>
    <t>47301148943</t>
  </si>
  <si>
    <t>소변기스리브 D40</t>
  </si>
  <si>
    <t>47301148945</t>
  </si>
  <si>
    <t>양변기스리브 D100</t>
  </si>
  <si>
    <t>56941491012</t>
  </si>
  <si>
    <t>펌프1대설치기준</t>
  </si>
  <si>
    <t>010108  우수배관공사</t>
  </si>
  <si>
    <t>010108</t>
  </si>
  <si>
    <t>47100727204</t>
  </si>
  <si>
    <t>INNO AS (PPF) 저소음관</t>
  </si>
  <si>
    <t>47100727205</t>
  </si>
  <si>
    <t>47100727206</t>
  </si>
  <si>
    <t>47100727207</t>
  </si>
  <si>
    <t>47100727208</t>
  </si>
  <si>
    <t>D250</t>
  </si>
  <si>
    <t>47100727209</t>
  </si>
  <si>
    <t>D300</t>
  </si>
  <si>
    <t>56940850372</t>
  </si>
  <si>
    <t>19TxD200</t>
  </si>
  <si>
    <t>56940850373</t>
  </si>
  <si>
    <t>19TxD250</t>
  </si>
  <si>
    <t>47301149419</t>
  </si>
  <si>
    <t>INNO AS 파이프이음관</t>
  </si>
  <si>
    <t>45곡관, D100</t>
  </si>
  <si>
    <t>47301149420</t>
  </si>
  <si>
    <t>45곡관, D125</t>
  </si>
  <si>
    <t>47301149421</t>
  </si>
  <si>
    <t>45곡관, D150</t>
  </si>
  <si>
    <t>47301149422</t>
  </si>
  <si>
    <t>45곡관, D200</t>
  </si>
  <si>
    <t>47301149423</t>
  </si>
  <si>
    <t>45곡관, D250</t>
  </si>
  <si>
    <t>47301149424</t>
  </si>
  <si>
    <t>45곡관, D300</t>
  </si>
  <si>
    <t>47301149439</t>
  </si>
  <si>
    <t>Y 관, D100x100</t>
  </si>
  <si>
    <t>47301149442</t>
  </si>
  <si>
    <t>Y 관, D125x100</t>
  </si>
  <si>
    <t>47301149443</t>
  </si>
  <si>
    <t>Y 관, D125x125</t>
  </si>
  <si>
    <t>47301149446</t>
  </si>
  <si>
    <t>Y 관, D150x100</t>
  </si>
  <si>
    <t>47301149447</t>
  </si>
  <si>
    <t>Y 관, D150x125</t>
  </si>
  <si>
    <t>47301149448</t>
  </si>
  <si>
    <t>Y 관, D150x150</t>
  </si>
  <si>
    <t>47301149452</t>
  </si>
  <si>
    <t>Y 관, D200x125</t>
  </si>
  <si>
    <t>47301149453</t>
  </si>
  <si>
    <t>Y 관, D200x150</t>
  </si>
  <si>
    <t>47301149454</t>
  </si>
  <si>
    <t>Y 관, D200x200</t>
  </si>
  <si>
    <t>47301149458</t>
  </si>
  <si>
    <t>Y 관, D250x125</t>
  </si>
  <si>
    <t>47301149459</t>
  </si>
  <si>
    <t>Y 관, D250x150</t>
  </si>
  <si>
    <t>47301149461</t>
  </si>
  <si>
    <t>Y 관, D250x250</t>
  </si>
  <si>
    <t>47301149495</t>
  </si>
  <si>
    <t>YT 관, D200x200</t>
  </si>
  <si>
    <t>47301149502</t>
  </si>
  <si>
    <t>YT 관, D250x250</t>
  </si>
  <si>
    <t>47301149595</t>
  </si>
  <si>
    <t>소켓, D100</t>
  </si>
  <si>
    <t>47301149596</t>
  </si>
  <si>
    <t>소켓, D125</t>
  </si>
  <si>
    <t>47301149597</t>
  </si>
  <si>
    <t>소켓, D150</t>
  </si>
  <si>
    <t>47301149598</t>
  </si>
  <si>
    <t>소켓, D200</t>
  </si>
  <si>
    <t>47301149599</t>
  </si>
  <si>
    <t>소켓, D250</t>
  </si>
  <si>
    <t>47301149600</t>
  </si>
  <si>
    <t>소켓, D300</t>
  </si>
  <si>
    <t>47301149620</t>
  </si>
  <si>
    <t>소제구캡, D100</t>
  </si>
  <si>
    <t>47301149621</t>
  </si>
  <si>
    <t>소제구캡, D125</t>
  </si>
  <si>
    <t>47301149622</t>
  </si>
  <si>
    <t>소제구캡, D150</t>
  </si>
  <si>
    <t>47301149623</t>
  </si>
  <si>
    <t>소제구캡, D200</t>
  </si>
  <si>
    <t>47301149624</t>
  </si>
  <si>
    <t>소제구캡, D250</t>
  </si>
  <si>
    <t>47301149625</t>
  </si>
  <si>
    <t>소제구캡, D300</t>
  </si>
  <si>
    <t>56940510130</t>
  </si>
  <si>
    <t>56940510140</t>
  </si>
  <si>
    <t>53060228345</t>
  </si>
  <si>
    <t>비절연, D250</t>
  </si>
  <si>
    <t>53060228346</t>
  </si>
  <si>
    <t>비절연, D300</t>
  </si>
  <si>
    <t>56940620140</t>
  </si>
  <si>
    <t>56940620390</t>
  </si>
  <si>
    <t>56810022011</t>
  </si>
  <si>
    <t>56810022014</t>
  </si>
  <si>
    <t>56810022114</t>
  </si>
  <si>
    <t>47301148906</t>
  </si>
  <si>
    <t>스리브 D250</t>
  </si>
  <si>
    <t>47301148958</t>
  </si>
  <si>
    <t>입상관스리브 D250</t>
  </si>
  <si>
    <t>47301148959</t>
  </si>
  <si>
    <t>입상관스리브 D300</t>
  </si>
  <si>
    <t>MM938457995</t>
  </si>
  <si>
    <t>YT 관, D300</t>
  </si>
  <si>
    <t>MM938457994</t>
  </si>
  <si>
    <t>Y 관, D300</t>
  </si>
  <si>
    <t>MM938457997</t>
  </si>
  <si>
    <t>010109  환기덕트설치공사</t>
  </si>
  <si>
    <t>010109</t>
  </si>
  <si>
    <t>47100727156</t>
  </si>
  <si>
    <t>PVC관(VG2,DTS) D100</t>
  </si>
  <si>
    <t>47100727157</t>
  </si>
  <si>
    <t>PVC관(VG2,DTS) D125</t>
  </si>
  <si>
    <t>47301148045</t>
  </si>
  <si>
    <t>90˚단곡관(DTS) D100</t>
  </si>
  <si>
    <t>47301148624</t>
  </si>
  <si>
    <t>YT관(DTS) D125xD100</t>
  </si>
  <si>
    <t>47301148847</t>
  </si>
  <si>
    <t>C.O.(DTS)D125</t>
  </si>
  <si>
    <t>56941310010</t>
  </si>
  <si>
    <t>각형덕트제작 및 설치</t>
  </si>
  <si>
    <t>(0.5T)</t>
    <phoneticPr fontId="4" type="noConversion"/>
  </si>
  <si>
    <t>56941310020</t>
  </si>
  <si>
    <t>(0.6T)</t>
  </si>
  <si>
    <t>56941310030</t>
  </si>
  <si>
    <t>(0.8T)</t>
  </si>
  <si>
    <t>56941310040</t>
  </si>
  <si>
    <t>(1.0T)</t>
  </si>
  <si>
    <t>56941310050</t>
  </si>
  <si>
    <t>(1.2T)</t>
  </si>
  <si>
    <t>56941310070</t>
  </si>
  <si>
    <t>스테인레스닥트제작 및 설치</t>
  </si>
  <si>
    <t>(0.5T)</t>
  </si>
  <si>
    <t>56941310080</t>
  </si>
  <si>
    <t>56941310090</t>
  </si>
  <si>
    <t>56941314010</t>
  </si>
  <si>
    <t>캔버스제작설치</t>
  </si>
  <si>
    <t>1.2T</t>
  </si>
  <si>
    <t>41400227657</t>
  </si>
  <si>
    <t>원형덕트(스파이럴)</t>
  </si>
  <si>
    <t>D250×0.5t, 공조용</t>
  </si>
  <si>
    <t>41400228508</t>
  </si>
  <si>
    <t>원형 덕트</t>
  </si>
  <si>
    <t>SPIRAL ELBOW, D250</t>
  </si>
  <si>
    <t>41400228707</t>
  </si>
  <si>
    <t>SPIRAL COUPLING, D250</t>
  </si>
  <si>
    <t>41400228716</t>
  </si>
  <si>
    <t>SPIRAL COUPLING, D500</t>
  </si>
  <si>
    <t>41400228818</t>
  </si>
  <si>
    <t>SPIRAL HANGER, D250</t>
  </si>
  <si>
    <t>41300247102</t>
  </si>
  <si>
    <t>디퓨져</t>
  </si>
  <si>
    <t>원형, D150, Steel</t>
  </si>
  <si>
    <t>41300247103</t>
  </si>
  <si>
    <t>원형, D200, Steel</t>
  </si>
  <si>
    <t>41300247104</t>
  </si>
  <si>
    <t>원형, D250, Steel</t>
  </si>
  <si>
    <t>41300247110</t>
  </si>
  <si>
    <t>원형, D500, Steel</t>
  </si>
  <si>
    <t>41400227418</t>
  </si>
  <si>
    <t>공조덕트(플렉시블)</t>
  </si>
  <si>
    <t>(AL비보온), D100</t>
  </si>
  <si>
    <t>41400227420</t>
  </si>
  <si>
    <t>(AL비보온), D150</t>
  </si>
  <si>
    <t>41400227422</t>
  </si>
  <si>
    <t>(AL비보온), D200</t>
  </si>
  <si>
    <t>41400227474</t>
  </si>
  <si>
    <t>(AL보온), D250</t>
  </si>
  <si>
    <t>41400227480</t>
  </si>
  <si>
    <t>(AL보온), D500</t>
  </si>
  <si>
    <t>36940227001</t>
  </si>
  <si>
    <t>점검구</t>
  </si>
  <si>
    <t>200x200</t>
  </si>
  <si>
    <t>36940227004</t>
  </si>
  <si>
    <t>300x200</t>
  </si>
  <si>
    <t>36940227015</t>
  </si>
  <si>
    <t>FD/FVD 휴즈</t>
  </si>
  <si>
    <t>36940227016</t>
  </si>
  <si>
    <t>담파모타</t>
  </si>
  <si>
    <t>53300527212</t>
  </si>
  <si>
    <t>스텐밴드</t>
  </si>
  <si>
    <t>53300527214</t>
  </si>
  <si>
    <t>53300527216</t>
  </si>
  <si>
    <t>53300527234</t>
  </si>
  <si>
    <t>동망</t>
  </si>
  <si>
    <t>#24</t>
  </si>
  <si>
    <t>53350177161</t>
  </si>
  <si>
    <t>스테인리스 망</t>
  </si>
  <si>
    <t>STS 304, 24 메쉬×D0.23×1m</t>
  </si>
  <si>
    <t>53300527311</t>
  </si>
  <si>
    <t>원형환기캡</t>
  </si>
  <si>
    <t>53300527312</t>
  </si>
  <si>
    <t>53300527313</t>
  </si>
  <si>
    <t>56810023005</t>
  </si>
  <si>
    <t>내화충전재(덕트,벽체)</t>
  </si>
  <si>
    <t>56941420220</t>
  </si>
  <si>
    <t>함석면2회</t>
  </si>
  <si>
    <t>MM958415109</t>
  </si>
  <si>
    <t>AIR CHAMBER</t>
  </si>
  <si>
    <t>3500 x 850*900</t>
  </si>
  <si>
    <t>MM958415110</t>
  </si>
  <si>
    <t>4100 x 850*900</t>
  </si>
  <si>
    <t>MM938369502</t>
  </si>
  <si>
    <t>B.D.D (STL)</t>
  </si>
  <si>
    <t>1000 x 400</t>
  </si>
  <si>
    <t>MM938369503</t>
  </si>
  <si>
    <t>1100 x 500</t>
  </si>
  <si>
    <t>MM938457787</t>
  </si>
  <si>
    <t>F.V.D (STS)</t>
  </si>
  <si>
    <t>400 x 300</t>
  </si>
  <si>
    <t>MM938457788</t>
  </si>
  <si>
    <t>500 x 300</t>
  </si>
  <si>
    <t>MM938457789</t>
  </si>
  <si>
    <t>550 x 400</t>
  </si>
  <si>
    <t>MM938457790</t>
  </si>
  <si>
    <t>600 x 400</t>
  </si>
  <si>
    <t>MM938369522</t>
  </si>
  <si>
    <t>GRILLE (AL)</t>
  </si>
  <si>
    <t>250 x 250</t>
  </si>
  <si>
    <t>MM938369524</t>
  </si>
  <si>
    <t>350 x 350</t>
  </si>
  <si>
    <t>MM954693648</t>
  </si>
  <si>
    <t>450 x 300</t>
  </si>
  <si>
    <t>MM918321415</t>
  </si>
  <si>
    <t>500 x 250</t>
  </si>
  <si>
    <t>MM938369527</t>
  </si>
  <si>
    <t>MM938369529</t>
  </si>
  <si>
    <t>600 x 250</t>
  </si>
  <si>
    <t>MM918321417</t>
  </si>
  <si>
    <t>700 x 300</t>
  </si>
  <si>
    <t>MM918321418</t>
  </si>
  <si>
    <t>700 x 400</t>
  </si>
  <si>
    <t>MM938369533</t>
  </si>
  <si>
    <t>800 x 350</t>
  </si>
  <si>
    <t>MM938369536</t>
  </si>
  <si>
    <t>900 x 400</t>
  </si>
  <si>
    <t>MM938369537</t>
  </si>
  <si>
    <t>M.F.D (STL)</t>
  </si>
  <si>
    <t>MM938369539</t>
  </si>
  <si>
    <t>MM918321421</t>
  </si>
  <si>
    <t>1100 x 600</t>
  </si>
  <si>
    <t>MM918321422</t>
  </si>
  <si>
    <t>M.F.D (STS)</t>
  </si>
  <si>
    <t>1150 x 600</t>
  </si>
  <si>
    <t>MM918321430</t>
  </si>
  <si>
    <t>350 x 300</t>
  </si>
  <si>
    <t>MM954693662</t>
  </si>
  <si>
    <t>400 x 250</t>
  </si>
  <si>
    <t>MM938369557</t>
  </si>
  <si>
    <t>MM918321434</t>
  </si>
  <si>
    <t>MM918321435</t>
  </si>
  <si>
    <t>MM938369564</t>
  </si>
  <si>
    <t>MM938369563</t>
  </si>
  <si>
    <t>600 x 300</t>
  </si>
  <si>
    <t>MM918321437</t>
  </si>
  <si>
    <t>MM938369574</t>
  </si>
  <si>
    <t>MM938369576</t>
  </si>
  <si>
    <t>900 x 500</t>
  </si>
  <si>
    <t>MM918321441</t>
  </si>
  <si>
    <t>900 x 600</t>
  </si>
  <si>
    <t>MM954693674</t>
  </si>
  <si>
    <t>MM954693675</t>
  </si>
  <si>
    <t>MM938369580</t>
  </si>
  <si>
    <t>REGISTER (AL)</t>
  </si>
  <si>
    <t>MM938369582</t>
  </si>
  <si>
    <t>MM918321446</t>
  </si>
  <si>
    <t>500 x 200</t>
  </si>
  <si>
    <t>MM938369584</t>
  </si>
  <si>
    <t>MM938369585</t>
  </si>
  <si>
    <t>MM938369587</t>
  </si>
  <si>
    <t>MM954693682</t>
  </si>
  <si>
    <t>MM918321448</t>
  </si>
  <si>
    <t>MM918321449</t>
  </si>
  <si>
    <t>MM938369590</t>
  </si>
  <si>
    <t>MM954693686</t>
  </si>
  <si>
    <t>800 x 400</t>
  </si>
  <si>
    <t>MM938369593</t>
  </si>
  <si>
    <t>MM938457870</t>
  </si>
  <si>
    <t>REGISTER (STS)</t>
  </si>
  <si>
    <t>1000 x 500</t>
  </si>
  <si>
    <t>MM958415161</t>
  </si>
  <si>
    <t>T.V (STL)</t>
  </si>
  <si>
    <t>MM918321454</t>
  </si>
  <si>
    <t>V.D (STL)</t>
  </si>
  <si>
    <t>200 x 150</t>
  </si>
  <si>
    <t>MM918321455</t>
  </si>
  <si>
    <t>200 x 200</t>
  </si>
  <si>
    <t>MM918321456</t>
  </si>
  <si>
    <t>250 x 150</t>
  </si>
  <si>
    <t>MM918321457</t>
  </si>
  <si>
    <t>250 x 200</t>
  </si>
  <si>
    <t>MM918321458</t>
  </si>
  <si>
    <t>MM918321460</t>
  </si>
  <si>
    <t>300 x 200</t>
  </si>
  <si>
    <t>MM918321461</t>
  </si>
  <si>
    <t>300 x 250</t>
  </si>
  <si>
    <t>MM938369605</t>
  </si>
  <si>
    <t>350 x 150</t>
  </si>
  <si>
    <t>MM938369606</t>
  </si>
  <si>
    <t>350 x 200</t>
  </si>
  <si>
    <t>MM918321463</t>
  </si>
  <si>
    <t>MM938369609</t>
  </si>
  <si>
    <t>MM918321465</t>
  </si>
  <si>
    <t>MM958415174</t>
  </si>
  <si>
    <t>450 x 150</t>
  </si>
  <si>
    <t>MM938369611</t>
  </si>
  <si>
    <t>450 x 200</t>
  </si>
  <si>
    <t>MM938369612</t>
  </si>
  <si>
    <t>450 x 250</t>
  </si>
  <si>
    <t>MM918321466</t>
  </si>
  <si>
    <t>MM918321467</t>
  </si>
  <si>
    <t>MM918321468</t>
  </si>
  <si>
    <t>MM938369617</t>
  </si>
  <si>
    <t>MM938369618</t>
  </si>
  <si>
    <t>MM938369620</t>
  </si>
  <si>
    <t>650 x 400</t>
  </si>
  <si>
    <t>MM938369624</t>
  </si>
  <si>
    <t>750 x 350</t>
  </si>
  <si>
    <t>MM954693710</t>
  </si>
  <si>
    <t>750 x 400</t>
  </si>
  <si>
    <t>MM938369626</t>
  </si>
  <si>
    <t>850 x 500</t>
  </si>
  <si>
    <t>MM938369627</t>
  </si>
  <si>
    <t>900 x 450</t>
  </si>
  <si>
    <t>MM918321475</t>
  </si>
  <si>
    <t>MM938457999</t>
  </si>
  <si>
    <t>배기후드</t>
  </si>
  <si>
    <t>1,300*1,200</t>
  </si>
  <si>
    <t>MM938458000</t>
  </si>
  <si>
    <t>1,600*1,000</t>
  </si>
  <si>
    <t>MM938458001</t>
  </si>
  <si>
    <t>1,800*1,200</t>
  </si>
  <si>
    <t>MM938458002</t>
  </si>
  <si>
    <t>1,800*1,500</t>
  </si>
  <si>
    <t>MM938458003</t>
  </si>
  <si>
    <t>3,000*1,900</t>
  </si>
  <si>
    <t>56900017019</t>
  </si>
  <si>
    <t>덕트공</t>
  </si>
  <si>
    <t>01011001  옥외가스배관공사</t>
  </si>
  <si>
    <t>01011001</t>
  </si>
  <si>
    <t>47100777031</t>
  </si>
  <si>
    <t>가스용 폴리에틸렌관</t>
  </si>
  <si>
    <t>PE관(HDPE), D25</t>
  </si>
  <si>
    <t>47304057002</t>
  </si>
  <si>
    <t>가스용 폴리에틸렌관 이음관</t>
  </si>
  <si>
    <t>소켓(전자식),Φ25</t>
  </si>
  <si>
    <t>47304057202</t>
  </si>
  <si>
    <t>90˚엘보(융착식),Φ25</t>
  </si>
  <si>
    <t>56941535300</t>
  </si>
  <si>
    <t>PEM 접합 (가스용)</t>
  </si>
  <si>
    <t>56941530110</t>
  </si>
  <si>
    <t>LOCATING WIRE설치</t>
  </si>
  <si>
    <t>56941530290</t>
  </si>
  <si>
    <t>표식 SHEET 포설</t>
  </si>
  <si>
    <t>56941533010</t>
  </si>
  <si>
    <t>공급관기밀시험</t>
  </si>
  <si>
    <t>50ø이하</t>
  </si>
  <si>
    <t>구간</t>
  </si>
  <si>
    <t>56941534010</t>
  </si>
  <si>
    <t>에어후레싱</t>
  </si>
  <si>
    <t>56941990010</t>
  </si>
  <si>
    <t>기계터파기</t>
  </si>
  <si>
    <t>M3</t>
  </si>
  <si>
    <t>56941990020</t>
  </si>
  <si>
    <t>기계되메우기</t>
  </si>
  <si>
    <t>56941990030</t>
  </si>
  <si>
    <t>잔토처리</t>
  </si>
  <si>
    <t>56941990040</t>
  </si>
  <si>
    <t>모래부설</t>
  </si>
  <si>
    <t>81200068043</t>
  </si>
  <si>
    <t>SAND BAG</t>
  </si>
  <si>
    <t>MM938369717</t>
  </si>
  <si>
    <t>LPG소형저장탱크</t>
  </si>
  <si>
    <t>01011002  옥내가스배관공사</t>
  </si>
  <si>
    <t>01011002</t>
  </si>
  <si>
    <t>47100487402</t>
  </si>
  <si>
    <t>가스배관용 탄소강관</t>
  </si>
  <si>
    <t>백관(KSD3631), D20</t>
  </si>
  <si>
    <t>47100487404</t>
  </si>
  <si>
    <t>백관(KSD3631), D25</t>
  </si>
  <si>
    <t>47304017002</t>
  </si>
  <si>
    <t>나사식 강관제 관이음쇠</t>
  </si>
  <si>
    <t>백엘보 (나사) D20</t>
  </si>
  <si>
    <t>47304017003</t>
  </si>
  <si>
    <t>백엘보 (나사) D25</t>
  </si>
  <si>
    <t>47304017103</t>
  </si>
  <si>
    <t>백티이 (나사) D25</t>
  </si>
  <si>
    <t>47304017803</t>
  </si>
  <si>
    <t>백캡 (나사) D25</t>
  </si>
  <si>
    <t>47304017302</t>
  </si>
  <si>
    <t>백니플 (나사) D20</t>
  </si>
  <si>
    <t>47304017303</t>
  </si>
  <si>
    <t>백니플 (나사) D25</t>
  </si>
  <si>
    <t>47304017402</t>
  </si>
  <si>
    <t>백유니온 (나사) D20</t>
  </si>
  <si>
    <t>47304017403</t>
  </si>
  <si>
    <t>백유니온 (나사) D25</t>
  </si>
  <si>
    <t>56940240020</t>
  </si>
  <si>
    <t>나사접합</t>
  </si>
  <si>
    <t>56940240030</t>
  </si>
  <si>
    <t>48200147102</t>
  </si>
  <si>
    <t>황동, 10kg, D20</t>
  </si>
  <si>
    <t>63500327003</t>
  </si>
  <si>
    <t>A.S.V</t>
  </si>
  <si>
    <t>D 25</t>
  </si>
  <si>
    <t>53300137292</t>
  </si>
  <si>
    <t>가스키트</t>
  </si>
  <si>
    <t>브라켓트, D20</t>
  </si>
  <si>
    <t>53300137293</t>
  </si>
  <si>
    <t>브라켓트, D25</t>
  </si>
  <si>
    <t>66650097003</t>
  </si>
  <si>
    <t>가스 감지기</t>
  </si>
  <si>
    <t>방수형</t>
  </si>
  <si>
    <t>66650097015</t>
  </si>
  <si>
    <t>가스감지 판넬(W/제어부)</t>
  </si>
  <si>
    <t>6회로용</t>
  </si>
  <si>
    <t>56941534040</t>
  </si>
  <si>
    <t>배관청소</t>
  </si>
  <si>
    <t>65ø이하</t>
  </si>
  <si>
    <t>53060228334</t>
  </si>
  <si>
    <t>비절연, D20</t>
  </si>
  <si>
    <t>53060228335</t>
  </si>
  <si>
    <t>비절연, D25</t>
  </si>
  <si>
    <t>56940620030</t>
  </si>
  <si>
    <t>56941422010</t>
  </si>
  <si>
    <t>1회</t>
  </si>
  <si>
    <t>59750337002</t>
  </si>
  <si>
    <t>강제전선관</t>
  </si>
  <si>
    <t>아연도  22 mm</t>
  </si>
  <si>
    <t>61450357087</t>
  </si>
  <si>
    <t>제어케이블</t>
  </si>
  <si>
    <t>CVV 3Cx1.25 ㎟</t>
  </si>
  <si>
    <t>56900017016</t>
  </si>
  <si>
    <t>내선전공</t>
  </si>
  <si>
    <t>56900017076</t>
  </si>
  <si>
    <t>저압케이블전공</t>
  </si>
  <si>
    <t>56900017007</t>
  </si>
  <si>
    <t>계장공</t>
  </si>
  <si>
    <t>0101110101  장비설치공사</t>
  </si>
  <si>
    <t>0101110101</t>
  </si>
  <si>
    <t>MM938967873</t>
  </si>
  <si>
    <t>수 위 조 절 조(S.M.C 각형)</t>
  </si>
  <si>
    <t>- 용량:24ton(4,000L*2,000*3,00</t>
  </si>
  <si>
    <t>MM938967874</t>
  </si>
  <si>
    <t>집모기(STS, 400Φx600H)</t>
  </si>
  <si>
    <t>- 용량:144㎥/h(150Φx125Φ)</t>
  </si>
  <si>
    <t>MM938967875</t>
  </si>
  <si>
    <t>집모기 설치비</t>
  </si>
  <si>
    <t>MM938967876</t>
  </si>
  <si>
    <t>순환 펌프(IN LINE, 메카니컬)</t>
  </si>
  <si>
    <t>- 용량:144㎥/hx20Mx15kW(125Φ)</t>
  </si>
  <si>
    <t>MM938967877</t>
  </si>
  <si>
    <t>순환 펌프 설치비</t>
  </si>
  <si>
    <t>MM938967878</t>
  </si>
  <si>
    <t>약품투입기(응집제)</t>
  </si>
  <si>
    <t>- 용량:300 cc/min,약품탱크200L</t>
  </si>
  <si>
    <t>MM938967879</t>
  </si>
  <si>
    <t>약품투입기(PH조절제)</t>
  </si>
  <si>
    <t>MM938967880</t>
  </si>
  <si>
    <t>약품투입기(CL조절제)</t>
  </si>
  <si>
    <t>MM938967881</t>
  </si>
  <si>
    <t>열교환기 판형 TYPE(온수용)1대</t>
  </si>
  <si>
    <t>- 용량150,000kcal/h(SS400/STS</t>
  </si>
  <si>
    <t>MM938967882</t>
  </si>
  <si>
    <t>열교환기 판형 설치비</t>
  </si>
  <si>
    <t>0101110102  수영장배관설치공사</t>
  </si>
  <si>
    <t>0101110102</t>
  </si>
  <si>
    <t>MM938967883</t>
  </si>
  <si>
    <t>스테인리스배관</t>
  </si>
  <si>
    <t>D 50 x 3T</t>
  </si>
  <si>
    <t>MM938967884</t>
  </si>
  <si>
    <t>D 65 x 3T</t>
  </si>
  <si>
    <t>MM938967885</t>
  </si>
  <si>
    <t>D 80 x 3T</t>
  </si>
  <si>
    <t>MM938967886</t>
  </si>
  <si>
    <t>D100 x 3T</t>
  </si>
  <si>
    <t>MM938967887</t>
  </si>
  <si>
    <t>D125 x 3T</t>
  </si>
  <si>
    <t>MM938967888</t>
  </si>
  <si>
    <t>D150 x 3T</t>
  </si>
  <si>
    <t>MM938967889</t>
  </si>
  <si>
    <t>PVC배수용배관(VG1)접착제</t>
  </si>
  <si>
    <t>MM938967890</t>
  </si>
  <si>
    <t>MM938967891</t>
  </si>
  <si>
    <t>MM938967892</t>
  </si>
  <si>
    <t>MM938967893</t>
  </si>
  <si>
    <t>엘보(SUS 용접#10) D50</t>
  </si>
  <si>
    <t>MM938967894</t>
  </si>
  <si>
    <t>엘보(SUS 용접#10) D80</t>
  </si>
  <si>
    <t>MM938967895</t>
  </si>
  <si>
    <t>엘보(SUS 용접#10) D100</t>
  </si>
  <si>
    <t>MM938967896</t>
  </si>
  <si>
    <t>엘보(SUS 용접#10) D150</t>
  </si>
  <si>
    <t>MM938967897</t>
  </si>
  <si>
    <t>티이(SUS 용접 S#10) D50</t>
  </si>
  <si>
    <t>MM938967898</t>
  </si>
  <si>
    <t>티이(SUS 용접 S#10) D65</t>
  </si>
  <si>
    <t>MM938967899</t>
  </si>
  <si>
    <t>티이(SUS 용접 S#10) D80</t>
  </si>
  <si>
    <t>MM938967900</t>
  </si>
  <si>
    <t>티이(SUS 용접 S#10) D100</t>
  </si>
  <si>
    <t>MM938967901</t>
  </si>
  <si>
    <t>티이(SUS 용접 S#10) D125</t>
  </si>
  <si>
    <t>MM938967902</t>
  </si>
  <si>
    <t>티이(SUS 용접 S#10) D150</t>
  </si>
  <si>
    <t>MM938967903</t>
  </si>
  <si>
    <t>리듀서(SUS용접S#10) D65</t>
  </si>
  <si>
    <t>MM938967904</t>
  </si>
  <si>
    <t>리듀서(SUS용접S#10) D80</t>
  </si>
  <si>
    <t>MM938967905</t>
  </si>
  <si>
    <t>리듀서(SUS용접S#10) D100</t>
  </si>
  <si>
    <t>MM938967906</t>
  </si>
  <si>
    <t>리듀서(SUS용접S#10) D150</t>
  </si>
  <si>
    <t>MM938967907</t>
  </si>
  <si>
    <t>스텐용접합후렌지</t>
  </si>
  <si>
    <t>MM938967908</t>
  </si>
  <si>
    <t>MM938967909</t>
  </si>
  <si>
    <t>니플 (SUS 나사) D15</t>
  </si>
  <si>
    <t>MM938967910</t>
  </si>
  <si>
    <t>니플 (SUS 나사) D20</t>
  </si>
  <si>
    <t>MM938967911</t>
  </si>
  <si>
    <t>90˚단곡관(접착제) D100</t>
  </si>
  <si>
    <t>MM938967912</t>
  </si>
  <si>
    <t>90˚단곡관(접착제) D150</t>
  </si>
  <si>
    <t>MM938967913</t>
  </si>
  <si>
    <t>90˚단곡관(접착제) D200</t>
  </si>
  <si>
    <t>MM938967914</t>
  </si>
  <si>
    <t>90˚단곡관(접착제) D250</t>
  </si>
  <si>
    <t>MM938967915</t>
  </si>
  <si>
    <t>티 (접착제) D100</t>
  </si>
  <si>
    <t>MM938967916</t>
  </si>
  <si>
    <t>티 (접착제) D150</t>
  </si>
  <si>
    <t>MM938967917</t>
  </si>
  <si>
    <t>티 (접착제) D200</t>
  </si>
  <si>
    <t>MM938967918</t>
  </si>
  <si>
    <t>티 (접착제) D250</t>
  </si>
  <si>
    <t>MM938967919</t>
  </si>
  <si>
    <t>리듀서(접착제) D150xD100</t>
  </si>
  <si>
    <t>MM938967920</t>
  </si>
  <si>
    <t>리듀서(접착제) D200xD150</t>
  </si>
  <si>
    <t>MM938967921</t>
  </si>
  <si>
    <t>리듀서(접착제) D250xD200</t>
  </si>
  <si>
    <t>MM938967922</t>
  </si>
  <si>
    <t>PVC TS 플랜지 D100</t>
  </si>
  <si>
    <t>MM938967923</t>
  </si>
  <si>
    <t>PVC TS 플랜지 D150</t>
  </si>
  <si>
    <t>MM938967924</t>
  </si>
  <si>
    <t>PVC TS 플랜지 D250</t>
  </si>
  <si>
    <t>MM938967925</t>
  </si>
  <si>
    <t>스테인리스용접</t>
  </si>
  <si>
    <t>MM938967926</t>
  </si>
  <si>
    <t>MM938967927</t>
  </si>
  <si>
    <t>MM938967928</t>
  </si>
  <si>
    <t>MM938967929</t>
  </si>
  <si>
    <t>MM938967930</t>
  </si>
  <si>
    <t>스텐관용접(아르곤용접)</t>
  </si>
  <si>
    <t>MM938967931</t>
  </si>
  <si>
    <t>볼밸브(황동)</t>
  </si>
  <si>
    <t>D 15</t>
  </si>
  <si>
    <t>MM938967932</t>
  </si>
  <si>
    <t>D 20</t>
  </si>
  <si>
    <t>MM938967933</t>
  </si>
  <si>
    <t>D 50</t>
  </si>
  <si>
    <t>MM938967934</t>
  </si>
  <si>
    <t>스모렌스키체크밸브</t>
  </si>
  <si>
    <t>D150  (10KG)</t>
  </si>
  <si>
    <t>MM938967935</t>
  </si>
  <si>
    <t>스윙체크밸브</t>
  </si>
  <si>
    <t>MM938967936</t>
  </si>
  <si>
    <t>정수위조절밸브(STS)</t>
  </si>
  <si>
    <t>MM938967937</t>
  </si>
  <si>
    <t>후렉시블죠인트(BELLOWS)</t>
  </si>
  <si>
    <t>MM938967938</t>
  </si>
  <si>
    <t>관보온(가교발포)</t>
  </si>
  <si>
    <t>MM938967939</t>
  </si>
  <si>
    <t>MM938967940</t>
  </si>
  <si>
    <t>MM938967941</t>
  </si>
  <si>
    <t>40TxD100</t>
  </si>
  <si>
    <t>MM938967942</t>
  </si>
  <si>
    <t>40TxD125</t>
  </si>
  <si>
    <t>MM938967943</t>
  </si>
  <si>
    <t>40TxD150</t>
  </si>
  <si>
    <t>MM938967944</t>
  </si>
  <si>
    <t>일반행거(전산볼트)</t>
  </si>
  <si>
    <t>MM938967945</t>
  </si>
  <si>
    <t>MM938967946</t>
  </si>
  <si>
    <t>MM938967947</t>
  </si>
  <si>
    <t>MM938967948</t>
  </si>
  <si>
    <t>절연행거(전산볼트)</t>
  </si>
  <si>
    <t>MM938967949</t>
  </si>
  <si>
    <t>MM938967950</t>
  </si>
  <si>
    <t>MM938967951</t>
  </si>
  <si>
    <t>MM938967952</t>
  </si>
  <si>
    <t>MM938967953</t>
  </si>
  <si>
    <t>MM938967954</t>
  </si>
  <si>
    <t>MM938967955</t>
  </si>
  <si>
    <t>MM938967956</t>
  </si>
  <si>
    <t>MM938967957</t>
  </si>
  <si>
    <t>MM938967958</t>
  </si>
  <si>
    <t>MM938967959</t>
  </si>
  <si>
    <t>MM938967960</t>
  </si>
  <si>
    <t>MM938967961</t>
  </si>
  <si>
    <t>2-35KG/CM2</t>
  </si>
  <si>
    <t>MM938967962</t>
  </si>
  <si>
    <t>MM938967963</t>
  </si>
  <si>
    <t>S/FITTING</t>
  </si>
  <si>
    <t>MM938967964</t>
  </si>
  <si>
    <t>GRATE</t>
  </si>
  <si>
    <t>1000*500</t>
  </si>
  <si>
    <t>MM938967965</t>
  </si>
  <si>
    <t>수위조절기</t>
  </si>
  <si>
    <t>와이어 타입</t>
  </si>
  <si>
    <t>MM938967966</t>
  </si>
  <si>
    <t>kg</t>
  </si>
  <si>
    <t>MM938967967</t>
  </si>
  <si>
    <t>등변, 50×50×5mm</t>
  </si>
  <si>
    <t>MM938967968</t>
  </si>
  <si>
    <t>MM938967969</t>
  </si>
  <si>
    <t>MM938967970</t>
  </si>
  <si>
    <t>MM938967971</t>
  </si>
  <si>
    <t>조합페인트칠</t>
  </si>
  <si>
    <t>01011201  장비설치공사</t>
  </si>
  <si>
    <t>01011201</t>
  </si>
  <si>
    <t>MM510033000</t>
  </si>
  <si>
    <t xml:space="preserve"> 초기빗물배제시스템</t>
  </si>
  <si>
    <t>MM510033001</t>
  </si>
  <si>
    <t xml:space="preserve"> 초기빗물 여과스크린</t>
  </si>
  <si>
    <t xml:space="preserve"> 700W x 1000L x 700H</t>
  </si>
  <si>
    <t>MM510033002</t>
  </si>
  <si>
    <t xml:space="preserve"> 방류펌프(Sub.)</t>
  </si>
  <si>
    <t xml:space="preserve"> 80A x 0.4M3/min x 10MH x 2.2K</t>
  </si>
  <si>
    <t>MM510033003</t>
  </si>
  <si>
    <t xml:space="preserve"> 여과펌프(Sub.)</t>
  </si>
  <si>
    <t xml:space="preserve"> 50A x 0.10M3/min x 10MH x 0.7</t>
  </si>
  <si>
    <t>MM510033004</t>
  </si>
  <si>
    <t xml:space="preserve"> 자외선 물 살균기</t>
  </si>
  <si>
    <t xml:space="preserve"> 39W x 1EA (UV + O3)</t>
  </si>
  <si>
    <t>MM510033005</t>
  </si>
  <si>
    <t xml:space="preserve"> Vortex FILTER</t>
  </si>
  <si>
    <t xml:space="preserve"> 318A x 1000H</t>
  </si>
  <si>
    <t>MM510033006</t>
  </si>
  <si>
    <t xml:space="preserve"> LEVEL SWITCH</t>
  </si>
  <si>
    <t xml:space="preserve"> 오뚜기식</t>
  </si>
  <si>
    <t>MM510033007</t>
  </si>
  <si>
    <t xml:space="preserve"> SUPPLY FAN(SIROCCO)</t>
  </si>
  <si>
    <t xml:space="preserve"> # 2 S x 25CMM x 15mmAq x 0.75</t>
  </si>
  <si>
    <t>MM510033008</t>
  </si>
  <si>
    <t xml:space="preserve"> EXHAUST FAN(SIROCCO)</t>
  </si>
  <si>
    <t xml:space="preserve"> # 2 1/2S x 35CMM x 15mmAq x 0</t>
  </si>
  <si>
    <t>MM510033009</t>
  </si>
  <si>
    <t xml:space="preserve"> AUTO VALVE(유입)</t>
  </si>
  <si>
    <t xml:space="preserve"> 200A</t>
  </si>
  <si>
    <t>MM510033010</t>
  </si>
  <si>
    <t xml:space="preserve"> 자동탈착장치</t>
  </si>
  <si>
    <t xml:space="preserve"> 100A(GUIDE CHAIN 포함)</t>
  </si>
  <si>
    <t>MM510033011</t>
  </si>
  <si>
    <t xml:space="preserve"> 50A(GUIDE CHAIN 포함)</t>
  </si>
  <si>
    <t>MM510033012</t>
  </si>
  <si>
    <t>MM510033013</t>
  </si>
  <si>
    <t>01011202  배관및잡철물공사</t>
  </si>
  <si>
    <t>01011202</t>
  </si>
  <si>
    <t>MM510033100</t>
  </si>
  <si>
    <t xml:space="preserve"> STS PIPE (SCH10)</t>
  </si>
  <si>
    <t>MM510033101</t>
  </si>
  <si>
    <t xml:space="preserve"> 80A</t>
  </si>
  <si>
    <t>MM510033102</t>
  </si>
  <si>
    <t xml:space="preserve"> 50A</t>
  </si>
  <si>
    <t>MM510033103</t>
  </si>
  <si>
    <t xml:space="preserve"> 32A</t>
  </si>
  <si>
    <t>MM510033104</t>
  </si>
  <si>
    <t xml:space="preserve"> 25A</t>
  </si>
  <si>
    <t>MM510033105</t>
  </si>
  <si>
    <t xml:space="preserve"> 배관부속(STS304)</t>
  </si>
  <si>
    <t xml:space="preserve"> PIPE의 35%</t>
  </si>
  <si>
    <t>MM510033106</t>
  </si>
  <si>
    <t xml:space="preserve"> 지지철물(STS304)</t>
  </si>
  <si>
    <t xml:space="preserve"> PIPE의 15%</t>
  </si>
  <si>
    <t>MM510033107</t>
  </si>
  <si>
    <t xml:space="preserve"> STS BUTT. V/V(FL)</t>
  </si>
  <si>
    <t>MM510033108</t>
  </si>
  <si>
    <t xml:space="preserve"> STS GATE V/V</t>
  </si>
  <si>
    <t>MM510033109</t>
  </si>
  <si>
    <t>MM510033110</t>
  </si>
  <si>
    <t xml:space="preserve"> STS CHECK V/V(SMO)</t>
  </si>
  <si>
    <t>MM510033111</t>
  </si>
  <si>
    <t>MM510033112</t>
  </si>
  <si>
    <t xml:space="preserve"> STS FLEXIBLE JOINT(RUBBER)</t>
  </si>
  <si>
    <t>MM510033113</t>
  </si>
  <si>
    <t>MM510033114</t>
  </si>
  <si>
    <t xml:space="preserve"> STS FLANGE(SO,10K)</t>
  </si>
  <si>
    <t>MM510033115</t>
  </si>
  <si>
    <t>MM510033116</t>
  </si>
  <si>
    <t>MM510033117</t>
  </si>
  <si>
    <t xml:space="preserve"> 압력계(STS)</t>
  </si>
  <si>
    <t xml:space="preserve"> 0-3KG/CM2</t>
  </si>
  <si>
    <t>MM510033118</t>
  </si>
  <si>
    <t xml:space="preserve"> 점검맨홀</t>
  </si>
  <si>
    <t xml:space="preserve"> 1000x1000</t>
  </si>
  <si>
    <t>MM510033119</t>
  </si>
  <si>
    <t xml:space="preserve"> 900x900</t>
  </si>
  <si>
    <t>MM510033120</t>
  </si>
  <si>
    <t xml:space="preserve"> 점검사다리</t>
  </si>
  <si>
    <t>MM510033121</t>
  </si>
  <si>
    <t xml:space="preserve"> BOLT/NUT(STS)</t>
  </si>
  <si>
    <t>MM510033122</t>
  </si>
  <si>
    <t xml:space="preserve"> WELDING ROD(STS)</t>
  </si>
  <si>
    <t xml:space="preserve">  3.2A</t>
  </si>
  <si>
    <t>MM510033123</t>
  </si>
  <si>
    <t xml:space="preserve"> 소모잡자재</t>
  </si>
  <si>
    <t xml:space="preserve"> 재료비의 3%</t>
  </si>
  <si>
    <t>MM510033124</t>
  </si>
  <si>
    <t xml:space="preserve"> 공구손료</t>
  </si>
  <si>
    <t xml:space="preserve"> 노무비의 3%</t>
  </si>
  <si>
    <t>01011203  내부닥트공사</t>
  </si>
  <si>
    <t>01011203</t>
  </si>
  <si>
    <t>MM510033200</t>
  </si>
  <si>
    <t xml:space="preserve"> 1-3. 내부닥트공사</t>
  </si>
  <si>
    <t>MM510033201</t>
  </si>
  <si>
    <t xml:space="preserve"> PVC PLATE</t>
  </si>
  <si>
    <t xml:space="preserve"> 4T</t>
  </si>
  <si>
    <t>매</t>
  </si>
  <si>
    <t>MM510033202</t>
  </si>
  <si>
    <t xml:space="preserve"> PVC GRILL</t>
  </si>
  <si>
    <t xml:space="preserve"> 200X200</t>
  </si>
  <si>
    <t>MM510033203</t>
  </si>
  <si>
    <t xml:space="preserve"> 닥트행가 및 전산볼트(STS)</t>
  </si>
  <si>
    <t>MM510033204</t>
  </si>
  <si>
    <t xml:space="preserve"> CANVAS</t>
  </si>
  <si>
    <t>MM510033205</t>
  </si>
  <si>
    <t xml:space="preserve"> B.D.D</t>
  </si>
  <si>
    <t>MM510033206</t>
  </si>
  <si>
    <t xml:space="preserve"> 잡자재비</t>
  </si>
  <si>
    <t>MM510033207</t>
  </si>
  <si>
    <t>01011204  전기공사</t>
  </si>
  <si>
    <t>01011204</t>
  </si>
  <si>
    <t>MM510033300</t>
  </si>
  <si>
    <t xml:space="preserve"> CONTROL PANEL(STS304)</t>
  </si>
  <si>
    <t>MM510033301</t>
  </si>
  <si>
    <t xml:space="preserve"> PVC 전선관</t>
  </si>
  <si>
    <t xml:space="preserve"> 16C</t>
  </si>
  <si>
    <t>MM510033302</t>
  </si>
  <si>
    <t xml:space="preserve"> 22C</t>
  </si>
  <si>
    <t>MM510033303</t>
  </si>
  <si>
    <t xml:space="preserve"> 36C</t>
  </si>
  <si>
    <t>MM510033304</t>
  </si>
  <si>
    <t xml:space="preserve"> 전선관 부속자재</t>
  </si>
  <si>
    <t xml:space="preserve"> 전선관의 15%</t>
  </si>
  <si>
    <t>MM510033305</t>
  </si>
  <si>
    <t xml:space="preserve"> 전선</t>
  </si>
  <si>
    <t xml:space="preserve"> F-CV2.5SQ*3C</t>
  </si>
  <si>
    <t>MM510033306</t>
  </si>
  <si>
    <t xml:space="preserve"> F-CV2.5SQ*4C</t>
  </si>
  <si>
    <t>MM510033307</t>
  </si>
  <si>
    <t xml:space="preserve"> F-CVV1.5SQ*2C</t>
  </si>
  <si>
    <t>MM510033308</t>
  </si>
  <si>
    <t xml:space="preserve"> F-CVV1.5SQ*4C</t>
  </si>
  <si>
    <t>MM510033309</t>
  </si>
  <si>
    <t xml:space="preserve"> F-CVV1.5SQ*7C</t>
  </si>
  <si>
    <t>MM510033310</t>
  </si>
  <si>
    <t xml:space="preserve"> HIV 2.5M/M</t>
  </si>
  <si>
    <t>MM510033311</t>
  </si>
  <si>
    <t xml:space="preserve"> C-CHANEL(STS)</t>
  </si>
  <si>
    <t xml:space="preserve"> 1.2T</t>
  </si>
  <si>
    <t>MM510033312</t>
  </si>
  <si>
    <t xml:space="preserve"> 지지대 잡철물</t>
  </si>
  <si>
    <t xml:space="preserve"> STS 304</t>
  </si>
  <si>
    <t>MM510033313</t>
  </si>
  <si>
    <t xml:space="preserve"> 풀박스</t>
  </si>
  <si>
    <t xml:space="preserve"> 150*150*100</t>
  </si>
  <si>
    <t>MM510033314</t>
  </si>
  <si>
    <t xml:space="preserve"> 후렉시블튜브(고장력)</t>
  </si>
  <si>
    <t>MM510033315</t>
  </si>
  <si>
    <t>MM510033316</t>
  </si>
  <si>
    <t xml:space="preserve"> 후렉시블콘넥타</t>
  </si>
  <si>
    <t>MM510033317</t>
  </si>
  <si>
    <t>MM510033318</t>
  </si>
  <si>
    <t xml:space="preserve"> C-CLAMP(STS)</t>
  </si>
  <si>
    <t>MM510033319</t>
  </si>
  <si>
    <t>MM510033320</t>
  </si>
  <si>
    <t>MM510033321</t>
  </si>
  <si>
    <t xml:space="preserve"> 모터지지대</t>
  </si>
  <si>
    <t>MM510033322</t>
  </si>
  <si>
    <t xml:space="preserve"> 전등(방습형광등)</t>
  </si>
  <si>
    <t xml:space="preserve"> 36W</t>
  </si>
  <si>
    <t>MM510033323</t>
  </si>
  <si>
    <t xml:space="preserve"> 방수S/W</t>
  </si>
  <si>
    <t xml:space="preserve"> 1구</t>
  </si>
  <si>
    <t>MM510033324</t>
  </si>
  <si>
    <t>MM510033325</t>
  </si>
  <si>
    <t>010113  공기열시스템설치공사</t>
  </si>
  <si>
    <t>010113</t>
  </si>
  <si>
    <t>MM938968034</t>
  </si>
  <si>
    <t>1.장비설치공사</t>
  </si>
  <si>
    <t>MM938968036</t>
  </si>
  <si>
    <t>순환펌프</t>
  </si>
  <si>
    <t>410LPM*13M*2.2kW</t>
  </si>
  <si>
    <t>MM938968037</t>
  </si>
  <si>
    <t>팽창탱크</t>
  </si>
  <si>
    <t>100L</t>
  </si>
  <si>
    <t>MM938968038</t>
  </si>
  <si>
    <t>크레인</t>
  </si>
  <si>
    <t>MM938968039</t>
  </si>
  <si>
    <t>버퍼탱크</t>
  </si>
  <si>
    <t>3톤</t>
  </si>
  <si>
    <t>MM938968040</t>
  </si>
  <si>
    <t>전원판넬</t>
  </si>
  <si>
    <t>히트펌프,순환펌프 동력</t>
  </si>
  <si>
    <t>MM938968041</t>
  </si>
  <si>
    <t>천장마감</t>
  </si>
  <si>
    <t>MM938968042</t>
  </si>
  <si>
    <t>장비패드</t>
  </si>
  <si>
    <t>MM938968044</t>
  </si>
  <si>
    <t>2.배관공사</t>
  </si>
  <si>
    <t>MM938968045</t>
  </si>
  <si>
    <t>배관용 스테인리스 강관</t>
  </si>
  <si>
    <t>SUS관, D25X03T</t>
  </si>
  <si>
    <t>MM938968046</t>
  </si>
  <si>
    <t>SUS관, D65X03T</t>
  </si>
  <si>
    <t>MM938968047</t>
  </si>
  <si>
    <t>SUS관, D100X03T</t>
  </si>
  <si>
    <t>MM938968048</t>
  </si>
  <si>
    <t>잡재료</t>
  </si>
  <si>
    <t>주 재료비의 3% 이내</t>
  </si>
  <si>
    <t>MM938968049</t>
  </si>
  <si>
    <t>캔싱 직관보온재커버 (고무발포)</t>
  </si>
  <si>
    <t>MM938968050</t>
  </si>
  <si>
    <t>MM938968051</t>
  </si>
  <si>
    <t>엘보(SUS 용접#10) D25</t>
  </si>
  <si>
    <t>MM938968052</t>
  </si>
  <si>
    <t>엘보(SUS 용접#10) D65</t>
  </si>
  <si>
    <t>MM938968053</t>
  </si>
  <si>
    <t>MM938968054</t>
  </si>
  <si>
    <t>이경티 (SUS 용접#10) D80/65</t>
  </si>
  <si>
    <t>MM938968055</t>
  </si>
  <si>
    <t>레듀샤 (SUS 용접#10) D65/D50</t>
  </si>
  <si>
    <t>MM938968056</t>
  </si>
  <si>
    <t>관보온(고무발포)</t>
  </si>
  <si>
    <t>MM938968057</t>
  </si>
  <si>
    <t>MM938968058</t>
  </si>
  <si>
    <t>MM938968059</t>
  </si>
  <si>
    <t>스텐관용접</t>
  </si>
  <si>
    <t>MM938968060</t>
  </si>
  <si>
    <t>MM938968061</t>
  </si>
  <si>
    <t>MM938968062</t>
  </si>
  <si>
    <t>MM938968063</t>
  </si>
  <si>
    <t>스테인리스합후렌지</t>
  </si>
  <si>
    <t>MM938968064</t>
  </si>
  <si>
    <t>MM938968065</t>
  </si>
  <si>
    <t>MM938968066</t>
  </si>
  <si>
    <t>MM938968067</t>
  </si>
  <si>
    <t>MM938968068</t>
  </si>
  <si>
    <t>황동, 10kg, D25</t>
  </si>
  <si>
    <t>MM938968069</t>
  </si>
  <si>
    <t>10kg, D65</t>
  </si>
  <si>
    <t>MM938968070</t>
  </si>
  <si>
    <t>석션디퓨져</t>
  </si>
  <si>
    <t>MM938968071</t>
  </si>
  <si>
    <t>쓰리원체크밸브</t>
  </si>
  <si>
    <t>MM938968072</t>
  </si>
  <si>
    <t>후렉시블 조인트</t>
  </si>
  <si>
    <t>TPC형, D80*10k</t>
  </si>
  <si>
    <t>MM938968073</t>
  </si>
  <si>
    <t>정유량밸브</t>
  </si>
  <si>
    <t>MM938968074</t>
  </si>
  <si>
    <t>밸브보온 (매직테이프)</t>
  </si>
  <si>
    <t>50TxD50이하</t>
  </si>
  <si>
    <t>MM938968075</t>
  </si>
  <si>
    <t>50TxD65</t>
  </si>
  <si>
    <t>MM938968076</t>
  </si>
  <si>
    <t>50TxD100</t>
  </si>
  <si>
    <t>MM938968077</t>
  </si>
  <si>
    <t>온도계설치(SUS관)</t>
  </si>
  <si>
    <t>MM938968078</t>
  </si>
  <si>
    <t>압력계설치(SUS관)</t>
  </si>
  <si>
    <t>MM938968079</t>
  </si>
  <si>
    <t>자동공기변설치(냉.온수)</t>
  </si>
  <si>
    <t>MM938968080</t>
  </si>
  <si>
    <t>100X50X5X7.5mm</t>
  </si>
  <si>
    <t>MM938968081</t>
  </si>
  <si>
    <t>잡철물제작설치(철제)</t>
  </si>
  <si>
    <t>톤</t>
  </si>
  <si>
    <t>MM938968082</t>
  </si>
  <si>
    <t>녹막이페인트 칠</t>
  </si>
  <si>
    <t>2회.2종, Φ100mm이하</t>
  </si>
  <si>
    <t>MM938968083</t>
  </si>
  <si>
    <t>유성페이트(롤러칠)</t>
  </si>
  <si>
    <t>철재면, 2회. 2급, Φ100mm이하</t>
  </si>
  <si>
    <t>010115  메탈히터동결방지공사</t>
  </si>
  <si>
    <t>010115</t>
  </si>
  <si>
    <t>MM955040630</t>
  </si>
  <si>
    <t>1. 메탈히터</t>
  </si>
  <si>
    <t>MM955040632</t>
  </si>
  <si>
    <t>부착형 메탈히터</t>
  </si>
  <si>
    <t>FPS-AT-60    70W, IP68, FM인증</t>
  </si>
  <si>
    <t>MM955040635</t>
  </si>
  <si>
    <t>방열패드</t>
  </si>
  <si>
    <t>3T</t>
  </si>
  <si>
    <t>MM955040636</t>
  </si>
  <si>
    <t>보온재</t>
  </si>
  <si>
    <t>250*500</t>
  </si>
  <si>
    <t>MM955040637</t>
  </si>
  <si>
    <t>보온테이프</t>
  </si>
  <si>
    <t>10T</t>
  </si>
  <si>
    <t>MM955040638</t>
  </si>
  <si>
    <t>아이링박스</t>
  </si>
  <si>
    <t>FPS-IRB-2    옥내용/점멸형</t>
  </si>
  <si>
    <t>MM955040640</t>
  </si>
  <si>
    <t>단자박스</t>
  </si>
  <si>
    <t>FPS-TB-1    3분기/옥내용</t>
  </si>
  <si>
    <t>MM955040642</t>
  </si>
  <si>
    <t>철트레이</t>
  </si>
  <si>
    <t>아이링박스+단자박스 고정용</t>
  </si>
  <si>
    <t>MM955040643</t>
  </si>
  <si>
    <t>SUS 케이블타이</t>
  </si>
  <si>
    <t>7.9mm이상</t>
  </si>
  <si>
    <t>MM955040644</t>
  </si>
  <si>
    <t>2. 2차 전기공사</t>
  </si>
  <si>
    <t>MM955040645</t>
  </si>
  <si>
    <t>콘트롤러</t>
  </si>
  <si>
    <t>FPS-CP30-E1    ELB 30A 1회로</t>
  </si>
  <si>
    <t>MM955040652</t>
  </si>
  <si>
    <t>제어기</t>
  </si>
  <si>
    <t>FPS-HC-UTH    ELB 5A</t>
  </si>
  <si>
    <t>MM955040654</t>
  </si>
  <si>
    <t>온도센서</t>
  </si>
  <si>
    <t>20.0m</t>
  </si>
  <si>
    <t>MM955040656</t>
  </si>
  <si>
    <t>금속제 가요전선관</t>
  </si>
  <si>
    <t>22C이하 / 일반방수</t>
  </si>
  <si>
    <t>MM955040658</t>
  </si>
  <si>
    <t>절연케이블</t>
  </si>
  <si>
    <t>F-CV 3C 2.5sq</t>
  </si>
  <si>
    <t>MM955040659</t>
  </si>
  <si>
    <t>F-CV 3C 4.0sq</t>
  </si>
  <si>
    <t>MM955040661</t>
  </si>
  <si>
    <t>전선관부속품</t>
  </si>
  <si>
    <t>전선및전선관*15%</t>
  </si>
  <si>
    <t>MM955040662</t>
  </si>
  <si>
    <t>2차 전원공사의 5%</t>
  </si>
  <si>
    <t>MM955040663</t>
  </si>
  <si>
    <t>케이블타이</t>
  </si>
  <si>
    <t>실리콘/내한온도-40도</t>
  </si>
  <si>
    <t>인력품의3%</t>
  </si>
  <si>
    <t>010116  바닥난방설치공사</t>
  </si>
  <si>
    <t>010116</t>
  </si>
  <si>
    <t>MM955040670</t>
  </si>
  <si>
    <t xml:space="preserve"> 이중전열관온돌</t>
  </si>
  <si>
    <t xml:space="preserve"> 20A / 1700mm</t>
  </si>
  <si>
    <t>MM955040671</t>
  </si>
  <si>
    <t xml:space="preserve"> 20A / 2000mm</t>
  </si>
  <si>
    <t>MM955040672</t>
  </si>
  <si>
    <t xml:space="preserve"> 20A / 2400mm</t>
  </si>
  <si>
    <t>MM955040673</t>
  </si>
  <si>
    <t xml:space="preserve"> 20A / 2800mm</t>
  </si>
  <si>
    <t>MM955040674</t>
  </si>
  <si>
    <t xml:space="preserve"> 온도조절기</t>
  </si>
  <si>
    <t xml:space="preserve"> 개별형, 4KW</t>
  </si>
  <si>
    <t>010117  냉난방기설치공사</t>
  </si>
  <si>
    <t>010117</t>
  </si>
  <si>
    <t>MM949187981</t>
  </si>
  <si>
    <t>EHP 실외기(냉방기)</t>
  </si>
  <si>
    <t>AM040FXMDBC1</t>
  </si>
  <si>
    <t>010201  장비설치공사</t>
  </si>
  <si>
    <t>010201</t>
  </si>
  <si>
    <t>MM938209202</t>
  </si>
  <si>
    <t>EF-201 배기휀(인라인)D510</t>
  </si>
  <si>
    <t>5,100CMHx260PAx1.5KW</t>
  </si>
  <si>
    <t>MM938209203</t>
  </si>
  <si>
    <t>EF-202 배기휀(인라인)D460</t>
  </si>
  <si>
    <t>1,720CMHx250PAx0.4KW</t>
  </si>
  <si>
    <t>MM948386776</t>
  </si>
  <si>
    <t>ERD-201 전기방열기(벽부형)</t>
  </si>
  <si>
    <t>1.5KW</t>
  </si>
  <si>
    <t>MM938209204</t>
  </si>
  <si>
    <t>EWT-201 전기온수기</t>
  </si>
  <si>
    <t>30LITx1.5KW</t>
  </si>
  <si>
    <t>56900017039</t>
  </si>
  <si>
    <t>보일러공</t>
  </si>
  <si>
    <t>010202  옥외배관공사</t>
  </si>
  <si>
    <t>010202</t>
  </si>
  <si>
    <t>47100787107</t>
  </si>
  <si>
    <t>PE수도관(1종), D50</t>
  </si>
  <si>
    <t>47300977027</t>
  </si>
  <si>
    <t>90˚엘보(나사조임식) D50</t>
  </si>
  <si>
    <t>47300977120</t>
  </si>
  <si>
    <t>소켓 (나사조임식) D15</t>
  </si>
  <si>
    <t>47300977125</t>
  </si>
  <si>
    <t>소켓 (나사조임식) D50</t>
  </si>
  <si>
    <t>56940250060</t>
  </si>
  <si>
    <t>010203  위생기구설치공사</t>
  </si>
  <si>
    <t>010203</t>
  </si>
  <si>
    <t>010204  급수급탕배관공사</t>
  </si>
  <si>
    <t>010204</t>
  </si>
  <si>
    <t>56940840120</t>
  </si>
  <si>
    <t>10TxD15</t>
  </si>
  <si>
    <t>56940840121</t>
  </si>
  <si>
    <t>10TxD20</t>
  </si>
  <si>
    <t>56940840122</t>
  </si>
  <si>
    <t>10TxD25</t>
  </si>
  <si>
    <t>56940840123</t>
  </si>
  <si>
    <t>10TxD32</t>
  </si>
  <si>
    <t>56940840124</t>
  </si>
  <si>
    <t>10TxD40</t>
  </si>
  <si>
    <t>56940840125</t>
  </si>
  <si>
    <t>10TxD50</t>
  </si>
  <si>
    <t>010205  오배수배관공사</t>
  </si>
  <si>
    <t>010205</t>
  </si>
  <si>
    <t>47100727104</t>
  </si>
  <si>
    <t>PVC관(VG1,DTS) D35</t>
  </si>
  <si>
    <t>47100727105</t>
  </si>
  <si>
    <t>PVC관(VG1,DTS) D40</t>
  </si>
  <si>
    <t>47100727110</t>
  </si>
  <si>
    <t>PVC관(VG1,DTS) D125</t>
  </si>
  <si>
    <t>47100727174</t>
  </si>
  <si>
    <t>PVC관(VG2,DRF) D75</t>
  </si>
  <si>
    <t>47301148041</t>
  </si>
  <si>
    <t>90˚단곡관(DTS) D35</t>
  </si>
  <si>
    <t>47301148060</t>
  </si>
  <si>
    <t>45˚단곡관(DTS) D50</t>
  </si>
  <si>
    <t>47301148064</t>
  </si>
  <si>
    <t>45˚단곡관(DTS) D125</t>
  </si>
  <si>
    <t>47301148147</t>
  </si>
  <si>
    <t>소켓 (DTS) D125</t>
  </si>
  <si>
    <t>47301148231</t>
  </si>
  <si>
    <t>리듀서(DTS) D50xD35</t>
  </si>
  <si>
    <t>47301148232</t>
  </si>
  <si>
    <t>리듀서(DTS) D50xD40</t>
  </si>
  <si>
    <t>47301148364</t>
  </si>
  <si>
    <t>Y관(DTS) D50x50</t>
  </si>
  <si>
    <t>47301148370</t>
  </si>
  <si>
    <t>Y관(DTS) D75x75</t>
  </si>
  <si>
    <t>47301148373</t>
  </si>
  <si>
    <t>Y관(DTS) D75x50</t>
  </si>
  <si>
    <t>47301148379</t>
  </si>
  <si>
    <t>Y관(DTS) D125x125</t>
  </si>
  <si>
    <t>47301148604</t>
  </si>
  <si>
    <t>YT관(DTS) D50xD50</t>
  </si>
  <si>
    <t>47301148613</t>
  </si>
  <si>
    <t>YT관(DTS) D75xD50</t>
  </si>
  <si>
    <t>47301148617</t>
  </si>
  <si>
    <t>YT관(DTS) D100xD50</t>
  </si>
  <si>
    <t>47301148846</t>
  </si>
  <si>
    <t>C.O.(DTS)D100</t>
  </si>
  <si>
    <t>47301148854</t>
  </si>
  <si>
    <t>F.C.O.(DTS)D50</t>
  </si>
  <si>
    <t>47301148855</t>
  </si>
  <si>
    <t>F.C.O.(DTS)D75</t>
  </si>
  <si>
    <t>47301148812</t>
  </si>
  <si>
    <t>P트랩(DTS) D50</t>
  </si>
  <si>
    <t>47301148720</t>
  </si>
  <si>
    <t>이경소켓 (DRF) D75x50</t>
  </si>
  <si>
    <t>47301148918</t>
  </si>
  <si>
    <t>V.T.W(PVC) D80</t>
  </si>
  <si>
    <t>010206  환기덕트설치공사</t>
  </si>
  <si>
    <t>010206</t>
  </si>
  <si>
    <t>010207  메탈히터동결방지공사</t>
  </si>
  <si>
    <t>010207</t>
  </si>
  <si>
    <t>MM955040667</t>
  </si>
  <si>
    <t>컨트롤러</t>
  </si>
  <si>
    <t>FPS-HC-MN    ELB 10A</t>
  </si>
  <si>
    <t>MM955040669</t>
  </si>
  <si>
    <t>MM955040668</t>
  </si>
  <si>
    <t>010301  장비설치공사</t>
  </si>
  <si>
    <t>010301</t>
  </si>
  <si>
    <t>MM938209611</t>
  </si>
  <si>
    <t>OF-301 급기휀(인라인)D510</t>
  </si>
  <si>
    <t>6,180CMHx170PAx1.5KW</t>
  </si>
  <si>
    <t>MM938209612</t>
  </si>
  <si>
    <t>EF-301 배기휀(인라인)D550</t>
  </si>
  <si>
    <t>6,890CMHx220PAx1.5KW</t>
  </si>
  <si>
    <t>MM938209613</t>
  </si>
  <si>
    <t>EF-302 배기휀(천정형)D200</t>
  </si>
  <si>
    <t>210CMHx0.043KW</t>
  </si>
  <si>
    <t>MM948387042</t>
  </si>
  <si>
    <t>ERD-301 전기방열기(벽부형)</t>
  </si>
  <si>
    <t>1KW</t>
  </si>
  <si>
    <t>MM948387043</t>
  </si>
  <si>
    <t>ERD-302 전기방열기(벽부형)</t>
  </si>
  <si>
    <t>1.25KW</t>
  </si>
  <si>
    <t>MM938209617</t>
  </si>
  <si>
    <t>EWT-301 전기온수기</t>
  </si>
  <si>
    <t>15LITx1.5KW</t>
  </si>
  <si>
    <t>010302  옥외배관공사</t>
  </si>
  <si>
    <t>010302</t>
  </si>
  <si>
    <t>47100787106</t>
  </si>
  <si>
    <t>PE수도관(1종), D40</t>
  </si>
  <si>
    <t>47300977026</t>
  </si>
  <si>
    <t>90˚엘보(나사조임식) D40</t>
  </si>
  <si>
    <t>47300977124</t>
  </si>
  <si>
    <t>소켓 (나사조임식) D40</t>
  </si>
  <si>
    <t>56940250050</t>
  </si>
  <si>
    <t>010303  위생기구설치공사</t>
  </si>
  <si>
    <t>010303</t>
  </si>
  <si>
    <t>인력품의2%</t>
  </si>
  <si>
    <t>010304  급수급탕배관공사</t>
  </si>
  <si>
    <t>010304</t>
  </si>
  <si>
    <t>48200147601</t>
  </si>
  <si>
    <t>56940620050</t>
  </si>
  <si>
    <t>010305  오배수배관공사</t>
  </si>
  <si>
    <t>010305</t>
  </si>
  <si>
    <t>47301148673</t>
  </si>
  <si>
    <t>Y관 (DRF) D100x100</t>
  </si>
  <si>
    <t>47301148916</t>
  </si>
  <si>
    <t>V.T.W(PVC) D50</t>
  </si>
  <si>
    <t>010306  환기덕트설치공사</t>
  </si>
  <si>
    <t>010306</t>
  </si>
  <si>
    <t>MM918321414</t>
  </si>
  <si>
    <t>MM938471741</t>
  </si>
  <si>
    <t>010401  장비설치공사</t>
  </si>
  <si>
    <t>010401</t>
  </si>
  <si>
    <t>MM938210069</t>
  </si>
  <si>
    <t>EF-401 배기휀(천정형)D150</t>
  </si>
  <si>
    <t>MM938210070</t>
  </si>
  <si>
    <t>ERD-401 전기방열기(벽부형)</t>
  </si>
  <si>
    <t>1.2KW</t>
  </si>
  <si>
    <t>MM938210071</t>
  </si>
  <si>
    <t>EWT-401 전기온수기</t>
  </si>
  <si>
    <t>010402  옥외배관공사</t>
  </si>
  <si>
    <t>010402</t>
  </si>
  <si>
    <t>47100787103</t>
  </si>
  <si>
    <t>PE수도관(1종), D20</t>
  </si>
  <si>
    <t>47100787104</t>
  </si>
  <si>
    <t>PE수도관(1종), D25</t>
  </si>
  <si>
    <t>47300977023</t>
  </si>
  <si>
    <t>90˚엘보(나사조임식) D20</t>
  </si>
  <si>
    <t>47300977024</t>
  </si>
  <si>
    <t>90˚엘보(나사조임식) D25</t>
  </si>
  <si>
    <t>47300977121</t>
  </si>
  <si>
    <t>소켓 (나사조임식) D20</t>
  </si>
  <si>
    <t>47300977255</t>
  </si>
  <si>
    <t>이경소켓(나사조임식) D25</t>
  </si>
  <si>
    <t>47300977284</t>
  </si>
  <si>
    <t>정티이(나사조임식) D25</t>
  </si>
  <si>
    <t>56940250020</t>
  </si>
  <si>
    <t>56940250030</t>
  </si>
  <si>
    <t>010403  위생기구설치공사</t>
  </si>
  <si>
    <t>010403</t>
  </si>
  <si>
    <t>010404  급수급탕배관공사</t>
  </si>
  <si>
    <t>010404</t>
  </si>
  <si>
    <t>47301108303</t>
  </si>
  <si>
    <t>티이 (SR) D13x13</t>
  </si>
  <si>
    <t>56940620020</t>
  </si>
  <si>
    <t>010405  오배수배관공사</t>
  </si>
  <si>
    <t>010405</t>
  </si>
  <si>
    <t>010406  환기덕트설치공사</t>
  </si>
  <si>
    <t>010406</t>
  </si>
  <si>
    <t>010407  냉난방기설치공사</t>
  </si>
  <si>
    <t>010407</t>
  </si>
  <si>
    <t>MM949187982</t>
  </si>
  <si>
    <t>1-WAY 싱글 냉난방기</t>
  </si>
  <si>
    <t>AC023RA1PBH1SY</t>
  </si>
  <si>
    <t>010501  장비설치공사</t>
  </si>
  <si>
    <t>010501</t>
  </si>
  <si>
    <t>MM948387266</t>
  </si>
  <si>
    <t>OF-501 배기휀(벽부형)D200</t>
  </si>
  <si>
    <t>MM938210313</t>
  </si>
  <si>
    <t>EF-501 배기휀(천정형)D150</t>
  </si>
  <si>
    <t>MM948387390</t>
  </si>
  <si>
    <t>EF-502 배기휀(벽부형)D200</t>
  </si>
  <si>
    <t>MM938210473</t>
  </si>
  <si>
    <t>FCU-405 팬코일유니트설치비</t>
  </si>
  <si>
    <t>MM938210475</t>
  </si>
  <si>
    <t>FCU-410 팬코일유니트설치비</t>
  </si>
  <si>
    <t>010502  옥외배관공사</t>
  </si>
  <si>
    <t>010502</t>
  </si>
  <si>
    <t>47300977078</t>
  </si>
  <si>
    <t>정티(융착식) D75</t>
  </si>
  <si>
    <t>47300977247</t>
  </si>
  <si>
    <t>이경소켓(융착식) D75</t>
  </si>
  <si>
    <t>47300977278</t>
  </si>
  <si>
    <t>후렌지소켓(나사조임식) D75</t>
  </si>
  <si>
    <t>56940250070</t>
  </si>
  <si>
    <t>48200137053</t>
  </si>
  <si>
    <t>LEVER,10K*D80</t>
  </si>
  <si>
    <t>66800287008</t>
  </si>
  <si>
    <t>수도미터(냉수용)</t>
  </si>
  <si>
    <t>010503  공조배관공사</t>
  </si>
  <si>
    <t>010503</t>
  </si>
  <si>
    <t>48200037304</t>
  </si>
  <si>
    <t>47300627204</t>
  </si>
  <si>
    <t>48200067204</t>
  </si>
  <si>
    <t>010504  위생기구설치공사</t>
  </si>
  <si>
    <t>010504</t>
  </si>
  <si>
    <t>45100577015</t>
  </si>
  <si>
    <t>장애자용가대(샤워기용)</t>
  </si>
  <si>
    <t>010505  급수급탕배관공사</t>
  </si>
  <si>
    <t>010505</t>
  </si>
  <si>
    <t>010506  오배수배관공사</t>
  </si>
  <si>
    <t>010506</t>
  </si>
  <si>
    <t>010507  우수배관공사</t>
  </si>
  <si>
    <t>010507</t>
  </si>
  <si>
    <t>47301149484</t>
  </si>
  <si>
    <t>YT 관, D125x125</t>
  </si>
  <si>
    <t>010508  환기덕트설치공사</t>
  </si>
  <si>
    <t>010508</t>
  </si>
  <si>
    <t>MM918321413</t>
  </si>
  <si>
    <t>0201  본관,생활관및후생관</t>
  </si>
  <si>
    <t>0201</t>
  </si>
  <si>
    <t>MM940021786</t>
  </si>
  <si>
    <t>가.직접인건비</t>
  </si>
  <si>
    <t>MM940021787</t>
  </si>
  <si>
    <t>1.시스템검토</t>
  </si>
  <si>
    <t>20,000㎡ 이하</t>
  </si>
  <si>
    <t>MM940021788</t>
  </si>
  <si>
    <t>2.공기분배계통</t>
  </si>
  <si>
    <t>MM940021789</t>
  </si>
  <si>
    <t xml:space="preserve">  제트공조기</t>
  </si>
  <si>
    <t>10,000 CMH이하</t>
  </si>
  <si>
    <t>MM940021790</t>
  </si>
  <si>
    <t>20,000 CMH이하</t>
  </si>
  <si>
    <t>MM940021791</t>
  </si>
  <si>
    <t xml:space="preserve">  송풍기</t>
  </si>
  <si>
    <t>MM940021792</t>
  </si>
  <si>
    <t>MM940021793</t>
  </si>
  <si>
    <t>벽부형</t>
  </si>
  <si>
    <t>MM940021794</t>
  </si>
  <si>
    <t xml:space="preserve">  탈취유니트</t>
  </si>
  <si>
    <t>MM940021795</t>
  </si>
  <si>
    <t xml:space="preserve">  항온항습기</t>
  </si>
  <si>
    <t>-</t>
  </si>
  <si>
    <t>MM940021796</t>
  </si>
  <si>
    <t xml:space="preserve">  공기순환기</t>
  </si>
  <si>
    <t>기구,댐퍼 포함</t>
  </si>
  <si>
    <t>MM940021797</t>
  </si>
  <si>
    <t xml:space="preserve">  풍량조절댐퍼</t>
  </si>
  <si>
    <t>수동식</t>
  </si>
  <si>
    <t>MM940021798</t>
  </si>
  <si>
    <t>자동식</t>
  </si>
  <si>
    <t>MM940021799</t>
  </si>
  <si>
    <t xml:space="preserve">  공기취출구</t>
  </si>
  <si>
    <t>디퓨져,그릴,레지스터,루버</t>
  </si>
  <si>
    <t>MM940021800</t>
  </si>
  <si>
    <t xml:space="preserve">  덕트풍량분포측정</t>
  </si>
  <si>
    <t>MM940021801</t>
  </si>
  <si>
    <t>3.물분배계통</t>
  </si>
  <si>
    <t>MM940021802</t>
  </si>
  <si>
    <t xml:space="preserve">  펌  프</t>
  </si>
  <si>
    <t>냉,온수 순환용</t>
  </si>
  <si>
    <t>MM940021803</t>
  </si>
  <si>
    <t xml:space="preserve">  팬코일유니트</t>
  </si>
  <si>
    <t>카세트형, 덕트연결형</t>
  </si>
  <si>
    <t>MM940021804</t>
  </si>
  <si>
    <t xml:space="preserve">  유량분배</t>
  </si>
  <si>
    <t>자동조절밸브</t>
  </si>
  <si>
    <t>MM940021805</t>
  </si>
  <si>
    <t xml:space="preserve">  유량분배측정</t>
  </si>
  <si>
    <t>MM940021806</t>
  </si>
  <si>
    <t>4.소음측정</t>
  </si>
  <si>
    <t>MM940021807</t>
  </si>
  <si>
    <t>5.마무리작업</t>
  </si>
  <si>
    <t>(2항+3항) 합의 10%</t>
  </si>
  <si>
    <t>MM940021808</t>
  </si>
  <si>
    <t>6.최종보고서작성</t>
  </si>
  <si>
    <t>(1항~5항)합의 15%</t>
  </si>
  <si>
    <t>MM940021809</t>
  </si>
  <si>
    <t>나.직접경비</t>
  </si>
  <si>
    <t>인쇄비, 소모잡비…..</t>
  </si>
  <si>
    <t>MM940021810</t>
  </si>
  <si>
    <t>다.제경비</t>
  </si>
  <si>
    <t>직접인건비의 50%</t>
  </si>
  <si>
    <t>MM940021811</t>
  </si>
  <si>
    <t>라.기술료</t>
  </si>
  <si>
    <t>(직접인건비+제경비)의 20%</t>
  </si>
  <si>
    <t>0202  관리시설</t>
  </si>
  <si>
    <t>0202</t>
  </si>
  <si>
    <t>MM940021823</t>
  </si>
  <si>
    <t>MM940021824</t>
  </si>
  <si>
    <t>10,000㎡ 이하</t>
  </si>
  <si>
    <t>MM940021825</t>
  </si>
  <si>
    <t>MM940021826</t>
  </si>
  <si>
    <t>MM940021827</t>
  </si>
  <si>
    <t>MM940021828</t>
  </si>
  <si>
    <t>3.소음측정</t>
  </si>
  <si>
    <t>MM940021829</t>
  </si>
  <si>
    <t>4.마무리작업</t>
  </si>
  <si>
    <t>(2항) 합의 10%</t>
  </si>
  <si>
    <t>MM940021830</t>
  </si>
  <si>
    <t>5.최종보고서작성</t>
  </si>
  <si>
    <t>(1항~4항)합의 15%</t>
  </si>
  <si>
    <t>MM940021831</t>
  </si>
  <si>
    <t>MM940021832</t>
  </si>
  <si>
    <t>MM940021833</t>
  </si>
  <si>
    <t>0203  소방종합훈련탑</t>
  </si>
  <si>
    <t>0203</t>
  </si>
  <si>
    <t>MM940021812</t>
  </si>
  <si>
    <t>MM940021813</t>
  </si>
  <si>
    <t>MM940021814</t>
  </si>
  <si>
    <t>MM940021815</t>
  </si>
  <si>
    <t>MM940021816</t>
  </si>
  <si>
    <t>MM940021817</t>
  </si>
  <si>
    <t>MM940021818</t>
  </si>
  <si>
    <t>MM940021819</t>
  </si>
  <si>
    <t>MM940021820</t>
  </si>
  <si>
    <t>MM940021821</t>
  </si>
  <si>
    <t>MM940021822</t>
  </si>
  <si>
    <t>0204  경비실</t>
  </si>
  <si>
    <t>0204</t>
  </si>
  <si>
    <t>MM940021835</t>
  </si>
  <si>
    <t>MM940021836</t>
  </si>
  <si>
    <t>MM940021837</t>
  </si>
  <si>
    <t>MM940021838</t>
  </si>
  <si>
    <t>MM940021839</t>
  </si>
  <si>
    <t>3.마무리작업</t>
  </si>
  <si>
    <t>MM940021840</t>
  </si>
  <si>
    <t>(1항~3항)합의 15%</t>
  </si>
  <si>
    <t>MM940021841</t>
  </si>
  <si>
    <t>MM940021842</t>
  </si>
  <si>
    <t>MM940021843</t>
  </si>
  <si>
    <t>0205  관사</t>
  </si>
  <si>
    <t>0205</t>
  </si>
  <si>
    <t>MM940021844</t>
  </si>
  <si>
    <t>MM940021845</t>
  </si>
  <si>
    <t>MM940021846</t>
  </si>
  <si>
    <t>2.물분배계통</t>
  </si>
  <si>
    <t>MM940021847</t>
  </si>
  <si>
    <t>MM940021848</t>
  </si>
  <si>
    <t>MM940021849</t>
  </si>
  <si>
    <t>MM940021850</t>
  </si>
  <si>
    <t>MM940021851</t>
  </si>
  <si>
    <t>MM940021852</t>
  </si>
  <si>
    <t>MM940021853</t>
  </si>
  <si>
    <t>MM940021854</t>
  </si>
  <si>
    <t>MM940021855</t>
  </si>
  <si>
    <t>03010101  장비설치공사</t>
  </si>
  <si>
    <t>03010101</t>
  </si>
  <si>
    <t>MM938207672</t>
  </si>
  <si>
    <t>FCU-1 팬코일유니트(1WAY)</t>
  </si>
  <si>
    <t>MM938207674</t>
  </si>
  <si>
    <t>FCU-2 팬코일유니트(1WAY)</t>
  </si>
  <si>
    <t>MM938207676</t>
  </si>
  <si>
    <t>FCU-4 팬코일유니트(2WAY)</t>
  </si>
  <si>
    <t>MM938207678</t>
  </si>
  <si>
    <t>FCU-5 팬코일유니트(2WAY)</t>
  </si>
  <si>
    <t>MM938207680</t>
  </si>
  <si>
    <t>FCU-6 팬코일유니트(4WAY)</t>
  </si>
  <si>
    <t>MM938207682</t>
  </si>
  <si>
    <t>FCU-7 팬코일유니트(4WAY)</t>
  </si>
  <si>
    <t>MM938207684</t>
  </si>
  <si>
    <t>FCU-8 팬코일유니트(4WAY)</t>
  </si>
  <si>
    <t>MM938207686</t>
  </si>
  <si>
    <t>FCU-9 팬코일유니트(4WAY)</t>
  </si>
  <si>
    <t>MM938207688</t>
  </si>
  <si>
    <t>FCU-10 팬코일유니트(4WAY)</t>
  </si>
  <si>
    <t>MM938207690</t>
  </si>
  <si>
    <t>FCU-12 팬코일유니트(스탠드형)</t>
  </si>
  <si>
    <t>MM938207692</t>
  </si>
  <si>
    <t>FCU-13 팬코일유니트(고정압)</t>
  </si>
  <si>
    <t>MM938207733</t>
  </si>
  <si>
    <t>무선리모컨</t>
  </si>
  <si>
    <t>22561079</t>
  </si>
  <si>
    <t>MM938207734</t>
  </si>
  <si>
    <t>UV광촉매</t>
  </si>
  <si>
    <t>22561082</t>
  </si>
  <si>
    <t>MM938207735</t>
  </si>
  <si>
    <t>마이콤컨트롤러</t>
  </si>
  <si>
    <t>22561081</t>
  </si>
  <si>
    <t>MM938207736</t>
  </si>
  <si>
    <t>2way밸브</t>
  </si>
  <si>
    <t>22561077</t>
  </si>
  <si>
    <t>MM938207738</t>
  </si>
  <si>
    <t>FCU-12</t>
  </si>
  <si>
    <t>MM938207737</t>
  </si>
  <si>
    <t>룸S/W</t>
  </si>
  <si>
    <t>22561080</t>
  </si>
  <si>
    <t>Z0000000001</t>
  </si>
  <si>
    <t>조달수수료</t>
  </si>
  <si>
    <t>0.54%</t>
  </si>
  <si>
    <t>03010201  장비설치공사</t>
  </si>
  <si>
    <t>03010201</t>
  </si>
  <si>
    <t>MM938210314</t>
  </si>
  <si>
    <t>FCU-401 팬코일유니트(1WAY)</t>
  </si>
  <si>
    <t>MM938210315</t>
  </si>
  <si>
    <t>FCU-405 팬코일유니트(2WAY)</t>
  </si>
  <si>
    <t>MM938210316</t>
  </si>
  <si>
    <t>FCU-410 팬코일유니트(4WAY)</t>
  </si>
  <si>
    <t>Z0000000004</t>
  </si>
  <si>
    <t>03020101  장비설치공사</t>
  </si>
  <si>
    <t>03020101</t>
  </si>
  <si>
    <t>MM948384884</t>
  </si>
  <si>
    <t>T-1 시수탱크(SMC)</t>
  </si>
  <si>
    <t>138TON(5,500*10,000*2,500H)</t>
  </si>
  <si>
    <t>MM948385913</t>
  </si>
  <si>
    <t>HWT-1 저탕조탱크(STS304)</t>
  </si>
  <si>
    <t>5,000LIT</t>
  </si>
  <si>
    <t>MM948385914</t>
  </si>
  <si>
    <t>P-101 급수펌프(부스터)</t>
  </si>
  <si>
    <t>(360+420*2)LPMx50Mx(5.5+7.5)KW</t>
  </si>
  <si>
    <t>23471871</t>
  </si>
  <si>
    <t>MM938207721</t>
  </si>
  <si>
    <t>JA-101 제트공조기</t>
  </si>
  <si>
    <t>72,000CMH</t>
  </si>
  <si>
    <t>MM938207722</t>
  </si>
  <si>
    <t>JA-102 제트공조기</t>
  </si>
  <si>
    <t>108,000CMH</t>
  </si>
  <si>
    <t>MM938207723</t>
  </si>
  <si>
    <t>UT-101 기류순환휀</t>
  </si>
  <si>
    <t>13,000CMH</t>
  </si>
  <si>
    <t>MM938207724</t>
  </si>
  <si>
    <t>UT-102 기류순환휀</t>
  </si>
  <si>
    <t>MM938207725</t>
  </si>
  <si>
    <t>SM-101 초절전복사난방</t>
  </si>
  <si>
    <t>430KCAL/Hx0.5KW</t>
  </si>
  <si>
    <t>MM938207726</t>
  </si>
  <si>
    <t>SM-102 초절전복사난방</t>
  </si>
  <si>
    <t>645KCAL/Hx0.75KW</t>
  </si>
  <si>
    <t>MM938207727</t>
  </si>
  <si>
    <t>SM-103 초절전복사난방</t>
  </si>
  <si>
    <t>860KCAL/Hx1KW</t>
  </si>
  <si>
    <t>MM938207728</t>
  </si>
  <si>
    <t>SM-104 초절전복사난방</t>
  </si>
  <si>
    <t>1,075KCAL/Hx1.25KW</t>
  </si>
  <si>
    <t>MM938207729</t>
  </si>
  <si>
    <t>SM-105 초절전복사난방</t>
  </si>
  <si>
    <t>1,290KCAL/Hx1.5KW</t>
  </si>
  <si>
    <t>Z0000000002</t>
  </si>
  <si>
    <t>03020102  냉난방기설치공사</t>
  </si>
  <si>
    <t>03020102</t>
  </si>
  <si>
    <t>MM949187990</t>
  </si>
  <si>
    <t>실외기</t>
  </si>
  <si>
    <t>14.5/16.3</t>
  </si>
  <si>
    <t>24427910</t>
  </si>
  <si>
    <t>MM949187991</t>
  </si>
  <si>
    <t>87.0</t>
  </si>
  <si>
    <t>22687577</t>
  </si>
  <si>
    <t>MM949187992</t>
  </si>
  <si>
    <t>실내기</t>
  </si>
  <si>
    <t>3.2/3.6</t>
  </si>
  <si>
    <t>23478167</t>
  </si>
  <si>
    <t>MM949187993</t>
  </si>
  <si>
    <t>5.2/6.0</t>
  </si>
  <si>
    <t>23478169</t>
  </si>
  <si>
    <t>MM949187994</t>
  </si>
  <si>
    <t>23478377</t>
  </si>
  <si>
    <t>MM949187995</t>
  </si>
  <si>
    <t>29.0/32.6</t>
  </si>
  <si>
    <t>23031178</t>
  </si>
  <si>
    <t>MM949187996</t>
  </si>
  <si>
    <t>싱글</t>
  </si>
  <si>
    <t>7.2/9.0</t>
  </si>
  <si>
    <t>24109921</t>
  </si>
  <si>
    <t>MM949187997</t>
  </si>
  <si>
    <t>24096071</t>
  </si>
  <si>
    <t>MM949187999</t>
  </si>
  <si>
    <t>부품</t>
  </si>
  <si>
    <t>룸컨트롤러</t>
  </si>
  <si>
    <t>23410961</t>
  </si>
  <si>
    <t>MM949188000</t>
  </si>
  <si>
    <t>무선룸컨트롤러</t>
  </si>
  <si>
    <t>23408184</t>
  </si>
  <si>
    <t>MM949188001</t>
  </si>
  <si>
    <t>중앙컨트롤러</t>
  </si>
  <si>
    <t>22724064</t>
  </si>
  <si>
    <t>MM949188002</t>
  </si>
  <si>
    <t>분기관</t>
  </si>
  <si>
    <t>20469354</t>
  </si>
  <si>
    <t>MM949188003</t>
  </si>
  <si>
    <t>21590439</t>
  </si>
  <si>
    <t>MM949188004</t>
  </si>
  <si>
    <t>T분기관</t>
  </si>
  <si>
    <t>20687670</t>
  </si>
  <si>
    <t>MM949188006</t>
  </si>
  <si>
    <t>설 치 비</t>
  </si>
  <si>
    <t>멀티1식</t>
  </si>
  <si>
    <t>21567236</t>
  </si>
  <si>
    <t>MM949188007</t>
  </si>
  <si>
    <t>냉매배관및설치</t>
  </si>
  <si>
    <t>10061680</t>
  </si>
  <si>
    <t>MM949188008</t>
  </si>
  <si>
    <t>10061682</t>
  </si>
  <si>
    <t>MM949188009</t>
  </si>
  <si>
    <t>10061684</t>
  </si>
  <si>
    <t>MM949188010</t>
  </si>
  <si>
    <t>20373317</t>
  </si>
  <si>
    <t>MM949188011</t>
  </si>
  <si>
    <t>20918014</t>
  </si>
  <si>
    <t>MM949188012</t>
  </si>
  <si>
    <t>20918016</t>
  </si>
  <si>
    <t>MM949188013</t>
  </si>
  <si>
    <t>PVC</t>
  </si>
  <si>
    <t>20373322</t>
  </si>
  <si>
    <t>MM949188014</t>
  </si>
  <si>
    <t>STS</t>
  </si>
  <si>
    <t>20373319</t>
  </si>
  <si>
    <t>MM949188015</t>
  </si>
  <si>
    <t>함석</t>
  </si>
  <si>
    <t>20373320</t>
  </si>
  <si>
    <t>MM949188016</t>
  </si>
  <si>
    <t>전선및전선관설치</t>
  </si>
  <si>
    <t>10061686</t>
  </si>
  <si>
    <t>MM949188017</t>
  </si>
  <si>
    <t>10061688</t>
  </si>
  <si>
    <t>MM949188018</t>
  </si>
  <si>
    <t>실내기실외기간 불연성 통신용케</t>
  </si>
  <si>
    <t>24471110</t>
  </si>
  <si>
    <t>MM949188019</t>
  </si>
  <si>
    <t>21624130</t>
  </si>
  <si>
    <t>MM949188020</t>
  </si>
  <si>
    <t>실외기노출배관</t>
  </si>
  <si>
    <t>20912089</t>
  </si>
  <si>
    <t>MM949188021</t>
  </si>
  <si>
    <t>실외기받침대</t>
  </si>
  <si>
    <t>20912098</t>
  </si>
  <si>
    <t>MM949188022</t>
  </si>
  <si>
    <t>03020103  전열교환기설치공사</t>
  </si>
  <si>
    <t>03020103</t>
  </si>
  <si>
    <t>MM949188074</t>
  </si>
  <si>
    <t>공기순환기</t>
  </si>
  <si>
    <t xml:space="preserve">  (바이패스+결로방지) 150㎥/h</t>
  </si>
  <si>
    <t>23433019</t>
  </si>
  <si>
    <t>MM949188075</t>
  </si>
  <si>
    <t xml:space="preserve">  (바이패스+결로방지) 250㎥/h</t>
  </si>
  <si>
    <t>23701465</t>
  </si>
  <si>
    <t>MM949188076</t>
  </si>
  <si>
    <t xml:space="preserve">  (바이패스+결로방지) 350㎥/h</t>
  </si>
  <si>
    <t>23701466</t>
  </si>
  <si>
    <t>MM949188077</t>
  </si>
  <si>
    <t xml:space="preserve">  (바이패스+결로방지) 500㎥/h</t>
  </si>
  <si>
    <t>23704346</t>
  </si>
  <si>
    <t>MM949188078</t>
  </si>
  <si>
    <t xml:space="preserve">  (바이패스+결로방지) 800㎥/h</t>
  </si>
  <si>
    <t>23704347</t>
  </si>
  <si>
    <t>MM949188079</t>
  </si>
  <si>
    <t xml:space="preserve"> (바이패스+결로방지) 1000㎥/h</t>
  </si>
  <si>
    <t>23704348</t>
  </si>
  <si>
    <t>MM949188080</t>
  </si>
  <si>
    <t>덕트설치 기본</t>
  </si>
  <si>
    <t xml:space="preserve"> 평균Φ100mm</t>
  </si>
  <si>
    <t>24262315</t>
  </si>
  <si>
    <t>MM949188081</t>
  </si>
  <si>
    <t xml:space="preserve"> 평균Φ150mm</t>
  </si>
  <si>
    <t>24262316</t>
  </si>
  <si>
    <t>MM949188082</t>
  </si>
  <si>
    <t xml:space="preserve"> 평균Φ200mm</t>
  </si>
  <si>
    <t>24262317</t>
  </si>
  <si>
    <t>MM949188083</t>
  </si>
  <si>
    <t xml:space="preserve"> 평균Φ250mm</t>
  </si>
  <si>
    <t>24262318</t>
  </si>
  <si>
    <t>MM949188084</t>
  </si>
  <si>
    <t>스파이럴덕트설치</t>
  </si>
  <si>
    <t>20770457</t>
  </si>
  <si>
    <t>MM949188085</t>
  </si>
  <si>
    <t>플랙시블덕트설치</t>
  </si>
  <si>
    <t>20770458</t>
  </si>
  <si>
    <t>MM949188086</t>
  </si>
  <si>
    <t>보온플랙시블덕트설치</t>
  </si>
  <si>
    <t xml:space="preserve"> Φ250㎜</t>
  </si>
  <si>
    <t>24262328</t>
  </si>
  <si>
    <t>MM949188087</t>
  </si>
  <si>
    <t>룸컨트롤러세트및설치</t>
  </si>
  <si>
    <t>20770464</t>
  </si>
  <si>
    <t>MM949188088</t>
  </si>
  <si>
    <t>중앙컨트롤러세트및설치</t>
  </si>
  <si>
    <t>20770465</t>
  </si>
  <si>
    <t>MM949188089</t>
  </si>
  <si>
    <t>중앙컨트롤러용전선및전선관설치</t>
  </si>
  <si>
    <t>20770466</t>
  </si>
  <si>
    <t>MM949188090</t>
  </si>
  <si>
    <t>컨트롤러제어용전선, 1SQ×2C</t>
  </si>
  <si>
    <t>24262330</t>
  </si>
  <si>
    <t>MM949188091</t>
  </si>
  <si>
    <t>천장점검구 (600×600㎜)</t>
  </si>
  <si>
    <t>24262331</t>
  </si>
  <si>
    <t>MM949188092</t>
  </si>
  <si>
    <t>조달 수수료</t>
  </si>
  <si>
    <t>03020104  항온항습기설치공사</t>
  </si>
  <si>
    <t>03020104</t>
  </si>
  <si>
    <t>MM949188880</t>
  </si>
  <si>
    <t>항온항습기</t>
  </si>
  <si>
    <t>MM949188881</t>
  </si>
  <si>
    <t>급수배관</t>
  </si>
  <si>
    <t>9.52MM</t>
  </si>
  <si>
    <t>MM949188882</t>
  </si>
  <si>
    <t>25TON</t>
  </si>
  <si>
    <t>MM949188883</t>
  </si>
  <si>
    <t>배관커버설치</t>
  </si>
  <si>
    <t>MM949188884</t>
  </si>
  <si>
    <t>03020105  자동제어설치공사</t>
  </si>
  <si>
    <t>03020105</t>
  </si>
  <si>
    <t>Z0000000051</t>
  </si>
  <si>
    <t>BEMS</t>
  </si>
  <si>
    <t>MM949188156</t>
  </si>
  <si>
    <t>1. 중앙감시반</t>
  </si>
  <si>
    <t>2019015</t>
  </si>
  <si>
    <t>MM949188157</t>
  </si>
  <si>
    <t>Data PC</t>
  </si>
  <si>
    <t>intel i7 2.9GHz/16GB/SSD512GB/</t>
  </si>
  <si>
    <t>MM949188158</t>
  </si>
  <si>
    <t>Client PC</t>
  </si>
  <si>
    <t>MM949188159</t>
  </si>
  <si>
    <t>DBMS</t>
  </si>
  <si>
    <t>SQL Svr Std 2017 5User</t>
  </si>
  <si>
    <t>MM949188160</t>
  </si>
  <si>
    <t>백신 Software</t>
  </si>
  <si>
    <t>V3 Internet Security 9.0(1년)</t>
  </si>
  <si>
    <t>MM949188161</t>
  </si>
  <si>
    <t>보고서용 Software</t>
  </si>
  <si>
    <t>Office Home and Business 2019</t>
  </si>
  <si>
    <t>MM949188162</t>
  </si>
  <si>
    <t>모니터</t>
  </si>
  <si>
    <t>24" LED</t>
  </si>
  <si>
    <t>MM949188163</t>
  </si>
  <si>
    <t>SYSTEM DESK / CHAIR</t>
  </si>
  <si>
    <t>MM949188164</t>
  </si>
  <si>
    <t>데이터 표출장치</t>
  </si>
  <si>
    <t>46"Monitor(해상도 1920 x 1080</t>
  </si>
  <si>
    <t>MM949188165</t>
  </si>
  <si>
    <t>BECS-3000(woori/BEMS)</t>
  </si>
  <si>
    <t>BEMS Software(1000TAG, 우수조</t>
  </si>
  <si>
    <t>COPY</t>
  </si>
  <si>
    <t>MM949188166</t>
  </si>
  <si>
    <t>BECS-3000(woori/BEMS)장비 I/F</t>
  </si>
  <si>
    <t>기계-열원설비(EHP, GHP 등)</t>
  </si>
  <si>
    <t>MM949188167</t>
  </si>
  <si>
    <t>기계-급탕설비(급탕보일러, 전기</t>
  </si>
  <si>
    <t>MM949188168</t>
  </si>
  <si>
    <t>신재생에너지설비(태양광, 지열,</t>
  </si>
  <si>
    <t>MM949188169</t>
  </si>
  <si>
    <t>BECS-3000(woori/BEMS)등급별 PA</t>
  </si>
  <si>
    <t>기본등급 Package(우수조달(2019</t>
  </si>
  <si>
    <t>MM949188170</t>
  </si>
  <si>
    <t>BECS-3000(woori/BEMS)옵션사항</t>
  </si>
  <si>
    <t>에너지대시보드 Software</t>
  </si>
  <si>
    <t>MM949188172</t>
  </si>
  <si>
    <t>2. 설치 및 시운전</t>
  </si>
  <si>
    <t>MM949188173</t>
  </si>
  <si>
    <t>중앙처리장치(CPU)설치</t>
  </si>
  <si>
    <t>포인트 설치-MMI</t>
  </si>
  <si>
    <t>POINT</t>
  </si>
  <si>
    <t>MM949188174</t>
  </si>
  <si>
    <t>포인트 점검, 시험-MMI</t>
  </si>
  <si>
    <t>MM949188257</t>
  </si>
  <si>
    <t>-본관동</t>
  </si>
  <si>
    <t>MM949188258</t>
  </si>
  <si>
    <t>MM949188259</t>
  </si>
  <si>
    <t>MM949188260</t>
  </si>
  <si>
    <t>MM949188261</t>
  </si>
  <si>
    <t>MM949188262</t>
  </si>
  <si>
    <t>프린터</t>
  </si>
  <si>
    <t>레이저 프린터 A3, A4</t>
  </si>
  <si>
    <t>MM949188263</t>
  </si>
  <si>
    <t>UPS</t>
  </si>
  <si>
    <t>3KVA, Backup30분</t>
  </si>
  <si>
    <t>MM949188264</t>
  </si>
  <si>
    <t>MM949188265</t>
  </si>
  <si>
    <t>스위칭허브</t>
  </si>
  <si>
    <t>8Port</t>
  </si>
  <si>
    <t>MM949188266</t>
  </si>
  <si>
    <t>MM949188267</t>
  </si>
  <si>
    <t>BECS-3000(woori/BECS)</t>
  </si>
  <si>
    <t>HMI Software(1000TAG, 우수조달</t>
  </si>
  <si>
    <t>MM949188268</t>
  </si>
  <si>
    <t>BECS-3000(woori/BECS) Engineer</t>
  </si>
  <si>
    <t>HMI Engineering Software(Syste</t>
  </si>
  <si>
    <t>MM949188270</t>
  </si>
  <si>
    <t>2. 원격제어반</t>
  </si>
  <si>
    <t>MM949188271</t>
  </si>
  <si>
    <t>원격 제어반(DDC 판넬)</t>
  </si>
  <si>
    <t>900x1800x300</t>
  </si>
  <si>
    <t>MM949188272</t>
  </si>
  <si>
    <t>EMC-300</t>
  </si>
  <si>
    <t>Energy Management Controller (</t>
  </si>
  <si>
    <t>MM949188273</t>
  </si>
  <si>
    <t>XM-300-AI16</t>
  </si>
  <si>
    <t>eXtention Module (I-NET, AI:16</t>
  </si>
  <si>
    <t>MM949188274</t>
  </si>
  <si>
    <t>XM-300-BI16</t>
  </si>
  <si>
    <t>eXtention Module (I-NET, BI:16</t>
  </si>
  <si>
    <t>MM949188275</t>
  </si>
  <si>
    <t>XM-300-BO16</t>
  </si>
  <si>
    <t>eXtention Module (I-NET, BO:16</t>
  </si>
  <si>
    <t>MM949188276</t>
  </si>
  <si>
    <t>GW-300</t>
  </si>
  <si>
    <t>Gateway Module (I-NET, BACnet,</t>
  </si>
  <si>
    <t>MM949188278</t>
  </si>
  <si>
    <t>3. 제어기기</t>
  </si>
  <si>
    <t>MM949188279</t>
  </si>
  <si>
    <t>배관용 온도 검출기</t>
  </si>
  <si>
    <t>GPT-1000</t>
  </si>
  <si>
    <t>MM949188280</t>
  </si>
  <si>
    <t>실내용 온,습도 검출기</t>
  </si>
  <si>
    <t>GSTH-1420</t>
  </si>
  <si>
    <t>MM949188281</t>
  </si>
  <si>
    <t>외기용 온도 검출기</t>
  </si>
  <si>
    <t>GOT-1000</t>
  </si>
  <si>
    <t>MM949188282</t>
  </si>
  <si>
    <t>외기용 습도 검출기</t>
  </si>
  <si>
    <t>GOH-420</t>
  </si>
  <si>
    <t>MM949188283</t>
  </si>
  <si>
    <t>공기(필터) 차압 스위치</t>
  </si>
  <si>
    <t>DPS100</t>
  </si>
  <si>
    <t>MM949188284</t>
  </si>
  <si>
    <t>이산화탄소 감지기(실내용)</t>
  </si>
  <si>
    <t>CD100W</t>
  </si>
  <si>
    <t>MM949188285</t>
  </si>
  <si>
    <t>2방제어밸브</t>
  </si>
  <si>
    <t>GVF21.40</t>
  </si>
  <si>
    <t>MM949188286</t>
  </si>
  <si>
    <t>GVF21.50</t>
  </si>
  <si>
    <t>MM949188287</t>
  </si>
  <si>
    <t>GVF21.65</t>
  </si>
  <si>
    <t>MM949188288</t>
  </si>
  <si>
    <t>GVF21.100</t>
  </si>
  <si>
    <t>MM949188289</t>
  </si>
  <si>
    <t>전자식비례 밸브 조작기(비례 TY</t>
  </si>
  <si>
    <t>GEA-20P</t>
  </si>
  <si>
    <t>MM949188290</t>
  </si>
  <si>
    <t>GEA-35P</t>
  </si>
  <si>
    <t>MM949188291</t>
  </si>
  <si>
    <t>조작기 / 버터밸브</t>
  </si>
  <si>
    <t>GQ-035 / BF2 250A</t>
  </si>
  <si>
    <t>MM949188292</t>
  </si>
  <si>
    <t>GQ-050 / BF2 300A</t>
  </si>
  <si>
    <t>MM949188293</t>
  </si>
  <si>
    <t>수위 조절기</t>
  </si>
  <si>
    <t>(오뚜기식, 4P)</t>
  </si>
  <si>
    <t>MM949188294</t>
  </si>
  <si>
    <t>수위 지시 조절기</t>
  </si>
  <si>
    <t>(부표식, Unit : 1, Sensor : 2)</t>
  </si>
  <si>
    <t>MM949188295</t>
  </si>
  <si>
    <t>(부표식, Unit : 1, Sensor : 1)</t>
  </si>
  <si>
    <t>MM949188296</t>
  </si>
  <si>
    <t>정수위조절밸브</t>
  </si>
  <si>
    <t>32A</t>
  </si>
  <si>
    <t>MM949188297</t>
  </si>
  <si>
    <t>80A</t>
  </si>
  <si>
    <t>MM949188298</t>
  </si>
  <si>
    <t>차압밸브 10K</t>
  </si>
  <si>
    <t>MM949188299</t>
  </si>
  <si>
    <t>백엽상</t>
  </si>
  <si>
    <t>600x600</t>
  </si>
  <si>
    <t>MM949188301</t>
  </si>
  <si>
    <t>4. 배관배선</t>
  </si>
  <si>
    <t>MM949188302</t>
  </si>
  <si>
    <t>나사없는 전선관</t>
  </si>
  <si>
    <t>E19</t>
  </si>
  <si>
    <t>MM949188303</t>
  </si>
  <si>
    <t>E25</t>
  </si>
  <si>
    <t>MM949188304</t>
  </si>
  <si>
    <t>E31</t>
  </si>
  <si>
    <t>MM949188305</t>
  </si>
  <si>
    <t>E39</t>
  </si>
  <si>
    <t>MM949188306</t>
  </si>
  <si>
    <t>후렉시블</t>
  </si>
  <si>
    <t>16C</t>
  </si>
  <si>
    <t>MM949188307</t>
  </si>
  <si>
    <t>22C</t>
  </si>
  <si>
    <t>MM949188308</t>
  </si>
  <si>
    <t>후렉시블 컨넥터</t>
  </si>
  <si>
    <t>MM949188309</t>
  </si>
  <si>
    <t>MM949188310</t>
  </si>
  <si>
    <t>전선관용 부품</t>
  </si>
  <si>
    <t>전선관지지 행거 16C</t>
  </si>
  <si>
    <t>MM949188311</t>
  </si>
  <si>
    <t>전선관지지 행거 22C</t>
  </si>
  <si>
    <t>MM949188312</t>
  </si>
  <si>
    <t>전선관지지 행거 28C</t>
  </si>
  <si>
    <t>MM949188313</t>
  </si>
  <si>
    <t>전선관지지 행거 36C</t>
  </si>
  <si>
    <t>MM949188314</t>
  </si>
  <si>
    <t>노말밴드</t>
  </si>
  <si>
    <t>MM949188315</t>
  </si>
  <si>
    <t>MM949188316</t>
  </si>
  <si>
    <t>사각박스</t>
  </si>
  <si>
    <t>100x100x50</t>
  </si>
  <si>
    <t>MM949188317</t>
  </si>
  <si>
    <t>스위치박스</t>
  </si>
  <si>
    <t>1개용 54mm</t>
  </si>
  <si>
    <t>MM949188318</t>
  </si>
  <si>
    <t>풀박스</t>
  </si>
  <si>
    <t>150x150x100</t>
  </si>
  <si>
    <t>MM949188319</t>
  </si>
  <si>
    <t>300x300x200</t>
  </si>
  <si>
    <t>MM949188320</t>
  </si>
  <si>
    <t>500x500x300</t>
  </si>
  <si>
    <t>MM949188321</t>
  </si>
  <si>
    <t>찬넬</t>
  </si>
  <si>
    <t>1.2T 41x25</t>
  </si>
  <si>
    <t>MM949188322</t>
  </si>
  <si>
    <t>저독난연가교폴리올레핀절연전선</t>
  </si>
  <si>
    <t>HFIX 2.5</t>
  </si>
  <si>
    <t>MM949188323</t>
  </si>
  <si>
    <t>트위스트 케이블</t>
  </si>
  <si>
    <t>TJV 1.0 x2C</t>
  </si>
  <si>
    <t>MM949188324</t>
  </si>
  <si>
    <t>TJV 1.0 x3C</t>
  </si>
  <si>
    <t>MM949188325</t>
  </si>
  <si>
    <t>전원 케이블</t>
  </si>
  <si>
    <t>F-CV 4.0*3C</t>
  </si>
  <si>
    <t>MM949188326</t>
  </si>
  <si>
    <t>절연난연 차폐케이블</t>
  </si>
  <si>
    <t>F-CVVS 1.5 x2C</t>
  </si>
  <si>
    <t>MM949188327</t>
  </si>
  <si>
    <t>데이터 통신선</t>
  </si>
  <si>
    <t>UTP-CAT5.E-4P</t>
  </si>
  <si>
    <t>MM949188328</t>
  </si>
  <si>
    <t>RS-485케이블</t>
  </si>
  <si>
    <t>AWG#22, 2P</t>
  </si>
  <si>
    <t>MM949188329</t>
  </si>
  <si>
    <t>전선관 부속품</t>
  </si>
  <si>
    <t>전선관의 20%</t>
  </si>
  <si>
    <t>MM949188330</t>
  </si>
  <si>
    <t>잡자재비</t>
  </si>
  <si>
    <t>배관배선자재의 5%</t>
  </si>
  <si>
    <t>MM949188331</t>
  </si>
  <si>
    <t>MM949188332</t>
  </si>
  <si>
    <t>5. 설치 및 시운전</t>
  </si>
  <si>
    <t>MM949188333</t>
  </si>
  <si>
    <t>MM949188334</t>
  </si>
  <si>
    <t>DDC 통신상태 점검-MMI</t>
  </si>
  <si>
    <t>DDC</t>
  </si>
  <si>
    <t>MM949188335</t>
  </si>
  <si>
    <t>MM949188336</t>
  </si>
  <si>
    <t>입출력장치(I/O EQUIPMENT)설치</t>
  </si>
  <si>
    <t>포인트 설치</t>
  </si>
  <si>
    <t>MM949188337</t>
  </si>
  <si>
    <t>포인트 점검, 시험</t>
  </si>
  <si>
    <t>MM949188338</t>
  </si>
  <si>
    <t>산재보험료</t>
  </si>
  <si>
    <t xml:space="preserve"> 노무비 x 0.037</t>
  </si>
  <si>
    <t>MM949188339</t>
  </si>
  <si>
    <t>고용보험료</t>
  </si>
  <si>
    <t xml:space="preserve"> 노무비 x0.0101</t>
  </si>
  <si>
    <t>MM949188340</t>
  </si>
  <si>
    <t>국민연금보험료</t>
  </si>
  <si>
    <t xml:space="preserve"> 직접노무비 x0.045</t>
  </si>
  <si>
    <t>MM949188341</t>
  </si>
  <si>
    <t>건강보험보험료</t>
  </si>
  <si>
    <t xml:space="preserve"> 직접노무비 x0.03495</t>
  </si>
  <si>
    <t>MM949188342</t>
  </si>
  <si>
    <t>노인장기요양보험료</t>
  </si>
  <si>
    <t xml:space="preserve"> 건강보험료 x0.1227</t>
  </si>
  <si>
    <t>MM949188343</t>
  </si>
  <si>
    <t>산업안전보건관리비</t>
  </si>
  <si>
    <t xml:space="preserve"> (재료+노무비) x 0.0185</t>
  </si>
  <si>
    <t>MM949188344</t>
  </si>
  <si>
    <t>부가가치세</t>
  </si>
  <si>
    <t>10%</t>
  </si>
  <si>
    <t>MM949188345</t>
  </si>
  <si>
    <t>10억미만</t>
  </si>
  <si>
    <t>0302010601  여과설비납품설치공사</t>
  </si>
  <si>
    <t>0302010601</t>
  </si>
  <si>
    <t>MM510033400</t>
  </si>
  <si>
    <t>횡형 압력식 개별 여과/역세 여</t>
  </si>
  <si>
    <t xml:space="preserve">  - 용량: 144 ㎥/hr</t>
  </si>
  <si>
    <t>MM510033401</t>
  </si>
  <si>
    <t>여과기 자동역세척밸브</t>
  </si>
  <si>
    <t xml:space="preserve">  - 형식 유압 작동식</t>
  </si>
  <si>
    <t>MM510033402</t>
  </si>
  <si>
    <t xml:space="preserve"> 여과기 역세 가압펌프</t>
  </si>
  <si>
    <t xml:space="preserve">  - 동력:550W,60Hz,220V,1HP</t>
  </si>
  <si>
    <t>0302010602  자동제어설치공사</t>
  </si>
  <si>
    <t>0302010602</t>
  </si>
  <si>
    <t>MM510033500</t>
  </si>
  <si>
    <t>외   함 SS41</t>
  </si>
  <si>
    <t>1000*450*1,800H</t>
  </si>
  <si>
    <t>면</t>
  </si>
  <si>
    <t>MM510033501</t>
  </si>
  <si>
    <t>PLC 프로그램 (수영장 및 온탕)</t>
  </si>
  <si>
    <t>MM510033502</t>
  </si>
  <si>
    <t>MAIN MCCB 4P 125A</t>
  </si>
  <si>
    <t>ELB225AF/250AT</t>
  </si>
  <si>
    <t>MM510033503</t>
  </si>
  <si>
    <t>FEEDER MCCB 3P 75A</t>
  </si>
  <si>
    <t>ABS103c/100A</t>
  </si>
  <si>
    <t>MM510033504</t>
  </si>
  <si>
    <t>FEEDER ELB 2P 10A</t>
  </si>
  <si>
    <t>EBS32fd/10A</t>
  </si>
  <si>
    <t>MM510033505</t>
  </si>
  <si>
    <t>FEEDER MCCB 2P 75A</t>
  </si>
  <si>
    <t>ABS103c/75A</t>
  </si>
  <si>
    <t>MM510033506</t>
  </si>
  <si>
    <t>CONTROL MCCB 2P 75A</t>
  </si>
  <si>
    <t>BKM32/10A</t>
  </si>
  <si>
    <t>MM510033507</t>
  </si>
  <si>
    <t>M/C 19KW</t>
  </si>
  <si>
    <t>MC-40b</t>
  </si>
  <si>
    <t>MM510033508</t>
  </si>
  <si>
    <t>M/C DELTA</t>
  </si>
  <si>
    <t>MC-32a</t>
  </si>
  <si>
    <t>MM510033509</t>
  </si>
  <si>
    <t>M/C 4KW</t>
  </si>
  <si>
    <t>MC-18b</t>
  </si>
  <si>
    <t>MM510033510</t>
  </si>
  <si>
    <t>M/C 2,2KW 220V</t>
  </si>
  <si>
    <t>MC-9a</t>
  </si>
  <si>
    <t>MM510033511</t>
  </si>
  <si>
    <t>EOCR GMP-80</t>
  </si>
  <si>
    <t>30A</t>
  </si>
  <si>
    <t>MM510033512</t>
  </si>
  <si>
    <t>EOCR GMP-40</t>
  </si>
  <si>
    <t>40A</t>
  </si>
  <si>
    <t>MM510033513</t>
  </si>
  <si>
    <t>EOCR GMP-22</t>
  </si>
  <si>
    <t>2A</t>
  </si>
  <si>
    <t>MM510033514</t>
  </si>
  <si>
    <t>NOISE FILTER</t>
  </si>
  <si>
    <t>10A</t>
  </si>
  <si>
    <t>MM510033515</t>
  </si>
  <si>
    <t>CONSENT 2P</t>
  </si>
  <si>
    <t>220V</t>
  </si>
  <si>
    <t>MM510033516</t>
  </si>
  <si>
    <t>FLOWRESCENT LAMP</t>
  </si>
  <si>
    <t>W/LS</t>
  </si>
  <si>
    <t>MM510033517</t>
  </si>
  <si>
    <t>PILOT LAMP</t>
  </si>
  <si>
    <t>MM510033518</t>
  </si>
  <si>
    <t>EMERGENCY SWITCH</t>
  </si>
  <si>
    <t>MM510033519</t>
  </si>
  <si>
    <t>SELECTOR SWITCH</t>
  </si>
  <si>
    <t>MM510033520</t>
  </si>
  <si>
    <t>LEVEL SWITCH 4P</t>
  </si>
  <si>
    <t>NS-S2ST W/ HD</t>
  </si>
  <si>
    <t>MM510033521</t>
  </si>
  <si>
    <t>AUX-RY MY-4N</t>
  </si>
  <si>
    <t>MM510033522</t>
  </si>
  <si>
    <t>SQAUARELIGHT</t>
  </si>
  <si>
    <t>KH-5001</t>
  </si>
  <si>
    <t>MM510033523</t>
  </si>
  <si>
    <t>MASTER K-200 CPU</t>
  </si>
  <si>
    <t>MM510033524</t>
  </si>
  <si>
    <t>MASTER K-200 POWER</t>
  </si>
  <si>
    <t xml:space="preserve"> 220/24V</t>
  </si>
  <si>
    <t>MM510033525</t>
  </si>
  <si>
    <t>MASTER K-200 INPUT</t>
  </si>
  <si>
    <t>16POINT</t>
  </si>
  <si>
    <t>MM510033526</t>
  </si>
  <si>
    <t>MASTER K-200 OUTPUT</t>
  </si>
  <si>
    <t>MM510033527</t>
  </si>
  <si>
    <t>MASTER K-200 BOARD</t>
  </si>
  <si>
    <t>MM510033528</t>
  </si>
  <si>
    <t>TUNCH SCREEN</t>
  </si>
  <si>
    <t>15"</t>
  </si>
  <si>
    <t>MM510033529</t>
  </si>
  <si>
    <t>POWER SUPPLY 24VDC</t>
  </si>
  <si>
    <t>75VA</t>
  </si>
  <si>
    <t>MM510033530</t>
  </si>
  <si>
    <t>TIMER 24HR</t>
  </si>
  <si>
    <t>MM510033531</t>
  </si>
  <si>
    <t>CT 200/5</t>
  </si>
  <si>
    <t>15VA</t>
  </si>
  <si>
    <t>MM510033532</t>
  </si>
  <si>
    <t>A.V METR</t>
  </si>
  <si>
    <t>80 X 80</t>
  </si>
  <si>
    <t>MM510033533</t>
  </si>
  <si>
    <t>FUSE 4A W/HOLDER</t>
  </si>
  <si>
    <t>MM510033534</t>
  </si>
  <si>
    <t>WIRE KIV</t>
  </si>
  <si>
    <t>MM510033535</t>
  </si>
  <si>
    <t>PVC DUCT</t>
  </si>
  <si>
    <t>MM510033536</t>
  </si>
  <si>
    <t>BUS BAR</t>
  </si>
  <si>
    <t>MM510033537</t>
  </si>
  <si>
    <t>PH SENSOR</t>
  </si>
  <si>
    <t>MM510033538</t>
  </si>
  <si>
    <t>CL SENSOR</t>
  </si>
  <si>
    <t>MM510033539</t>
  </si>
  <si>
    <t>CABLE DUCT</t>
  </si>
  <si>
    <t>200W x 100H</t>
  </si>
  <si>
    <t>MM510033540</t>
  </si>
  <si>
    <t>ELBOW HOR</t>
  </si>
  <si>
    <t>100w</t>
  </si>
  <si>
    <t>MM510033541</t>
  </si>
  <si>
    <t>ELBOW VER</t>
  </si>
  <si>
    <t>MM510033542</t>
  </si>
  <si>
    <t>JOINT CONNECTER</t>
  </si>
  <si>
    <t>100H</t>
  </si>
  <si>
    <t>MM510033543</t>
  </si>
  <si>
    <t>SHANK BOLT &amp; NUT</t>
  </si>
  <si>
    <t>3/8"</t>
  </si>
  <si>
    <t>MM510033544</t>
  </si>
  <si>
    <t>JUMPER BOND</t>
  </si>
  <si>
    <t>14SQ</t>
  </si>
  <si>
    <t>MM510033545</t>
  </si>
  <si>
    <t>ST CONDUIT</t>
  </si>
  <si>
    <t>MM510033546</t>
  </si>
  <si>
    <t>MM510033547</t>
  </si>
  <si>
    <t>28C</t>
  </si>
  <si>
    <t>MM510033548</t>
  </si>
  <si>
    <t>FLEX CONDUIT</t>
  </si>
  <si>
    <t>MM510033549</t>
  </si>
  <si>
    <t>MM510033550</t>
  </si>
  <si>
    <t>36C</t>
  </si>
  <si>
    <t>MM510033551</t>
  </si>
  <si>
    <t>FLEX CONNECTOR</t>
  </si>
  <si>
    <t>MM510033552</t>
  </si>
  <si>
    <t>MM510033553</t>
  </si>
  <si>
    <t>MM510033554</t>
  </si>
  <si>
    <t>JOINT BOX</t>
  </si>
  <si>
    <t>MM510033555</t>
  </si>
  <si>
    <t>PULL BOX</t>
  </si>
  <si>
    <t>150W x 100H</t>
  </si>
  <si>
    <t>MM510033556</t>
  </si>
  <si>
    <t>MM510033557</t>
  </si>
  <si>
    <t>C CHANNEL</t>
  </si>
  <si>
    <t>MM510033558</t>
  </si>
  <si>
    <t>ST ANGLE</t>
  </si>
  <si>
    <t>MM510033559</t>
  </si>
  <si>
    <t>ANCHOR</t>
  </si>
  <si>
    <t>MM510033560</t>
  </si>
  <si>
    <t>HANGER ROD</t>
  </si>
  <si>
    <t>MM510033561</t>
  </si>
  <si>
    <t>CVV CABLE</t>
  </si>
  <si>
    <t>1.25SQ * 2C</t>
  </si>
  <si>
    <t>MM510033562</t>
  </si>
  <si>
    <t>1.25SQ * 3C</t>
  </si>
  <si>
    <t>MM510033563</t>
  </si>
  <si>
    <t>CABLE</t>
  </si>
  <si>
    <t>10sqx6CxGV6sq</t>
  </si>
  <si>
    <t>MM510033564</t>
  </si>
  <si>
    <t>CV 2.5sq x 3C</t>
  </si>
  <si>
    <t>MM510033565</t>
  </si>
  <si>
    <t>CV 1.5sq x 2C</t>
  </si>
  <si>
    <t>MM510033566</t>
  </si>
  <si>
    <t>TJV WIRE</t>
  </si>
  <si>
    <t xml:space="preserve"> 1.0mm x 2C</t>
  </si>
  <si>
    <t>MM510033567</t>
  </si>
  <si>
    <t xml:space="preserve"> 1.0mm x 3C</t>
  </si>
  <si>
    <t>MM510033568</t>
  </si>
  <si>
    <t>SENSOR CABLE</t>
  </si>
  <si>
    <t xml:space="preserve"> PH</t>
  </si>
  <si>
    <t>MM510033569</t>
  </si>
  <si>
    <t xml:space="preserve"> CL</t>
  </si>
  <si>
    <t>MM510033570</t>
  </si>
  <si>
    <t>결합잔류염소 측정 장비</t>
  </si>
  <si>
    <t>250x 220 x 122 mm (WxHxD)</t>
  </si>
  <si>
    <t>0302010603  부가세및조달수수료</t>
  </si>
  <si>
    <t>0302010603</t>
  </si>
  <si>
    <t>MM510033580</t>
  </si>
  <si>
    <t>부가가치세(여과시설)</t>
  </si>
  <si>
    <t>MM510033585</t>
  </si>
  <si>
    <t>조달수수료(여과시설)</t>
  </si>
  <si>
    <t>030201070101  장비구매</t>
  </si>
  <si>
    <t>030201070101</t>
  </si>
  <si>
    <t>MM949188673</t>
  </si>
  <si>
    <t>지열원 히트펌프 (물-물) 냉난방</t>
  </si>
  <si>
    <t>C: 189.000kW, H: 207.635kW</t>
  </si>
  <si>
    <t>MM949188674</t>
  </si>
  <si>
    <t>지열히트펌프(물-물) 급탕</t>
  </si>
  <si>
    <t xml:space="preserve"> H: 207.635kW</t>
  </si>
  <si>
    <t>MM949188675</t>
  </si>
  <si>
    <t>지중순환펌프(심정용)</t>
  </si>
  <si>
    <t>D50*315lpm*36m*3.7kW</t>
  </si>
  <si>
    <t>MM949188676</t>
  </si>
  <si>
    <t>펌프(급탕 지열순환펌프) 심정용</t>
  </si>
  <si>
    <t>D50*295lpm*35m*3.7kW</t>
  </si>
  <si>
    <t>MM949188677</t>
  </si>
  <si>
    <t>펌프(냉난방 지열순환펌프)</t>
  </si>
  <si>
    <t>D100*1,710lpm*13m*7.5kW</t>
  </si>
  <si>
    <t>MM949188678</t>
  </si>
  <si>
    <t>펌프(급탕 지열순환펌프)</t>
  </si>
  <si>
    <t>D80*570lpm*12m*3.7kW</t>
  </si>
  <si>
    <t>MM949188679</t>
  </si>
  <si>
    <t>축열펌프</t>
  </si>
  <si>
    <t>MM949188680</t>
  </si>
  <si>
    <t>판형열교환기</t>
  </si>
  <si>
    <t>MM949188681</t>
  </si>
  <si>
    <t>밀폐형, 100liter, 10K</t>
  </si>
  <si>
    <t>MM949188682</t>
  </si>
  <si>
    <t>지열 헤더 (GHD-1)</t>
  </si>
  <si>
    <t>D250 * L1800</t>
  </si>
  <si>
    <t>030201070102  기계실배관구매</t>
  </si>
  <si>
    <t>030201070102</t>
  </si>
  <si>
    <t>MM949188683</t>
  </si>
  <si>
    <t>스테인리스강관(옥내일반)</t>
  </si>
  <si>
    <t>SUS관, D125x3T</t>
  </si>
  <si>
    <t>MM949188684</t>
  </si>
  <si>
    <t>SUS관, D150x3T</t>
  </si>
  <si>
    <t>MM949188685</t>
  </si>
  <si>
    <t>SUS관, D100x3T</t>
  </si>
  <si>
    <t>MM949188686</t>
  </si>
  <si>
    <t>SUS관, D80x3T</t>
  </si>
  <si>
    <t>MM949188687</t>
  </si>
  <si>
    <t>SUS관, D32x3T</t>
  </si>
  <si>
    <t>MM949188688</t>
  </si>
  <si>
    <t>MM949188689</t>
  </si>
  <si>
    <t>엘보(SUS 용접#10) D125</t>
  </si>
  <si>
    <t>MM949188690</t>
  </si>
  <si>
    <t>MM949188691</t>
  </si>
  <si>
    <t>MM949188692</t>
  </si>
  <si>
    <t>엘보(SUS 용접#10) D32</t>
  </si>
  <si>
    <t>MM949188693</t>
  </si>
  <si>
    <t>티이 (SUS 용접 S#10) D150</t>
  </si>
  <si>
    <t>MM949188694</t>
  </si>
  <si>
    <t>티이 (SUS 용접 S#10) D125</t>
  </si>
  <si>
    <t>MM949188695</t>
  </si>
  <si>
    <t>티이 (SUS 용접 S#10) D100</t>
  </si>
  <si>
    <t>MM949188696</t>
  </si>
  <si>
    <t>티이 (SUS 용접 S#10) D80</t>
  </si>
  <si>
    <t>MM949188697</t>
  </si>
  <si>
    <t>플로우스위치</t>
  </si>
  <si>
    <t>25mm</t>
  </si>
  <si>
    <t>MM949188698</t>
  </si>
  <si>
    <t>MM949188699</t>
  </si>
  <si>
    <t>MM949188700</t>
  </si>
  <si>
    <t>MM949188701</t>
  </si>
  <si>
    <t>MM949188702</t>
  </si>
  <si>
    <t>황동, 10kg, D32</t>
  </si>
  <si>
    <t>MM949188703</t>
  </si>
  <si>
    <t>황동, 10kg, D80</t>
  </si>
  <si>
    <t>MM949188704</t>
  </si>
  <si>
    <t>황동, 10kg, D100</t>
  </si>
  <si>
    <t>MM949188705</t>
  </si>
  <si>
    <t>벨로즈형, D150*10k</t>
  </si>
  <si>
    <t>MM949188706</t>
  </si>
  <si>
    <t>MM949188707</t>
  </si>
  <si>
    <t>벨로즈형, D100*10k</t>
  </si>
  <si>
    <t>MM949188708</t>
  </si>
  <si>
    <t>벨로즈형, D80*10k</t>
  </si>
  <si>
    <t>MM949188709</t>
  </si>
  <si>
    <t>유량조절밸브</t>
  </si>
  <si>
    <t>자동, D100</t>
  </si>
  <si>
    <t>MM949188710</t>
  </si>
  <si>
    <t>자동, D80</t>
  </si>
  <si>
    <t>MM949188711</t>
  </si>
  <si>
    <t>압력유지밸브</t>
  </si>
  <si>
    <t>MM949188712</t>
  </si>
  <si>
    <t>스테인리스 합 후렌지</t>
  </si>
  <si>
    <t>MM949188713</t>
  </si>
  <si>
    <t>MM949188714</t>
  </si>
  <si>
    <t>MM949188715</t>
  </si>
  <si>
    <t>MM949188716</t>
  </si>
  <si>
    <t>스테인리스 조 후렌지</t>
  </si>
  <si>
    <t>MM949188717</t>
  </si>
  <si>
    <t>MM949188718</t>
  </si>
  <si>
    <t>MM949188719</t>
  </si>
  <si>
    <t>MM949188720</t>
  </si>
  <si>
    <t>030201070103  수축열조 제작구매</t>
  </si>
  <si>
    <t>030201070103</t>
  </si>
  <si>
    <t>MM949188723</t>
  </si>
  <si>
    <t>스테인리스강관(기계실)</t>
  </si>
  <si>
    <t>SUS관, D200x3T</t>
  </si>
  <si>
    <t>MM949188724</t>
  </si>
  <si>
    <t>MM949188725</t>
  </si>
  <si>
    <t>STS304</t>
  </si>
  <si>
    <t>MM949188726</t>
  </si>
  <si>
    <t>디퓨져 제작</t>
  </si>
  <si>
    <t>스테인리스, 복잡</t>
  </si>
  <si>
    <t>MM949188727</t>
  </si>
  <si>
    <t>우레탄방수 -바탕,프라이머 포함</t>
  </si>
  <si>
    <t>바닥 2mm, 노출 - 18-1/4 삭제</t>
  </si>
  <si>
    <t>MM949188728</t>
  </si>
  <si>
    <t>축열조 단열방수</t>
  </si>
  <si>
    <t>50mm 바닥, 노출</t>
  </si>
  <si>
    <t>MM949188729</t>
  </si>
  <si>
    <t>50mm 벽, 노출</t>
  </si>
  <si>
    <t>MM949188730</t>
  </si>
  <si>
    <t>50mm 천정, 노출</t>
  </si>
  <si>
    <t>MM949188731</t>
  </si>
  <si>
    <t>STS304, 61∼80*6mm</t>
  </si>
  <si>
    <t>MM949188732</t>
  </si>
  <si>
    <t>각종 잡철물 제작 설치</t>
  </si>
  <si>
    <t>스테인리스, 간단</t>
  </si>
  <si>
    <t>030201070104  지중열교환기 개방형(냉난방)</t>
  </si>
  <si>
    <t>030201070104</t>
  </si>
  <si>
    <t>MM949188733</t>
  </si>
  <si>
    <t>기계기구설치</t>
  </si>
  <si>
    <t>MM949188734</t>
  </si>
  <si>
    <t>대구경 보링 -보통암층</t>
  </si>
  <si>
    <t>D=200MM</t>
  </si>
  <si>
    <t>MM949188735</t>
  </si>
  <si>
    <t>대구경 보링 -풍화암층</t>
  </si>
  <si>
    <t>MM949188736</t>
  </si>
  <si>
    <t>대구경 보링 -연암층</t>
  </si>
  <si>
    <t>MM949188737</t>
  </si>
  <si>
    <t>대구경 보링 -경암층</t>
  </si>
  <si>
    <t>MM949188738</t>
  </si>
  <si>
    <t>대구경 보링 -케이싱설치</t>
  </si>
  <si>
    <t>200mm</t>
  </si>
  <si>
    <t>MM949188739</t>
  </si>
  <si>
    <t>배관용 탄소강관</t>
  </si>
  <si>
    <t>백관 (SPP), D200, 반제품</t>
  </si>
  <si>
    <t>MM949188740</t>
  </si>
  <si>
    <t>인케이싱 설치</t>
  </si>
  <si>
    <t>BOTTOM UP OR TOP DOWN</t>
  </si>
  <si>
    <t>MM949188741</t>
  </si>
  <si>
    <t>대구경 보링 -에어써징</t>
  </si>
  <si>
    <t>MM949188742</t>
  </si>
  <si>
    <t>경질염화비닐관(접착제)</t>
  </si>
  <si>
    <t>PVC관(VG1), D125</t>
  </si>
  <si>
    <t>MM949188743</t>
  </si>
  <si>
    <t>PVC관(VG1), D100</t>
  </si>
  <si>
    <t>MM949188744</t>
  </si>
  <si>
    <t>경질염화비닐관(소켓)</t>
  </si>
  <si>
    <t>MM949188745</t>
  </si>
  <si>
    <t>PVC관(VG1), D-100</t>
  </si>
  <si>
    <t>MM949188746</t>
  </si>
  <si>
    <t>와이어로프(철심, 도금)</t>
  </si>
  <si>
    <t>STS, 7*19, ø8</t>
  </si>
  <si>
    <t>MM949188747</t>
  </si>
  <si>
    <t>지하수 영향 및 수질조사</t>
  </si>
  <si>
    <t>회</t>
  </si>
  <si>
    <t>MM949188748</t>
  </si>
  <si>
    <t>지하수 상부 보호공</t>
  </si>
  <si>
    <t>MM949188749</t>
  </si>
  <si>
    <t>공내촬영</t>
  </si>
  <si>
    <t>SCW 형</t>
  </si>
  <si>
    <t>030201070105  지중열교환기 개방형(급탕)</t>
  </si>
  <si>
    <t>030201070105</t>
  </si>
  <si>
    <t>MM949188750</t>
  </si>
  <si>
    <t>MM949188751</t>
  </si>
  <si>
    <t>MM949188752</t>
  </si>
  <si>
    <t>MM949188753</t>
  </si>
  <si>
    <t>MM949188754</t>
  </si>
  <si>
    <t>MM949188755</t>
  </si>
  <si>
    <t>MM949188756</t>
  </si>
  <si>
    <t>흑관 (SPP), D200, 반제품</t>
  </si>
  <si>
    <t>MM949188757</t>
  </si>
  <si>
    <t>MM949188758</t>
  </si>
  <si>
    <t>MM949188759</t>
  </si>
  <si>
    <t>MM949188760</t>
  </si>
  <si>
    <t>MM949188761</t>
  </si>
  <si>
    <t>MM949188762</t>
  </si>
  <si>
    <t>MM949188763</t>
  </si>
  <si>
    <t>MM949188764</t>
  </si>
  <si>
    <t>MM949188765</t>
  </si>
  <si>
    <t>MM949188766</t>
  </si>
  <si>
    <t>030201070106  옥외배관공사 개방형(냉난방)</t>
  </si>
  <si>
    <t>030201070106</t>
  </si>
  <si>
    <t>MM949188767</t>
  </si>
  <si>
    <t>PE수도관, D110(KS)</t>
  </si>
  <si>
    <t>MM949188768</t>
  </si>
  <si>
    <t>PE수도관, D90(KS)</t>
  </si>
  <si>
    <t>MM949188769</t>
  </si>
  <si>
    <t>PE수도관, D75(KS)</t>
  </si>
  <si>
    <t>MM949188770</t>
  </si>
  <si>
    <t>90˚엘보, D110 (KS)</t>
  </si>
  <si>
    <t>MM949188771</t>
  </si>
  <si>
    <t>90˚엘보, D90 (KS)</t>
  </si>
  <si>
    <t>MM949188772</t>
  </si>
  <si>
    <t>90˚엘보, D75 (KS)</t>
  </si>
  <si>
    <t>MM949188773</t>
  </si>
  <si>
    <t>이경티(융착식),Φ90*50</t>
  </si>
  <si>
    <t>MM949188774</t>
  </si>
  <si>
    <t>이경티(융착식),Φ75*50</t>
  </si>
  <si>
    <t>MM949188775</t>
  </si>
  <si>
    <t>레듀샤(융착식),Φ110*90</t>
  </si>
  <si>
    <t>MM949188776</t>
  </si>
  <si>
    <t>레듀샤(융착식),Φ90*75</t>
  </si>
  <si>
    <t>MM949188777</t>
  </si>
  <si>
    <t>레듀샤(융착식),Φ75*63</t>
  </si>
  <si>
    <t>030201070107  옥외배관공사 개방형(급탕)</t>
  </si>
  <si>
    <t>030201070107</t>
  </si>
  <si>
    <t>MM949188778</t>
  </si>
  <si>
    <t>MM949188779</t>
  </si>
  <si>
    <t>MM949188780</t>
  </si>
  <si>
    <t>MM949188781</t>
  </si>
  <si>
    <t>MM949188782</t>
  </si>
  <si>
    <t>MM949188783</t>
  </si>
  <si>
    <t>MM949188784</t>
  </si>
  <si>
    <t>MM949188785</t>
  </si>
  <si>
    <t>MM949188786</t>
  </si>
  <si>
    <t>030201070108  자동제어공사구매</t>
  </si>
  <si>
    <t>030201070108</t>
  </si>
  <si>
    <t>MM949188787</t>
  </si>
  <si>
    <t>HMI SOFTWARE</t>
  </si>
  <si>
    <t>CM01-0500/DS-U 500-1</t>
  </si>
  <si>
    <t>MM949188788</t>
  </si>
  <si>
    <t>HMI PROGRAMING</t>
  </si>
  <si>
    <t>화면작화 / DB편집 및 입력-1</t>
  </si>
  <si>
    <t>MM949188789</t>
  </si>
  <si>
    <t>PLC</t>
  </si>
  <si>
    <t>Progrem Logic Controller-1</t>
  </si>
  <si>
    <t>MM949188790</t>
  </si>
  <si>
    <t>Touch screen</t>
  </si>
  <si>
    <t>10.4"</t>
  </si>
  <si>
    <t>MM949188791</t>
  </si>
  <si>
    <t>후렉시블연결구</t>
  </si>
  <si>
    <t>MM949188792</t>
  </si>
  <si>
    <t>MM949188793</t>
  </si>
  <si>
    <t>후렉시블튜브</t>
  </si>
  <si>
    <t>MM949188794</t>
  </si>
  <si>
    <t>MM949188795</t>
  </si>
  <si>
    <t>케이블</t>
  </si>
  <si>
    <t>MVVSO.9 x 2C</t>
  </si>
  <si>
    <t>MM949188796</t>
  </si>
  <si>
    <t>전 선 관</t>
  </si>
  <si>
    <t>아연도후강전선관(36C)</t>
  </si>
  <si>
    <t>MM949188797</t>
  </si>
  <si>
    <t>아연도후강전선관(28C)</t>
  </si>
  <si>
    <t>MM949188798</t>
  </si>
  <si>
    <t>아연도후강전선관(22C)</t>
  </si>
  <si>
    <t>MM949188799</t>
  </si>
  <si>
    <t>아연도후강전선관(16C)</t>
  </si>
  <si>
    <t>MM949188800</t>
  </si>
  <si>
    <t>전자식유량계</t>
  </si>
  <si>
    <t>GF630/LF600</t>
  </si>
  <si>
    <t>MM949188801</t>
  </si>
  <si>
    <t>TJV1.0 x 2C</t>
  </si>
  <si>
    <t>MM949188802</t>
  </si>
  <si>
    <t>MM949188803</t>
  </si>
  <si>
    <t>38C</t>
  </si>
  <si>
    <t>MM949188804</t>
  </si>
  <si>
    <t>전자식전력량계</t>
  </si>
  <si>
    <t>3상4선식</t>
  </si>
  <si>
    <t>MM949188805</t>
  </si>
  <si>
    <t>배관온도센서</t>
  </si>
  <si>
    <t>Pt1000Ω (W/Well)</t>
  </si>
  <si>
    <t>MM949188806</t>
  </si>
  <si>
    <t>강제 전선관-노출</t>
  </si>
  <si>
    <t>아연도  16 mm</t>
  </si>
  <si>
    <t>MM949188807</t>
  </si>
  <si>
    <t>MM949188808</t>
  </si>
  <si>
    <t>아연도  28 mm</t>
  </si>
  <si>
    <t>MM949188809</t>
  </si>
  <si>
    <t>아연도  36 mm</t>
  </si>
  <si>
    <t>MM949188810</t>
  </si>
  <si>
    <t>풀박스(천장면)-매입</t>
  </si>
  <si>
    <t>100*100*50mm</t>
  </si>
  <si>
    <t>MM949188811</t>
  </si>
  <si>
    <t>컨트롤판넬</t>
  </si>
  <si>
    <t>SIZE(mm):900x900x600-1</t>
  </si>
  <si>
    <t>030201070201  장비설치</t>
  </si>
  <si>
    <t>030201070201</t>
  </si>
  <si>
    <t>MM949188813</t>
  </si>
  <si>
    <t>히트펌프 설치</t>
  </si>
  <si>
    <t>50RT급</t>
  </si>
  <si>
    <t>MM949188814</t>
  </si>
  <si>
    <t>펌프설치</t>
  </si>
  <si>
    <t>7.5kW</t>
  </si>
  <si>
    <t>MM949188815</t>
  </si>
  <si>
    <t>3.7kW</t>
  </si>
  <si>
    <t>030201070202  기계실 배관 설치</t>
  </si>
  <si>
    <t>030201070202</t>
  </si>
  <si>
    <t>MM949188816</t>
  </si>
  <si>
    <t>스테인리스강관(옥내일반) 설치</t>
  </si>
  <si>
    <t>MM949188817</t>
  </si>
  <si>
    <t>MM949188818</t>
  </si>
  <si>
    <t>MM949188819</t>
  </si>
  <si>
    <t>MM949188820</t>
  </si>
  <si>
    <t>MM949188821</t>
  </si>
  <si>
    <t>버터플라이 밸브 설치</t>
  </si>
  <si>
    <t>MM949188822</t>
  </si>
  <si>
    <t>MM949188823</t>
  </si>
  <si>
    <t>MM949188824</t>
  </si>
  <si>
    <t>MM949188825</t>
  </si>
  <si>
    <t>볼 밸브 설치</t>
  </si>
  <si>
    <t>MM949188826</t>
  </si>
  <si>
    <t>MM949188827</t>
  </si>
  <si>
    <t>MM949188828</t>
  </si>
  <si>
    <t>플랙시블 조인트 설치</t>
  </si>
  <si>
    <t>MM949188829</t>
  </si>
  <si>
    <t>MM949188830</t>
  </si>
  <si>
    <t>MM949188831</t>
  </si>
  <si>
    <t>MM949188832</t>
  </si>
  <si>
    <t>유량조절밸브 설치</t>
  </si>
  <si>
    <t>MM949188833</t>
  </si>
  <si>
    <t>MM949188834</t>
  </si>
  <si>
    <t>스테인리스 합 후렌지 설치</t>
  </si>
  <si>
    <t>MM949188835</t>
  </si>
  <si>
    <t>MM949188836</t>
  </si>
  <si>
    <t>MM949188837</t>
  </si>
  <si>
    <t>MM949188838</t>
  </si>
  <si>
    <t>스테인리스 조 후렌지 설치</t>
  </si>
  <si>
    <t>MM949188839</t>
  </si>
  <si>
    <t>MM949188840</t>
  </si>
  <si>
    <t>MM949188841</t>
  </si>
  <si>
    <t>MM949188842</t>
  </si>
  <si>
    <t>스테인리스 용접</t>
  </si>
  <si>
    <t>MM949188843</t>
  </si>
  <si>
    <t>MM949188844</t>
  </si>
  <si>
    <t>MM949188845</t>
  </si>
  <si>
    <t>MM949188846</t>
  </si>
  <si>
    <t>관보온(고무발포,매직테프)</t>
  </si>
  <si>
    <t>MM949188847</t>
  </si>
  <si>
    <t>25TxD125</t>
  </si>
  <si>
    <t>MM949188848</t>
  </si>
  <si>
    <t>25TxD100</t>
  </si>
  <si>
    <t>MM949188849</t>
  </si>
  <si>
    <t>MM949188850</t>
  </si>
  <si>
    <t>MM949188851</t>
  </si>
  <si>
    <t>-노무비 포함-</t>
  </si>
  <si>
    <t>MM949188852</t>
  </si>
  <si>
    <t>MM949188853</t>
  </si>
  <si>
    <t>자동공기변(냉.온수)</t>
  </si>
  <si>
    <t>MM949188854</t>
  </si>
  <si>
    <t>인서트플레이트 설치</t>
  </si>
  <si>
    <t>MM949188855</t>
  </si>
  <si>
    <t>슬리브 설치(벽체)</t>
  </si>
  <si>
    <t>∮150</t>
  </si>
  <si>
    <t>030201070203  옥외배관설치 개방형(냉난방)</t>
  </si>
  <si>
    <t>030201070203</t>
  </si>
  <si>
    <t>MM949188856</t>
  </si>
  <si>
    <t>P.E 버트융착 부설/접합</t>
  </si>
  <si>
    <t>ø75mm</t>
  </si>
  <si>
    <t>MM949188857</t>
  </si>
  <si>
    <t>ø90mm</t>
  </si>
  <si>
    <t>MM949188858</t>
  </si>
  <si>
    <t>ø100mm</t>
  </si>
  <si>
    <t>MM949188859</t>
  </si>
  <si>
    <t>되메우기/토사</t>
  </si>
  <si>
    <t>보통, 굴삭기 0.7m3</t>
  </si>
  <si>
    <t>MM949188860</t>
  </si>
  <si>
    <t>현장내 잔토처리/토사</t>
  </si>
  <si>
    <t>보통, 굴삭기 0.7m3+인력 30%</t>
  </si>
  <si>
    <t>MM949188861</t>
  </si>
  <si>
    <t>모래깔기지정(T=10cm)</t>
  </si>
  <si>
    <t>백호0.7M3+콤펙터1.5톤</t>
  </si>
  <si>
    <t>MM949188862</t>
  </si>
  <si>
    <t>터파기/육상토사(인력10%+기계90</t>
  </si>
  <si>
    <t>1-2m</t>
  </si>
  <si>
    <t>030201070204  옥외배관설치 개방형(급탕)</t>
  </si>
  <si>
    <t>030201070204</t>
  </si>
  <si>
    <t>MM949188863</t>
  </si>
  <si>
    <t>MM949188864</t>
  </si>
  <si>
    <t>MM949188865</t>
  </si>
  <si>
    <t>MM949188866</t>
  </si>
  <si>
    <t>MM949188867</t>
  </si>
  <si>
    <t>MM949188868</t>
  </si>
  <si>
    <t>MM949188869</t>
  </si>
  <si>
    <t>0302010703  부가세및경비조달수수료</t>
  </si>
  <si>
    <t>0302010703</t>
  </si>
  <si>
    <t>MM949188870</t>
  </si>
  <si>
    <t>노무비*0.037</t>
  </si>
  <si>
    <t>MM949188871</t>
  </si>
  <si>
    <t>노무비*0.0101</t>
  </si>
  <si>
    <t>MM949188872</t>
  </si>
  <si>
    <t>국민건강보험료</t>
  </si>
  <si>
    <t>직접노무비*0.03495</t>
  </si>
  <si>
    <t>MM949188873</t>
  </si>
  <si>
    <t>직접노무비*0.045</t>
  </si>
  <si>
    <t>MM949188874</t>
  </si>
  <si>
    <t>건강보험료*0.1227</t>
  </si>
  <si>
    <t>MM949188876</t>
  </si>
  <si>
    <t>MM949188877</t>
  </si>
  <si>
    <t>100억미만</t>
  </si>
  <si>
    <t>03020108  공기열히트펌프설치공사</t>
  </si>
  <si>
    <t>03020108</t>
  </si>
  <si>
    <t>MM942468050</t>
  </si>
  <si>
    <t>전기히트펌프</t>
  </si>
  <si>
    <t>23464701</t>
  </si>
  <si>
    <t>MM942468052</t>
  </si>
  <si>
    <t>가변형히트펌프냉난방기설치</t>
  </si>
  <si>
    <t>MM942468053</t>
  </si>
  <si>
    <t>냉매관및설치</t>
  </si>
  <si>
    <t>평균Φ15.88mm</t>
  </si>
  <si>
    <t>MM942468054</t>
  </si>
  <si>
    <t>냉난방기용냉매관설치</t>
  </si>
  <si>
    <t>평균Φ28.58,mm</t>
  </si>
  <si>
    <t>MM942468055</t>
  </si>
  <si>
    <t>냉난방기용PVC드레인관설치</t>
  </si>
  <si>
    <t>Φ32mm</t>
  </si>
  <si>
    <t>MM942468056</t>
  </si>
  <si>
    <t>냉난방기용STS냉매배관커버설치</t>
  </si>
  <si>
    <t>㎡</t>
  </si>
  <si>
    <t>MM942468057</t>
  </si>
  <si>
    <t>실외기노출배관커버트레이설치</t>
  </si>
  <si>
    <t>MM942468058</t>
  </si>
  <si>
    <t>실내기실외기간 불연성 통신케이</t>
  </si>
  <si>
    <t>MM942468059</t>
  </si>
  <si>
    <t>공기조절장치설치용크레인</t>
  </si>
  <si>
    <t>50톤</t>
  </si>
  <si>
    <t>MM942468060</t>
  </si>
  <si>
    <t>진동방지장치</t>
  </si>
  <si>
    <t>20mm, 1050kg</t>
  </si>
  <si>
    <t>24494704</t>
  </si>
  <si>
    <t>Z0000000050</t>
  </si>
  <si>
    <t>조달수수료(공기열히트)</t>
  </si>
  <si>
    <t>0.54</t>
  </si>
  <si>
    <t>03020109</t>
  </si>
  <si>
    <t>MM942468062</t>
  </si>
  <si>
    <t>MM942468063</t>
  </si>
  <si>
    <t>MM942468064</t>
  </si>
  <si>
    <t>MM942468065</t>
  </si>
  <si>
    <t>MM942468066</t>
  </si>
  <si>
    <t>MM942468067</t>
  </si>
  <si>
    <t>MM942468068</t>
  </si>
  <si>
    <t>MM942468069</t>
  </si>
  <si>
    <t>MM942468070</t>
  </si>
  <si>
    <t>MM942468071</t>
  </si>
  <si>
    <t>MM942468072</t>
  </si>
  <si>
    <t>MM942468073</t>
  </si>
  <si>
    <t>MM942468074</t>
  </si>
  <si>
    <t>MM942468075</t>
  </si>
  <si>
    <t>MM942468076</t>
  </si>
  <si>
    <t>MM942468077</t>
  </si>
  <si>
    <t>MM942468078</t>
  </si>
  <si>
    <t>MM942468079</t>
  </si>
  <si>
    <t>MM942468080</t>
  </si>
  <si>
    <t>MM942468081</t>
  </si>
  <si>
    <t>MM942468082</t>
  </si>
  <si>
    <t>MM942468083</t>
  </si>
  <si>
    <t>MM942468084</t>
  </si>
  <si>
    <t>MM942468085</t>
  </si>
  <si>
    <t>MM942468086</t>
  </si>
  <si>
    <t>MM942468087</t>
  </si>
  <si>
    <t>MM942468088</t>
  </si>
  <si>
    <t>MM942468089</t>
  </si>
  <si>
    <t>MM942468090</t>
  </si>
  <si>
    <t>MM942468091</t>
  </si>
  <si>
    <t>MM942468092</t>
  </si>
  <si>
    <t>MM942468093</t>
  </si>
  <si>
    <t>MM942468094</t>
  </si>
  <si>
    <t>MM942468095</t>
  </si>
  <si>
    <t>MM942468096</t>
  </si>
  <si>
    <t>MM942468097</t>
  </si>
  <si>
    <t>MM942468098</t>
  </si>
  <si>
    <t>MM942468099</t>
  </si>
  <si>
    <t>MM942468100</t>
  </si>
  <si>
    <t>MM942468101</t>
  </si>
  <si>
    <t>MM942468102</t>
  </si>
  <si>
    <t>MM942468103</t>
  </si>
  <si>
    <t>MM942468105</t>
  </si>
  <si>
    <t>MM942468106</t>
  </si>
  <si>
    <t>MM942468107</t>
  </si>
  <si>
    <t>MM942468108</t>
  </si>
  <si>
    <t>MM942468109</t>
  </si>
  <si>
    <t>MM942468110</t>
  </si>
  <si>
    <t>MM942468111</t>
  </si>
  <si>
    <t>MM942468115</t>
  </si>
  <si>
    <t>MM942468112</t>
  </si>
  <si>
    <t>Z0000000052</t>
  </si>
  <si>
    <t>Z0000000053</t>
  </si>
  <si>
    <t>03020201  냉난방기설치공사</t>
  </si>
  <si>
    <t>03020201</t>
  </si>
  <si>
    <t>MM949188023</t>
  </si>
  <si>
    <t>40.6/45.7</t>
  </si>
  <si>
    <t>24210837</t>
  </si>
  <si>
    <t>MM949188024</t>
  </si>
  <si>
    <t>7.2/8.1</t>
  </si>
  <si>
    <t>23478372</t>
  </si>
  <si>
    <t>MM949188025</t>
  </si>
  <si>
    <t>8.3/9.3</t>
  </si>
  <si>
    <t>23478373</t>
  </si>
  <si>
    <t>MM949188026</t>
  </si>
  <si>
    <t>AWR-WE13N</t>
  </si>
  <si>
    <t>MM949188027</t>
  </si>
  <si>
    <t>Y분기관</t>
  </si>
  <si>
    <t>MM949188030</t>
  </si>
  <si>
    <t>가변형히트펌프냉난방기 설치</t>
  </si>
  <si>
    <t>MM949188031</t>
  </si>
  <si>
    <t>12.7Φ</t>
  </si>
  <si>
    <t>MM949188032</t>
  </si>
  <si>
    <t>15.88Φ</t>
  </si>
  <si>
    <t>MM949188033</t>
  </si>
  <si>
    <t>20.0Φ</t>
  </si>
  <si>
    <t>MM949188034</t>
  </si>
  <si>
    <t>25.0Φ</t>
  </si>
  <si>
    <t>MM949188035</t>
  </si>
  <si>
    <t>28.58Φ</t>
  </si>
  <si>
    <t>MM949188036</t>
  </si>
  <si>
    <t>PVC드레인관설치 Ø32mm</t>
  </si>
  <si>
    <t>MM949188037</t>
  </si>
  <si>
    <t>룸설치용전선,커버제외</t>
  </si>
  <si>
    <t>MM949188038</t>
  </si>
  <si>
    <t>MM949188039</t>
  </si>
  <si>
    <t>공기조절장치설치용크레인 25톤</t>
  </si>
  <si>
    <t>21654963</t>
  </si>
  <si>
    <t>MM949188040</t>
  </si>
  <si>
    <t>노출배관커버트레이</t>
  </si>
  <si>
    <t>MM949188041</t>
  </si>
  <si>
    <t>평균990×830×130mm</t>
  </si>
  <si>
    <t>MM949188042</t>
  </si>
  <si>
    <t>03020202  전열교환기설치공사</t>
  </si>
  <si>
    <t>03020202</t>
  </si>
  <si>
    <t>MM949188106</t>
  </si>
  <si>
    <t>MM949188107</t>
  </si>
  <si>
    <t xml:space="preserve"> (바이패스+결로방지) 800㎥/h</t>
  </si>
  <si>
    <t>MM949188108</t>
  </si>
  <si>
    <t xml:space="preserve"> 평균Φ150mm(2021년)</t>
  </si>
  <si>
    <t>MM949188109</t>
  </si>
  <si>
    <t xml:space="preserve"> 평균Φ250mm(2021년)</t>
  </si>
  <si>
    <t>MM949188110</t>
  </si>
  <si>
    <t>MM949188111</t>
  </si>
  <si>
    <t>MM949188112</t>
  </si>
  <si>
    <t>MM949188113</t>
  </si>
  <si>
    <t>MM949188114</t>
  </si>
  <si>
    <t>MM949188115</t>
  </si>
  <si>
    <t>MM949188116</t>
  </si>
  <si>
    <t>MM949188117</t>
  </si>
  <si>
    <t>MM949188118</t>
  </si>
  <si>
    <t>03020203  자동제어설치공사</t>
  </si>
  <si>
    <t>03020203</t>
  </si>
  <si>
    <t>MM949188347</t>
  </si>
  <si>
    <t>1. 원격제어반</t>
  </si>
  <si>
    <t>MM949188348</t>
  </si>
  <si>
    <t>900x1000x300</t>
  </si>
  <si>
    <t>MM949188349</t>
  </si>
  <si>
    <t>MM949188350</t>
  </si>
  <si>
    <t>MM949188351</t>
  </si>
  <si>
    <t>MM949188353</t>
  </si>
  <si>
    <t>2. 배관배선</t>
  </si>
  <si>
    <t>MM949188354</t>
  </si>
  <si>
    <t>MM949188355</t>
  </si>
  <si>
    <t>MM949188356</t>
  </si>
  <si>
    <t>MM949188357</t>
  </si>
  <si>
    <t>MM949188358</t>
  </si>
  <si>
    <t>MM949188359</t>
  </si>
  <si>
    <t>MM949188360</t>
  </si>
  <si>
    <t>MM949188361</t>
  </si>
  <si>
    <t>MM949188362</t>
  </si>
  <si>
    <t>MM949188363</t>
  </si>
  <si>
    <t>MM949188364</t>
  </si>
  <si>
    <t>MM949188366</t>
  </si>
  <si>
    <t>3. 설치 및 시운전</t>
  </si>
  <si>
    <t>MM949188367</t>
  </si>
  <si>
    <t>MM949188368</t>
  </si>
  <si>
    <t>MM949188369</t>
  </si>
  <si>
    <t>MM949188370</t>
  </si>
  <si>
    <t>MM949188371</t>
  </si>
  <si>
    <t>MM949188372</t>
  </si>
  <si>
    <t>MM949188373</t>
  </si>
  <si>
    <t>MM949188374</t>
  </si>
  <si>
    <t>MM949188375</t>
  </si>
  <si>
    <t>MM949188376</t>
  </si>
  <si>
    <t>MM949188377</t>
  </si>
  <si>
    <t>MM949188378</t>
  </si>
  <si>
    <t>MM949188379</t>
  </si>
  <si>
    <t>2천만원이하</t>
  </si>
  <si>
    <t>03020301  장비설치공사</t>
  </si>
  <si>
    <t>03020301</t>
  </si>
  <si>
    <t>MM938209614</t>
  </si>
  <si>
    <t>SM-301 초절전복사난방</t>
  </si>
  <si>
    <t>MM938209615</t>
  </si>
  <si>
    <t>SM-302 초절전복사난방</t>
  </si>
  <si>
    <t>Z0000000003</t>
  </si>
  <si>
    <t>03020302  냉난방기설치공사</t>
  </si>
  <si>
    <t>03020302</t>
  </si>
  <si>
    <t>MM949188044</t>
  </si>
  <si>
    <t>MM949188045</t>
  </si>
  <si>
    <t>2.3/2.6</t>
  </si>
  <si>
    <t>23478164</t>
  </si>
  <si>
    <t>MM949188046</t>
  </si>
  <si>
    <t>MM949188047</t>
  </si>
  <si>
    <t>23478370</t>
  </si>
  <si>
    <t>MM949188048</t>
  </si>
  <si>
    <t>MM949188049</t>
  </si>
  <si>
    <t>MM949188050</t>
  </si>
  <si>
    <t>MM949188051</t>
  </si>
  <si>
    <t>MM949188052</t>
  </si>
  <si>
    <t>MM949188053</t>
  </si>
  <si>
    <t>MM949188054</t>
  </si>
  <si>
    <t>MM949188055</t>
  </si>
  <si>
    <t>MM949188056</t>
  </si>
  <si>
    <t>중앙설치용전선,커버제외</t>
  </si>
  <si>
    <t>MM949188057</t>
  </si>
  <si>
    <t>MM949188058</t>
  </si>
  <si>
    <t>MM949188059</t>
  </si>
  <si>
    <t>MM949188060</t>
  </si>
  <si>
    <t>MM949188061</t>
  </si>
  <si>
    <t>03020303  전열교환기설치공사</t>
  </si>
  <si>
    <t>03020303</t>
  </si>
  <si>
    <t>MM949188120</t>
  </si>
  <si>
    <t>ES-250EEBRH1,  (바이패스+결로</t>
  </si>
  <si>
    <t>MM949188122</t>
  </si>
  <si>
    <t>냉난방공조공사</t>
  </si>
  <si>
    <t>덕트설치 기본, 평균Φ150mm</t>
  </si>
  <si>
    <t>MM949188123</t>
  </si>
  <si>
    <t>스파이럴덕트설치, 평균Φ200mm</t>
  </si>
  <si>
    <t>MM949188124</t>
  </si>
  <si>
    <t>플랙시블덕트설치, 평균Φ200mm</t>
  </si>
  <si>
    <t>MM949188125</t>
  </si>
  <si>
    <t>MM949188126</t>
  </si>
  <si>
    <t>MM949188127</t>
  </si>
  <si>
    <t>MM949188128</t>
  </si>
  <si>
    <t>2. 조달 수수료</t>
  </si>
  <si>
    <t>03020401  냉난방기설치공사</t>
  </si>
  <si>
    <t>03020401</t>
  </si>
  <si>
    <t>MM949188063</t>
  </si>
  <si>
    <t>MM949188064</t>
  </si>
  <si>
    <t>MM949188065</t>
  </si>
  <si>
    <t>MM949188066</t>
  </si>
  <si>
    <t>MM949188067</t>
  </si>
  <si>
    <t>MM949188068</t>
  </si>
  <si>
    <t>MM949188069</t>
  </si>
  <si>
    <t>MM949188070</t>
  </si>
  <si>
    <t>싱글형받침대</t>
  </si>
  <si>
    <t>SI-LF145</t>
  </si>
  <si>
    <t>22271362</t>
  </si>
  <si>
    <t>MM949188071</t>
  </si>
  <si>
    <t>03020402  전열교환기설치공사</t>
  </si>
  <si>
    <t>03020402</t>
  </si>
  <si>
    <t>MM949188130</t>
  </si>
  <si>
    <t>ES-100EEBRH1,  (바이패스+결로</t>
  </si>
  <si>
    <t>23701464</t>
  </si>
  <si>
    <t>MM949188131</t>
  </si>
  <si>
    <t>덕트설치 기본, 평균Φ100mm(202</t>
  </si>
  <si>
    <t>MM949188132</t>
  </si>
  <si>
    <t>MM949188133</t>
  </si>
  <si>
    <t>MM949188134</t>
  </si>
  <si>
    <t>MM949188135</t>
  </si>
  <si>
    <t>MM949188136</t>
  </si>
  <si>
    <t>MM949188137</t>
  </si>
  <si>
    <t>03020501  전열교환기설치공사</t>
  </si>
  <si>
    <t>03020501</t>
  </si>
  <si>
    <t>MM949188139</t>
  </si>
  <si>
    <t>ES-150EEBRH1,  (바이패스+결로</t>
  </si>
  <si>
    <t>MM949188140</t>
  </si>
  <si>
    <t>MM949188141</t>
  </si>
  <si>
    <t>ES-1000EEBRH1, (바이패스+결로</t>
  </si>
  <si>
    <t>MM949188142</t>
  </si>
  <si>
    <t>덕트설치 기본, 평균Φ100mm</t>
  </si>
  <si>
    <t>MM949188143</t>
  </si>
  <si>
    <t>MM949188144</t>
  </si>
  <si>
    <t>덕트설치 기본, 평균Φ250mm</t>
  </si>
  <si>
    <t>MM949188145</t>
  </si>
  <si>
    <t>MM949188146</t>
  </si>
  <si>
    <t>MM949188147</t>
  </si>
  <si>
    <t>보온플랙시블덕트설치, Φ250㎜</t>
  </si>
  <si>
    <t>MM949188148</t>
  </si>
  <si>
    <t>MM949188149</t>
  </si>
  <si>
    <t>MM949188150</t>
  </si>
  <si>
    <t>MM949188151</t>
  </si>
  <si>
    <t>MM949188152</t>
  </si>
  <si>
    <t>MM949188153</t>
  </si>
  <si>
    <t>03020502  자동제어설치공사</t>
  </si>
  <si>
    <t>03020502</t>
  </si>
  <si>
    <t>MM949188381</t>
  </si>
  <si>
    <t>MM949188382</t>
  </si>
  <si>
    <t>MM949188383</t>
  </si>
  <si>
    <t>MM949188384</t>
  </si>
  <si>
    <t>MM949188385</t>
  </si>
  <si>
    <t>MM949188387</t>
  </si>
  <si>
    <t>2. 제어기기</t>
  </si>
  <si>
    <t>MM949188388</t>
  </si>
  <si>
    <t>GVF21.32</t>
  </si>
  <si>
    <t>MM949188389</t>
  </si>
  <si>
    <t>MM949188390</t>
  </si>
  <si>
    <t>MM949188391</t>
  </si>
  <si>
    <t>(오뚜기식, 3P)</t>
  </si>
  <si>
    <t>MM949188393</t>
  </si>
  <si>
    <t>3. 배관배선</t>
  </si>
  <si>
    <t>MM949188394</t>
  </si>
  <si>
    <t>MM949188395</t>
  </si>
  <si>
    <t>MM949188396</t>
  </si>
  <si>
    <t>MM949188397</t>
  </si>
  <si>
    <t>MM949188398</t>
  </si>
  <si>
    <t>MM949188399</t>
  </si>
  <si>
    <t>MM949188400</t>
  </si>
  <si>
    <t>MM949188401</t>
  </si>
  <si>
    <t>MM949188402</t>
  </si>
  <si>
    <t>MM949188403</t>
  </si>
  <si>
    <t>MM949188404</t>
  </si>
  <si>
    <t>MM949188405</t>
  </si>
  <si>
    <t>MM949188406</t>
  </si>
  <si>
    <t>MM949188407</t>
  </si>
  <si>
    <t>MM949188408</t>
  </si>
  <si>
    <t>MM949188409</t>
  </si>
  <si>
    <t>MM949188410</t>
  </si>
  <si>
    <t>MM949188411</t>
  </si>
  <si>
    <t>MM949188412</t>
  </si>
  <si>
    <t>MM949188413</t>
  </si>
  <si>
    <t>MM949188415</t>
  </si>
  <si>
    <t>4. 설치 및 시운전</t>
  </si>
  <si>
    <t>MM949188416</t>
  </si>
  <si>
    <t>MM949188417</t>
  </si>
  <si>
    <t>MM949188418</t>
  </si>
  <si>
    <t>MM949188419</t>
  </si>
  <si>
    <t>MM949188420</t>
  </si>
  <si>
    <t>MM949188427</t>
  </si>
  <si>
    <t>MM949188428</t>
  </si>
  <si>
    <t>MM949188429</t>
  </si>
  <si>
    <t>MM949188430</t>
  </si>
  <si>
    <t>MM949188431</t>
  </si>
  <si>
    <t>MM949188432</t>
  </si>
  <si>
    <t>MM949188433</t>
  </si>
  <si>
    <t>MM949188434</t>
  </si>
  <si>
    <t>2천만원이상5천만원미만정액</t>
  </si>
  <si>
    <t>End Of File(Ver 6.0)</t>
  </si>
  <si>
    <t>A,B행과 마지막열은 지우지 마시오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</si>
</sst>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quotePrefix="1" applyFo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3" fillId="2" borderId="1" xfId="0" applyNumberFormat="1" applyFont="1" applyFill="1" applyBorder="1">
      <alignment vertical="center"/>
    </xf>
    <xf numFmtId="0" fontId="3" fillId="2" borderId="1" xfId="0" applyFont="1" applyFill="1" applyBorder="1">
      <alignment vertical="center"/>
    </xf>
    <xf numFmtId="176" fontId="0" fillId="0" borderId="1" xfId="0" quotePrefix="1" applyNumberFormat="1" applyBorder="1">
      <alignment vertical="center"/>
    </xf>
    <xf numFmtId="0" fontId="0" fillId="0" borderId="1" xfId="0" applyBorder="1">
      <alignment vertical="center"/>
    </xf>
    <xf numFmtId="176" fontId="3" fillId="3" borderId="1" xfId="0" applyNumberFormat="1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0" fillId="4" borderId="0" xfId="0" applyFill="1">
      <alignment vertical="center"/>
    </xf>
    <xf numFmtId="176" fontId="0" fillId="4" borderId="1" xfId="0" applyNumberFormat="1" applyFill="1" applyBorder="1">
      <alignment vertical="center"/>
    </xf>
    <xf numFmtId="176" fontId="3" fillId="4" borderId="1" xfId="0" applyNumberFormat="1" applyFont="1" applyFill="1" applyBorder="1">
      <alignment vertical="center"/>
    </xf>
    <xf numFmtId="0" fontId="3" fillId="4" borderId="1" xfId="0" applyFont="1" applyFill="1" applyBorder="1">
      <alignment vertical="center"/>
    </xf>
    <xf numFmtId="176" fontId="0" fillId="4" borderId="1" xfId="0" quotePrefix="1" applyNumberFormat="1" applyFill="1" applyBorder="1">
      <alignment vertical="center"/>
    </xf>
    <xf numFmtId="0" fontId="0" fillId="4" borderId="1" xfId="0" applyFill="1" applyBorder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Temp/09%20AI&#44060;&#48156;/06.%20Data%20Analysis/20250913%20&#45236;&#50669;&#49436;%20&#48516;&#49437;%20&#51204;&#47928;&#44032;/01.%20&#50896;&#48376;&#51088;&#47308;/03%20&#45236;&#50669;&#49436;(&#51068;&#50948;&#45824;&#44032;%20&#48143;%20&#44288;&#44553;&#45236;&#50669;&#54252;&#54632;),%20&#44277;&#45236;&#50669;&#49436;%20OK/05%20&#44592;&#44228;%20OK/01%20&#50896;&#48376;/&#51064;&#52380;&#49548;&#48169;&#54617;&#44368;%20&#51060;&#51204;%20&#49888;&#52629;&#44277;&#49324;%20&#49444;&#44228;&#50857;&#50669;%20%5b&#44592;&#44228;&#49444;&#48708;%20&#45236;&#50669;&#49436;%5d_%5b&#48376;&#44277;&#49324;(&#51452;&#48169;&#44592;&#44396;&#49444;&#52824;&#44277;&#49324;%20&#51228;&#50808;)%5d.xls" TargetMode="External"/><Relationship Id="rId2" Type="http://schemas.openxmlformats.org/officeDocument/2006/relationships/externalLinkPath" Target="file:///C:\Users\cho\Desktop\Temp\09%20AI&#44060;&#48156;\06.%20Data%20Analysis\20250913%20&#45236;&#50669;&#49436;%20&#48516;&#49437;%20&#51204;&#47928;&#44032;\01.%20&#50896;&#48376;&#51088;&#47308;\03%20&#45236;&#50669;&#49436;(&#51068;&#50948;&#45824;&#44032;%20&#48143;%20&#44288;&#44553;&#45236;&#50669;&#54252;&#54632;),%20&#44277;&#45236;&#50669;&#49436;%20OK\05%20&#44592;&#44228;%20OK\01%20&#50896;&#48376;\&#51064;&#52380;&#49548;&#48169;&#54617;&#44368;%20&#51060;&#51204;%20&#49888;&#52629;&#44277;&#49324;%20&#49444;&#44228;&#50857;&#50669;%20%5b&#44592;&#44228;&#49444;&#48708;%20&#45236;&#50669;&#49436;%5d_%5b&#48376;&#44277;&#49324;(&#51452;&#48169;&#44592;&#44396;&#49444;&#52824;&#44277;&#49324;%20&#51228;&#50808;)%5d.xls" TargetMode="External"/><Relationship Id="rId1" Type="http://schemas.openxmlformats.org/officeDocument/2006/relationships/externalLinkPath" Target="/Users/cho/Desktop/Temp/09%20AI&#44060;&#48156;/06.%20Data%20Analysis/20250913%20&#45236;&#50669;&#49436;%20&#48516;&#49437;%20&#51204;&#47928;&#44032;/01.%20&#50896;&#48376;&#51088;&#47308;/03%20&#45236;&#50669;&#49436;(&#51068;&#50948;&#45824;&#44032;%20&#48143;%20&#44288;&#44553;&#45236;&#50669;&#54252;&#54632;),%20&#44277;&#45236;&#50669;&#49436;%20OK/05%20&#44592;&#44228;%20OK/01%20&#50896;&#48376;/&#51064;&#52380;&#49548;&#48169;&#54617;&#44368;%20&#51060;&#51204;%20&#49888;&#52629;&#44277;&#49324;%20&#49444;&#44228;&#50857;&#50669;%20%5b&#44592;&#44228;&#49444;&#48708;%20&#45236;&#50669;&#49436;%5d_%5b&#48376;&#44277;&#49324;(&#51452;&#48169;&#44592;&#44396;&#49444;&#52824;&#44277;&#49324;%20&#51228;&#50808;)%5d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esktop/Temp/09%20AI&#44060;&#48156;/06.%20Data%20Analysis/20250913%20&#45236;&#50669;&#49436;%20&#48516;&#49437;%20&#51204;&#47928;&#44032;/01.%20&#50896;&#48376;&#51088;&#47308;/03%20&#45236;&#50669;&#49436;(&#51068;&#50948;&#45824;&#44032;%20&#48143;%20&#44288;&#44553;&#45236;&#50669;&#54252;&#54632;),%20&#44277;&#45236;&#50669;&#49436;%20OK/05%20&#44592;&#44228;%20OK/01%20&#50896;&#48376;/&#51064;&#52380;&#49548;&#48169;&#54617;&#44368;%20&#51060;&#51204;%20&#49888;&#52629;&#44277;&#49324;%20&#49444;&#44228;&#50857;&#50669;%20%5b&#44592;&#44228;&#49444;&#48708;%20&#45236;&#50669;&#49436;%5d.xls" TargetMode="External"/><Relationship Id="rId1" Type="http://schemas.openxmlformats.org/officeDocument/2006/relationships/externalLinkPath" Target="/Users/cho/Desktop/Temp/09%20AI&#44060;&#48156;/06.%20Data%20Analysis/20250913%20&#45236;&#50669;&#49436;%20&#48516;&#49437;%20&#51204;&#47928;&#44032;/01.%20&#50896;&#48376;&#51088;&#47308;/03%20&#45236;&#50669;&#49436;(&#51068;&#50948;&#45824;&#44032;%20&#48143;%20&#44288;&#44553;&#45236;&#50669;&#54252;&#54632;),%20&#44277;&#45236;&#50669;&#49436;%20OK/05%20&#44592;&#44228;%20OK/01%20&#50896;&#48376;/&#51064;&#52380;&#49548;&#48169;&#54617;&#44368;%20&#51060;&#51204;%20&#49888;&#52629;&#44277;&#49324;%20&#49444;&#44228;&#50857;&#50669;%20%5b&#44592;&#44228;&#49444;&#48708;%20&#45236;&#50669;&#49436;%5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집계표"/>
      <sheetName val="내역서"/>
      <sheetName val="일위대가목록"/>
      <sheetName val="일위대가"/>
      <sheetName val="단가대비표"/>
    </sheetNames>
    <sheetDataSet>
      <sheetData sheetId="0"/>
      <sheetData sheetId="1"/>
      <sheetData sheetId="2"/>
      <sheetData sheetId="3"/>
      <sheetData sheetId="4">
        <row r="8">
          <cell r="O8">
            <v>6000</v>
          </cell>
        </row>
        <row r="9">
          <cell r="O9">
            <v>9000</v>
          </cell>
        </row>
        <row r="10">
          <cell r="O10">
            <v>900</v>
          </cell>
        </row>
        <row r="11">
          <cell r="O11">
            <v>58000</v>
          </cell>
        </row>
        <row r="12">
          <cell r="O12">
            <v>11514</v>
          </cell>
        </row>
        <row r="13">
          <cell r="O13">
            <v>11514</v>
          </cell>
        </row>
        <row r="14">
          <cell r="O14">
            <v>19667</v>
          </cell>
        </row>
        <row r="15">
          <cell r="O15">
            <v>63110</v>
          </cell>
        </row>
        <row r="16">
          <cell r="O16">
            <v>2720</v>
          </cell>
        </row>
        <row r="17">
          <cell r="O17">
            <v>4080</v>
          </cell>
        </row>
        <row r="18">
          <cell r="O18">
            <v>5440</v>
          </cell>
        </row>
        <row r="19">
          <cell r="O19">
            <v>14240</v>
          </cell>
        </row>
        <row r="20">
          <cell r="O20">
            <v>29800</v>
          </cell>
        </row>
        <row r="21">
          <cell r="O21">
            <v>9400</v>
          </cell>
        </row>
        <row r="22">
          <cell r="O22">
            <v>9350</v>
          </cell>
        </row>
        <row r="23">
          <cell r="O23">
            <v>2380</v>
          </cell>
        </row>
        <row r="24">
          <cell r="O24">
            <v>6120</v>
          </cell>
        </row>
        <row r="25">
          <cell r="O25">
            <v>2640</v>
          </cell>
        </row>
        <row r="32">
          <cell r="O32">
            <v>254000</v>
          </cell>
        </row>
        <row r="33">
          <cell r="O33">
            <v>178500</v>
          </cell>
        </row>
        <row r="34">
          <cell r="O34">
            <v>8075</v>
          </cell>
        </row>
        <row r="35">
          <cell r="O35">
            <v>6720</v>
          </cell>
        </row>
        <row r="36">
          <cell r="O36">
            <v>198900</v>
          </cell>
        </row>
        <row r="38">
          <cell r="O38">
            <v>158100</v>
          </cell>
        </row>
        <row r="39">
          <cell r="O39">
            <v>322000</v>
          </cell>
        </row>
        <row r="40">
          <cell r="O40">
            <v>316200</v>
          </cell>
        </row>
        <row r="41">
          <cell r="O41">
            <v>123250</v>
          </cell>
        </row>
        <row r="42">
          <cell r="O42">
            <v>57960</v>
          </cell>
        </row>
        <row r="43">
          <cell r="O43">
            <v>11900</v>
          </cell>
        </row>
        <row r="44">
          <cell r="O44">
            <v>160700</v>
          </cell>
        </row>
        <row r="45">
          <cell r="O45">
            <v>25500</v>
          </cell>
        </row>
        <row r="46">
          <cell r="O46">
            <v>170000</v>
          </cell>
        </row>
        <row r="47">
          <cell r="O47">
            <v>79050</v>
          </cell>
        </row>
        <row r="48">
          <cell r="O48">
            <v>131750</v>
          </cell>
        </row>
        <row r="49">
          <cell r="O49">
            <v>130000</v>
          </cell>
        </row>
        <row r="85">
          <cell r="O85">
            <v>1980</v>
          </cell>
        </row>
        <row r="86">
          <cell r="O86">
            <v>3220</v>
          </cell>
        </row>
        <row r="87">
          <cell r="O87">
            <v>4010</v>
          </cell>
        </row>
        <row r="88">
          <cell r="O88">
            <v>5650</v>
          </cell>
        </row>
        <row r="89">
          <cell r="O89">
            <v>6910</v>
          </cell>
        </row>
        <row r="90">
          <cell r="O90">
            <v>7960</v>
          </cell>
        </row>
        <row r="91">
          <cell r="O91">
            <v>12350</v>
          </cell>
        </row>
        <row r="92">
          <cell r="O92">
            <v>22620</v>
          </cell>
        </row>
        <row r="93">
          <cell r="O93">
            <v>28130</v>
          </cell>
        </row>
        <row r="94">
          <cell r="O94">
            <v>22580</v>
          </cell>
        </row>
        <row r="95">
          <cell r="O95">
            <v>43650</v>
          </cell>
        </row>
        <row r="96">
          <cell r="O96">
            <v>53450</v>
          </cell>
        </row>
        <row r="97">
          <cell r="O97">
            <v>63410</v>
          </cell>
        </row>
        <row r="98">
          <cell r="O98">
            <v>83280</v>
          </cell>
        </row>
        <row r="109">
          <cell r="O109">
            <v>2770</v>
          </cell>
        </row>
        <row r="110">
          <cell r="O110">
            <v>4060</v>
          </cell>
        </row>
        <row r="111">
          <cell r="O111">
            <v>1442</v>
          </cell>
        </row>
        <row r="112">
          <cell r="O112">
            <v>1878</v>
          </cell>
        </row>
        <row r="113">
          <cell r="O113">
            <v>2666</v>
          </cell>
        </row>
        <row r="114">
          <cell r="O114">
            <v>5296</v>
          </cell>
        </row>
        <row r="115">
          <cell r="O115">
            <v>8068</v>
          </cell>
        </row>
        <row r="116">
          <cell r="O116">
            <v>10738</v>
          </cell>
        </row>
        <row r="117">
          <cell r="O117">
            <v>16108</v>
          </cell>
        </row>
        <row r="118">
          <cell r="O118">
            <v>24414</v>
          </cell>
        </row>
        <row r="119">
          <cell r="O119">
            <v>1666</v>
          </cell>
        </row>
        <row r="120">
          <cell r="O120">
            <v>1878</v>
          </cell>
        </row>
        <row r="121">
          <cell r="O121">
            <v>2666</v>
          </cell>
        </row>
        <row r="122">
          <cell r="O122">
            <v>5296</v>
          </cell>
        </row>
        <row r="123">
          <cell r="O123">
            <v>8068</v>
          </cell>
        </row>
        <row r="124">
          <cell r="O124">
            <v>10738</v>
          </cell>
        </row>
        <row r="125">
          <cell r="O125">
            <v>4152</v>
          </cell>
        </row>
        <row r="126">
          <cell r="O126">
            <v>6560</v>
          </cell>
        </row>
        <row r="127">
          <cell r="O127">
            <v>9506</v>
          </cell>
        </row>
        <row r="128">
          <cell r="O128">
            <v>1240</v>
          </cell>
        </row>
        <row r="129">
          <cell r="O129">
            <v>2802</v>
          </cell>
        </row>
        <row r="130">
          <cell r="O130">
            <v>6560</v>
          </cell>
        </row>
        <row r="131">
          <cell r="O131">
            <v>9360</v>
          </cell>
        </row>
        <row r="132">
          <cell r="O132">
            <v>13370</v>
          </cell>
        </row>
        <row r="133">
          <cell r="O133">
            <v>23140</v>
          </cell>
        </row>
        <row r="134">
          <cell r="O134">
            <v>32150</v>
          </cell>
        </row>
        <row r="135">
          <cell r="O135">
            <v>84150</v>
          </cell>
        </row>
        <row r="136">
          <cell r="O136">
            <v>117810</v>
          </cell>
        </row>
        <row r="137">
          <cell r="O137">
            <v>1670</v>
          </cell>
        </row>
        <row r="138">
          <cell r="O138">
            <v>418</v>
          </cell>
        </row>
        <row r="139">
          <cell r="O139">
            <v>418</v>
          </cell>
        </row>
        <row r="140">
          <cell r="O140">
            <v>418</v>
          </cell>
        </row>
        <row r="141">
          <cell r="O141">
            <v>591</v>
          </cell>
        </row>
        <row r="142">
          <cell r="O142">
            <v>1473</v>
          </cell>
        </row>
        <row r="143">
          <cell r="O143">
            <v>2245</v>
          </cell>
        </row>
        <row r="144">
          <cell r="O144">
            <v>5281</v>
          </cell>
        </row>
        <row r="145">
          <cell r="O145">
            <v>15800</v>
          </cell>
        </row>
        <row r="146">
          <cell r="O146">
            <v>14640</v>
          </cell>
        </row>
        <row r="147">
          <cell r="O147">
            <v>43300</v>
          </cell>
        </row>
        <row r="148">
          <cell r="O148">
            <v>34570</v>
          </cell>
        </row>
        <row r="149">
          <cell r="O149">
            <v>109680</v>
          </cell>
        </row>
        <row r="151">
          <cell r="O151">
            <v>87440</v>
          </cell>
        </row>
        <row r="152">
          <cell r="O152">
            <v>115600</v>
          </cell>
        </row>
        <row r="153">
          <cell r="O153">
            <v>167980</v>
          </cell>
        </row>
        <row r="154">
          <cell r="O154">
            <v>233180</v>
          </cell>
        </row>
        <row r="156">
          <cell r="O156">
            <v>50990</v>
          </cell>
        </row>
        <row r="157">
          <cell r="O157">
            <v>62260</v>
          </cell>
        </row>
        <row r="158">
          <cell r="O158">
            <v>78090</v>
          </cell>
        </row>
        <row r="159">
          <cell r="O159">
            <v>77340</v>
          </cell>
        </row>
        <row r="160">
          <cell r="O160">
            <v>4041</v>
          </cell>
        </row>
        <row r="161">
          <cell r="O161">
            <v>11473</v>
          </cell>
        </row>
        <row r="162">
          <cell r="O162">
            <v>20290</v>
          </cell>
        </row>
        <row r="163">
          <cell r="O163">
            <v>20290</v>
          </cell>
        </row>
        <row r="164">
          <cell r="O164">
            <v>22320</v>
          </cell>
        </row>
        <row r="165">
          <cell r="O165">
            <v>22320</v>
          </cell>
        </row>
        <row r="166">
          <cell r="O166">
            <v>24350</v>
          </cell>
        </row>
        <row r="167">
          <cell r="O167">
            <v>26380</v>
          </cell>
        </row>
        <row r="168">
          <cell r="O168">
            <v>36530</v>
          </cell>
        </row>
        <row r="169">
          <cell r="O169">
            <v>40590</v>
          </cell>
        </row>
        <row r="170">
          <cell r="O170">
            <v>46660</v>
          </cell>
        </row>
        <row r="171">
          <cell r="O171">
            <v>9180</v>
          </cell>
        </row>
        <row r="172">
          <cell r="O172">
            <v>9930</v>
          </cell>
        </row>
        <row r="173">
          <cell r="O173">
            <v>9930</v>
          </cell>
        </row>
        <row r="174">
          <cell r="O174">
            <v>11430</v>
          </cell>
        </row>
        <row r="175">
          <cell r="O175">
            <v>12180</v>
          </cell>
        </row>
        <row r="176">
          <cell r="O176">
            <v>13680</v>
          </cell>
        </row>
        <row r="177">
          <cell r="O177">
            <v>16690</v>
          </cell>
        </row>
        <row r="178">
          <cell r="O178">
            <v>6910</v>
          </cell>
        </row>
        <row r="179">
          <cell r="O179">
            <v>7510</v>
          </cell>
        </row>
        <row r="180">
          <cell r="O180">
            <v>8270</v>
          </cell>
        </row>
        <row r="181">
          <cell r="O181">
            <v>8270</v>
          </cell>
        </row>
        <row r="182">
          <cell r="O182">
            <v>9770</v>
          </cell>
        </row>
        <row r="183">
          <cell r="O183">
            <v>10510</v>
          </cell>
        </row>
        <row r="184">
          <cell r="O184">
            <v>12030</v>
          </cell>
        </row>
        <row r="185">
          <cell r="O185">
            <v>15020</v>
          </cell>
        </row>
        <row r="186">
          <cell r="O186">
            <v>16520</v>
          </cell>
        </row>
        <row r="187">
          <cell r="O187">
            <v>22550</v>
          </cell>
        </row>
        <row r="195">
          <cell r="O195">
            <v>26510</v>
          </cell>
        </row>
        <row r="196">
          <cell r="O196">
            <v>29550</v>
          </cell>
        </row>
        <row r="197">
          <cell r="O197">
            <v>32580</v>
          </cell>
        </row>
        <row r="198">
          <cell r="O198">
            <v>42420</v>
          </cell>
        </row>
        <row r="199">
          <cell r="O199">
            <v>62870</v>
          </cell>
        </row>
        <row r="200">
          <cell r="O200">
            <v>10210</v>
          </cell>
        </row>
        <row r="201">
          <cell r="O201">
            <v>2380</v>
          </cell>
        </row>
        <row r="202">
          <cell r="O202">
            <v>3050</v>
          </cell>
        </row>
        <row r="203">
          <cell r="O203">
            <v>3920</v>
          </cell>
        </row>
        <row r="204">
          <cell r="O204">
            <v>6140</v>
          </cell>
        </row>
        <row r="205">
          <cell r="O205">
            <v>7700</v>
          </cell>
        </row>
        <row r="206">
          <cell r="O206">
            <v>14320</v>
          </cell>
        </row>
        <row r="207">
          <cell r="O207">
            <v>1880</v>
          </cell>
        </row>
        <row r="208">
          <cell r="O208">
            <v>2370</v>
          </cell>
        </row>
        <row r="209">
          <cell r="O209">
            <v>5080</v>
          </cell>
        </row>
        <row r="210">
          <cell r="O210">
            <v>6140</v>
          </cell>
        </row>
        <row r="211">
          <cell r="O211">
            <v>41900</v>
          </cell>
        </row>
        <row r="212">
          <cell r="O212">
            <v>3760</v>
          </cell>
        </row>
        <row r="213">
          <cell r="O213">
            <v>26810</v>
          </cell>
        </row>
        <row r="214">
          <cell r="O214">
            <v>4210</v>
          </cell>
        </row>
        <row r="215">
          <cell r="O215">
            <v>3910</v>
          </cell>
        </row>
        <row r="216">
          <cell r="O216">
            <v>4830</v>
          </cell>
        </row>
        <row r="217">
          <cell r="O217">
            <v>6480</v>
          </cell>
        </row>
        <row r="218">
          <cell r="O218">
            <v>2490</v>
          </cell>
        </row>
        <row r="219">
          <cell r="O219">
            <v>3040</v>
          </cell>
        </row>
        <row r="220">
          <cell r="O220">
            <v>3920</v>
          </cell>
        </row>
        <row r="221">
          <cell r="O221">
            <v>6560</v>
          </cell>
        </row>
        <row r="222">
          <cell r="O222">
            <v>9210</v>
          </cell>
        </row>
        <row r="223">
          <cell r="O223">
            <v>10880</v>
          </cell>
        </row>
        <row r="224">
          <cell r="O224">
            <v>25430</v>
          </cell>
        </row>
        <row r="226">
          <cell r="O226">
            <v>1860</v>
          </cell>
        </row>
        <row r="227">
          <cell r="O227">
            <v>2690</v>
          </cell>
        </row>
        <row r="228">
          <cell r="O228">
            <v>3520</v>
          </cell>
        </row>
        <row r="229">
          <cell r="O229">
            <v>6990</v>
          </cell>
        </row>
        <row r="230">
          <cell r="O230">
            <v>8650</v>
          </cell>
        </row>
        <row r="231">
          <cell r="O231">
            <v>11460</v>
          </cell>
        </row>
        <row r="232">
          <cell r="O232">
            <v>14620</v>
          </cell>
        </row>
        <row r="233">
          <cell r="O233">
            <v>46490</v>
          </cell>
        </row>
        <row r="234">
          <cell r="O234">
            <v>66510</v>
          </cell>
        </row>
        <row r="235">
          <cell r="O235">
            <v>4750</v>
          </cell>
        </row>
        <row r="236">
          <cell r="O236">
            <v>6900</v>
          </cell>
        </row>
        <row r="237">
          <cell r="O237">
            <v>10110</v>
          </cell>
        </row>
        <row r="238">
          <cell r="O238">
            <v>13500</v>
          </cell>
        </row>
        <row r="239">
          <cell r="O239">
            <v>17380</v>
          </cell>
        </row>
        <row r="240">
          <cell r="O240">
            <v>23220</v>
          </cell>
        </row>
        <row r="241">
          <cell r="O241">
            <v>28800</v>
          </cell>
        </row>
        <row r="242">
          <cell r="O242">
            <v>5340</v>
          </cell>
        </row>
        <row r="243">
          <cell r="O243">
            <v>69460</v>
          </cell>
        </row>
        <row r="244">
          <cell r="O244">
            <v>93940</v>
          </cell>
        </row>
        <row r="245">
          <cell r="O245">
            <v>2950</v>
          </cell>
        </row>
        <row r="246">
          <cell r="O246">
            <v>4810</v>
          </cell>
        </row>
        <row r="247">
          <cell r="O247">
            <v>5080</v>
          </cell>
        </row>
        <row r="248">
          <cell r="O248">
            <v>6240</v>
          </cell>
        </row>
        <row r="249">
          <cell r="O249">
            <v>7970</v>
          </cell>
        </row>
        <row r="250">
          <cell r="O250">
            <v>8570</v>
          </cell>
        </row>
        <row r="251">
          <cell r="O251">
            <v>9130</v>
          </cell>
        </row>
        <row r="252">
          <cell r="O252">
            <v>9670</v>
          </cell>
        </row>
        <row r="253">
          <cell r="O253">
            <v>9790</v>
          </cell>
        </row>
        <row r="254">
          <cell r="O254">
            <v>11040</v>
          </cell>
        </row>
        <row r="255">
          <cell r="O255">
            <v>11310</v>
          </cell>
        </row>
        <row r="256">
          <cell r="O256">
            <v>12060</v>
          </cell>
        </row>
        <row r="257">
          <cell r="O257">
            <v>12540</v>
          </cell>
        </row>
        <row r="258">
          <cell r="O258">
            <v>13200</v>
          </cell>
        </row>
        <row r="259">
          <cell r="O259">
            <v>13440</v>
          </cell>
        </row>
        <row r="260">
          <cell r="O260">
            <v>14258</v>
          </cell>
        </row>
        <row r="261">
          <cell r="O261">
            <v>14258</v>
          </cell>
        </row>
        <row r="262">
          <cell r="O262">
            <v>14258</v>
          </cell>
        </row>
        <row r="263">
          <cell r="O263">
            <v>15008</v>
          </cell>
        </row>
        <row r="264">
          <cell r="O264">
            <v>15008</v>
          </cell>
        </row>
        <row r="265">
          <cell r="O265">
            <v>29380</v>
          </cell>
        </row>
        <row r="266">
          <cell r="O266">
            <v>29380</v>
          </cell>
        </row>
        <row r="267">
          <cell r="O267">
            <v>29380</v>
          </cell>
        </row>
        <row r="268">
          <cell r="O268">
            <v>40900</v>
          </cell>
        </row>
        <row r="269">
          <cell r="O269">
            <v>40900</v>
          </cell>
        </row>
        <row r="270">
          <cell r="O270">
            <v>40900</v>
          </cell>
        </row>
        <row r="271">
          <cell r="O271">
            <v>40900</v>
          </cell>
        </row>
        <row r="272">
          <cell r="O272">
            <v>40900</v>
          </cell>
        </row>
        <row r="273">
          <cell r="O273">
            <v>7480</v>
          </cell>
        </row>
        <row r="274">
          <cell r="O274">
            <v>9830</v>
          </cell>
        </row>
        <row r="275">
          <cell r="O275">
            <v>13410</v>
          </cell>
        </row>
        <row r="276">
          <cell r="O276">
            <v>17440</v>
          </cell>
        </row>
        <row r="277">
          <cell r="O277">
            <v>25490</v>
          </cell>
        </row>
        <row r="278">
          <cell r="O278">
            <v>35170</v>
          </cell>
        </row>
        <row r="281">
          <cell r="O281">
            <v>2120</v>
          </cell>
        </row>
        <row r="282">
          <cell r="O282">
            <v>2910</v>
          </cell>
        </row>
        <row r="283">
          <cell r="O283">
            <v>5030</v>
          </cell>
        </row>
        <row r="284">
          <cell r="O284">
            <v>6520</v>
          </cell>
        </row>
        <row r="285">
          <cell r="O285">
            <v>9720</v>
          </cell>
        </row>
        <row r="286">
          <cell r="O286">
            <v>3570</v>
          </cell>
        </row>
        <row r="287">
          <cell r="O287">
            <v>4920</v>
          </cell>
        </row>
        <row r="288">
          <cell r="O288">
            <v>6720</v>
          </cell>
        </row>
        <row r="289">
          <cell r="O289">
            <v>7910</v>
          </cell>
        </row>
        <row r="290">
          <cell r="O290">
            <v>10800</v>
          </cell>
        </row>
        <row r="291">
          <cell r="O291">
            <v>15070</v>
          </cell>
        </row>
        <row r="292">
          <cell r="O292">
            <v>10374</v>
          </cell>
        </row>
        <row r="293">
          <cell r="O293">
            <v>23420</v>
          </cell>
        </row>
        <row r="294">
          <cell r="O294">
            <v>32720</v>
          </cell>
        </row>
        <row r="295">
          <cell r="O295">
            <v>23050</v>
          </cell>
        </row>
        <row r="296">
          <cell r="O296">
            <v>28970</v>
          </cell>
        </row>
        <row r="297">
          <cell r="O297">
            <v>51400</v>
          </cell>
        </row>
        <row r="298">
          <cell r="O298">
            <v>63300</v>
          </cell>
        </row>
        <row r="299">
          <cell r="O299">
            <v>82800</v>
          </cell>
        </row>
        <row r="300">
          <cell r="O300">
            <v>113000</v>
          </cell>
        </row>
        <row r="301">
          <cell r="O301">
            <v>134800</v>
          </cell>
        </row>
        <row r="302">
          <cell r="O302">
            <v>390</v>
          </cell>
        </row>
        <row r="303">
          <cell r="O303">
            <v>420</v>
          </cell>
        </row>
        <row r="304">
          <cell r="O304">
            <v>2090</v>
          </cell>
        </row>
        <row r="305">
          <cell r="O305">
            <v>6030</v>
          </cell>
        </row>
        <row r="306">
          <cell r="O306">
            <v>530</v>
          </cell>
        </row>
        <row r="307">
          <cell r="O307">
            <v>860</v>
          </cell>
        </row>
        <row r="308">
          <cell r="O308">
            <v>1620</v>
          </cell>
        </row>
        <row r="309">
          <cell r="O309">
            <v>2640</v>
          </cell>
        </row>
        <row r="310">
          <cell r="O310">
            <v>4680</v>
          </cell>
        </row>
        <row r="311">
          <cell r="O311">
            <v>7530</v>
          </cell>
        </row>
        <row r="312">
          <cell r="O312">
            <v>1110</v>
          </cell>
        </row>
        <row r="313">
          <cell r="O313">
            <v>1920</v>
          </cell>
        </row>
        <row r="314">
          <cell r="O314">
            <v>3170</v>
          </cell>
        </row>
        <row r="315">
          <cell r="O315">
            <v>6550</v>
          </cell>
        </row>
        <row r="316">
          <cell r="O316">
            <v>420</v>
          </cell>
        </row>
        <row r="317">
          <cell r="O317">
            <v>420</v>
          </cell>
        </row>
        <row r="318">
          <cell r="O318">
            <v>3650</v>
          </cell>
        </row>
        <row r="319">
          <cell r="O319">
            <v>720</v>
          </cell>
        </row>
        <row r="320">
          <cell r="O320">
            <v>1680</v>
          </cell>
        </row>
        <row r="321">
          <cell r="O321">
            <v>1280</v>
          </cell>
        </row>
        <row r="322">
          <cell r="O322">
            <v>3310</v>
          </cell>
        </row>
        <row r="323">
          <cell r="O323">
            <v>3440</v>
          </cell>
        </row>
        <row r="324">
          <cell r="O324">
            <v>10000</v>
          </cell>
        </row>
        <row r="325">
          <cell r="O325">
            <v>24000</v>
          </cell>
        </row>
        <row r="326">
          <cell r="O326">
            <v>17500</v>
          </cell>
        </row>
        <row r="327">
          <cell r="O327">
            <v>13660</v>
          </cell>
        </row>
        <row r="328">
          <cell r="O328">
            <v>41480</v>
          </cell>
        </row>
        <row r="329">
          <cell r="O329">
            <v>2880</v>
          </cell>
        </row>
        <row r="330">
          <cell r="O330">
            <v>31680</v>
          </cell>
        </row>
        <row r="331">
          <cell r="O331">
            <v>34560</v>
          </cell>
        </row>
        <row r="332">
          <cell r="O332">
            <v>910</v>
          </cell>
        </row>
        <row r="333">
          <cell r="O333">
            <v>1070</v>
          </cell>
        </row>
        <row r="334">
          <cell r="O334">
            <v>1920</v>
          </cell>
        </row>
        <row r="335">
          <cell r="O335">
            <v>4650</v>
          </cell>
        </row>
        <row r="336">
          <cell r="O336">
            <v>12420</v>
          </cell>
        </row>
        <row r="337">
          <cell r="O337">
            <v>5470</v>
          </cell>
        </row>
        <row r="338">
          <cell r="O338">
            <v>6780</v>
          </cell>
        </row>
        <row r="339">
          <cell r="O339">
            <v>20259</v>
          </cell>
        </row>
        <row r="340">
          <cell r="O340">
            <v>1150</v>
          </cell>
        </row>
        <row r="341">
          <cell r="O341">
            <v>2000</v>
          </cell>
        </row>
        <row r="342">
          <cell r="O342">
            <v>3870</v>
          </cell>
        </row>
        <row r="343">
          <cell r="O343">
            <v>6920</v>
          </cell>
        </row>
        <row r="344">
          <cell r="O344">
            <v>13110</v>
          </cell>
        </row>
        <row r="345">
          <cell r="O345">
            <v>1770</v>
          </cell>
        </row>
        <row r="346">
          <cell r="O346">
            <v>3140</v>
          </cell>
        </row>
        <row r="347">
          <cell r="O347">
            <v>5240</v>
          </cell>
        </row>
        <row r="348">
          <cell r="O348">
            <v>9230</v>
          </cell>
        </row>
        <row r="349">
          <cell r="O349">
            <v>2920</v>
          </cell>
        </row>
        <row r="350">
          <cell r="O350">
            <v>5040</v>
          </cell>
        </row>
        <row r="351">
          <cell r="O351">
            <v>4780</v>
          </cell>
        </row>
        <row r="352">
          <cell r="O352">
            <v>5780</v>
          </cell>
        </row>
        <row r="353">
          <cell r="O353">
            <v>6500</v>
          </cell>
        </row>
        <row r="354">
          <cell r="O354">
            <v>8300</v>
          </cell>
        </row>
        <row r="355">
          <cell r="O355">
            <v>12690</v>
          </cell>
        </row>
        <row r="356">
          <cell r="O356">
            <v>12210</v>
          </cell>
        </row>
        <row r="357">
          <cell r="O357">
            <v>3210</v>
          </cell>
        </row>
        <row r="358">
          <cell r="O358">
            <v>5170</v>
          </cell>
        </row>
        <row r="359">
          <cell r="O359">
            <v>5750</v>
          </cell>
        </row>
        <row r="360">
          <cell r="O360">
            <v>8300</v>
          </cell>
        </row>
        <row r="361">
          <cell r="O361">
            <v>13680</v>
          </cell>
        </row>
        <row r="362">
          <cell r="O362">
            <v>1980</v>
          </cell>
        </row>
        <row r="363">
          <cell r="O363">
            <v>3870</v>
          </cell>
        </row>
        <row r="364">
          <cell r="O364">
            <v>5130</v>
          </cell>
        </row>
        <row r="365">
          <cell r="O365">
            <v>8390</v>
          </cell>
        </row>
        <row r="366">
          <cell r="O366">
            <v>1740</v>
          </cell>
        </row>
        <row r="367">
          <cell r="O367">
            <v>1880</v>
          </cell>
        </row>
        <row r="368">
          <cell r="O368">
            <v>2300</v>
          </cell>
        </row>
        <row r="369">
          <cell r="O369">
            <v>3980</v>
          </cell>
        </row>
        <row r="370">
          <cell r="O370">
            <v>4810</v>
          </cell>
        </row>
        <row r="371">
          <cell r="O371">
            <v>9440</v>
          </cell>
        </row>
        <row r="372">
          <cell r="O372">
            <v>14480</v>
          </cell>
        </row>
        <row r="373">
          <cell r="O373">
            <v>12210</v>
          </cell>
        </row>
        <row r="374">
          <cell r="O374">
            <v>14650</v>
          </cell>
        </row>
        <row r="375">
          <cell r="O375">
            <v>820</v>
          </cell>
        </row>
        <row r="376">
          <cell r="O376">
            <v>1550</v>
          </cell>
        </row>
        <row r="377">
          <cell r="O377">
            <v>2000</v>
          </cell>
        </row>
        <row r="378">
          <cell r="O378">
            <v>3500</v>
          </cell>
        </row>
        <row r="379">
          <cell r="O379">
            <v>1620</v>
          </cell>
        </row>
        <row r="380">
          <cell r="O380">
            <v>3400</v>
          </cell>
        </row>
        <row r="381">
          <cell r="O381">
            <v>1430</v>
          </cell>
        </row>
        <row r="382">
          <cell r="O382">
            <v>2460</v>
          </cell>
        </row>
        <row r="383">
          <cell r="O383">
            <v>4080</v>
          </cell>
        </row>
        <row r="384">
          <cell r="O384">
            <v>27550</v>
          </cell>
        </row>
        <row r="385">
          <cell r="O385">
            <v>12690</v>
          </cell>
        </row>
        <row r="386">
          <cell r="O386">
            <v>1200</v>
          </cell>
        </row>
        <row r="387">
          <cell r="O387">
            <v>1600</v>
          </cell>
        </row>
        <row r="388">
          <cell r="O388">
            <v>2400</v>
          </cell>
        </row>
        <row r="389">
          <cell r="O389">
            <v>290</v>
          </cell>
        </row>
        <row r="390">
          <cell r="O390">
            <v>320</v>
          </cell>
        </row>
        <row r="391">
          <cell r="O391">
            <v>700</v>
          </cell>
        </row>
        <row r="392">
          <cell r="O392">
            <v>770</v>
          </cell>
        </row>
        <row r="393">
          <cell r="O393">
            <v>840</v>
          </cell>
        </row>
        <row r="394">
          <cell r="O394">
            <v>1400</v>
          </cell>
        </row>
        <row r="395">
          <cell r="O395">
            <v>1400</v>
          </cell>
        </row>
        <row r="396">
          <cell r="O396">
            <v>2000</v>
          </cell>
        </row>
        <row r="397">
          <cell r="O397">
            <v>2500</v>
          </cell>
        </row>
        <row r="398">
          <cell r="O398">
            <v>7672</v>
          </cell>
        </row>
        <row r="399">
          <cell r="O399">
            <v>13580</v>
          </cell>
        </row>
        <row r="400">
          <cell r="O400">
            <v>2500</v>
          </cell>
        </row>
        <row r="401">
          <cell r="O401">
            <v>3000</v>
          </cell>
        </row>
        <row r="402">
          <cell r="O402">
            <v>952</v>
          </cell>
        </row>
        <row r="403">
          <cell r="O403">
            <v>2380</v>
          </cell>
        </row>
        <row r="404">
          <cell r="O404">
            <v>13580</v>
          </cell>
        </row>
        <row r="405">
          <cell r="O405">
            <v>840</v>
          </cell>
        </row>
        <row r="406">
          <cell r="O406">
            <v>700</v>
          </cell>
        </row>
        <row r="407">
          <cell r="O407">
            <v>770</v>
          </cell>
        </row>
        <row r="408">
          <cell r="O408">
            <v>1400</v>
          </cell>
        </row>
        <row r="409">
          <cell r="O409">
            <v>840</v>
          </cell>
        </row>
        <row r="410">
          <cell r="O410">
            <v>840</v>
          </cell>
        </row>
        <row r="411">
          <cell r="O411">
            <v>840</v>
          </cell>
        </row>
        <row r="412">
          <cell r="O412">
            <v>840</v>
          </cell>
        </row>
        <row r="413">
          <cell r="O413">
            <v>840</v>
          </cell>
        </row>
        <row r="414">
          <cell r="O414">
            <v>920</v>
          </cell>
        </row>
        <row r="415">
          <cell r="O415">
            <v>1880</v>
          </cell>
        </row>
        <row r="416">
          <cell r="O416">
            <v>2820</v>
          </cell>
        </row>
        <row r="417">
          <cell r="O417">
            <v>3600</v>
          </cell>
        </row>
        <row r="418">
          <cell r="O418">
            <v>4500</v>
          </cell>
        </row>
        <row r="419">
          <cell r="O419">
            <v>5400</v>
          </cell>
        </row>
        <row r="420">
          <cell r="O420">
            <v>11110</v>
          </cell>
        </row>
        <row r="421">
          <cell r="O421">
            <v>13880</v>
          </cell>
        </row>
        <row r="422">
          <cell r="O422">
            <v>29170</v>
          </cell>
        </row>
        <row r="423">
          <cell r="O423">
            <v>40370</v>
          </cell>
        </row>
        <row r="424">
          <cell r="O424">
            <v>91720</v>
          </cell>
        </row>
        <row r="425">
          <cell r="O425">
            <v>126950</v>
          </cell>
        </row>
        <row r="426">
          <cell r="O426">
            <v>16560</v>
          </cell>
        </row>
        <row r="427">
          <cell r="O427">
            <v>18920</v>
          </cell>
        </row>
        <row r="428">
          <cell r="O428">
            <v>21500</v>
          </cell>
        </row>
        <row r="429">
          <cell r="O429">
            <v>38520</v>
          </cell>
        </row>
        <row r="430">
          <cell r="O430">
            <v>40020</v>
          </cell>
        </row>
        <row r="431">
          <cell r="O431">
            <v>41330</v>
          </cell>
        </row>
        <row r="432">
          <cell r="O432">
            <v>50120</v>
          </cell>
        </row>
        <row r="433">
          <cell r="O433">
            <v>52960</v>
          </cell>
        </row>
        <row r="434">
          <cell r="O434">
            <v>59000</v>
          </cell>
        </row>
        <row r="435">
          <cell r="O435">
            <v>159890</v>
          </cell>
        </row>
        <row r="436">
          <cell r="O436">
            <v>164560</v>
          </cell>
        </row>
        <row r="437">
          <cell r="O437">
            <v>173910</v>
          </cell>
        </row>
        <row r="438">
          <cell r="O438">
            <v>21290</v>
          </cell>
        </row>
        <row r="439">
          <cell r="O439">
            <v>59770</v>
          </cell>
        </row>
        <row r="440">
          <cell r="O440">
            <v>178590</v>
          </cell>
        </row>
        <row r="441">
          <cell r="O441">
            <v>10180</v>
          </cell>
        </row>
        <row r="442">
          <cell r="O442">
            <v>13780</v>
          </cell>
        </row>
        <row r="443">
          <cell r="O443">
            <v>29520</v>
          </cell>
        </row>
        <row r="444">
          <cell r="O444">
            <v>36920</v>
          </cell>
        </row>
        <row r="445">
          <cell r="O445">
            <v>91720</v>
          </cell>
        </row>
        <row r="446">
          <cell r="O446">
            <v>114740</v>
          </cell>
        </row>
        <row r="447">
          <cell r="O447">
            <v>2670</v>
          </cell>
        </row>
        <row r="448">
          <cell r="O448">
            <v>3290</v>
          </cell>
        </row>
        <row r="449">
          <cell r="O449">
            <v>3910</v>
          </cell>
        </row>
        <row r="450">
          <cell r="O450">
            <v>10240</v>
          </cell>
        </row>
        <row r="451">
          <cell r="O451">
            <v>12340</v>
          </cell>
        </row>
        <row r="452">
          <cell r="O452">
            <v>14880</v>
          </cell>
        </row>
        <row r="460">
          <cell r="O460">
            <v>880</v>
          </cell>
        </row>
        <row r="461">
          <cell r="O461">
            <v>1420</v>
          </cell>
        </row>
        <row r="462">
          <cell r="O462">
            <v>1950</v>
          </cell>
        </row>
        <row r="463">
          <cell r="O463">
            <v>930</v>
          </cell>
        </row>
        <row r="464">
          <cell r="O464">
            <v>1310</v>
          </cell>
        </row>
        <row r="465">
          <cell r="O465">
            <v>3220</v>
          </cell>
        </row>
        <row r="466">
          <cell r="O466">
            <v>4550</v>
          </cell>
        </row>
        <row r="467">
          <cell r="O467">
            <v>940</v>
          </cell>
        </row>
        <row r="468">
          <cell r="O468">
            <v>12920</v>
          </cell>
        </row>
        <row r="469">
          <cell r="O469">
            <v>15830</v>
          </cell>
        </row>
        <row r="477">
          <cell r="O477">
            <v>31280</v>
          </cell>
        </row>
        <row r="478">
          <cell r="O478">
            <v>58480</v>
          </cell>
        </row>
        <row r="489">
          <cell r="O489">
            <v>16300</v>
          </cell>
        </row>
        <row r="490">
          <cell r="O490">
            <v>37900</v>
          </cell>
        </row>
        <row r="491">
          <cell r="O491">
            <v>53700</v>
          </cell>
        </row>
        <row r="492">
          <cell r="O492">
            <v>63300</v>
          </cell>
        </row>
        <row r="493">
          <cell r="O493">
            <v>129800</v>
          </cell>
        </row>
        <row r="494">
          <cell r="O494">
            <v>16800</v>
          </cell>
        </row>
        <row r="495">
          <cell r="O495">
            <v>40000</v>
          </cell>
        </row>
        <row r="496">
          <cell r="O496">
            <v>71200</v>
          </cell>
        </row>
        <row r="497">
          <cell r="O497">
            <v>110400</v>
          </cell>
        </row>
        <row r="498">
          <cell r="O498">
            <v>214400</v>
          </cell>
        </row>
        <row r="499">
          <cell r="O499">
            <v>26000</v>
          </cell>
        </row>
        <row r="500">
          <cell r="O500">
            <v>57200</v>
          </cell>
        </row>
        <row r="501">
          <cell r="O501">
            <v>84000</v>
          </cell>
        </row>
        <row r="502">
          <cell r="O502">
            <v>119200</v>
          </cell>
        </row>
        <row r="503">
          <cell r="O503">
            <v>236000</v>
          </cell>
        </row>
        <row r="504">
          <cell r="O504">
            <v>39100</v>
          </cell>
        </row>
        <row r="505">
          <cell r="O505">
            <v>50000</v>
          </cell>
        </row>
        <row r="506">
          <cell r="O506">
            <v>84800</v>
          </cell>
        </row>
        <row r="507">
          <cell r="O507">
            <v>48400</v>
          </cell>
        </row>
        <row r="508">
          <cell r="O508">
            <v>94200</v>
          </cell>
        </row>
        <row r="509">
          <cell r="O509">
            <v>129400</v>
          </cell>
        </row>
        <row r="510">
          <cell r="O510">
            <v>159300</v>
          </cell>
        </row>
        <row r="511">
          <cell r="O511">
            <v>92000</v>
          </cell>
        </row>
        <row r="513">
          <cell r="O513">
            <v>106240</v>
          </cell>
        </row>
        <row r="514">
          <cell r="O514">
            <v>135830</v>
          </cell>
        </row>
        <row r="515">
          <cell r="O515">
            <v>180520</v>
          </cell>
        </row>
        <row r="516">
          <cell r="O516">
            <v>56900</v>
          </cell>
        </row>
        <row r="517">
          <cell r="O517">
            <v>71400</v>
          </cell>
        </row>
        <row r="518">
          <cell r="O518">
            <v>77300</v>
          </cell>
        </row>
        <row r="519">
          <cell r="O519">
            <v>178500</v>
          </cell>
        </row>
        <row r="520">
          <cell r="O520">
            <v>1202000</v>
          </cell>
        </row>
        <row r="521">
          <cell r="O521">
            <v>1331000</v>
          </cell>
        </row>
        <row r="522">
          <cell r="O522">
            <v>1761000</v>
          </cell>
        </row>
        <row r="523">
          <cell r="O523">
            <v>2860000</v>
          </cell>
        </row>
        <row r="524">
          <cell r="O524">
            <v>4060000</v>
          </cell>
        </row>
        <row r="525">
          <cell r="O525">
            <v>72000</v>
          </cell>
        </row>
        <row r="526">
          <cell r="O526">
            <v>99160</v>
          </cell>
        </row>
        <row r="527">
          <cell r="O527">
            <v>105600</v>
          </cell>
        </row>
        <row r="528">
          <cell r="O528">
            <v>132000</v>
          </cell>
        </row>
        <row r="529">
          <cell r="O529">
            <v>160000</v>
          </cell>
        </row>
        <row r="530">
          <cell r="O530">
            <v>188800</v>
          </cell>
        </row>
        <row r="531">
          <cell r="O531">
            <v>5550</v>
          </cell>
        </row>
        <row r="532">
          <cell r="O532">
            <v>16000</v>
          </cell>
        </row>
        <row r="533">
          <cell r="O533">
            <v>18400</v>
          </cell>
        </row>
        <row r="535">
          <cell r="O535">
            <v>72080</v>
          </cell>
        </row>
        <row r="537">
          <cell r="O537">
            <v>144690</v>
          </cell>
        </row>
        <row r="538">
          <cell r="O538">
            <v>44960</v>
          </cell>
        </row>
        <row r="539">
          <cell r="O539">
            <v>48350</v>
          </cell>
        </row>
        <row r="540">
          <cell r="O540">
            <v>56060</v>
          </cell>
        </row>
        <row r="541">
          <cell r="O541">
            <v>61200</v>
          </cell>
        </row>
        <row r="542">
          <cell r="O542">
            <v>77300</v>
          </cell>
        </row>
        <row r="543">
          <cell r="O543">
            <v>81600</v>
          </cell>
        </row>
        <row r="544">
          <cell r="O544">
            <v>336950</v>
          </cell>
        </row>
        <row r="546">
          <cell r="O546">
            <v>47040</v>
          </cell>
        </row>
        <row r="547">
          <cell r="O547">
            <v>76480</v>
          </cell>
        </row>
        <row r="548">
          <cell r="O548">
            <v>56900</v>
          </cell>
        </row>
        <row r="549">
          <cell r="O549">
            <v>77300</v>
          </cell>
        </row>
        <row r="550">
          <cell r="O550">
            <v>42000</v>
          </cell>
        </row>
        <row r="551">
          <cell r="O551">
            <v>138000</v>
          </cell>
        </row>
        <row r="558">
          <cell r="O558">
            <v>330</v>
          </cell>
        </row>
        <row r="559">
          <cell r="O559">
            <v>370</v>
          </cell>
        </row>
        <row r="560">
          <cell r="O560">
            <v>410</v>
          </cell>
        </row>
        <row r="561">
          <cell r="O561">
            <v>450</v>
          </cell>
        </row>
        <row r="562">
          <cell r="O562">
            <v>520</v>
          </cell>
        </row>
        <row r="563">
          <cell r="O563">
            <v>630</v>
          </cell>
        </row>
        <row r="564">
          <cell r="O564">
            <v>700</v>
          </cell>
        </row>
        <row r="565">
          <cell r="O565">
            <v>880</v>
          </cell>
        </row>
        <row r="566">
          <cell r="O566">
            <v>1590</v>
          </cell>
        </row>
        <row r="567">
          <cell r="O567">
            <v>1890</v>
          </cell>
        </row>
        <row r="568">
          <cell r="O568">
            <v>2430</v>
          </cell>
        </row>
        <row r="569">
          <cell r="O569">
            <v>160</v>
          </cell>
        </row>
        <row r="570">
          <cell r="O570">
            <v>190</v>
          </cell>
        </row>
        <row r="571">
          <cell r="O571">
            <v>280</v>
          </cell>
        </row>
        <row r="572">
          <cell r="O572">
            <v>440</v>
          </cell>
        </row>
        <row r="573">
          <cell r="O573">
            <v>540</v>
          </cell>
        </row>
        <row r="574">
          <cell r="O574">
            <v>640</v>
          </cell>
        </row>
        <row r="575">
          <cell r="O575">
            <v>840</v>
          </cell>
        </row>
        <row r="576">
          <cell r="O576">
            <v>2344</v>
          </cell>
        </row>
        <row r="577">
          <cell r="O577">
            <v>3902</v>
          </cell>
        </row>
        <row r="581">
          <cell r="O581">
            <v>120</v>
          </cell>
        </row>
        <row r="587">
          <cell r="O587">
            <v>1800</v>
          </cell>
        </row>
        <row r="588">
          <cell r="O588">
            <v>2800</v>
          </cell>
        </row>
        <row r="600">
          <cell r="O600">
            <v>714</v>
          </cell>
        </row>
        <row r="601">
          <cell r="O601">
            <v>842</v>
          </cell>
        </row>
        <row r="602">
          <cell r="O602">
            <v>995</v>
          </cell>
        </row>
        <row r="603">
          <cell r="O603">
            <v>10000</v>
          </cell>
        </row>
        <row r="604">
          <cell r="O604">
            <v>5100</v>
          </cell>
        </row>
        <row r="605">
          <cell r="O605">
            <v>12750</v>
          </cell>
        </row>
        <row r="606">
          <cell r="O606">
            <v>12750</v>
          </cell>
        </row>
        <row r="607">
          <cell r="O607">
            <v>7640</v>
          </cell>
        </row>
        <row r="629">
          <cell r="O629">
            <v>12938</v>
          </cell>
        </row>
        <row r="630">
          <cell r="O630">
            <v>13020</v>
          </cell>
        </row>
        <row r="631">
          <cell r="O631">
            <v>13941</v>
          </cell>
        </row>
        <row r="632">
          <cell r="O632">
            <v>15392</v>
          </cell>
        </row>
        <row r="633">
          <cell r="O633">
            <v>16074</v>
          </cell>
        </row>
        <row r="634">
          <cell r="O634">
            <v>17750</v>
          </cell>
        </row>
        <row r="635">
          <cell r="O635">
            <v>19627</v>
          </cell>
        </row>
        <row r="636">
          <cell r="O636">
            <v>20800</v>
          </cell>
        </row>
        <row r="637">
          <cell r="O637">
            <v>23331</v>
          </cell>
        </row>
        <row r="638">
          <cell r="O638">
            <v>54952</v>
          </cell>
        </row>
        <row r="639">
          <cell r="O639">
            <v>11968</v>
          </cell>
        </row>
        <row r="640">
          <cell r="O640">
            <v>12007</v>
          </cell>
        </row>
        <row r="641">
          <cell r="O641">
            <v>12179</v>
          </cell>
        </row>
        <row r="642">
          <cell r="O642">
            <v>13094</v>
          </cell>
        </row>
        <row r="643">
          <cell r="O643">
            <v>13168</v>
          </cell>
        </row>
        <row r="644">
          <cell r="O644">
            <v>14281</v>
          </cell>
        </row>
        <row r="645">
          <cell r="O645">
            <v>15482</v>
          </cell>
        </row>
        <row r="646">
          <cell r="O646">
            <v>16464</v>
          </cell>
        </row>
        <row r="647">
          <cell r="O647">
            <v>23977</v>
          </cell>
        </row>
        <row r="648">
          <cell r="O648">
            <v>30341</v>
          </cell>
        </row>
        <row r="649">
          <cell r="O649">
            <v>15689</v>
          </cell>
        </row>
        <row r="650">
          <cell r="O650">
            <v>28614</v>
          </cell>
        </row>
        <row r="651">
          <cell r="O651">
            <v>32530</v>
          </cell>
        </row>
        <row r="652">
          <cell r="O652">
            <v>52383</v>
          </cell>
        </row>
        <row r="653">
          <cell r="O653">
            <v>58837</v>
          </cell>
        </row>
        <row r="654">
          <cell r="O654">
            <v>114687</v>
          </cell>
        </row>
        <row r="655">
          <cell r="O655">
            <v>140958</v>
          </cell>
        </row>
        <row r="656">
          <cell r="O656">
            <v>11862</v>
          </cell>
        </row>
        <row r="657">
          <cell r="O657">
            <v>22131</v>
          </cell>
        </row>
        <row r="658">
          <cell r="O658">
            <v>32619</v>
          </cell>
        </row>
        <row r="659">
          <cell r="O659">
            <v>36399</v>
          </cell>
        </row>
        <row r="660">
          <cell r="O660">
            <v>70649</v>
          </cell>
        </row>
        <row r="661">
          <cell r="O661">
            <v>85008</v>
          </cell>
        </row>
        <row r="662">
          <cell r="O662">
            <v>81000</v>
          </cell>
        </row>
        <row r="663">
          <cell r="O663">
            <v>283405</v>
          </cell>
        </row>
        <row r="664">
          <cell r="O664">
            <v>213337</v>
          </cell>
        </row>
        <row r="665">
          <cell r="O665">
            <v>265406</v>
          </cell>
        </row>
        <row r="666">
          <cell r="O666">
            <v>198718</v>
          </cell>
        </row>
        <row r="668">
          <cell r="O668">
            <v>214118</v>
          </cell>
        </row>
        <row r="670">
          <cell r="O670">
            <v>210465</v>
          </cell>
        </row>
        <row r="671">
          <cell r="O671">
            <v>157068</v>
          </cell>
        </row>
        <row r="673">
          <cell r="O673">
            <v>202504</v>
          </cell>
        </row>
        <row r="674">
          <cell r="O674">
            <v>288442</v>
          </cell>
        </row>
        <row r="678">
          <cell r="O678">
            <v>3274</v>
          </cell>
        </row>
        <row r="679">
          <cell r="O679">
            <v>2025</v>
          </cell>
        </row>
        <row r="680">
          <cell r="O680">
            <v>70000</v>
          </cell>
        </row>
        <row r="682">
          <cell r="O682">
            <v>30000</v>
          </cell>
        </row>
        <row r="683">
          <cell r="O683">
            <v>600000</v>
          </cell>
        </row>
        <row r="684">
          <cell r="O684">
            <v>599000</v>
          </cell>
        </row>
        <row r="687">
          <cell r="O687">
            <v>1848210</v>
          </cell>
        </row>
        <row r="688">
          <cell r="O688">
            <v>2017540</v>
          </cell>
        </row>
        <row r="692">
          <cell r="O692">
            <v>289000</v>
          </cell>
        </row>
        <row r="693">
          <cell r="O693">
            <v>463</v>
          </cell>
        </row>
        <row r="694">
          <cell r="O694">
            <v>496</v>
          </cell>
        </row>
        <row r="695">
          <cell r="O695">
            <v>575</v>
          </cell>
        </row>
        <row r="696">
          <cell r="O696">
            <v>829</v>
          </cell>
        </row>
        <row r="697">
          <cell r="O697">
            <v>1083</v>
          </cell>
        </row>
        <row r="698">
          <cell r="O698">
            <v>1279</v>
          </cell>
        </row>
        <row r="699">
          <cell r="O699">
            <v>1599</v>
          </cell>
        </row>
        <row r="700">
          <cell r="O700">
            <v>2007</v>
          </cell>
        </row>
        <row r="723">
          <cell r="O723">
            <v>220</v>
          </cell>
        </row>
        <row r="724">
          <cell r="O724">
            <v>325</v>
          </cell>
        </row>
        <row r="725">
          <cell r="O725">
            <v>702</v>
          </cell>
        </row>
        <row r="726">
          <cell r="O726">
            <v>878</v>
          </cell>
        </row>
        <row r="727">
          <cell r="O727">
            <v>1267</v>
          </cell>
        </row>
        <row r="728">
          <cell r="O728">
            <v>1964</v>
          </cell>
        </row>
        <row r="729">
          <cell r="O729">
            <v>508</v>
          </cell>
        </row>
        <row r="730">
          <cell r="O730">
            <v>3058</v>
          </cell>
        </row>
        <row r="731">
          <cell r="O731">
            <v>1376</v>
          </cell>
        </row>
        <row r="740">
          <cell r="O740">
            <v>2000</v>
          </cell>
        </row>
        <row r="755">
          <cell r="O755">
            <v>1159</v>
          </cell>
        </row>
        <row r="757">
          <cell r="O757">
            <v>1159</v>
          </cell>
        </row>
        <row r="759">
          <cell r="O759">
            <v>1159</v>
          </cell>
        </row>
        <row r="762">
          <cell r="O762">
            <v>300000</v>
          </cell>
        </row>
        <row r="763">
          <cell r="O763">
            <v>8300000</v>
          </cell>
        </row>
        <row r="764">
          <cell r="O764">
            <v>758000</v>
          </cell>
        </row>
        <row r="765">
          <cell r="O765">
            <v>528000</v>
          </cell>
        </row>
        <row r="766">
          <cell r="O766">
            <v>2040000</v>
          </cell>
        </row>
        <row r="767">
          <cell r="O767">
            <v>24000000</v>
          </cell>
        </row>
        <row r="768">
          <cell r="O768">
            <v>203000</v>
          </cell>
        </row>
        <row r="769">
          <cell r="O769">
            <v>1233000</v>
          </cell>
        </row>
        <row r="770">
          <cell r="O770">
            <v>1405000</v>
          </cell>
        </row>
        <row r="771">
          <cell r="O771">
            <v>938000</v>
          </cell>
        </row>
        <row r="772">
          <cell r="O772">
            <v>270000</v>
          </cell>
        </row>
        <row r="773">
          <cell r="O773">
            <v>149000</v>
          </cell>
        </row>
        <row r="776">
          <cell r="O776">
            <v>83280</v>
          </cell>
        </row>
        <row r="777">
          <cell r="O777">
            <v>33740</v>
          </cell>
        </row>
        <row r="778">
          <cell r="O778">
            <v>22580</v>
          </cell>
        </row>
        <row r="779">
          <cell r="O779">
            <v>15600</v>
          </cell>
        </row>
        <row r="780">
          <cell r="O780">
            <v>12180</v>
          </cell>
        </row>
        <row r="781">
          <cell r="O781">
            <v>796894</v>
          </cell>
        </row>
        <row r="782">
          <cell r="O782">
            <v>341526</v>
          </cell>
        </row>
        <row r="783">
          <cell r="O783">
            <v>360000</v>
          </cell>
        </row>
        <row r="784">
          <cell r="O784">
            <v>208696</v>
          </cell>
        </row>
        <row r="785">
          <cell r="O785">
            <v>142375</v>
          </cell>
        </row>
        <row r="786">
          <cell r="O786">
            <v>199296</v>
          </cell>
        </row>
        <row r="787">
          <cell r="O787">
            <v>134775</v>
          </cell>
        </row>
        <row r="788">
          <cell r="O788">
            <v>98330</v>
          </cell>
        </row>
        <row r="789">
          <cell r="O789">
            <v>67740</v>
          </cell>
        </row>
        <row r="790">
          <cell r="O790">
            <v>52360</v>
          </cell>
        </row>
        <row r="791">
          <cell r="O791">
            <v>17880</v>
          </cell>
        </row>
        <row r="792">
          <cell r="O792">
            <v>12040</v>
          </cell>
        </row>
        <row r="793">
          <cell r="O793">
            <v>21510</v>
          </cell>
        </row>
        <row r="794">
          <cell r="O794">
            <v>368000</v>
          </cell>
        </row>
        <row r="795">
          <cell r="O795">
            <v>310500</v>
          </cell>
        </row>
        <row r="796">
          <cell r="O796">
            <v>345000</v>
          </cell>
        </row>
        <row r="797">
          <cell r="O797">
            <v>230000</v>
          </cell>
        </row>
        <row r="798">
          <cell r="O798">
            <v>414000</v>
          </cell>
        </row>
        <row r="799">
          <cell r="O799">
            <v>68305</v>
          </cell>
        </row>
        <row r="802">
          <cell r="O802">
            <v>57000</v>
          </cell>
        </row>
        <row r="803">
          <cell r="O803">
            <v>10500</v>
          </cell>
        </row>
        <row r="804">
          <cell r="O804">
            <v>22500</v>
          </cell>
        </row>
        <row r="805">
          <cell r="O805">
            <v>225000</v>
          </cell>
        </row>
        <row r="806">
          <cell r="O806">
            <v>225000</v>
          </cell>
        </row>
        <row r="807">
          <cell r="O807">
            <v>27360</v>
          </cell>
        </row>
        <row r="809">
          <cell r="O809">
            <v>3400000</v>
          </cell>
        </row>
        <row r="810">
          <cell r="O810">
            <v>699</v>
          </cell>
        </row>
        <row r="811">
          <cell r="O811">
            <v>840</v>
          </cell>
        </row>
        <row r="812">
          <cell r="O812">
            <v>2258</v>
          </cell>
        </row>
        <row r="813">
          <cell r="O813">
            <v>27721</v>
          </cell>
        </row>
        <row r="814">
          <cell r="O814">
            <v>2707</v>
          </cell>
        </row>
        <row r="815">
          <cell r="O815">
            <v>3418</v>
          </cell>
        </row>
        <row r="816">
          <cell r="O816">
            <v>1748</v>
          </cell>
        </row>
        <row r="817">
          <cell r="O817">
            <v>3366</v>
          </cell>
        </row>
        <row r="818">
          <cell r="O818">
            <v>4791</v>
          </cell>
        </row>
        <row r="819">
          <cell r="O819">
            <v>680</v>
          </cell>
        </row>
        <row r="820">
          <cell r="O820">
            <v>14175</v>
          </cell>
        </row>
        <row r="821">
          <cell r="O821">
            <v>81000</v>
          </cell>
        </row>
        <row r="822">
          <cell r="O822">
            <v>6000</v>
          </cell>
        </row>
        <row r="823">
          <cell r="O823">
            <v>1671</v>
          </cell>
        </row>
        <row r="824">
          <cell r="O824">
            <v>2387</v>
          </cell>
        </row>
        <row r="825">
          <cell r="O825">
            <v>1025</v>
          </cell>
        </row>
        <row r="826">
          <cell r="O826">
            <v>1422</v>
          </cell>
        </row>
        <row r="827">
          <cell r="O827">
            <v>1025</v>
          </cell>
        </row>
        <row r="828">
          <cell r="O828">
            <v>1136</v>
          </cell>
        </row>
        <row r="829">
          <cell r="O829">
            <v>1492</v>
          </cell>
        </row>
        <row r="830">
          <cell r="O830">
            <v>73000</v>
          </cell>
        </row>
        <row r="831">
          <cell r="O831">
            <v>71000</v>
          </cell>
        </row>
        <row r="832">
          <cell r="O832">
            <v>7000</v>
          </cell>
        </row>
        <row r="833">
          <cell r="O833">
            <v>30827</v>
          </cell>
        </row>
        <row r="835">
          <cell r="O835">
            <v>95000000</v>
          </cell>
        </row>
        <row r="836">
          <cell r="O836">
            <v>4000000</v>
          </cell>
        </row>
        <row r="837">
          <cell r="O837">
            <v>2200000</v>
          </cell>
        </row>
        <row r="838">
          <cell r="O838">
            <v>2500000</v>
          </cell>
        </row>
        <row r="839">
          <cell r="O839">
            <v>4500000</v>
          </cell>
        </row>
        <row r="840">
          <cell r="O840">
            <v>365000</v>
          </cell>
        </row>
        <row r="841">
          <cell r="O841">
            <v>60000</v>
          </cell>
        </row>
        <row r="842">
          <cell r="O842">
            <v>58000</v>
          </cell>
        </row>
        <row r="843">
          <cell r="O843">
            <v>23500</v>
          </cell>
        </row>
        <row r="844">
          <cell r="O844">
            <v>6500</v>
          </cell>
        </row>
        <row r="845">
          <cell r="O845">
            <v>31000</v>
          </cell>
        </row>
        <row r="846">
          <cell r="O846">
            <v>26000</v>
          </cell>
        </row>
        <row r="847">
          <cell r="O847">
            <v>17000</v>
          </cell>
        </row>
        <row r="848">
          <cell r="O848">
            <v>9500</v>
          </cell>
        </row>
        <row r="849">
          <cell r="O849">
            <v>22000</v>
          </cell>
        </row>
        <row r="850">
          <cell r="O850">
            <v>19000</v>
          </cell>
        </row>
        <row r="851">
          <cell r="O851">
            <v>18500</v>
          </cell>
        </row>
        <row r="852">
          <cell r="O852">
            <v>15000</v>
          </cell>
        </row>
        <row r="853">
          <cell r="O853">
            <v>3000</v>
          </cell>
        </row>
        <row r="854">
          <cell r="O854">
            <v>10000</v>
          </cell>
        </row>
        <row r="855">
          <cell r="O855">
            <v>3500</v>
          </cell>
        </row>
        <row r="856">
          <cell r="O856">
            <v>3000</v>
          </cell>
        </row>
        <row r="857">
          <cell r="O857">
            <v>2500</v>
          </cell>
        </row>
        <row r="858">
          <cell r="O858">
            <v>140000</v>
          </cell>
        </row>
        <row r="859">
          <cell r="O859">
            <v>6000</v>
          </cell>
        </row>
        <row r="860">
          <cell r="O860">
            <v>8000</v>
          </cell>
        </row>
        <row r="861">
          <cell r="O861">
            <v>150000</v>
          </cell>
        </row>
        <row r="862">
          <cell r="O862">
            <v>105000</v>
          </cell>
        </row>
        <row r="863">
          <cell r="O863">
            <v>90000</v>
          </cell>
        </row>
        <row r="864">
          <cell r="O864">
            <v>135000</v>
          </cell>
        </row>
        <row r="865">
          <cell r="O865">
            <v>61000</v>
          </cell>
        </row>
        <row r="866">
          <cell r="O866">
            <v>1500000</v>
          </cell>
        </row>
        <row r="867">
          <cell r="O867">
            <v>85000</v>
          </cell>
        </row>
        <row r="868">
          <cell r="O868">
            <v>35000</v>
          </cell>
        </row>
        <row r="869">
          <cell r="O869">
            <v>13500</v>
          </cell>
        </row>
        <row r="870">
          <cell r="O870">
            <v>25000</v>
          </cell>
        </row>
        <row r="871">
          <cell r="O871">
            <v>3000</v>
          </cell>
        </row>
        <row r="872">
          <cell r="O872">
            <v>90000</v>
          </cell>
        </row>
        <row r="873">
          <cell r="O873">
            <v>35000</v>
          </cell>
        </row>
        <row r="874">
          <cell r="O874">
            <v>35000</v>
          </cell>
        </row>
        <row r="875">
          <cell r="O875">
            <v>3000000</v>
          </cell>
        </row>
        <row r="876">
          <cell r="O876">
            <v>3000000</v>
          </cell>
        </row>
        <row r="877">
          <cell r="O877">
            <v>38000</v>
          </cell>
        </row>
        <row r="878">
          <cell r="O878">
            <v>3500</v>
          </cell>
        </row>
        <row r="879">
          <cell r="O879">
            <v>4500</v>
          </cell>
        </row>
        <row r="880">
          <cell r="O880">
            <v>850</v>
          </cell>
        </row>
        <row r="881">
          <cell r="O881">
            <v>320</v>
          </cell>
        </row>
        <row r="882">
          <cell r="O882">
            <v>1200</v>
          </cell>
        </row>
        <row r="883">
          <cell r="O883">
            <v>1200</v>
          </cell>
        </row>
        <row r="884">
          <cell r="O884">
            <v>1350</v>
          </cell>
        </row>
        <row r="885">
          <cell r="O885">
            <v>1150</v>
          </cell>
        </row>
        <row r="886">
          <cell r="O886">
            <v>850</v>
          </cell>
        </row>
        <row r="887">
          <cell r="O887">
            <v>920</v>
          </cell>
        </row>
        <row r="888">
          <cell r="O888">
            <v>1120</v>
          </cell>
        </row>
        <row r="889">
          <cell r="O889">
            <v>320</v>
          </cell>
        </row>
        <row r="890">
          <cell r="O890">
            <v>450</v>
          </cell>
        </row>
        <row r="891">
          <cell r="O891">
            <v>520</v>
          </cell>
        </row>
        <row r="892">
          <cell r="O892">
            <v>3500</v>
          </cell>
        </row>
        <row r="893">
          <cell r="O893">
            <v>12200</v>
          </cell>
        </row>
        <row r="894">
          <cell r="O894">
            <v>15300</v>
          </cell>
        </row>
        <row r="895">
          <cell r="O895">
            <v>1000</v>
          </cell>
        </row>
        <row r="896">
          <cell r="O896">
            <v>14805</v>
          </cell>
        </row>
        <row r="897">
          <cell r="O897">
            <v>850</v>
          </cell>
        </row>
        <row r="898">
          <cell r="O898">
            <v>350</v>
          </cell>
        </row>
        <row r="899">
          <cell r="O899">
            <v>850</v>
          </cell>
        </row>
        <row r="900">
          <cell r="O900">
            <v>950</v>
          </cell>
        </row>
        <row r="901">
          <cell r="O901">
            <v>6800</v>
          </cell>
        </row>
        <row r="902">
          <cell r="O902">
            <v>4850</v>
          </cell>
        </row>
        <row r="903">
          <cell r="O903">
            <v>2800</v>
          </cell>
        </row>
        <row r="904">
          <cell r="O904">
            <v>1500</v>
          </cell>
        </row>
        <row r="905">
          <cell r="O905">
            <v>1650</v>
          </cell>
        </row>
        <row r="906">
          <cell r="O906">
            <v>1200</v>
          </cell>
        </row>
        <row r="907">
          <cell r="O907">
            <v>1200</v>
          </cell>
        </row>
        <row r="908">
          <cell r="O908">
            <v>12000000</v>
          </cell>
        </row>
        <row r="909">
          <cell r="O909">
            <v>14820000</v>
          </cell>
        </row>
        <row r="910">
          <cell r="O910">
            <v>1548952</v>
          </cell>
        </row>
        <row r="911">
          <cell r="O911">
            <v>42000</v>
          </cell>
        </row>
        <row r="912">
          <cell r="O912">
            <v>7200</v>
          </cell>
        </row>
        <row r="913">
          <cell r="O913">
            <v>12000</v>
          </cell>
        </row>
        <row r="914">
          <cell r="O914">
            <v>15000</v>
          </cell>
        </row>
        <row r="915">
          <cell r="O915">
            <v>25200</v>
          </cell>
        </row>
        <row r="916">
          <cell r="O916">
            <v>33600</v>
          </cell>
        </row>
        <row r="917">
          <cell r="O917">
            <v>66000</v>
          </cell>
        </row>
        <row r="918">
          <cell r="O918">
            <v>317400</v>
          </cell>
        </row>
        <row r="919">
          <cell r="O919">
            <v>10500</v>
          </cell>
        </row>
        <row r="920">
          <cell r="O920">
            <v>13500</v>
          </cell>
        </row>
        <row r="921">
          <cell r="O921">
            <v>15000</v>
          </cell>
        </row>
        <row r="922">
          <cell r="O922">
            <v>28000</v>
          </cell>
        </row>
        <row r="923">
          <cell r="O923">
            <v>248400</v>
          </cell>
        </row>
        <row r="924">
          <cell r="O924">
            <v>17000</v>
          </cell>
        </row>
        <row r="925">
          <cell r="O925">
            <v>35700</v>
          </cell>
        </row>
        <row r="926">
          <cell r="O926">
            <v>47600</v>
          </cell>
        </row>
        <row r="927">
          <cell r="O927">
            <v>5000</v>
          </cell>
        </row>
        <row r="928">
          <cell r="O928">
            <v>5000</v>
          </cell>
        </row>
        <row r="929">
          <cell r="O929">
            <v>5000</v>
          </cell>
        </row>
        <row r="930">
          <cell r="O930">
            <v>5500</v>
          </cell>
        </row>
        <row r="931">
          <cell r="O931">
            <v>6875</v>
          </cell>
        </row>
        <row r="932">
          <cell r="O932">
            <v>6600</v>
          </cell>
        </row>
        <row r="933">
          <cell r="O933">
            <v>8250</v>
          </cell>
        </row>
        <row r="934">
          <cell r="O934">
            <v>11550</v>
          </cell>
        </row>
        <row r="935">
          <cell r="O935">
            <v>13200</v>
          </cell>
        </row>
        <row r="936">
          <cell r="O936">
            <v>14850</v>
          </cell>
        </row>
        <row r="937">
          <cell r="O937">
            <v>13750</v>
          </cell>
        </row>
        <row r="938">
          <cell r="O938">
            <v>16500</v>
          </cell>
        </row>
        <row r="939">
          <cell r="O939">
            <v>49500</v>
          </cell>
        </row>
        <row r="940">
          <cell r="O940">
            <v>2103000</v>
          </cell>
        </row>
        <row r="941">
          <cell r="O941">
            <v>1029000</v>
          </cell>
        </row>
        <row r="942">
          <cell r="O942">
            <v>1129000</v>
          </cell>
        </row>
        <row r="943">
          <cell r="O943">
            <v>1029000</v>
          </cell>
        </row>
        <row r="944">
          <cell r="O944">
            <v>375000</v>
          </cell>
        </row>
        <row r="946">
          <cell r="O946">
            <v>384000</v>
          </cell>
        </row>
        <row r="948">
          <cell r="O948">
            <v>386000</v>
          </cell>
        </row>
        <row r="950">
          <cell r="O950">
            <v>399500</v>
          </cell>
        </row>
        <row r="952">
          <cell r="O952">
            <v>510000</v>
          </cell>
        </row>
        <row r="954">
          <cell r="O954">
            <v>539000</v>
          </cell>
        </row>
        <row r="956">
          <cell r="O956">
            <v>549000</v>
          </cell>
        </row>
        <row r="958">
          <cell r="O958">
            <v>559000</v>
          </cell>
        </row>
        <row r="960">
          <cell r="O960">
            <v>611000</v>
          </cell>
        </row>
        <row r="962">
          <cell r="O962">
            <v>1576000</v>
          </cell>
        </row>
        <row r="964">
          <cell r="O964">
            <v>647000</v>
          </cell>
        </row>
        <row r="966">
          <cell r="O966">
            <v>1207000</v>
          </cell>
        </row>
        <row r="967">
          <cell r="O967">
            <v>1917000</v>
          </cell>
        </row>
        <row r="968">
          <cell r="O968">
            <v>1207000</v>
          </cell>
        </row>
        <row r="969">
          <cell r="O969">
            <v>1431000</v>
          </cell>
        </row>
        <row r="970">
          <cell r="O970">
            <v>1917000</v>
          </cell>
        </row>
        <row r="971">
          <cell r="O971">
            <v>1559000</v>
          </cell>
        </row>
        <row r="972">
          <cell r="O972">
            <v>968000</v>
          </cell>
        </row>
        <row r="973">
          <cell r="O973">
            <v>804000</v>
          </cell>
        </row>
        <row r="974">
          <cell r="O974">
            <v>1207000</v>
          </cell>
        </row>
        <row r="975">
          <cell r="O975">
            <v>1917000</v>
          </cell>
        </row>
        <row r="976">
          <cell r="O976">
            <v>1207000</v>
          </cell>
        </row>
        <row r="977">
          <cell r="O977">
            <v>102000</v>
          </cell>
        </row>
        <row r="978">
          <cell r="O978">
            <v>59500</v>
          </cell>
        </row>
        <row r="979">
          <cell r="O979">
            <v>93500</v>
          </cell>
        </row>
        <row r="980">
          <cell r="O980">
            <v>1917000</v>
          </cell>
        </row>
        <row r="981">
          <cell r="O981">
            <v>1114000</v>
          </cell>
        </row>
        <row r="982">
          <cell r="O982">
            <v>59500</v>
          </cell>
        </row>
        <row r="983">
          <cell r="O983">
            <v>804000</v>
          </cell>
        </row>
        <row r="984">
          <cell r="O984">
            <v>834000</v>
          </cell>
        </row>
        <row r="985">
          <cell r="O985">
            <v>1688000</v>
          </cell>
        </row>
        <row r="986">
          <cell r="O986">
            <v>968000</v>
          </cell>
        </row>
        <row r="987">
          <cell r="O987">
            <v>804000</v>
          </cell>
        </row>
        <row r="988">
          <cell r="O988">
            <v>40800000</v>
          </cell>
        </row>
        <row r="989">
          <cell r="O989">
            <v>5000000</v>
          </cell>
        </row>
        <row r="990">
          <cell r="O990">
            <v>804000</v>
          </cell>
        </row>
        <row r="991">
          <cell r="O991">
            <v>1700000</v>
          </cell>
        </row>
        <row r="992">
          <cell r="O992">
            <v>6800000</v>
          </cell>
        </row>
        <row r="993">
          <cell r="O993">
            <v>30500000</v>
          </cell>
        </row>
        <row r="994">
          <cell r="O994">
            <v>39730000</v>
          </cell>
        </row>
        <row r="995">
          <cell r="O995">
            <v>7350000</v>
          </cell>
        </row>
        <row r="996">
          <cell r="O996">
            <v>7350000</v>
          </cell>
        </row>
        <row r="997">
          <cell r="O997">
            <v>296000</v>
          </cell>
        </row>
        <row r="998">
          <cell r="O998">
            <v>381000</v>
          </cell>
        </row>
        <row r="999">
          <cell r="O999">
            <v>468000</v>
          </cell>
        </row>
        <row r="1000">
          <cell r="O1000">
            <v>551000</v>
          </cell>
        </row>
        <row r="1001">
          <cell r="O1001">
            <v>632000</v>
          </cell>
        </row>
        <row r="1002">
          <cell r="O1002">
            <v>117000</v>
          </cell>
        </row>
        <row r="1003">
          <cell r="O1003">
            <v>29000</v>
          </cell>
        </row>
        <row r="1004">
          <cell r="O1004">
            <v>100000</v>
          </cell>
        </row>
        <row r="1005">
          <cell r="O1005">
            <v>85000</v>
          </cell>
        </row>
        <row r="1006">
          <cell r="O1006">
            <v>77000</v>
          </cell>
        </row>
        <row r="1007">
          <cell r="O1007">
            <v>77000</v>
          </cell>
        </row>
        <row r="1008">
          <cell r="O1008">
            <v>145000</v>
          </cell>
        </row>
        <row r="1009">
          <cell r="O1009">
            <v>1127000</v>
          </cell>
        </row>
        <row r="1010">
          <cell r="O1010">
            <v>968000</v>
          </cell>
        </row>
        <row r="1011">
          <cell r="O1011">
            <v>298000</v>
          </cell>
        </row>
        <row r="1012">
          <cell r="O1012">
            <v>1127000</v>
          </cell>
        </row>
        <row r="1013">
          <cell r="O1013">
            <v>1127000</v>
          </cell>
        </row>
        <row r="1014">
          <cell r="O1014">
            <v>93500</v>
          </cell>
        </row>
        <row r="1015">
          <cell r="O1015">
            <v>381000</v>
          </cell>
        </row>
        <row r="1016">
          <cell r="O1016">
            <v>468000</v>
          </cell>
        </row>
        <row r="1017">
          <cell r="O1017">
            <v>252000</v>
          </cell>
        </row>
        <row r="1018">
          <cell r="O1018">
            <v>59500</v>
          </cell>
        </row>
        <row r="1019">
          <cell r="O1019">
            <v>270000</v>
          </cell>
        </row>
        <row r="1020">
          <cell r="O1020">
            <v>252000</v>
          </cell>
        </row>
        <row r="1021">
          <cell r="O1021">
            <v>59500</v>
          </cell>
        </row>
        <row r="1022">
          <cell r="O1022">
            <v>375000</v>
          </cell>
        </row>
        <row r="1023">
          <cell r="O1023">
            <v>399500</v>
          </cell>
        </row>
        <row r="1024">
          <cell r="O1024">
            <v>611000</v>
          </cell>
        </row>
        <row r="1027">
          <cell r="O1027">
            <v>84000</v>
          </cell>
        </row>
        <row r="1028">
          <cell r="O1028">
            <v>115500</v>
          </cell>
        </row>
        <row r="1029">
          <cell r="O1029">
            <v>7500</v>
          </cell>
        </row>
        <row r="1030">
          <cell r="O1030">
            <v>14700</v>
          </cell>
        </row>
        <row r="1031">
          <cell r="O1031">
            <v>18000</v>
          </cell>
        </row>
        <row r="1032">
          <cell r="O1032">
            <v>18000</v>
          </cell>
        </row>
        <row r="1033">
          <cell r="O1033">
            <v>33600</v>
          </cell>
        </row>
        <row r="1034">
          <cell r="O1034">
            <v>43200</v>
          </cell>
        </row>
        <row r="1035">
          <cell r="O1035">
            <v>40000</v>
          </cell>
        </row>
        <row r="1036">
          <cell r="O1036">
            <v>55000</v>
          </cell>
        </row>
        <row r="1037">
          <cell r="O1037">
            <v>12000</v>
          </cell>
        </row>
        <row r="1038">
          <cell r="O1038">
            <v>18000</v>
          </cell>
        </row>
        <row r="1039">
          <cell r="O1039">
            <v>15000</v>
          </cell>
        </row>
        <row r="1040">
          <cell r="O1040">
            <v>36000</v>
          </cell>
        </row>
        <row r="1041">
          <cell r="O1041">
            <v>45000</v>
          </cell>
        </row>
        <row r="1042">
          <cell r="O1042">
            <v>10625</v>
          </cell>
        </row>
        <row r="1043">
          <cell r="O1043">
            <v>20825</v>
          </cell>
        </row>
        <row r="1044">
          <cell r="O1044">
            <v>21250</v>
          </cell>
        </row>
        <row r="1045">
          <cell r="O1045">
            <v>25500</v>
          </cell>
        </row>
        <row r="1046">
          <cell r="O1046">
            <v>25500</v>
          </cell>
        </row>
        <row r="1047">
          <cell r="O1047">
            <v>47600</v>
          </cell>
        </row>
        <row r="1048">
          <cell r="O1048">
            <v>61200</v>
          </cell>
        </row>
        <row r="1049">
          <cell r="O1049">
            <v>5000</v>
          </cell>
        </row>
        <row r="1050">
          <cell r="O1050">
            <v>7700</v>
          </cell>
        </row>
        <row r="1051">
          <cell r="O1051">
            <v>11000</v>
          </cell>
        </row>
        <row r="1052">
          <cell r="O1052">
            <v>9900</v>
          </cell>
        </row>
        <row r="1053">
          <cell r="O1053">
            <v>12375</v>
          </cell>
        </row>
        <row r="1054">
          <cell r="O1054">
            <v>16500</v>
          </cell>
        </row>
        <row r="1055">
          <cell r="O1055">
            <v>19800</v>
          </cell>
        </row>
        <row r="1056">
          <cell r="O1056">
            <v>28600</v>
          </cell>
        </row>
        <row r="1057">
          <cell r="O1057">
            <v>28875</v>
          </cell>
        </row>
        <row r="1058">
          <cell r="O1058">
            <v>46750</v>
          </cell>
        </row>
        <row r="1059">
          <cell r="O1059">
            <v>44550</v>
          </cell>
        </row>
        <row r="1060">
          <cell r="O1060">
            <v>9180000</v>
          </cell>
        </row>
        <row r="1061">
          <cell r="O1061">
            <v>356240</v>
          </cell>
        </row>
        <row r="1062">
          <cell r="O1062">
            <v>55200</v>
          </cell>
        </row>
        <row r="1063">
          <cell r="O1063">
            <v>92000</v>
          </cell>
        </row>
        <row r="1064">
          <cell r="O1064">
            <v>101200</v>
          </cell>
        </row>
        <row r="1065">
          <cell r="O1065">
            <v>110400</v>
          </cell>
        </row>
        <row r="1066">
          <cell r="O1066">
            <v>260000</v>
          </cell>
        </row>
        <row r="1067">
          <cell r="O1067">
            <v>208700</v>
          </cell>
        </row>
        <row r="1068">
          <cell r="O1068">
            <v>214300</v>
          </cell>
        </row>
        <row r="1069">
          <cell r="O1069">
            <v>102285</v>
          </cell>
        </row>
        <row r="1070">
          <cell r="O1070">
            <v>730000</v>
          </cell>
        </row>
        <row r="1071">
          <cell r="O1071">
            <v>748000</v>
          </cell>
        </row>
        <row r="1072">
          <cell r="O1072">
            <v>1010000</v>
          </cell>
        </row>
        <row r="1073">
          <cell r="O1073">
            <v>1263000</v>
          </cell>
        </row>
        <row r="1074">
          <cell r="O1074">
            <v>1665000</v>
          </cell>
        </row>
        <row r="1075">
          <cell r="O1075">
            <v>32000</v>
          </cell>
        </row>
        <row r="1076">
          <cell r="O1076">
            <v>10800000</v>
          </cell>
        </row>
        <row r="1077">
          <cell r="O1077">
            <v>2000000</v>
          </cell>
        </row>
        <row r="1078">
          <cell r="O1078">
            <v>0</v>
          </cell>
        </row>
        <row r="1079">
          <cell r="O1079">
            <v>4263000</v>
          </cell>
        </row>
        <row r="1080">
          <cell r="O1080">
            <v>16980</v>
          </cell>
        </row>
        <row r="1081">
          <cell r="O1081">
            <v>1020000</v>
          </cell>
        </row>
        <row r="1082">
          <cell r="O1082">
            <v>1020000</v>
          </cell>
        </row>
        <row r="1083">
          <cell r="O1083">
            <v>1020000</v>
          </cell>
        </row>
        <row r="1084">
          <cell r="O1084">
            <v>2745000</v>
          </cell>
        </row>
        <row r="1085">
          <cell r="O1085">
            <v>0</v>
          </cell>
        </row>
        <row r="1086">
          <cell r="O1086">
            <v>22580</v>
          </cell>
        </row>
        <row r="1087">
          <cell r="O1087">
            <v>27390</v>
          </cell>
        </row>
        <row r="1088">
          <cell r="O1088">
            <v>33740</v>
          </cell>
        </row>
        <row r="1089">
          <cell r="O1089">
            <v>43650</v>
          </cell>
        </row>
        <row r="1090">
          <cell r="O1090">
            <v>53450</v>
          </cell>
        </row>
        <row r="1091">
          <cell r="O1091">
            <v>63410</v>
          </cell>
        </row>
        <row r="1092">
          <cell r="O1092">
            <v>8068</v>
          </cell>
        </row>
        <row r="1093">
          <cell r="O1093">
            <v>16108</v>
          </cell>
        </row>
        <row r="1094">
          <cell r="O1094">
            <v>24414</v>
          </cell>
        </row>
        <row r="1095">
          <cell r="O1095">
            <v>37336</v>
          </cell>
        </row>
        <row r="1096">
          <cell r="O1096">
            <v>10630</v>
          </cell>
        </row>
        <row r="1097">
          <cell r="O1097">
            <v>22000</v>
          </cell>
        </row>
        <row r="1098">
          <cell r="O1098">
            <v>36630</v>
          </cell>
        </row>
        <row r="1099">
          <cell r="O1099">
            <v>88870</v>
          </cell>
        </row>
        <row r="1100">
          <cell r="O1100">
            <v>19140</v>
          </cell>
        </row>
        <row r="1101">
          <cell r="O1101">
            <v>29330</v>
          </cell>
        </row>
        <row r="1102">
          <cell r="O1102">
            <v>34510</v>
          </cell>
        </row>
        <row r="1103">
          <cell r="O1103">
            <v>52310</v>
          </cell>
        </row>
        <row r="1104">
          <cell r="O1104">
            <v>79980</v>
          </cell>
        </row>
        <row r="1105">
          <cell r="O1105">
            <v>110100</v>
          </cell>
        </row>
        <row r="1106">
          <cell r="O1106">
            <v>8900</v>
          </cell>
        </row>
        <row r="1107">
          <cell r="O1107">
            <v>10610</v>
          </cell>
        </row>
        <row r="1108">
          <cell r="O1108">
            <v>14930</v>
          </cell>
        </row>
        <row r="1109">
          <cell r="O1109">
            <v>35920</v>
          </cell>
        </row>
        <row r="1110">
          <cell r="O1110">
            <v>18891</v>
          </cell>
        </row>
        <row r="1111">
          <cell r="O1111">
            <v>42050</v>
          </cell>
        </row>
        <row r="1112">
          <cell r="O1112">
            <v>2940</v>
          </cell>
        </row>
        <row r="1113">
          <cell r="O1113">
            <v>3750</v>
          </cell>
        </row>
        <row r="1114">
          <cell r="O1114">
            <v>2090</v>
          </cell>
        </row>
        <row r="1115">
          <cell r="O1115">
            <v>6030</v>
          </cell>
        </row>
        <row r="1116">
          <cell r="O1116">
            <v>9700</v>
          </cell>
        </row>
        <row r="1117">
          <cell r="O1117">
            <v>20000</v>
          </cell>
        </row>
        <row r="1118">
          <cell r="O1118">
            <v>2350</v>
          </cell>
        </row>
        <row r="1119">
          <cell r="O1119">
            <v>7190</v>
          </cell>
        </row>
        <row r="1120">
          <cell r="O1120">
            <v>13100</v>
          </cell>
        </row>
        <row r="1121">
          <cell r="O1121">
            <v>40000</v>
          </cell>
        </row>
        <row r="1122">
          <cell r="O1122">
            <v>3020</v>
          </cell>
        </row>
        <row r="1123">
          <cell r="O1123">
            <v>6780</v>
          </cell>
        </row>
        <row r="1124">
          <cell r="O1124">
            <v>13000</v>
          </cell>
        </row>
        <row r="1125">
          <cell r="O1125">
            <v>7000</v>
          </cell>
        </row>
        <row r="1126">
          <cell r="O1126">
            <v>15000</v>
          </cell>
        </row>
        <row r="1127">
          <cell r="O1127">
            <v>40000</v>
          </cell>
        </row>
        <row r="1128">
          <cell r="O1128">
            <v>2545</v>
          </cell>
        </row>
        <row r="1129">
          <cell r="O1129">
            <v>4095</v>
          </cell>
        </row>
        <row r="1130">
          <cell r="O1130">
            <v>5023</v>
          </cell>
        </row>
        <row r="1131">
          <cell r="O1131">
            <v>7369</v>
          </cell>
        </row>
        <row r="1132">
          <cell r="O1132">
            <v>10536</v>
          </cell>
        </row>
        <row r="1133">
          <cell r="O1133">
            <v>13069</v>
          </cell>
        </row>
        <row r="1134">
          <cell r="O1134">
            <v>4551</v>
          </cell>
        </row>
        <row r="1135">
          <cell r="O1135">
            <v>5871</v>
          </cell>
        </row>
        <row r="1136">
          <cell r="O1136">
            <v>33175</v>
          </cell>
        </row>
        <row r="1137">
          <cell r="O1137">
            <v>180820</v>
          </cell>
        </row>
        <row r="1138">
          <cell r="O1138">
            <v>153640</v>
          </cell>
        </row>
        <row r="1139">
          <cell r="O1139">
            <v>603980</v>
          </cell>
        </row>
        <row r="1140">
          <cell r="O1140">
            <v>138330</v>
          </cell>
        </row>
        <row r="1141">
          <cell r="O1141">
            <v>2972</v>
          </cell>
        </row>
        <row r="1142">
          <cell r="O1142">
            <v>3440</v>
          </cell>
        </row>
        <row r="1143">
          <cell r="O1143">
            <v>3744</v>
          </cell>
        </row>
        <row r="1144">
          <cell r="O1144">
            <v>7898</v>
          </cell>
        </row>
        <row r="1145">
          <cell r="O1145">
            <v>10246</v>
          </cell>
        </row>
        <row r="1146">
          <cell r="O1146">
            <v>12553</v>
          </cell>
        </row>
        <row r="1147">
          <cell r="O1147">
            <v>1130</v>
          </cell>
        </row>
        <row r="1148">
          <cell r="O1148">
            <v>3210</v>
          </cell>
        </row>
        <row r="1149">
          <cell r="O1149">
            <v>3740</v>
          </cell>
        </row>
        <row r="1150">
          <cell r="O1150">
            <v>5100</v>
          </cell>
        </row>
        <row r="1151">
          <cell r="O1151">
            <v>1020</v>
          </cell>
        </row>
        <row r="1152">
          <cell r="O1152">
            <v>1220</v>
          </cell>
        </row>
        <row r="1153">
          <cell r="O1153">
            <v>1850</v>
          </cell>
        </row>
        <row r="1154">
          <cell r="O1154">
            <v>2200</v>
          </cell>
        </row>
        <row r="1155">
          <cell r="O1155">
            <v>2540</v>
          </cell>
        </row>
        <row r="1156">
          <cell r="O1156">
            <v>4080</v>
          </cell>
        </row>
        <row r="1157">
          <cell r="O1157">
            <v>520</v>
          </cell>
        </row>
        <row r="1158">
          <cell r="O1158">
            <v>630</v>
          </cell>
        </row>
        <row r="1159">
          <cell r="O1159">
            <v>700</v>
          </cell>
        </row>
        <row r="1160">
          <cell r="O1160">
            <v>880</v>
          </cell>
        </row>
        <row r="1161">
          <cell r="O1161">
            <v>1590</v>
          </cell>
        </row>
        <row r="1162">
          <cell r="O1162">
            <v>1890</v>
          </cell>
        </row>
        <row r="1163">
          <cell r="O1163">
            <v>120</v>
          </cell>
        </row>
        <row r="1164">
          <cell r="O1164">
            <v>15152</v>
          </cell>
        </row>
        <row r="1165">
          <cell r="O1165">
            <v>37972</v>
          </cell>
        </row>
        <row r="1166">
          <cell r="O1166">
            <v>80000</v>
          </cell>
        </row>
        <row r="1167">
          <cell r="O1167">
            <v>765000</v>
          </cell>
        </row>
        <row r="1168">
          <cell r="O1168">
            <v>405000</v>
          </cell>
        </row>
        <row r="1169">
          <cell r="O1169">
            <v>1159</v>
          </cell>
        </row>
        <row r="1170">
          <cell r="O1170">
            <v>1159</v>
          </cell>
        </row>
        <row r="1171">
          <cell r="O1171">
            <v>4346</v>
          </cell>
        </row>
        <row r="1172">
          <cell r="O1172">
            <v>291342</v>
          </cell>
        </row>
        <row r="1173">
          <cell r="O1173">
            <v>1156</v>
          </cell>
        </row>
        <row r="1174">
          <cell r="O1174">
            <v>1123</v>
          </cell>
        </row>
        <row r="1176">
          <cell r="O1176">
            <v>1520000</v>
          </cell>
        </row>
        <row r="1177">
          <cell r="O1177">
            <v>978000</v>
          </cell>
        </row>
        <row r="1179">
          <cell r="O1179">
            <v>4000000</v>
          </cell>
        </row>
        <row r="1180">
          <cell r="O1180">
            <v>4500000</v>
          </cell>
        </row>
        <row r="1181">
          <cell r="O1181">
            <v>1000000</v>
          </cell>
        </row>
        <row r="1182">
          <cell r="O1182">
            <v>2700000</v>
          </cell>
        </row>
        <row r="1184">
          <cell r="O1184">
            <v>12180</v>
          </cell>
        </row>
        <row r="1185">
          <cell r="O1185">
            <v>27390</v>
          </cell>
        </row>
        <row r="1186">
          <cell r="O1186">
            <v>43650</v>
          </cell>
        </row>
        <row r="1187">
          <cell r="O1187">
            <v>227052</v>
          </cell>
        </row>
        <row r="1188">
          <cell r="O1188">
            <v>21520</v>
          </cell>
        </row>
        <row r="1189">
          <cell r="O1189">
            <v>25660</v>
          </cell>
        </row>
        <row r="1190">
          <cell r="O1190">
            <v>4130</v>
          </cell>
        </row>
        <row r="1191">
          <cell r="O1191">
            <v>16240</v>
          </cell>
        </row>
        <row r="1192">
          <cell r="O1192">
            <v>36630</v>
          </cell>
        </row>
        <row r="1193">
          <cell r="O1193">
            <v>34510</v>
          </cell>
        </row>
        <row r="1194">
          <cell r="O1194">
            <v>8900</v>
          </cell>
        </row>
        <row r="1195">
          <cell r="O1195">
            <v>5628</v>
          </cell>
        </row>
        <row r="1196">
          <cell r="O1196">
            <v>10857</v>
          </cell>
        </row>
        <row r="1197">
          <cell r="O1197">
            <v>12505</v>
          </cell>
        </row>
        <row r="1198">
          <cell r="O1198">
            <v>1420</v>
          </cell>
        </row>
        <row r="1199">
          <cell r="O1199">
            <v>2717</v>
          </cell>
        </row>
        <row r="1200">
          <cell r="O1200">
            <v>4321</v>
          </cell>
        </row>
        <row r="1201">
          <cell r="O1201">
            <v>5312</v>
          </cell>
        </row>
        <row r="1202">
          <cell r="O1202">
            <v>20064</v>
          </cell>
        </row>
        <row r="1203">
          <cell r="O1203">
            <v>26378</v>
          </cell>
        </row>
        <row r="1204">
          <cell r="O1204">
            <v>39959</v>
          </cell>
        </row>
        <row r="1205">
          <cell r="O1205">
            <v>99160</v>
          </cell>
        </row>
        <row r="1206">
          <cell r="O1206">
            <v>132000</v>
          </cell>
        </row>
        <row r="1207">
          <cell r="O1207">
            <v>15640</v>
          </cell>
        </row>
        <row r="1208">
          <cell r="O1208">
            <v>87440</v>
          </cell>
        </row>
        <row r="1209">
          <cell r="O1209">
            <v>191690</v>
          </cell>
        </row>
        <row r="1210">
          <cell r="O1210">
            <v>266000</v>
          </cell>
        </row>
        <row r="1211">
          <cell r="O1211">
            <v>120000</v>
          </cell>
        </row>
        <row r="1212">
          <cell r="O1212">
            <v>603980</v>
          </cell>
        </row>
        <row r="1213">
          <cell r="O1213">
            <v>1714</v>
          </cell>
        </row>
        <row r="1214">
          <cell r="O1214">
            <v>1819</v>
          </cell>
        </row>
        <row r="1215">
          <cell r="O1215">
            <v>2031</v>
          </cell>
        </row>
        <row r="1216">
          <cell r="O1216">
            <v>39000</v>
          </cell>
        </row>
        <row r="1217">
          <cell r="O1217">
            <v>8000</v>
          </cell>
        </row>
        <row r="1218">
          <cell r="O1218">
            <v>48200</v>
          </cell>
        </row>
        <row r="1219">
          <cell r="O1219">
            <v>1159000</v>
          </cell>
        </row>
        <row r="1220">
          <cell r="O1220">
            <v>60330</v>
          </cell>
        </row>
        <row r="1221">
          <cell r="O1221">
            <v>1391</v>
          </cell>
        </row>
        <row r="1222">
          <cell r="O1222">
            <v>2129</v>
          </cell>
        </row>
        <row r="1224">
          <cell r="O1224">
            <v>4203260</v>
          </cell>
        </row>
        <row r="1226">
          <cell r="O1226">
            <v>116650</v>
          </cell>
        </row>
        <row r="1227">
          <cell r="O1227">
            <v>163580</v>
          </cell>
        </row>
        <row r="1228">
          <cell r="O1228">
            <v>99000</v>
          </cell>
        </row>
        <row r="1229">
          <cell r="O1229">
            <v>117070</v>
          </cell>
        </row>
        <row r="1230">
          <cell r="O1230">
            <v>15120</v>
          </cell>
        </row>
        <row r="1231">
          <cell r="O1231">
            <v>81950</v>
          </cell>
        </row>
        <row r="1232">
          <cell r="O1232">
            <v>137610</v>
          </cell>
        </row>
        <row r="1233">
          <cell r="O1233">
            <v>59280</v>
          </cell>
        </row>
        <row r="1234">
          <cell r="O1234">
            <v>16760</v>
          </cell>
        </row>
        <row r="1235">
          <cell r="O1235">
            <v>21610</v>
          </cell>
        </row>
        <row r="1236">
          <cell r="O1236">
            <v>4730</v>
          </cell>
        </row>
        <row r="1237">
          <cell r="O1237">
            <v>1026310</v>
          </cell>
        </row>
        <row r="1239">
          <cell r="O1239">
            <v>52400</v>
          </cell>
        </row>
        <row r="1240">
          <cell r="O1240">
            <v>11040</v>
          </cell>
        </row>
        <row r="1241">
          <cell r="O1241">
            <v>9070</v>
          </cell>
        </row>
        <row r="1242">
          <cell r="O1242">
            <v>720600</v>
          </cell>
        </row>
        <row r="1243">
          <cell r="O1243">
            <v>1167900</v>
          </cell>
        </row>
        <row r="1244">
          <cell r="O1244">
            <v>1074780</v>
          </cell>
        </row>
        <row r="1245">
          <cell r="O1245">
            <v>2579060</v>
          </cell>
        </row>
        <row r="1246">
          <cell r="O1246">
            <v>2308940</v>
          </cell>
        </row>
        <row r="1247">
          <cell r="O1247">
            <v>9886410</v>
          </cell>
        </row>
        <row r="1248">
          <cell r="O1248">
            <v>5931840</v>
          </cell>
        </row>
        <row r="1250">
          <cell r="O1250">
            <v>134190</v>
          </cell>
        </row>
        <row r="1252">
          <cell r="O1252">
            <v>99000</v>
          </cell>
        </row>
        <row r="1253">
          <cell r="O1253">
            <v>59280</v>
          </cell>
        </row>
        <row r="1254">
          <cell r="O1254">
            <v>153920</v>
          </cell>
        </row>
        <row r="1255">
          <cell r="O1255">
            <v>25730</v>
          </cell>
        </row>
        <row r="1256">
          <cell r="O1256">
            <v>85670</v>
          </cell>
        </row>
        <row r="1257">
          <cell r="O1257">
            <v>117770</v>
          </cell>
        </row>
        <row r="1258">
          <cell r="O1258">
            <v>328400</v>
          </cell>
        </row>
        <row r="1259">
          <cell r="O1259">
            <v>197040</v>
          </cell>
        </row>
        <row r="1261">
          <cell r="O1261">
            <v>134190</v>
          </cell>
        </row>
        <row r="1263">
          <cell r="O1263">
            <v>99000</v>
          </cell>
        </row>
        <row r="1264">
          <cell r="O1264">
            <v>59280</v>
          </cell>
        </row>
        <row r="1265">
          <cell r="O1265">
            <v>153920</v>
          </cell>
        </row>
        <row r="1266">
          <cell r="O1266">
            <v>37580</v>
          </cell>
        </row>
        <row r="1267">
          <cell r="O1267">
            <v>105230</v>
          </cell>
        </row>
        <row r="1268">
          <cell r="O1268">
            <v>147830</v>
          </cell>
        </row>
        <row r="1269">
          <cell r="O1269">
            <v>403380</v>
          </cell>
        </row>
        <row r="1270">
          <cell r="O1270">
            <v>242030</v>
          </cell>
        </row>
        <row r="1272">
          <cell r="O1272">
            <v>26840</v>
          </cell>
        </row>
        <row r="1274">
          <cell r="O1274">
            <v>59280</v>
          </cell>
        </row>
        <row r="1275">
          <cell r="O1275">
            <v>5930</v>
          </cell>
        </row>
        <row r="1276">
          <cell r="O1276">
            <v>13810</v>
          </cell>
        </row>
        <row r="1277">
          <cell r="O1277">
            <v>9450</v>
          </cell>
        </row>
        <row r="1278">
          <cell r="O1278">
            <v>52930</v>
          </cell>
        </row>
        <row r="1279">
          <cell r="O1279">
            <v>31760</v>
          </cell>
        </row>
        <row r="1281">
          <cell r="O1281">
            <v>420330</v>
          </cell>
        </row>
        <row r="1283">
          <cell r="O1283">
            <v>11040</v>
          </cell>
        </row>
        <row r="1284">
          <cell r="O1284">
            <v>9070</v>
          </cell>
        </row>
        <row r="1285">
          <cell r="O1285">
            <v>720600</v>
          </cell>
        </row>
        <row r="1286">
          <cell r="O1286">
            <v>116790</v>
          </cell>
        </row>
        <row r="1287">
          <cell r="O1287">
            <v>118120</v>
          </cell>
        </row>
        <row r="1288">
          <cell r="O1288">
            <v>275460</v>
          </cell>
        </row>
        <row r="1289">
          <cell r="O1289">
            <v>198650</v>
          </cell>
        </row>
        <row r="1290">
          <cell r="O1290">
            <v>1055930</v>
          </cell>
        </row>
        <row r="1291">
          <cell r="O1291">
            <v>633560</v>
          </cell>
        </row>
        <row r="1292">
          <cell r="O1292">
            <v>40690000</v>
          </cell>
        </row>
        <row r="1293">
          <cell r="O1293">
            <v>708840</v>
          </cell>
        </row>
        <row r="1294">
          <cell r="O1294">
            <v>8110</v>
          </cell>
        </row>
        <row r="1295">
          <cell r="O1295">
            <v>13220</v>
          </cell>
        </row>
        <row r="1296">
          <cell r="O1296">
            <v>6480</v>
          </cell>
        </row>
        <row r="1297">
          <cell r="O1297">
            <v>50820</v>
          </cell>
        </row>
        <row r="1298">
          <cell r="O1298">
            <v>51920</v>
          </cell>
        </row>
        <row r="1299">
          <cell r="O1299">
            <v>9890</v>
          </cell>
        </row>
        <row r="1300">
          <cell r="O1300">
            <v>752700</v>
          </cell>
        </row>
        <row r="1301">
          <cell r="O1301">
            <v>430000</v>
          </cell>
        </row>
        <row r="1353">
          <cell r="O1353">
            <v>39731000</v>
          </cell>
        </row>
        <row r="1354">
          <cell r="O1354">
            <v>21700000</v>
          </cell>
        </row>
        <row r="1355">
          <cell r="O1355">
            <v>18310000</v>
          </cell>
        </row>
        <row r="1356">
          <cell r="O1356">
            <v>799000</v>
          </cell>
        </row>
        <row r="1357">
          <cell r="O1357">
            <v>280000</v>
          </cell>
        </row>
        <row r="1358">
          <cell r="O1358">
            <v>255000</v>
          </cell>
        </row>
        <row r="1359">
          <cell r="O1359">
            <v>270000</v>
          </cell>
        </row>
        <row r="1360">
          <cell r="O1360">
            <v>93500</v>
          </cell>
        </row>
        <row r="1361">
          <cell r="O1361">
            <v>93500</v>
          </cell>
        </row>
        <row r="1362">
          <cell r="O1362">
            <v>1500000</v>
          </cell>
        </row>
        <row r="1363">
          <cell r="O1363">
            <v>800000</v>
          </cell>
        </row>
        <row r="1364">
          <cell r="O1364">
            <v>1951000</v>
          </cell>
        </row>
        <row r="1365">
          <cell r="O1365">
            <v>10230000</v>
          </cell>
        </row>
        <row r="1366">
          <cell r="O1366">
            <v>443000</v>
          </cell>
        </row>
        <row r="1367">
          <cell r="O1367">
            <v>598000</v>
          </cell>
        </row>
        <row r="1368">
          <cell r="O1368">
            <v>880000</v>
          </cell>
        </row>
        <row r="1369">
          <cell r="O1369">
            <v>1249000</v>
          </cell>
        </row>
        <row r="1370">
          <cell r="O1370">
            <v>1540000</v>
          </cell>
        </row>
        <row r="1371">
          <cell r="O1371">
            <v>594000</v>
          </cell>
        </row>
        <row r="1372">
          <cell r="O1372">
            <v>53400</v>
          </cell>
        </row>
        <row r="1373">
          <cell r="O1373">
            <v>18700</v>
          </cell>
        </row>
        <row r="1374">
          <cell r="O1374">
            <v>246400</v>
          </cell>
        </row>
        <row r="1375">
          <cell r="O1375">
            <v>52100</v>
          </cell>
        </row>
        <row r="1376">
          <cell r="O1376">
            <v>98800</v>
          </cell>
        </row>
        <row r="1377">
          <cell r="O1377">
            <v>84300</v>
          </cell>
        </row>
        <row r="1378">
          <cell r="O1378">
            <v>708840</v>
          </cell>
        </row>
        <row r="1379">
          <cell r="O1379">
            <v>6800</v>
          </cell>
        </row>
        <row r="1380">
          <cell r="O1380">
            <v>8110</v>
          </cell>
        </row>
        <row r="1381">
          <cell r="O1381">
            <v>9970</v>
          </cell>
        </row>
        <row r="1382">
          <cell r="O1382">
            <v>12130</v>
          </cell>
        </row>
        <row r="1383">
          <cell r="O1383">
            <v>13220</v>
          </cell>
        </row>
        <row r="1384">
          <cell r="O1384">
            <v>16440</v>
          </cell>
        </row>
        <row r="1385">
          <cell r="O1385">
            <v>6480</v>
          </cell>
        </row>
        <row r="1386">
          <cell r="O1386">
            <v>50820</v>
          </cell>
        </row>
        <row r="1387">
          <cell r="O1387">
            <v>24360</v>
          </cell>
        </row>
        <row r="1388">
          <cell r="O1388">
            <v>7320</v>
          </cell>
        </row>
        <row r="1389">
          <cell r="O1389">
            <v>7270</v>
          </cell>
        </row>
        <row r="1390">
          <cell r="O1390">
            <v>9890</v>
          </cell>
        </row>
        <row r="1391">
          <cell r="O1391">
            <v>752700</v>
          </cell>
        </row>
        <row r="1392">
          <cell r="O1392">
            <v>51920</v>
          </cell>
        </row>
        <row r="1393">
          <cell r="O1393">
            <v>116400</v>
          </cell>
        </row>
        <row r="1394">
          <cell r="O1394">
            <v>231229</v>
          </cell>
        </row>
        <row r="1395">
          <cell r="O1395">
            <v>8627000</v>
          </cell>
        </row>
        <row r="1396">
          <cell r="O1396">
            <v>723000</v>
          </cell>
        </row>
        <row r="1397">
          <cell r="O1397">
            <v>730000</v>
          </cell>
        </row>
        <row r="1398">
          <cell r="O1398">
            <v>53400</v>
          </cell>
        </row>
        <row r="1399">
          <cell r="O1399">
            <v>52100</v>
          </cell>
        </row>
        <row r="1400">
          <cell r="O1400">
            <v>708840</v>
          </cell>
        </row>
        <row r="1401">
          <cell r="O1401">
            <v>6800</v>
          </cell>
        </row>
        <row r="1402">
          <cell r="O1402">
            <v>8110</v>
          </cell>
        </row>
        <row r="1403">
          <cell r="O1403">
            <v>9970</v>
          </cell>
        </row>
        <row r="1404">
          <cell r="O1404">
            <v>12130</v>
          </cell>
        </row>
        <row r="1405">
          <cell r="O1405">
            <v>13220</v>
          </cell>
        </row>
        <row r="1406">
          <cell r="O1406">
            <v>6480</v>
          </cell>
        </row>
        <row r="1407">
          <cell r="O1407">
            <v>7320</v>
          </cell>
        </row>
        <row r="1408">
          <cell r="O1408">
            <v>9890</v>
          </cell>
        </row>
        <row r="1409">
          <cell r="O1409">
            <v>388000</v>
          </cell>
        </row>
        <row r="1410">
          <cell r="O1410">
            <v>51920</v>
          </cell>
        </row>
        <row r="1411">
          <cell r="O1411">
            <v>116400</v>
          </cell>
        </row>
        <row r="1412">
          <cell r="O1412">
            <v>109678</v>
          </cell>
        </row>
        <row r="1413">
          <cell r="O1413">
            <v>1951000</v>
          </cell>
        </row>
        <row r="1414">
          <cell r="O1414">
            <v>440000</v>
          </cell>
        </row>
        <row r="1415">
          <cell r="O1415">
            <v>443000</v>
          </cell>
        </row>
        <row r="1416">
          <cell r="O1416">
            <v>682000</v>
          </cell>
        </row>
        <row r="1417">
          <cell r="O1417">
            <v>53400</v>
          </cell>
        </row>
        <row r="1418">
          <cell r="O1418">
            <v>246400</v>
          </cell>
        </row>
        <row r="1419">
          <cell r="O1419">
            <v>52100</v>
          </cell>
        </row>
        <row r="1420">
          <cell r="O1420">
            <v>708840</v>
          </cell>
        </row>
        <row r="1421">
          <cell r="O1421">
            <v>6800</v>
          </cell>
        </row>
        <row r="1422">
          <cell r="O1422">
            <v>8110</v>
          </cell>
        </row>
        <row r="1423">
          <cell r="O1423">
            <v>6480</v>
          </cell>
        </row>
        <row r="1424">
          <cell r="O1424">
            <v>7320</v>
          </cell>
        </row>
        <row r="1425">
          <cell r="O1425">
            <v>7270</v>
          </cell>
        </row>
        <row r="1426">
          <cell r="O1426">
            <v>9890</v>
          </cell>
        </row>
        <row r="1427">
          <cell r="O1427">
            <v>388000</v>
          </cell>
        </row>
        <row r="1428">
          <cell r="O1428">
            <v>51920</v>
          </cell>
        </row>
        <row r="1429">
          <cell r="O1429">
            <v>116400</v>
          </cell>
        </row>
        <row r="1430">
          <cell r="O1430">
            <v>66526</v>
          </cell>
        </row>
        <row r="1431">
          <cell r="O1431">
            <v>53400</v>
          </cell>
        </row>
        <row r="1432">
          <cell r="O1432">
            <v>708840</v>
          </cell>
        </row>
        <row r="1433">
          <cell r="O1433">
            <v>6800</v>
          </cell>
        </row>
        <row r="1434">
          <cell r="O1434">
            <v>6480</v>
          </cell>
        </row>
        <row r="1435">
          <cell r="O1435">
            <v>7320</v>
          </cell>
        </row>
        <row r="1436">
          <cell r="O1436">
            <v>9890</v>
          </cell>
        </row>
        <row r="1437">
          <cell r="O1437">
            <v>51920</v>
          </cell>
        </row>
        <row r="1438">
          <cell r="O1438">
            <v>32000</v>
          </cell>
        </row>
        <row r="1439">
          <cell r="O1439">
            <v>8787</v>
          </cell>
        </row>
        <row r="1440">
          <cell r="O1440">
            <v>520000</v>
          </cell>
        </row>
        <row r="1441">
          <cell r="O1441">
            <v>530000</v>
          </cell>
        </row>
        <row r="1442">
          <cell r="O1442">
            <v>620000</v>
          </cell>
        </row>
        <row r="1443">
          <cell r="O1443">
            <v>850000</v>
          </cell>
        </row>
        <row r="1444">
          <cell r="O1444">
            <v>1160000</v>
          </cell>
        </row>
        <row r="1445">
          <cell r="O1445">
            <v>1210000</v>
          </cell>
        </row>
        <row r="1446">
          <cell r="O1446">
            <v>1100000</v>
          </cell>
        </row>
        <row r="1447">
          <cell r="O1447">
            <v>1280000</v>
          </cell>
        </row>
        <row r="1448">
          <cell r="O1448">
            <v>1350000</v>
          </cell>
        </row>
        <row r="1449">
          <cell r="O1449">
            <v>1750000</v>
          </cell>
        </row>
        <row r="1450">
          <cell r="O1450">
            <v>17190</v>
          </cell>
        </row>
        <row r="1451">
          <cell r="O1451">
            <v>6170</v>
          </cell>
        </row>
        <row r="1452">
          <cell r="O1452">
            <v>13000</v>
          </cell>
        </row>
        <row r="1453">
          <cell r="O1453">
            <v>28500</v>
          </cell>
        </row>
        <row r="1454">
          <cell r="O1454">
            <v>237500</v>
          </cell>
        </row>
        <row r="1455">
          <cell r="O1455">
            <v>4080</v>
          </cell>
        </row>
        <row r="1456">
          <cell r="O1456">
            <v>3200</v>
          </cell>
        </row>
        <row r="1457">
          <cell r="O1457">
            <v>100000</v>
          </cell>
        </row>
        <row r="1458">
          <cell r="O1458">
            <v>1757491</v>
          </cell>
        </row>
        <row r="1459">
          <cell r="O1459">
            <v>620000</v>
          </cell>
        </row>
        <row r="1460">
          <cell r="O1460">
            <v>1160000</v>
          </cell>
        </row>
        <row r="1461">
          <cell r="O1461">
            <v>1280000</v>
          </cell>
        </row>
        <row r="1462">
          <cell r="O1462">
            <v>1750000</v>
          </cell>
        </row>
        <row r="1463">
          <cell r="O1463">
            <v>17190</v>
          </cell>
        </row>
        <row r="1464">
          <cell r="O1464">
            <v>6170</v>
          </cell>
        </row>
        <row r="1465">
          <cell r="O1465">
            <v>13000</v>
          </cell>
        </row>
        <row r="1466">
          <cell r="O1466">
            <v>28500</v>
          </cell>
        </row>
        <row r="1467">
          <cell r="O1467">
            <v>237500</v>
          </cell>
        </row>
        <row r="1468">
          <cell r="O1468">
            <v>4080</v>
          </cell>
        </row>
        <row r="1469">
          <cell r="O1469">
            <v>3200</v>
          </cell>
        </row>
        <row r="1470">
          <cell r="O1470">
            <v>100000</v>
          </cell>
        </row>
        <row r="1471">
          <cell r="O1471">
            <v>53449</v>
          </cell>
        </row>
        <row r="1472">
          <cell r="O1472">
            <v>530000</v>
          </cell>
        </row>
        <row r="1473">
          <cell r="O1473">
            <v>1280000</v>
          </cell>
        </row>
        <row r="1474">
          <cell r="O1474">
            <v>17190</v>
          </cell>
        </row>
        <row r="1475">
          <cell r="O1475">
            <v>6170</v>
          </cell>
        </row>
        <row r="1476">
          <cell r="O1476">
            <v>28500</v>
          </cell>
        </row>
        <row r="1477">
          <cell r="O1477">
            <v>3200</v>
          </cell>
        </row>
        <row r="1478">
          <cell r="O1478">
            <v>100000</v>
          </cell>
        </row>
        <row r="1479">
          <cell r="O1479">
            <v>24772</v>
          </cell>
        </row>
        <row r="1480">
          <cell r="O1480">
            <v>326000</v>
          </cell>
        </row>
        <row r="1481">
          <cell r="O1481">
            <v>1100000</v>
          </cell>
        </row>
        <row r="1482">
          <cell r="O1482">
            <v>17190</v>
          </cell>
        </row>
        <row r="1483">
          <cell r="O1483">
            <v>6170</v>
          </cell>
        </row>
        <row r="1484">
          <cell r="O1484">
            <v>28500</v>
          </cell>
        </row>
        <row r="1485">
          <cell r="O1485">
            <v>3200</v>
          </cell>
        </row>
        <row r="1486">
          <cell r="O1486">
            <v>100000</v>
          </cell>
        </row>
        <row r="1487">
          <cell r="O1487">
            <v>10777</v>
          </cell>
        </row>
        <row r="1488">
          <cell r="O1488">
            <v>520000</v>
          </cell>
        </row>
        <row r="1489">
          <cell r="O1489">
            <v>530000</v>
          </cell>
        </row>
        <row r="1490">
          <cell r="O1490">
            <v>1210000</v>
          </cell>
        </row>
        <row r="1491">
          <cell r="O1491">
            <v>1100000</v>
          </cell>
        </row>
        <row r="1492">
          <cell r="O1492">
            <v>1280000</v>
          </cell>
        </row>
        <row r="1493">
          <cell r="O1493">
            <v>1750000</v>
          </cell>
        </row>
        <row r="1494">
          <cell r="O1494">
            <v>17190</v>
          </cell>
        </row>
        <row r="1495">
          <cell r="O1495">
            <v>6170</v>
          </cell>
        </row>
        <row r="1496">
          <cell r="O1496">
            <v>13000</v>
          </cell>
        </row>
        <row r="1497">
          <cell r="O1497">
            <v>28500</v>
          </cell>
        </row>
        <row r="1498">
          <cell r="O1498">
            <v>237500</v>
          </cell>
        </row>
        <row r="1499">
          <cell r="O1499">
            <v>4080</v>
          </cell>
        </row>
        <row r="1500">
          <cell r="O1500">
            <v>3200</v>
          </cell>
        </row>
        <row r="1501">
          <cell r="O1501">
            <v>100000</v>
          </cell>
        </row>
        <row r="1502">
          <cell r="O1502">
            <v>256096</v>
          </cell>
        </row>
        <row r="1504">
          <cell r="O1504">
            <v>2030000</v>
          </cell>
        </row>
        <row r="1505">
          <cell r="O1505">
            <v>2030000</v>
          </cell>
        </row>
        <row r="1506">
          <cell r="O1506">
            <v>2900000</v>
          </cell>
        </row>
        <row r="1507">
          <cell r="O1507">
            <v>45000</v>
          </cell>
        </row>
        <row r="1508">
          <cell r="O1508">
            <v>350000</v>
          </cell>
        </row>
        <row r="1509">
          <cell r="O1509">
            <v>210000</v>
          </cell>
        </row>
        <row r="1510">
          <cell r="O1510">
            <v>550000</v>
          </cell>
        </row>
        <row r="1511">
          <cell r="O1511">
            <v>5500000</v>
          </cell>
        </row>
        <row r="1512">
          <cell r="O1512">
            <v>30000000</v>
          </cell>
        </row>
        <row r="1513">
          <cell r="O1513">
            <v>3000000</v>
          </cell>
        </row>
        <row r="1514">
          <cell r="O1514">
            <v>3000000</v>
          </cell>
        </row>
        <row r="1515">
          <cell r="O1515">
            <v>3000000</v>
          </cell>
        </row>
        <row r="1516">
          <cell r="O1516">
            <v>30000000</v>
          </cell>
        </row>
        <row r="1517">
          <cell r="O1517">
            <v>10000000</v>
          </cell>
        </row>
        <row r="1519">
          <cell r="O1519">
            <v>17614</v>
          </cell>
        </row>
        <row r="1520">
          <cell r="O1520">
            <v>4568</v>
          </cell>
        </row>
        <row r="1523">
          <cell r="O1523">
            <v>2030000</v>
          </cell>
        </row>
        <row r="1524">
          <cell r="O1524">
            <v>45000</v>
          </cell>
        </row>
        <row r="1525">
          <cell r="O1525">
            <v>350000</v>
          </cell>
        </row>
        <row r="1526">
          <cell r="O1526">
            <v>1500000</v>
          </cell>
        </row>
        <row r="1527">
          <cell r="O1527">
            <v>1500000</v>
          </cell>
        </row>
        <row r="1528">
          <cell r="O1528">
            <v>210000</v>
          </cell>
        </row>
        <row r="1529">
          <cell r="O1529">
            <v>82000</v>
          </cell>
        </row>
        <row r="1530">
          <cell r="O1530">
            <v>550000</v>
          </cell>
        </row>
        <row r="1531">
          <cell r="O1531">
            <v>30000000</v>
          </cell>
        </row>
        <row r="1532">
          <cell r="O1532">
            <v>5000000</v>
          </cell>
        </row>
        <row r="1534">
          <cell r="O1534">
            <v>2940000</v>
          </cell>
        </row>
        <row r="1535">
          <cell r="O1535">
            <v>4000000</v>
          </cell>
        </row>
        <row r="1536">
          <cell r="O1536">
            <v>920000</v>
          </cell>
        </row>
        <row r="1537">
          <cell r="O1537">
            <v>600000</v>
          </cell>
        </row>
        <row r="1538">
          <cell r="O1538">
            <v>850000</v>
          </cell>
        </row>
        <row r="1539">
          <cell r="O1539">
            <v>1600000</v>
          </cell>
        </row>
        <row r="1541">
          <cell r="O1541">
            <v>80000</v>
          </cell>
        </row>
        <row r="1542">
          <cell r="O1542">
            <v>363000</v>
          </cell>
        </row>
        <row r="1543">
          <cell r="O1543">
            <v>63000</v>
          </cell>
        </row>
        <row r="1544">
          <cell r="O1544">
            <v>298000</v>
          </cell>
        </row>
        <row r="1545">
          <cell r="O1545">
            <v>56000</v>
          </cell>
        </row>
        <row r="1546">
          <cell r="O1546">
            <v>560000</v>
          </cell>
        </row>
        <row r="1547">
          <cell r="O1547">
            <v>517000</v>
          </cell>
        </row>
        <row r="1548">
          <cell r="O1548">
            <v>628000</v>
          </cell>
        </row>
        <row r="1549">
          <cell r="O1549">
            <v>876000</v>
          </cell>
        </row>
        <row r="1550">
          <cell r="O1550">
            <v>3306000</v>
          </cell>
        </row>
        <row r="1551">
          <cell r="O1551">
            <v>828000</v>
          </cell>
        </row>
        <row r="1552">
          <cell r="O1552">
            <v>1075000</v>
          </cell>
        </row>
        <row r="1553">
          <cell r="O1553">
            <v>2755000</v>
          </cell>
        </row>
        <row r="1554">
          <cell r="O1554">
            <v>3306000</v>
          </cell>
        </row>
        <row r="1555">
          <cell r="O1555">
            <v>300000</v>
          </cell>
        </row>
        <row r="1556">
          <cell r="O1556">
            <v>720000</v>
          </cell>
        </row>
        <row r="1557">
          <cell r="O1557">
            <v>460000</v>
          </cell>
        </row>
        <row r="1558">
          <cell r="O1558">
            <v>515000</v>
          </cell>
        </row>
        <row r="1559">
          <cell r="O1559">
            <v>959000</v>
          </cell>
        </row>
        <row r="1560">
          <cell r="O1560">
            <v>1613000</v>
          </cell>
        </row>
        <row r="1561">
          <cell r="O1561">
            <v>594000</v>
          </cell>
        </row>
        <row r="1563">
          <cell r="O1563">
            <v>2547</v>
          </cell>
        </row>
        <row r="1564">
          <cell r="O1564">
            <v>3354</v>
          </cell>
        </row>
        <row r="1565">
          <cell r="O1565">
            <v>4696</v>
          </cell>
        </row>
        <row r="1566">
          <cell r="O1566">
            <v>5840</v>
          </cell>
        </row>
        <row r="1567">
          <cell r="O1567">
            <v>2260</v>
          </cell>
        </row>
        <row r="1568">
          <cell r="O1568">
            <v>2880</v>
          </cell>
        </row>
        <row r="1569">
          <cell r="O1569">
            <v>2700</v>
          </cell>
        </row>
        <row r="1570">
          <cell r="O1570">
            <v>3300</v>
          </cell>
        </row>
        <row r="1571">
          <cell r="O1571">
            <v>2916</v>
          </cell>
        </row>
        <row r="1572">
          <cell r="O1572">
            <v>2934</v>
          </cell>
        </row>
        <row r="1573">
          <cell r="O1573">
            <v>2971</v>
          </cell>
        </row>
        <row r="1574">
          <cell r="O1574">
            <v>3017</v>
          </cell>
        </row>
        <row r="1575">
          <cell r="O1575">
            <v>4200</v>
          </cell>
        </row>
        <row r="1576">
          <cell r="O1576">
            <v>5620</v>
          </cell>
        </row>
        <row r="1577">
          <cell r="O1577">
            <v>2475</v>
          </cell>
        </row>
        <row r="1578">
          <cell r="O1578">
            <v>583</v>
          </cell>
        </row>
        <row r="1579">
          <cell r="O1579">
            <v>3245</v>
          </cell>
        </row>
        <row r="1580">
          <cell r="O1580">
            <v>11935</v>
          </cell>
        </row>
        <row r="1581">
          <cell r="O1581">
            <v>39380</v>
          </cell>
        </row>
        <row r="1582">
          <cell r="O1582">
            <v>2892</v>
          </cell>
        </row>
        <row r="1583">
          <cell r="O1583">
            <v>649</v>
          </cell>
        </row>
        <row r="1584">
          <cell r="O1584">
            <v>346</v>
          </cell>
        </row>
        <row r="1585">
          <cell r="O1585">
            <v>518</v>
          </cell>
        </row>
        <row r="1586">
          <cell r="O1586">
            <v>3344</v>
          </cell>
        </row>
        <row r="1587">
          <cell r="O1587">
            <v>2042</v>
          </cell>
        </row>
        <row r="1588">
          <cell r="O1588">
            <v>400</v>
          </cell>
        </row>
        <row r="1589">
          <cell r="O1589">
            <v>2700</v>
          </cell>
        </row>
        <row r="1590">
          <cell r="O1590">
            <v>2684821</v>
          </cell>
        </row>
        <row r="1591">
          <cell r="O1591">
            <v>1448223</v>
          </cell>
        </row>
        <row r="1592">
          <cell r="O1592">
            <v>2256174</v>
          </cell>
        </row>
        <row r="1594">
          <cell r="O1594">
            <v>17614</v>
          </cell>
        </row>
        <row r="1595">
          <cell r="O1595">
            <v>134983</v>
          </cell>
        </row>
        <row r="1596">
          <cell r="O1596">
            <v>4568</v>
          </cell>
        </row>
        <row r="1597">
          <cell r="O1597">
            <v>9491</v>
          </cell>
        </row>
        <row r="1598">
          <cell r="O1598">
            <v>24211</v>
          </cell>
        </row>
        <row r="1599">
          <cell r="O1599">
            <v>6180746</v>
          </cell>
        </row>
        <row r="1600">
          <cell r="O1600">
            <v>1687176</v>
          </cell>
        </row>
        <row r="1601">
          <cell r="O1601">
            <v>7517124</v>
          </cell>
        </row>
        <row r="1602">
          <cell r="O1602">
            <v>5838299</v>
          </cell>
        </row>
        <row r="1603">
          <cell r="O1603">
            <v>716359</v>
          </cell>
        </row>
        <row r="1604">
          <cell r="O1604">
            <v>7587985</v>
          </cell>
        </row>
        <row r="1605">
          <cell r="O1605">
            <v>43919358</v>
          </cell>
        </row>
        <row r="1606">
          <cell r="O1606">
            <v>3981658</v>
          </cell>
        </row>
        <row r="1608">
          <cell r="O1608">
            <v>1820000</v>
          </cell>
        </row>
        <row r="1609">
          <cell r="O1609">
            <v>4000000</v>
          </cell>
        </row>
        <row r="1610">
          <cell r="O1610">
            <v>1600000</v>
          </cell>
        </row>
        <row r="1611">
          <cell r="O1611">
            <v>82000</v>
          </cell>
        </row>
        <row r="1613">
          <cell r="O1613">
            <v>2547</v>
          </cell>
        </row>
        <row r="1614">
          <cell r="O1614">
            <v>2916</v>
          </cell>
        </row>
        <row r="1615">
          <cell r="O1615">
            <v>3245</v>
          </cell>
        </row>
        <row r="1616">
          <cell r="O1616">
            <v>2892</v>
          </cell>
        </row>
        <row r="1617">
          <cell r="O1617">
            <v>649</v>
          </cell>
        </row>
        <row r="1618">
          <cell r="O1618">
            <v>346</v>
          </cell>
        </row>
        <row r="1619">
          <cell r="O1619">
            <v>400</v>
          </cell>
        </row>
        <row r="1620">
          <cell r="O1620">
            <v>2700</v>
          </cell>
        </row>
        <row r="1621">
          <cell r="O1621">
            <v>26488</v>
          </cell>
        </row>
        <row r="1622">
          <cell r="O1622">
            <v>28897</v>
          </cell>
        </row>
        <row r="1623">
          <cell r="O1623">
            <v>60356</v>
          </cell>
        </row>
        <row r="1625">
          <cell r="O1625">
            <v>17614</v>
          </cell>
        </row>
        <row r="1626">
          <cell r="O1626">
            <v>134983</v>
          </cell>
        </row>
        <row r="1627">
          <cell r="O1627">
            <v>4568</v>
          </cell>
        </row>
        <row r="1628">
          <cell r="O1628">
            <v>9491</v>
          </cell>
        </row>
        <row r="1629">
          <cell r="O1629">
            <v>24211</v>
          </cell>
        </row>
        <row r="1630">
          <cell r="O1630">
            <v>153650</v>
          </cell>
        </row>
        <row r="1631">
          <cell r="O1631">
            <v>41942</v>
          </cell>
        </row>
        <row r="1632">
          <cell r="O1632">
            <v>188872</v>
          </cell>
        </row>
        <row r="1633">
          <cell r="O1633">
            <v>145187</v>
          </cell>
        </row>
        <row r="1634">
          <cell r="O1634">
            <v>17808</v>
          </cell>
        </row>
        <row r="1635">
          <cell r="O1635">
            <v>228445</v>
          </cell>
        </row>
        <row r="1636">
          <cell r="O1636">
            <v>1312225</v>
          </cell>
        </row>
        <row r="1637">
          <cell r="O1637">
            <v>210000</v>
          </cell>
        </row>
        <row r="1639">
          <cell r="O1639">
            <v>1820000</v>
          </cell>
        </row>
        <row r="1640">
          <cell r="O1640">
            <v>4000000</v>
          </cell>
        </row>
        <row r="1641">
          <cell r="O1641">
            <v>1600000</v>
          </cell>
        </row>
        <row r="1642">
          <cell r="O1642">
            <v>82000</v>
          </cell>
        </row>
        <row r="1644">
          <cell r="O1644">
            <v>495000</v>
          </cell>
        </row>
        <row r="1645">
          <cell r="O1645">
            <v>628000</v>
          </cell>
        </row>
        <row r="1646">
          <cell r="O1646">
            <v>828000</v>
          </cell>
        </row>
        <row r="1647">
          <cell r="O1647">
            <v>250000</v>
          </cell>
        </row>
        <row r="1649">
          <cell r="O1649">
            <v>2547</v>
          </cell>
        </row>
        <row r="1650">
          <cell r="O1650">
            <v>3354</v>
          </cell>
        </row>
        <row r="1651">
          <cell r="O1651">
            <v>4696</v>
          </cell>
        </row>
        <row r="1652">
          <cell r="O1652">
            <v>2260</v>
          </cell>
        </row>
        <row r="1653">
          <cell r="O1653">
            <v>2880</v>
          </cell>
        </row>
        <row r="1654">
          <cell r="O1654">
            <v>2700</v>
          </cell>
        </row>
        <row r="1655">
          <cell r="O1655">
            <v>3300</v>
          </cell>
        </row>
        <row r="1656">
          <cell r="O1656">
            <v>2916</v>
          </cell>
        </row>
        <row r="1657">
          <cell r="O1657">
            <v>2934</v>
          </cell>
        </row>
        <row r="1658">
          <cell r="O1658">
            <v>2971</v>
          </cell>
        </row>
        <row r="1659">
          <cell r="O1659">
            <v>4200</v>
          </cell>
        </row>
        <row r="1660">
          <cell r="O1660">
            <v>2475</v>
          </cell>
        </row>
        <row r="1661">
          <cell r="O1661">
            <v>3245</v>
          </cell>
        </row>
        <row r="1662">
          <cell r="O1662">
            <v>2892</v>
          </cell>
        </row>
        <row r="1663">
          <cell r="O1663">
            <v>346</v>
          </cell>
        </row>
        <row r="1664">
          <cell r="O1664">
            <v>518</v>
          </cell>
        </row>
        <row r="1665">
          <cell r="O1665">
            <v>2700</v>
          </cell>
        </row>
        <row r="1666">
          <cell r="O1666">
            <v>187901</v>
          </cell>
        </row>
        <row r="1667">
          <cell r="O1667">
            <v>113337</v>
          </cell>
        </row>
        <row r="1668">
          <cell r="O1668">
            <v>200595</v>
          </cell>
        </row>
        <row r="1670">
          <cell r="O1670">
            <v>17614</v>
          </cell>
        </row>
        <row r="1671">
          <cell r="O1671">
            <v>134983</v>
          </cell>
        </row>
        <row r="1672">
          <cell r="O1672">
            <v>4568</v>
          </cell>
        </row>
        <row r="1673">
          <cell r="O1673">
            <v>9491</v>
          </cell>
        </row>
        <row r="1674">
          <cell r="O1674">
            <v>24211</v>
          </cell>
        </row>
        <row r="1675">
          <cell r="O1675">
            <v>505140</v>
          </cell>
        </row>
        <row r="1676">
          <cell r="O1676">
            <v>137889</v>
          </cell>
        </row>
        <row r="1677">
          <cell r="O1677">
            <v>914360</v>
          </cell>
        </row>
        <row r="1678">
          <cell r="O1678">
            <v>477153</v>
          </cell>
        </row>
        <row r="1679">
          <cell r="O1679">
            <v>58546</v>
          </cell>
        </row>
        <row r="1680">
          <cell r="O1680">
            <v>547563</v>
          </cell>
        </row>
        <row r="1681">
          <cell r="O1681">
            <v>3193870</v>
          </cell>
        </row>
        <row r="1682">
          <cell r="O1682">
            <v>530000</v>
          </cell>
        </row>
        <row r="1683">
          <cell r="O1683">
            <v>27500000</v>
          </cell>
        </row>
        <row r="1684">
          <cell r="O1684">
            <v>27500000</v>
          </cell>
        </row>
        <row r="1685">
          <cell r="O1685">
            <v>2320000</v>
          </cell>
        </row>
        <row r="1686">
          <cell r="O1686">
            <v>2320000</v>
          </cell>
        </row>
        <row r="1687">
          <cell r="O1687">
            <v>3116000</v>
          </cell>
        </row>
        <row r="1688">
          <cell r="O1688">
            <v>2006000</v>
          </cell>
        </row>
        <row r="1689">
          <cell r="O1689">
            <v>3116000</v>
          </cell>
        </row>
        <row r="1690">
          <cell r="O1690">
            <v>5500000</v>
          </cell>
        </row>
        <row r="1691">
          <cell r="O1691">
            <v>1150000</v>
          </cell>
        </row>
        <row r="1692">
          <cell r="O1692">
            <v>4320000</v>
          </cell>
        </row>
        <row r="1693">
          <cell r="O1693">
            <v>38166</v>
          </cell>
        </row>
        <row r="1694">
          <cell r="O1694">
            <v>45273</v>
          </cell>
        </row>
        <row r="1695">
          <cell r="O1695">
            <v>31125</v>
          </cell>
        </row>
        <row r="1696">
          <cell r="O1696">
            <v>24056</v>
          </cell>
        </row>
        <row r="1697">
          <cell r="O1697">
            <v>11113</v>
          </cell>
        </row>
        <row r="1698">
          <cell r="O1698">
            <v>88870</v>
          </cell>
        </row>
        <row r="1699">
          <cell r="O1699">
            <v>27320</v>
          </cell>
        </row>
        <row r="1700">
          <cell r="O1700">
            <v>36630</v>
          </cell>
        </row>
        <row r="1701">
          <cell r="O1701">
            <v>22000</v>
          </cell>
        </row>
        <row r="1702">
          <cell r="O1702">
            <v>2500</v>
          </cell>
        </row>
        <row r="1703">
          <cell r="O1703">
            <v>110100</v>
          </cell>
        </row>
        <row r="1704">
          <cell r="O1704">
            <v>79980</v>
          </cell>
        </row>
        <row r="1705">
          <cell r="O1705">
            <v>52310</v>
          </cell>
        </row>
        <row r="1706">
          <cell r="O1706">
            <v>34510</v>
          </cell>
        </row>
        <row r="1707">
          <cell r="O1707">
            <v>35000</v>
          </cell>
        </row>
        <row r="1708">
          <cell r="O1708">
            <v>188800</v>
          </cell>
        </row>
        <row r="1709">
          <cell r="O1709">
            <v>160000</v>
          </cell>
        </row>
        <row r="1710">
          <cell r="O1710">
            <v>132000</v>
          </cell>
        </row>
        <row r="1711">
          <cell r="O1711">
            <v>105600</v>
          </cell>
        </row>
        <row r="1712">
          <cell r="O1712">
            <v>11019</v>
          </cell>
        </row>
        <row r="1713">
          <cell r="O1713">
            <v>101402</v>
          </cell>
        </row>
        <row r="1714">
          <cell r="O1714">
            <v>101402</v>
          </cell>
        </row>
        <row r="1715">
          <cell r="O1715">
            <v>118646</v>
          </cell>
        </row>
        <row r="1716">
          <cell r="O1716">
            <v>94114</v>
          </cell>
        </row>
        <row r="1717">
          <cell r="O1717">
            <v>61257</v>
          </cell>
        </row>
        <row r="1718">
          <cell r="O1718">
            <v>49090</v>
          </cell>
        </row>
        <row r="1719">
          <cell r="O1719">
            <v>630299</v>
          </cell>
        </row>
        <row r="1720">
          <cell r="O1720">
            <v>551962</v>
          </cell>
        </row>
        <row r="1721">
          <cell r="O1721">
            <v>5851500</v>
          </cell>
        </row>
        <row r="1722">
          <cell r="O1722">
            <v>88088</v>
          </cell>
        </row>
        <row r="1723">
          <cell r="O1723">
            <v>74837</v>
          </cell>
        </row>
        <row r="1724">
          <cell r="O1724">
            <v>46872</v>
          </cell>
        </row>
        <row r="1725">
          <cell r="O1725">
            <v>39327</v>
          </cell>
        </row>
        <row r="1726">
          <cell r="O1726">
            <v>151220</v>
          </cell>
        </row>
        <row r="1727">
          <cell r="O1727">
            <v>125233</v>
          </cell>
        </row>
        <row r="1728">
          <cell r="O1728">
            <v>80098</v>
          </cell>
        </row>
        <row r="1729">
          <cell r="O1729">
            <v>55737</v>
          </cell>
        </row>
        <row r="1730">
          <cell r="O1730">
            <v>3652</v>
          </cell>
        </row>
        <row r="1731">
          <cell r="O1731">
            <v>59488</v>
          </cell>
        </row>
        <row r="1732">
          <cell r="O1732">
            <v>45273</v>
          </cell>
        </row>
        <row r="1733">
          <cell r="O1733">
            <v>35000000</v>
          </cell>
        </row>
        <row r="1734">
          <cell r="O1734">
            <v>16800</v>
          </cell>
        </row>
        <row r="1735">
          <cell r="O1735">
            <v>14177</v>
          </cell>
        </row>
        <row r="1736">
          <cell r="O1736">
            <v>61850</v>
          </cell>
        </row>
        <row r="1737">
          <cell r="O1737">
            <v>61850</v>
          </cell>
        </row>
        <row r="1738">
          <cell r="O1738">
            <v>61850</v>
          </cell>
        </row>
        <row r="1739">
          <cell r="O1739">
            <v>4142</v>
          </cell>
        </row>
        <row r="1740">
          <cell r="O1740">
            <v>439</v>
          </cell>
        </row>
        <row r="1741">
          <cell r="O1741">
            <v>14379</v>
          </cell>
        </row>
        <row r="1742">
          <cell r="O1742">
            <v>31205</v>
          </cell>
        </row>
        <row r="1743">
          <cell r="O1743">
            <v>12392</v>
          </cell>
        </row>
        <row r="1744">
          <cell r="O1744">
            <v>16240</v>
          </cell>
        </row>
        <row r="1745">
          <cell r="O1745">
            <v>31978</v>
          </cell>
        </row>
        <row r="1746">
          <cell r="O1746">
            <v>918</v>
          </cell>
        </row>
        <row r="1747">
          <cell r="O1747">
            <v>49510</v>
          </cell>
        </row>
        <row r="1748">
          <cell r="O1748">
            <v>1140</v>
          </cell>
        </row>
        <row r="1749">
          <cell r="O1749">
            <v>264</v>
          </cell>
        </row>
        <row r="1750">
          <cell r="O1750">
            <v>11304</v>
          </cell>
        </row>
        <row r="1751">
          <cell r="O1751">
            <v>8497</v>
          </cell>
        </row>
        <row r="1752">
          <cell r="O1752">
            <v>11304</v>
          </cell>
        </row>
        <row r="1753">
          <cell r="O1753">
            <v>8497</v>
          </cell>
        </row>
        <row r="1754">
          <cell r="O1754">
            <v>2150</v>
          </cell>
        </row>
        <row r="1755">
          <cell r="O1755">
            <v>2000000</v>
          </cell>
        </row>
        <row r="1756">
          <cell r="O1756">
            <v>3000000</v>
          </cell>
        </row>
        <row r="1757">
          <cell r="O1757">
            <v>500000</v>
          </cell>
        </row>
        <row r="1758">
          <cell r="O1758">
            <v>14379</v>
          </cell>
        </row>
        <row r="1759">
          <cell r="O1759">
            <v>12392</v>
          </cell>
        </row>
        <row r="1760">
          <cell r="O1760">
            <v>31205</v>
          </cell>
        </row>
        <row r="1761">
          <cell r="O1761">
            <v>16240</v>
          </cell>
        </row>
        <row r="1762">
          <cell r="O1762">
            <v>31978</v>
          </cell>
        </row>
        <row r="1763">
          <cell r="O1763">
            <v>918</v>
          </cell>
        </row>
        <row r="1764">
          <cell r="O1764">
            <v>24402</v>
          </cell>
        </row>
        <row r="1765">
          <cell r="O1765">
            <v>1140</v>
          </cell>
        </row>
        <row r="1766">
          <cell r="O1766">
            <v>264</v>
          </cell>
        </row>
        <row r="1767">
          <cell r="O1767">
            <v>11304</v>
          </cell>
        </row>
        <row r="1768">
          <cell r="O1768">
            <v>8497</v>
          </cell>
        </row>
        <row r="1769">
          <cell r="O1769">
            <v>11304</v>
          </cell>
        </row>
        <row r="1770">
          <cell r="O1770">
            <v>11304</v>
          </cell>
        </row>
        <row r="1771">
          <cell r="O1771">
            <v>2150</v>
          </cell>
        </row>
        <row r="1772">
          <cell r="O1772">
            <v>2000000</v>
          </cell>
        </row>
        <row r="1773">
          <cell r="O1773">
            <v>3000000</v>
          </cell>
        </row>
        <row r="1774">
          <cell r="O1774">
            <v>500000</v>
          </cell>
        </row>
        <row r="1775">
          <cell r="O1775">
            <v>13570</v>
          </cell>
        </row>
        <row r="1776">
          <cell r="O1776">
            <v>8370</v>
          </cell>
        </row>
        <row r="1777">
          <cell r="O1777">
            <v>5930</v>
          </cell>
        </row>
        <row r="1778">
          <cell r="O1778">
            <v>58280</v>
          </cell>
        </row>
        <row r="1779">
          <cell r="O1779">
            <v>46750</v>
          </cell>
        </row>
        <row r="1780">
          <cell r="O1780">
            <v>34080</v>
          </cell>
        </row>
        <row r="1781">
          <cell r="O1781">
            <v>28040</v>
          </cell>
        </row>
        <row r="1782">
          <cell r="O1782">
            <v>28040</v>
          </cell>
        </row>
        <row r="1783">
          <cell r="O1783">
            <v>59560</v>
          </cell>
        </row>
        <row r="1784">
          <cell r="O1784">
            <v>41900</v>
          </cell>
        </row>
        <row r="1785">
          <cell r="O1785">
            <v>37110</v>
          </cell>
        </row>
        <row r="1786">
          <cell r="O1786">
            <v>13570</v>
          </cell>
        </row>
        <row r="1787">
          <cell r="O1787">
            <v>8370</v>
          </cell>
        </row>
        <row r="1788">
          <cell r="O1788">
            <v>5930</v>
          </cell>
        </row>
        <row r="1789">
          <cell r="O1789">
            <v>58280</v>
          </cell>
        </row>
        <row r="1790">
          <cell r="O1790">
            <v>46750</v>
          </cell>
        </row>
        <row r="1791">
          <cell r="O1791">
            <v>34080</v>
          </cell>
        </row>
        <row r="1792">
          <cell r="O1792">
            <v>28040</v>
          </cell>
        </row>
        <row r="1793">
          <cell r="O1793">
            <v>59560</v>
          </cell>
        </row>
        <row r="1794">
          <cell r="O1794">
            <v>41900</v>
          </cell>
        </row>
        <row r="1795">
          <cell r="O1795">
            <v>3400000</v>
          </cell>
        </row>
        <row r="1796">
          <cell r="O1796">
            <v>3500000</v>
          </cell>
        </row>
        <row r="1797">
          <cell r="O1797">
            <v>3800000</v>
          </cell>
        </row>
        <row r="1798">
          <cell r="O1798">
            <v>1000000</v>
          </cell>
        </row>
        <row r="1799">
          <cell r="O1799">
            <v>2300</v>
          </cell>
        </row>
        <row r="1800">
          <cell r="O1800">
            <v>2000</v>
          </cell>
        </row>
        <row r="1801">
          <cell r="O1801">
            <v>2500</v>
          </cell>
        </row>
        <row r="1802">
          <cell r="O1802">
            <v>1900</v>
          </cell>
        </row>
        <row r="1803">
          <cell r="O1803">
            <v>600</v>
          </cell>
        </row>
        <row r="1804">
          <cell r="O1804">
            <v>3400</v>
          </cell>
        </row>
        <row r="1805">
          <cell r="O1805">
            <v>2600</v>
          </cell>
        </row>
        <row r="1806">
          <cell r="O1806">
            <v>1989</v>
          </cell>
        </row>
        <row r="1807">
          <cell r="O1807">
            <v>1547</v>
          </cell>
        </row>
        <row r="1808">
          <cell r="O1808">
            <v>1330000</v>
          </cell>
        </row>
        <row r="1809">
          <cell r="O1809">
            <v>200</v>
          </cell>
        </row>
        <row r="1810">
          <cell r="O1810">
            <v>1900</v>
          </cell>
        </row>
        <row r="1811">
          <cell r="O1811">
            <v>2800</v>
          </cell>
        </row>
        <row r="1812">
          <cell r="O1812">
            <v>462000</v>
          </cell>
        </row>
        <row r="1813">
          <cell r="O1813">
            <v>94000</v>
          </cell>
        </row>
        <row r="1814">
          <cell r="O1814">
            <v>2716</v>
          </cell>
        </row>
        <row r="1815">
          <cell r="O1815">
            <v>3560</v>
          </cell>
        </row>
        <row r="1816">
          <cell r="O1816">
            <v>4670</v>
          </cell>
        </row>
        <row r="1817">
          <cell r="O1817">
            <v>4670</v>
          </cell>
        </row>
        <row r="1818">
          <cell r="O1818">
            <v>1417</v>
          </cell>
        </row>
        <row r="1819">
          <cell r="O1819">
            <v>3500000</v>
          </cell>
        </row>
        <row r="1820">
          <cell r="O1820">
            <v>71951</v>
          </cell>
        </row>
        <row r="1821">
          <cell r="O1821">
            <v>12727</v>
          </cell>
        </row>
        <row r="1822">
          <cell r="O1822">
            <v>8372</v>
          </cell>
        </row>
        <row r="1823">
          <cell r="O1823">
            <v>52049</v>
          </cell>
        </row>
        <row r="1824">
          <cell r="O1824">
            <v>65246</v>
          </cell>
        </row>
        <row r="1825">
          <cell r="O1825">
            <v>38989</v>
          </cell>
        </row>
        <row r="1826">
          <cell r="O1826">
            <v>27013</v>
          </cell>
        </row>
        <row r="1827">
          <cell r="O1827">
            <v>14608</v>
          </cell>
        </row>
        <row r="1828">
          <cell r="O1828">
            <v>85156</v>
          </cell>
        </row>
        <row r="1829">
          <cell r="O1829">
            <v>69275</v>
          </cell>
        </row>
        <row r="1830">
          <cell r="O1830">
            <v>54967</v>
          </cell>
        </row>
        <row r="1831">
          <cell r="O1831">
            <v>38127</v>
          </cell>
        </row>
        <row r="1832">
          <cell r="O1832">
            <v>13986</v>
          </cell>
        </row>
        <row r="1833">
          <cell r="O1833">
            <v>38127</v>
          </cell>
        </row>
        <row r="1834">
          <cell r="O1834">
            <v>38127</v>
          </cell>
        </row>
        <row r="1835">
          <cell r="O1835">
            <v>164320</v>
          </cell>
        </row>
        <row r="1836">
          <cell r="O1836">
            <v>132531</v>
          </cell>
        </row>
        <row r="1837">
          <cell r="O1837">
            <v>96482</v>
          </cell>
        </row>
        <row r="1838">
          <cell r="O1838">
            <v>64905</v>
          </cell>
        </row>
        <row r="1839">
          <cell r="O1839">
            <v>54967</v>
          </cell>
        </row>
        <row r="1840">
          <cell r="O1840">
            <v>38127</v>
          </cell>
        </row>
        <row r="1841">
          <cell r="O1841">
            <v>103068</v>
          </cell>
        </row>
        <row r="1842">
          <cell r="O1842">
            <v>88790</v>
          </cell>
        </row>
        <row r="1843">
          <cell r="O1843">
            <v>74512</v>
          </cell>
        </row>
        <row r="1844">
          <cell r="O1844">
            <v>60234</v>
          </cell>
        </row>
        <row r="1845">
          <cell r="O1845">
            <v>206136</v>
          </cell>
        </row>
        <row r="1846">
          <cell r="O1846">
            <v>177580</v>
          </cell>
        </row>
        <row r="1847">
          <cell r="O1847">
            <v>149024</v>
          </cell>
        </row>
        <row r="1848">
          <cell r="O1848">
            <v>60234</v>
          </cell>
        </row>
        <row r="1849">
          <cell r="O1849">
            <v>13066</v>
          </cell>
        </row>
        <row r="1850">
          <cell r="O1850">
            <v>10533</v>
          </cell>
        </row>
        <row r="1851">
          <cell r="O1851">
            <v>7348</v>
          </cell>
        </row>
        <row r="1852">
          <cell r="O1852">
            <v>4996</v>
          </cell>
        </row>
        <row r="1853">
          <cell r="O1853">
            <v>19636</v>
          </cell>
        </row>
        <row r="1854">
          <cell r="O1854">
            <v>17996</v>
          </cell>
        </row>
        <row r="1855">
          <cell r="O1855">
            <v>15286</v>
          </cell>
        </row>
        <row r="1856">
          <cell r="O1856">
            <v>13530</v>
          </cell>
        </row>
        <row r="1857">
          <cell r="O1857">
            <v>6997</v>
          </cell>
        </row>
        <row r="1858">
          <cell r="O1858">
            <v>12540</v>
          </cell>
        </row>
        <row r="1859">
          <cell r="O1859">
            <v>36340</v>
          </cell>
        </row>
        <row r="1860">
          <cell r="O1860">
            <v>69406</v>
          </cell>
        </row>
        <row r="1861">
          <cell r="O1861">
            <v>20651</v>
          </cell>
        </row>
        <row r="1862">
          <cell r="O1862">
            <v>1760</v>
          </cell>
        </row>
        <row r="1863">
          <cell r="O1863">
            <v>918</v>
          </cell>
        </row>
        <row r="1864">
          <cell r="O1864">
            <v>1124</v>
          </cell>
        </row>
        <row r="1865">
          <cell r="O1865">
            <v>1124</v>
          </cell>
        </row>
        <row r="1866">
          <cell r="O1866">
            <v>203</v>
          </cell>
        </row>
        <row r="1867">
          <cell r="O1867">
            <v>142</v>
          </cell>
        </row>
        <row r="1868">
          <cell r="O1868">
            <v>312</v>
          </cell>
        </row>
        <row r="1869">
          <cell r="O1869">
            <v>194</v>
          </cell>
        </row>
        <row r="1870">
          <cell r="O1870">
            <v>1124</v>
          </cell>
        </row>
        <row r="1871">
          <cell r="O1871">
            <v>1124</v>
          </cell>
        </row>
        <row r="1872">
          <cell r="O1872">
            <v>918</v>
          </cell>
        </row>
        <row r="1873">
          <cell r="O1873">
            <v>203</v>
          </cell>
        </row>
        <row r="1874">
          <cell r="O1874">
            <v>142</v>
          </cell>
        </row>
        <row r="1875">
          <cell r="O1875">
            <v>312</v>
          </cell>
        </row>
        <row r="1876">
          <cell r="O1876">
            <v>194</v>
          </cell>
        </row>
        <row r="1877">
          <cell r="O1877">
            <v>3777981</v>
          </cell>
        </row>
        <row r="1878">
          <cell r="O1878">
            <v>1031286</v>
          </cell>
        </row>
        <row r="1879">
          <cell r="O1879">
            <v>3568660</v>
          </cell>
        </row>
        <row r="1880">
          <cell r="O1880">
            <v>4594841</v>
          </cell>
        </row>
        <row r="1881">
          <cell r="O1881">
            <v>437874</v>
          </cell>
        </row>
        <row r="1882">
          <cell r="O1882">
            <v>135878180</v>
          </cell>
        </row>
        <row r="1883">
          <cell r="O1883">
            <v>10552682</v>
          </cell>
        </row>
        <row r="1884">
          <cell r="O1884">
            <v>10040000</v>
          </cell>
        </row>
        <row r="1885">
          <cell r="O1885">
            <v>38000</v>
          </cell>
        </row>
        <row r="1886">
          <cell r="O1886">
            <v>290000</v>
          </cell>
        </row>
        <row r="1887">
          <cell r="O1887">
            <v>46000</v>
          </cell>
        </row>
        <row r="1888">
          <cell r="O1888">
            <v>66787</v>
          </cell>
        </row>
        <row r="1889">
          <cell r="O1889">
            <v>16200</v>
          </cell>
        </row>
        <row r="1890">
          <cell r="O1890">
            <v>10000</v>
          </cell>
        </row>
        <row r="1891">
          <cell r="O1891">
            <v>317400</v>
          </cell>
        </row>
        <row r="1892">
          <cell r="O1892">
            <v>248400</v>
          </cell>
        </row>
        <row r="1893">
          <cell r="O1893">
            <v>30600</v>
          </cell>
        </row>
        <row r="1894">
          <cell r="O1894">
            <v>54400</v>
          </cell>
        </row>
        <row r="1895">
          <cell r="O1895">
            <v>33000</v>
          </cell>
        </row>
        <row r="1897">
          <cell r="O1897">
            <v>170000</v>
          </cell>
        </row>
        <row r="1898">
          <cell r="O1898">
            <v>10000</v>
          </cell>
        </row>
        <row r="1899">
          <cell r="O1899">
            <v>10000</v>
          </cell>
        </row>
        <row r="1900">
          <cell r="O1900">
            <v>2000</v>
          </cell>
        </row>
        <row r="1901">
          <cell r="O1901">
            <v>50000</v>
          </cell>
        </row>
        <row r="1902">
          <cell r="O1902">
            <v>30000</v>
          </cell>
        </row>
        <row r="1903">
          <cell r="O1903">
            <v>10000</v>
          </cell>
        </row>
        <row r="1904">
          <cell r="O1904">
            <v>3000</v>
          </cell>
        </row>
        <row r="1906">
          <cell r="O1906">
            <v>900000</v>
          </cell>
        </row>
        <row r="1907">
          <cell r="O1907">
            <v>200000</v>
          </cell>
        </row>
        <row r="1908">
          <cell r="O1908">
            <v>85000</v>
          </cell>
        </row>
        <row r="1909">
          <cell r="O1909">
            <v>1044</v>
          </cell>
        </row>
        <row r="1910">
          <cell r="O1910">
            <v>2980</v>
          </cell>
        </row>
        <row r="1911">
          <cell r="O1911">
            <v>3600</v>
          </cell>
        </row>
        <row r="1912">
          <cell r="O1912">
            <v>20671</v>
          </cell>
        </row>
        <row r="1913">
          <cell r="O1913">
            <v>47632</v>
          </cell>
        </row>
        <row r="1914">
          <cell r="O1914">
            <v>3000</v>
          </cell>
        </row>
        <row r="1915">
          <cell r="O1915">
            <v>400000</v>
          </cell>
        </row>
        <row r="1916">
          <cell r="O1916">
            <v>20665</v>
          </cell>
        </row>
        <row r="1917">
          <cell r="O1917">
            <v>6890</v>
          </cell>
        </row>
        <row r="1918">
          <cell r="O1918">
            <v>33300</v>
          </cell>
        </row>
        <row r="1919">
          <cell r="O1919">
            <v>39100</v>
          </cell>
        </row>
        <row r="1920">
          <cell r="O1920">
            <v>46800</v>
          </cell>
        </row>
        <row r="1921">
          <cell r="O1921">
            <v>54630</v>
          </cell>
        </row>
        <row r="1922">
          <cell r="O1922">
            <v>45000</v>
          </cell>
        </row>
        <row r="1923">
          <cell r="O1923">
            <v>115752</v>
          </cell>
        </row>
        <row r="1924">
          <cell r="O1924">
            <v>133392</v>
          </cell>
        </row>
        <row r="1925">
          <cell r="O1925">
            <v>54000</v>
          </cell>
        </row>
        <row r="1926">
          <cell r="O1926">
            <v>6600</v>
          </cell>
        </row>
        <row r="1927">
          <cell r="O1927">
            <v>525609</v>
          </cell>
        </row>
        <row r="1928">
          <cell r="O1928">
            <v>942753</v>
          </cell>
        </row>
        <row r="1929">
          <cell r="O1929">
            <v>4584</v>
          </cell>
        </row>
        <row r="1930">
          <cell r="O1930">
            <v>77406</v>
          </cell>
        </row>
        <row r="1931">
          <cell r="O1931">
            <v>775988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.xls].xls].xls].xls].xls]_xls_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1D45-0A1B-4919-ACA0-EAE7B2BA5A40}">
  <dimension ref="A1:AC4321"/>
  <sheetViews>
    <sheetView tabSelected="1" topLeftCell="C1" workbookViewId="0">
      <selection activeCell="F6" sqref="F6"/>
    </sheetView>
  </sheetViews>
  <sheetFormatPr defaultRowHeight="16.5" x14ac:dyDescent="0.3"/>
  <cols>
    <col min="1" max="1" width="12.625" hidden="1" customWidth="1"/>
    <col min="2" max="2" width="11.625" hidden="1" customWidth="1"/>
    <col min="3" max="3" width="28.625" customWidth="1"/>
    <col min="4" max="4" width="29.75" customWidth="1"/>
    <col min="5" max="5" width="4.625" customWidth="1"/>
    <col min="6" max="6" width="10.625" customWidth="1"/>
    <col min="7" max="14" width="14.625" customWidth="1"/>
    <col min="15" max="15" width="12.625" customWidth="1"/>
    <col min="18" max="19" width="1.625" customWidth="1"/>
    <col min="20" max="20" width="5.625" customWidth="1"/>
    <col min="21" max="29" width="1.625" customWidth="1"/>
    <col min="257" max="258" width="0" hidden="1" customWidth="1"/>
    <col min="259" max="259" width="28.625" customWidth="1"/>
    <col min="260" max="260" width="29.75" customWidth="1"/>
    <col min="261" max="261" width="4.625" customWidth="1"/>
    <col min="262" max="262" width="10.625" customWidth="1"/>
    <col min="263" max="270" width="14.625" customWidth="1"/>
    <col min="271" max="271" width="12.625" customWidth="1"/>
    <col min="274" max="275" width="1.625" customWidth="1"/>
    <col min="276" max="276" width="5.625" customWidth="1"/>
    <col min="277" max="285" width="1.625" customWidth="1"/>
    <col min="513" max="514" width="0" hidden="1" customWidth="1"/>
    <col min="515" max="515" width="28.625" customWidth="1"/>
    <col min="516" max="516" width="29.75" customWidth="1"/>
    <col min="517" max="517" width="4.625" customWidth="1"/>
    <col min="518" max="518" width="10.625" customWidth="1"/>
    <col min="519" max="526" width="14.625" customWidth="1"/>
    <col min="527" max="527" width="12.625" customWidth="1"/>
    <col min="530" max="531" width="1.625" customWidth="1"/>
    <col min="532" max="532" width="5.625" customWidth="1"/>
    <col min="533" max="541" width="1.625" customWidth="1"/>
    <col min="769" max="770" width="0" hidden="1" customWidth="1"/>
    <col min="771" max="771" width="28.625" customWidth="1"/>
    <col min="772" max="772" width="29.75" customWidth="1"/>
    <col min="773" max="773" width="4.625" customWidth="1"/>
    <col min="774" max="774" width="10.625" customWidth="1"/>
    <col min="775" max="782" width="14.625" customWidth="1"/>
    <col min="783" max="783" width="12.625" customWidth="1"/>
    <col min="786" max="787" width="1.625" customWidth="1"/>
    <col min="788" max="788" width="5.625" customWidth="1"/>
    <col min="789" max="797" width="1.625" customWidth="1"/>
    <col min="1025" max="1026" width="0" hidden="1" customWidth="1"/>
    <col min="1027" max="1027" width="28.625" customWidth="1"/>
    <col min="1028" max="1028" width="29.75" customWidth="1"/>
    <col min="1029" max="1029" width="4.625" customWidth="1"/>
    <col min="1030" max="1030" width="10.625" customWidth="1"/>
    <col min="1031" max="1038" width="14.625" customWidth="1"/>
    <col min="1039" max="1039" width="12.625" customWidth="1"/>
    <col min="1042" max="1043" width="1.625" customWidth="1"/>
    <col min="1044" max="1044" width="5.625" customWidth="1"/>
    <col min="1045" max="1053" width="1.625" customWidth="1"/>
    <col min="1281" max="1282" width="0" hidden="1" customWidth="1"/>
    <col min="1283" max="1283" width="28.625" customWidth="1"/>
    <col min="1284" max="1284" width="29.75" customWidth="1"/>
    <col min="1285" max="1285" width="4.625" customWidth="1"/>
    <col min="1286" max="1286" width="10.625" customWidth="1"/>
    <col min="1287" max="1294" width="14.625" customWidth="1"/>
    <col min="1295" max="1295" width="12.625" customWidth="1"/>
    <col min="1298" max="1299" width="1.625" customWidth="1"/>
    <col min="1300" max="1300" width="5.625" customWidth="1"/>
    <col min="1301" max="1309" width="1.625" customWidth="1"/>
    <col min="1537" max="1538" width="0" hidden="1" customWidth="1"/>
    <col min="1539" max="1539" width="28.625" customWidth="1"/>
    <col min="1540" max="1540" width="29.75" customWidth="1"/>
    <col min="1541" max="1541" width="4.625" customWidth="1"/>
    <col min="1542" max="1542" width="10.625" customWidth="1"/>
    <col min="1543" max="1550" width="14.625" customWidth="1"/>
    <col min="1551" max="1551" width="12.625" customWidth="1"/>
    <col min="1554" max="1555" width="1.625" customWidth="1"/>
    <col min="1556" max="1556" width="5.625" customWidth="1"/>
    <col min="1557" max="1565" width="1.625" customWidth="1"/>
    <col min="1793" max="1794" width="0" hidden="1" customWidth="1"/>
    <col min="1795" max="1795" width="28.625" customWidth="1"/>
    <col min="1796" max="1796" width="29.75" customWidth="1"/>
    <col min="1797" max="1797" width="4.625" customWidth="1"/>
    <col min="1798" max="1798" width="10.625" customWidth="1"/>
    <col min="1799" max="1806" width="14.625" customWidth="1"/>
    <col min="1807" max="1807" width="12.625" customWidth="1"/>
    <col min="1810" max="1811" width="1.625" customWidth="1"/>
    <col min="1812" max="1812" width="5.625" customWidth="1"/>
    <col min="1813" max="1821" width="1.625" customWidth="1"/>
    <col min="2049" max="2050" width="0" hidden="1" customWidth="1"/>
    <col min="2051" max="2051" width="28.625" customWidth="1"/>
    <col min="2052" max="2052" width="29.75" customWidth="1"/>
    <col min="2053" max="2053" width="4.625" customWidth="1"/>
    <col min="2054" max="2054" width="10.625" customWidth="1"/>
    <col min="2055" max="2062" width="14.625" customWidth="1"/>
    <col min="2063" max="2063" width="12.625" customWidth="1"/>
    <col min="2066" max="2067" width="1.625" customWidth="1"/>
    <col min="2068" max="2068" width="5.625" customWidth="1"/>
    <col min="2069" max="2077" width="1.625" customWidth="1"/>
    <col min="2305" max="2306" width="0" hidden="1" customWidth="1"/>
    <col min="2307" max="2307" width="28.625" customWidth="1"/>
    <col min="2308" max="2308" width="29.75" customWidth="1"/>
    <col min="2309" max="2309" width="4.625" customWidth="1"/>
    <col min="2310" max="2310" width="10.625" customWidth="1"/>
    <col min="2311" max="2318" width="14.625" customWidth="1"/>
    <col min="2319" max="2319" width="12.625" customWidth="1"/>
    <col min="2322" max="2323" width="1.625" customWidth="1"/>
    <col min="2324" max="2324" width="5.625" customWidth="1"/>
    <col min="2325" max="2333" width="1.625" customWidth="1"/>
    <col min="2561" max="2562" width="0" hidden="1" customWidth="1"/>
    <col min="2563" max="2563" width="28.625" customWidth="1"/>
    <col min="2564" max="2564" width="29.75" customWidth="1"/>
    <col min="2565" max="2565" width="4.625" customWidth="1"/>
    <col min="2566" max="2566" width="10.625" customWidth="1"/>
    <col min="2567" max="2574" width="14.625" customWidth="1"/>
    <col min="2575" max="2575" width="12.625" customWidth="1"/>
    <col min="2578" max="2579" width="1.625" customWidth="1"/>
    <col min="2580" max="2580" width="5.625" customWidth="1"/>
    <col min="2581" max="2589" width="1.625" customWidth="1"/>
    <col min="2817" max="2818" width="0" hidden="1" customWidth="1"/>
    <col min="2819" max="2819" width="28.625" customWidth="1"/>
    <col min="2820" max="2820" width="29.75" customWidth="1"/>
    <col min="2821" max="2821" width="4.625" customWidth="1"/>
    <col min="2822" max="2822" width="10.625" customWidth="1"/>
    <col min="2823" max="2830" width="14.625" customWidth="1"/>
    <col min="2831" max="2831" width="12.625" customWidth="1"/>
    <col min="2834" max="2835" width="1.625" customWidth="1"/>
    <col min="2836" max="2836" width="5.625" customWidth="1"/>
    <col min="2837" max="2845" width="1.625" customWidth="1"/>
    <col min="3073" max="3074" width="0" hidden="1" customWidth="1"/>
    <col min="3075" max="3075" width="28.625" customWidth="1"/>
    <col min="3076" max="3076" width="29.75" customWidth="1"/>
    <col min="3077" max="3077" width="4.625" customWidth="1"/>
    <col min="3078" max="3078" width="10.625" customWidth="1"/>
    <col min="3079" max="3086" width="14.625" customWidth="1"/>
    <col min="3087" max="3087" width="12.625" customWidth="1"/>
    <col min="3090" max="3091" width="1.625" customWidth="1"/>
    <col min="3092" max="3092" width="5.625" customWidth="1"/>
    <col min="3093" max="3101" width="1.625" customWidth="1"/>
    <col min="3329" max="3330" width="0" hidden="1" customWidth="1"/>
    <col min="3331" max="3331" width="28.625" customWidth="1"/>
    <col min="3332" max="3332" width="29.75" customWidth="1"/>
    <col min="3333" max="3333" width="4.625" customWidth="1"/>
    <col min="3334" max="3334" width="10.625" customWidth="1"/>
    <col min="3335" max="3342" width="14.625" customWidth="1"/>
    <col min="3343" max="3343" width="12.625" customWidth="1"/>
    <col min="3346" max="3347" width="1.625" customWidth="1"/>
    <col min="3348" max="3348" width="5.625" customWidth="1"/>
    <col min="3349" max="3357" width="1.625" customWidth="1"/>
    <col min="3585" max="3586" width="0" hidden="1" customWidth="1"/>
    <col min="3587" max="3587" width="28.625" customWidth="1"/>
    <col min="3588" max="3588" width="29.75" customWidth="1"/>
    <col min="3589" max="3589" width="4.625" customWidth="1"/>
    <col min="3590" max="3590" width="10.625" customWidth="1"/>
    <col min="3591" max="3598" width="14.625" customWidth="1"/>
    <col min="3599" max="3599" width="12.625" customWidth="1"/>
    <col min="3602" max="3603" width="1.625" customWidth="1"/>
    <col min="3604" max="3604" width="5.625" customWidth="1"/>
    <col min="3605" max="3613" width="1.625" customWidth="1"/>
    <col min="3841" max="3842" width="0" hidden="1" customWidth="1"/>
    <col min="3843" max="3843" width="28.625" customWidth="1"/>
    <col min="3844" max="3844" width="29.75" customWidth="1"/>
    <col min="3845" max="3845" width="4.625" customWidth="1"/>
    <col min="3846" max="3846" width="10.625" customWidth="1"/>
    <col min="3847" max="3854" width="14.625" customWidth="1"/>
    <col min="3855" max="3855" width="12.625" customWidth="1"/>
    <col min="3858" max="3859" width="1.625" customWidth="1"/>
    <col min="3860" max="3860" width="5.625" customWidth="1"/>
    <col min="3861" max="3869" width="1.625" customWidth="1"/>
    <col min="4097" max="4098" width="0" hidden="1" customWidth="1"/>
    <col min="4099" max="4099" width="28.625" customWidth="1"/>
    <col min="4100" max="4100" width="29.75" customWidth="1"/>
    <col min="4101" max="4101" width="4.625" customWidth="1"/>
    <col min="4102" max="4102" width="10.625" customWidth="1"/>
    <col min="4103" max="4110" width="14.625" customWidth="1"/>
    <col min="4111" max="4111" width="12.625" customWidth="1"/>
    <col min="4114" max="4115" width="1.625" customWidth="1"/>
    <col min="4116" max="4116" width="5.625" customWidth="1"/>
    <col min="4117" max="4125" width="1.625" customWidth="1"/>
    <col min="4353" max="4354" width="0" hidden="1" customWidth="1"/>
    <col min="4355" max="4355" width="28.625" customWidth="1"/>
    <col min="4356" max="4356" width="29.75" customWidth="1"/>
    <col min="4357" max="4357" width="4.625" customWidth="1"/>
    <col min="4358" max="4358" width="10.625" customWidth="1"/>
    <col min="4359" max="4366" width="14.625" customWidth="1"/>
    <col min="4367" max="4367" width="12.625" customWidth="1"/>
    <col min="4370" max="4371" width="1.625" customWidth="1"/>
    <col min="4372" max="4372" width="5.625" customWidth="1"/>
    <col min="4373" max="4381" width="1.625" customWidth="1"/>
    <col min="4609" max="4610" width="0" hidden="1" customWidth="1"/>
    <col min="4611" max="4611" width="28.625" customWidth="1"/>
    <col min="4612" max="4612" width="29.75" customWidth="1"/>
    <col min="4613" max="4613" width="4.625" customWidth="1"/>
    <col min="4614" max="4614" width="10.625" customWidth="1"/>
    <col min="4615" max="4622" width="14.625" customWidth="1"/>
    <col min="4623" max="4623" width="12.625" customWidth="1"/>
    <col min="4626" max="4627" width="1.625" customWidth="1"/>
    <col min="4628" max="4628" width="5.625" customWidth="1"/>
    <col min="4629" max="4637" width="1.625" customWidth="1"/>
    <col min="4865" max="4866" width="0" hidden="1" customWidth="1"/>
    <col min="4867" max="4867" width="28.625" customWidth="1"/>
    <col min="4868" max="4868" width="29.75" customWidth="1"/>
    <col min="4869" max="4869" width="4.625" customWidth="1"/>
    <col min="4870" max="4870" width="10.625" customWidth="1"/>
    <col min="4871" max="4878" width="14.625" customWidth="1"/>
    <col min="4879" max="4879" width="12.625" customWidth="1"/>
    <col min="4882" max="4883" width="1.625" customWidth="1"/>
    <col min="4884" max="4884" width="5.625" customWidth="1"/>
    <col min="4885" max="4893" width="1.625" customWidth="1"/>
    <col min="5121" max="5122" width="0" hidden="1" customWidth="1"/>
    <col min="5123" max="5123" width="28.625" customWidth="1"/>
    <col min="5124" max="5124" width="29.75" customWidth="1"/>
    <col min="5125" max="5125" width="4.625" customWidth="1"/>
    <col min="5126" max="5126" width="10.625" customWidth="1"/>
    <col min="5127" max="5134" width="14.625" customWidth="1"/>
    <col min="5135" max="5135" width="12.625" customWidth="1"/>
    <col min="5138" max="5139" width="1.625" customWidth="1"/>
    <col min="5140" max="5140" width="5.625" customWidth="1"/>
    <col min="5141" max="5149" width="1.625" customWidth="1"/>
    <col min="5377" max="5378" width="0" hidden="1" customWidth="1"/>
    <col min="5379" max="5379" width="28.625" customWidth="1"/>
    <col min="5380" max="5380" width="29.75" customWidth="1"/>
    <col min="5381" max="5381" width="4.625" customWidth="1"/>
    <col min="5382" max="5382" width="10.625" customWidth="1"/>
    <col min="5383" max="5390" width="14.625" customWidth="1"/>
    <col min="5391" max="5391" width="12.625" customWidth="1"/>
    <col min="5394" max="5395" width="1.625" customWidth="1"/>
    <col min="5396" max="5396" width="5.625" customWidth="1"/>
    <col min="5397" max="5405" width="1.625" customWidth="1"/>
    <col min="5633" max="5634" width="0" hidden="1" customWidth="1"/>
    <col min="5635" max="5635" width="28.625" customWidth="1"/>
    <col min="5636" max="5636" width="29.75" customWidth="1"/>
    <col min="5637" max="5637" width="4.625" customWidth="1"/>
    <col min="5638" max="5638" width="10.625" customWidth="1"/>
    <col min="5639" max="5646" width="14.625" customWidth="1"/>
    <col min="5647" max="5647" width="12.625" customWidth="1"/>
    <col min="5650" max="5651" width="1.625" customWidth="1"/>
    <col min="5652" max="5652" width="5.625" customWidth="1"/>
    <col min="5653" max="5661" width="1.625" customWidth="1"/>
    <col min="5889" max="5890" width="0" hidden="1" customWidth="1"/>
    <col min="5891" max="5891" width="28.625" customWidth="1"/>
    <col min="5892" max="5892" width="29.75" customWidth="1"/>
    <col min="5893" max="5893" width="4.625" customWidth="1"/>
    <col min="5894" max="5894" width="10.625" customWidth="1"/>
    <col min="5895" max="5902" width="14.625" customWidth="1"/>
    <col min="5903" max="5903" width="12.625" customWidth="1"/>
    <col min="5906" max="5907" width="1.625" customWidth="1"/>
    <col min="5908" max="5908" width="5.625" customWidth="1"/>
    <col min="5909" max="5917" width="1.625" customWidth="1"/>
    <col min="6145" max="6146" width="0" hidden="1" customWidth="1"/>
    <col min="6147" max="6147" width="28.625" customWidth="1"/>
    <col min="6148" max="6148" width="29.75" customWidth="1"/>
    <col min="6149" max="6149" width="4.625" customWidth="1"/>
    <col min="6150" max="6150" width="10.625" customWidth="1"/>
    <col min="6151" max="6158" width="14.625" customWidth="1"/>
    <col min="6159" max="6159" width="12.625" customWidth="1"/>
    <col min="6162" max="6163" width="1.625" customWidth="1"/>
    <col min="6164" max="6164" width="5.625" customWidth="1"/>
    <col min="6165" max="6173" width="1.625" customWidth="1"/>
    <col min="6401" max="6402" width="0" hidden="1" customWidth="1"/>
    <col min="6403" max="6403" width="28.625" customWidth="1"/>
    <col min="6404" max="6404" width="29.75" customWidth="1"/>
    <col min="6405" max="6405" width="4.625" customWidth="1"/>
    <col min="6406" max="6406" width="10.625" customWidth="1"/>
    <col min="6407" max="6414" width="14.625" customWidth="1"/>
    <col min="6415" max="6415" width="12.625" customWidth="1"/>
    <col min="6418" max="6419" width="1.625" customWidth="1"/>
    <col min="6420" max="6420" width="5.625" customWidth="1"/>
    <col min="6421" max="6429" width="1.625" customWidth="1"/>
    <col min="6657" max="6658" width="0" hidden="1" customWidth="1"/>
    <col min="6659" max="6659" width="28.625" customWidth="1"/>
    <col min="6660" max="6660" width="29.75" customWidth="1"/>
    <col min="6661" max="6661" width="4.625" customWidth="1"/>
    <col min="6662" max="6662" width="10.625" customWidth="1"/>
    <col min="6663" max="6670" width="14.625" customWidth="1"/>
    <col min="6671" max="6671" width="12.625" customWidth="1"/>
    <col min="6674" max="6675" width="1.625" customWidth="1"/>
    <col min="6676" max="6676" width="5.625" customWidth="1"/>
    <col min="6677" max="6685" width="1.625" customWidth="1"/>
    <col min="6913" max="6914" width="0" hidden="1" customWidth="1"/>
    <col min="6915" max="6915" width="28.625" customWidth="1"/>
    <col min="6916" max="6916" width="29.75" customWidth="1"/>
    <col min="6917" max="6917" width="4.625" customWidth="1"/>
    <col min="6918" max="6918" width="10.625" customWidth="1"/>
    <col min="6919" max="6926" width="14.625" customWidth="1"/>
    <col min="6927" max="6927" width="12.625" customWidth="1"/>
    <col min="6930" max="6931" width="1.625" customWidth="1"/>
    <col min="6932" max="6932" width="5.625" customWidth="1"/>
    <col min="6933" max="6941" width="1.625" customWidth="1"/>
    <col min="7169" max="7170" width="0" hidden="1" customWidth="1"/>
    <col min="7171" max="7171" width="28.625" customWidth="1"/>
    <col min="7172" max="7172" width="29.75" customWidth="1"/>
    <col min="7173" max="7173" width="4.625" customWidth="1"/>
    <col min="7174" max="7174" width="10.625" customWidth="1"/>
    <col min="7175" max="7182" width="14.625" customWidth="1"/>
    <col min="7183" max="7183" width="12.625" customWidth="1"/>
    <col min="7186" max="7187" width="1.625" customWidth="1"/>
    <col min="7188" max="7188" width="5.625" customWidth="1"/>
    <col min="7189" max="7197" width="1.625" customWidth="1"/>
    <col min="7425" max="7426" width="0" hidden="1" customWidth="1"/>
    <col min="7427" max="7427" width="28.625" customWidth="1"/>
    <col min="7428" max="7428" width="29.75" customWidth="1"/>
    <col min="7429" max="7429" width="4.625" customWidth="1"/>
    <col min="7430" max="7430" width="10.625" customWidth="1"/>
    <col min="7431" max="7438" width="14.625" customWidth="1"/>
    <col min="7439" max="7439" width="12.625" customWidth="1"/>
    <col min="7442" max="7443" width="1.625" customWidth="1"/>
    <col min="7444" max="7444" width="5.625" customWidth="1"/>
    <col min="7445" max="7453" width="1.625" customWidth="1"/>
    <col min="7681" max="7682" width="0" hidden="1" customWidth="1"/>
    <col min="7683" max="7683" width="28.625" customWidth="1"/>
    <col min="7684" max="7684" width="29.75" customWidth="1"/>
    <col min="7685" max="7685" width="4.625" customWidth="1"/>
    <col min="7686" max="7686" width="10.625" customWidth="1"/>
    <col min="7687" max="7694" width="14.625" customWidth="1"/>
    <col min="7695" max="7695" width="12.625" customWidth="1"/>
    <col min="7698" max="7699" width="1.625" customWidth="1"/>
    <col min="7700" max="7700" width="5.625" customWidth="1"/>
    <col min="7701" max="7709" width="1.625" customWidth="1"/>
    <col min="7937" max="7938" width="0" hidden="1" customWidth="1"/>
    <col min="7939" max="7939" width="28.625" customWidth="1"/>
    <col min="7940" max="7940" width="29.75" customWidth="1"/>
    <col min="7941" max="7941" width="4.625" customWidth="1"/>
    <col min="7942" max="7942" width="10.625" customWidth="1"/>
    <col min="7943" max="7950" width="14.625" customWidth="1"/>
    <col min="7951" max="7951" width="12.625" customWidth="1"/>
    <col min="7954" max="7955" width="1.625" customWidth="1"/>
    <col min="7956" max="7956" width="5.625" customWidth="1"/>
    <col min="7957" max="7965" width="1.625" customWidth="1"/>
    <col min="8193" max="8194" width="0" hidden="1" customWidth="1"/>
    <col min="8195" max="8195" width="28.625" customWidth="1"/>
    <col min="8196" max="8196" width="29.75" customWidth="1"/>
    <col min="8197" max="8197" width="4.625" customWidth="1"/>
    <col min="8198" max="8198" width="10.625" customWidth="1"/>
    <col min="8199" max="8206" width="14.625" customWidth="1"/>
    <col min="8207" max="8207" width="12.625" customWidth="1"/>
    <col min="8210" max="8211" width="1.625" customWidth="1"/>
    <col min="8212" max="8212" width="5.625" customWidth="1"/>
    <col min="8213" max="8221" width="1.625" customWidth="1"/>
    <col min="8449" max="8450" width="0" hidden="1" customWidth="1"/>
    <col min="8451" max="8451" width="28.625" customWidth="1"/>
    <col min="8452" max="8452" width="29.75" customWidth="1"/>
    <col min="8453" max="8453" width="4.625" customWidth="1"/>
    <col min="8454" max="8454" width="10.625" customWidth="1"/>
    <col min="8455" max="8462" width="14.625" customWidth="1"/>
    <col min="8463" max="8463" width="12.625" customWidth="1"/>
    <col min="8466" max="8467" width="1.625" customWidth="1"/>
    <col min="8468" max="8468" width="5.625" customWidth="1"/>
    <col min="8469" max="8477" width="1.625" customWidth="1"/>
    <col min="8705" max="8706" width="0" hidden="1" customWidth="1"/>
    <col min="8707" max="8707" width="28.625" customWidth="1"/>
    <col min="8708" max="8708" width="29.75" customWidth="1"/>
    <col min="8709" max="8709" width="4.625" customWidth="1"/>
    <col min="8710" max="8710" width="10.625" customWidth="1"/>
    <col min="8711" max="8718" width="14.625" customWidth="1"/>
    <col min="8719" max="8719" width="12.625" customWidth="1"/>
    <col min="8722" max="8723" width="1.625" customWidth="1"/>
    <col min="8724" max="8724" width="5.625" customWidth="1"/>
    <col min="8725" max="8733" width="1.625" customWidth="1"/>
    <col min="8961" max="8962" width="0" hidden="1" customWidth="1"/>
    <col min="8963" max="8963" width="28.625" customWidth="1"/>
    <col min="8964" max="8964" width="29.75" customWidth="1"/>
    <col min="8965" max="8965" width="4.625" customWidth="1"/>
    <col min="8966" max="8966" width="10.625" customWidth="1"/>
    <col min="8967" max="8974" width="14.625" customWidth="1"/>
    <col min="8975" max="8975" width="12.625" customWidth="1"/>
    <col min="8978" max="8979" width="1.625" customWidth="1"/>
    <col min="8980" max="8980" width="5.625" customWidth="1"/>
    <col min="8981" max="8989" width="1.625" customWidth="1"/>
    <col min="9217" max="9218" width="0" hidden="1" customWidth="1"/>
    <col min="9219" max="9219" width="28.625" customWidth="1"/>
    <col min="9220" max="9220" width="29.75" customWidth="1"/>
    <col min="9221" max="9221" width="4.625" customWidth="1"/>
    <col min="9222" max="9222" width="10.625" customWidth="1"/>
    <col min="9223" max="9230" width="14.625" customWidth="1"/>
    <col min="9231" max="9231" width="12.625" customWidth="1"/>
    <col min="9234" max="9235" width="1.625" customWidth="1"/>
    <col min="9236" max="9236" width="5.625" customWidth="1"/>
    <col min="9237" max="9245" width="1.625" customWidth="1"/>
    <col min="9473" max="9474" width="0" hidden="1" customWidth="1"/>
    <col min="9475" max="9475" width="28.625" customWidth="1"/>
    <col min="9476" max="9476" width="29.75" customWidth="1"/>
    <col min="9477" max="9477" width="4.625" customWidth="1"/>
    <col min="9478" max="9478" width="10.625" customWidth="1"/>
    <col min="9479" max="9486" width="14.625" customWidth="1"/>
    <col min="9487" max="9487" width="12.625" customWidth="1"/>
    <col min="9490" max="9491" width="1.625" customWidth="1"/>
    <col min="9492" max="9492" width="5.625" customWidth="1"/>
    <col min="9493" max="9501" width="1.625" customWidth="1"/>
    <col min="9729" max="9730" width="0" hidden="1" customWidth="1"/>
    <col min="9731" max="9731" width="28.625" customWidth="1"/>
    <col min="9732" max="9732" width="29.75" customWidth="1"/>
    <col min="9733" max="9733" width="4.625" customWidth="1"/>
    <col min="9734" max="9734" width="10.625" customWidth="1"/>
    <col min="9735" max="9742" width="14.625" customWidth="1"/>
    <col min="9743" max="9743" width="12.625" customWidth="1"/>
    <col min="9746" max="9747" width="1.625" customWidth="1"/>
    <col min="9748" max="9748" width="5.625" customWidth="1"/>
    <col min="9749" max="9757" width="1.625" customWidth="1"/>
    <col min="9985" max="9986" width="0" hidden="1" customWidth="1"/>
    <col min="9987" max="9987" width="28.625" customWidth="1"/>
    <col min="9988" max="9988" width="29.75" customWidth="1"/>
    <col min="9989" max="9989" width="4.625" customWidth="1"/>
    <col min="9990" max="9990" width="10.625" customWidth="1"/>
    <col min="9991" max="9998" width="14.625" customWidth="1"/>
    <col min="9999" max="9999" width="12.625" customWidth="1"/>
    <col min="10002" max="10003" width="1.625" customWidth="1"/>
    <col min="10004" max="10004" width="5.625" customWidth="1"/>
    <col min="10005" max="10013" width="1.625" customWidth="1"/>
    <col min="10241" max="10242" width="0" hidden="1" customWidth="1"/>
    <col min="10243" max="10243" width="28.625" customWidth="1"/>
    <col min="10244" max="10244" width="29.75" customWidth="1"/>
    <col min="10245" max="10245" width="4.625" customWidth="1"/>
    <col min="10246" max="10246" width="10.625" customWidth="1"/>
    <col min="10247" max="10254" width="14.625" customWidth="1"/>
    <col min="10255" max="10255" width="12.625" customWidth="1"/>
    <col min="10258" max="10259" width="1.625" customWidth="1"/>
    <col min="10260" max="10260" width="5.625" customWidth="1"/>
    <col min="10261" max="10269" width="1.625" customWidth="1"/>
    <col min="10497" max="10498" width="0" hidden="1" customWidth="1"/>
    <col min="10499" max="10499" width="28.625" customWidth="1"/>
    <col min="10500" max="10500" width="29.75" customWidth="1"/>
    <col min="10501" max="10501" width="4.625" customWidth="1"/>
    <col min="10502" max="10502" width="10.625" customWidth="1"/>
    <col min="10503" max="10510" width="14.625" customWidth="1"/>
    <col min="10511" max="10511" width="12.625" customWidth="1"/>
    <col min="10514" max="10515" width="1.625" customWidth="1"/>
    <col min="10516" max="10516" width="5.625" customWidth="1"/>
    <col min="10517" max="10525" width="1.625" customWidth="1"/>
    <col min="10753" max="10754" width="0" hidden="1" customWidth="1"/>
    <col min="10755" max="10755" width="28.625" customWidth="1"/>
    <col min="10756" max="10756" width="29.75" customWidth="1"/>
    <col min="10757" max="10757" width="4.625" customWidth="1"/>
    <col min="10758" max="10758" width="10.625" customWidth="1"/>
    <col min="10759" max="10766" width="14.625" customWidth="1"/>
    <col min="10767" max="10767" width="12.625" customWidth="1"/>
    <col min="10770" max="10771" width="1.625" customWidth="1"/>
    <col min="10772" max="10772" width="5.625" customWidth="1"/>
    <col min="10773" max="10781" width="1.625" customWidth="1"/>
    <col min="11009" max="11010" width="0" hidden="1" customWidth="1"/>
    <col min="11011" max="11011" width="28.625" customWidth="1"/>
    <col min="11012" max="11012" width="29.75" customWidth="1"/>
    <col min="11013" max="11013" width="4.625" customWidth="1"/>
    <col min="11014" max="11014" width="10.625" customWidth="1"/>
    <col min="11015" max="11022" width="14.625" customWidth="1"/>
    <col min="11023" max="11023" width="12.625" customWidth="1"/>
    <col min="11026" max="11027" width="1.625" customWidth="1"/>
    <col min="11028" max="11028" width="5.625" customWidth="1"/>
    <col min="11029" max="11037" width="1.625" customWidth="1"/>
    <col min="11265" max="11266" width="0" hidden="1" customWidth="1"/>
    <col min="11267" max="11267" width="28.625" customWidth="1"/>
    <col min="11268" max="11268" width="29.75" customWidth="1"/>
    <col min="11269" max="11269" width="4.625" customWidth="1"/>
    <col min="11270" max="11270" width="10.625" customWidth="1"/>
    <col min="11271" max="11278" width="14.625" customWidth="1"/>
    <col min="11279" max="11279" width="12.625" customWidth="1"/>
    <col min="11282" max="11283" width="1.625" customWidth="1"/>
    <col min="11284" max="11284" width="5.625" customWidth="1"/>
    <col min="11285" max="11293" width="1.625" customWidth="1"/>
    <col min="11521" max="11522" width="0" hidden="1" customWidth="1"/>
    <col min="11523" max="11523" width="28.625" customWidth="1"/>
    <col min="11524" max="11524" width="29.75" customWidth="1"/>
    <col min="11525" max="11525" width="4.625" customWidth="1"/>
    <col min="11526" max="11526" width="10.625" customWidth="1"/>
    <col min="11527" max="11534" width="14.625" customWidth="1"/>
    <col min="11535" max="11535" width="12.625" customWidth="1"/>
    <col min="11538" max="11539" width="1.625" customWidth="1"/>
    <col min="11540" max="11540" width="5.625" customWidth="1"/>
    <col min="11541" max="11549" width="1.625" customWidth="1"/>
    <col min="11777" max="11778" width="0" hidden="1" customWidth="1"/>
    <col min="11779" max="11779" width="28.625" customWidth="1"/>
    <col min="11780" max="11780" width="29.75" customWidth="1"/>
    <col min="11781" max="11781" width="4.625" customWidth="1"/>
    <col min="11782" max="11782" width="10.625" customWidth="1"/>
    <col min="11783" max="11790" width="14.625" customWidth="1"/>
    <col min="11791" max="11791" width="12.625" customWidth="1"/>
    <col min="11794" max="11795" width="1.625" customWidth="1"/>
    <col min="11796" max="11796" width="5.625" customWidth="1"/>
    <col min="11797" max="11805" width="1.625" customWidth="1"/>
    <col min="12033" max="12034" width="0" hidden="1" customWidth="1"/>
    <col min="12035" max="12035" width="28.625" customWidth="1"/>
    <col min="12036" max="12036" width="29.75" customWidth="1"/>
    <col min="12037" max="12037" width="4.625" customWidth="1"/>
    <col min="12038" max="12038" width="10.625" customWidth="1"/>
    <col min="12039" max="12046" width="14.625" customWidth="1"/>
    <col min="12047" max="12047" width="12.625" customWidth="1"/>
    <col min="12050" max="12051" width="1.625" customWidth="1"/>
    <col min="12052" max="12052" width="5.625" customWidth="1"/>
    <col min="12053" max="12061" width="1.625" customWidth="1"/>
    <col min="12289" max="12290" width="0" hidden="1" customWidth="1"/>
    <col min="12291" max="12291" width="28.625" customWidth="1"/>
    <col min="12292" max="12292" width="29.75" customWidth="1"/>
    <col min="12293" max="12293" width="4.625" customWidth="1"/>
    <col min="12294" max="12294" width="10.625" customWidth="1"/>
    <col min="12295" max="12302" width="14.625" customWidth="1"/>
    <col min="12303" max="12303" width="12.625" customWidth="1"/>
    <col min="12306" max="12307" width="1.625" customWidth="1"/>
    <col min="12308" max="12308" width="5.625" customWidth="1"/>
    <col min="12309" max="12317" width="1.625" customWidth="1"/>
    <col min="12545" max="12546" width="0" hidden="1" customWidth="1"/>
    <col min="12547" max="12547" width="28.625" customWidth="1"/>
    <col min="12548" max="12548" width="29.75" customWidth="1"/>
    <col min="12549" max="12549" width="4.625" customWidth="1"/>
    <col min="12550" max="12550" width="10.625" customWidth="1"/>
    <col min="12551" max="12558" width="14.625" customWidth="1"/>
    <col min="12559" max="12559" width="12.625" customWidth="1"/>
    <col min="12562" max="12563" width="1.625" customWidth="1"/>
    <col min="12564" max="12564" width="5.625" customWidth="1"/>
    <col min="12565" max="12573" width="1.625" customWidth="1"/>
    <col min="12801" max="12802" width="0" hidden="1" customWidth="1"/>
    <col min="12803" max="12803" width="28.625" customWidth="1"/>
    <col min="12804" max="12804" width="29.75" customWidth="1"/>
    <col min="12805" max="12805" width="4.625" customWidth="1"/>
    <col min="12806" max="12806" width="10.625" customWidth="1"/>
    <col min="12807" max="12814" width="14.625" customWidth="1"/>
    <col min="12815" max="12815" width="12.625" customWidth="1"/>
    <col min="12818" max="12819" width="1.625" customWidth="1"/>
    <col min="12820" max="12820" width="5.625" customWidth="1"/>
    <col min="12821" max="12829" width="1.625" customWidth="1"/>
    <col min="13057" max="13058" width="0" hidden="1" customWidth="1"/>
    <col min="13059" max="13059" width="28.625" customWidth="1"/>
    <col min="13060" max="13060" width="29.75" customWidth="1"/>
    <col min="13061" max="13061" width="4.625" customWidth="1"/>
    <col min="13062" max="13062" width="10.625" customWidth="1"/>
    <col min="13063" max="13070" width="14.625" customWidth="1"/>
    <col min="13071" max="13071" width="12.625" customWidth="1"/>
    <col min="13074" max="13075" width="1.625" customWidth="1"/>
    <col min="13076" max="13076" width="5.625" customWidth="1"/>
    <col min="13077" max="13085" width="1.625" customWidth="1"/>
    <col min="13313" max="13314" width="0" hidden="1" customWidth="1"/>
    <col min="13315" max="13315" width="28.625" customWidth="1"/>
    <col min="13316" max="13316" width="29.75" customWidth="1"/>
    <col min="13317" max="13317" width="4.625" customWidth="1"/>
    <col min="13318" max="13318" width="10.625" customWidth="1"/>
    <col min="13319" max="13326" width="14.625" customWidth="1"/>
    <col min="13327" max="13327" width="12.625" customWidth="1"/>
    <col min="13330" max="13331" width="1.625" customWidth="1"/>
    <col min="13332" max="13332" width="5.625" customWidth="1"/>
    <col min="13333" max="13341" width="1.625" customWidth="1"/>
    <col min="13569" max="13570" width="0" hidden="1" customWidth="1"/>
    <col min="13571" max="13571" width="28.625" customWidth="1"/>
    <col min="13572" max="13572" width="29.75" customWidth="1"/>
    <col min="13573" max="13573" width="4.625" customWidth="1"/>
    <col min="13574" max="13574" width="10.625" customWidth="1"/>
    <col min="13575" max="13582" width="14.625" customWidth="1"/>
    <col min="13583" max="13583" width="12.625" customWidth="1"/>
    <col min="13586" max="13587" width="1.625" customWidth="1"/>
    <col min="13588" max="13588" width="5.625" customWidth="1"/>
    <col min="13589" max="13597" width="1.625" customWidth="1"/>
    <col min="13825" max="13826" width="0" hidden="1" customWidth="1"/>
    <col min="13827" max="13827" width="28.625" customWidth="1"/>
    <col min="13828" max="13828" width="29.75" customWidth="1"/>
    <col min="13829" max="13829" width="4.625" customWidth="1"/>
    <col min="13830" max="13830" width="10.625" customWidth="1"/>
    <col min="13831" max="13838" width="14.625" customWidth="1"/>
    <col min="13839" max="13839" width="12.625" customWidth="1"/>
    <col min="13842" max="13843" width="1.625" customWidth="1"/>
    <col min="13844" max="13844" width="5.625" customWidth="1"/>
    <col min="13845" max="13853" width="1.625" customWidth="1"/>
    <col min="14081" max="14082" width="0" hidden="1" customWidth="1"/>
    <col min="14083" max="14083" width="28.625" customWidth="1"/>
    <col min="14084" max="14084" width="29.75" customWidth="1"/>
    <col min="14085" max="14085" width="4.625" customWidth="1"/>
    <col min="14086" max="14086" width="10.625" customWidth="1"/>
    <col min="14087" max="14094" width="14.625" customWidth="1"/>
    <col min="14095" max="14095" width="12.625" customWidth="1"/>
    <col min="14098" max="14099" width="1.625" customWidth="1"/>
    <col min="14100" max="14100" width="5.625" customWidth="1"/>
    <col min="14101" max="14109" width="1.625" customWidth="1"/>
    <col min="14337" max="14338" width="0" hidden="1" customWidth="1"/>
    <col min="14339" max="14339" width="28.625" customWidth="1"/>
    <col min="14340" max="14340" width="29.75" customWidth="1"/>
    <col min="14341" max="14341" width="4.625" customWidth="1"/>
    <col min="14342" max="14342" width="10.625" customWidth="1"/>
    <col min="14343" max="14350" width="14.625" customWidth="1"/>
    <col min="14351" max="14351" width="12.625" customWidth="1"/>
    <col min="14354" max="14355" width="1.625" customWidth="1"/>
    <col min="14356" max="14356" width="5.625" customWidth="1"/>
    <col min="14357" max="14365" width="1.625" customWidth="1"/>
    <col min="14593" max="14594" width="0" hidden="1" customWidth="1"/>
    <col min="14595" max="14595" width="28.625" customWidth="1"/>
    <col min="14596" max="14596" width="29.75" customWidth="1"/>
    <col min="14597" max="14597" width="4.625" customWidth="1"/>
    <col min="14598" max="14598" width="10.625" customWidth="1"/>
    <col min="14599" max="14606" width="14.625" customWidth="1"/>
    <col min="14607" max="14607" width="12.625" customWidth="1"/>
    <col min="14610" max="14611" width="1.625" customWidth="1"/>
    <col min="14612" max="14612" width="5.625" customWidth="1"/>
    <col min="14613" max="14621" width="1.625" customWidth="1"/>
    <col min="14849" max="14850" width="0" hidden="1" customWidth="1"/>
    <col min="14851" max="14851" width="28.625" customWidth="1"/>
    <col min="14852" max="14852" width="29.75" customWidth="1"/>
    <col min="14853" max="14853" width="4.625" customWidth="1"/>
    <col min="14854" max="14854" width="10.625" customWidth="1"/>
    <col min="14855" max="14862" width="14.625" customWidth="1"/>
    <col min="14863" max="14863" width="12.625" customWidth="1"/>
    <col min="14866" max="14867" width="1.625" customWidth="1"/>
    <col min="14868" max="14868" width="5.625" customWidth="1"/>
    <col min="14869" max="14877" width="1.625" customWidth="1"/>
    <col min="15105" max="15106" width="0" hidden="1" customWidth="1"/>
    <col min="15107" max="15107" width="28.625" customWidth="1"/>
    <col min="15108" max="15108" width="29.75" customWidth="1"/>
    <col min="15109" max="15109" width="4.625" customWidth="1"/>
    <col min="15110" max="15110" width="10.625" customWidth="1"/>
    <col min="15111" max="15118" width="14.625" customWidth="1"/>
    <col min="15119" max="15119" width="12.625" customWidth="1"/>
    <col min="15122" max="15123" width="1.625" customWidth="1"/>
    <col min="15124" max="15124" width="5.625" customWidth="1"/>
    <col min="15125" max="15133" width="1.625" customWidth="1"/>
    <col min="15361" max="15362" width="0" hidden="1" customWidth="1"/>
    <col min="15363" max="15363" width="28.625" customWidth="1"/>
    <col min="15364" max="15364" width="29.75" customWidth="1"/>
    <col min="15365" max="15365" width="4.625" customWidth="1"/>
    <col min="15366" max="15366" width="10.625" customWidth="1"/>
    <col min="15367" max="15374" width="14.625" customWidth="1"/>
    <col min="15375" max="15375" width="12.625" customWidth="1"/>
    <col min="15378" max="15379" width="1.625" customWidth="1"/>
    <col min="15380" max="15380" width="5.625" customWidth="1"/>
    <col min="15381" max="15389" width="1.625" customWidth="1"/>
    <col min="15617" max="15618" width="0" hidden="1" customWidth="1"/>
    <col min="15619" max="15619" width="28.625" customWidth="1"/>
    <col min="15620" max="15620" width="29.75" customWidth="1"/>
    <col min="15621" max="15621" width="4.625" customWidth="1"/>
    <col min="15622" max="15622" width="10.625" customWidth="1"/>
    <col min="15623" max="15630" width="14.625" customWidth="1"/>
    <col min="15631" max="15631" width="12.625" customWidth="1"/>
    <col min="15634" max="15635" width="1.625" customWidth="1"/>
    <col min="15636" max="15636" width="5.625" customWidth="1"/>
    <col min="15637" max="15645" width="1.625" customWidth="1"/>
    <col min="15873" max="15874" width="0" hidden="1" customWidth="1"/>
    <col min="15875" max="15875" width="28.625" customWidth="1"/>
    <col min="15876" max="15876" width="29.75" customWidth="1"/>
    <col min="15877" max="15877" width="4.625" customWidth="1"/>
    <col min="15878" max="15878" width="10.625" customWidth="1"/>
    <col min="15879" max="15886" width="14.625" customWidth="1"/>
    <col min="15887" max="15887" width="12.625" customWidth="1"/>
    <col min="15890" max="15891" width="1.625" customWidth="1"/>
    <col min="15892" max="15892" width="5.625" customWidth="1"/>
    <col min="15893" max="15901" width="1.625" customWidth="1"/>
    <col min="16129" max="16130" width="0" hidden="1" customWidth="1"/>
    <col min="16131" max="16131" width="28.625" customWidth="1"/>
    <col min="16132" max="16132" width="29.75" customWidth="1"/>
    <col min="16133" max="16133" width="4.625" customWidth="1"/>
    <col min="16134" max="16134" width="10.625" customWidth="1"/>
    <col min="16135" max="16142" width="14.625" customWidth="1"/>
    <col min="16143" max="16143" width="12.625" customWidth="1"/>
    <col min="16146" max="16147" width="1.625" customWidth="1"/>
    <col min="16148" max="16148" width="5.625" customWidth="1"/>
    <col min="16149" max="16157" width="1.625" customWidth="1"/>
  </cols>
  <sheetData>
    <row r="1" spans="1:29" ht="30" customHeight="1" x14ac:dyDescent="0.3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9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/>
      <c r="I2" s="2" t="s">
        <v>8</v>
      </c>
      <c r="J2" s="2"/>
      <c r="K2" s="2" t="s">
        <v>9</v>
      </c>
      <c r="L2" s="2"/>
      <c r="M2" s="2" t="s">
        <v>10</v>
      </c>
      <c r="N2" s="2"/>
      <c r="O2" s="2" t="s">
        <v>11</v>
      </c>
    </row>
    <row r="3" spans="1:29" ht="30" customHeight="1" x14ac:dyDescent="0.3">
      <c r="A3" s="2"/>
      <c r="B3" s="2"/>
      <c r="C3" s="2"/>
      <c r="D3" s="2"/>
      <c r="E3" s="2"/>
      <c r="F3" s="3"/>
      <c r="G3" s="4" t="s">
        <v>12</v>
      </c>
      <c r="H3" s="4" t="s">
        <v>13</v>
      </c>
      <c r="I3" s="4" t="s">
        <v>12</v>
      </c>
      <c r="J3" s="4" t="s">
        <v>13</v>
      </c>
      <c r="K3" s="4" t="s">
        <v>12</v>
      </c>
      <c r="L3" s="4" t="s">
        <v>13</v>
      </c>
      <c r="M3" s="4" t="s">
        <v>12</v>
      </c>
      <c r="N3" s="4" t="s">
        <v>13</v>
      </c>
      <c r="O3" s="2"/>
    </row>
    <row r="4" spans="1:29" ht="30" customHeight="1" x14ac:dyDescent="0.3">
      <c r="A4" s="5"/>
      <c r="B4" s="5"/>
      <c r="C4" s="6" t="s">
        <v>14</v>
      </c>
      <c r="D4" s="6"/>
      <c r="E4" s="6"/>
      <c r="F4" s="7"/>
      <c r="G4" s="6"/>
      <c r="H4" s="6"/>
      <c r="I4" s="6"/>
      <c r="J4" s="6"/>
      <c r="K4" s="6"/>
      <c r="L4" s="6"/>
      <c r="M4" s="6"/>
      <c r="N4" s="6"/>
      <c r="O4" s="6"/>
    </row>
    <row r="5" spans="1:29" ht="30" customHeight="1" x14ac:dyDescent="0.3">
      <c r="A5" s="8" t="s">
        <v>15</v>
      </c>
      <c r="B5" s="8" t="s">
        <v>16</v>
      </c>
      <c r="C5" s="8" t="s">
        <v>17</v>
      </c>
      <c r="D5" s="8" t="s">
        <v>18</v>
      </c>
      <c r="E5" s="8" t="s">
        <v>19</v>
      </c>
      <c r="F5" s="9">
        <v>1</v>
      </c>
      <c r="G5" s="5">
        <f>TRUNC([1]단가대비표!O1356,0)</f>
        <v>799000</v>
      </c>
      <c r="H5" s="5">
        <f t="shared" ref="H5:H51" si="0">TRUNC(F5*G5,0)</f>
        <v>799000</v>
      </c>
      <c r="I5" s="5">
        <v>0</v>
      </c>
      <c r="J5" s="5">
        <f t="shared" ref="J5:J51" si="1">TRUNC(F5*I5,0)</f>
        <v>0</v>
      </c>
      <c r="K5" s="5">
        <v>0</v>
      </c>
      <c r="L5" s="5">
        <f t="shared" ref="L5:L51" si="2">TRUNC(F5*K5,0)</f>
        <v>0</v>
      </c>
      <c r="M5" s="5">
        <f t="shared" ref="M5:N51" si="3">G5+I5+K5</f>
        <v>799000</v>
      </c>
      <c r="N5" s="5">
        <f t="shared" si="3"/>
        <v>799000</v>
      </c>
      <c r="O5" s="8" t="s">
        <v>20</v>
      </c>
      <c r="T5">
        <v>0</v>
      </c>
      <c r="AC5">
        <v>1</v>
      </c>
    </row>
    <row r="6" spans="1:29" ht="30" customHeight="1" x14ac:dyDescent="0.3">
      <c r="A6" s="8" t="s">
        <v>15</v>
      </c>
      <c r="B6" s="8" t="s">
        <v>21</v>
      </c>
      <c r="C6" s="8" t="s">
        <v>22</v>
      </c>
      <c r="D6" s="8" t="s">
        <v>23</v>
      </c>
      <c r="E6" s="8" t="s">
        <v>19</v>
      </c>
      <c r="F6" s="9">
        <v>2</v>
      </c>
      <c r="G6" s="5">
        <f>TRUNC([1]단가대비표!O940,0)</f>
        <v>2103000</v>
      </c>
      <c r="H6" s="5">
        <f t="shared" si="0"/>
        <v>4206000</v>
      </c>
      <c r="I6" s="5">
        <v>0</v>
      </c>
      <c r="J6" s="5">
        <f t="shared" si="1"/>
        <v>0</v>
      </c>
      <c r="K6" s="5">
        <v>0</v>
      </c>
      <c r="L6" s="5">
        <f t="shared" si="2"/>
        <v>0</v>
      </c>
      <c r="M6" s="5">
        <f t="shared" si="3"/>
        <v>2103000</v>
      </c>
      <c r="N6" s="5">
        <f t="shared" si="3"/>
        <v>4206000</v>
      </c>
      <c r="O6" s="8" t="s">
        <v>20</v>
      </c>
      <c r="T6">
        <v>0</v>
      </c>
      <c r="AC6">
        <v>1</v>
      </c>
    </row>
    <row r="7" spans="1:29" ht="30" customHeight="1" x14ac:dyDescent="0.3">
      <c r="A7" s="8" t="s">
        <v>15</v>
      </c>
      <c r="B7" s="8" t="s">
        <v>24</v>
      </c>
      <c r="C7" s="8" t="s">
        <v>25</v>
      </c>
      <c r="D7" s="8" t="s">
        <v>26</v>
      </c>
      <c r="E7" s="8" t="s">
        <v>19</v>
      </c>
      <c r="F7" s="9">
        <v>2</v>
      </c>
      <c r="G7" s="5">
        <f>TRUNC([1]단가대비표!O941,0)</f>
        <v>1029000</v>
      </c>
      <c r="H7" s="5">
        <f t="shared" si="0"/>
        <v>2058000</v>
      </c>
      <c r="I7" s="5">
        <v>0</v>
      </c>
      <c r="J7" s="5">
        <f t="shared" si="1"/>
        <v>0</v>
      </c>
      <c r="K7" s="5">
        <v>0</v>
      </c>
      <c r="L7" s="5">
        <f t="shared" si="2"/>
        <v>0</v>
      </c>
      <c r="M7" s="5">
        <f t="shared" si="3"/>
        <v>1029000</v>
      </c>
      <c r="N7" s="5">
        <f t="shared" si="3"/>
        <v>2058000</v>
      </c>
      <c r="O7" s="8" t="s">
        <v>20</v>
      </c>
      <c r="T7">
        <v>0</v>
      </c>
      <c r="AC7">
        <v>1</v>
      </c>
    </row>
    <row r="8" spans="1:29" ht="30" customHeight="1" x14ac:dyDescent="0.3">
      <c r="A8" s="8" t="s">
        <v>15</v>
      </c>
      <c r="B8" s="8" t="s">
        <v>27</v>
      </c>
      <c r="C8" s="8" t="s">
        <v>28</v>
      </c>
      <c r="D8" s="8" t="s">
        <v>29</v>
      </c>
      <c r="E8" s="8" t="s">
        <v>19</v>
      </c>
      <c r="F8" s="9">
        <v>4</v>
      </c>
      <c r="G8" s="5">
        <f>TRUNC([1]단가대비표!O942,0)</f>
        <v>1129000</v>
      </c>
      <c r="H8" s="5">
        <f t="shared" si="0"/>
        <v>4516000</v>
      </c>
      <c r="I8" s="5">
        <v>0</v>
      </c>
      <c r="J8" s="5">
        <f t="shared" si="1"/>
        <v>0</v>
      </c>
      <c r="K8" s="5">
        <v>0</v>
      </c>
      <c r="L8" s="5">
        <f t="shared" si="2"/>
        <v>0</v>
      </c>
      <c r="M8" s="5">
        <f t="shared" si="3"/>
        <v>1129000</v>
      </c>
      <c r="N8" s="5">
        <f t="shared" si="3"/>
        <v>4516000</v>
      </c>
      <c r="O8" s="8" t="s">
        <v>20</v>
      </c>
      <c r="T8">
        <v>0</v>
      </c>
      <c r="AC8">
        <v>1</v>
      </c>
    </row>
    <row r="9" spans="1:29" ht="30" customHeight="1" x14ac:dyDescent="0.3">
      <c r="A9" s="8" t="s">
        <v>15</v>
      </c>
      <c r="B9" s="8" t="s">
        <v>30</v>
      </c>
      <c r="C9" s="8" t="s">
        <v>31</v>
      </c>
      <c r="D9" s="8" t="s">
        <v>32</v>
      </c>
      <c r="E9" s="8" t="s">
        <v>19</v>
      </c>
      <c r="F9" s="9">
        <v>2</v>
      </c>
      <c r="G9" s="5">
        <f>TRUNC([1]단가대비표!O943,0)</f>
        <v>1029000</v>
      </c>
      <c r="H9" s="5">
        <f t="shared" si="0"/>
        <v>2058000</v>
      </c>
      <c r="I9" s="5">
        <v>0</v>
      </c>
      <c r="J9" s="5">
        <f t="shared" si="1"/>
        <v>0</v>
      </c>
      <c r="K9" s="5">
        <v>0</v>
      </c>
      <c r="L9" s="5">
        <f t="shared" si="2"/>
        <v>0</v>
      </c>
      <c r="M9" s="5">
        <f t="shared" si="3"/>
        <v>1029000</v>
      </c>
      <c r="N9" s="5">
        <f t="shared" si="3"/>
        <v>2058000</v>
      </c>
      <c r="O9" s="8" t="s">
        <v>33</v>
      </c>
      <c r="T9">
        <v>0</v>
      </c>
      <c r="AC9">
        <v>1</v>
      </c>
    </row>
    <row r="10" spans="1:29" ht="30" customHeight="1" x14ac:dyDescent="0.3">
      <c r="A10" s="8" t="s">
        <v>15</v>
      </c>
      <c r="B10" s="8" t="s">
        <v>34</v>
      </c>
      <c r="C10" s="8" t="s">
        <v>35</v>
      </c>
      <c r="D10" s="8" t="s">
        <v>36</v>
      </c>
      <c r="E10" s="8" t="s">
        <v>19</v>
      </c>
      <c r="F10" s="9">
        <v>81</v>
      </c>
      <c r="G10" s="5">
        <f>TRUNC([1]단가대비표!O945,0)</f>
        <v>0</v>
      </c>
      <c r="H10" s="5">
        <f t="shared" si="0"/>
        <v>0</v>
      </c>
      <c r="I10" s="5">
        <v>0</v>
      </c>
      <c r="J10" s="5">
        <f t="shared" si="1"/>
        <v>0</v>
      </c>
      <c r="K10" s="5">
        <v>0</v>
      </c>
      <c r="L10" s="5">
        <f t="shared" si="2"/>
        <v>0</v>
      </c>
      <c r="M10" s="5">
        <f t="shared" si="3"/>
        <v>0</v>
      </c>
      <c r="N10" s="5">
        <f t="shared" si="3"/>
        <v>0</v>
      </c>
      <c r="O10" s="8" t="s">
        <v>20</v>
      </c>
      <c r="T10">
        <v>0</v>
      </c>
      <c r="AC10">
        <v>1</v>
      </c>
    </row>
    <row r="11" spans="1:29" ht="30" customHeight="1" x14ac:dyDescent="0.3">
      <c r="A11" s="8" t="s">
        <v>15</v>
      </c>
      <c r="B11" s="8" t="s">
        <v>37</v>
      </c>
      <c r="C11" s="8" t="s">
        <v>38</v>
      </c>
      <c r="D11" s="8" t="s">
        <v>39</v>
      </c>
      <c r="E11" s="8" t="s">
        <v>19</v>
      </c>
      <c r="F11" s="9">
        <v>5</v>
      </c>
      <c r="G11" s="5">
        <f>TRUNC([1]단가대비표!O947,0)</f>
        <v>0</v>
      </c>
      <c r="H11" s="5">
        <f t="shared" si="0"/>
        <v>0</v>
      </c>
      <c r="I11" s="5">
        <v>0</v>
      </c>
      <c r="J11" s="5">
        <f t="shared" si="1"/>
        <v>0</v>
      </c>
      <c r="K11" s="5">
        <v>0</v>
      </c>
      <c r="L11" s="5">
        <f t="shared" si="2"/>
        <v>0</v>
      </c>
      <c r="M11" s="5">
        <f t="shared" si="3"/>
        <v>0</v>
      </c>
      <c r="N11" s="5">
        <f t="shared" si="3"/>
        <v>0</v>
      </c>
      <c r="O11" s="8" t="s">
        <v>20</v>
      </c>
      <c r="T11">
        <v>0</v>
      </c>
      <c r="AC11">
        <v>1</v>
      </c>
    </row>
    <row r="12" spans="1:29" ht="30" customHeight="1" x14ac:dyDescent="0.3">
      <c r="A12" s="8" t="s">
        <v>15</v>
      </c>
      <c r="B12" s="8" t="s">
        <v>40</v>
      </c>
      <c r="C12" s="8" t="s">
        <v>41</v>
      </c>
      <c r="D12" s="8" t="s">
        <v>42</v>
      </c>
      <c r="E12" s="8" t="s">
        <v>19</v>
      </c>
      <c r="F12" s="9">
        <v>15</v>
      </c>
      <c r="G12" s="5">
        <f>TRUNC([1]단가대비표!O949,0)</f>
        <v>0</v>
      </c>
      <c r="H12" s="5">
        <f t="shared" si="0"/>
        <v>0</v>
      </c>
      <c r="I12" s="5">
        <v>0</v>
      </c>
      <c r="J12" s="5">
        <f t="shared" si="1"/>
        <v>0</v>
      </c>
      <c r="K12" s="5">
        <v>0</v>
      </c>
      <c r="L12" s="5">
        <f t="shared" si="2"/>
        <v>0</v>
      </c>
      <c r="M12" s="5">
        <f t="shared" si="3"/>
        <v>0</v>
      </c>
      <c r="N12" s="5">
        <f t="shared" si="3"/>
        <v>0</v>
      </c>
      <c r="O12" s="8" t="s">
        <v>20</v>
      </c>
      <c r="T12">
        <v>0</v>
      </c>
      <c r="AC12">
        <v>1</v>
      </c>
    </row>
    <row r="13" spans="1:29" ht="30" customHeight="1" x14ac:dyDescent="0.3">
      <c r="A13" s="8" t="s">
        <v>15</v>
      </c>
      <c r="B13" s="8" t="s">
        <v>43</v>
      </c>
      <c r="C13" s="8" t="s">
        <v>44</v>
      </c>
      <c r="D13" s="8" t="s">
        <v>45</v>
      </c>
      <c r="E13" s="8" t="s">
        <v>19</v>
      </c>
      <c r="F13" s="9">
        <v>5</v>
      </c>
      <c r="G13" s="5">
        <f>TRUNC([1]단가대비표!O951,0)</f>
        <v>0</v>
      </c>
      <c r="H13" s="5">
        <f t="shared" si="0"/>
        <v>0</v>
      </c>
      <c r="I13" s="5">
        <v>0</v>
      </c>
      <c r="J13" s="5">
        <f t="shared" si="1"/>
        <v>0</v>
      </c>
      <c r="K13" s="5">
        <v>0</v>
      </c>
      <c r="L13" s="5">
        <f t="shared" si="2"/>
        <v>0</v>
      </c>
      <c r="M13" s="5">
        <f t="shared" si="3"/>
        <v>0</v>
      </c>
      <c r="N13" s="5">
        <f t="shared" si="3"/>
        <v>0</v>
      </c>
      <c r="O13" s="8" t="s">
        <v>20</v>
      </c>
      <c r="T13">
        <v>0</v>
      </c>
      <c r="AC13">
        <v>1</v>
      </c>
    </row>
    <row r="14" spans="1:29" ht="30" customHeight="1" x14ac:dyDescent="0.3">
      <c r="A14" s="8" t="s">
        <v>15</v>
      </c>
      <c r="B14" s="8" t="s">
        <v>46</v>
      </c>
      <c r="C14" s="8" t="s">
        <v>47</v>
      </c>
      <c r="D14" s="8" t="s">
        <v>48</v>
      </c>
      <c r="E14" s="8" t="s">
        <v>19</v>
      </c>
      <c r="F14" s="9">
        <v>5</v>
      </c>
      <c r="G14" s="5">
        <f>TRUNC([1]단가대비표!O953,0)</f>
        <v>0</v>
      </c>
      <c r="H14" s="5">
        <f t="shared" si="0"/>
        <v>0</v>
      </c>
      <c r="I14" s="5">
        <v>0</v>
      </c>
      <c r="J14" s="5">
        <f t="shared" si="1"/>
        <v>0</v>
      </c>
      <c r="K14" s="5">
        <v>0</v>
      </c>
      <c r="L14" s="5">
        <f t="shared" si="2"/>
        <v>0</v>
      </c>
      <c r="M14" s="5">
        <f t="shared" si="3"/>
        <v>0</v>
      </c>
      <c r="N14" s="5">
        <f t="shared" si="3"/>
        <v>0</v>
      </c>
      <c r="O14" s="8" t="s">
        <v>20</v>
      </c>
      <c r="T14">
        <v>0</v>
      </c>
      <c r="AC14">
        <v>1</v>
      </c>
    </row>
    <row r="15" spans="1:29" ht="30" customHeight="1" x14ac:dyDescent="0.3">
      <c r="A15" s="8" t="s">
        <v>15</v>
      </c>
      <c r="B15" s="8" t="s">
        <v>49</v>
      </c>
      <c r="C15" s="8" t="s">
        <v>50</v>
      </c>
      <c r="D15" s="8" t="s">
        <v>51</v>
      </c>
      <c r="E15" s="8" t="s">
        <v>19</v>
      </c>
      <c r="F15" s="9">
        <v>5</v>
      </c>
      <c r="G15" s="5">
        <f>TRUNC([1]단가대비표!O955,0)</f>
        <v>0</v>
      </c>
      <c r="H15" s="5">
        <f t="shared" si="0"/>
        <v>0</v>
      </c>
      <c r="I15" s="5">
        <v>0</v>
      </c>
      <c r="J15" s="5">
        <f t="shared" si="1"/>
        <v>0</v>
      </c>
      <c r="K15" s="5">
        <v>0</v>
      </c>
      <c r="L15" s="5">
        <f t="shared" si="2"/>
        <v>0</v>
      </c>
      <c r="M15" s="5">
        <f t="shared" si="3"/>
        <v>0</v>
      </c>
      <c r="N15" s="5">
        <f t="shared" si="3"/>
        <v>0</v>
      </c>
      <c r="O15" s="8" t="s">
        <v>20</v>
      </c>
      <c r="T15">
        <v>0</v>
      </c>
      <c r="AC15">
        <v>1</v>
      </c>
    </row>
    <row r="16" spans="1:29" ht="30" customHeight="1" x14ac:dyDescent="0.3">
      <c r="A16" s="8" t="s">
        <v>15</v>
      </c>
      <c r="B16" s="8" t="s">
        <v>52</v>
      </c>
      <c r="C16" s="8" t="s">
        <v>53</v>
      </c>
      <c r="D16" s="8" t="s">
        <v>54</v>
      </c>
      <c r="E16" s="8" t="s">
        <v>19</v>
      </c>
      <c r="F16" s="9">
        <v>9</v>
      </c>
      <c r="G16" s="5">
        <f>TRUNC([1]단가대비표!O957,0)</f>
        <v>0</v>
      </c>
      <c r="H16" s="5">
        <f t="shared" si="0"/>
        <v>0</v>
      </c>
      <c r="I16" s="5">
        <v>0</v>
      </c>
      <c r="J16" s="5">
        <f t="shared" si="1"/>
        <v>0</v>
      </c>
      <c r="K16" s="5">
        <v>0</v>
      </c>
      <c r="L16" s="5">
        <f t="shared" si="2"/>
        <v>0</v>
      </c>
      <c r="M16" s="5">
        <f t="shared" si="3"/>
        <v>0</v>
      </c>
      <c r="N16" s="5">
        <f t="shared" si="3"/>
        <v>0</v>
      </c>
      <c r="O16" s="8" t="s">
        <v>20</v>
      </c>
      <c r="T16">
        <v>0</v>
      </c>
      <c r="AC16">
        <v>1</v>
      </c>
    </row>
    <row r="17" spans="1:29" ht="30" customHeight="1" x14ac:dyDescent="0.3">
      <c r="A17" s="8" t="s">
        <v>15</v>
      </c>
      <c r="B17" s="8" t="s">
        <v>55</v>
      </c>
      <c r="C17" s="8" t="s">
        <v>56</v>
      </c>
      <c r="D17" s="8" t="s">
        <v>57</v>
      </c>
      <c r="E17" s="8" t="s">
        <v>19</v>
      </c>
      <c r="F17" s="9">
        <v>10</v>
      </c>
      <c r="G17" s="5">
        <f>TRUNC([1]단가대비표!O959,0)</f>
        <v>0</v>
      </c>
      <c r="H17" s="5">
        <f t="shared" si="0"/>
        <v>0</v>
      </c>
      <c r="I17" s="5">
        <v>0</v>
      </c>
      <c r="J17" s="5">
        <f t="shared" si="1"/>
        <v>0</v>
      </c>
      <c r="K17" s="5">
        <v>0</v>
      </c>
      <c r="L17" s="5">
        <f t="shared" si="2"/>
        <v>0</v>
      </c>
      <c r="M17" s="5">
        <f t="shared" si="3"/>
        <v>0</v>
      </c>
      <c r="N17" s="5">
        <f t="shared" si="3"/>
        <v>0</v>
      </c>
      <c r="O17" s="8" t="s">
        <v>20</v>
      </c>
      <c r="T17">
        <v>0</v>
      </c>
      <c r="AC17">
        <v>1</v>
      </c>
    </row>
    <row r="18" spans="1:29" ht="30" customHeight="1" x14ac:dyDescent="0.3">
      <c r="A18" s="8" t="s">
        <v>15</v>
      </c>
      <c r="B18" s="8" t="s">
        <v>58</v>
      </c>
      <c r="C18" s="8" t="s">
        <v>59</v>
      </c>
      <c r="D18" s="8" t="s">
        <v>60</v>
      </c>
      <c r="E18" s="8" t="s">
        <v>19</v>
      </c>
      <c r="F18" s="9">
        <v>3</v>
      </c>
      <c r="G18" s="5">
        <f>TRUNC([1]단가대비표!O961,0)</f>
        <v>0</v>
      </c>
      <c r="H18" s="5">
        <f t="shared" si="0"/>
        <v>0</v>
      </c>
      <c r="I18" s="5">
        <v>0</v>
      </c>
      <c r="J18" s="5">
        <f t="shared" si="1"/>
        <v>0</v>
      </c>
      <c r="K18" s="5">
        <v>0</v>
      </c>
      <c r="L18" s="5">
        <f t="shared" si="2"/>
        <v>0</v>
      </c>
      <c r="M18" s="5">
        <f t="shared" si="3"/>
        <v>0</v>
      </c>
      <c r="N18" s="5">
        <f t="shared" si="3"/>
        <v>0</v>
      </c>
      <c r="O18" s="8" t="s">
        <v>20</v>
      </c>
      <c r="T18">
        <v>0</v>
      </c>
      <c r="AC18">
        <v>1</v>
      </c>
    </row>
    <row r="19" spans="1:29" ht="30" customHeight="1" x14ac:dyDescent="0.3">
      <c r="A19" s="8" t="s">
        <v>15</v>
      </c>
      <c r="B19" s="8" t="s">
        <v>61</v>
      </c>
      <c r="C19" s="8" t="s">
        <v>62</v>
      </c>
      <c r="D19" s="8" t="s">
        <v>63</v>
      </c>
      <c r="E19" s="8" t="s">
        <v>19</v>
      </c>
      <c r="F19" s="9">
        <v>2</v>
      </c>
      <c r="G19" s="5">
        <f>TRUNC([1]단가대비표!O963,0)</f>
        <v>0</v>
      </c>
      <c r="H19" s="5">
        <f t="shared" si="0"/>
        <v>0</v>
      </c>
      <c r="I19" s="5">
        <v>0</v>
      </c>
      <c r="J19" s="5">
        <f t="shared" si="1"/>
        <v>0</v>
      </c>
      <c r="K19" s="5">
        <v>0</v>
      </c>
      <c r="L19" s="5">
        <f t="shared" si="2"/>
        <v>0</v>
      </c>
      <c r="M19" s="5">
        <f t="shared" si="3"/>
        <v>0</v>
      </c>
      <c r="N19" s="5">
        <f t="shared" si="3"/>
        <v>0</v>
      </c>
      <c r="O19" s="8" t="s">
        <v>20</v>
      </c>
      <c r="T19">
        <v>0</v>
      </c>
      <c r="AC19">
        <v>1</v>
      </c>
    </row>
    <row r="20" spans="1:29" ht="30" customHeight="1" x14ac:dyDescent="0.3">
      <c r="A20" s="8" t="s">
        <v>15</v>
      </c>
      <c r="B20" s="8" t="s">
        <v>64</v>
      </c>
      <c r="C20" s="8" t="s">
        <v>65</v>
      </c>
      <c r="D20" s="8" t="s">
        <v>66</v>
      </c>
      <c r="E20" s="8" t="s">
        <v>19</v>
      </c>
      <c r="F20" s="9">
        <v>1</v>
      </c>
      <c r="G20" s="5">
        <f>TRUNC([1]단가대비표!O965,0)</f>
        <v>0</v>
      </c>
      <c r="H20" s="5">
        <f t="shared" si="0"/>
        <v>0</v>
      </c>
      <c r="I20" s="5">
        <v>0</v>
      </c>
      <c r="J20" s="5">
        <f t="shared" si="1"/>
        <v>0</v>
      </c>
      <c r="K20" s="5">
        <v>0</v>
      </c>
      <c r="L20" s="5">
        <f t="shared" si="2"/>
        <v>0</v>
      </c>
      <c r="M20" s="5">
        <f t="shared" si="3"/>
        <v>0</v>
      </c>
      <c r="N20" s="5">
        <f t="shared" si="3"/>
        <v>0</v>
      </c>
      <c r="O20" s="8" t="s">
        <v>20</v>
      </c>
      <c r="T20">
        <v>0</v>
      </c>
      <c r="AC20">
        <v>1</v>
      </c>
    </row>
    <row r="21" spans="1:29" ht="30" customHeight="1" x14ac:dyDescent="0.3">
      <c r="A21" s="8" t="s">
        <v>15</v>
      </c>
      <c r="B21" s="8" t="s">
        <v>67</v>
      </c>
      <c r="C21" s="8" t="s">
        <v>68</v>
      </c>
      <c r="D21" s="8" t="s">
        <v>69</v>
      </c>
      <c r="E21" s="8" t="s">
        <v>19</v>
      </c>
      <c r="F21" s="9">
        <v>1</v>
      </c>
      <c r="G21" s="5">
        <f>TRUNC([1]단가대비표!O966,0)</f>
        <v>1207000</v>
      </c>
      <c r="H21" s="5">
        <f t="shared" si="0"/>
        <v>1207000</v>
      </c>
      <c r="I21" s="5">
        <v>0</v>
      </c>
      <c r="J21" s="5">
        <f t="shared" si="1"/>
        <v>0</v>
      </c>
      <c r="K21" s="5">
        <v>0</v>
      </c>
      <c r="L21" s="5">
        <f t="shared" si="2"/>
        <v>0</v>
      </c>
      <c r="M21" s="5">
        <f t="shared" si="3"/>
        <v>1207000</v>
      </c>
      <c r="N21" s="5">
        <f t="shared" si="3"/>
        <v>1207000</v>
      </c>
      <c r="O21" s="8" t="s">
        <v>20</v>
      </c>
      <c r="T21">
        <v>0</v>
      </c>
      <c r="AC21">
        <v>1</v>
      </c>
    </row>
    <row r="22" spans="1:29" ht="30" customHeight="1" x14ac:dyDescent="0.3">
      <c r="A22" s="8" t="s">
        <v>15</v>
      </c>
      <c r="B22" s="8" t="s">
        <v>70</v>
      </c>
      <c r="C22" s="8" t="s">
        <v>71</v>
      </c>
      <c r="D22" s="8" t="s">
        <v>72</v>
      </c>
      <c r="E22" s="8" t="s">
        <v>19</v>
      </c>
      <c r="F22" s="9">
        <v>1</v>
      </c>
      <c r="G22" s="5">
        <f>TRUNC([1]단가대비표!O967,0)</f>
        <v>1917000</v>
      </c>
      <c r="H22" s="5">
        <f t="shared" si="0"/>
        <v>1917000</v>
      </c>
      <c r="I22" s="5">
        <v>0</v>
      </c>
      <c r="J22" s="5">
        <f t="shared" si="1"/>
        <v>0</v>
      </c>
      <c r="K22" s="5">
        <v>0</v>
      </c>
      <c r="L22" s="5">
        <f t="shared" si="2"/>
        <v>0</v>
      </c>
      <c r="M22" s="5">
        <f t="shared" si="3"/>
        <v>1917000</v>
      </c>
      <c r="N22" s="5">
        <f t="shared" si="3"/>
        <v>1917000</v>
      </c>
      <c r="O22" s="8" t="s">
        <v>20</v>
      </c>
      <c r="T22">
        <v>0</v>
      </c>
      <c r="AC22">
        <v>1</v>
      </c>
    </row>
    <row r="23" spans="1:29" ht="30" customHeight="1" x14ac:dyDescent="0.3">
      <c r="A23" s="8" t="s">
        <v>15</v>
      </c>
      <c r="B23" s="8" t="s">
        <v>73</v>
      </c>
      <c r="C23" s="8" t="s">
        <v>74</v>
      </c>
      <c r="D23" s="8" t="s">
        <v>75</v>
      </c>
      <c r="E23" s="8" t="s">
        <v>19</v>
      </c>
      <c r="F23" s="9">
        <v>1</v>
      </c>
      <c r="G23" s="5">
        <f>TRUNC([1]단가대비표!O968,0)</f>
        <v>1207000</v>
      </c>
      <c r="H23" s="5">
        <f t="shared" si="0"/>
        <v>1207000</v>
      </c>
      <c r="I23" s="5">
        <v>0</v>
      </c>
      <c r="J23" s="5">
        <f t="shared" si="1"/>
        <v>0</v>
      </c>
      <c r="K23" s="5">
        <v>0</v>
      </c>
      <c r="L23" s="5">
        <f t="shared" si="2"/>
        <v>0</v>
      </c>
      <c r="M23" s="5">
        <f t="shared" si="3"/>
        <v>1207000</v>
      </c>
      <c r="N23" s="5">
        <f t="shared" si="3"/>
        <v>1207000</v>
      </c>
      <c r="O23" s="8" t="s">
        <v>20</v>
      </c>
      <c r="T23">
        <v>0</v>
      </c>
      <c r="AC23">
        <v>1</v>
      </c>
    </row>
    <row r="24" spans="1:29" ht="30" customHeight="1" x14ac:dyDescent="0.3">
      <c r="A24" s="8" t="s">
        <v>15</v>
      </c>
      <c r="B24" s="8" t="s">
        <v>76</v>
      </c>
      <c r="C24" s="8" t="s">
        <v>77</v>
      </c>
      <c r="D24" s="8" t="s">
        <v>78</v>
      </c>
      <c r="E24" s="8" t="s">
        <v>19</v>
      </c>
      <c r="F24" s="9">
        <v>1</v>
      </c>
      <c r="G24" s="5">
        <f>TRUNC([1]단가대비표!O969,0)</f>
        <v>1431000</v>
      </c>
      <c r="H24" s="5">
        <f t="shared" si="0"/>
        <v>1431000</v>
      </c>
      <c r="I24" s="5">
        <v>0</v>
      </c>
      <c r="J24" s="5">
        <f t="shared" si="1"/>
        <v>0</v>
      </c>
      <c r="K24" s="5">
        <v>0</v>
      </c>
      <c r="L24" s="5">
        <f t="shared" si="2"/>
        <v>0</v>
      </c>
      <c r="M24" s="5">
        <f t="shared" si="3"/>
        <v>1431000</v>
      </c>
      <c r="N24" s="5">
        <f t="shared" si="3"/>
        <v>1431000</v>
      </c>
      <c r="O24" s="8" t="s">
        <v>20</v>
      </c>
      <c r="T24">
        <v>0</v>
      </c>
      <c r="AC24">
        <v>1</v>
      </c>
    </row>
    <row r="25" spans="1:29" ht="30" customHeight="1" x14ac:dyDescent="0.3">
      <c r="A25" s="8" t="s">
        <v>15</v>
      </c>
      <c r="B25" s="8" t="s">
        <v>79</v>
      </c>
      <c r="C25" s="8" t="s">
        <v>80</v>
      </c>
      <c r="D25" s="8" t="s">
        <v>81</v>
      </c>
      <c r="E25" s="8" t="s">
        <v>19</v>
      </c>
      <c r="F25" s="9">
        <v>1</v>
      </c>
      <c r="G25" s="5">
        <f>TRUNC([1]단가대비표!O970,0)</f>
        <v>1917000</v>
      </c>
      <c r="H25" s="5">
        <f t="shared" si="0"/>
        <v>1917000</v>
      </c>
      <c r="I25" s="5">
        <v>0</v>
      </c>
      <c r="J25" s="5">
        <f t="shared" si="1"/>
        <v>0</v>
      </c>
      <c r="K25" s="5">
        <v>0</v>
      </c>
      <c r="L25" s="5">
        <f t="shared" si="2"/>
        <v>0</v>
      </c>
      <c r="M25" s="5">
        <f t="shared" si="3"/>
        <v>1917000</v>
      </c>
      <c r="N25" s="5">
        <f t="shared" si="3"/>
        <v>1917000</v>
      </c>
      <c r="O25" s="8" t="s">
        <v>20</v>
      </c>
      <c r="T25">
        <v>0</v>
      </c>
      <c r="AC25">
        <v>1</v>
      </c>
    </row>
    <row r="26" spans="1:29" ht="30" customHeight="1" x14ac:dyDescent="0.3">
      <c r="A26" s="8" t="s">
        <v>15</v>
      </c>
      <c r="B26" s="8" t="s">
        <v>82</v>
      </c>
      <c r="C26" s="8" t="s">
        <v>83</v>
      </c>
      <c r="D26" s="8" t="s">
        <v>84</v>
      </c>
      <c r="E26" s="8" t="s">
        <v>19</v>
      </c>
      <c r="F26" s="9">
        <v>1</v>
      </c>
      <c r="G26" s="5">
        <f>TRUNC([1]단가대비표!O971,0)</f>
        <v>1559000</v>
      </c>
      <c r="H26" s="5">
        <f t="shared" si="0"/>
        <v>1559000</v>
      </c>
      <c r="I26" s="5">
        <v>0</v>
      </c>
      <c r="J26" s="5">
        <f t="shared" si="1"/>
        <v>0</v>
      </c>
      <c r="K26" s="5">
        <v>0</v>
      </c>
      <c r="L26" s="5">
        <f t="shared" si="2"/>
        <v>0</v>
      </c>
      <c r="M26" s="5">
        <f t="shared" si="3"/>
        <v>1559000</v>
      </c>
      <c r="N26" s="5">
        <f t="shared" si="3"/>
        <v>1559000</v>
      </c>
      <c r="O26" s="8" t="s">
        <v>20</v>
      </c>
      <c r="T26">
        <v>0</v>
      </c>
      <c r="AC26">
        <v>1</v>
      </c>
    </row>
    <row r="27" spans="1:29" ht="30" customHeight="1" x14ac:dyDescent="0.3">
      <c r="A27" s="8" t="s">
        <v>15</v>
      </c>
      <c r="B27" s="8" t="s">
        <v>85</v>
      </c>
      <c r="C27" s="8" t="s">
        <v>86</v>
      </c>
      <c r="D27" s="8" t="s">
        <v>87</v>
      </c>
      <c r="E27" s="8" t="s">
        <v>19</v>
      </c>
      <c r="F27" s="9">
        <v>1</v>
      </c>
      <c r="G27" s="5">
        <f>TRUNC([1]단가대비표!O972,0)</f>
        <v>968000</v>
      </c>
      <c r="H27" s="5">
        <f t="shared" si="0"/>
        <v>968000</v>
      </c>
      <c r="I27" s="5">
        <v>0</v>
      </c>
      <c r="J27" s="5">
        <f t="shared" si="1"/>
        <v>0</v>
      </c>
      <c r="K27" s="5">
        <v>0</v>
      </c>
      <c r="L27" s="5">
        <f t="shared" si="2"/>
        <v>0</v>
      </c>
      <c r="M27" s="5">
        <f t="shared" si="3"/>
        <v>968000</v>
      </c>
      <c r="N27" s="5">
        <f t="shared" si="3"/>
        <v>968000</v>
      </c>
      <c r="O27" s="8" t="s">
        <v>20</v>
      </c>
      <c r="T27">
        <v>0</v>
      </c>
      <c r="AC27">
        <v>1</v>
      </c>
    </row>
    <row r="28" spans="1:29" ht="30" customHeight="1" x14ac:dyDescent="0.3">
      <c r="A28" s="8" t="s">
        <v>15</v>
      </c>
      <c r="B28" s="8" t="s">
        <v>88</v>
      </c>
      <c r="C28" s="8" t="s">
        <v>89</v>
      </c>
      <c r="D28" s="8" t="s">
        <v>90</v>
      </c>
      <c r="E28" s="8" t="s">
        <v>19</v>
      </c>
      <c r="F28" s="9">
        <v>1</v>
      </c>
      <c r="G28" s="5">
        <f>TRUNC([1]단가대비표!O973,0)</f>
        <v>804000</v>
      </c>
      <c r="H28" s="5">
        <f t="shared" si="0"/>
        <v>804000</v>
      </c>
      <c r="I28" s="5">
        <v>0</v>
      </c>
      <c r="J28" s="5">
        <f t="shared" si="1"/>
        <v>0</v>
      </c>
      <c r="K28" s="5">
        <v>0</v>
      </c>
      <c r="L28" s="5">
        <f t="shared" si="2"/>
        <v>0</v>
      </c>
      <c r="M28" s="5">
        <f t="shared" si="3"/>
        <v>804000</v>
      </c>
      <c r="N28" s="5">
        <f t="shared" si="3"/>
        <v>804000</v>
      </c>
      <c r="O28" s="8" t="s">
        <v>20</v>
      </c>
      <c r="T28">
        <v>0</v>
      </c>
      <c r="AC28">
        <v>1</v>
      </c>
    </row>
    <row r="29" spans="1:29" ht="30" customHeight="1" x14ac:dyDescent="0.3">
      <c r="A29" s="8" t="s">
        <v>15</v>
      </c>
      <c r="B29" s="8" t="s">
        <v>91</v>
      </c>
      <c r="C29" s="8" t="s">
        <v>92</v>
      </c>
      <c r="D29" s="8" t="s">
        <v>93</v>
      </c>
      <c r="E29" s="8" t="s">
        <v>19</v>
      </c>
      <c r="F29" s="9">
        <v>1</v>
      </c>
      <c r="G29" s="5">
        <f>TRUNC([1]단가대비표!O974,0)</f>
        <v>1207000</v>
      </c>
      <c r="H29" s="5">
        <f t="shared" si="0"/>
        <v>1207000</v>
      </c>
      <c r="I29" s="5">
        <v>0</v>
      </c>
      <c r="J29" s="5">
        <f t="shared" si="1"/>
        <v>0</v>
      </c>
      <c r="K29" s="5">
        <v>0</v>
      </c>
      <c r="L29" s="5">
        <f t="shared" si="2"/>
        <v>0</v>
      </c>
      <c r="M29" s="5">
        <f t="shared" si="3"/>
        <v>1207000</v>
      </c>
      <c r="N29" s="5">
        <f t="shared" si="3"/>
        <v>1207000</v>
      </c>
      <c r="O29" s="8" t="s">
        <v>20</v>
      </c>
      <c r="T29">
        <v>0</v>
      </c>
      <c r="AC29">
        <v>1</v>
      </c>
    </row>
    <row r="30" spans="1:29" ht="30" customHeight="1" x14ac:dyDescent="0.3">
      <c r="A30" s="8" t="s">
        <v>15</v>
      </c>
      <c r="B30" s="8" t="s">
        <v>94</v>
      </c>
      <c r="C30" s="8" t="s">
        <v>95</v>
      </c>
      <c r="D30" s="8" t="s">
        <v>96</v>
      </c>
      <c r="E30" s="8" t="s">
        <v>19</v>
      </c>
      <c r="F30" s="9">
        <v>1</v>
      </c>
      <c r="G30" s="5">
        <f>TRUNC([1]단가대비표!O975,0)</f>
        <v>1917000</v>
      </c>
      <c r="H30" s="5">
        <f t="shared" si="0"/>
        <v>1917000</v>
      </c>
      <c r="I30" s="5">
        <v>0</v>
      </c>
      <c r="J30" s="5">
        <f t="shared" si="1"/>
        <v>0</v>
      </c>
      <c r="K30" s="5">
        <v>0</v>
      </c>
      <c r="L30" s="5">
        <f t="shared" si="2"/>
        <v>0</v>
      </c>
      <c r="M30" s="5">
        <f t="shared" si="3"/>
        <v>1917000</v>
      </c>
      <c r="N30" s="5">
        <f t="shared" si="3"/>
        <v>1917000</v>
      </c>
      <c r="O30" s="8" t="s">
        <v>20</v>
      </c>
      <c r="T30">
        <v>0</v>
      </c>
      <c r="AC30">
        <v>1</v>
      </c>
    </row>
    <row r="31" spans="1:29" ht="30" customHeight="1" x14ac:dyDescent="0.3">
      <c r="A31" s="8" t="s">
        <v>15</v>
      </c>
      <c r="B31" s="8" t="s">
        <v>97</v>
      </c>
      <c r="C31" s="8" t="s">
        <v>98</v>
      </c>
      <c r="D31" s="8" t="s">
        <v>99</v>
      </c>
      <c r="E31" s="8" t="s">
        <v>19</v>
      </c>
      <c r="F31" s="9">
        <v>1</v>
      </c>
      <c r="G31" s="5">
        <f>TRUNC([1]단가대비표!O976,0)</f>
        <v>1207000</v>
      </c>
      <c r="H31" s="5">
        <f t="shared" si="0"/>
        <v>1207000</v>
      </c>
      <c r="I31" s="5">
        <v>0</v>
      </c>
      <c r="J31" s="5">
        <f t="shared" si="1"/>
        <v>0</v>
      </c>
      <c r="K31" s="5">
        <v>0</v>
      </c>
      <c r="L31" s="5">
        <f t="shared" si="2"/>
        <v>0</v>
      </c>
      <c r="M31" s="5">
        <f t="shared" si="3"/>
        <v>1207000</v>
      </c>
      <c r="N31" s="5">
        <f t="shared" si="3"/>
        <v>1207000</v>
      </c>
      <c r="O31" s="8" t="s">
        <v>20</v>
      </c>
      <c r="T31">
        <v>0</v>
      </c>
      <c r="AC31">
        <v>1</v>
      </c>
    </row>
    <row r="32" spans="1:29" ht="30" customHeight="1" x14ac:dyDescent="0.3">
      <c r="A32" s="8" t="s">
        <v>15</v>
      </c>
      <c r="B32" s="8" t="s">
        <v>100</v>
      </c>
      <c r="C32" s="8" t="s">
        <v>101</v>
      </c>
      <c r="D32" s="8" t="s">
        <v>102</v>
      </c>
      <c r="E32" s="8" t="s">
        <v>19</v>
      </c>
      <c r="F32" s="9">
        <v>1</v>
      </c>
      <c r="G32" s="5">
        <f>TRUNC([1]단가대비표!O977,0)</f>
        <v>102000</v>
      </c>
      <c r="H32" s="5">
        <f t="shared" si="0"/>
        <v>102000</v>
      </c>
      <c r="I32" s="5">
        <v>0</v>
      </c>
      <c r="J32" s="5">
        <f t="shared" si="1"/>
        <v>0</v>
      </c>
      <c r="K32" s="5">
        <v>0</v>
      </c>
      <c r="L32" s="5">
        <f t="shared" si="2"/>
        <v>0</v>
      </c>
      <c r="M32" s="5">
        <f t="shared" si="3"/>
        <v>102000</v>
      </c>
      <c r="N32" s="5">
        <f t="shared" si="3"/>
        <v>102000</v>
      </c>
      <c r="O32" s="8" t="s">
        <v>20</v>
      </c>
      <c r="T32">
        <v>0</v>
      </c>
      <c r="AC32">
        <v>1</v>
      </c>
    </row>
    <row r="33" spans="1:29" ht="30" customHeight="1" x14ac:dyDescent="0.3">
      <c r="A33" s="8" t="s">
        <v>15</v>
      </c>
      <c r="B33" s="8" t="s">
        <v>103</v>
      </c>
      <c r="C33" s="8" t="s">
        <v>104</v>
      </c>
      <c r="D33" s="8" t="s">
        <v>105</v>
      </c>
      <c r="E33" s="8" t="s">
        <v>19</v>
      </c>
      <c r="F33" s="9">
        <v>15</v>
      </c>
      <c r="G33" s="5">
        <f>TRUNC([1]단가대비표!O978,0)</f>
        <v>59500</v>
      </c>
      <c r="H33" s="5">
        <f t="shared" si="0"/>
        <v>892500</v>
      </c>
      <c r="I33" s="5">
        <v>0</v>
      </c>
      <c r="J33" s="5">
        <f t="shared" si="1"/>
        <v>0</v>
      </c>
      <c r="K33" s="5">
        <v>0</v>
      </c>
      <c r="L33" s="5">
        <f t="shared" si="2"/>
        <v>0</v>
      </c>
      <c r="M33" s="5">
        <f t="shared" si="3"/>
        <v>59500</v>
      </c>
      <c r="N33" s="5">
        <f t="shared" si="3"/>
        <v>892500</v>
      </c>
      <c r="O33" s="8" t="s">
        <v>20</v>
      </c>
      <c r="T33">
        <v>0</v>
      </c>
      <c r="AC33">
        <v>1</v>
      </c>
    </row>
    <row r="34" spans="1:29" ht="30" customHeight="1" x14ac:dyDescent="0.3">
      <c r="A34" s="8" t="s">
        <v>15</v>
      </c>
      <c r="B34" s="8" t="s">
        <v>106</v>
      </c>
      <c r="C34" s="8" t="s">
        <v>107</v>
      </c>
      <c r="D34" s="8" t="s">
        <v>108</v>
      </c>
      <c r="E34" s="8" t="s">
        <v>19</v>
      </c>
      <c r="F34" s="9">
        <v>2</v>
      </c>
      <c r="G34" s="5">
        <f>TRUNC([1]단가대비표!O979,0)</f>
        <v>93500</v>
      </c>
      <c r="H34" s="5">
        <f t="shared" si="0"/>
        <v>187000</v>
      </c>
      <c r="I34" s="5">
        <v>0</v>
      </c>
      <c r="J34" s="5">
        <f t="shared" si="1"/>
        <v>0</v>
      </c>
      <c r="K34" s="5">
        <v>0</v>
      </c>
      <c r="L34" s="5">
        <f t="shared" si="2"/>
        <v>0</v>
      </c>
      <c r="M34" s="5">
        <f t="shared" si="3"/>
        <v>93500</v>
      </c>
      <c r="N34" s="5">
        <f t="shared" si="3"/>
        <v>187000</v>
      </c>
      <c r="O34" s="8" t="s">
        <v>20</v>
      </c>
      <c r="T34">
        <v>0</v>
      </c>
      <c r="AC34">
        <v>1</v>
      </c>
    </row>
    <row r="35" spans="1:29" ht="30" customHeight="1" x14ac:dyDescent="0.3">
      <c r="A35" s="8" t="s">
        <v>15</v>
      </c>
      <c r="B35" s="8" t="s">
        <v>109</v>
      </c>
      <c r="C35" s="8" t="s">
        <v>110</v>
      </c>
      <c r="D35" s="8" t="s">
        <v>111</v>
      </c>
      <c r="E35" s="8" t="s">
        <v>19</v>
      </c>
      <c r="F35" s="9">
        <v>1</v>
      </c>
      <c r="G35" s="5">
        <f>TRUNC([1]단가대비표!O980,0)</f>
        <v>1917000</v>
      </c>
      <c r="H35" s="5">
        <f t="shared" si="0"/>
        <v>1917000</v>
      </c>
      <c r="I35" s="5">
        <v>0</v>
      </c>
      <c r="J35" s="5">
        <f t="shared" si="1"/>
        <v>0</v>
      </c>
      <c r="K35" s="5">
        <v>0</v>
      </c>
      <c r="L35" s="5">
        <f t="shared" si="2"/>
        <v>0</v>
      </c>
      <c r="M35" s="5">
        <f t="shared" si="3"/>
        <v>1917000</v>
      </c>
      <c r="N35" s="5">
        <f t="shared" si="3"/>
        <v>1917000</v>
      </c>
      <c r="O35" s="8" t="s">
        <v>20</v>
      </c>
      <c r="T35">
        <v>0</v>
      </c>
      <c r="AC35">
        <v>1</v>
      </c>
    </row>
    <row r="36" spans="1:29" ht="30" customHeight="1" x14ac:dyDescent="0.3">
      <c r="A36" s="8" t="s">
        <v>15</v>
      </c>
      <c r="B36" s="8" t="s">
        <v>112</v>
      </c>
      <c r="C36" s="8" t="s">
        <v>113</v>
      </c>
      <c r="D36" s="8" t="s">
        <v>114</v>
      </c>
      <c r="E36" s="8" t="s">
        <v>19</v>
      </c>
      <c r="F36" s="9">
        <v>1</v>
      </c>
      <c r="G36" s="5">
        <f>TRUNC([1]단가대비표!O981,0)</f>
        <v>1114000</v>
      </c>
      <c r="H36" s="5">
        <f t="shared" si="0"/>
        <v>1114000</v>
      </c>
      <c r="I36" s="5">
        <v>0</v>
      </c>
      <c r="J36" s="5">
        <f t="shared" si="1"/>
        <v>0</v>
      </c>
      <c r="K36" s="5">
        <v>0</v>
      </c>
      <c r="L36" s="5">
        <f t="shared" si="2"/>
        <v>0</v>
      </c>
      <c r="M36" s="5">
        <f t="shared" si="3"/>
        <v>1114000</v>
      </c>
      <c r="N36" s="5">
        <f t="shared" si="3"/>
        <v>1114000</v>
      </c>
      <c r="O36" s="8" t="s">
        <v>20</v>
      </c>
      <c r="T36">
        <v>0</v>
      </c>
      <c r="AC36">
        <v>1</v>
      </c>
    </row>
    <row r="37" spans="1:29" ht="30" customHeight="1" x14ac:dyDescent="0.3">
      <c r="A37" s="8" t="s">
        <v>15</v>
      </c>
      <c r="B37" s="8" t="s">
        <v>115</v>
      </c>
      <c r="C37" s="8" t="s">
        <v>116</v>
      </c>
      <c r="D37" s="8" t="s">
        <v>117</v>
      </c>
      <c r="E37" s="8" t="s">
        <v>19</v>
      </c>
      <c r="F37" s="9">
        <v>68</v>
      </c>
      <c r="G37" s="5">
        <f>TRUNC([1]단가대비표!O982,0)</f>
        <v>59500</v>
      </c>
      <c r="H37" s="5">
        <f t="shared" si="0"/>
        <v>4046000</v>
      </c>
      <c r="I37" s="5">
        <v>0</v>
      </c>
      <c r="J37" s="5">
        <f t="shared" si="1"/>
        <v>0</v>
      </c>
      <c r="K37" s="5">
        <v>0</v>
      </c>
      <c r="L37" s="5">
        <f t="shared" si="2"/>
        <v>0</v>
      </c>
      <c r="M37" s="5">
        <f t="shared" si="3"/>
        <v>59500</v>
      </c>
      <c r="N37" s="5">
        <f t="shared" si="3"/>
        <v>4046000</v>
      </c>
      <c r="O37" s="8" t="s">
        <v>20</v>
      </c>
      <c r="T37">
        <v>0</v>
      </c>
      <c r="AC37">
        <v>1</v>
      </c>
    </row>
    <row r="38" spans="1:29" ht="30" customHeight="1" x14ac:dyDescent="0.3">
      <c r="A38" s="8" t="s">
        <v>15</v>
      </c>
      <c r="B38" s="8" t="s">
        <v>118</v>
      </c>
      <c r="C38" s="8" t="s">
        <v>119</v>
      </c>
      <c r="D38" s="8" t="s">
        <v>120</v>
      </c>
      <c r="E38" s="8" t="s">
        <v>19</v>
      </c>
      <c r="F38" s="9">
        <v>1</v>
      </c>
      <c r="G38" s="5">
        <f>TRUNC([1]단가대비표!O983,0)</f>
        <v>804000</v>
      </c>
      <c r="H38" s="5">
        <f t="shared" si="0"/>
        <v>804000</v>
      </c>
      <c r="I38" s="5">
        <v>0</v>
      </c>
      <c r="J38" s="5">
        <f t="shared" si="1"/>
        <v>0</v>
      </c>
      <c r="K38" s="5">
        <v>0</v>
      </c>
      <c r="L38" s="5">
        <f t="shared" si="2"/>
        <v>0</v>
      </c>
      <c r="M38" s="5">
        <f t="shared" si="3"/>
        <v>804000</v>
      </c>
      <c r="N38" s="5">
        <f t="shared" si="3"/>
        <v>804000</v>
      </c>
      <c r="O38" s="8" t="s">
        <v>20</v>
      </c>
      <c r="T38">
        <v>0</v>
      </c>
      <c r="AC38">
        <v>1</v>
      </c>
    </row>
    <row r="39" spans="1:29" ht="30" customHeight="1" x14ac:dyDescent="0.3">
      <c r="A39" s="8" t="s">
        <v>15</v>
      </c>
      <c r="B39" s="8" t="s">
        <v>121</v>
      </c>
      <c r="C39" s="8" t="s">
        <v>122</v>
      </c>
      <c r="D39" s="8" t="s">
        <v>123</v>
      </c>
      <c r="E39" s="8" t="s">
        <v>19</v>
      </c>
      <c r="F39" s="9">
        <v>1</v>
      </c>
      <c r="G39" s="5">
        <f>TRUNC([1]단가대비표!O984,0)</f>
        <v>834000</v>
      </c>
      <c r="H39" s="5">
        <f t="shared" si="0"/>
        <v>834000</v>
      </c>
      <c r="I39" s="5">
        <v>0</v>
      </c>
      <c r="J39" s="5">
        <f t="shared" si="1"/>
        <v>0</v>
      </c>
      <c r="K39" s="5">
        <v>0</v>
      </c>
      <c r="L39" s="5">
        <f t="shared" si="2"/>
        <v>0</v>
      </c>
      <c r="M39" s="5">
        <f t="shared" si="3"/>
        <v>834000</v>
      </c>
      <c r="N39" s="5">
        <f t="shared" si="3"/>
        <v>834000</v>
      </c>
      <c r="O39" s="8" t="s">
        <v>20</v>
      </c>
      <c r="T39">
        <v>0</v>
      </c>
      <c r="AC39">
        <v>1</v>
      </c>
    </row>
    <row r="40" spans="1:29" ht="30" customHeight="1" x14ac:dyDescent="0.3">
      <c r="A40" s="8" t="s">
        <v>15</v>
      </c>
      <c r="B40" s="8" t="s">
        <v>124</v>
      </c>
      <c r="C40" s="8" t="s">
        <v>125</v>
      </c>
      <c r="D40" s="8" t="s">
        <v>126</v>
      </c>
      <c r="E40" s="8" t="s">
        <v>19</v>
      </c>
      <c r="F40" s="9">
        <v>1</v>
      </c>
      <c r="G40" s="5">
        <f>TRUNC([1]단가대비표!O985,0)</f>
        <v>1688000</v>
      </c>
      <c r="H40" s="5">
        <f t="shared" si="0"/>
        <v>1688000</v>
      </c>
      <c r="I40" s="5">
        <v>0</v>
      </c>
      <c r="J40" s="5">
        <f t="shared" si="1"/>
        <v>0</v>
      </c>
      <c r="K40" s="5">
        <v>0</v>
      </c>
      <c r="L40" s="5">
        <f t="shared" si="2"/>
        <v>0</v>
      </c>
      <c r="M40" s="5">
        <f t="shared" si="3"/>
        <v>1688000</v>
      </c>
      <c r="N40" s="5">
        <f t="shared" si="3"/>
        <v>1688000</v>
      </c>
      <c r="O40" s="8" t="s">
        <v>20</v>
      </c>
      <c r="T40">
        <v>0</v>
      </c>
      <c r="AC40">
        <v>1</v>
      </c>
    </row>
    <row r="41" spans="1:29" ht="30" customHeight="1" x14ac:dyDescent="0.3">
      <c r="A41" s="8" t="s">
        <v>15</v>
      </c>
      <c r="B41" s="8" t="s">
        <v>127</v>
      </c>
      <c r="C41" s="8" t="s">
        <v>128</v>
      </c>
      <c r="D41" s="8" t="s">
        <v>129</v>
      </c>
      <c r="E41" s="8" t="s">
        <v>19</v>
      </c>
      <c r="F41" s="9">
        <v>1</v>
      </c>
      <c r="G41" s="5">
        <f>TRUNC([1]단가대비표!O986,0)</f>
        <v>968000</v>
      </c>
      <c r="H41" s="5">
        <f t="shared" si="0"/>
        <v>968000</v>
      </c>
      <c r="I41" s="5">
        <v>0</v>
      </c>
      <c r="J41" s="5">
        <f t="shared" si="1"/>
        <v>0</v>
      </c>
      <c r="K41" s="5">
        <v>0</v>
      </c>
      <c r="L41" s="5">
        <f t="shared" si="2"/>
        <v>0</v>
      </c>
      <c r="M41" s="5">
        <f t="shared" si="3"/>
        <v>968000</v>
      </c>
      <c r="N41" s="5">
        <f t="shared" si="3"/>
        <v>968000</v>
      </c>
      <c r="O41" s="8" t="s">
        <v>20</v>
      </c>
      <c r="T41">
        <v>0</v>
      </c>
      <c r="AC41">
        <v>1</v>
      </c>
    </row>
    <row r="42" spans="1:29" ht="30" customHeight="1" x14ac:dyDescent="0.3">
      <c r="A42" s="8" t="s">
        <v>15</v>
      </c>
      <c r="B42" s="8" t="s">
        <v>130</v>
      </c>
      <c r="C42" s="8" t="s">
        <v>131</v>
      </c>
      <c r="D42" s="8" t="s">
        <v>132</v>
      </c>
      <c r="E42" s="8" t="s">
        <v>19</v>
      </c>
      <c r="F42" s="9">
        <v>1</v>
      </c>
      <c r="G42" s="5">
        <f>TRUNC([1]단가대비표!O987,0)</f>
        <v>804000</v>
      </c>
      <c r="H42" s="5">
        <f t="shared" si="0"/>
        <v>804000</v>
      </c>
      <c r="I42" s="5">
        <v>0</v>
      </c>
      <c r="J42" s="5">
        <f t="shared" si="1"/>
        <v>0</v>
      </c>
      <c r="K42" s="5">
        <v>0</v>
      </c>
      <c r="L42" s="5">
        <f t="shared" si="2"/>
        <v>0</v>
      </c>
      <c r="M42" s="5">
        <f t="shared" si="3"/>
        <v>804000</v>
      </c>
      <c r="N42" s="5">
        <f t="shared" si="3"/>
        <v>804000</v>
      </c>
      <c r="O42" s="8" t="s">
        <v>20</v>
      </c>
      <c r="T42">
        <v>0</v>
      </c>
      <c r="AC42">
        <v>1</v>
      </c>
    </row>
    <row r="43" spans="1:29" ht="30" customHeight="1" x14ac:dyDescent="0.3">
      <c r="A43" s="8" t="s">
        <v>15</v>
      </c>
      <c r="B43" s="8" t="s">
        <v>133</v>
      </c>
      <c r="C43" s="8" t="s">
        <v>134</v>
      </c>
      <c r="D43" s="8" t="s">
        <v>135</v>
      </c>
      <c r="E43" s="8" t="s">
        <v>19</v>
      </c>
      <c r="F43" s="9">
        <v>1</v>
      </c>
      <c r="G43" s="5">
        <f>TRUNC([1]단가대비표!O990,0)</f>
        <v>804000</v>
      </c>
      <c r="H43" s="5">
        <f t="shared" si="0"/>
        <v>804000</v>
      </c>
      <c r="I43" s="5">
        <v>0</v>
      </c>
      <c r="J43" s="5">
        <f t="shared" si="1"/>
        <v>0</v>
      </c>
      <c r="K43" s="5">
        <v>0</v>
      </c>
      <c r="L43" s="5">
        <f t="shared" si="2"/>
        <v>0</v>
      </c>
      <c r="M43" s="5">
        <f t="shared" si="3"/>
        <v>804000</v>
      </c>
      <c r="N43" s="5">
        <f t="shared" si="3"/>
        <v>804000</v>
      </c>
      <c r="O43" s="8" t="s">
        <v>20</v>
      </c>
      <c r="T43">
        <v>0</v>
      </c>
      <c r="AC43">
        <v>1</v>
      </c>
    </row>
    <row r="44" spans="1:29" ht="30" customHeight="1" x14ac:dyDescent="0.3">
      <c r="A44" s="8" t="s">
        <v>15</v>
      </c>
      <c r="B44" s="8" t="s">
        <v>136</v>
      </c>
      <c r="C44" s="8" t="s">
        <v>137</v>
      </c>
      <c r="D44" s="8" t="s">
        <v>138</v>
      </c>
      <c r="E44" s="8" t="s">
        <v>19</v>
      </c>
      <c r="F44" s="9">
        <v>1</v>
      </c>
      <c r="G44" s="5">
        <f>TRUNC([1]단가대비표!O988,0)</f>
        <v>40800000</v>
      </c>
      <c r="H44" s="5">
        <f t="shared" si="0"/>
        <v>40800000</v>
      </c>
      <c r="I44" s="5">
        <v>0</v>
      </c>
      <c r="J44" s="5">
        <f t="shared" si="1"/>
        <v>0</v>
      </c>
      <c r="K44" s="5">
        <v>0</v>
      </c>
      <c r="L44" s="5">
        <f t="shared" si="2"/>
        <v>0</v>
      </c>
      <c r="M44" s="5">
        <f t="shared" si="3"/>
        <v>40800000</v>
      </c>
      <c r="N44" s="5">
        <f t="shared" si="3"/>
        <v>40800000</v>
      </c>
      <c r="O44" s="8" t="s">
        <v>20</v>
      </c>
      <c r="T44">
        <v>0</v>
      </c>
      <c r="AC44">
        <v>1</v>
      </c>
    </row>
    <row r="45" spans="1:29" ht="30" customHeight="1" x14ac:dyDescent="0.3">
      <c r="A45" s="8" t="s">
        <v>15</v>
      </c>
      <c r="B45" s="8" t="s">
        <v>139</v>
      </c>
      <c r="C45" s="8" t="s">
        <v>140</v>
      </c>
      <c r="D45" s="8" t="s">
        <v>141</v>
      </c>
      <c r="E45" s="8" t="s">
        <v>19</v>
      </c>
      <c r="F45" s="9">
        <v>1</v>
      </c>
      <c r="G45" s="5">
        <f>TRUNC([1]단가대비표!O989,0)</f>
        <v>5000000</v>
      </c>
      <c r="H45" s="5">
        <f t="shared" si="0"/>
        <v>5000000</v>
      </c>
      <c r="I45" s="5">
        <v>0</v>
      </c>
      <c r="J45" s="5">
        <f t="shared" si="1"/>
        <v>0</v>
      </c>
      <c r="K45" s="5">
        <v>0</v>
      </c>
      <c r="L45" s="5">
        <f t="shared" si="2"/>
        <v>0</v>
      </c>
      <c r="M45" s="5">
        <f t="shared" si="3"/>
        <v>5000000</v>
      </c>
      <c r="N45" s="5">
        <f t="shared" si="3"/>
        <v>5000000</v>
      </c>
      <c r="O45" s="8" t="s">
        <v>20</v>
      </c>
      <c r="T45">
        <v>0</v>
      </c>
      <c r="AC45">
        <v>1</v>
      </c>
    </row>
    <row r="46" spans="1:29" ht="30" customHeight="1" x14ac:dyDescent="0.3">
      <c r="A46" s="8" t="s">
        <v>15</v>
      </c>
      <c r="B46" s="8" t="s">
        <v>142</v>
      </c>
      <c r="C46" s="8" t="s">
        <v>143</v>
      </c>
      <c r="D46" s="8" t="s">
        <v>144</v>
      </c>
      <c r="E46" s="8" t="s">
        <v>19</v>
      </c>
      <c r="F46" s="9">
        <v>1</v>
      </c>
      <c r="G46" s="5">
        <f>TRUNC([1]단가대비표!O991,0)</f>
        <v>1700000</v>
      </c>
      <c r="H46" s="5">
        <f t="shared" si="0"/>
        <v>1700000</v>
      </c>
      <c r="I46" s="5">
        <v>0</v>
      </c>
      <c r="J46" s="5">
        <f t="shared" si="1"/>
        <v>0</v>
      </c>
      <c r="K46" s="5">
        <v>0</v>
      </c>
      <c r="L46" s="5">
        <f t="shared" si="2"/>
        <v>0</v>
      </c>
      <c r="M46" s="5">
        <f t="shared" si="3"/>
        <v>1700000</v>
      </c>
      <c r="N46" s="5">
        <f t="shared" si="3"/>
        <v>1700000</v>
      </c>
      <c r="O46" s="8" t="s">
        <v>20</v>
      </c>
      <c r="T46">
        <v>0</v>
      </c>
      <c r="AC46">
        <v>1</v>
      </c>
    </row>
    <row r="47" spans="1:29" ht="30" customHeight="1" x14ac:dyDescent="0.3">
      <c r="A47" s="8" t="s">
        <v>15</v>
      </c>
      <c r="B47" s="8" t="s">
        <v>145</v>
      </c>
      <c r="C47" s="8" t="s">
        <v>146</v>
      </c>
      <c r="D47" s="8" t="s">
        <v>147</v>
      </c>
      <c r="E47" s="8" t="s">
        <v>19</v>
      </c>
      <c r="F47" s="9">
        <v>1</v>
      </c>
      <c r="G47" s="5">
        <f>TRUNC([1]단가대비표!O992,0)</f>
        <v>6800000</v>
      </c>
      <c r="H47" s="5">
        <f t="shared" si="0"/>
        <v>6800000</v>
      </c>
      <c r="I47" s="5">
        <v>0</v>
      </c>
      <c r="J47" s="5">
        <f t="shared" si="1"/>
        <v>0</v>
      </c>
      <c r="K47" s="5">
        <v>0</v>
      </c>
      <c r="L47" s="5">
        <f t="shared" si="2"/>
        <v>0</v>
      </c>
      <c r="M47" s="5">
        <f t="shared" si="3"/>
        <v>6800000</v>
      </c>
      <c r="N47" s="5">
        <f t="shared" si="3"/>
        <v>6800000</v>
      </c>
      <c r="O47" s="8" t="s">
        <v>20</v>
      </c>
      <c r="T47">
        <v>0</v>
      </c>
      <c r="AC47">
        <v>1</v>
      </c>
    </row>
    <row r="48" spans="1:29" ht="30" customHeight="1" x14ac:dyDescent="0.3">
      <c r="A48" s="8" t="s">
        <v>15</v>
      </c>
      <c r="B48" s="8" t="s">
        <v>148</v>
      </c>
      <c r="C48" s="8" t="s">
        <v>149</v>
      </c>
      <c r="D48" s="8" t="s">
        <v>150</v>
      </c>
      <c r="E48" s="8" t="s">
        <v>151</v>
      </c>
      <c r="F48" s="9">
        <v>77</v>
      </c>
      <c r="G48" s="5">
        <f>TRUNC([1]단가대비표!O1002,0)</f>
        <v>117000</v>
      </c>
      <c r="H48" s="5">
        <f t="shared" si="0"/>
        <v>9009000</v>
      </c>
      <c r="I48" s="5">
        <v>0</v>
      </c>
      <c r="J48" s="5">
        <f t="shared" si="1"/>
        <v>0</v>
      </c>
      <c r="K48" s="5">
        <v>0</v>
      </c>
      <c r="L48" s="5">
        <f t="shared" si="2"/>
        <v>0</v>
      </c>
      <c r="M48" s="5">
        <f t="shared" si="3"/>
        <v>117000</v>
      </c>
      <c r="N48" s="5">
        <f t="shared" si="3"/>
        <v>9009000</v>
      </c>
      <c r="O48" s="8" t="s">
        <v>20</v>
      </c>
      <c r="T48">
        <v>0</v>
      </c>
      <c r="AC48">
        <v>1</v>
      </c>
    </row>
    <row r="49" spans="1:29" ht="30" customHeight="1" x14ac:dyDescent="0.3">
      <c r="A49" s="8" t="s">
        <v>15</v>
      </c>
      <c r="B49" s="8" t="s">
        <v>152</v>
      </c>
      <c r="C49" s="8" t="s">
        <v>153</v>
      </c>
      <c r="D49" s="8" t="s">
        <v>154</v>
      </c>
      <c r="E49" s="8" t="s">
        <v>155</v>
      </c>
      <c r="F49" s="9">
        <v>89</v>
      </c>
      <c r="G49" s="5">
        <v>0</v>
      </c>
      <c r="H49" s="5">
        <f t="shared" si="0"/>
        <v>0</v>
      </c>
      <c r="I49" s="5">
        <f>TRUNC([1]단가대비표!O671,0)</f>
        <v>157068</v>
      </c>
      <c r="J49" s="5">
        <f t="shared" si="1"/>
        <v>13979052</v>
      </c>
      <c r="K49" s="5">
        <v>0</v>
      </c>
      <c r="L49" s="5">
        <f t="shared" si="2"/>
        <v>0</v>
      </c>
      <c r="M49" s="5">
        <f t="shared" si="3"/>
        <v>157068</v>
      </c>
      <c r="N49" s="5">
        <f t="shared" si="3"/>
        <v>13979052</v>
      </c>
      <c r="O49" s="8" t="s">
        <v>20</v>
      </c>
      <c r="T49">
        <v>0</v>
      </c>
      <c r="W49">
        <v>3</v>
      </c>
      <c r="AC49">
        <v>1</v>
      </c>
    </row>
    <row r="50" spans="1:29" ht="30" customHeight="1" x14ac:dyDescent="0.3">
      <c r="A50" s="8" t="s">
        <v>15</v>
      </c>
      <c r="B50" s="8" t="s">
        <v>156</v>
      </c>
      <c r="C50" s="8" t="s">
        <v>153</v>
      </c>
      <c r="D50" s="8" t="s">
        <v>157</v>
      </c>
      <c r="E50" s="8" t="s">
        <v>155</v>
      </c>
      <c r="F50" s="9">
        <v>297</v>
      </c>
      <c r="G50" s="5">
        <v>0</v>
      </c>
      <c r="H50" s="5">
        <f t="shared" si="0"/>
        <v>0</v>
      </c>
      <c r="I50" s="5">
        <f>TRUNC([1]단가대비표!O664,0)</f>
        <v>213337</v>
      </c>
      <c r="J50" s="5">
        <f t="shared" si="1"/>
        <v>63361089</v>
      </c>
      <c r="K50" s="5">
        <v>0</v>
      </c>
      <c r="L50" s="5">
        <f t="shared" si="2"/>
        <v>0</v>
      </c>
      <c r="M50" s="5">
        <f t="shared" si="3"/>
        <v>213337</v>
      </c>
      <c r="N50" s="5">
        <f t="shared" si="3"/>
        <v>63361089</v>
      </c>
      <c r="O50" s="8" t="s">
        <v>20</v>
      </c>
      <c r="T50">
        <v>0</v>
      </c>
      <c r="W50">
        <v>3</v>
      </c>
      <c r="AC50">
        <v>1</v>
      </c>
    </row>
    <row r="51" spans="1:29" ht="30" customHeight="1" x14ac:dyDescent="0.3">
      <c r="A51" s="8" t="s">
        <v>15</v>
      </c>
      <c r="B51" s="8" t="s">
        <v>158</v>
      </c>
      <c r="C51" s="8" t="s">
        <v>159</v>
      </c>
      <c r="D51" s="8" t="s">
        <v>160</v>
      </c>
      <c r="E51" s="8" t="s">
        <v>161</v>
      </c>
      <c r="F51" s="9">
        <v>1</v>
      </c>
      <c r="G51" s="5">
        <f>ROUNDDOWN(SUMIF(W5:W51, RIGHTB(B51, 1), J5:J51)*T51, 0)</f>
        <v>1546802</v>
      </c>
      <c r="H51" s="5">
        <f t="shared" si="0"/>
        <v>1546802</v>
      </c>
      <c r="I51" s="5">
        <v>0</v>
      </c>
      <c r="J51" s="5">
        <f t="shared" si="1"/>
        <v>0</v>
      </c>
      <c r="K51" s="5">
        <v>0</v>
      </c>
      <c r="L51" s="5">
        <f t="shared" si="2"/>
        <v>0</v>
      </c>
      <c r="M51" s="5">
        <f t="shared" si="3"/>
        <v>1546802</v>
      </c>
      <c r="N51" s="5">
        <f t="shared" si="3"/>
        <v>1546802</v>
      </c>
      <c r="O51" s="8" t="s">
        <v>20</v>
      </c>
      <c r="P51">
        <v>51</v>
      </c>
      <c r="R51">
        <v>1</v>
      </c>
      <c r="S51">
        <v>0</v>
      </c>
      <c r="T51">
        <v>0.02</v>
      </c>
      <c r="AC51">
        <v>1</v>
      </c>
    </row>
    <row r="52" spans="1:29" ht="30" customHeight="1" x14ac:dyDescent="0.3">
      <c r="A52" s="5"/>
      <c r="B52" s="5"/>
      <c r="C52" s="5"/>
      <c r="D52" s="5"/>
      <c r="E52" s="5"/>
      <c r="F52" s="9"/>
      <c r="G52" s="5"/>
      <c r="H52" s="5"/>
      <c r="I52" s="5"/>
      <c r="J52" s="5"/>
      <c r="K52" s="5"/>
      <c r="L52" s="5"/>
      <c r="M52" s="5"/>
      <c r="N52" s="5"/>
      <c r="O52" s="5"/>
    </row>
    <row r="53" spans="1:29" ht="30" customHeight="1" x14ac:dyDescent="0.3">
      <c r="A53" s="5"/>
      <c r="B53" s="5"/>
      <c r="C53" s="5"/>
      <c r="D53" s="5"/>
      <c r="E53" s="5"/>
      <c r="F53" s="9"/>
      <c r="G53" s="5"/>
      <c r="H53" s="5"/>
      <c r="I53" s="5"/>
      <c r="J53" s="5"/>
      <c r="K53" s="5"/>
      <c r="L53" s="5"/>
      <c r="M53" s="5"/>
      <c r="N53" s="5"/>
      <c r="O53" s="5"/>
    </row>
    <row r="54" spans="1:29" ht="30" customHeight="1" x14ac:dyDescent="0.3">
      <c r="A54" s="5"/>
      <c r="B54" s="5"/>
      <c r="C54" s="5"/>
      <c r="D54" s="5"/>
      <c r="E54" s="5"/>
      <c r="F54" s="9"/>
      <c r="G54" s="5"/>
      <c r="H54" s="5"/>
      <c r="I54" s="5"/>
      <c r="J54" s="5"/>
      <c r="K54" s="5"/>
      <c r="L54" s="5"/>
      <c r="M54" s="5"/>
      <c r="N54" s="5"/>
      <c r="O54" s="5"/>
    </row>
    <row r="55" spans="1:29" ht="30" customHeight="1" x14ac:dyDescent="0.3">
      <c r="A55" s="5"/>
      <c r="B55" s="5"/>
      <c r="C55" s="5" t="s">
        <v>162</v>
      </c>
      <c r="D55" s="5"/>
      <c r="E55" s="5"/>
      <c r="F55" s="9"/>
      <c r="G55" s="5"/>
      <c r="H55" s="5">
        <f>SUMIF(AC5:AC54, 1, H5:H54)</f>
        <v>107994302</v>
      </c>
      <c r="I55" s="5"/>
      <c r="J55" s="5">
        <f>SUMIF(AC5:AC54, 1, J5:J54)</f>
        <v>77340141</v>
      </c>
      <c r="K55" s="5"/>
      <c r="L55" s="5">
        <f>SUMIF(AC5:AC54, 1, L5:L54)</f>
        <v>0</v>
      </c>
      <c r="M55" s="5"/>
      <c r="N55" s="5">
        <f>H55+J55+L55</f>
        <v>185334443</v>
      </c>
      <c r="O55" s="5"/>
    </row>
    <row r="56" spans="1:29" ht="30" customHeight="1" x14ac:dyDescent="0.3">
      <c r="A56" s="5"/>
      <c r="B56" s="5"/>
      <c r="C56" s="6" t="s">
        <v>163</v>
      </c>
      <c r="D56" s="6"/>
      <c r="E56" s="6"/>
      <c r="F56" s="7"/>
      <c r="G56" s="6"/>
      <c r="H56" s="6"/>
      <c r="I56" s="6"/>
      <c r="J56" s="6"/>
      <c r="K56" s="6"/>
      <c r="L56" s="6"/>
      <c r="M56" s="6"/>
      <c r="N56" s="6"/>
      <c r="O56" s="6"/>
    </row>
    <row r="57" spans="1:29" ht="30" customHeight="1" x14ac:dyDescent="0.3">
      <c r="A57" s="8" t="s">
        <v>164</v>
      </c>
      <c r="B57" s="8" t="s">
        <v>165</v>
      </c>
      <c r="C57" s="8" t="s">
        <v>166</v>
      </c>
      <c r="D57" s="8" t="s">
        <v>167</v>
      </c>
      <c r="E57" s="8" t="s">
        <v>168</v>
      </c>
      <c r="F57" s="9">
        <v>9</v>
      </c>
      <c r="G57" s="5">
        <f>TRUNC([1]단가대비표!O138,0)</f>
        <v>418</v>
      </c>
      <c r="H57" s="5">
        <f t="shared" ref="H57:H64" si="4">TRUNC(F57*G57,0)</f>
        <v>3762</v>
      </c>
      <c r="I57" s="5">
        <v>0</v>
      </c>
      <c r="J57" s="5">
        <f t="shared" ref="J57:J64" si="5">TRUNC(F57*I57,0)</f>
        <v>0</v>
      </c>
      <c r="K57" s="5">
        <v>0</v>
      </c>
      <c r="L57" s="5">
        <f t="shared" ref="L57:L64" si="6">TRUNC(F57*K57,0)</f>
        <v>0</v>
      </c>
      <c r="M57" s="5">
        <f t="shared" ref="M57:N64" si="7">G57+I57+K57</f>
        <v>418</v>
      </c>
      <c r="N57" s="5">
        <f t="shared" si="7"/>
        <v>3762</v>
      </c>
      <c r="O57" s="8" t="s">
        <v>20</v>
      </c>
      <c r="T57">
        <v>0</v>
      </c>
      <c r="U57">
        <v>1</v>
      </c>
      <c r="AC57">
        <v>1</v>
      </c>
    </row>
    <row r="58" spans="1:29" ht="30" customHeight="1" x14ac:dyDescent="0.3">
      <c r="A58" s="8" t="s">
        <v>164</v>
      </c>
      <c r="B58" s="8" t="s">
        <v>169</v>
      </c>
      <c r="C58" s="8" t="s">
        <v>166</v>
      </c>
      <c r="D58" s="8" t="s">
        <v>170</v>
      </c>
      <c r="E58" s="8" t="s">
        <v>168</v>
      </c>
      <c r="F58" s="9">
        <v>4</v>
      </c>
      <c r="G58" s="5">
        <f>TRUNC([1]단가대비표!O139,0)</f>
        <v>418</v>
      </c>
      <c r="H58" s="5">
        <f t="shared" si="4"/>
        <v>1672</v>
      </c>
      <c r="I58" s="5">
        <v>0</v>
      </c>
      <c r="J58" s="5">
        <f t="shared" si="5"/>
        <v>0</v>
      </c>
      <c r="K58" s="5">
        <v>0</v>
      </c>
      <c r="L58" s="5">
        <f t="shared" si="6"/>
        <v>0</v>
      </c>
      <c r="M58" s="5">
        <f t="shared" si="7"/>
        <v>418</v>
      </c>
      <c r="N58" s="5">
        <f t="shared" si="7"/>
        <v>1672</v>
      </c>
      <c r="O58" s="8" t="s">
        <v>20</v>
      </c>
      <c r="T58">
        <v>0</v>
      </c>
      <c r="U58">
        <v>1</v>
      </c>
      <c r="AC58">
        <v>1</v>
      </c>
    </row>
    <row r="59" spans="1:29" ht="30" customHeight="1" x14ac:dyDescent="0.3">
      <c r="A59" s="8" t="s">
        <v>164</v>
      </c>
      <c r="B59" s="8" t="s">
        <v>171</v>
      </c>
      <c r="C59" s="8" t="s">
        <v>166</v>
      </c>
      <c r="D59" s="8" t="s">
        <v>172</v>
      </c>
      <c r="E59" s="8" t="s">
        <v>168</v>
      </c>
      <c r="F59" s="9">
        <v>45</v>
      </c>
      <c r="G59" s="5">
        <f>TRUNC([1]단가대비표!O144,0)</f>
        <v>5281</v>
      </c>
      <c r="H59" s="5">
        <f t="shared" si="4"/>
        <v>237645</v>
      </c>
      <c r="I59" s="5">
        <v>0</v>
      </c>
      <c r="J59" s="5">
        <f t="shared" si="5"/>
        <v>0</v>
      </c>
      <c r="K59" s="5">
        <v>0</v>
      </c>
      <c r="L59" s="5">
        <f t="shared" si="6"/>
        <v>0</v>
      </c>
      <c r="M59" s="5">
        <f t="shared" si="7"/>
        <v>5281</v>
      </c>
      <c r="N59" s="5">
        <f t="shared" si="7"/>
        <v>237645</v>
      </c>
      <c r="O59" s="8" t="s">
        <v>20</v>
      </c>
      <c r="T59">
        <v>0</v>
      </c>
      <c r="U59">
        <v>1</v>
      </c>
      <c r="AC59">
        <v>1</v>
      </c>
    </row>
    <row r="60" spans="1:29" ht="30" customHeight="1" x14ac:dyDescent="0.3">
      <c r="A60" s="8" t="s">
        <v>164</v>
      </c>
      <c r="B60" s="8" t="s">
        <v>173</v>
      </c>
      <c r="C60" s="8" t="s">
        <v>174</v>
      </c>
      <c r="D60" s="8" t="s">
        <v>175</v>
      </c>
      <c r="E60" s="8" t="s">
        <v>161</v>
      </c>
      <c r="F60" s="9">
        <v>1</v>
      </c>
      <c r="G60" s="5">
        <f>ROUNDDOWN(SUMIF(U57:U64, RIGHTB(B60, 1), H57:H64)*T60, 0)</f>
        <v>7292</v>
      </c>
      <c r="H60" s="5">
        <f t="shared" si="4"/>
        <v>7292</v>
      </c>
      <c r="I60" s="5">
        <v>0</v>
      </c>
      <c r="J60" s="5">
        <f t="shared" si="5"/>
        <v>0</v>
      </c>
      <c r="K60" s="5">
        <v>0</v>
      </c>
      <c r="L60" s="5">
        <f t="shared" si="6"/>
        <v>0</v>
      </c>
      <c r="M60" s="5">
        <f t="shared" si="7"/>
        <v>7292</v>
      </c>
      <c r="N60" s="5">
        <f t="shared" si="7"/>
        <v>7292</v>
      </c>
      <c r="O60" s="8" t="s">
        <v>20</v>
      </c>
      <c r="P60">
        <v>60</v>
      </c>
      <c r="R60">
        <v>0</v>
      </c>
      <c r="S60">
        <v>0</v>
      </c>
      <c r="T60">
        <v>0.03</v>
      </c>
      <c r="AC60">
        <v>1</v>
      </c>
    </row>
    <row r="61" spans="1:29" ht="30" customHeight="1" x14ac:dyDescent="0.3">
      <c r="A61" s="8" t="s">
        <v>164</v>
      </c>
      <c r="B61" s="8" t="s">
        <v>176</v>
      </c>
      <c r="C61" s="8" t="s">
        <v>177</v>
      </c>
      <c r="D61" s="8" t="s">
        <v>178</v>
      </c>
      <c r="E61" s="8" t="s">
        <v>179</v>
      </c>
      <c r="F61" s="9">
        <v>2</v>
      </c>
      <c r="G61" s="5">
        <f>TRUNC([1]단가대비표!O200,0)</f>
        <v>10210</v>
      </c>
      <c r="H61" s="5">
        <f t="shared" si="4"/>
        <v>20420</v>
      </c>
      <c r="I61" s="5">
        <v>0</v>
      </c>
      <c r="J61" s="5">
        <f t="shared" si="5"/>
        <v>0</v>
      </c>
      <c r="K61" s="5">
        <v>0</v>
      </c>
      <c r="L61" s="5">
        <f t="shared" si="6"/>
        <v>0</v>
      </c>
      <c r="M61" s="5">
        <f t="shared" si="7"/>
        <v>10210</v>
      </c>
      <c r="N61" s="5">
        <f t="shared" si="7"/>
        <v>20420</v>
      </c>
      <c r="O61" s="8" t="s">
        <v>20</v>
      </c>
      <c r="T61">
        <v>0</v>
      </c>
      <c r="AC61">
        <v>1</v>
      </c>
    </row>
    <row r="62" spans="1:29" ht="30" customHeight="1" x14ac:dyDescent="0.3">
      <c r="A62" s="8" t="s">
        <v>164</v>
      </c>
      <c r="B62" s="8" t="s">
        <v>180</v>
      </c>
      <c r="C62" s="8" t="s">
        <v>177</v>
      </c>
      <c r="D62" s="8" t="s">
        <v>181</v>
      </c>
      <c r="E62" s="8" t="s">
        <v>179</v>
      </c>
      <c r="F62" s="9">
        <v>4</v>
      </c>
      <c r="G62" s="5">
        <f>TRUNC([1]단가대비표!O201,0)</f>
        <v>2380</v>
      </c>
      <c r="H62" s="5">
        <f t="shared" si="4"/>
        <v>9520</v>
      </c>
      <c r="I62" s="5">
        <v>0</v>
      </c>
      <c r="J62" s="5">
        <f t="shared" si="5"/>
        <v>0</v>
      </c>
      <c r="K62" s="5">
        <v>0</v>
      </c>
      <c r="L62" s="5">
        <f t="shared" si="6"/>
        <v>0</v>
      </c>
      <c r="M62" s="5">
        <f t="shared" si="7"/>
        <v>2380</v>
      </c>
      <c r="N62" s="5">
        <f t="shared" si="7"/>
        <v>9520</v>
      </c>
      <c r="O62" s="8" t="s">
        <v>20</v>
      </c>
      <c r="T62">
        <v>0</v>
      </c>
      <c r="AC62">
        <v>1</v>
      </c>
    </row>
    <row r="63" spans="1:29" ht="30" customHeight="1" x14ac:dyDescent="0.3">
      <c r="A63" s="8" t="s">
        <v>164</v>
      </c>
      <c r="B63" s="8" t="s">
        <v>182</v>
      </c>
      <c r="C63" s="8" t="s">
        <v>183</v>
      </c>
      <c r="D63" s="8" t="s">
        <v>184</v>
      </c>
      <c r="E63" s="8" t="s">
        <v>185</v>
      </c>
      <c r="F63" s="9">
        <v>8</v>
      </c>
      <c r="G63" s="5" t="e">
        <f>'[2].xls].xls].xls].xls].xls].xls].xls].'!E25</f>
        <v>#REF!</v>
      </c>
      <c r="H63" s="5" t="e">
        <f t="shared" si="4"/>
        <v>#REF!</v>
      </c>
      <c r="I63" s="5" t="e">
        <f>'[2].xls].xls].xls].xls].xls].xls].xls].'!F25</f>
        <v>#REF!</v>
      </c>
      <c r="J63" s="5" t="e">
        <f t="shared" si="5"/>
        <v>#REF!</v>
      </c>
      <c r="K63" s="5" t="e">
        <f>'[2].xls].xls].xls].xls].xls].xls].xls].'!G25</f>
        <v>#REF!</v>
      </c>
      <c r="L63" s="5" t="e">
        <f t="shared" si="6"/>
        <v>#REF!</v>
      </c>
      <c r="M63" s="5" t="e">
        <f t="shared" si="7"/>
        <v>#REF!</v>
      </c>
      <c r="N63" s="5" t="e">
        <f t="shared" si="7"/>
        <v>#REF!</v>
      </c>
      <c r="O63" s="8" t="s">
        <v>182</v>
      </c>
      <c r="T63">
        <v>0</v>
      </c>
      <c r="AC63">
        <v>1</v>
      </c>
    </row>
    <row r="64" spans="1:29" ht="30" customHeight="1" x14ac:dyDescent="0.3">
      <c r="A64" s="8" t="s">
        <v>164</v>
      </c>
      <c r="B64" s="8" t="s">
        <v>186</v>
      </c>
      <c r="C64" s="8" t="s">
        <v>183</v>
      </c>
      <c r="D64" s="8" t="s">
        <v>187</v>
      </c>
      <c r="E64" s="8" t="s">
        <v>185</v>
      </c>
      <c r="F64" s="9">
        <v>10</v>
      </c>
      <c r="G64" s="5" t="e">
        <f>'[2].xls].xls].xls].xls].xls].xls].xls].'!E31</f>
        <v>#REF!</v>
      </c>
      <c r="H64" s="5" t="e">
        <f t="shared" si="4"/>
        <v>#REF!</v>
      </c>
      <c r="I64" s="5" t="e">
        <f>'[2].xls].xls].xls].xls].xls].xls].xls].'!F31</f>
        <v>#REF!</v>
      </c>
      <c r="J64" s="5" t="e">
        <f t="shared" si="5"/>
        <v>#REF!</v>
      </c>
      <c r="K64" s="5" t="e">
        <f>'[2].xls].xls].xls].xls].xls].xls].xls].'!G31</f>
        <v>#REF!</v>
      </c>
      <c r="L64" s="5" t="e">
        <f t="shared" si="6"/>
        <v>#REF!</v>
      </c>
      <c r="M64" s="5" t="e">
        <f t="shared" si="7"/>
        <v>#REF!</v>
      </c>
      <c r="N64" s="5" t="e">
        <f t="shared" si="7"/>
        <v>#REF!</v>
      </c>
      <c r="O64" s="8" t="s">
        <v>186</v>
      </c>
      <c r="T64">
        <v>0</v>
      </c>
      <c r="AC64">
        <v>1</v>
      </c>
    </row>
    <row r="65" spans="1:15" ht="30" customHeight="1" x14ac:dyDescent="0.3">
      <c r="A65" s="5"/>
      <c r="B65" s="5"/>
      <c r="C65" s="5"/>
      <c r="D65" s="5"/>
      <c r="E65" s="5"/>
      <c r="F65" s="9"/>
      <c r="G65" s="5"/>
      <c r="H65" s="5"/>
      <c r="I65" s="5"/>
      <c r="J65" s="5"/>
      <c r="K65" s="5"/>
      <c r="L65" s="5"/>
      <c r="M65" s="5"/>
      <c r="N65" s="5"/>
      <c r="O65" s="5"/>
    </row>
    <row r="66" spans="1:15" ht="30" customHeight="1" x14ac:dyDescent="0.3">
      <c r="A66" s="5"/>
      <c r="B66" s="5"/>
      <c r="C66" s="5"/>
      <c r="D66" s="5"/>
      <c r="E66" s="5"/>
      <c r="F66" s="9"/>
      <c r="G66" s="5"/>
      <c r="H66" s="5"/>
      <c r="I66" s="5"/>
      <c r="J66" s="5"/>
      <c r="K66" s="5"/>
      <c r="L66" s="5"/>
      <c r="M66" s="5"/>
      <c r="N66" s="5"/>
      <c r="O66" s="5"/>
    </row>
    <row r="67" spans="1:15" ht="30" customHeight="1" x14ac:dyDescent="0.3">
      <c r="A67" s="5"/>
      <c r="B67" s="5"/>
      <c r="C67" s="5"/>
      <c r="D67" s="5"/>
      <c r="E67" s="5"/>
      <c r="F67" s="9"/>
      <c r="G67" s="5"/>
      <c r="H67" s="5"/>
      <c r="I67" s="5"/>
      <c r="J67" s="5"/>
      <c r="K67" s="5"/>
      <c r="L67" s="5"/>
      <c r="M67" s="5"/>
      <c r="N67" s="5"/>
      <c r="O67" s="5"/>
    </row>
    <row r="68" spans="1:15" ht="30" customHeight="1" x14ac:dyDescent="0.3">
      <c r="A68" s="5"/>
      <c r="B68" s="5"/>
      <c r="C68" s="5"/>
      <c r="D68" s="5"/>
      <c r="E68" s="5"/>
      <c r="F68" s="9"/>
      <c r="G68" s="5"/>
      <c r="H68" s="5"/>
      <c r="I68" s="5"/>
      <c r="J68" s="5"/>
      <c r="K68" s="5"/>
      <c r="L68" s="5"/>
      <c r="M68" s="5"/>
      <c r="N68" s="5"/>
      <c r="O68" s="5"/>
    </row>
    <row r="69" spans="1:15" ht="30" customHeight="1" x14ac:dyDescent="0.3">
      <c r="A69" s="5"/>
      <c r="B69" s="5"/>
      <c r="C69" s="5"/>
      <c r="D69" s="5"/>
      <c r="E69" s="5"/>
      <c r="F69" s="9"/>
      <c r="G69" s="5"/>
      <c r="H69" s="5"/>
      <c r="I69" s="5"/>
      <c r="J69" s="5"/>
      <c r="K69" s="5"/>
      <c r="L69" s="5"/>
      <c r="M69" s="5"/>
      <c r="N69" s="5"/>
      <c r="O69" s="5"/>
    </row>
    <row r="70" spans="1:15" ht="30" customHeight="1" x14ac:dyDescent="0.3">
      <c r="A70" s="5"/>
      <c r="B70" s="5"/>
      <c r="C70" s="5"/>
      <c r="D70" s="5"/>
      <c r="E70" s="5"/>
      <c r="F70" s="9"/>
      <c r="G70" s="5"/>
      <c r="H70" s="5"/>
      <c r="I70" s="5"/>
      <c r="J70" s="5"/>
      <c r="K70" s="5"/>
      <c r="L70" s="5"/>
      <c r="M70" s="5"/>
      <c r="N70" s="5"/>
      <c r="O70" s="5"/>
    </row>
    <row r="71" spans="1:15" ht="30" customHeight="1" x14ac:dyDescent="0.3">
      <c r="A71" s="5"/>
      <c r="B71" s="5"/>
      <c r="C71" s="5"/>
      <c r="D71" s="5"/>
      <c r="E71" s="5"/>
      <c r="F71" s="9"/>
      <c r="G71" s="5"/>
      <c r="H71" s="5"/>
      <c r="I71" s="5"/>
      <c r="J71" s="5"/>
      <c r="K71" s="5"/>
      <c r="L71" s="5"/>
      <c r="M71" s="5"/>
      <c r="N71" s="5"/>
      <c r="O71" s="5"/>
    </row>
    <row r="72" spans="1:15" ht="30" customHeight="1" x14ac:dyDescent="0.3">
      <c r="A72" s="5"/>
      <c r="B72" s="5"/>
      <c r="C72" s="5"/>
      <c r="D72" s="5"/>
      <c r="E72" s="5"/>
      <c r="F72" s="9"/>
      <c r="G72" s="5"/>
      <c r="H72" s="5"/>
      <c r="I72" s="5"/>
      <c r="J72" s="5"/>
      <c r="K72" s="5"/>
      <c r="L72" s="5"/>
      <c r="M72" s="5"/>
      <c r="N72" s="5"/>
      <c r="O72" s="5"/>
    </row>
    <row r="73" spans="1:15" ht="30" customHeight="1" x14ac:dyDescent="0.3">
      <c r="A73" s="5"/>
      <c r="B73" s="5"/>
      <c r="C73" s="5"/>
      <c r="D73" s="5"/>
      <c r="E73" s="5"/>
      <c r="F73" s="9"/>
      <c r="G73" s="5"/>
      <c r="H73" s="5"/>
      <c r="I73" s="5"/>
      <c r="J73" s="5"/>
      <c r="K73" s="5"/>
      <c r="L73" s="5"/>
      <c r="M73" s="5"/>
      <c r="N73" s="5"/>
      <c r="O73" s="5"/>
    </row>
    <row r="74" spans="1:15" ht="30" customHeight="1" x14ac:dyDescent="0.3">
      <c r="A74" s="5"/>
      <c r="B74" s="5"/>
      <c r="C74" s="5"/>
      <c r="D74" s="5"/>
      <c r="E74" s="5"/>
      <c r="F74" s="9"/>
      <c r="G74" s="5"/>
      <c r="H74" s="5"/>
      <c r="I74" s="5"/>
      <c r="J74" s="5"/>
      <c r="K74" s="5"/>
      <c r="L74" s="5"/>
      <c r="M74" s="5"/>
      <c r="N74" s="5"/>
      <c r="O74" s="5"/>
    </row>
    <row r="75" spans="1:15" ht="30" customHeight="1" x14ac:dyDescent="0.3">
      <c r="A75" s="5"/>
      <c r="B75" s="5"/>
      <c r="C75" s="5"/>
      <c r="D75" s="5"/>
      <c r="E75" s="5"/>
      <c r="F75" s="9"/>
      <c r="G75" s="5"/>
      <c r="H75" s="5"/>
      <c r="I75" s="5"/>
      <c r="J75" s="5"/>
      <c r="K75" s="5"/>
      <c r="L75" s="5"/>
      <c r="M75" s="5"/>
      <c r="N75" s="5"/>
      <c r="O75" s="5"/>
    </row>
    <row r="76" spans="1:15" ht="30" customHeight="1" x14ac:dyDescent="0.3">
      <c r="A76" s="5"/>
      <c r="B76" s="5"/>
      <c r="C76" s="5"/>
      <c r="D76" s="5"/>
      <c r="E76" s="5"/>
      <c r="F76" s="9"/>
      <c r="G76" s="5"/>
      <c r="H76" s="5"/>
      <c r="I76" s="5"/>
      <c r="J76" s="5"/>
      <c r="K76" s="5"/>
      <c r="L76" s="5"/>
      <c r="M76" s="5"/>
      <c r="N76" s="5"/>
      <c r="O76" s="5"/>
    </row>
    <row r="77" spans="1:15" ht="30" customHeight="1" x14ac:dyDescent="0.3">
      <c r="A77" s="5"/>
      <c r="B77" s="5"/>
      <c r="C77" s="5"/>
      <c r="D77" s="5"/>
      <c r="E77" s="5"/>
      <c r="F77" s="9"/>
      <c r="G77" s="5"/>
      <c r="H77" s="5"/>
      <c r="I77" s="5"/>
      <c r="J77" s="5"/>
      <c r="K77" s="5"/>
      <c r="L77" s="5"/>
      <c r="M77" s="5"/>
      <c r="N77" s="5"/>
      <c r="O77" s="5"/>
    </row>
    <row r="78" spans="1:15" ht="30" customHeight="1" x14ac:dyDescent="0.3">
      <c r="A78" s="5"/>
      <c r="B78" s="5"/>
      <c r="C78" s="5"/>
      <c r="D78" s="5"/>
      <c r="E78" s="5"/>
      <c r="F78" s="9"/>
      <c r="G78" s="5"/>
      <c r="H78" s="5"/>
      <c r="I78" s="5"/>
      <c r="J78" s="5"/>
      <c r="K78" s="5"/>
      <c r="L78" s="5"/>
      <c r="M78" s="5"/>
      <c r="N78" s="5"/>
      <c r="O78" s="5"/>
    </row>
    <row r="79" spans="1:15" ht="30" customHeight="1" x14ac:dyDescent="0.3">
      <c r="A79" s="5"/>
      <c r="B79" s="5"/>
      <c r="C79" s="5"/>
      <c r="D79" s="5"/>
      <c r="E79" s="5"/>
      <c r="F79" s="9"/>
      <c r="G79" s="5"/>
      <c r="H79" s="5"/>
      <c r="I79" s="5"/>
      <c r="J79" s="5"/>
      <c r="K79" s="5"/>
      <c r="L79" s="5"/>
      <c r="M79" s="5"/>
      <c r="N79" s="5"/>
      <c r="O79" s="5"/>
    </row>
    <row r="80" spans="1:15" ht="30" customHeight="1" x14ac:dyDescent="0.3">
      <c r="A80" s="5"/>
      <c r="B80" s="5"/>
      <c r="C80" s="5"/>
      <c r="D80" s="5"/>
      <c r="E80" s="5"/>
      <c r="F80" s="9"/>
      <c r="G80" s="5"/>
      <c r="H80" s="5"/>
      <c r="I80" s="5"/>
      <c r="J80" s="5"/>
      <c r="K80" s="5"/>
      <c r="L80" s="5"/>
      <c r="M80" s="5"/>
      <c r="N80" s="5"/>
      <c r="O80" s="5"/>
    </row>
    <row r="81" spans="1:29" ht="30" customHeight="1" x14ac:dyDescent="0.3">
      <c r="A81" s="5"/>
      <c r="B81" s="5"/>
      <c r="C81" s="5" t="s">
        <v>162</v>
      </c>
      <c r="D81" s="5"/>
      <c r="E81" s="5"/>
      <c r="F81" s="9"/>
      <c r="G81" s="5"/>
      <c r="H81" s="5" t="e">
        <f>SUMIF(AC57:AC80, 1, H57:H80)</f>
        <v>#REF!</v>
      </c>
      <c r="I81" s="5"/>
      <c r="J81" s="5" t="e">
        <f>SUMIF(AC57:AC80, 1, J57:J80)</f>
        <v>#REF!</v>
      </c>
      <c r="K81" s="5"/>
      <c r="L81" s="5" t="e">
        <f>SUMIF(AC57:AC80, 1, L57:L80)</f>
        <v>#REF!</v>
      </c>
      <c r="M81" s="5"/>
      <c r="N81" s="5" t="e">
        <f>H81+J81+L81</f>
        <v>#REF!</v>
      </c>
      <c r="O81" s="5"/>
    </row>
    <row r="82" spans="1:29" ht="30" customHeight="1" x14ac:dyDescent="0.3">
      <c r="A82" s="5"/>
      <c r="B82" s="5"/>
      <c r="C82" s="10" t="s">
        <v>188</v>
      </c>
      <c r="D82" s="10"/>
      <c r="E82" s="10"/>
      <c r="F82" s="11"/>
      <c r="G82" s="10"/>
      <c r="H82" s="10"/>
      <c r="I82" s="10"/>
      <c r="J82" s="10"/>
      <c r="K82" s="10"/>
      <c r="L82" s="10"/>
      <c r="M82" s="10"/>
      <c r="N82" s="10"/>
      <c r="O82" s="10"/>
    </row>
    <row r="83" spans="1:29" ht="30" customHeight="1" x14ac:dyDescent="0.3">
      <c r="A83" s="8" t="s">
        <v>189</v>
      </c>
      <c r="B83" s="8" t="s">
        <v>190</v>
      </c>
      <c r="C83" s="8" t="s">
        <v>191</v>
      </c>
      <c r="D83" s="8" t="s">
        <v>192</v>
      </c>
      <c r="E83" s="8" t="s">
        <v>168</v>
      </c>
      <c r="F83" s="9">
        <v>3</v>
      </c>
      <c r="G83" s="5">
        <f>TRUNC([1]단가대비표!O85,0)</f>
        <v>1980</v>
      </c>
      <c r="H83" s="5">
        <f t="shared" ref="H83:H146" si="8">TRUNC(F83*G83,0)</f>
        <v>5940</v>
      </c>
      <c r="I83" s="5">
        <v>0</v>
      </c>
      <c r="J83" s="5">
        <f t="shared" ref="J83:J146" si="9">TRUNC(F83*I83,0)</f>
        <v>0</v>
      </c>
      <c r="K83" s="5">
        <v>0</v>
      </c>
      <c r="L83" s="5">
        <f t="shared" ref="L83:L146" si="10">TRUNC(F83*K83,0)</f>
        <v>0</v>
      </c>
      <c r="M83" s="5">
        <f t="shared" ref="M83:N114" si="11">G83+I83+K83</f>
        <v>1980</v>
      </c>
      <c r="N83" s="5">
        <f t="shared" si="11"/>
        <v>5940</v>
      </c>
      <c r="O83" s="8" t="s">
        <v>20</v>
      </c>
      <c r="T83">
        <v>0</v>
      </c>
      <c r="U83">
        <v>1</v>
      </c>
      <c r="AC83">
        <v>1</v>
      </c>
    </row>
    <row r="84" spans="1:29" ht="30" customHeight="1" x14ac:dyDescent="0.3">
      <c r="A84" s="8" t="s">
        <v>189</v>
      </c>
      <c r="B84" s="8" t="s">
        <v>193</v>
      </c>
      <c r="C84" s="8" t="s">
        <v>191</v>
      </c>
      <c r="D84" s="8" t="s">
        <v>194</v>
      </c>
      <c r="E84" s="8" t="s">
        <v>168</v>
      </c>
      <c r="F84" s="9">
        <v>24</v>
      </c>
      <c r="G84" s="5">
        <f>TRUNC([1]단가대비표!O86,0)</f>
        <v>3220</v>
      </c>
      <c r="H84" s="5">
        <f t="shared" si="8"/>
        <v>77280</v>
      </c>
      <c r="I84" s="5">
        <v>0</v>
      </c>
      <c r="J84" s="5">
        <f t="shared" si="9"/>
        <v>0</v>
      </c>
      <c r="K84" s="5">
        <v>0</v>
      </c>
      <c r="L84" s="5">
        <f t="shared" si="10"/>
        <v>0</v>
      </c>
      <c r="M84" s="5">
        <f t="shared" si="11"/>
        <v>3220</v>
      </c>
      <c r="N84" s="5">
        <f t="shared" si="11"/>
        <v>77280</v>
      </c>
      <c r="O84" s="8" t="s">
        <v>20</v>
      </c>
      <c r="T84">
        <v>0</v>
      </c>
      <c r="U84">
        <v>1</v>
      </c>
      <c r="AC84">
        <v>1</v>
      </c>
    </row>
    <row r="85" spans="1:29" ht="30" customHeight="1" x14ac:dyDescent="0.3">
      <c r="A85" s="8" t="s">
        <v>189</v>
      </c>
      <c r="B85" s="8" t="s">
        <v>195</v>
      </c>
      <c r="C85" s="8" t="s">
        <v>191</v>
      </c>
      <c r="D85" s="8" t="s">
        <v>196</v>
      </c>
      <c r="E85" s="8" t="s">
        <v>168</v>
      </c>
      <c r="F85" s="9">
        <v>77</v>
      </c>
      <c r="G85" s="5">
        <f>TRUNC([1]단가대비표!O87,0)</f>
        <v>4010</v>
      </c>
      <c r="H85" s="5">
        <f t="shared" si="8"/>
        <v>308770</v>
      </c>
      <c r="I85" s="5">
        <v>0</v>
      </c>
      <c r="J85" s="5">
        <f t="shared" si="9"/>
        <v>0</v>
      </c>
      <c r="K85" s="5">
        <v>0</v>
      </c>
      <c r="L85" s="5">
        <f t="shared" si="10"/>
        <v>0</v>
      </c>
      <c r="M85" s="5">
        <f t="shared" si="11"/>
        <v>4010</v>
      </c>
      <c r="N85" s="5">
        <f t="shared" si="11"/>
        <v>308770</v>
      </c>
      <c r="O85" s="8" t="s">
        <v>20</v>
      </c>
      <c r="T85">
        <v>0</v>
      </c>
      <c r="U85">
        <v>1</v>
      </c>
      <c r="AC85">
        <v>1</v>
      </c>
    </row>
    <row r="86" spans="1:29" ht="30" customHeight="1" x14ac:dyDescent="0.3">
      <c r="A86" s="8" t="s">
        <v>189</v>
      </c>
      <c r="B86" s="8" t="s">
        <v>197</v>
      </c>
      <c r="C86" s="8" t="s">
        <v>191</v>
      </c>
      <c r="D86" s="8" t="s">
        <v>198</v>
      </c>
      <c r="E86" s="8" t="s">
        <v>168</v>
      </c>
      <c r="F86" s="9">
        <v>60</v>
      </c>
      <c r="G86" s="5">
        <f>TRUNC([1]단가대비표!O88,0)</f>
        <v>5650</v>
      </c>
      <c r="H86" s="5">
        <f t="shared" si="8"/>
        <v>339000</v>
      </c>
      <c r="I86" s="5">
        <v>0</v>
      </c>
      <c r="J86" s="5">
        <f t="shared" si="9"/>
        <v>0</v>
      </c>
      <c r="K86" s="5">
        <v>0</v>
      </c>
      <c r="L86" s="5">
        <f t="shared" si="10"/>
        <v>0</v>
      </c>
      <c r="M86" s="5">
        <f t="shared" si="11"/>
        <v>5650</v>
      </c>
      <c r="N86" s="5">
        <f t="shared" si="11"/>
        <v>339000</v>
      </c>
      <c r="O86" s="8" t="s">
        <v>20</v>
      </c>
      <c r="T86">
        <v>0</v>
      </c>
      <c r="U86">
        <v>1</v>
      </c>
      <c r="AC86">
        <v>1</v>
      </c>
    </row>
    <row r="87" spans="1:29" ht="30" customHeight="1" x14ac:dyDescent="0.3">
      <c r="A87" s="8" t="s">
        <v>189</v>
      </c>
      <c r="B87" s="8" t="s">
        <v>199</v>
      </c>
      <c r="C87" s="8" t="s">
        <v>191</v>
      </c>
      <c r="D87" s="8" t="s">
        <v>200</v>
      </c>
      <c r="E87" s="8" t="s">
        <v>168</v>
      </c>
      <c r="F87" s="9">
        <v>41</v>
      </c>
      <c r="G87" s="5">
        <f>TRUNC([1]단가대비표!O89,0)</f>
        <v>6910</v>
      </c>
      <c r="H87" s="5">
        <f t="shared" si="8"/>
        <v>283310</v>
      </c>
      <c r="I87" s="5">
        <v>0</v>
      </c>
      <c r="J87" s="5">
        <f t="shared" si="9"/>
        <v>0</v>
      </c>
      <c r="K87" s="5">
        <v>0</v>
      </c>
      <c r="L87" s="5">
        <f t="shared" si="10"/>
        <v>0</v>
      </c>
      <c r="M87" s="5">
        <f t="shared" si="11"/>
        <v>6910</v>
      </c>
      <c r="N87" s="5">
        <f t="shared" si="11"/>
        <v>283310</v>
      </c>
      <c r="O87" s="8" t="s">
        <v>20</v>
      </c>
      <c r="T87">
        <v>0</v>
      </c>
      <c r="U87">
        <v>1</v>
      </c>
      <c r="AC87">
        <v>1</v>
      </c>
    </row>
    <row r="88" spans="1:29" ht="30" customHeight="1" x14ac:dyDescent="0.3">
      <c r="A88" s="8" t="s">
        <v>189</v>
      </c>
      <c r="B88" s="8" t="s">
        <v>201</v>
      </c>
      <c r="C88" s="8" t="s">
        <v>191</v>
      </c>
      <c r="D88" s="8" t="s">
        <v>202</v>
      </c>
      <c r="E88" s="8" t="s">
        <v>168</v>
      </c>
      <c r="F88" s="9">
        <v>64</v>
      </c>
      <c r="G88" s="5">
        <f>TRUNC([1]단가대비표!O90,0)</f>
        <v>7960</v>
      </c>
      <c r="H88" s="5">
        <f t="shared" si="8"/>
        <v>509440</v>
      </c>
      <c r="I88" s="5">
        <v>0</v>
      </c>
      <c r="J88" s="5">
        <f t="shared" si="9"/>
        <v>0</v>
      </c>
      <c r="K88" s="5">
        <v>0</v>
      </c>
      <c r="L88" s="5">
        <f t="shared" si="10"/>
        <v>0</v>
      </c>
      <c r="M88" s="5">
        <f t="shared" si="11"/>
        <v>7960</v>
      </c>
      <c r="N88" s="5">
        <f t="shared" si="11"/>
        <v>509440</v>
      </c>
      <c r="O88" s="8" t="s">
        <v>20</v>
      </c>
      <c r="T88">
        <v>0</v>
      </c>
      <c r="U88">
        <v>1</v>
      </c>
      <c r="AC88">
        <v>1</v>
      </c>
    </row>
    <row r="89" spans="1:29" ht="30" customHeight="1" x14ac:dyDescent="0.3">
      <c r="A89" s="8" t="s">
        <v>189</v>
      </c>
      <c r="B89" s="8" t="s">
        <v>203</v>
      </c>
      <c r="C89" s="8" t="s">
        <v>191</v>
      </c>
      <c r="D89" s="8" t="s">
        <v>204</v>
      </c>
      <c r="E89" s="8" t="s">
        <v>168</v>
      </c>
      <c r="F89" s="9">
        <v>29</v>
      </c>
      <c r="G89" s="5">
        <f>TRUNC([1]단가대비표!O91,0)</f>
        <v>12350</v>
      </c>
      <c r="H89" s="5">
        <f t="shared" si="8"/>
        <v>358150</v>
      </c>
      <c r="I89" s="5">
        <v>0</v>
      </c>
      <c r="J89" s="5">
        <f t="shared" si="9"/>
        <v>0</v>
      </c>
      <c r="K89" s="5">
        <v>0</v>
      </c>
      <c r="L89" s="5">
        <f t="shared" si="10"/>
        <v>0</v>
      </c>
      <c r="M89" s="5">
        <f t="shared" si="11"/>
        <v>12350</v>
      </c>
      <c r="N89" s="5">
        <f t="shared" si="11"/>
        <v>358150</v>
      </c>
      <c r="O89" s="8" t="s">
        <v>20</v>
      </c>
      <c r="T89">
        <v>0</v>
      </c>
      <c r="U89">
        <v>1</v>
      </c>
      <c r="AC89">
        <v>1</v>
      </c>
    </row>
    <row r="90" spans="1:29" ht="30" customHeight="1" x14ac:dyDescent="0.3">
      <c r="A90" s="8" t="s">
        <v>189</v>
      </c>
      <c r="B90" s="8" t="s">
        <v>205</v>
      </c>
      <c r="C90" s="8" t="s">
        <v>191</v>
      </c>
      <c r="D90" s="8" t="s">
        <v>206</v>
      </c>
      <c r="E90" s="8" t="s">
        <v>168</v>
      </c>
      <c r="F90" s="9">
        <v>80</v>
      </c>
      <c r="G90" s="5">
        <f>TRUNC([1]단가대비표!O92,0)</f>
        <v>22620</v>
      </c>
      <c r="H90" s="5">
        <f t="shared" si="8"/>
        <v>1809600</v>
      </c>
      <c r="I90" s="5">
        <v>0</v>
      </c>
      <c r="J90" s="5">
        <f t="shared" si="9"/>
        <v>0</v>
      </c>
      <c r="K90" s="5">
        <v>0</v>
      </c>
      <c r="L90" s="5">
        <f t="shared" si="10"/>
        <v>0</v>
      </c>
      <c r="M90" s="5">
        <f t="shared" si="11"/>
        <v>22620</v>
      </c>
      <c r="N90" s="5">
        <f t="shared" si="11"/>
        <v>1809600</v>
      </c>
      <c r="O90" s="8" t="s">
        <v>20</v>
      </c>
      <c r="T90">
        <v>0</v>
      </c>
      <c r="U90">
        <v>1</v>
      </c>
      <c r="AC90">
        <v>1</v>
      </c>
    </row>
    <row r="91" spans="1:29" ht="30" customHeight="1" x14ac:dyDescent="0.3">
      <c r="A91" s="8" t="s">
        <v>189</v>
      </c>
      <c r="B91" s="8" t="s">
        <v>207</v>
      </c>
      <c r="C91" s="8" t="s">
        <v>191</v>
      </c>
      <c r="D91" s="8" t="s">
        <v>208</v>
      </c>
      <c r="E91" s="8" t="s">
        <v>168</v>
      </c>
      <c r="F91" s="9">
        <v>48</v>
      </c>
      <c r="G91" s="5">
        <f>TRUNC([1]단가대비표!O93,0)</f>
        <v>28130</v>
      </c>
      <c r="H91" s="5">
        <f t="shared" si="8"/>
        <v>1350240</v>
      </c>
      <c r="I91" s="5">
        <v>0</v>
      </c>
      <c r="J91" s="5">
        <f t="shared" si="9"/>
        <v>0</v>
      </c>
      <c r="K91" s="5">
        <v>0</v>
      </c>
      <c r="L91" s="5">
        <f t="shared" si="10"/>
        <v>0</v>
      </c>
      <c r="M91" s="5">
        <f t="shared" si="11"/>
        <v>28130</v>
      </c>
      <c r="N91" s="5">
        <f t="shared" si="11"/>
        <v>1350240</v>
      </c>
      <c r="O91" s="8" t="s">
        <v>20</v>
      </c>
      <c r="T91">
        <v>0</v>
      </c>
      <c r="U91">
        <v>1</v>
      </c>
      <c r="AC91">
        <v>1</v>
      </c>
    </row>
    <row r="92" spans="1:29" ht="30" customHeight="1" x14ac:dyDescent="0.3">
      <c r="A92" s="8" t="s">
        <v>189</v>
      </c>
      <c r="B92" s="8" t="s">
        <v>209</v>
      </c>
      <c r="C92" s="8" t="s">
        <v>210</v>
      </c>
      <c r="D92" s="8" t="s">
        <v>211</v>
      </c>
      <c r="E92" s="8" t="s">
        <v>168</v>
      </c>
      <c r="F92" s="9">
        <v>38</v>
      </c>
      <c r="G92" s="5">
        <f>TRUNC([1]단가대비표!O94,0)</f>
        <v>22580</v>
      </c>
      <c r="H92" s="5">
        <f t="shared" si="8"/>
        <v>858040</v>
      </c>
      <c r="I92" s="5">
        <v>0</v>
      </c>
      <c r="J92" s="5">
        <f t="shared" si="9"/>
        <v>0</v>
      </c>
      <c r="K92" s="5">
        <v>0</v>
      </c>
      <c r="L92" s="5">
        <f t="shared" si="10"/>
        <v>0</v>
      </c>
      <c r="M92" s="5">
        <f t="shared" si="11"/>
        <v>22580</v>
      </c>
      <c r="N92" s="5">
        <f t="shared" si="11"/>
        <v>858040</v>
      </c>
      <c r="O92" s="8" t="s">
        <v>20</v>
      </c>
      <c r="T92">
        <v>0</v>
      </c>
      <c r="U92">
        <v>1</v>
      </c>
      <c r="AC92">
        <v>1</v>
      </c>
    </row>
    <row r="93" spans="1:29" ht="30" customHeight="1" x14ac:dyDescent="0.3">
      <c r="A93" s="8" t="s">
        <v>189</v>
      </c>
      <c r="B93" s="8" t="s">
        <v>212</v>
      </c>
      <c r="C93" s="8" t="s">
        <v>210</v>
      </c>
      <c r="D93" s="8" t="s">
        <v>213</v>
      </c>
      <c r="E93" s="8" t="s">
        <v>168</v>
      </c>
      <c r="F93" s="9">
        <v>80</v>
      </c>
      <c r="G93" s="5">
        <f>TRUNC([1]단가대비표!O95,0)</f>
        <v>43650</v>
      </c>
      <c r="H93" s="5">
        <f t="shared" si="8"/>
        <v>3492000</v>
      </c>
      <c r="I93" s="5">
        <v>0</v>
      </c>
      <c r="J93" s="5">
        <f t="shared" si="9"/>
        <v>0</v>
      </c>
      <c r="K93" s="5">
        <v>0</v>
      </c>
      <c r="L93" s="5">
        <f t="shared" si="10"/>
        <v>0</v>
      </c>
      <c r="M93" s="5">
        <f t="shared" si="11"/>
        <v>43650</v>
      </c>
      <c r="N93" s="5">
        <f t="shared" si="11"/>
        <v>3492000</v>
      </c>
      <c r="O93" s="8" t="s">
        <v>20</v>
      </c>
      <c r="T93">
        <v>0</v>
      </c>
      <c r="U93">
        <v>1</v>
      </c>
      <c r="AC93">
        <v>1</v>
      </c>
    </row>
    <row r="94" spans="1:29" ht="30" customHeight="1" x14ac:dyDescent="0.3">
      <c r="A94" s="8" t="s">
        <v>189</v>
      </c>
      <c r="B94" s="8" t="s">
        <v>214</v>
      </c>
      <c r="C94" s="8" t="s">
        <v>210</v>
      </c>
      <c r="D94" s="8" t="s">
        <v>215</v>
      </c>
      <c r="E94" s="8" t="s">
        <v>168</v>
      </c>
      <c r="F94" s="9">
        <v>10</v>
      </c>
      <c r="G94" s="5">
        <f>TRUNC([1]단가대비표!O96,0)</f>
        <v>53450</v>
      </c>
      <c r="H94" s="5">
        <f t="shared" si="8"/>
        <v>534500</v>
      </c>
      <c r="I94" s="5">
        <v>0</v>
      </c>
      <c r="J94" s="5">
        <f t="shared" si="9"/>
        <v>0</v>
      </c>
      <c r="K94" s="5">
        <v>0</v>
      </c>
      <c r="L94" s="5">
        <f t="shared" si="10"/>
        <v>0</v>
      </c>
      <c r="M94" s="5">
        <f t="shared" si="11"/>
        <v>53450</v>
      </c>
      <c r="N94" s="5">
        <f t="shared" si="11"/>
        <v>534500</v>
      </c>
      <c r="O94" s="8" t="s">
        <v>20</v>
      </c>
      <c r="T94">
        <v>0</v>
      </c>
      <c r="U94">
        <v>1</v>
      </c>
      <c r="AC94">
        <v>1</v>
      </c>
    </row>
    <row r="95" spans="1:29" ht="30" customHeight="1" x14ac:dyDescent="0.3">
      <c r="A95" s="8" t="s">
        <v>189</v>
      </c>
      <c r="B95" s="8" t="s">
        <v>216</v>
      </c>
      <c r="C95" s="8" t="s">
        <v>210</v>
      </c>
      <c r="D95" s="8" t="s">
        <v>217</v>
      </c>
      <c r="E95" s="8" t="s">
        <v>168</v>
      </c>
      <c r="F95" s="9">
        <v>28</v>
      </c>
      <c r="G95" s="5">
        <f>TRUNC([1]단가대비표!O97,0)</f>
        <v>63410</v>
      </c>
      <c r="H95" s="5">
        <f t="shared" si="8"/>
        <v>1775480</v>
      </c>
      <c r="I95" s="5">
        <v>0</v>
      </c>
      <c r="J95" s="5">
        <f t="shared" si="9"/>
        <v>0</v>
      </c>
      <c r="K95" s="5">
        <v>0</v>
      </c>
      <c r="L95" s="5">
        <f t="shared" si="10"/>
        <v>0</v>
      </c>
      <c r="M95" s="5">
        <f t="shared" si="11"/>
        <v>63410</v>
      </c>
      <c r="N95" s="5">
        <f t="shared" si="11"/>
        <v>1775480</v>
      </c>
      <c r="O95" s="8" t="s">
        <v>20</v>
      </c>
      <c r="T95">
        <v>0</v>
      </c>
      <c r="U95">
        <v>1</v>
      </c>
      <c r="AC95">
        <v>1</v>
      </c>
    </row>
    <row r="96" spans="1:29" ht="30" customHeight="1" x14ac:dyDescent="0.3">
      <c r="A96" s="8" t="s">
        <v>189</v>
      </c>
      <c r="B96" s="8" t="s">
        <v>173</v>
      </c>
      <c r="C96" s="8" t="s">
        <v>174</v>
      </c>
      <c r="D96" s="8" t="s">
        <v>175</v>
      </c>
      <c r="E96" s="8" t="s">
        <v>161</v>
      </c>
      <c r="F96" s="9">
        <v>1</v>
      </c>
      <c r="G96" s="5">
        <f>ROUNDDOWN(SUMIF(U83:U257, RIGHTB(B96, 1), H83:H257)*T96, 0)</f>
        <v>351052</v>
      </c>
      <c r="H96" s="5">
        <f t="shared" si="8"/>
        <v>351052</v>
      </c>
      <c r="I96" s="5">
        <v>0</v>
      </c>
      <c r="J96" s="5">
        <f t="shared" si="9"/>
        <v>0</v>
      </c>
      <c r="K96" s="5">
        <v>0</v>
      </c>
      <c r="L96" s="5">
        <f t="shared" si="10"/>
        <v>0</v>
      </c>
      <c r="M96" s="5">
        <f t="shared" si="11"/>
        <v>351052</v>
      </c>
      <c r="N96" s="5">
        <f t="shared" si="11"/>
        <v>351052</v>
      </c>
      <c r="O96" s="8" t="s">
        <v>20</v>
      </c>
      <c r="P96">
        <v>96</v>
      </c>
      <c r="R96">
        <v>0</v>
      </c>
      <c r="S96">
        <v>0</v>
      </c>
      <c r="T96">
        <v>0.03</v>
      </c>
      <c r="AC96">
        <v>1</v>
      </c>
    </row>
    <row r="97" spans="1:29" ht="30" customHeight="1" x14ac:dyDescent="0.3">
      <c r="A97" s="8" t="s">
        <v>189</v>
      </c>
      <c r="B97" s="8" t="s">
        <v>218</v>
      </c>
      <c r="C97" s="8" t="s">
        <v>219</v>
      </c>
      <c r="D97" s="8" t="s">
        <v>220</v>
      </c>
      <c r="E97" s="8" t="s">
        <v>168</v>
      </c>
      <c r="F97" s="9">
        <v>20</v>
      </c>
      <c r="G97" s="5" t="e">
        <f>'[2].xls].xls].xls].xls].xls].xls].xls].'!E89</f>
        <v>#REF!</v>
      </c>
      <c r="H97" s="5" t="e">
        <f t="shared" si="8"/>
        <v>#REF!</v>
      </c>
      <c r="I97" s="5" t="e">
        <f>'[2].xls].xls].xls].xls].xls].xls].xls].'!F89</f>
        <v>#REF!</v>
      </c>
      <c r="J97" s="5" t="e">
        <f t="shared" si="9"/>
        <v>#REF!</v>
      </c>
      <c r="K97" s="5" t="e">
        <f>'[2].xls].xls].xls].xls].xls].xls].xls].'!G89</f>
        <v>#REF!</v>
      </c>
      <c r="L97" s="5" t="e">
        <f t="shared" si="10"/>
        <v>#REF!</v>
      </c>
      <c r="M97" s="5" t="e">
        <f t="shared" si="11"/>
        <v>#REF!</v>
      </c>
      <c r="N97" s="5" t="e">
        <f t="shared" si="11"/>
        <v>#REF!</v>
      </c>
      <c r="O97" s="8" t="s">
        <v>218</v>
      </c>
      <c r="T97">
        <v>0</v>
      </c>
      <c r="AC97">
        <v>1</v>
      </c>
    </row>
    <row r="98" spans="1:29" ht="30" customHeight="1" x14ac:dyDescent="0.3">
      <c r="A98" s="8" t="s">
        <v>189</v>
      </c>
      <c r="B98" s="8" t="s">
        <v>221</v>
      </c>
      <c r="C98" s="8" t="s">
        <v>219</v>
      </c>
      <c r="D98" s="8" t="s">
        <v>222</v>
      </c>
      <c r="E98" s="8" t="s">
        <v>168</v>
      </c>
      <c r="F98" s="9">
        <v>27</v>
      </c>
      <c r="G98" s="5" t="e">
        <f>'[2].xls].xls].xls].xls].xls].xls].xls].'!E90</f>
        <v>#REF!</v>
      </c>
      <c r="H98" s="5" t="e">
        <f t="shared" si="8"/>
        <v>#REF!</v>
      </c>
      <c r="I98" s="5" t="e">
        <f>'[2].xls].xls].xls].xls].xls].xls].xls].'!F90</f>
        <v>#REF!</v>
      </c>
      <c r="J98" s="5" t="e">
        <f t="shared" si="9"/>
        <v>#REF!</v>
      </c>
      <c r="K98" s="5" t="e">
        <f>'[2].xls].xls].xls].xls].xls].xls].xls].'!G90</f>
        <v>#REF!</v>
      </c>
      <c r="L98" s="5" t="e">
        <f t="shared" si="10"/>
        <v>#REF!</v>
      </c>
      <c r="M98" s="5" t="e">
        <f t="shared" si="11"/>
        <v>#REF!</v>
      </c>
      <c r="N98" s="5" t="e">
        <f t="shared" si="11"/>
        <v>#REF!</v>
      </c>
      <c r="O98" s="8" t="s">
        <v>221</v>
      </c>
      <c r="T98">
        <v>0</v>
      </c>
      <c r="AC98">
        <v>1</v>
      </c>
    </row>
    <row r="99" spans="1:29" ht="30" customHeight="1" x14ac:dyDescent="0.3">
      <c r="A99" s="8" t="s">
        <v>189</v>
      </c>
      <c r="B99" s="8" t="s">
        <v>223</v>
      </c>
      <c r="C99" s="8" t="s">
        <v>219</v>
      </c>
      <c r="D99" s="8" t="s">
        <v>224</v>
      </c>
      <c r="E99" s="8" t="s">
        <v>168</v>
      </c>
      <c r="F99" s="9">
        <v>33</v>
      </c>
      <c r="G99" s="5" t="e">
        <f>'[2].xls].xls].xls].xls].xls].xls].xls].'!E91</f>
        <v>#REF!</v>
      </c>
      <c r="H99" s="5" t="e">
        <f t="shared" si="8"/>
        <v>#REF!</v>
      </c>
      <c r="I99" s="5" t="e">
        <f>'[2].xls].xls].xls].xls].xls].xls].xls].'!F91</f>
        <v>#REF!</v>
      </c>
      <c r="J99" s="5" t="e">
        <f t="shared" si="9"/>
        <v>#REF!</v>
      </c>
      <c r="K99" s="5" t="e">
        <f>'[2].xls].xls].xls].xls].xls].xls].xls].'!G91</f>
        <v>#REF!</v>
      </c>
      <c r="L99" s="5" t="e">
        <f t="shared" si="10"/>
        <v>#REF!</v>
      </c>
      <c r="M99" s="5" t="e">
        <f t="shared" si="11"/>
        <v>#REF!</v>
      </c>
      <c r="N99" s="5" t="e">
        <f t="shared" si="11"/>
        <v>#REF!</v>
      </c>
      <c r="O99" s="8" t="s">
        <v>223</v>
      </c>
      <c r="T99">
        <v>0</v>
      </c>
      <c r="AC99">
        <v>1</v>
      </c>
    </row>
    <row r="100" spans="1:29" ht="30" customHeight="1" x14ac:dyDescent="0.3">
      <c r="A100" s="8" t="s">
        <v>189</v>
      </c>
      <c r="B100" s="8" t="s">
        <v>225</v>
      </c>
      <c r="C100" s="8" t="s">
        <v>219</v>
      </c>
      <c r="D100" s="8" t="s">
        <v>226</v>
      </c>
      <c r="E100" s="8" t="s">
        <v>168</v>
      </c>
      <c r="F100" s="9">
        <v>23</v>
      </c>
      <c r="G100" s="5" t="e">
        <f>'[2].xls].xls].xls].xls].xls].xls].xls].'!E92</f>
        <v>#REF!</v>
      </c>
      <c r="H100" s="5" t="e">
        <f t="shared" si="8"/>
        <v>#REF!</v>
      </c>
      <c r="I100" s="5" t="e">
        <f>'[2].xls].xls].xls].xls].xls].xls].xls].'!F92</f>
        <v>#REF!</v>
      </c>
      <c r="J100" s="5" t="e">
        <f t="shared" si="9"/>
        <v>#REF!</v>
      </c>
      <c r="K100" s="5" t="e">
        <f>'[2].xls].xls].xls].xls].xls].xls].xls].'!G92</f>
        <v>#REF!</v>
      </c>
      <c r="L100" s="5" t="e">
        <f t="shared" si="10"/>
        <v>#REF!</v>
      </c>
      <c r="M100" s="5" t="e">
        <f t="shared" si="11"/>
        <v>#REF!</v>
      </c>
      <c r="N100" s="5" t="e">
        <f t="shared" si="11"/>
        <v>#REF!</v>
      </c>
      <c r="O100" s="8" t="s">
        <v>225</v>
      </c>
      <c r="T100">
        <v>0</v>
      </c>
      <c r="AC100">
        <v>1</v>
      </c>
    </row>
    <row r="101" spans="1:29" ht="30" customHeight="1" x14ac:dyDescent="0.3">
      <c r="A101" s="8" t="s">
        <v>189</v>
      </c>
      <c r="B101" s="8" t="s">
        <v>227</v>
      </c>
      <c r="C101" s="8" t="s">
        <v>219</v>
      </c>
      <c r="D101" s="8" t="s">
        <v>228</v>
      </c>
      <c r="E101" s="8" t="s">
        <v>168</v>
      </c>
      <c r="F101" s="9">
        <v>4</v>
      </c>
      <c r="G101" s="5" t="e">
        <f>'[2].xls].xls].xls].xls].xls].xls].xls].'!E93</f>
        <v>#REF!</v>
      </c>
      <c r="H101" s="5" t="e">
        <f t="shared" si="8"/>
        <v>#REF!</v>
      </c>
      <c r="I101" s="5" t="e">
        <f>'[2].xls].xls].xls].xls].xls].xls].xls].'!F93</f>
        <v>#REF!</v>
      </c>
      <c r="J101" s="5" t="e">
        <f t="shared" si="9"/>
        <v>#REF!</v>
      </c>
      <c r="K101" s="5" t="e">
        <f>'[2].xls].xls].xls].xls].xls].xls].xls].'!G93</f>
        <v>#REF!</v>
      </c>
      <c r="L101" s="5" t="e">
        <f t="shared" si="10"/>
        <v>#REF!</v>
      </c>
      <c r="M101" s="5" t="e">
        <f t="shared" si="11"/>
        <v>#REF!</v>
      </c>
      <c r="N101" s="5" t="e">
        <f t="shared" si="11"/>
        <v>#REF!</v>
      </c>
      <c r="O101" s="8" t="s">
        <v>227</v>
      </c>
      <c r="T101">
        <v>0</v>
      </c>
      <c r="AC101">
        <v>1</v>
      </c>
    </row>
    <row r="102" spans="1:29" ht="30" customHeight="1" x14ac:dyDescent="0.3">
      <c r="A102" s="8" t="s">
        <v>189</v>
      </c>
      <c r="B102" s="8" t="s">
        <v>229</v>
      </c>
      <c r="C102" s="8" t="s">
        <v>219</v>
      </c>
      <c r="D102" s="8" t="s">
        <v>230</v>
      </c>
      <c r="E102" s="8" t="s">
        <v>168</v>
      </c>
      <c r="F102" s="9">
        <v>14</v>
      </c>
      <c r="G102" s="5" t="e">
        <f>'[2].xls].xls].xls].xls].xls].xls].xls].'!E94</f>
        <v>#REF!</v>
      </c>
      <c r="H102" s="5" t="e">
        <f t="shared" si="8"/>
        <v>#REF!</v>
      </c>
      <c r="I102" s="5" t="e">
        <f>'[2].xls].xls].xls].xls].xls].xls].xls].'!F94</f>
        <v>#REF!</v>
      </c>
      <c r="J102" s="5" t="e">
        <f t="shared" si="9"/>
        <v>#REF!</v>
      </c>
      <c r="K102" s="5" t="e">
        <f>'[2].xls].xls].xls].xls].xls].xls].xls].'!G94</f>
        <v>#REF!</v>
      </c>
      <c r="L102" s="5" t="e">
        <f t="shared" si="10"/>
        <v>#REF!</v>
      </c>
      <c r="M102" s="5" t="e">
        <f t="shared" si="11"/>
        <v>#REF!</v>
      </c>
      <c r="N102" s="5" t="e">
        <f t="shared" si="11"/>
        <v>#REF!</v>
      </c>
      <c r="O102" s="8" t="s">
        <v>229</v>
      </c>
      <c r="T102">
        <v>0</v>
      </c>
      <c r="AC102">
        <v>1</v>
      </c>
    </row>
    <row r="103" spans="1:29" ht="30" customHeight="1" x14ac:dyDescent="0.3">
      <c r="A103" s="8" t="s">
        <v>189</v>
      </c>
      <c r="B103" s="8" t="s">
        <v>231</v>
      </c>
      <c r="C103" s="8" t="s">
        <v>219</v>
      </c>
      <c r="D103" s="8" t="s">
        <v>232</v>
      </c>
      <c r="E103" s="8" t="s">
        <v>168</v>
      </c>
      <c r="F103" s="9">
        <v>38</v>
      </c>
      <c r="G103" s="5" t="e">
        <f>'[2].xls].xls].xls].xls].xls].xls].xls].'!E95</f>
        <v>#REF!</v>
      </c>
      <c r="H103" s="5" t="e">
        <f t="shared" si="8"/>
        <v>#REF!</v>
      </c>
      <c r="I103" s="5" t="e">
        <f>'[2].xls].xls].xls].xls].xls].xls].xls].'!F95</f>
        <v>#REF!</v>
      </c>
      <c r="J103" s="5" t="e">
        <f t="shared" si="9"/>
        <v>#REF!</v>
      </c>
      <c r="K103" s="5" t="e">
        <f>'[2].xls].xls].xls].xls].xls].xls].xls].'!G95</f>
        <v>#REF!</v>
      </c>
      <c r="L103" s="5" t="e">
        <f t="shared" si="10"/>
        <v>#REF!</v>
      </c>
      <c r="M103" s="5" t="e">
        <f t="shared" si="11"/>
        <v>#REF!</v>
      </c>
      <c r="N103" s="5" t="e">
        <f t="shared" si="11"/>
        <v>#REF!</v>
      </c>
      <c r="O103" s="8" t="s">
        <v>231</v>
      </c>
      <c r="T103">
        <v>0</v>
      </c>
      <c r="AC103">
        <v>1</v>
      </c>
    </row>
    <row r="104" spans="1:29" ht="30" customHeight="1" x14ac:dyDescent="0.3">
      <c r="A104" s="8" t="s">
        <v>189</v>
      </c>
      <c r="B104" s="8" t="s">
        <v>233</v>
      </c>
      <c r="C104" s="8" t="s">
        <v>219</v>
      </c>
      <c r="D104" s="8" t="s">
        <v>234</v>
      </c>
      <c r="E104" s="8" t="s">
        <v>168</v>
      </c>
      <c r="F104" s="9">
        <v>35</v>
      </c>
      <c r="G104" s="5" t="e">
        <f>'[2].xls].xls].xls].xls].xls].xls].xls].'!E96</f>
        <v>#REF!</v>
      </c>
      <c r="H104" s="5" t="e">
        <f t="shared" si="8"/>
        <v>#REF!</v>
      </c>
      <c r="I104" s="5" t="e">
        <f>'[2].xls].xls].xls].xls].xls].xls].xls].'!F96</f>
        <v>#REF!</v>
      </c>
      <c r="J104" s="5" t="e">
        <f t="shared" si="9"/>
        <v>#REF!</v>
      </c>
      <c r="K104" s="5" t="e">
        <f>'[2].xls].xls].xls].xls].xls].xls].xls].'!G96</f>
        <v>#REF!</v>
      </c>
      <c r="L104" s="5" t="e">
        <f t="shared" si="10"/>
        <v>#REF!</v>
      </c>
      <c r="M104" s="5" t="e">
        <f t="shared" si="11"/>
        <v>#REF!</v>
      </c>
      <c r="N104" s="5" t="e">
        <f t="shared" si="11"/>
        <v>#REF!</v>
      </c>
      <c r="O104" s="8" t="s">
        <v>233</v>
      </c>
      <c r="T104">
        <v>0</v>
      </c>
      <c r="AC104">
        <v>1</v>
      </c>
    </row>
    <row r="105" spans="1:29" ht="30" customHeight="1" x14ac:dyDescent="0.3">
      <c r="A105" s="8" t="s">
        <v>189</v>
      </c>
      <c r="B105" s="8" t="s">
        <v>235</v>
      </c>
      <c r="C105" s="8" t="s">
        <v>219</v>
      </c>
      <c r="D105" s="8" t="s">
        <v>236</v>
      </c>
      <c r="E105" s="8" t="s">
        <v>168</v>
      </c>
      <c r="F105" s="9">
        <v>18</v>
      </c>
      <c r="G105" s="5" t="e">
        <f>'[2].xls].xls].xls].xls].xls].xls].xls].'!E98</f>
        <v>#REF!</v>
      </c>
      <c r="H105" s="5" t="e">
        <f t="shared" si="8"/>
        <v>#REF!</v>
      </c>
      <c r="I105" s="5" t="e">
        <f>'[2].xls].xls].xls].xls].xls].xls].xls].'!F98</f>
        <v>#REF!</v>
      </c>
      <c r="J105" s="5" t="e">
        <f t="shared" si="9"/>
        <v>#REF!</v>
      </c>
      <c r="K105" s="5" t="e">
        <f>'[2].xls].xls].xls].xls].xls].xls].xls].'!G98</f>
        <v>#REF!</v>
      </c>
      <c r="L105" s="5" t="e">
        <f t="shared" si="10"/>
        <v>#REF!</v>
      </c>
      <c r="M105" s="5" t="e">
        <f t="shared" si="11"/>
        <v>#REF!</v>
      </c>
      <c r="N105" s="5" t="e">
        <f t="shared" si="11"/>
        <v>#REF!</v>
      </c>
      <c r="O105" s="8" t="s">
        <v>235</v>
      </c>
      <c r="T105">
        <v>0</v>
      </c>
      <c r="AC105">
        <v>1</v>
      </c>
    </row>
    <row r="106" spans="1:29" ht="30" customHeight="1" x14ac:dyDescent="0.3">
      <c r="A106" s="8" t="s">
        <v>189</v>
      </c>
      <c r="B106" s="8" t="s">
        <v>237</v>
      </c>
      <c r="C106" s="8" t="s">
        <v>219</v>
      </c>
      <c r="D106" s="8" t="s">
        <v>238</v>
      </c>
      <c r="E106" s="8" t="s">
        <v>168</v>
      </c>
      <c r="F106" s="9">
        <v>43</v>
      </c>
      <c r="G106" s="5" t="e">
        <f>'[2].xls].xls].xls].xls].xls].xls].xls].'!E103</f>
        <v>#REF!</v>
      </c>
      <c r="H106" s="5" t="e">
        <f t="shared" si="8"/>
        <v>#REF!</v>
      </c>
      <c r="I106" s="5" t="e">
        <f>'[2].xls].xls].xls].xls].xls].xls].xls].'!F103</f>
        <v>#REF!</v>
      </c>
      <c r="J106" s="5" t="e">
        <f t="shared" si="9"/>
        <v>#REF!</v>
      </c>
      <c r="K106" s="5" t="e">
        <f>'[2].xls].xls].xls].xls].xls].xls].xls].'!G103</f>
        <v>#REF!</v>
      </c>
      <c r="L106" s="5" t="e">
        <f t="shared" si="10"/>
        <v>#REF!</v>
      </c>
      <c r="M106" s="5" t="e">
        <f t="shared" si="11"/>
        <v>#REF!</v>
      </c>
      <c r="N106" s="5" t="e">
        <f t="shared" si="11"/>
        <v>#REF!</v>
      </c>
      <c r="O106" s="8" t="s">
        <v>237</v>
      </c>
      <c r="T106">
        <v>0</v>
      </c>
      <c r="AC106">
        <v>1</v>
      </c>
    </row>
    <row r="107" spans="1:29" ht="30" customHeight="1" x14ac:dyDescent="0.3">
      <c r="A107" s="8" t="s">
        <v>189</v>
      </c>
      <c r="B107" s="8" t="s">
        <v>239</v>
      </c>
      <c r="C107" s="8" t="s">
        <v>219</v>
      </c>
      <c r="D107" s="8" t="s">
        <v>240</v>
      </c>
      <c r="E107" s="8" t="s">
        <v>168</v>
      </c>
      <c r="F107" s="9">
        <v>21</v>
      </c>
      <c r="G107" s="5" t="e">
        <f>'[2].xls].xls].xls].xls].xls].xls].xls].'!E104</f>
        <v>#REF!</v>
      </c>
      <c r="H107" s="5" t="e">
        <f t="shared" si="8"/>
        <v>#REF!</v>
      </c>
      <c r="I107" s="5" t="e">
        <f>'[2].xls].xls].xls].xls].xls].xls].xls].'!F104</f>
        <v>#REF!</v>
      </c>
      <c r="J107" s="5" t="e">
        <f t="shared" si="9"/>
        <v>#REF!</v>
      </c>
      <c r="K107" s="5" t="e">
        <f>'[2].xls].xls].xls].xls].xls].xls].xls].'!G104</f>
        <v>#REF!</v>
      </c>
      <c r="L107" s="5" t="e">
        <f t="shared" si="10"/>
        <v>#REF!</v>
      </c>
      <c r="M107" s="5" t="e">
        <f t="shared" si="11"/>
        <v>#REF!</v>
      </c>
      <c r="N107" s="5" t="e">
        <f t="shared" si="11"/>
        <v>#REF!</v>
      </c>
      <c r="O107" s="8" t="s">
        <v>239</v>
      </c>
      <c r="T107">
        <v>0</v>
      </c>
      <c r="AC107">
        <v>1</v>
      </c>
    </row>
    <row r="108" spans="1:29" ht="30" customHeight="1" x14ac:dyDescent="0.3">
      <c r="A108" s="8" t="s">
        <v>189</v>
      </c>
      <c r="B108" s="8" t="s">
        <v>241</v>
      </c>
      <c r="C108" s="8" t="s">
        <v>219</v>
      </c>
      <c r="D108" s="8" t="s">
        <v>242</v>
      </c>
      <c r="E108" s="8" t="s">
        <v>168</v>
      </c>
      <c r="F108" s="9">
        <v>15</v>
      </c>
      <c r="G108" s="5" t="e">
        <f>'[2].xls].xls].xls].xls].xls].xls].xls].'!E105</f>
        <v>#REF!</v>
      </c>
      <c r="H108" s="5" t="e">
        <f t="shared" si="8"/>
        <v>#REF!</v>
      </c>
      <c r="I108" s="5" t="e">
        <f>'[2].xls].xls].xls].xls].xls].xls].xls].'!F105</f>
        <v>#REF!</v>
      </c>
      <c r="J108" s="5" t="e">
        <f t="shared" si="9"/>
        <v>#REF!</v>
      </c>
      <c r="K108" s="5" t="e">
        <f>'[2].xls].xls].xls].xls].xls].xls].xls].'!G105</f>
        <v>#REF!</v>
      </c>
      <c r="L108" s="5" t="e">
        <f t="shared" si="10"/>
        <v>#REF!</v>
      </c>
      <c r="M108" s="5" t="e">
        <f t="shared" si="11"/>
        <v>#REF!</v>
      </c>
      <c r="N108" s="5" t="e">
        <f t="shared" si="11"/>
        <v>#REF!</v>
      </c>
      <c r="O108" s="8" t="s">
        <v>241</v>
      </c>
      <c r="T108">
        <v>0</v>
      </c>
      <c r="AC108">
        <v>1</v>
      </c>
    </row>
    <row r="109" spans="1:29" ht="30" customHeight="1" x14ac:dyDescent="0.3">
      <c r="A109" s="8" t="s">
        <v>189</v>
      </c>
      <c r="B109" s="8" t="s">
        <v>243</v>
      </c>
      <c r="C109" s="8" t="s">
        <v>219</v>
      </c>
      <c r="D109" s="8" t="s">
        <v>244</v>
      </c>
      <c r="E109" s="8" t="s">
        <v>168</v>
      </c>
      <c r="F109" s="9">
        <v>55</v>
      </c>
      <c r="G109" s="5" t="e">
        <f>'[2].xls].xls].xls].xls].xls].xls].xls].'!E107</f>
        <v>#REF!</v>
      </c>
      <c r="H109" s="5" t="e">
        <f t="shared" si="8"/>
        <v>#REF!</v>
      </c>
      <c r="I109" s="5" t="e">
        <f>'[2].xls].xls].xls].xls].xls].xls].xls].'!F107</f>
        <v>#REF!</v>
      </c>
      <c r="J109" s="5" t="e">
        <f t="shared" si="9"/>
        <v>#REF!</v>
      </c>
      <c r="K109" s="5" t="e">
        <f>'[2].xls].xls].xls].xls].xls].xls].xls].'!G107</f>
        <v>#REF!</v>
      </c>
      <c r="L109" s="5" t="e">
        <f t="shared" si="10"/>
        <v>#REF!</v>
      </c>
      <c r="M109" s="5" t="e">
        <f t="shared" si="11"/>
        <v>#REF!</v>
      </c>
      <c r="N109" s="5" t="e">
        <f t="shared" si="11"/>
        <v>#REF!</v>
      </c>
      <c r="O109" s="8" t="s">
        <v>243</v>
      </c>
      <c r="T109">
        <v>0</v>
      </c>
      <c r="AC109">
        <v>1</v>
      </c>
    </row>
    <row r="110" spans="1:29" ht="30" customHeight="1" x14ac:dyDescent="0.3">
      <c r="A110" s="8" t="s">
        <v>189</v>
      </c>
      <c r="B110" s="8" t="s">
        <v>245</v>
      </c>
      <c r="C110" s="8" t="s">
        <v>219</v>
      </c>
      <c r="D110" s="8" t="s">
        <v>246</v>
      </c>
      <c r="E110" s="8" t="s">
        <v>168</v>
      </c>
      <c r="F110" s="9">
        <v>11</v>
      </c>
      <c r="G110" s="5" t="e">
        <f>'[2].xls].xls].xls].xls].xls].xls].xls].'!E108</f>
        <v>#REF!</v>
      </c>
      <c r="H110" s="5" t="e">
        <f t="shared" si="8"/>
        <v>#REF!</v>
      </c>
      <c r="I110" s="5" t="e">
        <f>'[2].xls].xls].xls].xls].xls].xls].xls].'!F108</f>
        <v>#REF!</v>
      </c>
      <c r="J110" s="5" t="e">
        <f t="shared" si="9"/>
        <v>#REF!</v>
      </c>
      <c r="K110" s="5" t="e">
        <f>'[2].xls].xls].xls].xls].xls].xls].xls].'!G108</f>
        <v>#REF!</v>
      </c>
      <c r="L110" s="5" t="e">
        <f t="shared" si="10"/>
        <v>#REF!</v>
      </c>
      <c r="M110" s="5" t="e">
        <f t="shared" si="11"/>
        <v>#REF!</v>
      </c>
      <c r="N110" s="5" t="e">
        <f t="shared" si="11"/>
        <v>#REF!</v>
      </c>
      <c r="O110" s="8" t="s">
        <v>245</v>
      </c>
      <c r="T110">
        <v>0</v>
      </c>
      <c r="AC110">
        <v>1</v>
      </c>
    </row>
    <row r="111" spans="1:29" ht="30" customHeight="1" x14ac:dyDescent="0.3">
      <c r="A111" s="8" t="s">
        <v>189</v>
      </c>
      <c r="B111" s="8" t="s">
        <v>247</v>
      </c>
      <c r="C111" s="8" t="s">
        <v>219</v>
      </c>
      <c r="D111" s="8" t="s">
        <v>248</v>
      </c>
      <c r="E111" s="8" t="s">
        <v>168</v>
      </c>
      <c r="F111" s="9">
        <v>34</v>
      </c>
      <c r="G111" s="5" t="e">
        <f>'[2].xls].xls].xls].xls].xls].xls].xls].'!E109</f>
        <v>#REF!</v>
      </c>
      <c r="H111" s="5" t="e">
        <f t="shared" si="8"/>
        <v>#REF!</v>
      </c>
      <c r="I111" s="5" t="e">
        <f>'[2].xls].xls].xls].xls].xls].xls].xls].'!F109</f>
        <v>#REF!</v>
      </c>
      <c r="J111" s="5" t="e">
        <f t="shared" si="9"/>
        <v>#REF!</v>
      </c>
      <c r="K111" s="5" t="e">
        <f>'[2].xls].xls].xls].xls].xls].xls].xls].'!G109</f>
        <v>#REF!</v>
      </c>
      <c r="L111" s="5" t="e">
        <f t="shared" si="10"/>
        <v>#REF!</v>
      </c>
      <c r="M111" s="5" t="e">
        <f t="shared" si="11"/>
        <v>#REF!</v>
      </c>
      <c r="N111" s="5" t="e">
        <f t="shared" si="11"/>
        <v>#REF!</v>
      </c>
      <c r="O111" s="8" t="s">
        <v>247</v>
      </c>
      <c r="T111">
        <v>0</v>
      </c>
      <c r="AC111">
        <v>1</v>
      </c>
    </row>
    <row r="112" spans="1:29" ht="30" customHeight="1" x14ac:dyDescent="0.3">
      <c r="A112" s="8" t="s">
        <v>189</v>
      </c>
      <c r="B112" s="8" t="s">
        <v>249</v>
      </c>
      <c r="C112" s="8" t="s">
        <v>219</v>
      </c>
      <c r="D112" s="8" t="s">
        <v>250</v>
      </c>
      <c r="E112" s="8" t="s">
        <v>168</v>
      </c>
      <c r="F112" s="9">
        <v>8</v>
      </c>
      <c r="G112" s="5" t="e">
        <f>'[2].xls].xls].xls].xls].xls].xls].xls].'!E110</f>
        <v>#REF!</v>
      </c>
      <c r="H112" s="5" t="e">
        <f t="shared" si="8"/>
        <v>#REF!</v>
      </c>
      <c r="I112" s="5" t="e">
        <f>'[2].xls].xls].xls].xls].xls].xls].xls].'!F110</f>
        <v>#REF!</v>
      </c>
      <c r="J112" s="5" t="e">
        <f t="shared" si="9"/>
        <v>#REF!</v>
      </c>
      <c r="K112" s="5" t="e">
        <f>'[2].xls].xls].xls].xls].xls].xls].xls].'!G110</f>
        <v>#REF!</v>
      </c>
      <c r="L112" s="5" t="e">
        <f t="shared" si="10"/>
        <v>#REF!</v>
      </c>
      <c r="M112" s="5" t="e">
        <f t="shared" si="11"/>
        <v>#REF!</v>
      </c>
      <c r="N112" s="5" t="e">
        <f t="shared" si="11"/>
        <v>#REF!</v>
      </c>
      <c r="O112" s="8" t="s">
        <v>249</v>
      </c>
      <c r="T112">
        <v>0</v>
      </c>
      <c r="AC112">
        <v>1</v>
      </c>
    </row>
    <row r="113" spans="1:29" ht="30" customHeight="1" x14ac:dyDescent="0.3">
      <c r="A113" s="8" t="s">
        <v>189</v>
      </c>
      <c r="B113" s="8" t="s">
        <v>251</v>
      </c>
      <c r="C113" s="8" t="s">
        <v>252</v>
      </c>
      <c r="D113" s="8" t="s">
        <v>253</v>
      </c>
      <c r="E113" s="8" t="s">
        <v>179</v>
      </c>
      <c r="F113" s="9">
        <v>5</v>
      </c>
      <c r="G113" s="5">
        <f>TRUNC([1]단가대비표!O227,0)</f>
        <v>2690</v>
      </c>
      <c r="H113" s="5">
        <f t="shared" si="8"/>
        <v>13450</v>
      </c>
      <c r="I113" s="5">
        <v>0</v>
      </c>
      <c r="J113" s="5">
        <f t="shared" si="9"/>
        <v>0</v>
      </c>
      <c r="K113" s="5">
        <v>0</v>
      </c>
      <c r="L113" s="5">
        <f t="shared" si="10"/>
        <v>0</v>
      </c>
      <c r="M113" s="5">
        <f t="shared" si="11"/>
        <v>2690</v>
      </c>
      <c r="N113" s="5">
        <f t="shared" si="11"/>
        <v>13450</v>
      </c>
      <c r="O113" s="8" t="s">
        <v>20</v>
      </c>
      <c r="T113">
        <v>0</v>
      </c>
      <c r="AC113">
        <v>1</v>
      </c>
    </row>
    <row r="114" spans="1:29" ht="30" customHeight="1" x14ac:dyDescent="0.3">
      <c r="A114" s="8" t="s">
        <v>189</v>
      </c>
      <c r="B114" s="8" t="s">
        <v>254</v>
      </c>
      <c r="C114" s="8" t="s">
        <v>252</v>
      </c>
      <c r="D114" s="8" t="s">
        <v>255</v>
      </c>
      <c r="E114" s="8" t="s">
        <v>179</v>
      </c>
      <c r="F114" s="9">
        <v>30</v>
      </c>
      <c r="G114" s="5">
        <f>TRUNC([1]단가대비표!O228,0)</f>
        <v>3520</v>
      </c>
      <c r="H114" s="5">
        <f t="shared" si="8"/>
        <v>105600</v>
      </c>
      <c r="I114" s="5">
        <v>0</v>
      </c>
      <c r="J114" s="5">
        <f t="shared" si="9"/>
        <v>0</v>
      </c>
      <c r="K114" s="5">
        <v>0</v>
      </c>
      <c r="L114" s="5">
        <f t="shared" si="10"/>
        <v>0</v>
      </c>
      <c r="M114" s="5">
        <f t="shared" si="11"/>
        <v>3520</v>
      </c>
      <c r="N114" s="5">
        <f t="shared" si="11"/>
        <v>105600</v>
      </c>
      <c r="O114" s="8" t="s">
        <v>20</v>
      </c>
      <c r="T114">
        <v>0</v>
      </c>
      <c r="AC114">
        <v>1</v>
      </c>
    </row>
    <row r="115" spans="1:29" ht="30" customHeight="1" x14ac:dyDescent="0.3">
      <c r="A115" s="8" t="s">
        <v>189</v>
      </c>
      <c r="B115" s="8" t="s">
        <v>256</v>
      </c>
      <c r="C115" s="8" t="s">
        <v>252</v>
      </c>
      <c r="D115" s="8" t="s">
        <v>257</v>
      </c>
      <c r="E115" s="8" t="s">
        <v>179</v>
      </c>
      <c r="F115" s="9">
        <v>17</v>
      </c>
      <c r="G115" s="5">
        <f>TRUNC([1]단가대비표!O229,0)</f>
        <v>6990</v>
      </c>
      <c r="H115" s="5">
        <f t="shared" si="8"/>
        <v>118830</v>
      </c>
      <c r="I115" s="5">
        <v>0</v>
      </c>
      <c r="J115" s="5">
        <f t="shared" si="9"/>
        <v>0</v>
      </c>
      <c r="K115" s="5">
        <v>0</v>
      </c>
      <c r="L115" s="5">
        <f t="shared" si="10"/>
        <v>0</v>
      </c>
      <c r="M115" s="5">
        <f t="shared" ref="M115:N146" si="12">G115+I115+K115</f>
        <v>6990</v>
      </c>
      <c r="N115" s="5">
        <f t="shared" si="12"/>
        <v>118830</v>
      </c>
      <c r="O115" s="8" t="s">
        <v>20</v>
      </c>
      <c r="T115">
        <v>0</v>
      </c>
      <c r="AC115">
        <v>1</v>
      </c>
    </row>
    <row r="116" spans="1:29" ht="30" customHeight="1" x14ac:dyDescent="0.3">
      <c r="A116" s="8" t="s">
        <v>189</v>
      </c>
      <c r="B116" s="8" t="s">
        <v>258</v>
      </c>
      <c r="C116" s="8" t="s">
        <v>252</v>
      </c>
      <c r="D116" s="8" t="s">
        <v>259</v>
      </c>
      <c r="E116" s="8" t="s">
        <v>179</v>
      </c>
      <c r="F116" s="9">
        <v>21</v>
      </c>
      <c r="G116" s="5">
        <f>TRUNC([1]단가대비표!O230,0)</f>
        <v>8650</v>
      </c>
      <c r="H116" s="5">
        <f t="shared" si="8"/>
        <v>181650</v>
      </c>
      <c r="I116" s="5">
        <v>0</v>
      </c>
      <c r="J116" s="5">
        <f t="shared" si="9"/>
        <v>0</v>
      </c>
      <c r="K116" s="5">
        <v>0</v>
      </c>
      <c r="L116" s="5">
        <f t="shared" si="10"/>
        <v>0</v>
      </c>
      <c r="M116" s="5">
        <f t="shared" si="12"/>
        <v>8650</v>
      </c>
      <c r="N116" s="5">
        <f t="shared" si="12"/>
        <v>181650</v>
      </c>
      <c r="O116" s="8" t="s">
        <v>20</v>
      </c>
      <c r="T116">
        <v>0</v>
      </c>
      <c r="AC116">
        <v>1</v>
      </c>
    </row>
    <row r="117" spans="1:29" ht="30" customHeight="1" x14ac:dyDescent="0.3">
      <c r="A117" s="8" t="s">
        <v>189</v>
      </c>
      <c r="B117" s="8" t="s">
        <v>260</v>
      </c>
      <c r="C117" s="8" t="s">
        <v>252</v>
      </c>
      <c r="D117" s="8" t="s">
        <v>261</v>
      </c>
      <c r="E117" s="8" t="s">
        <v>179</v>
      </c>
      <c r="F117" s="9">
        <v>7</v>
      </c>
      <c r="G117" s="5">
        <f>TRUNC([1]단가대비표!O231,0)</f>
        <v>11460</v>
      </c>
      <c r="H117" s="5">
        <f t="shared" si="8"/>
        <v>80220</v>
      </c>
      <c r="I117" s="5">
        <v>0</v>
      </c>
      <c r="J117" s="5">
        <f t="shared" si="9"/>
        <v>0</v>
      </c>
      <c r="K117" s="5">
        <v>0</v>
      </c>
      <c r="L117" s="5">
        <f t="shared" si="10"/>
        <v>0</v>
      </c>
      <c r="M117" s="5">
        <f t="shared" si="12"/>
        <v>11460</v>
      </c>
      <c r="N117" s="5">
        <f t="shared" si="12"/>
        <v>80220</v>
      </c>
      <c r="O117" s="8" t="s">
        <v>20</v>
      </c>
      <c r="T117">
        <v>0</v>
      </c>
      <c r="AC117">
        <v>1</v>
      </c>
    </row>
    <row r="118" spans="1:29" ht="30" customHeight="1" x14ac:dyDescent="0.3">
      <c r="A118" s="8" t="s">
        <v>189</v>
      </c>
      <c r="B118" s="8" t="s">
        <v>262</v>
      </c>
      <c r="C118" s="8" t="s">
        <v>252</v>
      </c>
      <c r="D118" s="8" t="s">
        <v>263</v>
      </c>
      <c r="E118" s="8" t="s">
        <v>179</v>
      </c>
      <c r="F118" s="9">
        <v>4</v>
      </c>
      <c r="G118" s="5">
        <f>TRUNC([1]단가대비표!O232,0)</f>
        <v>14620</v>
      </c>
      <c r="H118" s="5">
        <f t="shared" si="8"/>
        <v>58480</v>
      </c>
      <c r="I118" s="5">
        <v>0</v>
      </c>
      <c r="J118" s="5">
        <f t="shared" si="9"/>
        <v>0</v>
      </c>
      <c r="K118" s="5">
        <v>0</v>
      </c>
      <c r="L118" s="5">
        <f t="shared" si="10"/>
        <v>0</v>
      </c>
      <c r="M118" s="5">
        <f t="shared" si="12"/>
        <v>14620</v>
      </c>
      <c r="N118" s="5">
        <f t="shared" si="12"/>
        <v>58480</v>
      </c>
      <c r="O118" s="8" t="s">
        <v>20</v>
      </c>
      <c r="T118">
        <v>0</v>
      </c>
      <c r="AC118">
        <v>1</v>
      </c>
    </row>
    <row r="119" spans="1:29" ht="30" customHeight="1" x14ac:dyDescent="0.3">
      <c r="A119" s="8" t="s">
        <v>189</v>
      </c>
      <c r="B119" s="8" t="s">
        <v>264</v>
      </c>
      <c r="C119" s="8" t="s">
        <v>252</v>
      </c>
      <c r="D119" s="8" t="s">
        <v>265</v>
      </c>
      <c r="E119" s="8" t="s">
        <v>179</v>
      </c>
      <c r="F119" s="9">
        <v>8</v>
      </c>
      <c r="G119" s="5">
        <f>TRUNC([1]단가대비표!O233,0)</f>
        <v>46490</v>
      </c>
      <c r="H119" s="5">
        <f t="shared" si="8"/>
        <v>371920</v>
      </c>
      <c r="I119" s="5">
        <v>0</v>
      </c>
      <c r="J119" s="5">
        <f t="shared" si="9"/>
        <v>0</v>
      </c>
      <c r="K119" s="5">
        <v>0</v>
      </c>
      <c r="L119" s="5">
        <f t="shared" si="10"/>
        <v>0</v>
      </c>
      <c r="M119" s="5">
        <f t="shared" si="12"/>
        <v>46490</v>
      </c>
      <c r="N119" s="5">
        <f t="shared" si="12"/>
        <v>371920</v>
      </c>
      <c r="O119" s="8" t="s">
        <v>20</v>
      </c>
      <c r="T119">
        <v>0</v>
      </c>
      <c r="AC119">
        <v>1</v>
      </c>
    </row>
    <row r="120" spans="1:29" ht="30" customHeight="1" x14ac:dyDescent="0.3">
      <c r="A120" s="8" t="s">
        <v>189</v>
      </c>
      <c r="B120" s="8" t="s">
        <v>266</v>
      </c>
      <c r="C120" s="8" t="s">
        <v>252</v>
      </c>
      <c r="D120" s="8" t="s">
        <v>267</v>
      </c>
      <c r="E120" s="8" t="s">
        <v>179</v>
      </c>
      <c r="F120" s="9">
        <v>8</v>
      </c>
      <c r="G120" s="5">
        <f>TRUNC([1]단가대비표!O234,0)</f>
        <v>66510</v>
      </c>
      <c r="H120" s="5">
        <f t="shared" si="8"/>
        <v>532080</v>
      </c>
      <c r="I120" s="5">
        <v>0</v>
      </c>
      <c r="J120" s="5">
        <f t="shared" si="9"/>
        <v>0</v>
      </c>
      <c r="K120" s="5">
        <v>0</v>
      </c>
      <c r="L120" s="5">
        <f t="shared" si="10"/>
        <v>0</v>
      </c>
      <c r="M120" s="5">
        <f t="shared" si="12"/>
        <v>66510</v>
      </c>
      <c r="N120" s="5">
        <f t="shared" si="12"/>
        <v>532080</v>
      </c>
      <c r="O120" s="8" t="s">
        <v>20</v>
      </c>
      <c r="T120">
        <v>0</v>
      </c>
      <c r="AC120">
        <v>1</v>
      </c>
    </row>
    <row r="121" spans="1:29" ht="30" customHeight="1" x14ac:dyDescent="0.3">
      <c r="A121" s="8" t="s">
        <v>189</v>
      </c>
      <c r="B121" s="8" t="s">
        <v>268</v>
      </c>
      <c r="C121" s="8" t="s">
        <v>252</v>
      </c>
      <c r="D121" s="8" t="s">
        <v>269</v>
      </c>
      <c r="E121" s="8" t="s">
        <v>179</v>
      </c>
      <c r="F121" s="9">
        <v>11</v>
      </c>
      <c r="G121" s="5">
        <f>TRUNC([1]단가대비표!O237,0)</f>
        <v>10110</v>
      </c>
      <c r="H121" s="5">
        <f t="shared" si="8"/>
        <v>111210</v>
      </c>
      <c r="I121" s="5">
        <v>0</v>
      </c>
      <c r="J121" s="5">
        <f t="shared" si="9"/>
        <v>0</v>
      </c>
      <c r="K121" s="5">
        <v>0</v>
      </c>
      <c r="L121" s="5">
        <f t="shared" si="10"/>
        <v>0</v>
      </c>
      <c r="M121" s="5">
        <f t="shared" si="12"/>
        <v>10110</v>
      </c>
      <c r="N121" s="5">
        <f t="shared" si="12"/>
        <v>111210</v>
      </c>
      <c r="O121" s="8" t="s">
        <v>20</v>
      </c>
      <c r="T121">
        <v>0</v>
      </c>
      <c r="AC121">
        <v>1</v>
      </c>
    </row>
    <row r="122" spans="1:29" ht="30" customHeight="1" x14ac:dyDescent="0.3">
      <c r="A122" s="8" t="s">
        <v>189</v>
      </c>
      <c r="B122" s="8" t="s">
        <v>270</v>
      </c>
      <c r="C122" s="8" t="s">
        <v>252</v>
      </c>
      <c r="D122" s="8" t="s">
        <v>271</v>
      </c>
      <c r="E122" s="8" t="s">
        <v>179</v>
      </c>
      <c r="F122" s="9">
        <v>11</v>
      </c>
      <c r="G122" s="5">
        <f>TRUNC([1]단가대비표!O239,0)</f>
        <v>17380</v>
      </c>
      <c r="H122" s="5">
        <f t="shared" si="8"/>
        <v>191180</v>
      </c>
      <c r="I122" s="5">
        <v>0</v>
      </c>
      <c r="J122" s="5">
        <f t="shared" si="9"/>
        <v>0</v>
      </c>
      <c r="K122" s="5">
        <v>0</v>
      </c>
      <c r="L122" s="5">
        <f t="shared" si="10"/>
        <v>0</v>
      </c>
      <c r="M122" s="5">
        <f t="shared" si="12"/>
        <v>17380</v>
      </c>
      <c r="N122" s="5">
        <f t="shared" si="12"/>
        <v>191180</v>
      </c>
      <c r="O122" s="8" t="s">
        <v>20</v>
      </c>
      <c r="T122">
        <v>0</v>
      </c>
      <c r="AC122">
        <v>1</v>
      </c>
    </row>
    <row r="123" spans="1:29" ht="30" customHeight="1" x14ac:dyDescent="0.3">
      <c r="A123" s="8" t="s">
        <v>189</v>
      </c>
      <c r="B123" s="8" t="s">
        <v>272</v>
      </c>
      <c r="C123" s="8" t="s">
        <v>252</v>
      </c>
      <c r="D123" s="8" t="s">
        <v>273</v>
      </c>
      <c r="E123" s="8" t="s">
        <v>179</v>
      </c>
      <c r="F123" s="9">
        <v>7</v>
      </c>
      <c r="G123" s="5">
        <f>TRUNC([1]단가대비표!O241,0)</f>
        <v>28800</v>
      </c>
      <c r="H123" s="5">
        <f t="shared" si="8"/>
        <v>201600</v>
      </c>
      <c r="I123" s="5">
        <v>0</v>
      </c>
      <c r="J123" s="5">
        <f t="shared" si="9"/>
        <v>0</v>
      </c>
      <c r="K123" s="5">
        <v>0</v>
      </c>
      <c r="L123" s="5">
        <f t="shared" si="10"/>
        <v>0</v>
      </c>
      <c r="M123" s="5">
        <f t="shared" si="12"/>
        <v>28800</v>
      </c>
      <c r="N123" s="5">
        <f t="shared" si="12"/>
        <v>201600</v>
      </c>
      <c r="O123" s="8" t="s">
        <v>20</v>
      </c>
      <c r="T123">
        <v>0</v>
      </c>
      <c r="AC123">
        <v>1</v>
      </c>
    </row>
    <row r="124" spans="1:29" ht="30" customHeight="1" x14ac:dyDescent="0.3">
      <c r="A124" s="8" t="s">
        <v>189</v>
      </c>
      <c r="B124" s="8" t="s">
        <v>274</v>
      </c>
      <c r="C124" s="8" t="s">
        <v>252</v>
      </c>
      <c r="D124" s="8" t="s">
        <v>275</v>
      </c>
      <c r="E124" s="8" t="s">
        <v>179</v>
      </c>
      <c r="F124" s="9">
        <v>5</v>
      </c>
      <c r="G124" s="5">
        <f>TRUNC([1]단가대비표!O243,0)</f>
        <v>69460</v>
      </c>
      <c r="H124" s="5">
        <f t="shared" si="8"/>
        <v>347300</v>
      </c>
      <c r="I124" s="5">
        <v>0</v>
      </c>
      <c r="J124" s="5">
        <f t="shared" si="9"/>
        <v>0</v>
      </c>
      <c r="K124" s="5">
        <v>0</v>
      </c>
      <c r="L124" s="5">
        <f t="shared" si="10"/>
        <v>0</v>
      </c>
      <c r="M124" s="5">
        <f t="shared" si="12"/>
        <v>69460</v>
      </c>
      <c r="N124" s="5">
        <f t="shared" si="12"/>
        <v>347300</v>
      </c>
      <c r="O124" s="8" t="s">
        <v>20</v>
      </c>
      <c r="T124">
        <v>0</v>
      </c>
      <c r="AC124">
        <v>1</v>
      </c>
    </row>
    <row r="125" spans="1:29" ht="30" customHeight="1" x14ac:dyDescent="0.3">
      <c r="A125" s="8" t="s">
        <v>189</v>
      </c>
      <c r="B125" s="8" t="s">
        <v>276</v>
      </c>
      <c r="C125" s="8" t="s">
        <v>252</v>
      </c>
      <c r="D125" s="8" t="s">
        <v>277</v>
      </c>
      <c r="E125" s="8" t="s">
        <v>179</v>
      </c>
      <c r="F125" s="9">
        <v>1</v>
      </c>
      <c r="G125" s="5">
        <f>TRUNC([1]단가대비표!O244,0)</f>
        <v>93940</v>
      </c>
      <c r="H125" s="5">
        <f t="shared" si="8"/>
        <v>93940</v>
      </c>
      <c r="I125" s="5">
        <v>0</v>
      </c>
      <c r="J125" s="5">
        <f t="shared" si="9"/>
        <v>0</v>
      </c>
      <c r="K125" s="5">
        <v>0</v>
      </c>
      <c r="L125" s="5">
        <f t="shared" si="10"/>
        <v>0</v>
      </c>
      <c r="M125" s="5">
        <f t="shared" si="12"/>
        <v>93940</v>
      </c>
      <c r="N125" s="5">
        <f t="shared" si="12"/>
        <v>93940</v>
      </c>
      <c r="O125" s="8" t="s">
        <v>20</v>
      </c>
      <c r="T125">
        <v>0</v>
      </c>
      <c r="AC125">
        <v>1</v>
      </c>
    </row>
    <row r="126" spans="1:29" ht="30" customHeight="1" x14ac:dyDescent="0.3">
      <c r="A126" s="8" t="s">
        <v>189</v>
      </c>
      <c r="B126" s="8" t="s">
        <v>278</v>
      </c>
      <c r="C126" s="8" t="s">
        <v>252</v>
      </c>
      <c r="D126" s="8" t="s">
        <v>279</v>
      </c>
      <c r="E126" s="8" t="s">
        <v>179</v>
      </c>
      <c r="F126" s="9">
        <v>6</v>
      </c>
      <c r="G126" s="5">
        <f>TRUNC([1]단가대비표!O246,0)</f>
        <v>4810</v>
      </c>
      <c r="H126" s="5">
        <f t="shared" si="8"/>
        <v>28860</v>
      </c>
      <c r="I126" s="5">
        <v>0</v>
      </c>
      <c r="J126" s="5">
        <f t="shared" si="9"/>
        <v>0</v>
      </c>
      <c r="K126" s="5">
        <v>0</v>
      </c>
      <c r="L126" s="5">
        <f t="shared" si="10"/>
        <v>0</v>
      </c>
      <c r="M126" s="5">
        <f t="shared" si="12"/>
        <v>4810</v>
      </c>
      <c r="N126" s="5">
        <f t="shared" si="12"/>
        <v>28860</v>
      </c>
      <c r="O126" s="8" t="s">
        <v>20</v>
      </c>
      <c r="T126">
        <v>0</v>
      </c>
      <c r="AC126">
        <v>1</v>
      </c>
    </row>
    <row r="127" spans="1:29" ht="30" customHeight="1" x14ac:dyDescent="0.3">
      <c r="A127" s="8" t="s">
        <v>189</v>
      </c>
      <c r="B127" s="8" t="s">
        <v>280</v>
      </c>
      <c r="C127" s="8" t="s">
        <v>252</v>
      </c>
      <c r="D127" s="8" t="s">
        <v>281</v>
      </c>
      <c r="E127" s="8" t="s">
        <v>179</v>
      </c>
      <c r="F127" s="9">
        <v>1</v>
      </c>
      <c r="G127" s="5">
        <f>TRUNC([1]단가대비표!O251,0)</f>
        <v>9130</v>
      </c>
      <c r="H127" s="5">
        <f t="shared" si="8"/>
        <v>9130</v>
      </c>
      <c r="I127" s="5">
        <v>0</v>
      </c>
      <c r="J127" s="5">
        <f t="shared" si="9"/>
        <v>0</v>
      </c>
      <c r="K127" s="5">
        <v>0</v>
      </c>
      <c r="L127" s="5">
        <f t="shared" si="10"/>
        <v>0</v>
      </c>
      <c r="M127" s="5">
        <f t="shared" si="12"/>
        <v>9130</v>
      </c>
      <c r="N127" s="5">
        <f t="shared" si="12"/>
        <v>9130</v>
      </c>
      <c r="O127" s="8" t="s">
        <v>20</v>
      </c>
      <c r="T127">
        <v>0</v>
      </c>
      <c r="AC127">
        <v>1</v>
      </c>
    </row>
    <row r="128" spans="1:29" ht="30" customHeight="1" x14ac:dyDescent="0.3">
      <c r="A128" s="8" t="s">
        <v>189</v>
      </c>
      <c r="B128" s="8" t="s">
        <v>282</v>
      </c>
      <c r="C128" s="8" t="s">
        <v>252</v>
      </c>
      <c r="D128" s="8" t="s">
        <v>283</v>
      </c>
      <c r="E128" s="8" t="s">
        <v>179</v>
      </c>
      <c r="F128" s="9">
        <v>1</v>
      </c>
      <c r="G128" s="5">
        <f>TRUNC([1]단가대비표!O254,0)</f>
        <v>11040</v>
      </c>
      <c r="H128" s="5">
        <f t="shared" si="8"/>
        <v>11040</v>
      </c>
      <c r="I128" s="5">
        <v>0</v>
      </c>
      <c r="J128" s="5">
        <f t="shared" si="9"/>
        <v>0</v>
      </c>
      <c r="K128" s="5">
        <v>0</v>
      </c>
      <c r="L128" s="5">
        <f t="shared" si="10"/>
        <v>0</v>
      </c>
      <c r="M128" s="5">
        <f t="shared" si="12"/>
        <v>11040</v>
      </c>
      <c r="N128" s="5">
        <f t="shared" si="12"/>
        <v>11040</v>
      </c>
      <c r="O128" s="8" t="s">
        <v>20</v>
      </c>
      <c r="T128">
        <v>0</v>
      </c>
      <c r="AC128">
        <v>1</v>
      </c>
    </row>
    <row r="129" spans="1:29" ht="30" customHeight="1" x14ac:dyDescent="0.3">
      <c r="A129" s="8" t="s">
        <v>189</v>
      </c>
      <c r="B129" s="8" t="s">
        <v>284</v>
      </c>
      <c r="C129" s="8" t="s">
        <v>252</v>
      </c>
      <c r="D129" s="8" t="s">
        <v>285</v>
      </c>
      <c r="E129" s="8" t="s">
        <v>179</v>
      </c>
      <c r="F129" s="9">
        <v>1</v>
      </c>
      <c r="G129" s="5">
        <f>TRUNC([1]단가대비표!O259,0)</f>
        <v>13440</v>
      </c>
      <c r="H129" s="5">
        <f t="shared" si="8"/>
        <v>13440</v>
      </c>
      <c r="I129" s="5">
        <v>0</v>
      </c>
      <c r="J129" s="5">
        <f t="shared" si="9"/>
        <v>0</v>
      </c>
      <c r="K129" s="5">
        <v>0</v>
      </c>
      <c r="L129" s="5">
        <f t="shared" si="10"/>
        <v>0</v>
      </c>
      <c r="M129" s="5">
        <f t="shared" si="12"/>
        <v>13440</v>
      </c>
      <c r="N129" s="5">
        <f t="shared" si="12"/>
        <v>13440</v>
      </c>
      <c r="O129" s="8" t="s">
        <v>20</v>
      </c>
      <c r="T129">
        <v>0</v>
      </c>
      <c r="AC129">
        <v>1</v>
      </c>
    </row>
    <row r="130" spans="1:29" ht="30" customHeight="1" x14ac:dyDescent="0.3">
      <c r="A130" s="8" t="s">
        <v>189</v>
      </c>
      <c r="B130" s="8" t="s">
        <v>286</v>
      </c>
      <c r="C130" s="8" t="s">
        <v>252</v>
      </c>
      <c r="D130" s="8" t="s">
        <v>287</v>
      </c>
      <c r="E130" s="8" t="s">
        <v>179</v>
      </c>
      <c r="F130" s="9">
        <v>3</v>
      </c>
      <c r="G130" s="5">
        <f>TRUNC([1]단가대비표!O260,0)</f>
        <v>14258</v>
      </c>
      <c r="H130" s="5">
        <f t="shared" si="8"/>
        <v>42774</v>
      </c>
      <c r="I130" s="5">
        <v>0</v>
      </c>
      <c r="J130" s="5">
        <f t="shared" si="9"/>
        <v>0</v>
      </c>
      <c r="K130" s="5">
        <v>0</v>
      </c>
      <c r="L130" s="5">
        <f t="shared" si="10"/>
        <v>0</v>
      </c>
      <c r="M130" s="5">
        <f t="shared" si="12"/>
        <v>14258</v>
      </c>
      <c r="N130" s="5">
        <f t="shared" si="12"/>
        <v>42774</v>
      </c>
      <c r="O130" s="8" t="s">
        <v>20</v>
      </c>
      <c r="T130">
        <v>0</v>
      </c>
      <c r="AC130">
        <v>1</v>
      </c>
    </row>
    <row r="131" spans="1:29" ht="30" customHeight="1" x14ac:dyDescent="0.3">
      <c r="A131" s="8" t="s">
        <v>189</v>
      </c>
      <c r="B131" s="8" t="s">
        <v>288</v>
      </c>
      <c r="C131" s="8" t="s">
        <v>252</v>
      </c>
      <c r="D131" s="8" t="s">
        <v>289</v>
      </c>
      <c r="E131" s="8" t="s">
        <v>179</v>
      </c>
      <c r="F131" s="9">
        <v>1</v>
      </c>
      <c r="G131" s="5">
        <f>TRUNC([1]단가대비표!O263,0)</f>
        <v>15008</v>
      </c>
      <c r="H131" s="5">
        <f t="shared" si="8"/>
        <v>15008</v>
      </c>
      <c r="I131" s="5">
        <v>0</v>
      </c>
      <c r="J131" s="5">
        <f t="shared" si="9"/>
        <v>0</v>
      </c>
      <c r="K131" s="5">
        <v>0</v>
      </c>
      <c r="L131" s="5">
        <f t="shared" si="10"/>
        <v>0</v>
      </c>
      <c r="M131" s="5">
        <f t="shared" si="12"/>
        <v>15008</v>
      </c>
      <c r="N131" s="5">
        <f t="shared" si="12"/>
        <v>15008</v>
      </c>
      <c r="O131" s="8" t="s">
        <v>20</v>
      </c>
      <c r="T131">
        <v>0</v>
      </c>
      <c r="AC131">
        <v>1</v>
      </c>
    </row>
    <row r="132" spans="1:29" ht="30" customHeight="1" x14ac:dyDescent="0.3">
      <c r="A132" s="8" t="s">
        <v>189</v>
      </c>
      <c r="B132" s="8" t="s">
        <v>290</v>
      </c>
      <c r="C132" s="8" t="s">
        <v>252</v>
      </c>
      <c r="D132" s="8" t="s">
        <v>291</v>
      </c>
      <c r="E132" s="8" t="s">
        <v>179</v>
      </c>
      <c r="F132" s="9">
        <v>3</v>
      </c>
      <c r="G132" s="5">
        <f>TRUNC([1]단가대비표!O222,0)</f>
        <v>9210</v>
      </c>
      <c r="H132" s="5">
        <f t="shared" si="8"/>
        <v>27630</v>
      </c>
      <c r="I132" s="5">
        <v>0</v>
      </c>
      <c r="J132" s="5">
        <f t="shared" si="9"/>
        <v>0</v>
      </c>
      <c r="K132" s="5">
        <v>0</v>
      </c>
      <c r="L132" s="5">
        <f t="shared" si="10"/>
        <v>0</v>
      </c>
      <c r="M132" s="5">
        <f t="shared" si="12"/>
        <v>9210</v>
      </c>
      <c r="N132" s="5">
        <f t="shared" si="12"/>
        <v>27630</v>
      </c>
      <c r="O132" s="8" t="s">
        <v>20</v>
      </c>
      <c r="T132">
        <v>0</v>
      </c>
      <c r="AC132">
        <v>1</v>
      </c>
    </row>
    <row r="133" spans="1:29" ht="30" customHeight="1" x14ac:dyDescent="0.3">
      <c r="A133" s="8" t="s">
        <v>189</v>
      </c>
      <c r="B133" s="8" t="s">
        <v>292</v>
      </c>
      <c r="C133" s="8" t="s">
        <v>252</v>
      </c>
      <c r="D133" s="8" t="s">
        <v>293</v>
      </c>
      <c r="E133" s="8" t="s">
        <v>179</v>
      </c>
      <c r="F133" s="9">
        <v>1</v>
      </c>
      <c r="G133" s="5">
        <f>TRUNC([1]단가대비표!O224,0)</f>
        <v>25430</v>
      </c>
      <c r="H133" s="5">
        <f t="shared" si="8"/>
        <v>25430</v>
      </c>
      <c r="I133" s="5">
        <v>0</v>
      </c>
      <c r="J133" s="5">
        <f t="shared" si="9"/>
        <v>0</v>
      </c>
      <c r="K133" s="5">
        <v>0</v>
      </c>
      <c r="L133" s="5">
        <f t="shared" si="10"/>
        <v>0</v>
      </c>
      <c r="M133" s="5">
        <f t="shared" si="12"/>
        <v>25430</v>
      </c>
      <c r="N133" s="5">
        <f t="shared" si="12"/>
        <v>25430</v>
      </c>
      <c r="O133" s="8" t="s">
        <v>20</v>
      </c>
      <c r="T133">
        <v>0</v>
      </c>
      <c r="AC133">
        <v>1</v>
      </c>
    </row>
    <row r="134" spans="1:29" ht="30" customHeight="1" x14ac:dyDescent="0.3">
      <c r="A134" s="8" t="s">
        <v>189</v>
      </c>
      <c r="B134" s="8" t="s">
        <v>294</v>
      </c>
      <c r="C134" s="8" t="s">
        <v>252</v>
      </c>
      <c r="D134" s="8" t="s">
        <v>295</v>
      </c>
      <c r="E134" s="8" t="s">
        <v>179</v>
      </c>
      <c r="F134" s="9">
        <v>13</v>
      </c>
      <c r="G134" s="5">
        <f>TRUNC([1]단가대비표!O275,0)</f>
        <v>13410</v>
      </c>
      <c r="H134" s="5">
        <f t="shared" si="8"/>
        <v>174330</v>
      </c>
      <c r="I134" s="5">
        <v>0</v>
      </c>
      <c r="J134" s="5">
        <f t="shared" si="9"/>
        <v>0</v>
      </c>
      <c r="K134" s="5">
        <v>0</v>
      </c>
      <c r="L134" s="5">
        <f t="shared" si="10"/>
        <v>0</v>
      </c>
      <c r="M134" s="5">
        <f t="shared" si="12"/>
        <v>13410</v>
      </c>
      <c r="N134" s="5">
        <f t="shared" si="12"/>
        <v>174330</v>
      </c>
      <c r="O134" s="8" t="s">
        <v>20</v>
      </c>
      <c r="T134">
        <v>0</v>
      </c>
      <c r="AC134">
        <v>1</v>
      </c>
    </row>
    <row r="135" spans="1:29" ht="30" customHeight="1" x14ac:dyDescent="0.3">
      <c r="A135" s="8" t="s">
        <v>189</v>
      </c>
      <c r="B135" s="8" t="s">
        <v>296</v>
      </c>
      <c r="C135" s="8" t="s">
        <v>252</v>
      </c>
      <c r="D135" s="8" t="s">
        <v>297</v>
      </c>
      <c r="E135" s="8" t="s">
        <v>179</v>
      </c>
      <c r="F135" s="9">
        <v>17</v>
      </c>
      <c r="G135" s="5">
        <f>TRUNC([1]단가대비표!O276,0)</f>
        <v>17440</v>
      </c>
      <c r="H135" s="5">
        <f t="shared" si="8"/>
        <v>296480</v>
      </c>
      <c r="I135" s="5">
        <v>0</v>
      </c>
      <c r="J135" s="5">
        <f t="shared" si="9"/>
        <v>0</v>
      </c>
      <c r="K135" s="5">
        <v>0</v>
      </c>
      <c r="L135" s="5">
        <f t="shared" si="10"/>
        <v>0</v>
      </c>
      <c r="M135" s="5">
        <f t="shared" si="12"/>
        <v>17440</v>
      </c>
      <c r="N135" s="5">
        <f t="shared" si="12"/>
        <v>296480</v>
      </c>
      <c r="O135" s="8" t="s">
        <v>20</v>
      </c>
      <c r="T135">
        <v>0</v>
      </c>
      <c r="AC135">
        <v>1</v>
      </c>
    </row>
    <row r="136" spans="1:29" ht="30" customHeight="1" x14ac:dyDescent="0.3">
      <c r="A136" s="8" t="s">
        <v>189</v>
      </c>
      <c r="B136" s="8" t="s">
        <v>298</v>
      </c>
      <c r="C136" s="8" t="s">
        <v>252</v>
      </c>
      <c r="D136" s="8" t="s">
        <v>299</v>
      </c>
      <c r="E136" s="8" t="s">
        <v>179</v>
      </c>
      <c r="F136" s="9">
        <v>8</v>
      </c>
      <c r="G136" s="5">
        <f>TRUNC([1]단가대비표!O277,0)</f>
        <v>25490</v>
      </c>
      <c r="H136" s="5">
        <f t="shared" si="8"/>
        <v>203920</v>
      </c>
      <c r="I136" s="5">
        <v>0</v>
      </c>
      <c r="J136" s="5">
        <f t="shared" si="9"/>
        <v>0</v>
      </c>
      <c r="K136" s="5">
        <v>0</v>
      </c>
      <c r="L136" s="5">
        <f t="shared" si="10"/>
        <v>0</v>
      </c>
      <c r="M136" s="5">
        <f t="shared" si="12"/>
        <v>25490</v>
      </c>
      <c r="N136" s="5">
        <f t="shared" si="12"/>
        <v>203920</v>
      </c>
      <c r="O136" s="8" t="s">
        <v>20</v>
      </c>
      <c r="T136">
        <v>0</v>
      </c>
      <c r="AC136">
        <v>1</v>
      </c>
    </row>
    <row r="137" spans="1:29" ht="30" customHeight="1" x14ac:dyDescent="0.3">
      <c r="A137" s="8" t="s">
        <v>189</v>
      </c>
      <c r="B137" s="8" t="s">
        <v>300</v>
      </c>
      <c r="C137" s="8" t="s">
        <v>252</v>
      </c>
      <c r="D137" s="8" t="s">
        <v>301</v>
      </c>
      <c r="E137" s="8" t="s">
        <v>179</v>
      </c>
      <c r="F137" s="9">
        <v>3</v>
      </c>
      <c r="G137" s="5">
        <f>TRUNC([1]단가대비표!O278,0)</f>
        <v>35170</v>
      </c>
      <c r="H137" s="5">
        <f t="shared" si="8"/>
        <v>105510</v>
      </c>
      <c r="I137" s="5">
        <v>0</v>
      </c>
      <c r="J137" s="5">
        <f t="shared" si="9"/>
        <v>0</v>
      </c>
      <c r="K137" s="5">
        <v>0</v>
      </c>
      <c r="L137" s="5">
        <f t="shared" si="10"/>
        <v>0</v>
      </c>
      <c r="M137" s="5">
        <f t="shared" si="12"/>
        <v>35170</v>
      </c>
      <c r="N137" s="5">
        <f t="shared" si="12"/>
        <v>105510</v>
      </c>
      <c r="O137" s="8" t="s">
        <v>20</v>
      </c>
      <c r="T137">
        <v>0</v>
      </c>
      <c r="AC137">
        <v>1</v>
      </c>
    </row>
    <row r="138" spans="1:29" ht="30" customHeight="1" x14ac:dyDescent="0.3">
      <c r="A138" s="8" t="s">
        <v>189</v>
      </c>
      <c r="B138" s="8" t="s">
        <v>302</v>
      </c>
      <c r="C138" s="8" t="s">
        <v>252</v>
      </c>
      <c r="D138" s="8" t="s">
        <v>303</v>
      </c>
      <c r="E138" s="8" t="s">
        <v>179</v>
      </c>
      <c r="F138" s="9">
        <v>4</v>
      </c>
      <c r="G138" s="5">
        <f>TRUNC([1]단가대비표!O281,0)</f>
        <v>2120</v>
      </c>
      <c r="H138" s="5">
        <f t="shared" si="8"/>
        <v>8480</v>
      </c>
      <c r="I138" s="5">
        <v>0</v>
      </c>
      <c r="J138" s="5">
        <f t="shared" si="9"/>
        <v>0</v>
      </c>
      <c r="K138" s="5">
        <v>0</v>
      </c>
      <c r="L138" s="5">
        <f t="shared" si="10"/>
        <v>0</v>
      </c>
      <c r="M138" s="5">
        <f t="shared" si="12"/>
        <v>2120</v>
      </c>
      <c r="N138" s="5">
        <f t="shared" si="12"/>
        <v>8480</v>
      </c>
      <c r="O138" s="8" t="s">
        <v>20</v>
      </c>
      <c r="T138">
        <v>0</v>
      </c>
      <c r="AC138">
        <v>1</v>
      </c>
    </row>
    <row r="139" spans="1:29" ht="30" customHeight="1" x14ac:dyDescent="0.3">
      <c r="A139" s="8" t="s">
        <v>189</v>
      </c>
      <c r="B139" s="8" t="s">
        <v>304</v>
      </c>
      <c r="C139" s="8" t="s">
        <v>252</v>
      </c>
      <c r="D139" s="8" t="s">
        <v>305</v>
      </c>
      <c r="E139" s="8" t="s">
        <v>179</v>
      </c>
      <c r="F139" s="9">
        <v>5</v>
      </c>
      <c r="G139" s="5">
        <f>TRUNC([1]단가대비표!O282,0)</f>
        <v>2910</v>
      </c>
      <c r="H139" s="5">
        <f t="shared" si="8"/>
        <v>14550</v>
      </c>
      <c r="I139" s="5">
        <v>0</v>
      </c>
      <c r="J139" s="5">
        <f t="shared" si="9"/>
        <v>0</v>
      </c>
      <c r="K139" s="5">
        <v>0</v>
      </c>
      <c r="L139" s="5">
        <f t="shared" si="10"/>
        <v>0</v>
      </c>
      <c r="M139" s="5">
        <f t="shared" si="12"/>
        <v>2910</v>
      </c>
      <c r="N139" s="5">
        <f t="shared" si="12"/>
        <v>14550</v>
      </c>
      <c r="O139" s="8" t="s">
        <v>20</v>
      </c>
      <c r="T139">
        <v>0</v>
      </c>
      <c r="AC139">
        <v>1</v>
      </c>
    </row>
    <row r="140" spans="1:29" ht="30" customHeight="1" x14ac:dyDescent="0.3">
      <c r="A140" s="8" t="s">
        <v>189</v>
      </c>
      <c r="B140" s="8" t="s">
        <v>306</v>
      </c>
      <c r="C140" s="8" t="s">
        <v>252</v>
      </c>
      <c r="D140" s="8" t="s">
        <v>307</v>
      </c>
      <c r="E140" s="8" t="s">
        <v>179</v>
      </c>
      <c r="F140" s="9">
        <v>4</v>
      </c>
      <c r="G140" s="5">
        <f>TRUNC([1]단가대비표!O283,0)</f>
        <v>5030</v>
      </c>
      <c r="H140" s="5">
        <f t="shared" si="8"/>
        <v>20120</v>
      </c>
      <c r="I140" s="5">
        <v>0</v>
      </c>
      <c r="J140" s="5">
        <f t="shared" si="9"/>
        <v>0</v>
      </c>
      <c r="K140" s="5">
        <v>0</v>
      </c>
      <c r="L140" s="5">
        <f t="shared" si="10"/>
        <v>0</v>
      </c>
      <c r="M140" s="5">
        <f t="shared" si="12"/>
        <v>5030</v>
      </c>
      <c r="N140" s="5">
        <f t="shared" si="12"/>
        <v>20120</v>
      </c>
      <c r="O140" s="8" t="s">
        <v>20</v>
      </c>
      <c r="T140">
        <v>0</v>
      </c>
      <c r="AC140">
        <v>1</v>
      </c>
    </row>
    <row r="141" spans="1:29" ht="30" customHeight="1" x14ac:dyDescent="0.3">
      <c r="A141" s="8" t="s">
        <v>189</v>
      </c>
      <c r="B141" s="8" t="s">
        <v>308</v>
      </c>
      <c r="C141" s="8" t="s">
        <v>252</v>
      </c>
      <c r="D141" s="8" t="s">
        <v>309</v>
      </c>
      <c r="E141" s="8" t="s">
        <v>179</v>
      </c>
      <c r="F141" s="9">
        <v>1</v>
      </c>
      <c r="G141" s="5">
        <f>TRUNC([1]단가대비표!O284,0)</f>
        <v>6520</v>
      </c>
      <c r="H141" s="5">
        <f t="shared" si="8"/>
        <v>6520</v>
      </c>
      <c r="I141" s="5">
        <v>0</v>
      </c>
      <c r="J141" s="5">
        <f t="shared" si="9"/>
        <v>0</v>
      </c>
      <c r="K141" s="5">
        <v>0</v>
      </c>
      <c r="L141" s="5">
        <f t="shared" si="10"/>
        <v>0</v>
      </c>
      <c r="M141" s="5">
        <f t="shared" si="12"/>
        <v>6520</v>
      </c>
      <c r="N141" s="5">
        <f t="shared" si="12"/>
        <v>6520</v>
      </c>
      <c r="O141" s="8" t="s">
        <v>20</v>
      </c>
      <c r="T141">
        <v>0</v>
      </c>
      <c r="AC141">
        <v>1</v>
      </c>
    </row>
    <row r="142" spans="1:29" ht="30" customHeight="1" x14ac:dyDescent="0.3">
      <c r="A142" s="8" t="s">
        <v>189</v>
      </c>
      <c r="B142" s="8" t="s">
        <v>310</v>
      </c>
      <c r="C142" s="8" t="s">
        <v>252</v>
      </c>
      <c r="D142" s="8" t="s">
        <v>311</v>
      </c>
      <c r="E142" s="8" t="s">
        <v>179</v>
      </c>
      <c r="F142" s="9">
        <v>3</v>
      </c>
      <c r="G142" s="5">
        <f>TRUNC([1]단가대비표!O285,0)</f>
        <v>9720</v>
      </c>
      <c r="H142" s="5">
        <f t="shared" si="8"/>
        <v>29160</v>
      </c>
      <c r="I142" s="5">
        <v>0</v>
      </c>
      <c r="J142" s="5">
        <f t="shared" si="9"/>
        <v>0</v>
      </c>
      <c r="K142" s="5">
        <v>0</v>
      </c>
      <c r="L142" s="5">
        <f t="shared" si="10"/>
        <v>0</v>
      </c>
      <c r="M142" s="5">
        <f t="shared" si="12"/>
        <v>9720</v>
      </c>
      <c r="N142" s="5">
        <f t="shared" si="12"/>
        <v>29160</v>
      </c>
      <c r="O142" s="8" t="s">
        <v>20</v>
      </c>
      <c r="T142">
        <v>0</v>
      </c>
      <c r="AC142">
        <v>1</v>
      </c>
    </row>
    <row r="143" spans="1:29" ht="30" customHeight="1" x14ac:dyDescent="0.3">
      <c r="A143" s="8" t="s">
        <v>189</v>
      </c>
      <c r="B143" s="8" t="s">
        <v>312</v>
      </c>
      <c r="C143" s="8" t="s">
        <v>252</v>
      </c>
      <c r="D143" s="8" t="s">
        <v>313</v>
      </c>
      <c r="E143" s="8" t="s">
        <v>179</v>
      </c>
      <c r="F143" s="9">
        <v>1</v>
      </c>
      <c r="G143" s="5">
        <f>TRUNC([1]단가대비표!O292,0)</f>
        <v>10374</v>
      </c>
      <c r="H143" s="5">
        <f t="shared" si="8"/>
        <v>10374</v>
      </c>
      <c r="I143" s="5">
        <v>0</v>
      </c>
      <c r="J143" s="5">
        <f t="shared" si="9"/>
        <v>0</v>
      </c>
      <c r="K143" s="5">
        <v>0</v>
      </c>
      <c r="L143" s="5">
        <f t="shared" si="10"/>
        <v>0</v>
      </c>
      <c r="M143" s="5">
        <f t="shared" si="12"/>
        <v>10374</v>
      </c>
      <c r="N143" s="5">
        <f t="shared" si="12"/>
        <v>10374</v>
      </c>
      <c r="O143" s="8" t="s">
        <v>20</v>
      </c>
      <c r="T143">
        <v>0</v>
      </c>
      <c r="AC143">
        <v>1</v>
      </c>
    </row>
    <row r="144" spans="1:29" ht="30" customHeight="1" x14ac:dyDescent="0.3">
      <c r="A144" s="8" t="s">
        <v>189</v>
      </c>
      <c r="B144" s="8" t="s">
        <v>314</v>
      </c>
      <c r="C144" s="8" t="s">
        <v>252</v>
      </c>
      <c r="D144" s="8" t="s">
        <v>315</v>
      </c>
      <c r="E144" s="8" t="s">
        <v>179</v>
      </c>
      <c r="F144" s="9">
        <v>7</v>
      </c>
      <c r="G144" s="5">
        <f>TRUNC([1]단가대비표!O293,0)</f>
        <v>23420</v>
      </c>
      <c r="H144" s="5">
        <f t="shared" si="8"/>
        <v>163940</v>
      </c>
      <c r="I144" s="5">
        <v>0</v>
      </c>
      <c r="J144" s="5">
        <f t="shared" si="9"/>
        <v>0</v>
      </c>
      <c r="K144" s="5">
        <v>0</v>
      </c>
      <c r="L144" s="5">
        <f t="shared" si="10"/>
        <v>0</v>
      </c>
      <c r="M144" s="5">
        <f t="shared" si="12"/>
        <v>23420</v>
      </c>
      <c r="N144" s="5">
        <f t="shared" si="12"/>
        <v>163940</v>
      </c>
      <c r="O144" s="8" t="s">
        <v>20</v>
      </c>
      <c r="T144">
        <v>0</v>
      </c>
      <c r="AC144">
        <v>1</v>
      </c>
    </row>
    <row r="145" spans="1:29" ht="30" customHeight="1" x14ac:dyDescent="0.3">
      <c r="A145" s="8" t="s">
        <v>189</v>
      </c>
      <c r="B145" s="8" t="s">
        <v>316</v>
      </c>
      <c r="C145" s="8" t="s">
        <v>252</v>
      </c>
      <c r="D145" s="8" t="s">
        <v>317</v>
      </c>
      <c r="E145" s="8" t="s">
        <v>179</v>
      </c>
      <c r="F145" s="9">
        <v>5</v>
      </c>
      <c r="G145" s="5">
        <f>TRUNC([1]단가대비표!O294,0)</f>
        <v>32720</v>
      </c>
      <c r="H145" s="5">
        <f t="shared" si="8"/>
        <v>163600</v>
      </c>
      <c r="I145" s="5">
        <v>0</v>
      </c>
      <c r="J145" s="5">
        <f t="shared" si="9"/>
        <v>0</v>
      </c>
      <c r="K145" s="5">
        <v>0</v>
      </c>
      <c r="L145" s="5">
        <f t="shared" si="10"/>
        <v>0</v>
      </c>
      <c r="M145" s="5">
        <f t="shared" si="12"/>
        <v>32720</v>
      </c>
      <c r="N145" s="5">
        <f t="shared" si="12"/>
        <v>163600</v>
      </c>
      <c r="O145" s="8" t="s">
        <v>20</v>
      </c>
      <c r="T145">
        <v>0</v>
      </c>
      <c r="AC145">
        <v>1</v>
      </c>
    </row>
    <row r="146" spans="1:29" ht="30" customHeight="1" x14ac:dyDescent="0.3">
      <c r="A146" s="8" t="s">
        <v>189</v>
      </c>
      <c r="B146" s="8" t="s">
        <v>318</v>
      </c>
      <c r="C146" s="8" t="s">
        <v>252</v>
      </c>
      <c r="D146" s="8" t="s">
        <v>319</v>
      </c>
      <c r="E146" s="8" t="s">
        <v>179</v>
      </c>
      <c r="F146" s="9">
        <v>9</v>
      </c>
      <c r="G146" s="5">
        <f>TRUNC([1]단가대비표!O286,0)</f>
        <v>3570</v>
      </c>
      <c r="H146" s="5">
        <f t="shared" si="8"/>
        <v>32130</v>
      </c>
      <c r="I146" s="5">
        <v>0</v>
      </c>
      <c r="J146" s="5">
        <f t="shared" si="9"/>
        <v>0</v>
      </c>
      <c r="K146" s="5">
        <v>0</v>
      </c>
      <c r="L146" s="5">
        <f t="shared" si="10"/>
        <v>0</v>
      </c>
      <c r="M146" s="5">
        <f t="shared" si="12"/>
        <v>3570</v>
      </c>
      <c r="N146" s="5">
        <f t="shared" si="12"/>
        <v>32130</v>
      </c>
      <c r="O146" s="8" t="s">
        <v>20</v>
      </c>
      <c r="T146">
        <v>0</v>
      </c>
      <c r="AC146">
        <v>1</v>
      </c>
    </row>
    <row r="147" spans="1:29" ht="30" customHeight="1" x14ac:dyDescent="0.3">
      <c r="A147" s="8" t="s">
        <v>189</v>
      </c>
      <c r="B147" s="8" t="s">
        <v>320</v>
      </c>
      <c r="C147" s="8" t="s">
        <v>252</v>
      </c>
      <c r="D147" s="8" t="s">
        <v>321</v>
      </c>
      <c r="E147" s="8" t="s">
        <v>179</v>
      </c>
      <c r="F147" s="9">
        <v>3</v>
      </c>
      <c r="G147" s="5">
        <f>TRUNC([1]단가대비표!O287,0)</f>
        <v>4920</v>
      </c>
      <c r="H147" s="5">
        <f t="shared" ref="H147:H210" si="13">TRUNC(F147*G147,0)</f>
        <v>14760</v>
      </c>
      <c r="I147" s="5">
        <v>0</v>
      </c>
      <c r="J147" s="5">
        <f t="shared" ref="J147:J210" si="14">TRUNC(F147*I147,0)</f>
        <v>0</v>
      </c>
      <c r="K147" s="5">
        <v>0</v>
      </c>
      <c r="L147" s="5">
        <f t="shared" ref="L147:L210" si="15">TRUNC(F147*K147,0)</f>
        <v>0</v>
      </c>
      <c r="M147" s="5">
        <f t="shared" ref="M147:N178" si="16">G147+I147+K147</f>
        <v>4920</v>
      </c>
      <c r="N147" s="5">
        <f t="shared" si="16"/>
        <v>14760</v>
      </c>
      <c r="O147" s="8" t="s">
        <v>20</v>
      </c>
      <c r="T147">
        <v>0</v>
      </c>
      <c r="AC147">
        <v>1</v>
      </c>
    </row>
    <row r="148" spans="1:29" ht="30" customHeight="1" x14ac:dyDescent="0.3">
      <c r="A148" s="8" t="s">
        <v>189</v>
      </c>
      <c r="B148" s="8" t="s">
        <v>322</v>
      </c>
      <c r="C148" s="8" t="s">
        <v>252</v>
      </c>
      <c r="D148" s="8" t="s">
        <v>323</v>
      </c>
      <c r="E148" s="8" t="s">
        <v>179</v>
      </c>
      <c r="F148" s="9">
        <v>21</v>
      </c>
      <c r="G148" s="5">
        <f>TRUNC([1]단가대비표!O288,0)</f>
        <v>6720</v>
      </c>
      <c r="H148" s="5">
        <f t="shared" si="13"/>
        <v>141120</v>
      </c>
      <c r="I148" s="5">
        <v>0</v>
      </c>
      <c r="J148" s="5">
        <f t="shared" si="14"/>
        <v>0</v>
      </c>
      <c r="K148" s="5">
        <v>0</v>
      </c>
      <c r="L148" s="5">
        <f t="shared" si="15"/>
        <v>0</v>
      </c>
      <c r="M148" s="5">
        <f t="shared" si="16"/>
        <v>6720</v>
      </c>
      <c r="N148" s="5">
        <f t="shared" si="16"/>
        <v>141120</v>
      </c>
      <c r="O148" s="8" t="s">
        <v>20</v>
      </c>
      <c r="T148">
        <v>0</v>
      </c>
      <c r="AC148">
        <v>1</v>
      </c>
    </row>
    <row r="149" spans="1:29" ht="30" customHeight="1" x14ac:dyDescent="0.3">
      <c r="A149" s="8" t="s">
        <v>189</v>
      </c>
      <c r="B149" s="8" t="s">
        <v>324</v>
      </c>
      <c r="C149" s="8" t="s">
        <v>252</v>
      </c>
      <c r="D149" s="8" t="s">
        <v>325</v>
      </c>
      <c r="E149" s="8" t="s">
        <v>179</v>
      </c>
      <c r="F149" s="9">
        <v>17</v>
      </c>
      <c r="G149" s="5">
        <f>TRUNC([1]단가대비표!O289,0)</f>
        <v>7910</v>
      </c>
      <c r="H149" s="5">
        <f t="shared" si="13"/>
        <v>134470</v>
      </c>
      <c r="I149" s="5">
        <v>0</v>
      </c>
      <c r="J149" s="5">
        <f t="shared" si="14"/>
        <v>0</v>
      </c>
      <c r="K149" s="5">
        <v>0</v>
      </c>
      <c r="L149" s="5">
        <f t="shared" si="15"/>
        <v>0</v>
      </c>
      <c r="M149" s="5">
        <f t="shared" si="16"/>
        <v>7910</v>
      </c>
      <c r="N149" s="5">
        <f t="shared" si="16"/>
        <v>134470</v>
      </c>
      <c r="O149" s="8" t="s">
        <v>20</v>
      </c>
      <c r="T149">
        <v>0</v>
      </c>
      <c r="AC149">
        <v>1</v>
      </c>
    </row>
    <row r="150" spans="1:29" ht="30" customHeight="1" x14ac:dyDescent="0.3">
      <c r="A150" s="8" t="s">
        <v>189</v>
      </c>
      <c r="B150" s="8" t="s">
        <v>326</v>
      </c>
      <c r="C150" s="8" t="s">
        <v>252</v>
      </c>
      <c r="D150" s="8" t="s">
        <v>327</v>
      </c>
      <c r="E150" s="8" t="s">
        <v>179</v>
      </c>
      <c r="F150" s="9">
        <v>20</v>
      </c>
      <c r="G150" s="5">
        <f>TRUNC([1]단가대비표!O290,0)</f>
        <v>10800</v>
      </c>
      <c r="H150" s="5">
        <f t="shared" si="13"/>
        <v>216000</v>
      </c>
      <c r="I150" s="5">
        <v>0</v>
      </c>
      <c r="J150" s="5">
        <f t="shared" si="14"/>
        <v>0</v>
      </c>
      <c r="K150" s="5">
        <v>0</v>
      </c>
      <c r="L150" s="5">
        <f t="shared" si="15"/>
        <v>0</v>
      </c>
      <c r="M150" s="5">
        <f t="shared" si="16"/>
        <v>10800</v>
      </c>
      <c r="N150" s="5">
        <f t="shared" si="16"/>
        <v>216000</v>
      </c>
      <c r="O150" s="8" t="s">
        <v>20</v>
      </c>
      <c r="T150">
        <v>0</v>
      </c>
      <c r="AC150">
        <v>1</v>
      </c>
    </row>
    <row r="151" spans="1:29" ht="30" customHeight="1" x14ac:dyDescent="0.3">
      <c r="A151" s="8" t="s">
        <v>189</v>
      </c>
      <c r="B151" s="8" t="s">
        <v>328</v>
      </c>
      <c r="C151" s="8" t="s">
        <v>252</v>
      </c>
      <c r="D151" s="8" t="s">
        <v>329</v>
      </c>
      <c r="E151" s="8" t="s">
        <v>179</v>
      </c>
      <c r="F151" s="9">
        <v>3</v>
      </c>
      <c r="G151" s="5">
        <f>TRUNC([1]단가대비표!O291,0)</f>
        <v>15070</v>
      </c>
      <c r="H151" s="5">
        <f t="shared" si="13"/>
        <v>45210</v>
      </c>
      <c r="I151" s="5">
        <v>0</v>
      </c>
      <c r="J151" s="5">
        <f t="shared" si="14"/>
        <v>0</v>
      </c>
      <c r="K151" s="5">
        <v>0</v>
      </c>
      <c r="L151" s="5">
        <f t="shared" si="15"/>
        <v>0</v>
      </c>
      <c r="M151" s="5">
        <f t="shared" si="16"/>
        <v>15070</v>
      </c>
      <c r="N151" s="5">
        <f t="shared" si="16"/>
        <v>45210</v>
      </c>
      <c r="O151" s="8" t="s">
        <v>20</v>
      </c>
      <c r="T151">
        <v>0</v>
      </c>
      <c r="AC151">
        <v>1</v>
      </c>
    </row>
    <row r="152" spans="1:29" ht="30" customHeight="1" x14ac:dyDescent="0.3">
      <c r="A152" s="8" t="s">
        <v>189</v>
      </c>
      <c r="B152" s="8" t="s">
        <v>330</v>
      </c>
      <c r="C152" s="8" t="s">
        <v>252</v>
      </c>
      <c r="D152" s="8" t="s">
        <v>331</v>
      </c>
      <c r="E152" s="8" t="s">
        <v>179</v>
      </c>
      <c r="F152" s="9">
        <v>8</v>
      </c>
      <c r="G152" s="5">
        <f>TRUNC([1]단가대비표!O295,0)</f>
        <v>23050</v>
      </c>
      <c r="H152" s="5">
        <f t="shared" si="13"/>
        <v>184400</v>
      </c>
      <c r="I152" s="5">
        <v>0</v>
      </c>
      <c r="J152" s="5">
        <f t="shared" si="14"/>
        <v>0</v>
      </c>
      <c r="K152" s="5">
        <v>0</v>
      </c>
      <c r="L152" s="5">
        <f t="shared" si="15"/>
        <v>0</v>
      </c>
      <c r="M152" s="5">
        <f t="shared" si="16"/>
        <v>23050</v>
      </c>
      <c r="N152" s="5">
        <f t="shared" si="16"/>
        <v>184400</v>
      </c>
      <c r="O152" s="8" t="s">
        <v>20</v>
      </c>
      <c r="T152">
        <v>0</v>
      </c>
      <c r="AC152">
        <v>1</v>
      </c>
    </row>
    <row r="153" spans="1:29" ht="30" customHeight="1" x14ac:dyDescent="0.3">
      <c r="A153" s="8" t="s">
        <v>189</v>
      </c>
      <c r="B153" s="8" t="s">
        <v>332</v>
      </c>
      <c r="C153" s="8" t="s">
        <v>252</v>
      </c>
      <c r="D153" s="8" t="s">
        <v>333</v>
      </c>
      <c r="E153" s="8" t="s">
        <v>179</v>
      </c>
      <c r="F153" s="9">
        <v>3</v>
      </c>
      <c r="G153" s="5">
        <f>TRUNC([1]단가대비표!O296,0)</f>
        <v>28970</v>
      </c>
      <c r="H153" s="5">
        <f t="shared" si="13"/>
        <v>86910</v>
      </c>
      <c r="I153" s="5">
        <v>0</v>
      </c>
      <c r="J153" s="5">
        <f t="shared" si="14"/>
        <v>0</v>
      </c>
      <c r="K153" s="5">
        <v>0</v>
      </c>
      <c r="L153" s="5">
        <f t="shared" si="15"/>
        <v>0</v>
      </c>
      <c r="M153" s="5">
        <f t="shared" si="16"/>
        <v>28970</v>
      </c>
      <c r="N153" s="5">
        <f t="shared" si="16"/>
        <v>86910</v>
      </c>
      <c r="O153" s="8" t="s">
        <v>20</v>
      </c>
      <c r="T153">
        <v>0</v>
      </c>
      <c r="AC153">
        <v>1</v>
      </c>
    </row>
    <row r="154" spans="1:29" ht="30" customHeight="1" x14ac:dyDescent="0.3">
      <c r="A154" s="8" t="s">
        <v>189</v>
      </c>
      <c r="B154" s="8" t="s">
        <v>334</v>
      </c>
      <c r="C154" s="8" t="s">
        <v>252</v>
      </c>
      <c r="D154" s="8" t="s">
        <v>335</v>
      </c>
      <c r="E154" s="8" t="s">
        <v>179</v>
      </c>
      <c r="F154" s="9">
        <v>11</v>
      </c>
      <c r="G154" s="5">
        <f>TRUNC([1]단가대비표!O297,0)</f>
        <v>51400</v>
      </c>
      <c r="H154" s="5">
        <f t="shared" si="13"/>
        <v>565400</v>
      </c>
      <c r="I154" s="5">
        <v>0</v>
      </c>
      <c r="J154" s="5">
        <f t="shared" si="14"/>
        <v>0</v>
      </c>
      <c r="K154" s="5">
        <v>0</v>
      </c>
      <c r="L154" s="5">
        <f t="shared" si="15"/>
        <v>0</v>
      </c>
      <c r="M154" s="5">
        <f t="shared" si="16"/>
        <v>51400</v>
      </c>
      <c r="N154" s="5">
        <f t="shared" si="16"/>
        <v>565400</v>
      </c>
      <c r="O154" s="8" t="s">
        <v>20</v>
      </c>
      <c r="T154">
        <v>0</v>
      </c>
      <c r="AC154">
        <v>1</v>
      </c>
    </row>
    <row r="155" spans="1:29" ht="30" customHeight="1" x14ac:dyDescent="0.3">
      <c r="A155" s="8" t="s">
        <v>189</v>
      </c>
      <c r="B155" s="8" t="s">
        <v>336</v>
      </c>
      <c r="C155" s="8" t="s">
        <v>252</v>
      </c>
      <c r="D155" s="8" t="s">
        <v>337</v>
      </c>
      <c r="E155" s="8" t="s">
        <v>179</v>
      </c>
      <c r="F155" s="9">
        <v>2</v>
      </c>
      <c r="G155" s="5">
        <f>TRUNC([1]단가대비표!O298,0)</f>
        <v>63300</v>
      </c>
      <c r="H155" s="5">
        <f t="shared" si="13"/>
        <v>126600</v>
      </c>
      <c r="I155" s="5">
        <v>0</v>
      </c>
      <c r="J155" s="5">
        <f t="shared" si="14"/>
        <v>0</v>
      </c>
      <c r="K155" s="5">
        <v>0</v>
      </c>
      <c r="L155" s="5">
        <f t="shared" si="15"/>
        <v>0</v>
      </c>
      <c r="M155" s="5">
        <f t="shared" si="16"/>
        <v>63300</v>
      </c>
      <c r="N155" s="5">
        <f t="shared" si="16"/>
        <v>126600</v>
      </c>
      <c r="O155" s="8" t="s">
        <v>20</v>
      </c>
      <c r="T155">
        <v>0</v>
      </c>
      <c r="AC155">
        <v>1</v>
      </c>
    </row>
    <row r="156" spans="1:29" ht="30" customHeight="1" x14ac:dyDescent="0.3">
      <c r="A156" s="8" t="s">
        <v>189</v>
      </c>
      <c r="B156" s="8" t="s">
        <v>338</v>
      </c>
      <c r="C156" s="8" t="s">
        <v>252</v>
      </c>
      <c r="D156" s="8" t="s">
        <v>339</v>
      </c>
      <c r="E156" s="8" t="s">
        <v>179</v>
      </c>
      <c r="F156" s="9">
        <v>8</v>
      </c>
      <c r="G156" s="5">
        <f>TRUNC([1]단가대비표!O299,0)</f>
        <v>82800</v>
      </c>
      <c r="H156" s="5">
        <f t="shared" si="13"/>
        <v>662400</v>
      </c>
      <c r="I156" s="5">
        <v>0</v>
      </c>
      <c r="J156" s="5">
        <f t="shared" si="14"/>
        <v>0</v>
      </c>
      <c r="K156" s="5">
        <v>0</v>
      </c>
      <c r="L156" s="5">
        <f t="shared" si="15"/>
        <v>0</v>
      </c>
      <c r="M156" s="5">
        <f t="shared" si="16"/>
        <v>82800</v>
      </c>
      <c r="N156" s="5">
        <f t="shared" si="16"/>
        <v>662400</v>
      </c>
      <c r="O156" s="8" t="s">
        <v>20</v>
      </c>
      <c r="T156">
        <v>0</v>
      </c>
      <c r="AC156">
        <v>1</v>
      </c>
    </row>
    <row r="157" spans="1:29" ht="30" customHeight="1" x14ac:dyDescent="0.3">
      <c r="A157" s="8" t="s">
        <v>189</v>
      </c>
      <c r="B157" s="8" t="s">
        <v>340</v>
      </c>
      <c r="C157" s="8" t="s">
        <v>252</v>
      </c>
      <c r="D157" s="8" t="s">
        <v>341</v>
      </c>
      <c r="E157" s="8" t="s">
        <v>179</v>
      </c>
      <c r="F157" s="9">
        <v>8</v>
      </c>
      <c r="G157" s="5">
        <f>TRUNC([1]단가대비표!O300,0)</f>
        <v>113000</v>
      </c>
      <c r="H157" s="5">
        <f t="shared" si="13"/>
        <v>904000</v>
      </c>
      <c r="I157" s="5">
        <v>0</v>
      </c>
      <c r="J157" s="5">
        <f t="shared" si="14"/>
        <v>0</v>
      </c>
      <c r="K157" s="5">
        <v>0</v>
      </c>
      <c r="L157" s="5">
        <f t="shared" si="15"/>
        <v>0</v>
      </c>
      <c r="M157" s="5">
        <f t="shared" si="16"/>
        <v>113000</v>
      </c>
      <c r="N157" s="5">
        <f t="shared" si="16"/>
        <v>904000</v>
      </c>
      <c r="O157" s="8" t="s">
        <v>20</v>
      </c>
      <c r="T157">
        <v>0</v>
      </c>
      <c r="AC157">
        <v>1</v>
      </c>
    </row>
    <row r="158" spans="1:29" ht="30" customHeight="1" x14ac:dyDescent="0.3">
      <c r="A158" s="8" t="s">
        <v>189</v>
      </c>
      <c r="B158" s="8" t="s">
        <v>342</v>
      </c>
      <c r="C158" s="8" t="s">
        <v>252</v>
      </c>
      <c r="D158" s="8" t="s">
        <v>343</v>
      </c>
      <c r="E158" s="8" t="s">
        <v>179</v>
      </c>
      <c r="F158" s="9">
        <v>2</v>
      </c>
      <c r="G158" s="5">
        <f>TRUNC([1]단가대비표!O301,0)</f>
        <v>134800</v>
      </c>
      <c r="H158" s="5">
        <f t="shared" si="13"/>
        <v>269600</v>
      </c>
      <c r="I158" s="5">
        <v>0</v>
      </c>
      <c r="J158" s="5">
        <f t="shared" si="14"/>
        <v>0</v>
      </c>
      <c r="K158" s="5">
        <v>0</v>
      </c>
      <c r="L158" s="5">
        <f t="shared" si="15"/>
        <v>0</v>
      </c>
      <c r="M158" s="5">
        <f t="shared" si="16"/>
        <v>134800</v>
      </c>
      <c r="N158" s="5">
        <f t="shared" si="16"/>
        <v>269600</v>
      </c>
      <c r="O158" s="8" t="s">
        <v>20</v>
      </c>
      <c r="T158">
        <v>0</v>
      </c>
      <c r="AC158">
        <v>1</v>
      </c>
    </row>
    <row r="159" spans="1:29" ht="30" customHeight="1" x14ac:dyDescent="0.3">
      <c r="A159" s="8" t="s">
        <v>189</v>
      </c>
      <c r="B159" s="8" t="s">
        <v>344</v>
      </c>
      <c r="C159" s="8" t="s">
        <v>345</v>
      </c>
      <c r="D159" s="8" t="s">
        <v>346</v>
      </c>
      <c r="E159" s="8" t="s">
        <v>179</v>
      </c>
      <c r="F159" s="9">
        <v>38</v>
      </c>
      <c r="G159" s="5">
        <f>TRUNC([1]단가대비표!O489,0)</f>
        <v>16300</v>
      </c>
      <c r="H159" s="5">
        <f t="shared" si="13"/>
        <v>619400</v>
      </c>
      <c r="I159" s="5">
        <v>0</v>
      </c>
      <c r="J159" s="5">
        <f t="shared" si="14"/>
        <v>0</v>
      </c>
      <c r="K159" s="5">
        <v>0</v>
      </c>
      <c r="L159" s="5">
        <f t="shared" si="15"/>
        <v>0</v>
      </c>
      <c r="M159" s="5">
        <f t="shared" si="16"/>
        <v>16300</v>
      </c>
      <c r="N159" s="5">
        <f t="shared" si="16"/>
        <v>619400</v>
      </c>
      <c r="O159" s="8" t="s">
        <v>20</v>
      </c>
      <c r="T159">
        <v>0</v>
      </c>
      <c r="AC159">
        <v>1</v>
      </c>
    </row>
    <row r="160" spans="1:29" ht="30" customHeight="1" x14ac:dyDescent="0.3">
      <c r="A160" s="8" t="s">
        <v>189</v>
      </c>
      <c r="B160" s="8" t="s">
        <v>347</v>
      </c>
      <c r="C160" s="8" t="s">
        <v>345</v>
      </c>
      <c r="D160" s="8" t="s">
        <v>348</v>
      </c>
      <c r="E160" s="8" t="s">
        <v>179</v>
      </c>
      <c r="F160" s="9">
        <v>107</v>
      </c>
      <c r="G160" s="5">
        <f>TRUNC([1]단가대비표!O490,0)</f>
        <v>37900</v>
      </c>
      <c r="H160" s="5">
        <f t="shared" si="13"/>
        <v>4055300</v>
      </c>
      <c r="I160" s="5">
        <v>0</v>
      </c>
      <c r="J160" s="5">
        <f t="shared" si="14"/>
        <v>0</v>
      </c>
      <c r="K160" s="5">
        <v>0</v>
      </c>
      <c r="L160" s="5">
        <f t="shared" si="15"/>
        <v>0</v>
      </c>
      <c r="M160" s="5">
        <f t="shared" si="16"/>
        <v>37900</v>
      </c>
      <c r="N160" s="5">
        <f t="shared" si="16"/>
        <v>4055300</v>
      </c>
      <c r="O160" s="8" t="s">
        <v>20</v>
      </c>
      <c r="T160">
        <v>0</v>
      </c>
      <c r="AC160">
        <v>1</v>
      </c>
    </row>
    <row r="161" spans="1:29" ht="30" customHeight="1" x14ac:dyDescent="0.3">
      <c r="A161" s="8" t="s">
        <v>189</v>
      </c>
      <c r="B161" s="8" t="s">
        <v>349</v>
      </c>
      <c r="C161" s="8" t="s">
        <v>345</v>
      </c>
      <c r="D161" s="8" t="s">
        <v>350</v>
      </c>
      <c r="E161" s="8" t="s">
        <v>179</v>
      </c>
      <c r="F161" s="9">
        <v>14</v>
      </c>
      <c r="G161" s="5">
        <f>TRUNC([1]단가대비표!O491,0)</f>
        <v>53700</v>
      </c>
      <c r="H161" s="5">
        <f t="shared" si="13"/>
        <v>751800</v>
      </c>
      <c r="I161" s="5">
        <v>0</v>
      </c>
      <c r="J161" s="5">
        <f t="shared" si="14"/>
        <v>0</v>
      </c>
      <c r="K161" s="5">
        <v>0</v>
      </c>
      <c r="L161" s="5">
        <f t="shared" si="15"/>
        <v>0</v>
      </c>
      <c r="M161" s="5">
        <f t="shared" si="16"/>
        <v>53700</v>
      </c>
      <c r="N161" s="5">
        <f t="shared" si="16"/>
        <v>751800</v>
      </c>
      <c r="O161" s="8" t="s">
        <v>20</v>
      </c>
      <c r="T161">
        <v>0</v>
      </c>
      <c r="AC161">
        <v>1</v>
      </c>
    </row>
    <row r="162" spans="1:29" ht="30" customHeight="1" x14ac:dyDescent="0.3">
      <c r="A162" s="8" t="s">
        <v>189</v>
      </c>
      <c r="B162" s="8" t="s">
        <v>351</v>
      </c>
      <c r="C162" s="8" t="s">
        <v>345</v>
      </c>
      <c r="D162" s="8" t="s">
        <v>352</v>
      </c>
      <c r="E162" s="8" t="s">
        <v>179</v>
      </c>
      <c r="F162" s="9">
        <v>73</v>
      </c>
      <c r="G162" s="5">
        <f>TRUNC([1]단가대비표!O492,0)</f>
        <v>63300</v>
      </c>
      <c r="H162" s="5">
        <f t="shared" si="13"/>
        <v>4620900</v>
      </c>
      <c r="I162" s="5">
        <v>0</v>
      </c>
      <c r="J162" s="5">
        <f t="shared" si="14"/>
        <v>0</v>
      </c>
      <c r="K162" s="5">
        <v>0</v>
      </c>
      <c r="L162" s="5">
        <f t="shared" si="15"/>
        <v>0</v>
      </c>
      <c r="M162" s="5">
        <f t="shared" si="16"/>
        <v>63300</v>
      </c>
      <c r="N162" s="5">
        <f t="shared" si="16"/>
        <v>4620900</v>
      </c>
      <c r="O162" s="8" t="s">
        <v>20</v>
      </c>
      <c r="T162">
        <v>0</v>
      </c>
      <c r="AC162">
        <v>1</v>
      </c>
    </row>
    <row r="163" spans="1:29" ht="30" customHeight="1" x14ac:dyDescent="0.3">
      <c r="A163" s="8" t="s">
        <v>189</v>
      </c>
      <c r="B163" s="8" t="s">
        <v>353</v>
      </c>
      <c r="C163" s="8" t="s">
        <v>354</v>
      </c>
      <c r="D163" s="8" t="s">
        <v>346</v>
      </c>
      <c r="E163" s="8" t="s">
        <v>179</v>
      </c>
      <c r="F163" s="9">
        <v>9</v>
      </c>
      <c r="G163" s="5">
        <f>TRUNC([1]단가대비표!O494,0)</f>
        <v>16800</v>
      </c>
      <c r="H163" s="5">
        <f t="shared" si="13"/>
        <v>151200</v>
      </c>
      <c r="I163" s="5">
        <v>0</v>
      </c>
      <c r="J163" s="5">
        <f t="shared" si="14"/>
        <v>0</v>
      </c>
      <c r="K163" s="5">
        <v>0</v>
      </c>
      <c r="L163" s="5">
        <f t="shared" si="15"/>
        <v>0</v>
      </c>
      <c r="M163" s="5">
        <f t="shared" si="16"/>
        <v>16800</v>
      </c>
      <c r="N163" s="5">
        <f t="shared" si="16"/>
        <v>151200</v>
      </c>
      <c r="O163" s="8" t="s">
        <v>20</v>
      </c>
      <c r="T163">
        <v>0</v>
      </c>
      <c r="AC163">
        <v>1</v>
      </c>
    </row>
    <row r="164" spans="1:29" ht="30" customHeight="1" x14ac:dyDescent="0.3">
      <c r="A164" s="8" t="s">
        <v>189</v>
      </c>
      <c r="B164" s="8" t="s">
        <v>355</v>
      </c>
      <c r="C164" s="8" t="s">
        <v>354</v>
      </c>
      <c r="D164" s="8" t="s">
        <v>348</v>
      </c>
      <c r="E164" s="8" t="s">
        <v>179</v>
      </c>
      <c r="F164" s="9">
        <v>24</v>
      </c>
      <c r="G164" s="5">
        <f>TRUNC([1]단가대비표!O495,0)</f>
        <v>40000</v>
      </c>
      <c r="H164" s="5">
        <f t="shared" si="13"/>
        <v>960000</v>
      </c>
      <c r="I164" s="5">
        <v>0</v>
      </c>
      <c r="J164" s="5">
        <f t="shared" si="14"/>
        <v>0</v>
      </c>
      <c r="K164" s="5">
        <v>0</v>
      </c>
      <c r="L164" s="5">
        <f t="shared" si="15"/>
        <v>0</v>
      </c>
      <c r="M164" s="5">
        <f t="shared" si="16"/>
        <v>40000</v>
      </c>
      <c r="N164" s="5">
        <f t="shared" si="16"/>
        <v>960000</v>
      </c>
      <c r="O164" s="8" t="s">
        <v>20</v>
      </c>
      <c r="T164">
        <v>0</v>
      </c>
      <c r="AC164">
        <v>1</v>
      </c>
    </row>
    <row r="165" spans="1:29" ht="30" customHeight="1" x14ac:dyDescent="0.3">
      <c r="A165" s="8" t="s">
        <v>189</v>
      </c>
      <c r="B165" s="8" t="s">
        <v>356</v>
      </c>
      <c r="C165" s="8" t="s">
        <v>354</v>
      </c>
      <c r="D165" s="8" t="s">
        <v>350</v>
      </c>
      <c r="E165" s="8" t="s">
        <v>179</v>
      </c>
      <c r="F165" s="9">
        <v>6</v>
      </c>
      <c r="G165" s="5">
        <f>TRUNC([1]단가대비표!O496,0)</f>
        <v>71200</v>
      </c>
      <c r="H165" s="5">
        <f t="shared" si="13"/>
        <v>427200</v>
      </c>
      <c r="I165" s="5">
        <v>0</v>
      </c>
      <c r="J165" s="5">
        <f t="shared" si="14"/>
        <v>0</v>
      </c>
      <c r="K165" s="5">
        <v>0</v>
      </c>
      <c r="L165" s="5">
        <f t="shared" si="15"/>
        <v>0</v>
      </c>
      <c r="M165" s="5">
        <f t="shared" si="16"/>
        <v>71200</v>
      </c>
      <c r="N165" s="5">
        <f t="shared" si="16"/>
        <v>427200</v>
      </c>
      <c r="O165" s="8" t="s">
        <v>20</v>
      </c>
      <c r="T165">
        <v>0</v>
      </c>
      <c r="AC165">
        <v>1</v>
      </c>
    </row>
    <row r="166" spans="1:29" ht="30" customHeight="1" x14ac:dyDescent="0.3">
      <c r="A166" s="8" t="s">
        <v>189</v>
      </c>
      <c r="B166" s="8" t="s">
        <v>357</v>
      </c>
      <c r="C166" s="8" t="s">
        <v>354</v>
      </c>
      <c r="D166" s="8" t="s">
        <v>352</v>
      </c>
      <c r="E166" s="8" t="s">
        <v>179</v>
      </c>
      <c r="F166" s="9">
        <v>9</v>
      </c>
      <c r="G166" s="5">
        <f>TRUNC([1]단가대비표!O497,0)</f>
        <v>110400</v>
      </c>
      <c r="H166" s="5">
        <f t="shared" si="13"/>
        <v>993600</v>
      </c>
      <c r="I166" s="5">
        <v>0</v>
      </c>
      <c r="J166" s="5">
        <f t="shared" si="14"/>
        <v>0</v>
      </c>
      <c r="K166" s="5">
        <v>0</v>
      </c>
      <c r="L166" s="5">
        <f t="shared" si="15"/>
        <v>0</v>
      </c>
      <c r="M166" s="5">
        <f t="shared" si="16"/>
        <v>110400</v>
      </c>
      <c r="N166" s="5">
        <f t="shared" si="16"/>
        <v>993600</v>
      </c>
      <c r="O166" s="8" t="s">
        <v>20</v>
      </c>
      <c r="T166">
        <v>0</v>
      </c>
      <c r="AC166">
        <v>1</v>
      </c>
    </row>
    <row r="167" spans="1:29" ht="30" customHeight="1" x14ac:dyDescent="0.3">
      <c r="A167" s="8" t="s">
        <v>189</v>
      </c>
      <c r="B167" s="8" t="s">
        <v>358</v>
      </c>
      <c r="C167" s="8" t="s">
        <v>359</v>
      </c>
      <c r="D167" s="8" t="s">
        <v>348</v>
      </c>
      <c r="E167" s="8" t="s">
        <v>179</v>
      </c>
      <c r="F167" s="9">
        <v>10</v>
      </c>
      <c r="G167" s="5">
        <f>TRUNC([1]단가대비표!O500,0)</f>
        <v>57200</v>
      </c>
      <c r="H167" s="5">
        <f t="shared" si="13"/>
        <v>572000</v>
      </c>
      <c r="I167" s="5">
        <v>0</v>
      </c>
      <c r="J167" s="5">
        <f t="shared" si="14"/>
        <v>0</v>
      </c>
      <c r="K167" s="5">
        <v>0</v>
      </c>
      <c r="L167" s="5">
        <f t="shared" si="15"/>
        <v>0</v>
      </c>
      <c r="M167" s="5">
        <f t="shared" si="16"/>
        <v>57200</v>
      </c>
      <c r="N167" s="5">
        <f t="shared" si="16"/>
        <v>572000</v>
      </c>
      <c r="O167" s="8" t="s">
        <v>20</v>
      </c>
      <c r="T167">
        <v>0</v>
      </c>
      <c r="AC167">
        <v>1</v>
      </c>
    </row>
    <row r="168" spans="1:29" ht="30" customHeight="1" x14ac:dyDescent="0.3">
      <c r="A168" s="8" t="s">
        <v>189</v>
      </c>
      <c r="B168" s="8" t="s">
        <v>360</v>
      </c>
      <c r="C168" s="8" t="s">
        <v>359</v>
      </c>
      <c r="D168" s="8" t="s">
        <v>352</v>
      </c>
      <c r="E168" s="8" t="s">
        <v>179</v>
      </c>
      <c r="F168" s="9">
        <v>9</v>
      </c>
      <c r="G168" s="5">
        <f>TRUNC([1]단가대비표!O502,0)</f>
        <v>119200</v>
      </c>
      <c r="H168" s="5">
        <f t="shared" si="13"/>
        <v>1072800</v>
      </c>
      <c r="I168" s="5">
        <v>0</v>
      </c>
      <c r="J168" s="5">
        <f t="shared" si="14"/>
        <v>0</v>
      </c>
      <c r="K168" s="5">
        <v>0</v>
      </c>
      <c r="L168" s="5">
        <f t="shared" si="15"/>
        <v>0</v>
      </c>
      <c r="M168" s="5">
        <f t="shared" si="16"/>
        <v>119200</v>
      </c>
      <c r="N168" s="5">
        <f t="shared" si="16"/>
        <v>1072800</v>
      </c>
      <c r="O168" s="8" t="s">
        <v>20</v>
      </c>
      <c r="T168">
        <v>0</v>
      </c>
      <c r="AC168">
        <v>1</v>
      </c>
    </row>
    <row r="169" spans="1:29" ht="30" customHeight="1" x14ac:dyDescent="0.3">
      <c r="A169" s="8" t="s">
        <v>189</v>
      </c>
      <c r="B169" s="8" t="s">
        <v>361</v>
      </c>
      <c r="C169" s="8" t="s">
        <v>362</v>
      </c>
      <c r="D169" s="8" t="s">
        <v>352</v>
      </c>
      <c r="E169" s="8" t="s">
        <v>179</v>
      </c>
      <c r="F169" s="9">
        <v>1</v>
      </c>
      <c r="G169" s="5">
        <f>TRUNC([1]단가대비표!O505,0)</f>
        <v>50000</v>
      </c>
      <c r="H169" s="5">
        <f t="shared" si="13"/>
        <v>50000</v>
      </c>
      <c r="I169" s="5">
        <v>0</v>
      </c>
      <c r="J169" s="5">
        <f t="shared" si="14"/>
        <v>0</v>
      </c>
      <c r="K169" s="5">
        <v>0</v>
      </c>
      <c r="L169" s="5">
        <f t="shared" si="15"/>
        <v>0</v>
      </c>
      <c r="M169" s="5">
        <f t="shared" si="16"/>
        <v>50000</v>
      </c>
      <c r="N169" s="5">
        <f t="shared" si="16"/>
        <v>50000</v>
      </c>
      <c r="O169" s="8" t="s">
        <v>20</v>
      </c>
      <c r="T169">
        <v>0</v>
      </c>
      <c r="AC169">
        <v>1</v>
      </c>
    </row>
    <row r="170" spans="1:29" ht="30" customHeight="1" x14ac:dyDescent="0.3">
      <c r="A170" s="8" t="s">
        <v>189</v>
      </c>
      <c r="B170" s="8" t="s">
        <v>363</v>
      </c>
      <c r="C170" s="8" t="s">
        <v>364</v>
      </c>
      <c r="D170" s="8" t="s">
        <v>346</v>
      </c>
      <c r="E170" s="8" t="s">
        <v>179</v>
      </c>
      <c r="F170" s="9">
        <v>16</v>
      </c>
      <c r="G170" s="5">
        <f>TRUNC([1]단가대비표!O507,0)</f>
        <v>48400</v>
      </c>
      <c r="H170" s="5">
        <f t="shared" si="13"/>
        <v>774400</v>
      </c>
      <c r="I170" s="5">
        <v>0</v>
      </c>
      <c r="J170" s="5">
        <f t="shared" si="14"/>
        <v>0</v>
      </c>
      <c r="K170" s="5">
        <v>0</v>
      </c>
      <c r="L170" s="5">
        <f t="shared" si="15"/>
        <v>0</v>
      </c>
      <c r="M170" s="5">
        <f t="shared" si="16"/>
        <v>48400</v>
      </c>
      <c r="N170" s="5">
        <f t="shared" si="16"/>
        <v>774400</v>
      </c>
      <c r="O170" s="8" t="s">
        <v>20</v>
      </c>
      <c r="T170">
        <v>0</v>
      </c>
      <c r="AC170">
        <v>1</v>
      </c>
    </row>
    <row r="171" spans="1:29" ht="30" customHeight="1" x14ac:dyDescent="0.3">
      <c r="A171" s="8" t="s">
        <v>189</v>
      </c>
      <c r="B171" s="8" t="s">
        <v>365</v>
      </c>
      <c r="C171" s="8" t="s">
        <v>364</v>
      </c>
      <c r="D171" s="8" t="s">
        <v>348</v>
      </c>
      <c r="E171" s="8" t="s">
        <v>179</v>
      </c>
      <c r="F171" s="9">
        <v>23</v>
      </c>
      <c r="G171" s="5">
        <f>TRUNC([1]단가대비표!O508,0)</f>
        <v>94200</v>
      </c>
      <c r="H171" s="5">
        <f t="shared" si="13"/>
        <v>2166600</v>
      </c>
      <c r="I171" s="5">
        <v>0</v>
      </c>
      <c r="J171" s="5">
        <f t="shared" si="14"/>
        <v>0</v>
      </c>
      <c r="K171" s="5">
        <v>0</v>
      </c>
      <c r="L171" s="5">
        <f t="shared" si="15"/>
        <v>0</v>
      </c>
      <c r="M171" s="5">
        <f t="shared" si="16"/>
        <v>94200</v>
      </c>
      <c r="N171" s="5">
        <f t="shared" si="16"/>
        <v>2166600</v>
      </c>
      <c r="O171" s="8" t="s">
        <v>20</v>
      </c>
      <c r="T171">
        <v>0</v>
      </c>
      <c r="AC171">
        <v>1</v>
      </c>
    </row>
    <row r="172" spans="1:29" ht="30" customHeight="1" x14ac:dyDescent="0.3">
      <c r="A172" s="8" t="s">
        <v>189</v>
      </c>
      <c r="B172" s="8" t="s">
        <v>366</v>
      </c>
      <c r="C172" s="8" t="s">
        <v>364</v>
      </c>
      <c r="D172" s="8" t="s">
        <v>350</v>
      </c>
      <c r="E172" s="8" t="s">
        <v>179</v>
      </c>
      <c r="F172" s="9">
        <v>2</v>
      </c>
      <c r="G172" s="5">
        <f>TRUNC([1]단가대비표!O509,0)</f>
        <v>129400</v>
      </c>
      <c r="H172" s="5">
        <f t="shared" si="13"/>
        <v>258800</v>
      </c>
      <c r="I172" s="5">
        <v>0</v>
      </c>
      <c r="J172" s="5">
        <f t="shared" si="14"/>
        <v>0</v>
      </c>
      <c r="K172" s="5">
        <v>0</v>
      </c>
      <c r="L172" s="5">
        <f t="shared" si="15"/>
        <v>0</v>
      </c>
      <c r="M172" s="5">
        <f t="shared" si="16"/>
        <v>129400</v>
      </c>
      <c r="N172" s="5">
        <f t="shared" si="16"/>
        <v>258800</v>
      </c>
      <c r="O172" s="8" t="s">
        <v>20</v>
      </c>
      <c r="T172">
        <v>0</v>
      </c>
      <c r="AC172">
        <v>1</v>
      </c>
    </row>
    <row r="173" spans="1:29" ht="30" customHeight="1" x14ac:dyDescent="0.3">
      <c r="A173" s="8" t="s">
        <v>189</v>
      </c>
      <c r="B173" s="8" t="s">
        <v>367</v>
      </c>
      <c r="C173" s="8" t="s">
        <v>364</v>
      </c>
      <c r="D173" s="8" t="s">
        <v>352</v>
      </c>
      <c r="E173" s="8" t="s">
        <v>179</v>
      </c>
      <c r="F173" s="9">
        <v>26</v>
      </c>
      <c r="G173" s="5">
        <f>TRUNC([1]단가대비표!O510,0)</f>
        <v>159300</v>
      </c>
      <c r="H173" s="5">
        <f t="shared" si="13"/>
        <v>4141800</v>
      </c>
      <c r="I173" s="5">
        <v>0</v>
      </c>
      <c r="J173" s="5">
        <f t="shared" si="14"/>
        <v>0</v>
      </c>
      <c r="K173" s="5">
        <v>0</v>
      </c>
      <c r="L173" s="5">
        <f t="shared" si="15"/>
        <v>0</v>
      </c>
      <c r="M173" s="5">
        <f t="shared" si="16"/>
        <v>159300</v>
      </c>
      <c r="N173" s="5">
        <f t="shared" si="16"/>
        <v>4141800</v>
      </c>
      <c r="O173" s="8" t="s">
        <v>20</v>
      </c>
      <c r="T173">
        <v>0</v>
      </c>
      <c r="AC173">
        <v>1</v>
      </c>
    </row>
    <row r="174" spans="1:29" ht="30" customHeight="1" x14ac:dyDescent="0.3">
      <c r="A174" s="8" t="s">
        <v>189</v>
      </c>
      <c r="B174" s="8" t="s">
        <v>368</v>
      </c>
      <c r="C174" s="8" t="s">
        <v>369</v>
      </c>
      <c r="D174" s="8" t="s">
        <v>370</v>
      </c>
      <c r="E174" s="8" t="s">
        <v>179</v>
      </c>
      <c r="F174" s="9">
        <v>1</v>
      </c>
      <c r="G174" s="5">
        <f>TRUNC([1]단가대비표!O477,0)</f>
        <v>31280</v>
      </c>
      <c r="H174" s="5">
        <f t="shared" si="13"/>
        <v>31280</v>
      </c>
      <c r="I174" s="5">
        <v>0</v>
      </c>
      <c r="J174" s="5">
        <f t="shared" si="14"/>
        <v>0</v>
      </c>
      <c r="K174" s="5">
        <v>0</v>
      </c>
      <c r="L174" s="5">
        <f t="shared" si="15"/>
        <v>0</v>
      </c>
      <c r="M174" s="5">
        <f t="shared" si="16"/>
        <v>31280</v>
      </c>
      <c r="N174" s="5">
        <f t="shared" si="16"/>
        <v>31280</v>
      </c>
      <c r="O174" s="8" t="s">
        <v>20</v>
      </c>
      <c r="T174">
        <v>0</v>
      </c>
      <c r="AC174">
        <v>1</v>
      </c>
    </row>
    <row r="175" spans="1:29" ht="30" customHeight="1" x14ac:dyDescent="0.3">
      <c r="A175" s="8" t="s">
        <v>189</v>
      </c>
      <c r="B175" s="8" t="s">
        <v>371</v>
      </c>
      <c r="C175" s="8" t="s">
        <v>369</v>
      </c>
      <c r="D175" s="8" t="s">
        <v>372</v>
      </c>
      <c r="E175" s="8" t="s">
        <v>179</v>
      </c>
      <c r="F175" s="9">
        <v>1</v>
      </c>
      <c r="G175" s="5">
        <f>TRUNC([1]단가대비표!O478,0)</f>
        <v>58480</v>
      </c>
      <c r="H175" s="5">
        <f t="shared" si="13"/>
        <v>58480</v>
      </c>
      <c r="I175" s="5">
        <v>0</v>
      </c>
      <c r="J175" s="5">
        <f t="shared" si="14"/>
        <v>0</v>
      </c>
      <c r="K175" s="5">
        <v>0</v>
      </c>
      <c r="L175" s="5">
        <f t="shared" si="15"/>
        <v>0</v>
      </c>
      <c r="M175" s="5">
        <f t="shared" si="16"/>
        <v>58480</v>
      </c>
      <c r="N175" s="5">
        <f t="shared" si="16"/>
        <v>58480</v>
      </c>
      <c r="O175" s="8" t="s">
        <v>20</v>
      </c>
      <c r="T175">
        <v>0</v>
      </c>
      <c r="AC175">
        <v>1</v>
      </c>
    </row>
    <row r="176" spans="1:29" ht="30" customHeight="1" x14ac:dyDescent="0.3">
      <c r="A176" s="8" t="s">
        <v>189</v>
      </c>
      <c r="B176" s="8" t="s">
        <v>373</v>
      </c>
      <c r="C176" s="8" t="s">
        <v>374</v>
      </c>
      <c r="D176" s="8" t="s">
        <v>375</v>
      </c>
      <c r="E176" s="8" t="s">
        <v>179</v>
      </c>
      <c r="F176" s="9">
        <v>1</v>
      </c>
      <c r="G176" s="5">
        <f>TRUNC([1]단가대비표!O535,0)</f>
        <v>72080</v>
      </c>
      <c r="H176" s="5">
        <f t="shared" si="13"/>
        <v>72080</v>
      </c>
      <c r="I176" s="5">
        <v>0</v>
      </c>
      <c r="J176" s="5">
        <f t="shared" si="14"/>
        <v>0</v>
      </c>
      <c r="K176" s="5">
        <v>0</v>
      </c>
      <c r="L176" s="5">
        <f t="shared" si="15"/>
        <v>0</v>
      </c>
      <c r="M176" s="5">
        <f t="shared" si="16"/>
        <v>72080</v>
      </c>
      <c r="N176" s="5">
        <f t="shared" si="16"/>
        <v>72080</v>
      </c>
      <c r="O176" s="8" t="s">
        <v>20</v>
      </c>
      <c r="T176">
        <v>0</v>
      </c>
      <c r="AC176">
        <v>1</v>
      </c>
    </row>
    <row r="177" spans="1:29" ht="30" customHeight="1" x14ac:dyDescent="0.3">
      <c r="A177" s="8" t="s">
        <v>189</v>
      </c>
      <c r="B177" s="8" t="s">
        <v>376</v>
      </c>
      <c r="C177" s="8" t="s">
        <v>374</v>
      </c>
      <c r="D177" s="8" t="s">
        <v>377</v>
      </c>
      <c r="E177" s="8" t="s">
        <v>179</v>
      </c>
      <c r="F177" s="9">
        <v>4</v>
      </c>
      <c r="G177" s="5">
        <f>TRUNC([1]단가대비표!O537,0)</f>
        <v>144690</v>
      </c>
      <c r="H177" s="5">
        <f t="shared" si="13"/>
        <v>578760</v>
      </c>
      <c r="I177" s="5">
        <v>0</v>
      </c>
      <c r="J177" s="5">
        <f t="shared" si="14"/>
        <v>0</v>
      </c>
      <c r="K177" s="5">
        <v>0</v>
      </c>
      <c r="L177" s="5">
        <f t="shared" si="15"/>
        <v>0</v>
      </c>
      <c r="M177" s="5">
        <f t="shared" si="16"/>
        <v>144690</v>
      </c>
      <c r="N177" s="5">
        <f t="shared" si="16"/>
        <v>578760</v>
      </c>
      <c r="O177" s="8" t="s">
        <v>20</v>
      </c>
      <c r="T177">
        <v>0</v>
      </c>
      <c r="AC177">
        <v>1</v>
      </c>
    </row>
    <row r="178" spans="1:29" ht="30" customHeight="1" x14ac:dyDescent="0.3">
      <c r="A178" s="8" t="s">
        <v>189</v>
      </c>
      <c r="B178" s="8" t="s">
        <v>378</v>
      </c>
      <c r="C178" s="8" t="s">
        <v>374</v>
      </c>
      <c r="D178" s="8" t="s">
        <v>379</v>
      </c>
      <c r="E178" s="8" t="s">
        <v>179</v>
      </c>
      <c r="F178" s="9">
        <v>4</v>
      </c>
      <c r="G178" s="5">
        <f>TRUNC([1]단가대비표!O538,0)</f>
        <v>44960</v>
      </c>
      <c r="H178" s="5">
        <f t="shared" si="13"/>
        <v>179840</v>
      </c>
      <c r="I178" s="5">
        <v>0</v>
      </c>
      <c r="J178" s="5">
        <f t="shared" si="14"/>
        <v>0</v>
      </c>
      <c r="K178" s="5">
        <v>0</v>
      </c>
      <c r="L178" s="5">
        <f t="shared" si="15"/>
        <v>0</v>
      </c>
      <c r="M178" s="5">
        <f t="shared" si="16"/>
        <v>44960</v>
      </c>
      <c r="N178" s="5">
        <f t="shared" si="16"/>
        <v>179840</v>
      </c>
      <c r="O178" s="8" t="s">
        <v>20</v>
      </c>
      <c r="T178">
        <v>0</v>
      </c>
      <c r="AC178">
        <v>1</v>
      </c>
    </row>
    <row r="179" spans="1:29" ht="30" customHeight="1" x14ac:dyDescent="0.3">
      <c r="A179" s="8" t="s">
        <v>189</v>
      </c>
      <c r="B179" s="8" t="s">
        <v>380</v>
      </c>
      <c r="C179" s="8" t="s">
        <v>374</v>
      </c>
      <c r="D179" s="8" t="s">
        <v>381</v>
      </c>
      <c r="E179" s="8" t="s">
        <v>179</v>
      </c>
      <c r="F179" s="9">
        <v>1</v>
      </c>
      <c r="G179" s="5">
        <f>TRUNC([1]단가대비표!O539,0)</f>
        <v>48350</v>
      </c>
      <c r="H179" s="5">
        <f t="shared" si="13"/>
        <v>48350</v>
      </c>
      <c r="I179" s="5">
        <v>0</v>
      </c>
      <c r="J179" s="5">
        <f t="shared" si="14"/>
        <v>0</v>
      </c>
      <c r="K179" s="5">
        <v>0</v>
      </c>
      <c r="L179" s="5">
        <f t="shared" si="15"/>
        <v>0</v>
      </c>
      <c r="M179" s="5">
        <f t="shared" ref="M179:N210" si="17">G179+I179+K179</f>
        <v>48350</v>
      </c>
      <c r="N179" s="5">
        <f t="shared" si="17"/>
        <v>48350</v>
      </c>
      <c r="O179" s="8" t="s">
        <v>20</v>
      </c>
      <c r="T179">
        <v>0</v>
      </c>
      <c r="AC179">
        <v>1</v>
      </c>
    </row>
    <row r="180" spans="1:29" ht="30" customHeight="1" x14ac:dyDescent="0.3">
      <c r="A180" s="8" t="s">
        <v>189</v>
      </c>
      <c r="B180" s="8" t="s">
        <v>382</v>
      </c>
      <c r="C180" s="8" t="s">
        <v>374</v>
      </c>
      <c r="D180" s="8" t="s">
        <v>383</v>
      </c>
      <c r="E180" s="8" t="s">
        <v>179</v>
      </c>
      <c r="F180" s="9">
        <v>10</v>
      </c>
      <c r="G180" s="5">
        <f>TRUNC([1]단가대비표!O540,0)</f>
        <v>56060</v>
      </c>
      <c r="H180" s="5">
        <f t="shared" si="13"/>
        <v>560600</v>
      </c>
      <c r="I180" s="5">
        <v>0</v>
      </c>
      <c r="J180" s="5">
        <f t="shared" si="14"/>
        <v>0</v>
      </c>
      <c r="K180" s="5">
        <v>0</v>
      </c>
      <c r="L180" s="5">
        <f t="shared" si="15"/>
        <v>0</v>
      </c>
      <c r="M180" s="5">
        <f t="shared" si="17"/>
        <v>56060</v>
      </c>
      <c r="N180" s="5">
        <f t="shared" si="17"/>
        <v>560600</v>
      </c>
      <c r="O180" s="8" t="s">
        <v>20</v>
      </c>
      <c r="T180">
        <v>0</v>
      </c>
      <c r="AC180">
        <v>1</v>
      </c>
    </row>
    <row r="181" spans="1:29" ht="30" customHeight="1" x14ac:dyDescent="0.3">
      <c r="A181" s="8" t="s">
        <v>189</v>
      </c>
      <c r="B181" s="8" t="s">
        <v>384</v>
      </c>
      <c r="C181" s="8" t="s">
        <v>374</v>
      </c>
      <c r="D181" s="8" t="s">
        <v>385</v>
      </c>
      <c r="E181" s="8" t="s">
        <v>179</v>
      </c>
      <c r="F181" s="9">
        <v>7</v>
      </c>
      <c r="G181" s="5">
        <f>TRUNC([1]단가대비표!O541,0)</f>
        <v>61200</v>
      </c>
      <c r="H181" s="5">
        <f t="shared" si="13"/>
        <v>428400</v>
      </c>
      <c r="I181" s="5">
        <v>0</v>
      </c>
      <c r="J181" s="5">
        <f t="shared" si="14"/>
        <v>0</v>
      </c>
      <c r="K181" s="5">
        <v>0</v>
      </c>
      <c r="L181" s="5">
        <f t="shared" si="15"/>
        <v>0</v>
      </c>
      <c r="M181" s="5">
        <f t="shared" si="17"/>
        <v>61200</v>
      </c>
      <c r="N181" s="5">
        <f t="shared" si="17"/>
        <v>428400</v>
      </c>
      <c r="O181" s="8" t="s">
        <v>20</v>
      </c>
      <c r="T181">
        <v>0</v>
      </c>
      <c r="AC181">
        <v>1</v>
      </c>
    </row>
    <row r="182" spans="1:29" ht="30" customHeight="1" x14ac:dyDescent="0.3">
      <c r="A182" s="8" t="s">
        <v>189</v>
      </c>
      <c r="B182" s="8" t="s">
        <v>386</v>
      </c>
      <c r="C182" s="8" t="s">
        <v>374</v>
      </c>
      <c r="D182" s="8" t="s">
        <v>387</v>
      </c>
      <c r="E182" s="8" t="s">
        <v>179</v>
      </c>
      <c r="F182" s="9">
        <v>7</v>
      </c>
      <c r="G182" s="5">
        <f>TRUNC([1]단가대비표!O542,0)</f>
        <v>77300</v>
      </c>
      <c r="H182" s="5">
        <f t="shared" si="13"/>
        <v>541100</v>
      </c>
      <c r="I182" s="5">
        <v>0</v>
      </c>
      <c r="J182" s="5">
        <f t="shared" si="14"/>
        <v>0</v>
      </c>
      <c r="K182" s="5">
        <v>0</v>
      </c>
      <c r="L182" s="5">
        <f t="shared" si="15"/>
        <v>0</v>
      </c>
      <c r="M182" s="5">
        <f t="shared" si="17"/>
        <v>77300</v>
      </c>
      <c r="N182" s="5">
        <f t="shared" si="17"/>
        <v>541100</v>
      </c>
      <c r="O182" s="8" t="s">
        <v>20</v>
      </c>
      <c r="T182">
        <v>0</v>
      </c>
      <c r="AC182">
        <v>1</v>
      </c>
    </row>
    <row r="183" spans="1:29" ht="30" customHeight="1" x14ac:dyDescent="0.3">
      <c r="A183" s="8" t="s">
        <v>189</v>
      </c>
      <c r="B183" s="8" t="s">
        <v>388</v>
      </c>
      <c r="C183" s="8" t="s">
        <v>374</v>
      </c>
      <c r="D183" s="8" t="s">
        <v>389</v>
      </c>
      <c r="E183" s="8" t="s">
        <v>179</v>
      </c>
      <c r="F183" s="9">
        <v>5</v>
      </c>
      <c r="G183" s="5">
        <f>TRUNC([1]단가대비표!O543,0)</f>
        <v>81600</v>
      </c>
      <c r="H183" s="5">
        <f t="shared" si="13"/>
        <v>408000</v>
      </c>
      <c r="I183" s="5">
        <v>0</v>
      </c>
      <c r="J183" s="5">
        <f t="shared" si="14"/>
        <v>0</v>
      </c>
      <c r="K183" s="5">
        <v>0</v>
      </c>
      <c r="L183" s="5">
        <f t="shared" si="15"/>
        <v>0</v>
      </c>
      <c r="M183" s="5">
        <f t="shared" si="17"/>
        <v>81600</v>
      </c>
      <c r="N183" s="5">
        <f t="shared" si="17"/>
        <v>408000</v>
      </c>
      <c r="O183" s="8" t="s">
        <v>20</v>
      </c>
      <c r="T183">
        <v>0</v>
      </c>
      <c r="AC183">
        <v>1</v>
      </c>
    </row>
    <row r="184" spans="1:29" ht="30" customHeight="1" x14ac:dyDescent="0.3">
      <c r="A184" s="8" t="s">
        <v>189</v>
      </c>
      <c r="B184" s="8" t="s">
        <v>390</v>
      </c>
      <c r="C184" s="8" t="s">
        <v>391</v>
      </c>
      <c r="D184" s="8" t="s">
        <v>392</v>
      </c>
      <c r="E184" s="8" t="s">
        <v>179</v>
      </c>
      <c r="F184" s="9">
        <v>2</v>
      </c>
      <c r="G184" s="5">
        <f>TRUNC([1]단가대비표!O526,0)</f>
        <v>99160</v>
      </c>
      <c r="H184" s="5">
        <f t="shared" si="13"/>
        <v>198320</v>
      </c>
      <c r="I184" s="5">
        <v>0</v>
      </c>
      <c r="J184" s="5">
        <f t="shared" si="14"/>
        <v>0</v>
      </c>
      <c r="K184" s="5">
        <v>0</v>
      </c>
      <c r="L184" s="5">
        <f t="shared" si="15"/>
        <v>0</v>
      </c>
      <c r="M184" s="5">
        <f t="shared" si="17"/>
        <v>99160</v>
      </c>
      <c r="N184" s="5">
        <f t="shared" si="17"/>
        <v>198320</v>
      </c>
      <c r="O184" s="8" t="s">
        <v>20</v>
      </c>
      <c r="T184">
        <v>0</v>
      </c>
      <c r="AC184">
        <v>1</v>
      </c>
    </row>
    <row r="185" spans="1:29" ht="30" customHeight="1" x14ac:dyDescent="0.3">
      <c r="A185" s="8" t="s">
        <v>189</v>
      </c>
      <c r="B185" s="8" t="s">
        <v>393</v>
      </c>
      <c r="C185" s="8" t="s">
        <v>391</v>
      </c>
      <c r="D185" s="8" t="s">
        <v>394</v>
      </c>
      <c r="E185" s="8" t="s">
        <v>179</v>
      </c>
      <c r="F185" s="9">
        <v>2</v>
      </c>
      <c r="G185" s="5">
        <f>TRUNC([1]단가대비표!O527,0)</f>
        <v>105600</v>
      </c>
      <c r="H185" s="5">
        <f t="shared" si="13"/>
        <v>211200</v>
      </c>
      <c r="I185" s="5">
        <v>0</v>
      </c>
      <c r="J185" s="5">
        <f t="shared" si="14"/>
        <v>0</v>
      </c>
      <c r="K185" s="5">
        <v>0</v>
      </c>
      <c r="L185" s="5">
        <f t="shared" si="15"/>
        <v>0</v>
      </c>
      <c r="M185" s="5">
        <f t="shared" si="17"/>
        <v>105600</v>
      </c>
      <c r="N185" s="5">
        <f t="shared" si="17"/>
        <v>211200</v>
      </c>
      <c r="O185" s="8" t="s">
        <v>20</v>
      </c>
      <c r="T185">
        <v>0</v>
      </c>
      <c r="AC185">
        <v>1</v>
      </c>
    </row>
    <row r="186" spans="1:29" ht="30" customHeight="1" x14ac:dyDescent="0.3">
      <c r="A186" s="8" t="s">
        <v>189</v>
      </c>
      <c r="B186" s="8" t="s">
        <v>395</v>
      </c>
      <c r="C186" s="8" t="s">
        <v>391</v>
      </c>
      <c r="D186" s="8" t="s">
        <v>396</v>
      </c>
      <c r="E186" s="8" t="s">
        <v>179</v>
      </c>
      <c r="F186" s="9">
        <v>2</v>
      </c>
      <c r="G186" s="5">
        <f>TRUNC([1]단가대비표!O529,0)</f>
        <v>160000</v>
      </c>
      <c r="H186" s="5">
        <f t="shared" si="13"/>
        <v>320000</v>
      </c>
      <c r="I186" s="5">
        <v>0</v>
      </c>
      <c r="J186" s="5">
        <f t="shared" si="14"/>
        <v>0</v>
      </c>
      <c r="K186" s="5">
        <v>0</v>
      </c>
      <c r="L186" s="5">
        <f t="shared" si="15"/>
        <v>0</v>
      </c>
      <c r="M186" s="5">
        <f t="shared" si="17"/>
        <v>160000</v>
      </c>
      <c r="N186" s="5">
        <f t="shared" si="17"/>
        <v>320000</v>
      </c>
      <c r="O186" s="8" t="s">
        <v>20</v>
      </c>
      <c r="T186">
        <v>0</v>
      </c>
      <c r="AC186">
        <v>1</v>
      </c>
    </row>
    <row r="187" spans="1:29" ht="30" customHeight="1" x14ac:dyDescent="0.3">
      <c r="A187" s="8" t="s">
        <v>189</v>
      </c>
      <c r="B187" s="8" t="s">
        <v>397</v>
      </c>
      <c r="C187" s="8" t="s">
        <v>391</v>
      </c>
      <c r="D187" s="8" t="s">
        <v>398</v>
      </c>
      <c r="E187" s="8" t="s">
        <v>179</v>
      </c>
      <c r="F187" s="9">
        <v>4</v>
      </c>
      <c r="G187" s="5">
        <f>TRUNC([1]단가대비표!O530,0)</f>
        <v>188800</v>
      </c>
      <c r="H187" s="5">
        <f t="shared" si="13"/>
        <v>755200</v>
      </c>
      <c r="I187" s="5">
        <v>0</v>
      </c>
      <c r="J187" s="5">
        <f t="shared" si="14"/>
        <v>0</v>
      </c>
      <c r="K187" s="5">
        <v>0</v>
      </c>
      <c r="L187" s="5">
        <f t="shared" si="15"/>
        <v>0</v>
      </c>
      <c r="M187" s="5">
        <f t="shared" si="17"/>
        <v>188800</v>
      </c>
      <c r="N187" s="5">
        <f t="shared" si="17"/>
        <v>755200</v>
      </c>
      <c r="O187" s="8" t="s">
        <v>20</v>
      </c>
      <c r="T187">
        <v>0</v>
      </c>
      <c r="AC187">
        <v>1</v>
      </c>
    </row>
    <row r="188" spans="1:29" ht="30" customHeight="1" x14ac:dyDescent="0.3">
      <c r="A188" s="8" t="s">
        <v>189</v>
      </c>
      <c r="B188" s="8" t="s">
        <v>399</v>
      </c>
      <c r="C188" s="8" t="s">
        <v>400</v>
      </c>
      <c r="D188" s="8" t="s">
        <v>401</v>
      </c>
      <c r="E188" s="8" t="s">
        <v>179</v>
      </c>
      <c r="F188" s="9">
        <v>1</v>
      </c>
      <c r="G188" s="5">
        <f>TRUNC([1]단가대비표!O546,0)</f>
        <v>47040</v>
      </c>
      <c r="H188" s="5">
        <f t="shared" si="13"/>
        <v>47040</v>
      </c>
      <c r="I188" s="5">
        <v>0</v>
      </c>
      <c r="J188" s="5">
        <f t="shared" si="14"/>
        <v>0</v>
      </c>
      <c r="K188" s="5">
        <v>0</v>
      </c>
      <c r="L188" s="5">
        <f t="shared" si="15"/>
        <v>0</v>
      </c>
      <c r="M188" s="5">
        <f t="shared" si="17"/>
        <v>47040</v>
      </c>
      <c r="N188" s="5">
        <f t="shared" si="17"/>
        <v>47040</v>
      </c>
      <c r="O188" s="8" t="s">
        <v>20</v>
      </c>
      <c r="T188">
        <v>0</v>
      </c>
      <c r="AC188">
        <v>1</v>
      </c>
    </row>
    <row r="189" spans="1:29" ht="30" customHeight="1" x14ac:dyDescent="0.3">
      <c r="A189" s="8" t="s">
        <v>189</v>
      </c>
      <c r="B189" s="8" t="s">
        <v>402</v>
      </c>
      <c r="C189" s="8" t="s">
        <v>400</v>
      </c>
      <c r="D189" s="8" t="s">
        <v>377</v>
      </c>
      <c r="E189" s="8" t="s">
        <v>179</v>
      </c>
      <c r="F189" s="9">
        <v>4</v>
      </c>
      <c r="G189" s="5">
        <f>TRUNC([1]단가대비표!O547,0)</f>
        <v>76480</v>
      </c>
      <c r="H189" s="5">
        <f t="shared" si="13"/>
        <v>305920</v>
      </c>
      <c r="I189" s="5">
        <v>0</v>
      </c>
      <c r="J189" s="5">
        <f t="shared" si="14"/>
        <v>0</v>
      </c>
      <c r="K189" s="5">
        <v>0</v>
      </c>
      <c r="L189" s="5">
        <f t="shared" si="15"/>
        <v>0</v>
      </c>
      <c r="M189" s="5">
        <f t="shared" si="17"/>
        <v>76480</v>
      </c>
      <c r="N189" s="5">
        <f t="shared" si="17"/>
        <v>305920</v>
      </c>
      <c r="O189" s="8" t="s">
        <v>20</v>
      </c>
      <c r="T189">
        <v>0</v>
      </c>
      <c r="AC189">
        <v>1</v>
      </c>
    </row>
    <row r="190" spans="1:29" ht="30" customHeight="1" x14ac:dyDescent="0.3">
      <c r="A190" s="8" t="s">
        <v>189</v>
      </c>
      <c r="B190" s="8" t="s">
        <v>403</v>
      </c>
      <c r="C190" s="8" t="s">
        <v>400</v>
      </c>
      <c r="D190" s="8" t="s">
        <v>404</v>
      </c>
      <c r="E190" s="8" t="s">
        <v>179</v>
      </c>
      <c r="F190" s="9">
        <v>6</v>
      </c>
      <c r="G190" s="5">
        <f>TRUNC([1]단가대비표!O548,0)</f>
        <v>56900</v>
      </c>
      <c r="H190" s="5">
        <f t="shared" si="13"/>
        <v>341400</v>
      </c>
      <c r="I190" s="5">
        <v>0</v>
      </c>
      <c r="J190" s="5">
        <f t="shared" si="14"/>
        <v>0</v>
      </c>
      <c r="K190" s="5">
        <v>0</v>
      </c>
      <c r="L190" s="5">
        <f t="shared" si="15"/>
        <v>0</v>
      </c>
      <c r="M190" s="5">
        <f t="shared" si="17"/>
        <v>56900</v>
      </c>
      <c r="N190" s="5">
        <f t="shared" si="17"/>
        <v>341400</v>
      </c>
      <c r="O190" s="8" t="s">
        <v>20</v>
      </c>
      <c r="T190">
        <v>0</v>
      </c>
      <c r="AC190">
        <v>1</v>
      </c>
    </row>
    <row r="191" spans="1:29" ht="30" customHeight="1" x14ac:dyDescent="0.3">
      <c r="A191" s="8" t="s">
        <v>189</v>
      </c>
      <c r="B191" s="8" t="s">
        <v>405</v>
      </c>
      <c r="C191" s="8" t="s">
        <v>400</v>
      </c>
      <c r="D191" s="8" t="s">
        <v>406</v>
      </c>
      <c r="E191" s="8" t="s">
        <v>179</v>
      </c>
      <c r="F191" s="9">
        <v>2</v>
      </c>
      <c r="G191" s="5">
        <f>TRUNC([1]단가대비표!O911,0)</f>
        <v>42000</v>
      </c>
      <c r="H191" s="5">
        <f t="shared" si="13"/>
        <v>84000</v>
      </c>
      <c r="I191" s="5">
        <v>0</v>
      </c>
      <c r="J191" s="5">
        <f t="shared" si="14"/>
        <v>0</v>
      </c>
      <c r="K191" s="5">
        <v>0</v>
      </c>
      <c r="L191" s="5">
        <f t="shared" si="15"/>
        <v>0</v>
      </c>
      <c r="M191" s="5">
        <f t="shared" si="17"/>
        <v>42000</v>
      </c>
      <c r="N191" s="5">
        <f t="shared" si="17"/>
        <v>84000</v>
      </c>
      <c r="O191" s="8" t="s">
        <v>20</v>
      </c>
      <c r="T191">
        <v>0</v>
      </c>
      <c r="AC191">
        <v>1</v>
      </c>
    </row>
    <row r="192" spans="1:29" ht="30" customHeight="1" x14ac:dyDescent="0.3">
      <c r="A192" s="8" t="s">
        <v>189</v>
      </c>
      <c r="B192" s="8" t="s">
        <v>407</v>
      </c>
      <c r="C192" s="8" t="s">
        <v>400</v>
      </c>
      <c r="D192" s="8" t="s">
        <v>408</v>
      </c>
      <c r="E192" s="8" t="s">
        <v>179</v>
      </c>
      <c r="F192" s="9">
        <v>3</v>
      </c>
      <c r="G192" s="5">
        <f>TRUNC([1]단가대비표!O550,0)</f>
        <v>42000</v>
      </c>
      <c r="H192" s="5">
        <f t="shared" si="13"/>
        <v>126000</v>
      </c>
      <c r="I192" s="5">
        <v>0</v>
      </c>
      <c r="J192" s="5">
        <f t="shared" si="14"/>
        <v>0</v>
      </c>
      <c r="K192" s="5">
        <v>0</v>
      </c>
      <c r="L192" s="5">
        <f t="shared" si="15"/>
        <v>0</v>
      </c>
      <c r="M192" s="5">
        <f t="shared" si="17"/>
        <v>42000</v>
      </c>
      <c r="N192" s="5">
        <f t="shared" si="17"/>
        <v>126000</v>
      </c>
      <c r="O192" s="8" t="s">
        <v>20</v>
      </c>
      <c r="T192">
        <v>0</v>
      </c>
      <c r="AC192">
        <v>1</v>
      </c>
    </row>
    <row r="193" spans="1:29" ht="30" customHeight="1" x14ac:dyDescent="0.3">
      <c r="A193" s="8" t="s">
        <v>189</v>
      </c>
      <c r="B193" s="8" t="s">
        <v>409</v>
      </c>
      <c r="C193" s="8" t="s">
        <v>400</v>
      </c>
      <c r="D193" s="8" t="s">
        <v>410</v>
      </c>
      <c r="E193" s="8" t="s">
        <v>179</v>
      </c>
      <c r="F193" s="9">
        <v>1</v>
      </c>
      <c r="G193" s="5">
        <f>TRUNC([1]단가대비표!O551,0)</f>
        <v>138000</v>
      </c>
      <c r="H193" s="5">
        <f t="shared" si="13"/>
        <v>138000</v>
      </c>
      <c r="I193" s="5">
        <v>0</v>
      </c>
      <c r="J193" s="5">
        <f t="shared" si="14"/>
        <v>0</v>
      </c>
      <c r="K193" s="5">
        <v>0</v>
      </c>
      <c r="L193" s="5">
        <f t="shared" si="15"/>
        <v>0</v>
      </c>
      <c r="M193" s="5">
        <f t="shared" si="17"/>
        <v>138000</v>
      </c>
      <c r="N193" s="5">
        <f t="shared" si="17"/>
        <v>138000</v>
      </c>
      <c r="O193" s="8" t="s">
        <v>20</v>
      </c>
      <c r="T193">
        <v>0</v>
      </c>
      <c r="AC193">
        <v>1</v>
      </c>
    </row>
    <row r="194" spans="1:29" ht="30" customHeight="1" x14ac:dyDescent="0.3">
      <c r="A194" s="8" t="s">
        <v>189</v>
      </c>
      <c r="B194" s="8" t="s">
        <v>411</v>
      </c>
      <c r="C194" s="8" t="s">
        <v>412</v>
      </c>
      <c r="D194" s="8" t="s">
        <v>413</v>
      </c>
      <c r="E194" s="8" t="s">
        <v>179</v>
      </c>
      <c r="F194" s="9">
        <v>1</v>
      </c>
      <c r="G194" s="5">
        <f>TRUNC([1]단가대비표!O154,0)</f>
        <v>233180</v>
      </c>
      <c r="H194" s="5">
        <f t="shared" si="13"/>
        <v>233180</v>
      </c>
      <c r="I194" s="5">
        <v>0</v>
      </c>
      <c r="J194" s="5">
        <f t="shared" si="14"/>
        <v>0</v>
      </c>
      <c r="K194" s="5">
        <v>0</v>
      </c>
      <c r="L194" s="5">
        <f t="shared" si="15"/>
        <v>0</v>
      </c>
      <c r="M194" s="5">
        <f t="shared" si="17"/>
        <v>233180</v>
      </c>
      <c r="N194" s="5">
        <f t="shared" si="17"/>
        <v>233180</v>
      </c>
      <c r="O194" s="8" t="s">
        <v>20</v>
      </c>
      <c r="T194">
        <v>0</v>
      </c>
      <c r="AC194">
        <v>1</v>
      </c>
    </row>
    <row r="195" spans="1:29" ht="30" customHeight="1" x14ac:dyDescent="0.3">
      <c r="A195" s="8" t="s">
        <v>189</v>
      </c>
      <c r="B195" s="8" t="s">
        <v>414</v>
      </c>
      <c r="C195" s="8" t="s">
        <v>412</v>
      </c>
      <c r="D195" s="8" t="s">
        <v>383</v>
      </c>
      <c r="E195" s="8" t="s">
        <v>179</v>
      </c>
      <c r="F195" s="9">
        <v>2</v>
      </c>
      <c r="G195" s="5">
        <f>TRUNC([1]단가대비표!O156,0)</f>
        <v>50990</v>
      </c>
      <c r="H195" s="5">
        <f t="shared" si="13"/>
        <v>101980</v>
      </c>
      <c r="I195" s="5">
        <v>0</v>
      </c>
      <c r="J195" s="5">
        <f t="shared" si="14"/>
        <v>0</v>
      </c>
      <c r="K195" s="5">
        <v>0</v>
      </c>
      <c r="L195" s="5">
        <f t="shared" si="15"/>
        <v>0</v>
      </c>
      <c r="M195" s="5">
        <f t="shared" si="17"/>
        <v>50990</v>
      </c>
      <c r="N195" s="5">
        <f t="shared" si="17"/>
        <v>101980</v>
      </c>
      <c r="O195" s="8" t="s">
        <v>20</v>
      </c>
      <c r="T195">
        <v>0</v>
      </c>
      <c r="AC195">
        <v>1</v>
      </c>
    </row>
    <row r="196" spans="1:29" ht="30" customHeight="1" x14ac:dyDescent="0.3">
      <c r="A196" s="8" t="s">
        <v>189</v>
      </c>
      <c r="B196" s="8" t="s">
        <v>415</v>
      </c>
      <c r="C196" s="8" t="s">
        <v>412</v>
      </c>
      <c r="D196" s="8" t="s">
        <v>387</v>
      </c>
      <c r="E196" s="8" t="s">
        <v>179</v>
      </c>
      <c r="F196" s="9">
        <v>3</v>
      </c>
      <c r="G196" s="5">
        <f>TRUNC([1]단가대비표!O158,0)</f>
        <v>78090</v>
      </c>
      <c r="H196" s="5">
        <f t="shared" si="13"/>
        <v>234270</v>
      </c>
      <c r="I196" s="5">
        <v>0</v>
      </c>
      <c r="J196" s="5">
        <f t="shared" si="14"/>
        <v>0</v>
      </c>
      <c r="K196" s="5">
        <v>0</v>
      </c>
      <c r="L196" s="5">
        <f t="shared" si="15"/>
        <v>0</v>
      </c>
      <c r="M196" s="5">
        <f t="shared" si="17"/>
        <v>78090</v>
      </c>
      <c r="N196" s="5">
        <f t="shared" si="17"/>
        <v>234270</v>
      </c>
      <c r="O196" s="8" t="s">
        <v>20</v>
      </c>
      <c r="T196">
        <v>0</v>
      </c>
      <c r="AC196">
        <v>1</v>
      </c>
    </row>
    <row r="197" spans="1:29" ht="30" customHeight="1" x14ac:dyDescent="0.3">
      <c r="A197" s="8" t="s">
        <v>189</v>
      </c>
      <c r="B197" s="8" t="s">
        <v>416</v>
      </c>
      <c r="C197" s="8" t="s">
        <v>412</v>
      </c>
      <c r="D197" s="8" t="s">
        <v>417</v>
      </c>
      <c r="E197" s="8" t="s">
        <v>179</v>
      </c>
      <c r="F197" s="9">
        <v>1</v>
      </c>
      <c r="G197" s="5">
        <f>TRUNC([1]단가대비표!O160,0)</f>
        <v>4041</v>
      </c>
      <c r="H197" s="5">
        <f t="shared" si="13"/>
        <v>4041</v>
      </c>
      <c r="I197" s="5">
        <v>0</v>
      </c>
      <c r="J197" s="5">
        <f t="shared" si="14"/>
        <v>0</v>
      </c>
      <c r="K197" s="5">
        <v>0</v>
      </c>
      <c r="L197" s="5">
        <f t="shared" si="15"/>
        <v>0</v>
      </c>
      <c r="M197" s="5">
        <f t="shared" si="17"/>
        <v>4041</v>
      </c>
      <c r="N197" s="5">
        <f t="shared" si="17"/>
        <v>4041</v>
      </c>
      <c r="O197" s="8" t="s">
        <v>20</v>
      </c>
      <c r="T197">
        <v>0</v>
      </c>
      <c r="AC197">
        <v>1</v>
      </c>
    </row>
    <row r="198" spans="1:29" ht="30" customHeight="1" x14ac:dyDescent="0.3">
      <c r="A198" s="8" t="s">
        <v>189</v>
      </c>
      <c r="B198" s="8" t="s">
        <v>418</v>
      </c>
      <c r="C198" s="8" t="s">
        <v>412</v>
      </c>
      <c r="D198" s="8" t="s">
        <v>419</v>
      </c>
      <c r="E198" s="8" t="s">
        <v>179</v>
      </c>
      <c r="F198" s="9">
        <v>2</v>
      </c>
      <c r="G198" s="5">
        <f>TRUNC([1]단가대비표!O161,0)</f>
        <v>11473</v>
      </c>
      <c r="H198" s="5">
        <f t="shared" si="13"/>
        <v>22946</v>
      </c>
      <c r="I198" s="5">
        <v>0</v>
      </c>
      <c r="J198" s="5">
        <f t="shared" si="14"/>
        <v>0</v>
      </c>
      <c r="K198" s="5">
        <v>0</v>
      </c>
      <c r="L198" s="5">
        <f t="shared" si="15"/>
        <v>0</v>
      </c>
      <c r="M198" s="5">
        <f t="shared" si="17"/>
        <v>11473</v>
      </c>
      <c r="N198" s="5">
        <f t="shared" si="17"/>
        <v>22946</v>
      </c>
      <c r="O198" s="8" t="s">
        <v>20</v>
      </c>
      <c r="T198">
        <v>0</v>
      </c>
      <c r="AC198">
        <v>1</v>
      </c>
    </row>
    <row r="199" spans="1:29" ht="30" customHeight="1" x14ac:dyDescent="0.3">
      <c r="A199" s="8" t="s">
        <v>189</v>
      </c>
      <c r="B199" s="8" t="s">
        <v>420</v>
      </c>
      <c r="C199" s="8" t="s">
        <v>421</v>
      </c>
      <c r="D199" s="8" t="s">
        <v>422</v>
      </c>
      <c r="E199" s="8" t="s">
        <v>179</v>
      </c>
      <c r="F199" s="9">
        <v>2</v>
      </c>
      <c r="G199" s="5">
        <f>TRUNC([1]단가대비표!O148,0)</f>
        <v>34570</v>
      </c>
      <c r="H199" s="5">
        <f t="shared" si="13"/>
        <v>69140</v>
      </c>
      <c r="I199" s="5">
        <v>0</v>
      </c>
      <c r="J199" s="5">
        <f t="shared" si="14"/>
        <v>0</v>
      </c>
      <c r="K199" s="5">
        <v>0</v>
      </c>
      <c r="L199" s="5">
        <f t="shared" si="15"/>
        <v>0</v>
      </c>
      <c r="M199" s="5">
        <f t="shared" si="17"/>
        <v>34570</v>
      </c>
      <c r="N199" s="5">
        <f t="shared" si="17"/>
        <v>69140</v>
      </c>
      <c r="O199" s="8" t="s">
        <v>20</v>
      </c>
      <c r="T199">
        <v>0</v>
      </c>
      <c r="AC199">
        <v>1</v>
      </c>
    </row>
    <row r="200" spans="1:29" ht="30" customHeight="1" x14ac:dyDescent="0.3">
      <c r="A200" s="8" t="s">
        <v>189</v>
      </c>
      <c r="B200" s="8" t="s">
        <v>423</v>
      </c>
      <c r="C200" s="8" t="s">
        <v>421</v>
      </c>
      <c r="D200" s="8" t="s">
        <v>424</v>
      </c>
      <c r="E200" s="8" t="s">
        <v>179</v>
      </c>
      <c r="F200" s="9">
        <v>2</v>
      </c>
      <c r="G200" s="5">
        <f>TRUNC([1]단가대비표!O149,0)</f>
        <v>109680</v>
      </c>
      <c r="H200" s="5">
        <f t="shared" si="13"/>
        <v>219360</v>
      </c>
      <c r="I200" s="5">
        <v>0</v>
      </c>
      <c r="J200" s="5">
        <f t="shared" si="14"/>
        <v>0</v>
      </c>
      <c r="K200" s="5">
        <v>0</v>
      </c>
      <c r="L200" s="5">
        <f t="shared" si="15"/>
        <v>0</v>
      </c>
      <c r="M200" s="5">
        <f t="shared" si="17"/>
        <v>109680</v>
      </c>
      <c r="N200" s="5">
        <f t="shared" si="17"/>
        <v>219360</v>
      </c>
      <c r="O200" s="8" t="s">
        <v>20</v>
      </c>
      <c r="T200">
        <v>0</v>
      </c>
      <c r="AC200">
        <v>1</v>
      </c>
    </row>
    <row r="201" spans="1:29" ht="30" customHeight="1" x14ac:dyDescent="0.3">
      <c r="A201" s="8" t="s">
        <v>189</v>
      </c>
      <c r="B201" s="8" t="s">
        <v>425</v>
      </c>
      <c r="C201" s="8" t="s">
        <v>426</v>
      </c>
      <c r="D201" s="8" t="s">
        <v>427</v>
      </c>
      <c r="E201" s="8" t="s">
        <v>428</v>
      </c>
      <c r="F201" s="9">
        <v>2</v>
      </c>
      <c r="G201" s="5">
        <f>TRUNC([1]단가대비표!O729,0)</f>
        <v>508</v>
      </c>
      <c r="H201" s="5">
        <f t="shared" si="13"/>
        <v>1016</v>
      </c>
      <c r="I201" s="5">
        <v>24875</v>
      </c>
      <c r="J201" s="5">
        <f t="shared" si="14"/>
        <v>49750</v>
      </c>
      <c r="K201" s="5">
        <v>0</v>
      </c>
      <c r="L201" s="5">
        <f t="shared" si="15"/>
        <v>0</v>
      </c>
      <c r="M201" s="5">
        <f t="shared" si="17"/>
        <v>25383</v>
      </c>
      <c r="N201" s="5">
        <f t="shared" si="17"/>
        <v>50766</v>
      </c>
      <c r="O201" s="8" t="s">
        <v>429</v>
      </c>
      <c r="T201">
        <v>0</v>
      </c>
      <c r="AC201">
        <v>1</v>
      </c>
    </row>
    <row r="202" spans="1:29" ht="30" customHeight="1" x14ac:dyDescent="0.3">
      <c r="A202" s="8" t="s">
        <v>189</v>
      </c>
      <c r="B202" s="8" t="s">
        <v>430</v>
      </c>
      <c r="C202" s="8" t="s">
        <v>426</v>
      </c>
      <c r="D202" s="8" t="s">
        <v>431</v>
      </c>
      <c r="E202" s="8" t="s">
        <v>428</v>
      </c>
      <c r="F202" s="9">
        <v>2</v>
      </c>
      <c r="G202" s="5">
        <f>TRUNC([1]단가대비표!O730,0)</f>
        <v>3058</v>
      </c>
      <c r="H202" s="5">
        <f t="shared" si="13"/>
        <v>6116</v>
      </c>
      <c r="I202" s="5">
        <v>149834</v>
      </c>
      <c r="J202" s="5">
        <f t="shared" si="14"/>
        <v>299668</v>
      </c>
      <c r="K202" s="5">
        <v>0</v>
      </c>
      <c r="L202" s="5">
        <f t="shared" si="15"/>
        <v>0</v>
      </c>
      <c r="M202" s="5">
        <f t="shared" si="17"/>
        <v>152892</v>
      </c>
      <c r="N202" s="5">
        <f t="shared" si="17"/>
        <v>305784</v>
      </c>
      <c r="O202" s="8" t="s">
        <v>429</v>
      </c>
      <c r="T202">
        <v>0</v>
      </c>
      <c r="AC202">
        <v>1</v>
      </c>
    </row>
    <row r="203" spans="1:29" ht="30" customHeight="1" x14ac:dyDescent="0.3">
      <c r="A203" s="8" t="s">
        <v>189</v>
      </c>
      <c r="B203" s="8" t="s">
        <v>432</v>
      </c>
      <c r="C203" s="8" t="s">
        <v>433</v>
      </c>
      <c r="D203" s="8" t="s">
        <v>434</v>
      </c>
      <c r="E203" s="8" t="s">
        <v>179</v>
      </c>
      <c r="F203" s="9">
        <v>1</v>
      </c>
      <c r="G203" s="5">
        <f>TRUNC([1]단가대비표!O195,0)</f>
        <v>26510</v>
      </c>
      <c r="H203" s="5">
        <f t="shared" si="13"/>
        <v>26510</v>
      </c>
      <c r="I203" s="5">
        <v>0</v>
      </c>
      <c r="J203" s="5">
        <f t="shared" si="14"/>
        <v>0</v>
      </c>
      <c r="K203" s="5">
        <v>0</v>
      </c>
      <c r="L203" s="5">
        <f t="shared" si="15"/>
        <v>0</v>
      </c>
      <c r="M203" s="5">
        <f t="shared" si="17"/>
        <v>26510</v>
      </c>
      <c r="N203" s="5">
        <f t="shared" si="17"/>
        <v>26510</v>
      </c>
      <c r="O203" s="8" t="s">
        <v>20</v>
      </c>
      <c r="T203">
        <v>0</v>
      </c>
      <c r="AC203">
        <v>1</v>
      </c>
    </row>
    <row r="204" spans="1:29" ht="30" customHeight="1" x14ac:dyDescent="0.3">
      <c r="A204" s="8" t="s">
        <v>189</v>
      </c>
      <c r="B204" s="8" t="s">
        <v>435</v>
      </c>
      <c r="C204" s="8" t="s">
        <v>433</v>
      </c>
      <c r="D204" s="8" t="s">
        <v>436</v>
      </c>
      <c r="E204" s="8" t="s">
        <v>179</v>
      </c>
      <c r="F204" s="9">
        <v>1</v>
      </c>
      <c r="G204" s="5">
        <f>TRUNC([1]단가대비표!O199,0)</f>
        <v>62870</v>
      </c>
      <c r="H204" s="5">
        <f t="shared" si="13"/>
        <v>62870</v>
      </c>
      <c r="I204" s="5">
        <v>0</v>
      </c>
      <c r="J204" s="5">
        <f t="shared" si="14"/>
        <v>0</v>
      </c>
      <c r="K204" s="5">
        <v>0</v>
      </c>
      <c r="L204" s="5">
        <f t="shared" si="15"/>
        <v>0</v>
      </c>
      <c r="M204" s="5">
        <f t="shared" si="17"/>
        <v>62870</v>
      </c>
      <c r="N204" s="5">
        <f t="shared" si="17"/>
        <v>62870</v>
      </c>
      <c r="O204" s="8" t="s">
        <v>20</v>
      </c>
      <c r="T204">
        <v>0</v>
      </c>
      <c r="AC204">
        <v>1</v>
      </c>
    </row>
    <row r="205" spans="1:29" ht="30" customHeight="1" x14ac:dyDescent="0.3">
      <c r="A205" s="8" t="s">
        <v>189</v>
      </c>
      <c r="B205" s="8" t="s">
        <v>437</v>
      </c>
      <c r="C205" s="8" t="s">
        <v>438</v>
      </c>
      <c r="D205" s="8" t="s">
        <v>439</v>
      </c>
      <c r="E205" s="8" t="s">
        <v>185</v>
      </c>
      <c r="F205" s="9">
        <v>1</v>
      </c>
      <c r="G205" s="5" t="e">
        <f>'[2].xls].xls].xls].xls].xls].xls].xls].'!E113</f>
        <v>#REF!</v>
      </c>
      <c r="H205" s="5" t="e">
        <f t="shared" si="13"/>
        <v>#REF!</v>
      </c>
      <c r="I205" s="5" t="e">
        <f>'[2].xls].xls].xls].xls].xls].xls].xls].'!F113</f>
        <v>#REF!</v>
      </c>
      <c r="J205" s="5" t="e">
        <f t="shared" si="14"/>
        <v>#REF!</v>
      </c>
      <c r="K205" s="5" t="e">
        <f>'[2].xls].xls].xls].xls].xls].xls].xls].'!G113</f>
        <v>#REF!</v>
      </c>
      <c r="L205" s="5" t="e">
        <f t="shared" si="15"/>
        <v>#REF!</v>
      </c>
      <c r="M205" s="5" t="e">
        <f t="shared" si="17"/>
        <v>#REF!</v>
      </c>
      <c r="N205" s="5" t="e">
        <f t="shared" si="17"/>
        <v>#REF!</v>
      </c>
      <c r="O205" s="8" t="s">
        <v>437</v>
      </c>
      <c r="T205">
        <v>0</v>
      </c>
      <c r="AC205">
        <v>1</v>
      </c>
    </row>
    <row r="206" spans="1:29" ht="30" customHeight="1" x14ac:dyDescent="0.3">
      <c r="A206" s="8" t="s">
        <v>189</v>
      </c>
      <c r="B206" s="8" t="s">
        <v>440</v>
      </c>
      <c r="C206" s="8" t="s">
        <v>438</v>
      </c>
      <c r="D206" s="8" t="s">
        <v>441</v>
      </c>
      <c r="E206" s="8" t="s">
        <v>185</v>
      </c>
      <c r="F206" s="9">
        <v>1</v>
      </c>
      <c r="G206" s="5" t="e">
        <f>'[2].xls].xls].xls].xls].xls].xls].xls].'!E114</f>
        <v>#REF!</v>
      </c>
      <c r="H206" s="5" t="e">
        <f t="shared" si="13"/>
        <v>#REF!</v>
      </c>
      <c r="I206" s="5" t="e">
        <f>'[2].xls].xls].xls].xls].xls].xls].xls].'!F114</f>
        <v>#REF!</v>
      </c>
      <c r="J206" s="5" t="e">
        <f t="shared" si="14"/>
        <v>#REF!</v>
      </c>
      <c r="K206" s="5" t="e">
        <f>'[2].xls].xls].xls].xls].xls].xls].xls].'!G114</f>
        <v>#REF!</v>
      </c>
      <c r="L206" s="5" t="e">
        <f t="shared" si="15"/>
        <v>#REF!</v>
      </c>
      <c r="M206" s="5" t="e">
        <f t="shared" si="17"/>
        <v>#REF!</v>
      </c>
      <c r="N206" s="5" t="e">
        <f t="shared" si="17"/>
        <v>#REF!</v>
      </c>
      <c r="O206" s="8" t="s">
        <v>440</v>
      </c>
      <c r="T206">
        <v>0</v>
      </c>
      <c r="AC206">
        <v>1</v>
      </c>
    </row>
    <row r="207" spans="1:29" ht="30" customHeight="1" x14ac:dyDescent="0.3">
      <c r="A207" s="8" t="s">
        <v>189</v>
      </c>
      <c r="B207" s="8" t="s">
        <v>442</v>
      </c>
      <c r="C207" s="8" t="s">
        <v>443</v>
      </c>
      <c r="D207" s="8" t="s">
        <v>444</v>
      </c>
      <c r="E207" s="8" t="s">
        <v>179</v>
      </c>
      <c r="F207" s="9">
        <v>2</v>
      </c>
      <c r="G207" s="5">
        <f>TRUNC([1]단가대비표!O511,0)</f>
        <v>92000</v>
      </c>
      <c r="H207" s="5">
        <f t="shared" si="13"/>
        <v>184000</v>
      </c>
      <c r="I207" s="5">
        <v>0</v>
      </c>
      <c r="J207" s="5">
        <f t="shared" si="14"/>
        <v>0</v>
      </c>
      <c r="K207" s="5">
        <v>0</v>
      </c>
      <c r="L207" s="5">
        <f t="shared" si="15"/>
        <v>0</v>
      </c>
      <c r="M207" s="5">
        <f t="shared" si="17"/>
        <v>92000</v>
      </c>
      <c r="N207" s="5">
        <f t="shared" si="17"/>
        <v>184000</v>
      </c>
      <c r="O207" s="8" t="s">
        <v>20</v>
      </c>
      <c r="T207">
        <v>0</v>
      </c>
      <c r="AC207">
        <v>1</v>
      </c>
    </row>
    <row r="208" spans="1:29" ht="30" customHeight="1" x14ac:dyDescent="0.3">
      <c r="A208" s="8" t="s">
        <v>189</v>
      </c>
      <c r="B208" s="8" t="s">
        <v>445</v>
      </c>
      <c r="C208" s="8" t="s">
        <v>446</v>
      </c>
      <c r="D208" s="8" t="s">
        <v>447</v>
      </c>
      <c r="E208" s="8" t="s">
        <v>179</v>
      </c>
      <c r="F208" s="9">
        <v>2</v>
      </c>
      <c r="G208" s="5">
        <f>TRUNC([1]단가대비표!O1061,0)</f>
        <v>356240</v>
      </c>
      <c r="H208" s="5">
        <f t="shared" si="13"/>
        <v>712480</v>
      </c>
      <c r="I208" s="5">
        <v>0</v>
      </c>
      <c r="J208" s="5">
        <f t="shared" si="14"/>
        <v>0</v>
      </c>
      <c r="K208" s="5">
        <v>0</v>
      </c>
      <c r="L208" s="5">
        <f t="shared" si="15"/>
        <v>0</v>
      </c>
      <c r="M208" s="5">
        <f t="shared" si="17"/>
        <v>356240</v>
      </c>
      <c r="N208" s="5">
        <f t="shared" si="17"/>
        <v>712480</v>
      </c>
      <c r="O208" s="8" t="s">
        <v>20</v>
      </c>
      <c r="R208">
        <v>0</v>
      </c>
      <c r="S208">
        <v>0</v>
      </c>
      <c r="T208">
        <v>0</v>
      </c>
      <c r="AC208">
        <v>1</v>
      </c>
    </row>
    <row r="209" spans="1:29" ht="30" customHeight="1" x14ac:dyDescent="0.3">
      <c r="A209" s="8" t="s">
        <v>189</v>
      </c>
      <c r="B209" s="8" t="s">
        <v>448</v>
      </c>
      <c r="C209" s="8" t="s">
        <v>449</v>
      </c>
      <c r="D209" s="8" t="s">
        <v>450</v>
      </c>
      <c r="E209" s="8" t="s">
        <v>179</v>
      </c>
      <c r="F209" s="9">
        <v>3</v>
      </c>
      <c r="G209" s="5">
        <f>TRUNC([1]단가대비표!O544,0)</f>
        <v>336950</v>
      </c>
      <c r="H209" s="5">
        <f t="shared" si="13"/>
        <v>1010850</v>
      </c>
      <c r="I209" s="5">
        <v>0</v>
      </c>
      <c r="J209" s="5">
        <f t="shared" si="14"/>
        <v>0</v>
      </c>
      <c r="K209" s="5">
        <v>0</v>
      </c>
      <c r="L209" s="5">
        <f t="shared" si="15"/>
        <v>0</v>
      </c>
      <c r="M209" s="5">
        <f t="shared" si="17"/>
        <v>336950</v>
      </c>
      <c r="N209" s="5">
        <f t="shared" si="17"/>
        <v>1010850</v>
      </c>
      <c r="O209" s="8" t="s">
        <v>20</v>
      </c>
      <c r="T209">
        <v>0</v>
      </c>
      <c r="AC209">
        <v>1</v>
      </c>
    </row>
    <row r="210" spans="1:29" ht="30" customHeight="1" x14ac:dyDescent="0.3">
      <c r="A210" s="8" t="s">
        <v>189</v>
      </c>
      <c r="B210" s="8" t="s">
        <v>451</v>
      </c>
      <c r="C210" s="8" t="s">
        <v>452</v>
      </c>
      <c r="D210" s="8" t="s">
        <v>453</v>
      </c>
      <c r="E210" s="8" t="s">
        <v>428</v>
      </c>
      <c r="F210" s="9">
        <v>21</v>
      </c>
      <c r="G210" s="5">
        <f>TRUNC([1]단가대비표!O723,0)</f>
        <v>220</v>
      </c>
      <c r="H210" s="5">
        <f t="shared" si="13"/>
        <v>4620</v>
      </c>
      <c r="I210" s="5">
        <v>10733</v>
      </c>
      <c r="J210" s="5">
        <f t="shared" si="14"/>
        <v>225393</v>
      </c>
      <c r="K210" s="5">
        <v>0</v>
      </c>
      <c r="L210" s="5">
        <f t="shared" si="15"/>
        <v>0</v>
      </c>
      <c r="M210" s="5">
        <f t="shared" si="17"/>
        <v>10953</v>
      </c>
      <c r="N210" s="5">
        <f t="shared" si="17"/>
        <v>230013</v>
      </c>
      <c r="O210" s="8" t="s">
        <v>429</v>
      </c>
      <c r="T210">
        <v>0</v>
      </c>
      <c r="AC210">
        <v>1</v>
      </c>
    </row>
    <row r="211" spans="1:29" ht="30" customHeight="1" x14ac:dyDescent="0.3">
      <c r="A211" s="8" t="s">
        <v>189</v>
      </c>
      <c r="B211" s="8" t="s">
        <v>454</v>
      </c>
      <c r="C211" s="8" t="s">
        <v>452</v>
      </c>
      <c r="D211" s="8" t="s">
        <v>427</v>
      </c>
      <c r="E211" s="8" t="s">
        <v>428</v>
      </c>
      <c r="F211" s="9">
        <v>35</v>
      </c>
      <c r="G211" s="5">
        <f>TRUNC([1]단가대비표!O724,0)</f>
        <v>325</v>
      </c>
      <c r="H211" s="5">
        <f t="shared" ref="H211:H257" si="18">TRUNC(F211*G211,0)</f>
        <v>11375</v>
      </c>
      <c r="I211" s="5">
        <v>15886</v>
      </c>
      <c r="J211" s="5">
        <f t="shared" ref="J211:J257" si="19">TRUNC(F211*I211,0)</f>
        <v>556010</v>
      </c>
      <c r="K211" s="5">
        <v>0</v>
      </c>
      <c r="L211" s="5">
        <f t="shared" ref="L211:L257" si="20">TRUNC(F211*K211,0)</f>
        <v>0</v>
      </c>
      <c r="M211" s="5">
        <f t="shared" ref="M211:N242" si="21">G211+I211+K211</f>
        <v>16211</v>
      </c>
      <c r="N211" s="5">
        <f t="shared" si="21"/>
        <v>567385</v>
      </c>
      <c r="O211" s="8" t="s">
        <v>429</v>
      </c>
      <c r="R211">
        <v>0</v>
      </c>
      <c r="S211">
        <v>0</v>
      </c>
      <c r="T211">
        <v>0</v>
      </c>
      <c r="AC211">
        <v>1</v>
      </c>
    </row>
    <row r="212" spans="1:29" ht="30" customHeight="1" x14ac:dyDescent="0.3">
      <c r="A212" s="8" t="s">
        <v>189</v>
      </c>
      <c r="B212" s="8" t="s">
        <v>455</v>
      </c>
      <c r="C212" s="8" t="s">
        <v>452</v>
      </c>
      <c r="D212" s="8" t="s">
        <v>456</v>
      </c>
      <c r="E212" s="8" t="s">
        <v>428</v>
      </c>
      <c r="F212" s="9">
        <v>3</v>
      </c>
      <c r="G212" s="5">
        <f>TRUNC([1]단가대비표!O725,0)</f>
        <v>702</v>
      </c>
      <c r="H212" s="5">
        <f t="shared" si="18"/>
        <v>2106</v>
      </c>
      <c r="I212" s="5">
        <v>34385</v>
      </c>
      <c r="J212" s="5">
        <f t="shared" si="19"/>
        <v>103155</v>
      </c>
      <c r="K212" s="5">
        <v>0</v>
      </c>
      <c r="L212" s="5">
        <f t="shared" si="20"/>
        <v>0</v>
      </c>
      <c r="M212" s="5">
        <f t="shared" si="21"/>
        <v>35087</v>
      </c>
      <c r="N212" s="5">
        <f t="shared" si="21"/>
        <v>105261</v>
      </c>
      <c r="O212" s="8" t="s">
        <v>429</v>
      </c>
      <c r="R212">
        <v>0</v>
      </c>
      <c r="S212">
        <v>0</v>
      </c>
      <c r="T212">
        <v>0</v>
      </c>
      <c r="AC212">
        <v>1</v>
      </c>
    </row>
    <row r="213" spans="1:29" ht="30" customHeight="1" x14ac:dyDescent="0.3">
      <c r="A213" s="8" t="s">
        <v>189</v>
      </c>
      <c r="B213" s="8" t="s">
        <v>457</v>
      </c>
      <c r="C213" s="8" t="s">
        <v>452</v>
      </c>
      <c r="D213" s="8" t="s">
        <v>458</v>
      </c>
      <c r="E213" s="8" t="s">
        <v>428</v>
      </c>
      <c r="F213" s="9">
        <v>4</v>
      </c>
      <c r="G213" s="5">
        <f>TRUNC([1]단가대비표!O726,0)</f>
        <v>878</v>
      </c>
      <c r="H213" s="5">
        <f t="shared" si="18"/>
        <v>3512</v>
      </c>
      <c r="I213" s="5">
        <v>43003</v>
      </c>
      <c r="J213" s="5">
        <f t="shared" si="19"/>
        <v>172012</v>
      </c>
      <c r="K213" s="5">
        <v>0</v>
      </c>
      <c r="L213" s="5">
        <f t="shared" si="20"/>
        <v>0</v>
      </c>
      <c r="M213" s="5">
        <f t="shared" si="21"/>
        <v>43881</v>
      </c>
      <c r="N213" s="5">
        <f t="shared" si="21"/>
        <v>175524</v>
      </c>
      <c r="O213" s="8" t="s">
        <v>429</v>
      </c>
      <c r="R213">
        <v>0</v>
      </c>
      <c r="S213">
        <v>0</v>
      </c>
      <c r="T213">
        <v>0</v>
      </c>
      <c r="AC213">
        <v>1</v>
      </c>
    </row>
    <row r="214" spans="1:29" ht="30" customHeight="1" x14ac:dyDescent="0.3">
      <c r="A214" s="8" t="s">
        <v>189</v>
      </c>
      <c r="B214" s="8" t="s">
        <v>459</v>
      </c>
      <c r="C214" s="8" t="s">
        <v>452</v>
      </c>
      <c r="D214" s="8" t="s">
        <v>460</v>
      </c>
      <c r="E214" s="8" t="s">
        <v>428</v>
      </c>
      <c r="F214" s="9">
        <v>8</v>
      </c>
      <c r="G214" s="5">
        <f>TRUNC([1]단가대비표!O727,0)</f>
        <v>1267</v>
      </c>
      <c r="H214" s="5">
        <f t="shared" si="18"/>
        <v>10136</v>
      </c>
      <c r="I214" s="5">
        <v>62050</v>
      </c>
      <c r="J214" s="5">
        <f t="shared" si="19"/>
        <v>496400</v>
      </c>
      <c r="K214" s="5">
        <v>0</v>
      </c>
      <c r="L214" s="5">
        <f t="shared" si="20"/>
        <v>0</v>
      </c>
      <c r="M214" s="5">
        <f t="shared" si="21"/>
        <v>63317</v>
      </c>
      <c r="N214" s="5">
        <f t="shared" si="21"/>
        <v>506536</v>
      </c>
      <c r="O214" s="8" t="s">
        <v>429</v>
      </c>
      <c r="R214">
        <v>0</v>
      </c>
      <c r="S214">
        <v>0</v>
      </c>
      <c r="T214">
        <v>0</v>
      </c>
      <c r="AC214">
        <v>1</v>
      </c>
    </row>
    <row r="215" spans="1:29" ht="30" customHeight="1" x14ac:dyDescent="0.3">
      <c r="A215" s="8" t="s">
        <v>189</v>
      </c>
      <c r="B215" s="8" t="s">
        <v>461</v>
      </c>
      <c r="C215" s="8" t="s">
        <v>452</v>
      </c>
      <c r="D215" s="8" t="s">
        <v>462</v>
      </c>
      <c r="E215" s="8" t="s">
        <v>428</v>
      </c>
      <c r="F215" s="9">
        <v>4</v>
      </c>
      <c r="G215" s="5">
        <f>TRUNC([1]단가대비표!O728,0)</f>
        <v>1964</v>
      </c>
      <c r="H215" s="5">
        <f t="shared" si="18"/>
        <v>7856</v>
      </c>
      <c r="I215" s="5">
        <v>96189</v>
      </c>
      <c r="J215" s="5">
        <f t="shared" si="19"/>
        <v>384756</v>
      </c>
      <c r="K215" s="5">
        <v>0</v>
      </c>
      <c r="L215" s="5">
        <f t="shared" si="20"/>
        <v>0</v>
      </c>
      <c r="M215" s="5">
        <f t="shared" si="21"/>
        <v>98153</v>
      </c>
      <c r="N215" s="5">
        <f t="shared" si="21"/>
        <v>392612</v>
      </c>
      <c r="O215" s="8" t="s">
        <v>429</v>
      </c>
      <c r="R215">
        <v>0</v>
      </c>
      <c r="S215">
        <v>0</v>
      </c>
      <c r="T215">
        <v>0</v>
      </c>
      <c r="AC215">
        <v>1</v>
      </c>
    </row>
    <row r="216" spans="1:29" ht="30" customHeight="1" x14ac:dyDescent="0.3">
      <c r="A216" s="8" t="s">
        <v>189</v>
      </c>
      <c r="B216" s="8" t="s">
        <v>463</v>
      </c>
      <c r="C216" s="8" t="s">
        <v>464</v>
      </c>
      <c r="D216" s="8" t="s">
        <v>348</v>
      </c>
      <c r="E216" s="8" t="s">
        <v>179</v>
      </c>
      <c r="F216" s="9">
        <v>1</v>
      </c>
      <c r="G216" s="5">
        <f>TRUNC([1]단가대비표!O687,0)</f>
        <v>1848210</v>
      </c>
      <c r="H216" s="5">
        <f t="shared" si="18"/>
        <v>1848210</v>
      </c>
      <c r="I216" s="5">
        <v>0</v>
      </c>
      <c r="J216" s="5">
        <f t="shared" si="19"/>
        <v>0</v>
      </c>
      <c r="K216" s="5">
        <v>0</v>
      </c>
      <c r="L216" s="5">
        <f t="shared" si="20"/>
        <v>0</v>
      </c>
      <c r="M216" s="5">
        <f t="shared" si="21"/>
        <v>1848210</v>
      </c>
      <c r="N216" s="5">
        <f t="shared" si="21"/>
        <v>1848210</v>
      </c>
      <c r="O216" s="8" t="s">
        <v>20</v>
      </c>
      <c r="T216">
        <v>0</v>
      </c>
      <c r="AC216">
        <v>1</v>
      </c>
    </row>
    <row r="217" spans="1:29" ht="30" customHeight="1" x14ac:dyDescent="0.3">
      <c r="A217" s="8" t="s">
        <v>189</v>
      </c>
      <c r="B217" s="8" t="s">
        <v>465</v>
      </c>
      <c r="C217" s="8" t="s">
        <v>464</v>
      </c>
      <c r="D217" s="8" t="s">
        <v>352</v>
      </c>
      <c r="E217" s="8" t="s">
        <v>179</v>
      </c>
      <c r="F217" s="9">
        <v>1</v>
      </c>
      <c r="G217" s="5">
        <f>TRUNC([1]단가대비표!O688,0)</f>
        <v>2017540</v>
      </c>
      <c r="H217" s="5">
        <f t="shared" si="18"/>
        <v>2017540</v>
      </c>
      <c r="I217" s="5">
        <v>0</v>
      </c>
      <c r="J217" s="5">
        <f t="shared" si="19"/>
        <v>0</v>
      </c>
      <c r="K217" s="5">
        <v>0</v>
      </c>
      <c r="L217" s="5">
        <f t="shared" si="20"/>
        <v>0</v>
      </c>
      <c r="M217" s="5">
        <f t="shared" si="21"/>
        <v>2017540</v>
      </c>
      <c r="N217" s="5">
        <f t="shared" si="21"/>
        <v>2017540</v>
      </c>
      <c r="O217" s="8" t="s">
        <v>20</v>
      </c>
      <c r="T217">
        <v>0</v>
      </c>
      <c r="AC217">
        <v>1</v>
      </c>
    </row>
    <row r="218" spans="1:29" ht="30" customHeight="1" x14ac:dyDescent="0.3">
      <c r="A218" s="8" t="s">
        <v>189</v>
      </c>
      <c r="B218" s="8" t="s">
        <v>466</v>
      </c>
      <c r="C218" s="8" t="s">
        <v>467</v>
      </c>
      <c r="D218" s="8" t="s">
        <v>468</v>
      </c>
      <c r="E218" s="8" t="s">
        <v>185</v>
      </c>
      <c r="F218" s="9">
        <v>3</v>
      </c>
      <c r="G218" s="5" t="e">
        <f>'[2].xls].xls].xls].xls].xls].xls].xls].'!E76</f>
        <v>#REF!</v>
      </c>
      <c r="H218" s="5" t="e">
        <f t="shared" si="18"/>
        <v>#REF!</v>
      </c>
      <c r="I218" s="5" t="e">
        <f>'[2].xls].xls].xls].xls].xls].xls].xls].'!F76</f>
        <v>#REF!</v>
      </c>
      <c r="J218" s="5" t="e">
        <f t="shared" si="19"/>
        <v>#REF!</v>
      </c>
      <c r="K218" s="5" t="e">
        <f>'[2].xls].xls].xls].xls].xls].xls].xls].'!G76</f>
        <v>#REF!</v>
      </c>
      <c r="L218" s="5" t="e">
        <f t="shared" si="20"/>
        <v>#REF!</v>
      </c>
      <c r="M218" s="5" t="e">
        <f t="shared" si="21"/>
        <v>#REF!</v>
      </c>
      <c r="N218" s="5" t="e">
        <f t="shared" si="21"/>
        <v>#REF!</v>
      </c>
      <c r="O218" s="8" t="s">
        <v>466</v>
      </c>
      <c r="T218">
        <v>0</v>
      </c>
      <c r="AC218">
        <v>1</v>
      </c>
    </row>
    <row r="219" spans="1:29" ht="30" customHeight="1" x14ac:dyDescent="0.3">
      <c r="A219" s="8" t="s">
        <v>189</v>
      </c>
      <c r="B219" s="8" t="s">
        <v>469</v>
      </c>
      <c r="C219" s="8" t="s">
        <v>467</v>
      </c>
      <c r="D219" s="8" t="s">
        <v>470</v>
      </c>
      <c r="E219" s="8" t="s">
        <v>185</v>
      </c>
      <c r="F219" s="9">
        <v>2</v>
      </c>
      <c r="G219" s="5" t="e">
        <f>'[2].xls].xls].xls].xls].xls].xls].xls].'!E77</f>
        <v>#REF!</v>
      </c>
      <c r="H219" s="5" t="e">
        <f t="shared" si="18"/>
        <v>#REF!</v>
      </c>
      <c r="I219" s="5" t="e">
        <f>'[2].xls].xls].xls].xls].xls].xls].xls].'!F77</f>
        <v>#REF!</v>
      </c>
      <c r="J219" s="5" t="e">
        <f t="shared" si="19"/>
        <v>#REF!</v>
      </c>
      <c r="K219" s="5" t="e">
        <f>'[2].xls].xls].xls].xls].xls].xls].xls].'!G77</f>
        <v>#REF!</v>
      </c>
      <c r="L219" s="5" t="e">
        <f t="shared" si="20"/>
        <v>#REF!</v>
      </c>
      <c r="M219" s="5" t="e">
        <f t="shared" si="21"/>
        <v>#REF!</v>
      </c>
      <c r="N219" s="5" t="e">
        <f t="shared" si="21"/>
        <v>#REF!</v>
      </c>
      <c r="O219" s="8" t="s">
        <v>469</v>
      </c>
      <c r="T219">
        <v>0</v>
      </c>
      <c r="AC219">
        <v>1</v>
      </c>
    </row>
    <row r="220" spans="1:29" ht="30" customHeight="1" x14ac:dyDescent="0.3">
      <c r="A220" s="8" t="s">
        <v>189</v>
      </c>
      <c r="B220" s="8" t="s">
        <v>471</v>
      </c>
      <c r="C220" s="8" t="s">
        <v>467</v>
      </c>
      <c r="D220" s="8" t="s">
        <v>472</v>
      </c>
      <c r="E220" s="8" t="s">
        <v>185</v>
      </c>
      <c r="F220" s="9">
        <v>8</v>
      </c>
      <c r="G220" s="5" t="e">
        <f>'[2].xls].xls].xls].xls].xls].xls].xls].'!E78</f>
        <v>#REF!</v>
      </c>
      <c r="H220" s="5" t="e">
        <f t="shared" si="18"/>
        <v>#REF!</v>
      </c>
      <c r="I220" s="5" t="e">
        <f>'[2].xls].xls].xls].xls].xls].xls].xls].'!F78</f>
        <v>#REF!</v>
      </c>
      <c r="J220" s="5" t="e">
        <f t="shared" si="19"/>
        <v>#REF!</v>
      </c>
      <c r="K220" s="5" t="e">
        <f>'[2].xls].xls].xls].xls].xls].xls].xls].'!G78</f>
        <v>#REF!</v>
      </c>
      <c r="L220" s="5" t="e">
        <f t="shared" si="20"/>
        <v>#REF!</v>
      </c>
      <c r="M220" s="5" t="e">
        <f t="shared" si="21"/>
        <v>#REF!</v>
      </c>
      <c r="N220" s="5" t="e">
        <f t="shared" si="21"/>
        <v>#REF!</v>
      </c>
      <c r="O220" s="8" t="s">
        <v>471</v>
      </c>
      <c r="T220">
        <v>0</v>
      </c>
      <c r="AC220">
        <v>1</v>
      </c>
    </row>
    <row r="221" spans="1:29" ht="30" customHeight="1" x14ac:dyDescent="0.3">
      <c r="A221" s="8" t="s">
        <v>189</v>
      </c>
      <c r="B221" s="8" t="s">
        <v>473</v>
      </c>
      <c r="C221" s="8" t="s">
        <v>474</v>
      </c>
      <c r="D221" s="8" t="s">
        <v>475</v>
      </c>
      <c r="E221" s="8" t="s">
        <v>476</v>
      </c>
      <c r="F221" s="9">
        <v>8</v>
      </c>
      <c r="G221" s="5" t="e">
        <f>'[2].xls].xls].xls].xls].xls].xls].xls].'!E125</f>
        <v>#REF!</v>
      </c>
      <c r="H221" s="5" t="e">
        <f t="shared" si="18"/>
        <v>#REF!</v>
      </c>
      <c r="I221" s="5" t="e">
        <f>'[2].xls].xls].xls].xls].xls].xls].xls].'!F125</f>
        <v>#REF!</v>
      </c>
      <c r="J221" s="5" t="e">
        <f t="shared" si="19"/>
        <v>#REF!</v>
      </c>
      <c r="K221" s="5" t="e">
        <f>'[2].xls].xls].xls].xls].xls].xls].xls].'!G125</f>
        <v>#REF!</v>
      </c>
      <c r="L221" s="5" t="e">
        <f t="shared" si="20"/>
        <v>#REF!</v>
      </c>
      <c r="M221" s="5" t="e">
        <f t="shared" si="21"/>
        <v>#REF!</v>
      </c>
      <c r="N221" s="5" t="e">
        <f t="shared" si="21"/>
        <v>#REF!</v>
      </c>
      <c r="O221" s="8" t="s">
        <v>473</v>
      </c>
      <c r="T221">
        <v>0</v>
      </c>
      <c r="AC221">
        <v>1</v>
      </c>
    </row>
    <row r="222" spans="1:29" ht="30" customHeight="1" x14ac:dyDescent="0.3">
      <c r="A222" s="8" t="s">
        <v>189</v>
      </c>
      <c r="B222" s="8" t="s">
        <v>477</v>
      </c>
      <c r="C222" s="8" t="s">
        <v>478</v>
      </c>
      <c r="D222" s="8" t="s">
        <v>479</v>
      </c>
      <c r="E222" s="8" t="s">
        <v>476</v>
      </c>
      <c r="F222" s="9">
        <v>2</v>
      </c>
      <c r="G222" s="5" t="e">
        <f>'[2].xls].xls].xls].xls].xls].xls].xls].'!E126</f>
        <v>#REF!</v>
      </c>
      <c r="H222" s="5" t="e">
        <f t="shared" si="18"/>
        <v>#REF!</v>
      </c>
      <c r="I222" s="5" t="e">
        <f>'[2].xls].xls].xls].xls].xls].xls].xls].'!F126</f>
        <v>#REF!</v>
      </c>
      <c r="J222" s="5" t="e">
        <f t="shared" si="19"/>
        <v>#REF!</v>
      </c>
      <c r="K222" s="5" t="e">
        <f>'[2].xls].xls].xls].xls].xls].xls].xls].'!G126</f>
        <v>#REF!</v>
      </c>
      <c r="L222" s="5" t="e">
        <f t="shared" si="20"/>
        <v>#REF!</v>
      </c>
      <c r="M222" s="5" t="e">
        <f t="shared" si="21"/>
        <v>#REF!</v>
      </c>
      <c r="N222" s="5" t="e">
        <f t="shared" si="21"/>
        <v>#REF!</v>
      </c>
      <c r="O222" s="8" t="s">
        <v>477</v>
      </c>
      <c r="T222">
        <v>0</v>
      </c>
      <c r="AC222">
        <v>1</v>
      </c>
    </row>
    <row r="223" spans="1:29" ht="30" customHeight="1" x14ac:dyDescent="0.3">
      <c r="A223" s="8" t="s">
        <v>189</v>
      </c>
      <c r="B223" s="8" t="s">
        <v>480</v>
      </c>
      <c r="C223" s="8" t="s">
        <v>481</v>
      </c>
      <c r="D223" s="8" t="s">
        <v>184</v>
      </c>
      <c r="E223" s="8" t="s">
        <v>185</v>
      </c>
      <c r="F223" s="9">
        <v>4</v>
      </c>
      <c r="G223" s="5" t="e">
        <f>'[2].xls].xls].xls].xls].xls].xls].xls].'!E115</f>
        <v>#REF!</v>
      </c>
      <c r="H223" s="5" t="e">
        <f t="shared" si="18"/>
        <v>#REF!</v>
      </c>
      <c r="I223" s="5" t="e">
        <f>'[2].xls].xls].xls].xls].xls].xls].xls].'!F115</f>
        <v>#REF!</v>
      </c>
      <c r="J223" s="5" t="e">
        <f t="shared" si="19"/>
        <v>#REF!</v>
      </c>
      <c r="K223" s="5" t="e">
        <f>'[2].xls].xls].xls].xls].xls].xls].xls].'!G115</f>
        <v>#REF!</v>
      </c>
      <c r="L223" s="5" t="e">
        <f t="shared" si="20"/>
        <v>#REF!</v>
      </c>
      <c r="M223" s="5" t="e">
        <f t="shared" si="21"/>
        <v>#REF!</v>
      </c>
      <c r="N223" s="5" t="e">
        <f t="shared" si="21"/>
        <v>#REF!</v>
      </c>
      <c r="O223" s="8" t="s">
        <v>480</v>
      </c>
      <c r="T223">
        <v>0</v>
      </c>
      <c r="AC223">
        <v>1</v>
      </c>
    </row>
    <row r="224" spans="1:29" ht="30" customHeight="1" x14ac:dyDescent="0.3">
      <c r="A224" s="8" t="s">
        <v>189</v>
      </c>
      <c r="B224" s="8" t="s">
        <v>482</v>
      </c>
      <c r="C224" s="8" t="s">
        <v>483</v>
      </c>
      <c r="D224" s="8" t="s">
        <v>484</v>
      </c>
      <c r="E224" s="8" t="s">
        <v>185</v>
      </c>
      <c r="F224" s="9">
        <v>20</v>
      </c>
      <c r="G224" s="5" t="e">
        <f>'[2].xls].xls].xls].xls].xls].xls].xls].'!E48</f>
        <v>#REF!</v>
      </c>
      <c r="H224" s="5" t="e">
        <f t="shared" si="18"/>
        <v>#REF!</v>
      </c>
      <c r="I224" s="5" t="e">
        <f>'[2].xls].xls].xls].xls].xls].xls].xls].'!F48</f>
        <v>#REF!</v>
      </c>
      <c r="J224" s="5" t="e">
        <f t="shared" si="19"/>
        <v>#REF!</v>
      </c>
      <c r="K224" s="5" t="e">
        <f>'[2].xls].xls].xls].xls].xls].xls].xls].'!G48</f>
        <v>#REF!</v>
      </c>
      <c r="L224" s="5" t="e">
        <f t="shared" si="20"/>
        <v>#REF!</v>
      </c>
      <c r="M224" s="5" t="e">
        <f t="shared" si="21"/>
        <v>#REF!</v>
      </c>
      <c r="N224" s="5" t="e">
        <f t="shared" si="21"/>
        <v>#REF!</v>
      </c>
      <c r="O224" s="8" t="s">
        <v>482</v>
      </c>
      <c r="T224">
        <v>0</v>
      </c>
      <c r="AC224">
        <v>1</v>
      </c>
    </row>
    <row r="225" spans="1:29" ht="30" customHeight="1" x14ac:dyDescent="0.3">
      <c r="A225" s="8" t="s">
        <v>189</v>
      </c>
      <c r="B225" s="8" t="s">
        <v>485</v>
      </c>
      <c r="C225" s="8" t="s">
        <v>483</v>
      </c>
      <c r="D225" s="8" t="s">
        <v>444</v>
      </c>
      <c r="E225" s="8" t="s">
        <v>185</v>
      </c>
      <c r="F225" s="9">
        <v>16</v>
      </c>
      <c r="G225" s="5" t="e">
        <f>'[2].xls].xls].xls].xls].xls].xls].xls].'!E49</f>
        <v>#REF!</v>
      </c>
      <c r="H225" s="5" t="e">
        <f t="shared" si="18"/>
        <v>#REF!</v>
      </c>
      <c r="I225" s="5" t="e">
        <f>'[2].xls].xls].xls].xls].xls].xls].xls].'!F49</f>
        <v>#REF!</v>
      </c>
      <c r="J225" s="5" t="e">
        <f t="shared" si="19"/>
        <v>#REF!</v>
      </c>
      <c r="K225" s="5" t="e">
        <f>'[2].xls].xls].xls].xls].xls].xls].xls].'!G49</f>
        <v>#REF!</v>
      </c>
      <c r="L225" s="5" t="e">
        <f t="shared" si="20"/>
        <v>#REF!</v>
      </c>
      <c r="M225" s="5" t="e">
        <f t="shared" si="21"/>
        <v>#REF!</v>
      </c>
      <c r="N225" s="5" t="e">
        <f t="shared" si="21"/>
        <v>#REF!</v>
      </c>
      <c r="O225" s="8" t="s">
        <v>485</v>
      </c>
      <c r="T225">
        <v>0</v>
      </c>
      <c r="AC225">
        <v>1</v>
      </c>
    </row>
    <row r="226" spans="1:29" ht="30" customHeight="1" x14ac:dyDescent="0.3">
      <c r="A226" s="8" t="s">
        <v>189</v>
      </c>
      <c r="B226" s="8" t="s">
        <v>486</v>
      </c>
      <c r="C226" s="8" t="s">
        <v>483</v>
      </c>
      <c r="D226" s="8" t="s">
        <v>487</v>
      </c>
      <c r="E226" s="8" t="s">
        <v>185</v>
      </c>
      <c r="F226" s="9">
        <v>9</v>
      </c>
      <c r="G226" s="5" t="e">
        <f>'[2].xls].xls].xls].xls].xls].xls].xls].'!E50</f>
        <v>#REF!</v>
      </c>
      <c r="H226" s="5" t="e">
        <f t="shared" si="18"/>
        <v>#REF!</v>
      </c>
      <c r="I226" s="5" t="e">
        <f>'[2].xls].xls].xls].xls].xls].xls].xls].'!F50</f>
        <v>#REF!</v>
      </c>
      <c r="J226" s="5" t="e">
        <f t="shared" si="19"/>
        <v>#REF!</v>
      </c>
      <c r="K226" s="5" t="e">
        <f>'[2].xls].xls].xls].xls].xls].xls].xls].'!G50</f>
        <v>#REF!</v>
      </c>
      <c r="L226" s="5" t="e">
        <f t="shared" si="20"/>
        <v>#REF!</v>
      </c>
      <c r="M226" s="5" t="e">
        <f t="shared" si="21"/>
        <v>#REF!</v>
      </c>
      <c r="N226" s="5" t="e">
        <f t="shared" si="21"/>
        <v>#REF!</v>
      </c>
      <c r="O226" s="8" t="s">
        <v>486</v>
      </c>
      <c r="T226">
        <v>0</v>
      </c>
      <c r="AC226">
        <v>1</v>
      </c>
    </row>
    <row r="227" spans="1:29" ht="30" customHeight="1" x14ac:dyDescent="0.3">
      <c r="A227" s="8" t="s">
        <v>189</v>
      </c>
      <c r="B227" s="8" t="s">
        <v>488</v>
      </c>
      <c r="C227" s="8" t="s">
        <v>483</v>
      </c>
      <c r="D227" s="8" t="s">
        <v>489</v>
      </c>
      <c r="E227" s="8" t="s">
        <v>185</v>
      </c>
      <c r="F227" s="9">
        <v>1</v>
      </c>
      <c r="G227" s="5" t="e">
        <f>'[2].xls].xls].xls].xls].xls].xls].xls].'!E51</f>
        <v>#REF!</v>
      </c>
      <c r="H227" s="5" t="e">
        <f t="shared" si="18"/>
        <v>#REF!</v>
      </c>
      <c r="I227" s="5" t="e">
        <f>'[2].xls].xls].xls].xls].xls].xls].xls].'!F51</f>
        <v>#REF!</v>
      </c>
      <c r="J227" s="5" t="e">
        <f t="shared" si="19"/>
        <v>#REF!</v>
      </c>
      <c r="K227" s="5" t="e">
        <f>'[2].xls].xls].xls].xls].xls].xls].xls].'!G51</f>
        <v>#REF!</v>
      </c>
      <c r="L227" s="5" t="e">
        <f t="shared" si="20"/>
        <v>#REF!</v>
      </c>
      <c r="M227" s="5" t="e">
        <f t="shared" si="21"/>
        <v>#REF!</v>
      </c>
      <c r="N227" s="5" t="e">
        <f t="shared" si="21"/>
        <v>#REF!</v>
      </c>
      <c r="O227" s="8" t="s">
        <v>488</v>
      </c>
      <c r="T227">
        <v>0</v>
      </c>
      <c r="AC227">
        <v>1</v>
      </c>
    </row>
    <row r="228" spans="1:29" ht="30" customHeight="1" x14ac:dyDescent="0.3">
      <c r="A228" s="8" t="s">
        <v>189</v>
      </c>
      <c r="B228" s="8" t="s">
        <v>490</v>
      </c>
      <c r="C228" s="8" t="s">
        <v>483</v>
      </c>
      <c r="D228" s="8" t="s">
        <v>346</v>
      </c>
      <c r="E228" s="8" t="s">
        <v>185</v>
      </c>
      <c r="F228" s="9">
        <v>14</v>
      </c>
      <c r="G228" s="5" t="e">
        <f>'[2].xls].xls].xls].xls].xls].xls].xls].'!E52</f>
        <v>#REF!</v>
      </c>
      <c r="H228" s="5" t="e">
        <f t="shared" si="18"/>
        <v>#REF!</v>
      </c>
      <c r="I228" s="5" t="e">
        <f>'[2].xls].xls].xls].xls].xls].xls].xls].'!F52</f>
        <v>#REF!</v>
      </c>
      <c r="J228" s="5" t="e">
        <f t="shared" si="19"/>
        <v>#REF!</v>
      </c>
      <c r="K228" s="5" t="e">
        <f>'[2].xls].xls].xls].xls].xls].xls].xls].'!G52</f>
        <v>#REF!</v>
      </c>
      <c r="L228" s="5" t="e">
        <f t="shared" si="20"/>
        <v>#REF!</v>
      </c>
      <c r="M228" s="5" t="e">
        <f t="shared" si="21"/>
        <v>#REF!</v>
      </c>
      <c r="N228" s="5" t="e">
        <f t="shared" si="21"/>
        <v>#REF!</v>
      </c>
      <c r="O228" s="8" t="s">
        <v>490</v>
      </c>
      <c r="T228">
        <v>0</v>
      </c>
      <c r="AC228">
        <v>1</v>
      </c>
    </row>
    <row r="229" spans="1:29" ht="30" customHeight="1" x14ac:dyDescent="0.3">
      <c r="A229" s="8" t="s">
        <v>189</v>
      </c>
      <c r="B229" s="8" t="s">
        <v>491</v>
      </c>
      <c r="C229" s="8" t="s">
        <v>483</v>
      </c>
      <c r="D229" s="8" t="s">
        <v>447</v>
      </c>
      <c r="E229" s="8" t="s">
        <v>185</v>
      </c>
      <c r="F229" s="9">
        <v>18</v>
      </c>
      <c r="G229" s="5" t="e">
        <f>'[2].xls].xls].xls].xls].xls].xls].xls].'!E54</f>
        <v>#REF!</v>
      </c>
      <c r="H229" s="5" t="e">
        <f t="shared" si="18"/>
        <v>#REF!</v>
      </c>
      <c r="I229" s="5" t="e">
        <f>'[2].xls].xls].xls].xls].xls].xls].xls].'!F54</f>
        <v>#REF!</v>
      </c>
      <c r="J229" s="5" t="e">
        <f t="shared" si="19"/>
        <v>#REF!</v>
      </c>
      <c r="K229" s="5" t="e">
        <f>'[2].xls].xls].xls].xls].xls].xls].xls].'!G54</f>
        <v>#REF!</v>
      </c>
      <c r="L229" s="5" t="e">
        <f t="shared" si="20"/>
        <v>#REF!</v>
      </c>
      <c r="M229" s="5" t="e">
        <f t="shared" si="21"/>
        <v>#REF!</v>
      </c>
      <c r="N229" s="5" t="e">
        <f t="shared" si="21"/>
        <v>#REF!</v>
      </c>
      <c r="O229" s="8" t="s">
        <v>491</v>
      </c>
      <c r="T229">
        <v>0</v>
      </c>
      <c r="AC229">
        <v>1</v>
      </c>
    </row>
    <row r="230" spans="1:29" ht="30" customHeight="1" x14ac:dyDescent="0.3">
      <c r="A230" s="8" t="s">
        <v>189</v>
      </c>
      <c r="B230" s="8" t="s">
        <v>492</v>
      </c>
      <c r="C230" s="8" t="s">
        <v>483</v>
      </c>
      <c r="D230" s="8" t="s">
        <v>348</v>
      </c>
      <c r="E230" s="8" t="s">
        <v>185</v>
      </c>
      <c r="F230" s="9">
        <v>13</v>
      </c>
      <c r="G230" s="5" t="e">
        <f>'[2].xls].xls].xls].xls].xls].xls].xls].'!E55</f>
        <v>#REF!</v>
      </c>
      <c r="H230" s="5" t="e">
        <f t="shared" si="18"/>
        <v>#REF!</v>
      </c>
      <c r="I230" s="5" t="e">
        <f>'[2].xls].xls].xls].xls].xls].xls].xls].'!F55</f>
        <v>#REF!</v>
      </c>
      <c r="J230" s="5" t="e">
        <f t="shared" si="19"/>
        <v>#REF!</v>
      </c>
      <c r="K230" s="5" t="e">
        <f>'[2].xls].xls].xls].xls].xls].xls].xls].'!G55</f>
        <v>#REF!</v>
      </c>
      <c r="L230" s="5" t="e">
        <f t="shared" si="20"/>
        <v>#REF!</v>
      </c>
      <c r="M230" s="5" t="e">
        <f t="shared" si="21"/>
        <v>#REF!</v>
      </c>
      <c r="N230" s="5" t="e">
        <f t="shared" si="21"/>
        <v>#REF!</v>
      </c>
      <c r="O230" s="8" t="s">
        <v>492</v>
      </c>
      <c r="T230">
        <v>0</v>
      </c>
      <c r="AC230">
        <v>1</v>
      </c>
    </row>
    <row r="231" spans="1:29" ht="30" customHeight="1" x14ac:dyDescent="0.3">
      <c r="A231" s="8" t="s">
        <v>189</v>
      </c>
      <c r="B231" s="8" t="s">
        <v>493</v>
      </c>
      <c r="C231" s="8" t="s">
        <v>494</v>
      </c>
      <c r="D231" s="8" t="s">
        <v>495</v>
      </c>
      <c r="E231" s="8" t="s">
        <v>179</v>
      </c>
      <c r="F231" s="9">
        <v>3</v>
      </c>
      <c r="G231" s="5">
        <f>TRUNC([1]단가대비표!O560,0)</f>
        <v>410</v>
      </c>
      <c r="H231" s="5">
        <f t="shared" si="18"/>
        <v>1230</v>
      </c>
      <c r="I231" s="5">
        <v>0</v>
      </c>
      <c r="J231" s="5">
        <f t="shared" si="19"/>
        <v>0</v>
      </c>
      <c r="K231" s="5">
        <v>0</v>
      </c>
      <c r="L231" s="5">
        <f t="shared" si="20"/>
        <v>0</v>
      </c>
      <c r="M231" s="5">
        <f t="shared" si="21"/>
        <v>410</v>
      </c>
      <c r="N231" s="5">
        <f t="shared" si="21"/>
        <v>1230</v>
      </c>
      <c r="O231" s="8" t="s">
        <v>20</v>
      </c>
      <c r="T231">
        <v>0</v>
      </c>
      <c r="AC231">
        <v>1</v>
      </c>
    </row>
    <row r="232" spans="1:29" ht="30" customHeight="1" x14ac:dyDescent="0.3">
      <c r="A232" s="8" t="s">
        <v>189</v>
      </c>
      <c r="B232" s="8" t="s">
        <v>496</v>
      </c>
      <c r="C232" s="8" t="s">
        <v>494</v>
      </c>
      <c r="D232" s="8" t="s">
        <v>497</v>
      </c>
      <c r="E232" s="8" t="s">
        <v>179</v>
      </c>
      <c r="F232" s="9">
        <v>6</v>
      </c>
      <c r="G232" s="5">
        <f>TRUNC([1]단가대비표!O561,0)</f>
        <v>450</v>
      </c>
      <c r="H232" s="5">
        <f t="shared" si="18"/>
        <v>2700</v>
      </c>
      <c r="I232" s="5">
        <v>0</v>
      </c>
      <c r="J232" s="5">
        <f t="shared" si="19"/>
        <v>0</v>
      </c>
      <c r="K232" s="5">
        <v>0</v>
      </c>
      <c r="L232" s="5">
        <f t="shared" si="20"/>
        <v>0</v>
      </c>
      <c r="M232" s="5">
        <f t="shared" si="21"/>
        <v>450</v>
      </c>
      <c r="N232" s="5">
        <f t="shared" si="21"/>
        <v>2700</v>
      </c>
      <c r="O232" s="8" t="s">
        <v>20</v>
      </c>
      <c r="T232">
        <v>0</v>
      </c>
      <c r="AC232">
        <v>1</v>
      </c>
    </row>
    <row r="233" spans="1:29" ht="30" customHeight="1" x14ac:dyDescent="0.3">
      <c r="A233" s="8" t="s">
        <v>189</v>
      </c>
      <c r="B233" s="8" t="s">
        <v>498</v>
      </c>
      <c r="C233" s="8" t="s">
        <v>494</v>
      </c>
      <c r="D233" s="8" t="s">
        <v>499</v>
      </c>
      <c r="E233" s="8" t="s">
        <v>179</v>
      </c>
      <c r="F233" s="9">
        <v>1</v>
      </c>
      <c r="G233" s="5">
        <f>TRUNC([1]단가대비표!O562,0)</f>
        <v>520</v>
      </c>
      <c r="H233" s="5">
        <f t="shared" si="18"/>
        <v>520</v>
      </c>
      <c r="I233" s="5">
        <v>0</v>
      </c>
      <c r="J233" s="5">
        <f t="shared" si="19"/>
        <v>0</v>
      </c>
      <c r="K233" s="5">
        <v>0</v>
      </c>
      <c r="L233" s="5">
        <f t="shared" si="20"/>
        <v>0</v>
      </c>
      <c r="M233" s="5">
        <f t="shared" si="21"/>
        <v>520</v>
      </c>
      <c r="N233" s="5">
        <f t="shared" si="21"/>
        <v>520</v>
      </c>
      <c r="O233" s="8" t="s">
        <v>20</v>
      </c>
      <c r="T233">
        <v>0</v>
      </c>
      <c r="AC233">
        <v>1</v>
      </c>
    </row>
    <row r="234" spans="1:29" ht="30" customHeight="1" x14ac:dyDescent="0.3">
      <c r="A234" s="8" t="s">
        <v>189</v>
      </c>
      <c r="B234" s="8" t="s">
        <v>500</v>
      </c>
      <c r="C234" s="8" t="s">
        <v>494</v>
      </c>
      <c r="D234" s="8" t="s">
        <v>501</v>
      </c>
      <c r="E234" s="8" t="s">
        <v>179</v>
      </c>
      <c r="F234" s="9">
        <v>3</v>
      </c>
      <c r="G234" s="5">
        <f>TRUNC([1]단가대비표!O563,0)</f>
        <v>630</v>
      </c>
      <c r="H234" s="5">
        <f t="shared" si="18"/>
        <v>1890</v>
      </c>
      <c r="I234" s="5">
        <v>0</v>
      </c>
      <c r="J234" s="5">
        <f t="shared" si="19"/>
        <v>0</v>
      </c>
      <c r="K234" s="5">
        <v>0</v>
      </c>
      <c r="L234" s="5">
        <f t="shared" si="20"/>
        <v>0</v>
      </c>
      <c r="M234" s="5">
        <f t="shared" si="21"/>
        <v>630</v>
      </c>
      <c r="N234" s="5">
        <f t="shared" si="21"/>
        <v>1890</v>
      </c>
      <c r="O234" s="8" t="s">
        <v>20</v>
      </c>
      <c r="T234">
        <v>0</v>
      </c>
      <c r="AC234">
        <v>1</v>
      </c>
    </row>
    <row r="235" spans="1:29" ht="30" customHeight="1" x14ac:dyDescent="0.3">
      <c r="A235" s="8" t="s">
        <v>189</v>
      </c>
      <c r="B235" s="8" t="s">
        <v>502</v>
      </c>
      <c r="C235" s="8" t="s">
        <v>494</v>
      </c>
      <c r="D235" s="8" t="s">
        <v>503</v>
      </c>
      <c r="E235" s="8" t="s">
        <v>179</v>
      </c>
      <c r="F235" s="9">
        <v>11</v>
      </c>
      <c r="G235" s="5">
        <f>TRUNC([1]단가대비표!O565,0)</f>
        <v>880</v>
      </c>
      <c r="H235" s="5">
        <f t="shared" si="18"/>
        <v>9680</v>
      </c>
      <c r="I235" s="5">
        <v>0</v>
      </c>
      <c r="J235" s="5">
        <f t="shared" si="19"/>
        <v>0</v>
      </c>
      <c r="K235" s="5">
        <v>0</v>
      </c>
      <c r="L235" s="5">
        <f t="shared" si="20"/>
        <v>0</v>
      </c>
      <c r="M235" s="5">
        <f t="shared" si="21"/>
        <v>880</v>
      </c>
      <c r="N235" s="5">
        <f t="shared" si="21"/>
        <v>9680</v>
      </c>
      <c r="O235" s="8" t="s">
        <v>20</v>
      </c>
      <c r="T235">
        <v>0</v>
      </c>
      <c r="AC235">
        <v>1</v>
      </c>
    </row>
    <row r="236" spans="1:29" ht="30" customHeight="1" x14ac:dyDescent="0.3">
      <c r="A236" s="8" t="s">
        <v>189</v>
      </c>
      <c r="B236" s="8" t="s">
        <v>504</v>
      </c>
      <c r="C236" s="8" t="s">
        <v>494</v>
      </c>
      <c r="D236" s="8" t="s">
        <v>505</v>
      </c>
      <c r="E236" s="8" t="s">
        <v>179</v>
      </c>
      <c r="F236" s="9">
        <v>4</v>
      </c>
      <c r="G236" s="5">
        <f>TRUNC([1]단가대비표!O567,0)</f>
        <v>1890</v>
      </c>
      <c r="H236" s="5">
        <f t="shared" si="18"/>
        <v>7560</v>
      </c>
      <c r="I236" s="5">
        <v>0</v>
      </c>
      <c r="J236" s="5">
        <f t="shared" si="19"/>
        <v>0</v>
      </c>
      <c r="K236" s="5">
        <v>0</v>
      </c>
      <c r="L236" s="5">
        <f t="shared" si="20"/>
        <v>0</v>
      </c>
      <c r="M236" s="5">
        <f t="shared" si="21"/>
        <v>1890</v>
      </c>
      <c r="N236" s="5">
        <f t="shared" si="21"/>
        <v>7560</v>
      </c>
      <c r="O236" s="8" t="s">
        <v>20</v>
      </c>
      <c r="T236">
        <v>0</v>
      </c>
      <c r="AC236">
        <v>1</v>
      </c>
    </row>
    <row r="237" spans="1:29" ht="30" customHeight="1" x14ac:dyDescent="0.3">
      <c r="A237" s="8" t="s">
        <v>189</v>
      </c>
      <c r="B237" s="8" t="s">
        <v>506</v>
      </c>
      <c r="C237" s="8" t="s">
        <v>507</v>
      </c>
      <c r="D237" s="8" t="s">
        <v>508</v>
      </c>
      <c r="E237" s="8" t="s">
        <v>179</v>
      </c>
      <c r="F237" s="9">
        <v>1</v>
      </c>
      <c r="G237" s="5">
        <f>TRUNC([1]단가대비표!O164,0)</f>
        <v>22320</v>
      </c>
      <c r="H237" s="5">
        <f t="shared" si="18"/>
        <v>22320</v>
      </c>
      <c r="I237" s="5">
        <v>0</v>
      </c>
      <c r="J237" s="5">
        <f t="shared" si="19"/>
        <v>0</v>
      </c>
      <c r="K237" s="5">
        <v>0</v>
      </c>
      <c r="L237" s="5">
        <f t="shared" si="20"/>
        <v>0</v>
      </c>
      <c r="M237" s="5">
        <f t="shared" si="21"/>
        <v>22320</v>
      </c>
      <c r="N237" s="5">
        <f t="shared" si="21"/>
        <v>22320</v>
      </c>
      <c r="O237" s="8" t="s">
        <v>20</v>
      </c>
      <c r="T237">
        <v>0</v>
      </c>
      <c r="AC237">
        <v>1</v>
      </c>
    </row>
    <row r="238" spans="1:29" ht="30" customHeight="1" x14ac:dyDescent="0.3">
      <c r="A238" s="8" t="s">
        <v>189</v>
      </c>
      <c r="B238" s="8" t="s">
        <v>509</v>
      </c>
      <c r="C238" s="8" t="s">
        <v>507</v>
      </c>
      <c r="D238" s="8" t="s">
        <v>510</v>
      </c>
      <c r="E238" s="8" t="s">
        <v>179</v>
      </c>
      <c r="F238" s="9">
        <v>2</v>
      </c>
      <c r="G238" s="5">
        <f>TRUNC([1]단가대비표!O166,0)</f>
        <v>24350</v>
      </c>
      <c r="H238" s="5">
        <f t="shared" si="18"/>
        <v>48700</v>
      </c>
      <c r="I238" s="5">
        <v>0</v>
      </c>
      <c r="J238" s="5">
        <f t="shared" si="19"/>
        <v>0</v>
      </c>
      <c r="K238" s="5">
        <v>0</v>
      </c>
      <c r="L238" s="5">
        <f t="shared" si="20"/>
        <v>0</v>
      </c>
      <c r="M238" s="5">
        <f t="shared" si="21"/>
        <v>24350</v>
      </c>
      <c r="N238" s="5">
        <f t="shared" si="21"/>
        <v>48700</v>
      </c>
      <c r="O238" s="8" t="s">
        <v>20</v>
      </c>
      <c r="T238">
        <v>0</v>
      </c>
      <c r="AC238">
        <v>1</v>
      </c>
    </row>
    <row r="239" spans="1:29" ht="30" customHeight="1" x14ac:dyDescent="0.3">
      <c r="A239" s="8" t="s">
        <v>189</v>
      </c>
      <c r="B239" s="8" t="s">
        <v>511</v>
      </c>
      <c r="C239" s="8" t="s">
        <v>507</v>
      </c>
      <c r="D239" s="8" t="s">
        <v>512</v>
      </c>
      <c r="E239" s="8" t="s">
        <v>179</v>
      </c>
      <c r="F239" s="9">
        <v>1</v>
      </c>
      <c r="G239" s="5">
        <f>TRUNC([1]단가대비표!O168,0)</f>
        <v>36530</v>
      </c>
      <c r="H239" s="5">
        <f t="shared" si="18"/>
        <v>36530</v>
      </c>
      <c r="I239" s="5">
        <v>0</v>
      </c>
      <c r="J239" s="5">
        <f t="shared" si="19"/>
        <v>0</v>
      </c>
      <c r="K239" s="5">
        <v>0</v>
      </c>
      <c r="L239" s="5">
        <f t="shared" si="20"/>
        <v>0</v>
      </c>
      <c r="M239" s="5">
        <f t="shared" si="21"/>
        <v>36530</v>
      </c>
      <c r="N239" s="5">
        <f t="shared" si="21"/>
        <v>36530</v>
      </c>
      <c r="O239" s="8" t="s">
        <v>20</v>
      </c>
      <c r="T239">
        <v>0</v>
      </c>
      <c r="AC239">
        <v>1</v>
      </c>
    </row>
    <row r="240" spans="1:29" ht="30" customHeight="1" x14ac:dyDescent="0.3">
      <c r="A240" s="8" t="s">
        <v>189</v>
      </c>
      <c r="B240" s="8" t="s">
        <v>513</v>
      </c>
      <c r="C240" s="8" t="s">
        <v>507</v>
      </c>
      <c r="D240" s="8" t="s">
        <v>514</v>
      </c>
      <c r="E240" s="8" t="s">
        <v>179</v>
      </c>
      <c r="F240" s="9">
        <v>9</v>
      </c>
      <c r="G240" s="5">
        <f>TRUNC([1]단가대비표!O179,0)</f>
        <v>7510</v>
      </c>
      <c r="H240" s="5">
        <f t="shared" si="18"/>
        <v>67590</v>
      </c>
      <c r="I240" s="5">
        <v>0</v>
      </c>
      <c r="J240" s="5">
        <f t="shared" si="19"/>
        <v>0</v>
      </c>
      <c r="K240" s="5">
        <v>0</v>
      </c>
      <c r="L240" s="5">
        <f t="shared" si="20"/>
        <v>0</v>
      </c>
      <c r="M240" s="5">
        <f t="shared" si="21"/>
        <v>7510</v>
      </c>
      <c r="N240" s="5">
        <f t="shared" si="21"/>
        <v>67590</v>
      </c>
      <c r="O240" s="8" t="s">
        <v>20</v>
      </c>
      <c r="T240">
        <v>0</v>
      </c>
      <c r="AC240">
        <v>1</v>
      </c>
    </row>
    <row r="241" spans="1:29" ht="30" customHeight="1" x14ac:dyDescent="0.3">
      <c r="A241" s="8" t="s">
        <v>189</v>
      </c>
      <c r="B241" s="8" t="s">
        <v>515</v>
      </c>
      <c r="C241" s="8" t="s">
        <v>507</v>
      </c>
      <c r="D241" s="8" t="s">
        <v>516</v>
      </c>
      <c r="E241" s="8" t="s">
        <v>179</v>
      </c>
      <c r="F241" s="9">
        <v>6</v>
      </c>
      <c r="G241" s="5">
        <f>TRUNC([1]단가대비표!O180,0)</f>
        <v>8270</v>
      </c>
      <c r="H241" s="5">
        <f t="shared" si="18"/>
        <v>49620</v>
      </c>
      <c r="I241" s="5">
        <v>0</v>
      </c>
      <c r="J241" s="5">
        <f t="shared" si="19"/>
        <v>0</v>
      </c>
      <c r="K241" s="5">
        <v>0</v>
      </c>
      <c r="L241" s="5">
        <f t="shared" si="20"/>
        <v>0</v>
      </c>
      <c r="M241" s="5">
        <f t="shared" si="21"/>
        <v>8270</v>
      </c>
      <c r="N241" s="5">
        <f t="shared" si="21"/>
        <v>49620</v>
      </c>
      <c r="O241" s="8" t="s">
        <v>20</v>
      </c>
      <c r="T241">
        <v>0</v>
      </c>
      <c r="AC241">
        <v>1</v>
      </c>
    </row>
    <row r="242" spans="1:29" ht="30" customHeight="1" x14ac:dyDescent="0.3">
      <c r="A242" s="8" t="s">
        <v>189</v>
      </c>
      <c r="B242" s="8" t="s">
        <v>517</v>
      </c>
      <c r="C242" s="8" t="s">
        <v>507</v>
      </c>
      <c r="D242" s="8" t="s">
        <v>518</v>
      </c>
      <c r="E242" s="8" t="s">
        <v>179</v>
      </c>
      <c r="F242" s="9">
        <v>1</v>
      </c>
      <c r="G242" s="5">
        <f>TRUNC([1]단가대비표!O181,0)</f>
        <v>8270</v>
      </c>
      <c r="H242" s="5">
        <f t="shared" si="18"/>
        <v>8270</v>
      </c>
      <c r="I242" s="5">
        <v>0</v>
      </c>
      <c r="J242" s="5">
        <f t="shared" si="19"/>
        <v>0</v>
      </c>
      <c r="K242" s="5">
        <v>0</v>
      </c>
      <c r="L242" s="5">
        <f t="shared" si="20"/>
        <v>0</v>
      </c>
      <c r="M242" s="5">
        <f t="shared" si="21"/>
        <v>8270</v>
      </c>
      <c r="N242" s="5">
        <f t="shared" si="21"/>
        <v>8270</v>
      </c>
      <c r="O242" s="8" t="s">
        <v>20</v>
      </c>
      <c r="T242">
        <v>0</v>
      </c>
      <c r="AC242">
        <v>1</v>
      </c>
    </row>
    <row r="243" spans="1:29" ht="30" customHeight="1" x14ac:dyDescent="0.3">
      <c r="A243" s="8" t="s">
        <v>189</v>
      </c>
      <c r="B243" s="8" t="s">
        <v>519</v>
      </c>
      <c r="C243" s="8" t="s">
        <v>507</v>
      </c>
      <c r="D243" s="8" t="s">
        <v>520</v>
      </c>
      <c r="E243" s="8" t="s">
        <v>179</v>
      </c>
      <c r="F243" s="9">
        <v>17</v>
      </c>
      <c r="G243" s="5">
        <f>TRUNC([1]단가대비표!O182,0)</f>
        <v>9770</v>
      </c>
      <c r="H243" s="5">
        <f t="shared" si="18"/>
        <v>166090</v>
      </c>
      <c r="I243" s="5">
        <v>0</v>
      </c>
      <c r="J243" s="5">
        <f t="shared" si="19"/>
        <v>0</v>
      </c>
      <c r="K243" s="5">
        <v>0</v>
      </c>
      <c r="L243" s="5">
        <f t="shared" si="20"/>
        <v>0</v>
      </c>
      <c r="M243" s="5">
        <f t="shared" ref="M243:N257" si="22">G243+I243+K243</f>
        <v>9770</v>
      </c>
      <c r="N243" s="5">
        <f t="shared" si="22"/>
        <v>166090</v>
      </c>
      <c r="O243" s="8" t="s">
        <v>20</v>
      </c>
      <c r="T243">
        <v>0</v>
      </c>
      <c r="AC243">
        <v>1</v>
      </c>
    </row>
    <row r="244" spans="1:29" ht="30" customHeight="1" x14ac:dyDescent="0.3">
      <c r="A244" s="8" t="s">
        <v>189</v>
      </c>
      <c r="B244" s="8" t="s">
        <v>521</v>
      </c>
      <c r="C244" s="8" t="s">
        <v>507</v>
      </c>
      <c r="D244" s="8" t="s">
        <v>522</v>
      </c>
      <c r="E244" s="8" t="s">
        <v>179</v>
      </c>
      <c r="F244" s="9">
        <v>2</v>
      </c>
      <c r="G244" s="5">
        <f>TRUNC([1]단가대비표!O183,0)</f>
        <v>10510</v>
      </c>
      <c r="H244" s="5">
        <f t="shared" si="18"/>
        <v>21020</v>
      </c>
      <c r="I244" s="5">
        <v>0</v>
      </c>
      <c r="J244" s="5">
        <f t="shared" si="19"/>
        <v>0</v>
      </c>
      <c r="K244" s="5">
        <v>0</v>
      </c>
      <c r="L244" s="5">
        <f t="shared" si="20"/>
        <v>0</v>
      </c>
      <c r="M244" s="5">
        <f t="shared" si="22"/>
        <v>10510</v>
      </c>
      <c r="N244" s="5">
        <f t="shared" si="22"/>
        <v>21020</v>
      </c>
      <c r="O244" s="8" t="s">
        <v>20</v>
      </c>
      <c r="T244">
        <v>0</v>
      </c>
      <c r="AC244">
        <v>1</v>
      </c>
    </row>
    <row r="245" spans="1:29" ht="30" customHeight="1" x14ac:dyDescent="0.3">
      <c r="A245" s="8" t="s">
        <v>189</v>
      </c>
      <c r="B245" s="8" t="s">
        <v>523</v>
      </c>
      <c r="C245" s="8" t="s">
        <v>507</v>
      </c>
      <c r="D245" s="8" t="s">
        <v>524</v>
      </c>
      <c r="E245" s="8" t="s">
        <v>179</v>
      </c>
      <c r="F245" s="9">
        <v>11</v>
      </c>
      <c r="G245" s="5">
        <f>TRUNC([1]단가대비표!O184,0)</f>
        <v>12030</v>
      </c>
      <c r="H245" s="5">
        <f t="shared" si="18"/>
        <v>132330</v>
      </c>
      <c r="I245" s="5">
        <v>0</v>
      </c>
      <c r="J245" s="5">
        <f t="shared" si="19"/>
        <v>0</v>
      </c>
      <c r="K245" s="5">
        <v>0</v>
      </c>
      <c r="L245" s="5">
        <f t="shared" si="20"/>
        <v>0</v>
      </c>
      <c r="M245" s="5">
        <f t="shared" si="22"/>
        <v>12030</v>
      </c>
      <c r="N245" s="5">
        <f t="shared" si="22"/>
        <v>132330</v>
      </c>
      <c r="O245" s="8" t="s">
        <v>20</v>
      </c>
      <c r="T245">
        <v>0</v>
      </c>
      <c r="AC245">
        <v>1</v>
      </c>
    </row>
    <row r="246" spans="1:29" ht="30" customHeight="1" x14ac:dyDescent="0.3">
      <c r="A246" s="8" t="s">
        <v>189</v>
      </c>
      <c r="B246" s="8" t="s">
        <v>525</v>
      </c>
      <c r="C246" s="8" t="s">
        <v>507</v>
      </c>
      <c r="D246" s="8" t="s">
        <v>526</v>
      </c>
      <c r="E246" s="8" t="s">
        <v>179</v>
      </c>
      <c r="F246" s="9">
        <v>2</v>
      </c>
      <c r="G246" s="5">
        <f>TRUNC([1]단가대비표!O185,0)</f>
        <v>15020</v>
      </c>
      <c r="H246" s="5">
        <f t="shared" si="18"/>
        <v>30040</v>
      </c>
      <c r="I246" s="5">
        <v>0</v>
      </c>
      <c r="J246" s="5">
        <f t="shared" si="19"/>
        <v>0</v>
      </c>
      <c r="K246" s="5">
        <v>0</v>
      </c>
      <c r="L246" s="5">
        <f t="shared" si="20"/>
        <v>0</v>
      </c>
      <c r="M246" s="5">
        <f t="shared" si="22"/>
        <v>15020</v>
      </c>
      <c r="N246" s="5">
        <f t="shared" si="22"/>
        <v>30040</v>
      </c>
      <c r="O246" s="8" t="s">
        <v>20</v>
      </c>
      <c r="T246">
        <v>0</v>
      </c>
      <c r="AC246">
        <v>1</v>
      </c>
    </row>
    <row r="247" spans="1:29" ht="30" customHeight="1" x14ac:dyDescent="0.3">
      <c r="A247" s="8" t="s">
        <v>189</v>
      </c>
      <c r="B247" s="8" t="s">
        <v>527</v>
      </c>
      <c r="C247" s="8" t="s">
        <v>528</v>
      </c>
      <c r="D247" s="8" t="s">
        <v>447</v>
      </c>
      <c r="E247" s="8" t="s">
        <v>185</v>
      </c>
      <c r="F247" s="9">
        <v>1</v>
      </c>
      <c r="G247" s="5" t="e">
        <f>'[2].xls].xls].xls].xls].xls].xls].xls].'!E60</f>
        <v>#REF!</v>
      </c>
      <c r="H247" s="5" t="e">
        <f t="shared" si="18"/>
        <v>#REF!</v>
      </c>
      <c r="I247" s="5" t="e">
        <f>'[2].xls].xls].xls].xls].xls].xls].xls].'!F60</f>
        <v>#REF!</v>
      </c>
      <c r="J247" s="5" t="e">
        <f t="shared" si="19"/>
        <v>#REF!</v>
      </c>
      <c r="K247" s="5" t="e">
        <f>'[2].xls].xls].xls].xls].xls].xls].xls].'!G60</f>
        <v>#REF!</v>
      </c>
      <c r="L247" s="5" t="e">
        <f t="shared" si="20"/>
        <v>#REF!</v>
      </c>
      <c r="M247" s="5" t="e">
        <f t="shared" si="22"/>
        <v>#REF!</v>
      </c>
      <c r="N247" s="5" t="e">
        <f t="shared" si="22"/>
        <v>#REF!</v>
      </c>
      <c r="O247" s="8" t="s">
        <v>527</v>
      </c>
      <c r="T247">
        <v>0</v>
      </c>
      <c r="AC247">
        <v>1</v>
      </c>
    </row>
    <row r="248" spans="1:29" ht="30" customHeight="1" x14ac:dyDescent="0.3">
      <c r="A248" s="8" t="s">
        <v>189</v>
      </c>
      <c r="B248" s="8" t="s">
        <v>529</v>
      </c>
      <c r="C248" s="8" t="s">
        <v>530</v>
      </c>
      <c r="D248" s="8" t="s">
        <v>531</v>
      </c>
      <c r="E248" s="8" t="s">
        <v>532</v>
      </c>
      <c r="F248" s="9">
        <v>787</v>
      </c>
      <c r="G248" s="5">
        <f>TRUNC([1]단가대비표!O755,0)</f>
        <v>1159</v>
      </c>
      <c r="H248" s="5">
        <f t="shared" si="18"/>
        <v>912133</v>
      </c>
      <c r="I248" s="5">
        <v>0</v>
      </c>
      <c r="J248" s="5">
        <f t="shared" si="19"/>
        <v>0</v>
      </c>
      <c r="K248" s="5">
        <v>0</v>
      </c>
      <c r="L248" s="5">
        <f t="shared" si="20"/>
        <v>0</v>
      </c>
      <c r="M248" s="5">
        <f t="shared" si="22"/>
        <v>1159</v>
      </c>
      <c r="N248" s="5">
        <f t="shared" si="22"/>
        <v>912133</v>
      </c>
      <c r="O248" s="8" t="s">
        <v>20</v>
      </c>
      <c r="T248">
        <v>0</v>
      </c>
      <c r="AC248">
        <v>1</v>
      </c>
    </row>
    <row r="249" spans="1:29" ht="30" customHeight="1" x14ac:dyDescent="0.3">
      <c r="A249" s="8" t="s">
        <v>189</v>
      </c>
      <c r="B249" s="8" t="s">
        <v>533</v>
      </c>
      <c r="C249" s="8" t="s">
        <v>534</v>
      </c>
      <c r="D249" s="8" t="s">
        <v>535</v>
      </c>
      <c r="E249" s="8" t="s">
        <v>532</v>
      </c>
      <c r="F249" s="9">
        <v>648</v>
      </c>
      <c r="G249" s="5">
        <f>TRUNC([1]단가대비표!O759,0)</f>
        <v>1159</v>
      </c>
      <c r="H249" s="5">
        <f t="shared" si="18"/>
        <v>751032</v>
      </c>
      <c r="I249" s="5">
        <v>0</v>
      </c>
      <c r="J249" s="5">
        <f t="shared" si="19"/>
        <v>0</v>
      </c>
      <c r="K249" s="5">
        <v>0</v>
      </c>
      <c r="L249" s="5">
        <f t="shared" si="20"/>
        <v>0</v>
      </c>
      <c r="M249" s="5">
        <f t="shared" si="22"/>
        <v>1159</v>
      </c>
      <c r="N249" s="5">
        <f t="shared" si="22"/>
        <v>751032</v>
      </c>
      <c r="O249" s="8" t="s">
        <v>20</v>
      </c>
      <c r="T249">
        <v>0</v>
      </c>
      <c r="AC249">
        <v>1</v>
      </c>
    </row>
    <row r="250" spans="1:29" ht="30" customHeight="1" x14ac:dyDescent="0.3">
      <c r="A250" s="8" t="s">
        <v>189</v>
      </c>
      <c r="B250" s="8" t="s">
        <v>536</v>
      </c>
      <c r="C250" s="8" t="s">
        <v>537</v>
      </c>
      <c r="D250" s="8" t="s">
        <v>538</v>
      </c>
      <c r="E250" s="8" t="s">
        <v>185</v>
      </c>
      <c r="F250" s="9">
        <v>80</v>
      </c>
      <c r="G250" s="5" t="e">
        <f>'[2].xls].xls].xls].xls].xls].xls].xls].'!E127</f>
        <v>#REF!</v>
      </c>
      <c r="H250" s="5" t="e">
        <f t="shared" si="18"/>
        <v>#REF!</v>
      </c>
      <c r="I250" s="5" t="e">
        <f>'[2].xls].xls].xls].xls].xls].xls].xls].'!F127</f>
        <v>#REF!</v>
      </c>
      <c r="J250" s="5" t="e">
        <f t="shared" si="19"/>
        <v>#REF!</v>
      </c>
      <c r="K250" s="5" t="e">
        <f>'[2].xls].xls].xls].xls].xls].xls].xls].'!G127</f>
        <v>#REF!</v>
      </c>
      <c r="L250" s="5" t="e">
        <f t="shared" si="20"/>
        <v>#REF!</v>
      </c>
      <c r="M250" s="5" t="e">
        <f t="shared" si="22"/>
        <v>#REF!</v>
      </c>
      <c r="N250" s="5" t="e">
        <f t="shared" si="22"/>
        <v>#REF!</v>
      </c>
      <c r="O250" s="8" t="s">
        <v>536</v>
      </c>
      <c r="T250">
        <v>0</v>
      </c>
      <c r="AC250">
        <v>1</v>
      </c>
    </row>
    <row r="251" spans="1:29" ht="30" customHeight="1" x14ac:dyDescent="0.3">
      <c r="A251" s="8" t="s">
        <v>189</v>
      </c>
      <c r="B251" s="8" t="s">
        <v>539</v>
      </c>
      <c r="C251" s="8" t="s">
        <v>540</v>
      </c>
      <c r="D251" s="8" t="s">
        <v>541</v>
      </c>
      <c r="E251" s="8" t="s">
        <v>185</v>
      </c>
      <c r="F251" s="9">
        <v>2</v>
      </c>
      <c r="G251" s="5" t="e">
        <f>'[2].xls].xls].xls].xls].xls].xls].xls].'!E134</f>
        <v>#REF!</v>
      </c>
      <c r="H251" s="5" t="e">
        <f t="shared" si="18"/>
        <v>#REF!</v>
      </c>
      <c r="I251" s="5" t="e">
        <f>'[2].xls].xls].xls].xls].xls].xls].xls].'!F134</f>
        <v>#REF!</v>
      </c>
      <c r="J251" s="5" t="e">
        <f t="shared" si="19"/>
        <v>#REF!</v>
      </c>
      <c r="K251" s="5" t="e">
        <f>'[2].xls].xls].xls].xls].xls].xls].xls].'!G134</f>
        <v>#REF!</v>
      </c>
      <c r="L251" s="5" t="e">
        <f t="shared" si="20"/>
        <v>#REF!</v>
      </c>
      <c r="M251" s="5" t="e">
        <f t="shared" si="22"/>
        <v>#REF!</v>
      </c>
      <c r="N251" s="5" t="e">
        <f t="shared" si="22"/>
        <v>#REF!</v>
      </c>
      <c r="O251" s="8" t="s">
        <v>539</v>
      </c>
      <c r="T251">
        <v>0</v>
      </c>
      <c r="AC251">
        <v>1</v>
      </c>
    </row>
    <row r="252" spans="1:29" ht="30" customHeight="1" x14ac:dyDescent="0.3">
      <c r="A252" s="8" t="s">
        <v>189</v>
      </c>
      <c r="B252" s="8" t="s">
        <v>542</v>
      </c>
      <c r="C252" s="8" t="s">
        <v>543</v>
      </c>
      <c r="D252" s="8" t="s">
        <v>544</v>
      </c>
      <c r="E252" s="8" t="s">
        <v>545</v>
      </c>
      <c r="F252" s="9">
        <v>59</v>
      </c>
      <c r="G252" s="5" t="e">
        <f>'[2].xls].xls].xls].xls].xls].xls].xls].'!E130</f>
        <v>#REF!</v>
      </c>
      <c r="H252" s="5" t="e">
        <f t="shared" si="18"/>
        <v>#REF!</v>
      </c>
      <c r="I252" s="5" t="e">
        <f>'[2].xls].xls].xls].xls].xls].xls].xls].'!F130</f>
        <v>#REF!</v>
      </c>
      <c r="J252" s="5" t="e">
        <f t="shared" si="19"/>
        <v>#REF!</v>
      </c>
      <c r="K252" s="5" t="e">
        <f>'[2].xls].xls].xls].xls].xls].xls].xls].'!G130</f>
        <v>#REF!</v>
      </c>
      <c r="L252" s="5" t="e">
        <f t="shared" si="20"/>
        <v>#REF!</v>
      </c>
      <c r="M252" s="5" t="e">
        <f t="shared" si="22"/>
        <v>#REF!</v>
      </c>
      <c r="N252" s="5" t="e">
        <f t="shared" si="22"/>
        <v>#REF!</v>
      </c>
      <c r="O252" s="8" t="s">
        <v>542</v>
      </c>
      <c r="T252">
        <v>0</v>
      </c>
      <c r="AC252">
        <v>1</v>
      </c>
    </row>
    <row r="253" spans="1:29" ht="30" customHeight="1" x14ac:dyDescent="0.3">
      <c r="A253" s="8" t="s">
        <v>189</v>
      </c>
      <c r="B253" s="8" t="s">
        <v>546</v>
      </c>
      <c r="C253" s="8" t="s">
        <v>547</v>
      </c>
      <c r="D253" s="8" t="s">
        <v>548</v>
      </c>
      <c r="E253" s="8" t="s">
        <v>545</v>
      </c>
      <c r="F253" s="9">
        <v>59</v>
      </c>
      <c r="G253" s="5" t="e">
        <f>'[2].xls].xls].xls].xls].xls].xls].xls].'!E133</f>
        <v>#REF!</v>
      </c>
      <c r="H253" s="5" t="e">
        <f t="shared" si="18"/>
        <v>#REF!</v>
      </c>
      <c r="I253" s="5" t="e">
        <f>'[2].xls].xls].xls].xls].xls].xls].xls].'!F133</f>
        <v>#REF!</v>
      </c>
      <c r="J253" s="5" t="e">
        <f t="shared" si="19"/>
        <v>#REF!</v>
      </c>
      <c r="K253" s="5" t="e">
        <f>'[2].xls].xls].xls].xls].xls].xls].xls].'!G133</f>
        <v>#REF!</v>
      </c>
      <c r="L253" s="5" t="e">
        <f t="shared" si="20"/>
        <v>#REF!</v>
      </c>
      <c r="M253" s="5" t="e">
        <f t="shared" si="22"/>
        <v>#REF!</v>
      </c>
      <c r="N253" s="5" t="e">
        <f t="shared" si="22"/>
        <v>#REF!</v>
      </c>
      <c r="O253" s="8" t="s">
        <v>546</v>
      </c>
      <c r="T253">
        <v>0</v>
      </c>
      <c r="AC253">
        <v>1</v>
      </c>
    </row>
    <row r="254" spans="1:29" ht="30" customHeight="1" x14ac:dyDescent="0.3">
      <c r="A254" s="8" t="s">
        <v>189</v>
      </c>
      <c r="B254" s="8" t="s">
        <v>549</v>
      </c>
      <c r="C254" s="8" t="s">
        <v>550</v>
      </c>
      <c r="D254" s="8" t="s">
        <v>551</v>
      </c>
      <c r="E254" s="8" t="s">
        <v>552</v>
      </c>
      <c r="F254" s="9">
        <v>1.36</v>
      </c>
      <c r="G254" s="5" t="e">
        <f>'[2].xls].xls].xls].xls].xls].xls].xls].'!E128</f>
        <v>#REF!</v>
      </c>
      <c r="H254" s="5" t="e">
        <f t="shared" si="18"/>
        <v>#REF!</v>
      </c>
      <c r="I254" s="5" t="e">
        <f>'[2].xls].xls].xls].xls].xls].xls].xls].'!F128</f>
        <v>#REF!</v>
      </c>
      <c r="J254" s="5" t="e">
        <f t="shared" si="19"/>
        <v>#REF!</v>
      </c>
      <c r="K254" s="5" t="e">
        <f>'[2].xls].xls].xls].xls].xls].xls].xls].'!G128</f>
        <v>#REF!</v>
      </c>
      <c r="L254" s="5" t="e">
        <f t="shared" si="20"/>
        <v>#REF!</v>
      </c>
      <c r="M254" s="5" t="e">
        <f t="shared" si="22"/>
        <v>#REF!</v>
      </c>
      <c r="N254" s="5" t="e">
        <f t="shared" si="22"/>
        <v>#REF!</v>
      </c>
      <c r="O254" s="8" t="s">
        <v>549</v>
      </c>
      <c r="T254">
        <v>0</v>
      </c>
      <c r="AC254">
        <v>1</v>
      </c>
    </row>
    <row r="255" spans="1:29" ht="30" customHeight="1" x14ac:dyDescent="0.3">
      <c r="A255" s="8" t="s">
        <v>189</v>
      </c>
      <c r="B255" s="8" t="s">
        <v>152</v>
      </c>
      <c r="C255" s="8" t="s">
        <v>153</v>
      </c>
      <c r="D255" s="8" t="s">
        <v>154</v>
      </c>
      <c r="E255" s="8" t="s">
        <v>155</v>
      </c>
      <c r="F255" s="9">
        <v>31</v>
      </c>
      <c r="G255" s="5">
        <v>0</v>
      </c>
      <c r="H255" s="5">
        <f t="shared" si="18"/>
        <v>0</v>
      </c>
      <c r="I255" s="5">
        <f>TRUNC([1]단가대비표!O671,0)</f>
        <v>157068</v>
      </c>
      <c r="J255" s="5">
        <f t="shared" si="19"/>
        <v>4869108</v>
      </c>
      <c r="K255" s="5">
        <v>0</v>
      </c>
      <c r="L255" s="5">
        <f t="shared" si="20"/>
        <v>0</v>
      </c>
      <c r="M255" s="5">
        <f t="shared" si="22"/>
        <v>157068</v>
      </c>
      <c r="N255" s="5">
        <f t="shared" si="22"/>
        <v>4869108</v>
      </c>
      <c r="O255" s="8" t="s">
        <v>20</v>
      </c>
      <c r="T255">
        <v>0</v>
      </c>
      <c r="W255">
        <v>3</v>
      </c>
      <c r="AC255">
        <v>1</v>
      </c>
    </row>
    <row r="256" spans="1:29" ht="30" customHeight="1" x14ac:dyDescent="0.3">
      <c r="A256" s="8" t="s">
        <v>189</v>
      </c>
      <c r="B256" s="8" t="s">
        <v>553</v>
      </c>
      <c r="C256" s="8" t="s">
        <v>153</v>
      </c>
      <c r="D256" s="8" t="s">
        <v>554</v>
      </c>
      <c r="E256" s="8" t="s">
        <v>155</v>
      </c>
      <c r="F256" s="9">
        <v>72</v>
      </c>
      <c r="G256" s="5">
        <v>0</v>
      </c>
      <c r="H256" s="5">
        <f t="shared" si="18"/>
        <v>0</v>
      </c>
      <c r="I256" s="5">
        <f>TRUNC([1]단가대비표!O668,0)</f>
        <v>214118</v>
      </c>
      <c r="J256" s="5">
        <f t="shared" si="19"/>
        <v>15416496</v>
      </c>
      <c r="K256" s="5">
        <v>0</v>
      </c>
      <c r="L256" s="5">
        <f t="shared" si="20"/>
        <v>0</v>
      </c>
      <c r="M256" s="5">
        <f t="shared" si="22"/>
        <v>214118</v>
      </c>
      <c r="N256" s="5">
        <f t="shared" si="22"/>
        <v>15416496</v>
      </c>
      <c r="O256" s="8" t="s">
        <v>20</v>
      </c>
      <c r="T256">
        <v>0</v>
      </c>
      <c r="W256">
        <v>3</v>
      </c>
      <c r="AC256">
        <v>1</v>
      </c>
    </row>
    <row r="257" spans="1:29" ht="30" customHeight="1" x14ac:dyDescent="0.3">
      <c r="A257" s="8" t="s">
        <v>189</v>
      </c>
      <c r="B257" s="8" t="s">
        <v>158</v>
      </c>
      <c r="C257" s="8" t="s">
        <v>159</v>
      </c>
      <c r="D257" s="8" t="s">
        <v>160</v>
      </c>
      <c r="E257" s="8" t="s">
        <v>161</v>
      </c>
      <c r="F257" s="9">
        <v>1</v>
      </c>
      <c r="G257" s="5">
        <f>ROUNDDOWN(SUMIF(W83:W257, RIGHTB(B257, 1), J83:J257)*T257, 0)</f>
        <v>405712</v>
      </c>
      <c r="H257" s="5">
        <f t="shared" si="18"/>
        <v>405712</v>
      </c>
      <c r="I257" s="5">
        <v>0</v>
      </c>
      <c r="J257" s="5">
        <f t="shared" si="19"/>
        <v>0</v>
      </c>
      <c r="K257" s="5">
        <v>0</v>
      </c>
      <c r="L257" s="5">
        <f t="shared" si="20"/>
        <v>0</v>
      </c>
      <c r="M257" s="5">
        <f t="shared" si="22"/>
        <v>405712</v>
      </c>
      <c r="N257" s="5">
        <f t="shared" si="22"/>
        <v>405712</v>
      </c>
      <c r="O257" s="8" t="s">
        <v>20</v>
      </c>
      <c r="P257">
        <v>257</v>
      </c>
      <c r="R257">
        <v>1</v>
      </c>
      <c r="S257">
        <v>0</v>
      </c>
      <c r="T257">
        <v>0.02</v>
      </c>
      <c r="AC257">
        <v>1</v>
      </c>
    </row>
    <row r="258" spans="1:29" ht="30" customHeight="1" x14ac:dyDescent="0.3">
      <c r="A258" s="5"/>
      <c r="B258" s="5"/>
      <c r="C258" s="5"/>
      <c r="D258" s="5"/>
      <c r="E258" s="5"/>
      <c r="F258" s="9"/>
      <c r="G258" s="5"/>
      <c r="H258" s="5"/>
      <c r="I258" s="5"/>
      <c r="J258" s="5"/>
      <c r="K258" s="5"/>
      <c r="L258" s="5"/>
      <c r="M258" s="5"/>
      <c r="N258" s="5"/>
      <c r="O258" s="5"/>
    </row>
    <row r="259" spans="1:29" ht="30" customHeight="1" x14ac:dyDescent="0.3">
      <c r="A259" s="5"/>
      <c r="B259" s="5"/>
      <c r="C259" s="5"/>
      <c r="D259" s="5"/>
      <c r="E259" s="5"/>
      <c r="F259" s="9"/>
      <c r="G259" s="5"/>
      <c r="H259" s="5"/>
      <c r="I259" s="5"/>
      <c r="J259" s="5"/>
      <c r="K259" s="5"/>
      <c r="L259" s="5"/>
      <c r="M259" s="5"/>
      <c r="N259" s="5"/>
      <c r="O259" s="5"/>
    </row>
    <row r="260" spans="1:29" ht="30" customHeight="1" x14ac:dyDescent="0.3">
      <c r="A260" s="5"/>
      <c r="B260" s="5"/>
      <c r="C260" s="5"/>
      <c r="D260" s="5"/>
      <c r="E260" s="5"/>
      <c r="F260" s="9"/>
      <c r="G260" s="5"/>
      <c r="H260" s="5"/>
      <c r="I260" s="5"/>
      <c r="J260" s="5"/>
      <c r="K260" s="5"/>
      <c r="L260" s="5"/>
      <c r="M260" s="5"/>
      <c r="N260" s="5"/>
      <c r="O260" s="5"/>
    </row>
    <row r="261" spans="1:29" ht="30" customHeight="1" x14ac:dyDescent="0.3">
      <c r="A261" s="5"/>
      <c r="B261" s="5"/>
      <c r="C261" s="5"/>
      <c r="D261" s="5"/>
      <c r="E261" s="5"/>
      <c r="F261" s="9"/>
      <c r="G261" s="5"/>
      <c r="H261" s="5"/>
      <c r="I261" s="5"/>
      <c r="J261" s="5"/>
      <c r="K261" s="5"/>
      <c r="L261" s="5"/>
      <c r="M261" s="5"/>
      <c r="N261" s="5"/>
      <c r="O261" s="5"/>
    </row>
    <row r="262" spans="1:29" ht="30" customHeight="1" x14ac:dyDescent="0.3">
      <c r="A262" s="5"/>
      <c r="B262" s="5"/>
      <c r="C262" s="5"/>
      <c r="D262" s="5"/>
      <c r="E262" s="5"/>
      <c r="F262" s="9"/>
      <c r="G262" s="5"/>
      <c r="H262" s="5"/>
      <c r="I262" s="5"/>
      <c r="J262" s="5"/>
      <c r="K262" s="5"/>
      <c r="L262" s="5"/>
      <c r="M262" s="5"/>
      <c r="N262" s="5"/>
      <c r="O262" s="5"/>
    </row>
    <row r="263" spans="1:29" ht="30" customHeight="1" x14ac:dyDescent="0.3">
      <c r="A263" s="5"/>
      <c r="B263" s="5"/>
      <c r="C263" s="5" t="s">
        <v>162</v>
      </c>
      <c r="D263" s="5"/>
      <c r="E263" s="5"/>
      <c r="F263" s="9"/>
      <c r="G263" s="5"/>
      <c r="H263" s="5" t="e">
        <f>SUMIF(AC83:AC262, 1, H83:H262)</f>
        <v>#REF!</v>
      </c>
      <c r="I263" s="5"/>
      <c r="J263" s="5" t="e">
        <f>SUMIF(AC83:AC262, 1, J83:J262)</f>
        <v>#REF!</v>
      </c>
      <c r="K263" s="5"/>
      <c r="L263" s="5" t="e">
        <f>SUMIF(AC83:AC262, 1, L83:L262)</f>
        <v>#REF!</v>
      </c>
      <c r="M263" s="5"/>
      <c r="N263" s="5" t="e">
        <f>H263+J263+L263</f>
        <v>#REF!</v>
      </c>
      <c r="O263" s="5"/>
    </row>
    <row r="264" spans="1:29" ht="30" customHeight="1" x14ac:dyDescent="0.3">
      <c r="A264" s="5"/>
      <c r="B264" s="5"/>
      <c r="C264" s="6" t="s">
        <v>555</v>
      </c>
      <c r="D264" s="6"/>
      <c r="E264" s="6"/>
      <c r="F264" s="7"/>
      <c r="G264" s="6"/>
      <c r="H264" s="6"/>
      <c r="I264" s="6"/>
      <c r="J264" s="6"/>
      <c r="K264" s="6"/>
      <c r="L264" s="6"/>
      <c r="M264" s="6"/>
      <c r="N264" s="6"/>
      <c r="O264" s="6"/>
    </row>
    <row r="265" spans="1:29" ht="30" customHeight="1" x14ac:dyDescent="0.3">
      <c r="A265" s="8" t="s">
        <v>556</v>
      </c>
      <c r="B265" s="8" t="s">
        <v>193</v>
      </c>
      <c r="C265" s="8" t="s">
        <v>191</v>
      </c>
      <c r="D265" s="8" t="s">
        <v>194</v>
      </c>
      <c r="E265" s="8" t="s">
        <v>168</v>
      </c>
      <c r="F265" s="9">
        <v>3242</v>
      </c>
      <c r="G265" s="5">
        <f>TRUNC([1]단가대비표!O86,0)</f>
        <v>3220</v>
      </c>
      <c r="H265" s="5">
        <f t="shared" ref="H265:H328" si="23">TRUNC(F265*G265,0)</f>
        <v>10439240</v>
      </c>
      <c r="I265" s="5">
        <v>0</v>
      </c>
      <c r="J265" s="5">
        <f t="shared" ref="J265:J328" si="24">TRUNC(F265*I265,0)</f>
        <v>0</v>
      </c>
      <c r="K265" s="5">
        <v>0</v>
      </c>
      <c r="L265" s="5">
        <f t="shared" ref="L265:L328" si="25">TRUNC(F265*K265,0)</f>
        <v>0</v>
      </c>
      <c r="M265" s="5">
        <f t="shared" ref="M265:N296" si="26">G265+I265+K265</f>
        <v>3220</v>
      </c>
      <c r="N265" s="5">
        <f t="shared" si="26"/>
        <v>10439240</v>
      </c>
      <c r="O265" s="8" t="s">
        <v>20</v>
      </c>
      <c r="T265">
        <v>0</v>
      </c>
      <c r="U265">
        <v>1</v>
      </c>
      <c r="AC265">
        <v>1</v>
      </c>
    </row>
    <row r="266" spans="1:29" ht="30" customHeight="1" x14ac:dyDescent="0.3">
      <c r="A266" s="8" t="s">
        <v>556</v>
      </c>
      <c r="B266" s="8" t="s">
        <v>195</v>
      </c>
      <c r="C266" s="8" t="s">
        <v>191</v>
      </c>
      <c r="D266" s="8" t="s">
        <v>196</v>
      </c>
      <c r="E266" s="8" t="s">
        <v>168</v>
      </c>
      <c r="F266" s="9">
        <v>700</v>
      </c>
      <c r="G266" s="5">
        <f>TRUNC([1]단가대비표!O87,0)</f>
        <v>4010</v>
      </c>
      <c r="H266" s="5">
        <f t="shared" si="23"/>
        <v>2807000</v>
      </c>
      <c r="I266" s="5">
        <v>0</v>
      </c>
      <c r="J266" s="5">
        <f t="shared" si="24"/>
        <v>0</v>
      </c>
      <c r="K266" s="5">
        <v>0</v>
      </c>
      <c r="L266" s="5">
        <f t="shared" si="25"/>
        <v>0</v>
      </c>
      <c r="M266" s="5">
        <f t="shared" si="26"/>
        <v>4010</v>
      </c>
      <c r="N266" s="5">
        <f t="shared" si="26"/>
        <v>2807000</v>
      </c>
      <c r="O266" s="8" t="s">
        <v>20</v>
      </c>
      <c r="T266">
        <v>0</v>
      </c>
      <c r="U266">
        <v>1</v>
      </c>
      <c r="AC266">
        <v>1</v>
      </c>
    </row>
    <row r="267" spans="1:29" ht="30" customHeight="1" x14ac:dyDescent="0.3">
      <c r="A267" s="8" t="s">
        <v>556</v>
      </c>
      <c r="B267" s="8" t="s">
        <v>197</v>
      </c>
      <c r="C267" s="8" t="s">
        <v>191</v>
      </c>
      <c r="D267" s="8" t="s">
        <v>198</v>
      </c>
      <c r="E267" s="8" t="s">
        <v>168</v>
      </c>
      <c r="F267" s="9">
        <v>1282</v>
      </c>
      <c r="G267" s="5">
        <f>TRUNC([1]단가대비표!O88,0)</f>
        <v>5650</v>
      </c>
      <c r="H267" s="5">
        <f t="shared" si="23"/>
        <v>7243300</v>
      </c>
      <c r="I267" s="5">
        <v>0</v>
      </c>
      <c r="J267" s="5">
        <f t="shared" si="24"/>
        <v>0</v>
      </c>
      <c r="K267" s="5">
        <v>0</v>
      </c>
      <c r="L267" s="5">
        <f t="shared" si="25"/>
        <v>0</v>
      </c>
      <c r="M267" s="5">
        <f t="shared" si="26"/>
        <v>5650</v>
      </c>
      <c r="N267" s="5">
        <f t="shared" si="26"/>
        <v>7243300</v>
      </c>
      <c r="O267" s="8" t="s">
        <v>20</v>
      </c>
      <c r="T267">
        <v>0</v>
      </c>
      <c r="U267">
        <v>1</v>
      </c>
      <c r="AC267">
        <v>1</v>
      </c>
    </row>
    <row r="268" spans="1:29" ht="30" customHeight="1" x14ac:dyDescent="0.3">
      <c r="A268" s="8" t="s">
        <v>556</v>
      </c>
      <c r="B268" s="8" t="s">
        <v>199</v>
      </c>
      <c r="C268" s="8" t="s">
        <v>191</v>
      </c>
      <c r="D268" s="8" t="s">
        <v>200</v>
      </c>
      <c r="E268" s="8" t="s">
        <v>168</v>
      </c>
      <c r="F268" s="9">
        <v>381</v>
      </c>
      <c r="G268" s="5">
        <f>TRUNC([1]단가대비표!O89,0)</f>
        <v>6910</v>
      </c>
      <c r="H268" s="5">
        <f t="shared" si="23"/>
        <v>2632710</v>
      </c>
      <c r="I268" s="5">
        <v>0</v>
      </c>
      <c r="J268" s="5">
        <f t="shared" si="24"/>
        <v>0</v>
      </c>
      <c r="K268" s="5">
        <v>0</v>
      </c>
      <c r="L268" s="5">
        <f t="shared" si="25"/>
        <v>0</v>
      </c>
      <c r="M268" s="5">
        <f t="shared" si="26"/>
        <v>6910</v>
      </c>
      <c r="N268" s="5">
        <f t="shared" si="26"/>
        <v>2632710</v>
      </c>
      <c r="O268" s="8" t="s">
        <v>20</v>
      </c>
      <c r="T268">
        <v>0</v>
      </c>
      <c r="U268">
        <v>1</v>
      </c>
      <c r="AC268">
        <v>1</v>
      </c>
    </row>
    <row r="269" spans="1:29" ht="30" customHeight="1" x14ac:dyDescent="0.3">
      <c r="A269" s="8" t="s">
        <v>556</v>
      </c>
      <c r="B269" s="8" t="s">
        <v>201</v>
      </c>
      <c r="C269" s="8" t="s">
        <v>191</v>
      </c>
      <c r="D269" s="8" t="s">
        <v>202</v>
      </c>
      <c r="E269" s="8" t="s">
        <v>168</v>
      </c>
      <c r="F269" s="9">
        <v>399</v>
      </c>
      <c r="G269" s="5">
        <f>TRUNC([1]단가대비표!O90,0)</f>
        <v>7960</v>
      </c>
      <c r="H269" s="5">
        <f t="shared" si="23"/>
        <v>3176040</v>
      </c>
      <c r="I269" s="5">
        <v>0</v>
      </c>
      <c r="J269" s="5">
        <f t="shared" si="24"/>
        <v>0</v>
      </c>
      <c r="K269" s="5">
        <v>0</v>
      </c>
      <c r="L269" s="5">
        <f t="shared" si="25"/>
        <v>0</v>
      </c>
      <c r="M269" s="5">
        <f t="shared" si="26"/>
        <v>7960</v>
      </c>
      <c r="N269" s="5">
        <f t="shared" si="26"/>
        <v>3176040</v>
      </c>
      <c r="O269" s="8" t="s">
        <v>20</v>
      </c>
      <c r="T269">
        <v>0</v>
      </c>
      <c r="U269">
        <v>1</v>
      </c>
      <c r="AC269">
        <v>1</v>
      </c>
    </row>
    <row r="270" spans="1:29" ht="30" customHeight="1" x14ac:dyDescent="0.3">
      <c r="A270" s="8" t="s">
        <v>556</v>
      </c>
      <c r="B270" s="8" t="s">
        <v>203</v>
      </c>
      <c r="C270" s="8" t="s">
        <v>191</v>
      </c>
      <c r="D270" s="8" t="s">
        <v>204</v>
      </c>
      <c r="E270" s="8" t="s">
        <v>168</v>
      </c>
      <c r="F270" s="9">
        <v>592</v>
      </c>
      <c r="G270" s="5">
        <f>TRUNC([1]단가대비표!O91,0)</f>
        <v>12350</v>
      </c>
      <c r="H270" s="5">
        <f t="shared" si="23"/>
        <v>7311200</v>
      </c>
      <c r="I270" s="5">
        <v>0</v>
      </c>
      <c r="J270" s="5">
        <f t="shared" si="24"/>
        <v>0</v>
      </c>
      <c r="K270" s="5">
        <v>0</v>
      </c>
      <c r="L270" s="5">
        <f t="shared" si="25"/>
        <v>0</v>
      </c>
      <c r="M270" s="5">
        <f t="shared" si="26"/>
        <v>12350</v>
      </c>
      <c r="N270" s="5">
        <f t="shared" si="26"/>
        <v>7311200</v>
      </c>
      <c r="O270" s="8" t="s">
        <v>20</v>
      </c>
      <c r="T270">
        <v>0</v>
      </c>
      <c r="U270">
        <v>1</v>
      </c>
      <c r="AC270">
        <v>1</v>
      </c>
    </row>
    <row r="271" spans="1:29" ht="30" customHeight="1" x14ac:dyDescent="0.3">
      <c r="A271" s="8" t="s">
        <v>556</v>
      </c>
      <c r="B271" s="8" t="s">
        <v>205</v>
      </c>
      <c r="C271" s="8" t="s">
        <v>191</v>
      </c>
      <c r="D271" s="8" t="s">
        <v>206</v>
      </c>
      <c r="E271" s="8" t="s">
        <v>168</v>
      </c>
      <c r="F271" s="9">
        <v>86</v>
      </c>
      <c r="G271" s="5">
        <f>TRUNC([1]단가대비표!O92,0)</f>
        <v>22620</v>
      </c>
      <c r="H271" s="5">
        <f t="shared" si="23"/>
        <v>1945320</v>
      </c>
      <c r="I271" s="5">
        <v>0</v>
      </c>
      <c r="J271" s="5">
        <f t="shared" si="24"/>
        <v>0</v>
      </c>
      <c r="K271" s="5">
        <v>0</v>
      </c>
      <c r="L271" s="5">
        <f t="shared" si="25"/>
        <v>0</v>
      </c>
      <c r="M271" s="5">
        <f t="shared" si="26"/>
        <v>22620</v>
      </c>
      <c r="N271" s="5">
        <f t="shared" si="26"/>
        <v>1945320</v>
      </c>
      <c r="O271" s="8" t="s">
        <v>20</v>
      </c>
      <c r="T271">
        <v>0</v>
      </c>
      <c r="U271">
        <v>1</v>
      </c>
      <c r="AC271">
        <v>1</v>
      </c>
    </row>
    <row r="272" spans="1:29" ht="30" customHeight="1" x14ac:dyDescent="0.3">
      <c r="A272" s="8" t="s">
        <v>556</v>
      </c>
      <c r="B272" s="8" t="s">
        <v>207</v>
      </c>
      <c r="C272" s="8" t="s">
        <v>191</v>
      </c>
      <c r="D272" s="8" t="s">
        <v>208</v>
      </c>
      <c r="E272" s="8" t="s">
        <v>168</v>
      </c>
      <c r="F272" s="9">
        <v>277</v>
      </c>
      <c r="G272" s="5">
        <f>TRUNC([1]단가대비표!O93,0)</f>
        <v>28130</v>
      </c>
      <c r="H272" s="5">
        <f t="shared" si="23"/>
        <v>7792010</v>
      </c>
      <c r="I272" s="5">
        <v>0</v>
      </c>
      <c r="J272" s="5">
        <f t="shared" si="24"/>
        <v>0</v>
      </c>
      <c r="K272" s="5">
        <v>0</v>
      </c>
      <c r="L272" s="5">
        <f t="shared" si="25"/>
        <v>0</v>
      </c>
      <c r="M272" s="5">
        <f t="shared" si="26"/>
        <v>28130</v>
      </c>
      <c r="N272" s="5">
        <f t="shared" si="26"/>
        <v>7792010</v>
      </c>
      <c r="O272" s="8" t="s">
        <v>20</v>
      </c>
      <c r="T272">
        <v>0</v>
      </c>
      <c r="U272">
        <v>1</v>
      </c>
      <c r="AC272">
        <v>1</v>
      </c>
    </row>
    <row r="273" spans="1:29" ht="30" customHeight="1" x14ac:dyDescent="0.3">
      <c r="A273" s="8" t="s">
        <v>556</v>
      </c>
      <c r="B273" s="8" t="s">
        <v>214</v>
      </c>
      <c r="C273" s="8" t="s">
        <v>210</v>
      </c>
      <c r="D273" s="8" t="s">
        <v>215</v>
      </c>
      <c r="E273" s="8" t="s">
        <v>168</v>
      </c>
      <c r="F273" s="9">
        <v>128</v>
      </c>
      <c r="G273" s="5">
        <f>TRUNC([1]단가대비표!O96,0)</f>
        <v>53450</v>
      </c>
      <c r="H273" s="5">
        <f t="shared" si="23"/>
        <v>6841600</v>
      </c>
      <c r="I273" s="5">
        <v>0</v>
      </c>
      <c r="J273" s="5">
        <f t="shared" si="24"/>
        <v>0</v>
      </c>
      <c r="K273" s="5">
        <v>0</v>
      </c>
      <c r="L273" s="5">
        <f t="shared" si="25"/>
        <v>0</v>
      </c>
      <c r="M273" s="5">
        <f t="shared" si="26"/>
        <v>53450</v>
      </c>
      <c r="N273" s="5">
        <f t="shared" si="26"/>
        <v>6841600</v>
      </c>
      <c r="O273" s="8" t="s">
        <v>20</v>
      </c>
      <c r="T273">
        <v>0</v>
      </c>
      <c r="U273">
        <v>1</v>
      </c>
      <c r="AC273">
        <v>1</v>
      </c>
    </row>
    <row r="274" spans="1:29" ht="30" customHeight="1" x14ac:dyDescent="0.3">
      <c r="A274" s="8" t="s">
        <v>556</v>
      </c>
      <c r="B274" s="8" t="s">
        <v>557</v>
      </c>
      <c r="C274" s="8" t="s">
        <v>210</v>
      </c>
      <c r="D274" s="8" t="s">
        <v>558</v>
      </c>
      <c r="E274" s="8" t="s">
        <v>168</v>
      </c>
      <c r="F274" s="9">
        <v>30</v>
      </c>
      <c r="G274" s="5">
        <f>TRUNC([1]단가대비표!O98,0)</f>
        <v>83280</v>
      </c>
      <c r="H274" s="5">
        <f t="shared" si="23"/>
        <v>2498400</v>
      </c>
      <c r="I274" s="5">
        <v>0</v>
      </c>
      <c r="J274" s="5">
        <f t="shared" si="24"/>
        <v>0</v>
      </c>
      <c r="K274" s="5">
        <v>0</v>
      </c>
      <c r="L274" s="5">
        <f t="shared" si="25"/>
        <v>0</v>
      </c>
      <c r="M274" s="5">
        <f t="shared" si="26"/>
        <v>83280</v>
      </c>
      <c r="N274" s="5">
        <f t="shared" si="26"/>
        <v>2498400</v>
      </c>
      <c r="O274" s="8" t="s">
        <v>20</v>
      </c>
      <c r="T274">
        <v>0</v>
      </c>
      <c r="U274">
        <v>1</v>
      </c>
      <c r="AC274">
        <v>1</v>
      </c>
    </row>
    <row r="275" spans="1:29" ht="30" customHeight="1" x14ac:dyDescent="0.3">
      <c r="A275" s="8" t="s">
        <v>556</v>
      </c>
      <c r="B275" s="8" t="s">
        <v>173</v>
      </c>
      <c r="C275" s="8" t="s">
        <v>174</v>
      </c>
      <c r="D275" s="8" t="s">
        <v>175</v>
      </c>
      <c r="E275" s="8" t="s">
        <v>161</v>
      </c>
      <c r="F275" s="9">
        <v>1</v>
      </c>
      <c r="G275" s="5">
        <f>ROUNDDOWN(SUMIF(U265:U449, RIGHTB(B275, 1), H265:H449)*T275, 0)</f>
        <v>1580604</v>
      </c>
      <c r="H275" s="5">
        <f t="shared" si="23"/>
        <v>1580604</v>
      </c>
      <c r="I275" s="5">
        <v>0</v>
      </c>
      <c r="J275" s="5">
        <f t="shared" si="24"/>
        <v>0</v>
      </c>
      <c r="K275" s="5">
        <v>0</v>
      </c>
      <c r="L275" s="5">
        <f t="shared" si="25"/>
        <v>0</v>
      </c>
      <c r="M275" s="5">
        <f t="shared" si="26"/>
        <v>1580604</v>
      </c>
      <c r="N275" s="5">
        <f t="shared" si="26"/>
        <v>1580604</v>
      </c>
      <c r="O275" s="8" t="s">
        <v>20</v>
      </c>
      <c r="P275">
        <v>275</v>
      </c>
      <c r="R275">
        <v>0</v>
      </c>
      <c r="S275">
        <v>0</v>
      </c>
      <c r="T275">
        <v>0.03</v>
      </c>
      <c r="AC275">
        <v>1</v>
      </c>
    </row>
    <row r="276" spans="1:29" ht="30" customHeight="1" x14ac:dyDescent="0.3">
      <c r="A276" s="8" t="s">
        <v>556</v>
      </c>
      <c r="B276" s="8" t="s">
        <v>218</v>
      </c>
      <c r="C276" s="8" t="s">
        <v>219</v>
      </c>
      <c r="D276" s="8" t="s">
        <v>220</v>
      </c>
      <c r="E276" s="8" t="s">
        <v>168</v>
      </c>
      <c r="F276" s="9">
        <v>1007</v>
      </c>
      <c r="G276" s="5" t="e">
        <f>'[2].xls].xls].xls].xls].xls].xls].xls].'!E89</f>
        <v>#REF!</v>
      </c>
      <c r="H276" s="5" t="e">
        <f t="shared" si="23"/>
        <v>#REF!</v>
      </c>
      <c r="I276" s="5" t="e">
        <f>'[2].xls].xls].xls].xls].xls].xls].xls].'!F89</f>
        <v>#REF!</v>
      </c>
      <c r="J276" s="5" t="e">
        <f t="shared" si="24"/>
        <v>#REF!</v>
      </c>
      <c r="K276" s="5" t="e">
        <f>'[2].xls].xls].xls].xls].xls].xls].xls].'!G89</f>
        <v>#REF!</v>
      </c>
      <c r="L276" s="5" t="e">
        <f t="shared" si="25"/>
        <v>#REF!</v>
      </c>
      <c r="M276" s="5" t="e">
        <f t="shared" si="26"/>
        <v>#REF!</v>
      </c>
      <c r="N276" s="5" t="e">
        <f t="shared" si="26"/>
        <v>#REF!</v>
      </c>
      <c r="O276" s="8" t="s">
        <v>218</v>
      </c>
      <c r="T276">
        <v>0</v>
      </c>
      <c r="AC276">
        <v>1</v>
      </c>
    </row>
    <row r="277" spans="1:29" ht="30" customHeight="1" x14ac:dyDescent="0.3">
      <c r="A277" s="8" t="s">
        <v>556</v>
      </c>
      <c r="B277" s="8" t="s">
        <v>221</v>
      </c>
      <c r="C277" s="8" t="s">
        <v>219</v>
      </c>
      <c r="D277" s="8" t="s">
        <v>222</v>
      </c>
      <c r="E277" s="8" t="s">
        <v>168</v>
      </c>
      <c r="F277" s="9">
        <v>332</v>
      </c>
      <c r="G277" s="5" t="e">
        <f>'[2].xls].xls].xls].xls].xls].xls].xls].'!E90</f>
        <v>#REF!</v>
      </c>
      <c r="H277" s="5" t="e">
        <f t="shared" si="23"/>
        <v>#REF!</v>
      </c>
      <c r="I277" s="5" t="e">
        <f>'[2].xls].xls].xls].xls].xls].xls].xls].'!F90</f>
        <v>#REF!</v>
      </c>
      <c r="J277" s="5" t="e">
        <f t="shared" si="24"/>
        <v>#REF!</v>
      </c>
      <c r="K277" s="5" t="e">
        <f>'[2].xls].xls].xls].xls].xls].xls].xls].'!G90</f>
        <v>#REF!</v>
      </c>
      <c r="L277" s="5" t="e">
        <f t="shared" si="25"/>
        <v>#REF!</v>
      </c>
      <c r="M277" s="5" t="e">
        <f t="shared" si="26"/>
        <v>#REF!</v>
      </c>
      <c r="N277" s="5" t="e">
        <f t="shared" si="26"/>
        <v>#REF!</v>
      </c>
      <c r="O277" s="8" t="s">
        <v>221</v>
      </c>
      <c r="T277">
        <v>0</v>
      </c>
      <c r="AC277">
        <v>1</v>
      </c>
    </row>
    <row r="278" spans="1:29" ht="30" customHeight="1" x14ac:dyDescent="0.3">
      <c r="A278" s="8" t="s">
        <v>556</v>
      </c>
      <c r="B278" s="8" t="s">
        <v>223</v>
      </c>
      <c r="C278" s="8" t="s">
        <v>219</v>
      </c>
      <c r="D278" s="8" t="s">
        <v>224</v>
      </c>
      <c r="E278" s="8" t="s">
        <v>168</v>
      </c>
      <c r="F278" s="9">
        <v>522</v>
      </c>
      <c r="G278" s="5" t="e">
        <f>'[2].xls].xls].xls].xls].xls].xls].xls].'!E91</f>
        <v>#REF!</v>
      </c>
      <c r="H278" s="5" t="e">
        <f t="shared" si="23"/>
        <v>#REF!</v>
      </c>
      <c r="I278" s="5" t="e">
        <f>'[2].xls].xls].xls].xls].xls].xls].xls].'!F91</f>
        <v>#REF!</v>
      </c>
      <c r="J278" s="5" t="e">
        <f t="shared" si="24"/>
        <v>#REF!</v>
      </c>
      <c r="K278" s="5" t="e">
        <f>'[2].xls].xls].xls].xls].xls].xls].xls].'!G91</f>
        <v>#REF!</v>
      </c>
      <c r="L278" s="5" t="e">
        <f t="shared" si="25"/>
        <v>#REF!</v>
      </c>
      <c r="M278" s="5" t="e">
        <f t="shared" si="26"/>
        <v>#REF!</v>
      </c>
      <c r="N278" s="5" t="e">
        <f t="shared" si="26"/>
        <v>#REF!</v>
      </c>
      <c r="O278" s="8" t="s">
        <v>223</v>
      </c>
      <c r="T278">
        <v>0</v>
      </c>
      <c r="AC278">
        <v>1</v>
      </c>
    </row>
    <row r="279" spans="1:29" ht="30" customHeight="1" x14ac:dyDescent="0.3">
      <c r="A279" s="8" t="s">
        <v>556</v>
      </c>
      <c r="B279" s="8" t="s">
        <v>225</v>
      </c>
      <c r="C279" s="8" t="s">
        <v>219</v>
      </c>
      <c r="D279" s="8" t="s">
        <v>226</v>
      </c>
      <c r="E279" s="8" t="s">
        <v>168</v>
      </c>
      <c r="F279" s="9">
        <v>51</v>
      </c>
      <c r="G279" s="5" t="e">
        <f>'[2].xls].xls].xls].xls].xls].xls].xls].'!E92</f>
        <v>#REF!</v>
      </c>
      <c r="H279" s="5" t="e">
        <f t="shared" si="23"/>
        <v>#REF!</v>
      </c>
      <c r="I279" s="5" t="e">
        <f>'[2].xls].xls].xls].xls].xls].xls].xls].'!F92</f>
        <v>#REF!</v>
      </c>
      <c r="J279" s="5" t="e">
        <f t="shared" si="24"/>
        <v>#REF!</v>
      </c>
      <c r="K279" s="5" t="e">
        <f>'[2].xls].xls].xls].xls].xls].xls].xls].'!G92</f>
        <v>#REF!</v>
      </c>
      <c r="L279" s="5" t="e">
        <f t="shared" si="25"/>
        <v>#REF!</v>
      </c>
      <c r="M279" s="5" t="e">
        <f t="shared" si="26"/>
        <v>#REF!</v>
      </c>
      <c r="N279" s="5" t="e">
        <f t="shared" si="26"/>
        <v>#REF!</v>
      </c>
      <c r="O279" s="8" t="s">
        <v>225</v>
      </c>
      <c r="T279">
        <v>0</v>
      </c>
      <c r="AC279">
        <v>1</v>
      </c>
    </row>
    <row r="280" spans="1:29" ht="30" customHeight="1" x14ac:dyDescent="0.3">
      <c r="A280" s="8" t="s">
        <v>556</v>
      </c>
      <c r="B280" s="8" t="s">
        <v>227</v>
      </c>
      <c r="C280" s="8" t="s">
        <v>219</v>
      </c>
      <c r="D280" s="8" t="s">
        <v>228</v>
      </c>
      <c r="E280" s="8" t="s">
        <v>168</v>
      </c>
      <c r="F280" s="9">
        <v>106</v>
      </c>
      <c r="G280" s="5" t="e">
        <f>'[2].xls].xls].xls].xls].xls].xls].xls].'!E93</f>
        <v>#REF!</v>
      </c>
      <c r="H280" s="5" t="e">
        <f t="shared" si="23"/>
        <v>#REF!</v>
      </c>
      <c r="I280" s="5" t="e">
        <f>'[2].xls].xls].xls].xls].xls].xls].xls].'!F93</f>
        <v>#REF!</v>
      </c>
      <c r="J280" s="5" t="e">
        <f t="shared" si="24"/>
        <v>#REF!</v>
      </c>
      <c r="K280" s="5" t="e">
        <f>'[2].xls].xls].xls].xls].xls].xls].xls].'!G93</f>
        <v>#REF!</v>
      </c>
      <c r="L280" s="5" t="e">
        <f t="shared" si="25"/>
        <v>#REF!</v>
      </c>
      <c r="M280" s="5" t="e">
        <f t="shared" si="26"/>
        <v>#REF!</v>
      </c>
      <c r="N280" s="5" t="e">
        <f t="shared" si="26"/>
        <v>#REF!</v>
      </c>
      <c r="O280" s="8" t="s">
        <v>227</v>
      </c>
      <c r="T280">
        <v>0</v>
      </c>
      <c r="AC280">
        <v>1</v>
      </c>
    </row>
    <row r="281" spans="1:29" ht="30" customHeight="1" x14ac:dyDescent="0.3">
      <c r="A281" s="8" t="s">
        <v>556</v>
      </c>
      <c r="B281" s="8" t="s">
        <v>559</v>
      </c>
      <c r="C281" s="8" t="s">
        <v>219</v>
      </c>
      <c r="D281" s="8" t="s">
        <v>560</v>
      </c>
      <c r="E281" s="8" t="s">
        <v>168</v>
      </c>
      <c r="F281" s="9">
        <v>1927</v>
      </c>
      <c r="G281" s="5" t="e">
        <f>'[2].xls].xls].xls].xls].xls].xls].xls].'!E102</f>
        <v>#REF!</v>
      </c>
      <c r="H281" s="5" t="e">
        <f t="shared" si="23"/>
        <v>#REF!</v>
      </c>
      <c r="I281" s="5" t="e">
        <f>'[2].xls].xls].xls].xls].xls].xls].xls].'!F102</f>
        <v>#REF!</v>
      </c>
      <c r="J281" s="5" t="e">
        <f t="shared" si="24"/>
        <v>#REF!</v>
      </c>
      <c r="K281" s="5" t="e">
        <f>'[2].xls].xls].xls].xls].xls].xls].xls].'!G102</f>
        <v>#REF!</v>
      </c>
      <c r="L281" s="5" t="e">
        <f t="shared" si="25"/>
        <v>#REF!</v>
      </c>
      <c r="M281" s="5" t="e">
        <f t="shared" si="26"/>
        <v>#REF!</v>
      </c>
      <c r="N281" s="5" t="e">
        <f t="shared" si="26"/>
        <v>#REF!</v>
      </c>
      <c r="O281" s="8" t="s">
        <v>559</v>
      </c>
      <c r="T281">
        <v>0</v>
      </c>
      <c r="AC281">
        <v>1</v>
      </c>
    </row>
    <row r="282" spans="1:29" ht="30" customHeight="1" x14ac:dyDescent="0.3">
      <c r="A282" s="8" t="s">
        <v>556</v>
      </c>
      <c r="B282" s="8" t="s">
        <v>237</v>
      </c>
      <c r="C282" s="8" t="s">
        <v>219</v>
      </c>
      <c r="D282" s="8" t="s">
        <v>238</v>
      </c>
      <c r="E282" s="8" t="s">
        <v>168</v>
      </c>
      <c r="F282" s="9">
        <v>304</v>
      </c>
      <c r="G282" s="5" t="e">
        <f>'[2].xls].xls].xls].xls].xls].xls].xls].'!E103</f>
        <v>#REF!</v>
      </c>
      <c r="H282" s="5" t="e">
        <f t="shared" si="23"/>
        <v>#REF!</v>
      </c>
      <c r="I282" s="5" t="e">
        <f>'[2].xls].xls].xls].xls].xls].xls].xls].'!F103</f>
        <v>#REF!</v>
      </c>
      <c r="J282" s="5" t="e">
        <f t="shared" si="24"/>
        <v>#REF!</v>
      </c>
      <c r="K282" s="5" t="e">
        <f>'[2].xls].xls].xls].xls].xls].xls].xls].'!G103</f>
        <v>#REF!</v>
      </c>
      <c r="L282" s="5" t="e">
        <f t="shared" si="25"/>
        <v>#REF!</v>
      </c>
      <c r="M282" s="5" t="e">
        <f t="shared" si="26"/>
        <v>#REF!</v>
      </c>
      <c r="N282" s="5" t="e">
        <f t="shared" si="26"/>
        <v>#REF!</v>
      </c>
      <c r="O282" s="8" t="s">
        <v>237</v>
      </c>
      <c r="T282">
        <v>0</v>
      </c>
      <c r="AC282">
        <v>1</v>
      </c>
    </row>
    <row r="283" spans="1:29" ht="30" customHeight="1" x14ac:dyDescent="0.3">
      <c r="A283" s="8" t="s">
        <v>556</v>
      </c>
      <c r="B283" s="8" t="s">
        <v>239</v>
      </c>
      <c r="C283" s="8" t="s">
        <v>219</v>
      </c>
      <c r="D283" s="8" t="s">
        <v>240</v>
      </c>
      <c r="E283" s="8" t="s">
        <v>168</v>
      </c>
      <c r="F283" s="9">
        <v>643</v>
      </c>
      <c r="G283" s="5" t="e">
        <f>'[2].xls].xls].xls].xls].xls].xls].xls].'!E104</f>
        <v>#REF!</v>
      </c>
      <c r="H283" s="5" t="e">
        <f t="shared" si="23"/>
        <v>#REF!</v>
      </c>
      <c r="I283" s="5" t="e">
        <f>'[2].xls].xls].xls].xls].xls].xls].xls].'!F104</f>
        <v>#REF!</v>
      </c>
      <c r="J283" s="5" t="e">
        <f t="shared" si="24"/>
        <v>#REF!</v>
      </c>
      <c r="K283" s="5" t="e">
        <f>'[2].xls].xls].xls].xls].xls].xls].xls].'!G104</f>
        <v>#REF!</v>
      </c>
      <c r="L283" s="5" t="e">
        <f t="shared" si="25"/>
        <v>#REF!</v>
      </c>
      <c r="M283" s="5" t="e">
        <f t="shared" si="26"/>
        <v>#REF!</v>
      </c>
      <c r="N283" s="5" t="e">
        <f t="shared" si="26"/>
        <v>#REF!</v>
      </c>
      <c r="O283" s="8" t="s">
        <v>239</v>
      </c>
      <c r="T283">
        <v>0</v>
      </c>
      <c r="AC283">
        <v>1</v>
      </c>
    </row>
    <row r="284" spans="1:29" ht="30" customHeight="1" x14ac:dyDescent="0.3">
      <c r="A284" s="8" t="s">
        <v>556</v>
      </c>
      <c r="B284" s="8" t="s">
        <v>241</v>
      </c>
      <c r="C284" s="8" t="s">
        <v>219</v>
      </c>
      <c r="D284" s="8" t="s">
        <v>242</v>
      </c>
      <c r="E284" s="8" t="s">
        <v>168</v>
      </c>
      <c r="F284" s="9">
        <v>295</v>
      </c>
      <c r="G284" s="5" t="e">
        <f>'[2].xls].xls].xls].xls].xls].xls].xls].'!E105</f>
        <v>#REF!</v>
      </c>
      <c r="H284" s="5" t="e">
        <f t="shared" si="23"/>
        <v>#REF!</v>
      </c>
      <c r="I284" s="5" t="e">
        <f>'[2].xls].xls].xls].xls].xls].xls].xls].'!F105</f>
        <v>#REF!</v>
      </c>
      <c r="J284" s="5" t="e">
        <f t="shared" si="24"/>
        <v>#REF!</v>
      </c>
      <c r="K284" s="5" t="e">
        <f>'[2].xls].xls].xls].xls].xls].xls].xls].'!G105</f>
        <v>#REF!</v>
      </c>
      <c r="L284" s="5" t="e">
        <f t="shared" si="25"/>
        <v>#REF!</v>
      </c>
      <c r="M284" s="5" t="e">
        <f t="shared" si="26"/>
        <v>#REF!</v>
      </c>
      <c r="N284" s="5" t="e">
        <f t="shared" si="26"/>
        <v>#REF!</v>
      </c>
      <c r="O284" s="8" t="s">
        <v>241</v>
      </c>
      <c r="T284">
        <v>0</v>
      </c>
      <c r="AC284">
        <v>1</v>
      </c>
    </row>
    <row r="285" spans="1:29" ht="30" customHeight="1" x14ac:dyDescent="0.3">
      <c r="A285" s="8" t="s">
        <v>556</v>
      </c>
      <c r="B285" s="8" t="s">
        <v>561</v>
      </c>
      <c r="C285" s="8" t="s">
        <v>219</v>
      </c>
      <c r="D285" s="8" t="s">
        <v>562</v>
      </c>
      <c r="E285" s="8" t="s">
        <v>168</v>
      </c>
      <c r="F285" s="9">
        <v>6</v>
      </c>
      <c r="G285" s="5" t="e">
        <f>'[2].xls].xls].xls].xls].xls].xls].xls].'!E106</f>
        <v>#REF!</v>
      </c>
      <c r="H285" s="5" t="e">
        <f t="shared" si="23"/>
        <v>#REF!</v>
      </c>
      <c r="I285" s="5" t="e">
        <f>'[2].xls].xls].xls].xls].xls].xls].xls].'!F106</f>
        <v>#REF!</v>
      </c>
      <c r="J285" s="5" t="e">
        <f t="shared" si="24"/>
        <v>#REF!</v>
      </c>
      <c r="K285" s="5" t="e">
        <f>'[2].xls].xls].xls].xls].xls].xls].xls].'!G106</f>
        <v>#REF!</v>
      </c>
      <c r="L285" s="5" t="e">
        <f t="shared" si="25"/>
        <v>#REF!</v>
      </c>
      <c r="M285" s="5" t="e">
        <f t="shared" si="26"/>
        <v>#REF!</v>
      </c>
      <c r="N285" s="5" t="e">
        <f t="shared" si="26"/>
        <v>#REF!</v>
      </c>
      <c r="O285" s="8" t="s">
        <v>561</v>
      </c>
      <c r="T285">
        <v>0</v>
      </c>
      <c r="AC285">
        <v>1</v>
      </c>
    </row>
    <row r="286" spans="1:29" ht="30" customHeight="1" x14ac:dyDescent="0.3">
      <c r="A286" s="8" t="s">
        <v>556</v>
      </c>
      <c r="B286" s="8" t="s">
        <v>243</v>
      </c>
      <c r="C286" s="8" t="s">
        <v>219</v>
      </c>
      <c r="D286" s="8" t="s">
        <v>244</v>
      </c>
      <c r="E286" s="8" t="s">
        <v>168</v>
      </c>
      <c r="F286" s="9">
        <v>251</v>
      </c>
      <c r="G286" s="5" t="e">
        <f>'[2].xls].xls].xls].xls].xls].xls].xls].'!E107</f>
        <v>#REF!</v>
      </c>
      <c r="H286" s="5" t="e">
        <f t="shared" si="23"/>
        <v>#REF!</v>
      </c>
      <c r="I286" s="5" t="e">
        <f>'[2].xls].xls].xls].xls].xls].xls].xls].'!F107</f>
        <v>#REF!</v>
      </c>
      <c r="J286" s="5" t="e">
        <f t="shared" si="24"/>
        <v>#REF!</v>
      </c>
      <c r="K286" s="5" t="e">
        <f>'[2].xls].xls].xls].xls].xls].xls].xls].'!G107</f>
        <v>#REF!</v>
      </c>
      <c r="L286" s="5" t="e">
        <f t="shared" si="25"/>
        <v>#REF!</v>
      </c>
      <c r="M286" s="5" t="e">
        <f t="shared" si="26"/>
        <v>#REF!</v>
      </c>
      <c r="N286" s="5" t="e">
        <f t="shared" si="26"/>
        <v>#REF!</v>
      </c>
      <c r="O286" s="8" t="s">
        <v>243</v>
      </c>
      <c r="T286">
        <v>0</v>
      </c>
      <c r="AC286">
        <v>1</v>
      </c>
    </row>
    <row r="287" spans="1:29" ht="30" customHeight="1" x14ac:dyDescent="0.3">
      <c r="A287" s="8" t="s">
        <v>556</v>
      </c>
      <c r="B287" s="8" t="s">
        <v>245</v>
      </c>
      <c r="C287" s="8" t="s">
        <v>219</v>
      </c>
      <c r="D287" s="8" t="s">
        <v>246</v>
      </c>
      <c r="E287" s="8" t="s">
        <v>168</v>
      </c>
      <c r="F287" s="9">
        <v>538</v>
      </c>
      <c r="G287" s="5" t="e">
        <f>'[2].xls].xls].xls].xls].xls].xls].xls].'!E108</f>
        <v>#REF!</v>
      </c>
      <c r="H287" s="5" t="e">
        <f t="shared" si="23"/>
        <v>#REF!</v>
      </c>
      <c r="I287" s="5" t="e">
        <f>'[2].xls].xls].xls].xls].xls].xls].xls].'!F108</f>
        <v>#REF!</v>
      </c>
      <c r="J287" s="5" t="e">
        <f t="shared" si="24"/>
        <v>#REF!</v>
      </c>
      <c r="K287" s="5" t="e">
        <f>'[2].xls].xls].xls].xls].xls].xls].xls].'!G108</f>
        <v>#REF!</v>
      </c>
      <c r="L287" s="5" t="e">
        <f t="shared" si="25"/>
        <v>#REF!</v>
      </c>
      <c r="M287" s="5" t="e">
        <f t="shared" si="26"/>
        <v>#REF!</v>
      </c>
      <c r="N287" s="5" t="e">
        <f t="shared" si="26"/>
        <v>#REF!</v>
      </c>
      <c r="O287" s="8" t="s">
        <v>245</v>
      </c>
      <c r="T287">
        <v>0</v>
      </c>
      <c r="AC287">
        <v>1</v>
      </c>
    </row>
    <row r="288" spans="1:29" ht="30" customHeight="1" x14ac:dyDescent="0.3">
      <c r="A288" s="8" t="s">
        <v>556</v>
      </c>
      <c r="B288" s="8" t="s">
        <v>247</v>
      </c>
      <c r="C288" s="8" t="s">
        <v>219</v>
      </c>
      <c r="D288" s="8" t="s">
        <v>248</v>
      </c>
      <c r="E288" s="8" t="s">
        <v>168</v>
      </c>
      <c r="F288" s="9">
        <v>78</v>
      </c>
      <c r="G288" s="5" t="e">
        <f>'[2].xls].xls].xls].xls].xls].xls].xls].'!E109</f>
        <v>#REF!</v>
      </c>
      <c r="H288" s="5" t="e">
        <f t="shared" si="23"/>
        <v>#REF!</v>
      </c>
      <c r="I288" s="5" t="e">
        <f>'[2].xls].xls].xls].xls].xls].xls].xls].'!F109</f>
        <v>#REF!</v>
      </c>
      <c r="J288" s="5" t="e">
        <f t="shared" si="24"/>
        <v>#REF!</v>
      </c>
      <c r="K288" s="5" t="e">
        <f>'[2].xls].xls].xls].xls].xls].xls].xls].'!G109</f>
        <v>#REF!</v>
      </c>
      <c r="L288" s="5" t="e">
        <f t="shared" si="25"/>
        <v>#REF!</v>
      </c>
      <c r="M288" s="5" t="e">
        <f t="shared" si="26"/>
        <v>#REF!</v>
      </c>
      <c r="N288" s="5" t="e">
        <f t="shared" si="26"/>
        <v>#REF!</v>
      </c>
      <c r="O288" s="8" t="s">
        <v>247</v>
      </c>
      <c r="T288">
        <v>0</v>
      </c>
      <c r="AC288">
        <v>1</v>
      </c>
    </row>
    <row r="289" spans="1:29" ht="30" customHeight="1" x14ac:dyDescent="0.3">
      <c r="A289" s="8" t="s">
        <v>556</v>
      </c>
      <c r="B289" s="8" t="s">
        <v>249</v>
      </c>
      <c r="C289" s="8" t="s">
        <v>219</v>
      </c>
      <c r="D289" s="8" t="s">
        <v>250</v>
      </c>
      <c r="E289" s="8" t="s">
        <v>168</v>
      </c>
      <c r="F289" s="9">
        <v>251</v>
      </c>
      <c r="G289" s="5" t="e">
        <f>'[2].xls].xls].xls].xls].xls].xls].xls].'!E110</f>
        <v>#REF!</v>
      </c>
      <c r="H289" s="5" t="e">
        <f t="shared" si="23"/>
        <v>#REF!</v>
      </c>
      <c r="I289" s="5" t="e">
        <f>'[2].xls].xls].xls].xls].xls].xls].xls].'!F110</f>
        <v>#REF!</v>
      </c>
      <c r="J289" s="5" t="e">
        <f t="shared" si="24"/>
        <v>#REF!</v>
      </c>
      <c r="K289" s="5" t="e">
        <f>'[2].xls].xls].xls].xls].xls].xls].xls].'!G110</f>
        <v>#REF!</v>
      </c>
      <c r="L289" s="5" t="e">
        <f t="shared" si="25"/>
        <v>#REF!</v>
      </c>
      <c r="M289" s="5" t="e">
        <f t="shared" si="26"/>
        <v>#REF!</v>
      </c>
      <c r="N289" s="5" t="e">
        <f t="shared" si="26"/>
        <v>#REF!</v>
      </c>
      <c r="O289" s="8" t="s">
        <v>249</v>
      </c>
      <c r="T289">
        <v>0</v>
      </c>
      <c r="AC289">
        <v>1</v>
      </c>
    </row>
    <row r="290" spans="1:29" ht="30" customHeight="1" x14ac:dyDescent="0.3">
      <c r="A290" s="8" t="s">
        <v>556</v>
      </c>
      <c r="B290" s="8" t="s">
        <v>563</v>
      </c>
      <c r="C290" s="8" t="s">
        <v>219</v>
      </c>
      <c r="D290" s="8" t="s">
        <v>564</v>
      </c>
      <c r="E290" s="8" t="s">
        <v>168</v>
      </c>
      <c r="F290" s="9">
        <v>116</v>
      </c>
      <c r="G290" s="5" t="e">
        <f>'[2].xls].xls].xls].xls].xls].xls].xls].'!E111</f>
        <v>#REF!</v>
      </c>
      <c r="H290" s="5" t="e">
        <f t="shared" si="23"/>
        <v>#REF!</v>
      </c>
      <c r="I290" s="5" t="e">
        <f>'[2].xls].xls].xls].xls].xls].xls].xls].'!F111</f>
        <v>#REF!</v>
      </c>
      <c r="J290" s="5" t="e">
        <f t="shared" si="24"/>
        <v>#REF!</v>
      </c>
      <c r="K290" s="5" t="e">
        <f>'[2].xls].xls].xls].xls].xls].xls].xls].'!G111</f>
        <v>#REF!</v>
      </c>
      <c r="L290" s="5" t="e">
        <f t="shared" si="25"/>
        <v>#REF!</v>
      </c>
      <c r="M290" s="5" t="e">
        <f t="shared" si="26"/>
        <v>#REF!</v>
      </c>
      <c r="N290" s="5" t="e">
        <f t="shared" si="26"/>
        <v>#REF!</v>
      </c>
      <c r="O290" s="8" t="s">
        <v>563</v>
      </c>
      <c r="T290">
        <v>0</v>
      </c>
      <c r="AC290">
        <v>1</v>
      </c>
    </row>
    <row r="291" spans="1:29" ht="30" customHeight="1" x14ac:dyDescent="0.3">
      <c r="A291" s="8" t="s">
        <v>556</v>
      </c>
      <c r="B291" s="8" t="s">
        <v>565</v>
      </c>
      <c r="C291" s="8" t="s">
        <v>219</v>
      </c>
      <c r="D291" s="8" t="s">
        <v>566</v>
      </c>
      <c r="E291" s="8" t="s">
        <v>168</v>
      </c>
      <c r="F291" s="9">
        <v>27</v>
      </c>
      <c r="G291" s="5" t="e">
        <f>'[2].xls].xls].xls].xls].xls].xls].xls].'!E112</f>
        <v>#REF!</v>
      </c>
      <c r="H291" s="5" t="e">
        <f t="shared" si="23"/>
        <v>#REF!</v>
      </c>
      <c r="I291" s="5" t="e">
        <f>'[2].xls].xls].xls].xls].xls].xls].xls].'!F112</f>
        <v>#REF!</v>
      </c>
      <c r="J291" s="5" t="e">
        <f t="shared" si="24"/>
        <v>#REF!</v>
      </c>
      <c r="K291" s="5" t="e">
        <f>'[2].xls].xls].xls].xls].xls].xls].xls].'!G112</f>
        <v>#REF!</v>
      </c>
      <c r="L291" s="5" t="e">
        <f t="shared" si="25"/>
        <v>#REF!</v>
      </c>
      <c r="M291" s="5" t="e">
        <f t="shared" si="26"/>
        <v>#REF!</v>
      </c>
      <c r="N291" s="5" t="e">
        <f t="shared" si="26"/>
        <v>#REF!</v>
      </c>
      <c r="O291" s="8" t="s">
        <v>565</v>
      </c>
      <c r="T291">
        <v>0</v>
      </c>
      <c r="AC291">
        <v>1</v>
      </c>
    </row>
    <row r="292" spans="1:29" ht="30" customHeight="1" x14ac:dyDescent="0.3">
      <c r="A292" s="8" t="s">
        <v>556</v>
      </c>
      <c r="B292" s="8" t="s">
        <v>251</v>
      </c>
      <c r="C292" s="8" t="s">
        <v>252</v>
      </c>
      <c r="D292" s="8" t="s">
        <v>253</v>
      </c>
      <c r="E292" s="8" t="s">
        <v>179</v>
      </c>
      <c r="F292" s="9">
        <v>1942</v>
      </c>
      <c r="G292" s="5">
        <f>TRUNC([1]단가대비표!O227,0)</f>
        <v>2690</v>
      </c>
      <c r="H292" s="5">
        <f t="shared" si="23"/>
        <v>5223980</v>
      </c>
      <c r="I292" s="5">
        <v>0</v>
      </c>
      <c r="J292" s="5">
        <f t="shared" si="24"/>
        <v>0</v>
      </c>
      <c r="K292" s="5">
        <v>0</v>
      </c>
      <c r="L292" s="5">
        <f t="shared" si="25"/>
        <v>0</v>
      </c>
      <c r="M292" s="5">
        <f t="shared" si="26"/>
        <v>2690</v>
      </c>
      <c r="N292" s="5">
        <f t="shared" si="26"/>
        <v>5223980</v>
      </c>
      <c r="O292" s="8" t="s">
        <v>20</v>
      </c>
      <c r="T292">
        <v>0</v>
      </c>
      <c r="AC292">
        <v>1</v>
      </c>
    </row>
    <row r="293" spans="1:29" ht="30" customHeight="1" x14ac:dyDescent="0.3">
      <c r="A293" s="8" t="s">
        <v>556</v>
      </c>
      <c r="B293" s="8" t="s">
        <v>254</v>
      </c>
      <c r="C293" s="8" t="s">
        <v>252</v>
      </c>
      <c r="D293" s="8" t="s">
        <v>255</v>
      </c>
      <c r="E293" s="8" t="s">
        <v>179</v>
      </c>
      <c r="F293" s="9">
        <v>20</v>
      </c>
      <c r="G293" s="5">
        <f>TRUNC([1]단가대비표!O228,0)</f>
        <v>3520</v>
      </c>
      <c r="H293" s="5">
        <f t="shared" si="23"/>
        <v>70400</v>
      </c>
      <c r="I293" s="5">
        <v>0</v>
      </c>
      <c r="J293" s="5">
        <f t="shared" si="24"/>
        <v>0</v>
      </c>
      <c r="K293" s="5">
        <v>0</v>
      </c>
      <c r="L293" s="5">
        <f t="shared" si="25"/>
        <v>0</v>
      </c>
      <c r="M293" s="5">
        <f t="shared" si="26"/>
        <v>3520</v>
      </c>
      <c r="N293" s="5">
        <f t="shared" si="26"/>
        <v>70400</v>
      </c>
      <c r="O293" s="8" t="s">
        <v>20</v>
      </c>
      <c r="T293">
        <v>0</v>
      </c>
      <c r="AC293">
        <v>1</v>
      </c>
    </row>
    <row r="294" spans="1:29" ht="30" customHeight="1" x14ac:dyDescent="0.3">
      <c r="A294" s="8" t="s">
        <v>556</v>
      </c>
      <c r="B294" s="8" t="s">
        <v>256</v>
      </c>
      <c r="C294" s="8" t="s">
        <v>252</v>
      </c>
      <c r="D294" s="8" t="s">
        <v>257</v>
      </c>
      <c r="E294" s="8" t="s">
        <v>179</v>
      </c>
      <c r="F294" s="9">
        <v>68</v>
      </c>
      <c r="G294" s="5">
        <f>TRUNC([1]단가대비표!O229,0)</f>
        <v>6990</v>
      </c>
      <c r="H294" s="5">
        <f t="shared" si="23"/>
        <v>475320</v>
      </c>
      <c r="I294" s="5">
        <v>0</v>
      </c>
      <c r="J294" s="5">
        <f t="shared" si="24"/>
        <v>0</v>
      </c>
      <c r="K294" s="5">
        <v>0</v>
      </c>
      <c r="L294" s="5">
        <f t="shared" si="25"/>
        <v>0</v>
      </c>
      <c r="M294" s="5">
        <f t="shared" si="26"/>
        <v>6990</v>
      </c>
      <c r="N294" s="5">
        <f t="shared" si="26"/>
        <v>475320</v>
      </c>
      <c r="O294" s="8" t="s">
        <v>20</v>
      </c>
      <c r="T294">
        <v>0</v>
      </c>
      <c r="AC294">
        <v>1</v>
      </c>
    </row>
    <row r="295" spans="1:29" ht="30" customHeight="1" x14ac:dyDescent="0.3">
      <c r="A295" s="8" t="s">
        <v>556</v>
      </c>
      <c r="B295" s="8" t="s">
        <v>258</v>
      </c>
      <c r="C295" s="8" t="s">
        <v>252</v>
      </c>
      <c r="D295" s="8" t="s">
        <v>259</v>
      </c>
      <c r="E295" s="8" t="s">
        <v>179</v>
      </c>
      <c r="F295" s="9">
        <v>35</v>
      </c>
      <c r="G295" s="5">
        <f>TRUNC([1]단가대비표!O230,0)</f>
        <v>8650</v>
      </c>
      <c r="H295" s="5">
        <f t="shared" si="23"/>
        <v>302750</v>
      </c>
      <c r="I295" s="5">
        <v>0</v>
      </c>
      <c r="J295" s="5">
        <f t="shared" si="24"/>
        <v>0</v>
      </c>
      <c r="K295" s="5">
        <v>0</v>
      </c>
      <c r="L295" s="5">
        <f t="shared" si="25"/>
        <v>0</v>
      </c>
      <c r="M295" s="5">
        <f t="shared" si="26"/>
        <v>8650</v>
      </c>
      <c r="N295" s="5">
        <f t="shared" si="26"/>
        <v>302750</v>
      </c>
      <c r="O295" s="8" t="s">
        <v>20</v>
      </c>
      <c r="T295">
        <v>0</v>
      </c>
      <c r="AC295">
        <v>1</v>
      </c>
    </row>
    <row r="296" spans="1:29" ht="30" customHeight="1" x14ac:dyDescent="0.3">
      <c r="A296" s="8" t="s">
        <v>556</v>
      </c>
      <c r="B296" s="8" t="s">
        <v>260</v>
      </c>
      <c r="C296" s="8" t="s">
        <v>252</v>
      </c>
      <c r="D296" s="8" t="s">
        <v>261</v>
      </c>
      <c r="E296" s="8" t="s">
        <v>179</v>
      </c>
      <c r="F296" s="9">
        <v>33</v>
      </c>
      <c r="G296" s="5">
        <f>TRUNC([1]단가대비표!O231,0)</f>
        <v>11460</v>
      </c>
      <c r="H296" s="5">
        <f t="shared" si="23"/>
        <v>378180</v>
      </c>
      <c r="I296" s="5">
        <v>0</v>
      </c>
      <c r="J296" s="5">
        <f t="shared" si="24"/>
        <v>0</v>
      </c>
      <c r="K296" s="5">
        <v>0</v>
      </c>
      <c r="L296" s="5">
        <f t="shared" si="25"/>
        <v>0</v>
      </c>
      <c r="M296" s="5">
        <f t="shared" si="26"/>
        <v>11460</v>
      </c>
      <c r="N296" s="5">
        <f t="shared" si="26"/>
        <v>378180</v>
      </c>
      <c r="O296" s="8" t="s">
        <v>20</v>
      </c>
      <c r="T296">
        <v>0</v>
      </c>
      <c r="AC296">
        <v>1</v>
      </c>
    </row>
    <row r="297" spans="1:29" ht="30" customHeight="1" x14ac:dyDescent="0.3">
      <c r="A297" s="8" t="s">
        <v>556</v>
      </c>
      <c r="B297" s="8" t="s">
        <v>262</v>
      </c>
      <c r="C297" s="8" t="s">
        <v>252</v>
      </c>
      <c r="D297" s="8" t="s">
        <v>263</v>
      </c>
      <c r="E297" s="8" t="s">
        <v>179</v>
      </c>
      <c r="F297" s="9">
        <v>73</v>
      </c>
      <c r="G297" s="5">
        <f>TRUNC([1]단가대비표!O232,0)</f>
        <v>14620</v>
      </c>
      <c r="H297" s="5">
        <f t="shared" si="23"/>
        <v>1067260</v>
      </c>
      <c r="I297" s="5">
        <v>0</v>
      </c>
      <c r="J297" s="5">
        <f t="shared" si="24"/>
        <v>0</v>
      </c>
      <c r="K297" s="5">
        <v>0</v>
      </c>
      <c r="L297" s="5">
        <f t="shared" si="25"/>
        <v>0</v>
      </c>
      <c r="M297" s="5">
        <f t="shared" ref="M297:N328" si="27">G297+I297+K297</f>
        <v>14620</v>
      </c>
      <c r="N297" s="5">
        <f t="shared" si="27"/>
        <v>1067260</v>
      </c>
      <c r="O297" s="8" t="s">
        <v>20</v>
      </c>
      <c r="T297">
        <v>0</v>
      </c>
      <c r="AC297">
        <v>1</v>
      </c>
    </row>
    <row r="298" spans="1:29" ht="30" customHeight="1" x14ac:dyDescent="0.3">
      <c r="A298" s="8" t="s">
        <v>556</v>
      </c>
      <c r="B298" s="8" t="s">
        <v>264</v>
      </c>
      <c r="C298" s="8" t="s">
        <v>252</v>
      </c>
      <c r="D298" s="8" t="s">
        <v>265</v>
      </c>
      <c r="E298" s="8" t="s">
        <v>179</v>
      </c>
      <c r="F298" s="9">
        <v>17</v>
      </c>
      <c r="G298" s="5">
        <f>TRUNC([1]단가대비표!O233,0)</f>
        <v>46490</v>
      </c>
      <c r="H298" s="5">
        <f t="shared" si="23"/>
        <v>790330</v>
      </c>
      <c r="I298" s="5">
        <v>0</v>
      </c>
      <c r="J298" s="5">
        <f t="shared" si="24"/>
        <v>0</v>
      </c>
      <c r="K298" s="5">
        <v>0</v>
      </c>
      <c r="L298" s="5">
        <f t="shared" si="25"/>
        <v>0</v>
      </c>
      <c r="M298" s="5">
        <f t="shared" si="27"/>
        <v>46490</v>
      </c>
      <c r="N298" s="5">
        <f t="shared" si="27"/>
        <v>790330</v>
      </c>
      <c r="O298" s="8" t="s">
        <v>20</v>
      </c>
      <c r="T298">
        <v>0</v>
      </c>
      <c r="AC298">
        <v>1</v>
      </c>
    </row>
    <row r="299" spans="1:29" ht="30" customHeight="1" x14ac:dyDescent="0.3">
      <c r="A299" s="8" t="s">
        <v>556</v>
      </c>
      <c r="B299" s="8" t="s">
        <v>266</v>
      </c>
      <c r="C299" s="8" t="s">
        <v>252</v>
      </c>
      <c r="D299" s="8" t="s">
        <v>267</v>
      </c>
      <c r="E299" s="8" t="s">
        <v>179</v>
      </c>
      <c r="F299" s="9">
        <v>20</v>
      </c>
      <c r="G299" s="5">
        <f>TRUNC([1]단가대비표!O234,0)</f>
        <v>66510</v>
      </c>
      <c r="H299" s="5">
        <f t="shared" si="23"/>
        <v>1330200</v>
      </c>
      <c r="I299" s="5">
        <v>0</v>
      </c>
      <c r="J299" s="5">
        <f t="shared" si="24"/>
        <v>0</v>
      </c>
      <c r="K299" s="5">
        <v>0</v>
      </c>
      <c r="L299" s="5">
        <f t="shared" si="25"/>
        <v>0</v>
      </c>
      <c r="M299" s="5">
        <f t="shared" si="27"/>
        <v>66510</v>
      </c>
      <c r="N299" s="5">
        <f t="shared" si="27"/>
        <v>1330200</v>
      </c>
      <c r="O299" s="8" t="s">
        <v>20</v>
      </c>
      <c r="T299">
        <v>0</v>
      </c>
      <c r="AC299">
        <v>1</v>
      </c>
    </row>
    <row r="300" spans="1:29" ht="30" customHeight="1" x14ac:dyDescent="0.3">
      <c r="A300" s="8" t="s">
        <v>556</v>
      </c>
      <c r="B300" s="8" t="s">
        <v>567</v>
      </c>
      <c r="C300" s="8" t="s">
        <v>252</v>
      </c>
      <c r="D300" s="8" t="s">
        <v>568</v>
      </c>
      <c r="E300" s="8" t="s">
        <v>179</v>
      </c>
      <c r="F300" s="9">
        <v>1</v>
      </c>
      <c r="G300" s="5">
        <f>TRUNC([1]단가대비표!O236,0)</f>
        <v>6900</v>
      </c>
      <c r="H300" s="5">
        <f t="shared" si="23"/>
        <v>6900</v>
      </c>
      <c r="I300" s="5">
        <v>0</v>
      </c>
      <c r="J300" s="5">
        <f t="shared" si="24"/>
        <v>0</v>
      </c>
      <c r="K300" s="5">
        <v>0</v>
      </c>
      <c r="L300" s="5">
        <f t="shared" si="25"/>
        <v>0</v>
      </c>
      <c r="M300" s="5">
        <f t="shared" si="27"/>
        <v>6900</v>
      </c>
      <c r="N300" s="5">
        <f t="shared" si="27"/>
        <v>6900</v>
      </c>
      <c r="O300" s="8" t="s">
        <v>20</v>
      </c>
      <c r="T300">
        <v>0</v>
      </c>
      <c r="AC300">
        <v>1</v>
      </c>
    </row>
    <row r="301" spans="1:29" ht="30" customHeight="1" x14ac:dyDescent="0.3">
      <c r="A301" s="8" t="s">
        <v>556</v>
      </c>
      <c r="B301" s="8" t="s">
        <v>268</v>
      </c>
      <c r="C301" s="8" t="s">
        <v>252</v>
      </c>
      <c r="D301" s="8" t="s">
        <v>269</v>
      </c>
      <c r="E301" s="8" t="s">
        <v>179</v>
      </c>
      <c r="F301" s="9">
        <v>112</v>
      </c>
      <c r="G301" s="5">
        <f>TRUNC([1]단가대비표!O237,0)</f>
        <v>10110</v>
      </c>
      <c r="H301" s="5">
        <f t="shared" si="23"/>
        <v>1132320</v>
      </c>
      <c r="I301" s="5">
        <v>0</v>
      </c>
      <c r="J301" s="5">
        <f t="shared" si="24"/>
        <v>0</v>
      </c>
      <c r="K301" s="5">
        <v>0</v>
      </c>
      <c r="L301" s="5">
        <f t="shared" si="25"/>
        <v>0</v>
      </c>
      <c r="M301" s="5">
        <f t="shared" si="27"/>
        <v>10110</v>
      </c>
      <c r="N301" s="5">
        <f t="shared" si="27"/>
        <v>1132320</v>
      </c>
      <c r="O301" s="8" t="s">
        <v>20</v>
      </c>
      <c r="T301">
        <v>0</v>
      </c>
      <c r="AC301">
        <v>1</v>
      </c>
    </row>
    <row r="302" spans="1:29" ht="30" customHeight="1" x14ac:dyDescent="0.3">
      <c r="A302" s="8" t="s">
        <v>556</v>
      </c>
      <c r="B302" s="8" t="s">
        <v>569</v>
      </c>
      <c r="C302" s="8" t="s">
        <v>252</v>
      </c>
      <c r="D302" s="8" t="s">
        <v>570</v>
      </c>
      <c r="E302" s="8" t="s">
        <v>179</v>
      </c>
      <c r="F302" s="9">
        <v>226</v>
      </c>
      <c r="G302" s="5">
        <f>TRUNC([1]단가대비표!O238,0)</f>
        <v>13500</v>
      </c>
      <c r="H302" s="5">
        <f t="shared" si="23"/>
        <v>3051000</v>
      </c>
      <c r="I302" s="5">
        <v>0</v>
      </c>
      <c r="J302" s="5">
        <f t="shared" si="24"/>
        <v>0</v>
      </c>
      <c r="K302" s="5">
        <v>0</v>
      </c>
      <c r="L302" s="5">
        <f t="shared" si="25"/>
        <v>0</v>
      </c>
      <c r="M302" s="5">
        <f t="shared" si="27"/>
        <v>13500</v>
      </c>
      <c r="N302" s="5">
        <f t="shared" si="27"/>
        <v>3051000</v>
      </c>
      <c r="O302" s="8" t="s">
        <v>20</v>
      </c>
      <c r="T302">
        <v>0</v>
      </c>
      <c r="AC302">
        <v>1</v>
      </c>
    </row>
    <row r="303" spans="1:29" ht="30" customHeight="1" x14ac:dyDescent="0.3">
      <c r="A303" s="8" t="s">
        <v>556</v>
      </c>
      <c r="B303" s="8" t="s">
        <v>270</v>
      </c>
      <c r="C303" s="8" t="s">
        <v>252</v>
      </c>
      <c r="D303" s="8" t="s">
        <v>271</v>
      </c>
      <c r="E303" s="8" t="s">
        <v>179</v>
      </c>
      <c r="F303" s="9">
        <v>82</v>
      </c>
      <c r="G303" s="5">
        <f>TRUNC([1]단가대비표!O239,0)</f>
        <v>17380</v>
      </c>
      <c r="H303" s="5">
        <f t="shared" si="23"/>
        <v>1425160</v>
      </c>
      <c r="I303" s="5">
        <v>0</v>
      </c>
      <c r="J303" s="5">
        <f t="shared" si="24"/>
        <v>0</v>
      </c>
      <c r="K303" s="5">
        <v>0</v>
      </c>
      <c r="L303" s="5">
        <f t="shared" si="25"/>
        <v>0</v>
      </c>
      <c r="M303" s="5">
        <f t="shared" si="27"/>
        <v>17380</v>
      </c>
      <c r="N303" s="5">
        <f t="shared" si="27"/>
        <v>1425160</v>
      </c>
      <c r="O303" s="8" t="s">
        <v>20</v>
      </c>
      <c r="T303">
        <v>0</v>
      </c>
      <c r="AC303">
        <v>1</v>
      </c>
    </row>
    <row r="304" spans="1:29" ht="30" customHeight="1" x14ac:dyDescent="0.3">
      <c r="A304" s="8" t="s">
        <v>556</v>
      </c>
      <c r="B304" s="8" t="s">
        <v>571</v>
      </c>
      <c r="C304" s="8" t="s">
        <v>252</v>
      </c>
      <c r="D304" s="8" t="s">
        <v>572</v>
      </c>
      <c r="E304" s="8" t="s">
        <v>179</v>
      </c>
      <c r="F304" s="9">
        <v>64</v>
      </c>
      <c r="G304" s="5">
        <f>TRUNC([1]단가대비표!O240,0)</f>
        <v>23220</v>
      </c>
      <c r="H304" s="5">
        <f t="shared" si="23"/>
        <v>1486080</v>
      </c>
      <c r="I304" s="5">
        <v>0</v>
      </c>
      <c r="J304" s="5">
        <f t="shared" si="24"/>
        <v>0</v>
      </c>
      <c r="K304" s="5">
        <v>0</v>
      </c>
      <c r="L304" s="5">
        <f t="shared" si="25"/>
        <v>0</v>
      </c>
      <c r="M304" s="5">
        <f t="shared" si="27"/>
        <v>23220</v>
      </c>
      <c r="N304" s="5">
        <f t="shared" si="27"/>
        <v>1486080</v>
      </c>
      <c r="O304" s="8" t="s">
        <v>20</v>
      </c>
      <c r="T304">
        <v>0</v>
      </c>
      <c r="AC304">
        <v>1</v>
      </c>
    </row>
    <row r="305" spans="1:29" ht="30" customHeight="1" x14ac:dyDescent="0.3">
      <c r="A305" s="8" t="s">
        <v>556</v>
      </c>
      <c r="B305" s="8" t="s">
        <v>272</v>
      </c>
      <c r="C305" s="8" t="s">
        <v>252</v>
      </c>
      <c r="D305" s="8" t="s">
        <v>273</v>
      </c>
      <c r="E305" s="8" t="s">
        <v>179</v>
      </c>
      <c r="F305" s="9">
        <v>105</v>
      </c>
      <c r="G305" s="5">
        <f>TRUNC([1]단가대비표!O241,0)</f>
        <v>28800</v>
      </c>
      <c r="H305" s="5">
        <f t="shared" si="23"/>
        <v>3024000</v>
      </c>
      <c r="I305" s="5">
        <v>0</v>
      </c>
      <c r="J305" s="5">
        <f t="shared" si="24"/>
        <v>0</v>
      </c>
      <c r="K305" s="5">
        <v>0</v>
      </c>
      <c r="L305" s="5">
        <f t="shared" si="25"/>
        <v>0</v>
      </c>
      <c r="M305" s="5">
        <f t="shared" si="27"/>
        <v>28800</v>
      </c>
      <c r="N305" s="5">
        <f t="shared" si="27"/>
        <v>3024000</v>
      </c>
      <c r="O305" s="8" t="s">
        <v>20</v>
      </c>
      <c r="T305">
        <v>0</v>
      </c>
      <c r="AC305">
        <v>1</v>
      </c>
    </row>
    <row r="306" spans="1:29" ht="30" customHeight="1" x14ac:dyDescent="0.3">
      <c r="A306" s="8" t="s">
        <v>556</v>
      </c>
      <c r="B306" s="8" t="s">
        <v>274</v>
      </c>
      <c r="C306" s="8" t="s">
        <v>252</v>
      </c>
      <c r="D306" s="8" t="s">
        <v>275</v>
      </c>
      <c r="E306" s="8" t="s">
        <v>179</v>
      </c>
      <c r="F306" s="9">
        <v>15</v>
      </c>
      <c r="G306" s="5">
        <f>TRUNC([1]단가대비표!O243,0)</f>
        <v>69460</v>
      </c>
      <c r="H306" s="5">
        <f t="shared" si="23"/>
        <v>1041900</v>
      </c>
      <c r="I306" s="5">
        <v>0</v>
      </c>
      <c r="J306" s="5">
        <f t="shared" si="24"/>
        <v>0</v>
      </c>
      <c r="K306" s="5">
        <v>0</v>
      </c>
      <c r="L306" s="5">
        <f t="shared" si="25"/>
        <v>0</v>
      </c>
      <c r="M306" s="5">
        <f t="shared" si="27"/>
        <v>69460</v>
      </c>
      <c r="N306" s="5">
        <f t="shared" si="27"/>
        <v>1041900</v>
      </c>
      <c r="O306" s="8" t="s">
        <v>20</v>
      </c>
      <c r="T306">
        <v>0</v>
      </c>
      <c r="AC306">
        <v>1</v>
      </c>
    </row>
    <row r="307" spans="1:29" ht="30" customHeight="1" x14ac:dyDescent="0.3">
      <c r="A307" s="8" t="s">
        <v>556</v>
      </c>
      <c r="B307" s="8" t="s">
        <v>276</v>
      </c>
      <c r="C307" s="8" t="s">
        <v>252</v>
      </c>
      <c r="D307" s="8" t="s">
        <v>277</v>
      </c>
      <c r="E307" s="8" t="s">
        <v>179</v>
      </c>
      <c r="F307" s="9">
        <v>24</v>
      </c>
      <c r="G307" s="5">
        <f>TRUNC([1]단가대비표!O244,0)</f>
        <v>93940</v>
      </c>
      <c r="H307" s="5">
        <f t="shared" si="23"/>
        <v>2254560</v>
      </c>
      <c r="I307" s="5">
        <v>0</v>
      </c>
      <c r="J307" s="5">
        <f t="shared" si="24"/>
        <v>0</v>
      </c>
      <c r="K307" s="5">
        <v>0</v>
      </c>
      <c r="L307" s="5">
        <f t="shared" si="25"/>
        <v>0</v>
      </c>
      <c r="M307" s="5">
        <f t="shared" si="27"/>
        <v>93940</v>
      </c>
      <c r="N307" s="5">
        <f t="shared" si="27"/>
        <v>2254560</v>
      </c>
      <c r="O307" s="8" t="s">
        <v>20</v>
      </c>
      <c r="T307">
        <v>0</v>
      </c>
      <c r="AC307">
        <v>1</v>
      </c>
    </row>
    <row r="308" spans="1:29" ht="30" customHeight="1" x14ac:dyDescent="0.3">
      <c r="A308" s="8" t="s">
        <v>556</v>
      </c>
      <c r="B308" s="8" t="s">
        <v>573</v>
      </c>
      <c r="C308" s="8" t="s">
        <v>252</v>
      </c>
      <c r="D308" s="8" t="s">
        <v>574</v>
      </c>
      <c r="E308" s="8" t="s">
        <v>179</v>
      </c>
      <c r="F308" s="9">
        <v>11</v>
      </c>
      <c r="G308" s="5">
        <f>TRUNC([1]단가대비표!O247,0)</f>
        <v>5080</v>
      </c>
      <c r="H308" s="5">
        <f t="shared" si="23"/>
        <v>55880</v>
      </c>
      <c r="I308" s="5">
        <v>0</v>
      </c>
      <c r="J308" s="5">
        <f t="shared" si="24"/>
        <v>0</v>
      </c>
      <c r="K308" s="5">
        <v>0</v>
      </c>
      <c r="L308" s="5">
        <f t="shared" si="25"/>
        <v>0</v>
      </c>
      <c r="M308" s="5">
        <f t="shared" si="27"/>
        <v>5080</v>
      </c>
      <c r="N308" s="5">
        <f t="shared" si="27"/>
        <v>55880</v>
      </c>
      <c r="O308" s="8" t="s">
        <v>20</v>
      </c>
      <c r="T308">
        <v>0</v>
      </c>
      <c r="AC308">
        <v>1</v>
      </c>
    </row>
    <row r="309" spans="1:29" ht="30" customHeight="1" x14ac:dyDescent="0.3">
      <c r="A309" s="8" t="s">
        <v>556</v>
      </c>
      <c r="B309" s="8" t="s">
        <v>575</v>
      </c>
      <c r="C309" s="8" t="s">
        <v>252</v>
      </c>
      <c r="D309" s="8" t="s">
        <v>576</v>
      </c>
      <c r="E309" s="8" t="s">
        <v>179</v>
      </c>
      <c r="F309" s="9">
        <v>54</v>
      </c>
      <c r="G309" s="5">
        <f>TRUNC([1]단가대비표!O250,0)</f>
        <v>8570</v>
      </c>
      <c r="H309" s="5">
        <f t="shared" si="23"/>
        <v>462780</v>
      </c>
      <c r="I309" s="5">
        <v>0</v>
      </c>
      <c r="J309" s="5">
        <f t="shared" si="24"/>
        <v>0</v>
      </c>
      <c r="K309" s="5">
        <v>0</v>
      </c>
      <c r="L309" s="5">
        <f t="shared" si="25"/>
        <v>0</v>
      </c>
      <c r="M309" s="5">
        <f t="shared" si="27"/>
        <v>8570</v>
      </c>
      <c r="N309" s="5">
        <f t="shared" si="27"/>
        <v>462780</v>
      </c>
      <c r="O309" s="8" t="s">
        <v>20</v>
      </c>
      <c r="T309">
        <v>0</v>
      </c>
      <c r="AC309">
        <v>1</v>
      </c>
    </row>
    <row r="310" spans="1:29" ht="30" customHeight="1" x14ac:dyDescent="0.3">
      <c r="A310" s="8" t="s">
        <v>556</v>
      </c>
      <c r="B310" s="8" t="s">
        <v>282</v>
      </c>
      <c r="C310" s="8" t="s">
        <v>252</v>
      </c>
      <c r="D310" s="8" t="s">
        <v>283</v>
      </c>
      <c r="E310" s="8" t="s">
        <v>179</v>
      </c>
      <c r="F310" s="9">
        <v>40</v>
      </c>
      <c r="G310" s="5">
        <f>TRUNC([1]단가대비표!O254,0)</f>
        <v>11040</v>
      </c>
      <c r="H310" s="5">
        <f t="shared" si="23"/>
        <v>441600</v>
      </c>
      <c r="I310" s="5">
        <v>0</v>
      </c>
      <c r="J310" s="5">
        <f t="shared" si="24"/>
        <v>0</v>
      </c>
      <c r="K310" s="5">
        <v>0</v>
      </c>
      <c r="L310" s="5">
        <f t="shared" si="25"/>
        <v>0</v>
      </c>
      <c r="M310" s="5">
        <f t="shared" si="27"/>
        <v>11040</v>
      </c>
      <c r="N310" s="5">
        <f t="shared" si="27"/>
        <v>441600</v>
      </c>
      <c r="O310" s="8" t="s">
        <v>20</v>
      </c>
      <c r="T310">
        <v>0</v>
      </c>
      <c r="AC310">
        <v>1</v>
      </c>
    </row>
    <row r="311" spans="1:29" ht="30" customHeight="1" x14ac:dyDescent="0.3">
      <c r="A311" s="8" t="s">
        <v>556</v>
      </c>
      <c r="B311" s="8" t="s">
        <v>577</v>
      </c>
      <c r="C311" s="8" t="s">
        <v>252</v>
      </c>
      <c r="D311" s="8" t="s">
        <v>578</v>
      </c>
      <c r="E311" s="8" t="s">
        <v>179</v>
      </c>
      <c r="F311" s="9">
        <v>5</v>
      </c>
      <c r="G311" s="5">
        <f>TRUNC([1]단가대비표!O255,0)</f>
        <v>11310</v>
      </c>
      <c r="H311" s="5">
        <f t="shared" si="23"/>
        <v>56550</v>
      </c>
      <c r="I311" s="5">
        <v>0</v>
      </c>
      <c r="J311" s="5">
        <f t="shared" si="24"/>
        <v>0</v>
      </c>
      <c r="K311" s="5">
        <v>0</v>
      </c>
      <c r="L311" s="5">
        <f t="shared" si="25"/>
        <v>0</v>
      </c>
      <c r="M311" s="5">
        <f t="shared" si="27"/>
        <v>11310</v>
      </c>
      <c r="N311" s="5">
        <f t="shared" si="27"/>
        <v>56550</v>
      </c>
      <c r="O311" s="8" t="s">
        <v>20</v>
      </c>
      <c r="T311">
        <v>0</v>
      </c>
      <c r="AC311">
        <v>1</v>
      </c>
    </row>
    <row r="312" spans="1:29" ht="30" customHeight="1" x14ac:dyDescent="0.3">
      <c r="A312" s="8" t="s">
        <v>556</v>
      </c>
      <c r="B312" s="8" t="s">
        <v>579</v>
      </c>
      <c r="C312" s="8" t="s">
        <v>252</v>
      </c>
      <c r="D312" s="8" t="s">
        <v>580</v>
      </c>
      <c r="E312" s="8" t="s">
        <v>179</v>
      </c>
      <c r="F312" s="9">
        <v>4</v>
      </c>
      <c r="G312" s="5">
        <f>TRUNC([1]단가대비표!O256,0)</f>
        <v>12060</v>
      </c>
      <c r="H312" s="5">
        <f t="shared" si="23"/>
        <v>48240</v>
      </c>
      <c r="I312" s="5">
        <v>0</v>
      </c>
      <c r="J312" s="5">
        <f t="shared" si="24"/>
        <v>0</v>
      </c>
      <c r="K312" s="5">
        <v>0</v>
      </c>
      <c r="L312" s="5">
        <f t="shared" si="25"/>
        <v>0</v>
      </c>
      <c r="M312" s="5">
        <f t="shared" si="27"/>
        <v>12060</v>
      </c>
      <c r="N312" s="5">
        <f t="shared" si="27"/>
        <v>48240</v>
      </c>
      <c r="O312" s="8" t="s">
        <v>20</v>
      </c>
      <c r="T312">
        <v>0</v>
      </c>
      <c r="AC312">
        <v>1</v>
      </c>
    </row>
    <row r="313" spans="1:29" ht="30" customHeight="1" x14ac:dyDescent="0.3">
      <c r="A313" s="8" t="s">
        <v>556</v>
      </c>
      <c r="B313" s="8" t="s">
        <v>284</v>
      </c>
      <c r="C313" s="8" t="s">
        <v>252</v>
      </c>
      <c r="D313" s="8" t="s">
        <v>285</v>
      </c>
      <c r="E313" s="8" t="s">
        <v>179</v>
      </c>
      <c r="F313" s="9">
        <v>26</v>
      </c>
      <c r="G313" s="5">
        <f>TRUNC([1]단가대비표!O259,0)</f>
        <v>13440</v>
      </c>
      <c r="H313" s="5">
        <f t="shared" si="23"/>
        <v>349440</v>
      </c>
      <c r="I313" s="5">
        <v>0</v>
      </c>
      <c r="J313" s="5">
        <f t="shared" si="24"/>
        <v>0</v>
      </c>
      <c r="K313" s="5">
        <v>0</v>
      </c>
      <c r="L313" s="5">
        <f t="shared" si="25"/>
        <v>0</v>
      </c>
      <c r="M313" s="5">
        <f t="shared" si="27"/>
        <v>13440</v>
      </c>
      <c r="N313" s="5">
        <f t="shared" si="27"/>
        <v>349440</v>
      </c>
      <c r="O313" s="8" t="s">
        <v>20</v>
      </c>
      <c r="T313">
        <v>0</v>
      </c>
      <c r="AC313">
        <v>1</v>
      </c>
    </row>
    <row r="314" spans="1:29" ht="30" customHeight="1" x14ac:dyDescent="0.3">
      <c r="A314" s="8" t="s">
        <v>556</v>
      </c>
      <c r="B314" s="8" t="s">
        <v>581</v>
      </c>
      <c r="C314" s="8" t="s">
        <v>252</v>
      </c>
      <c r="D314" s="8" t="s">
        <v>582</v>
      </c>
      <c r="E314" s="8" t="s">
        <v>179</v>
      </c>
      <c r="F314" s="9">
        <v>3</v>
      </c>
      <c r="G314" s="5">
        <f>TRUNC([1]단가대비표!O261,0)</f>
        <v>14258</v>
      </c>
      <c r="H314" s="5">
        <f t="shared" si="23"/>
        <v>42774</v>
      </c>
      <c r="I314" s="5">
        <v>0</v>
      </c>
      <c r="J314" s="5">
        <f t="shared" si="24"/>
        <v>0</v>
      </c>
      <c r="K314" s="5">
        <v>0</v>
      </c>
      <c r="L314" s="5">
        <f t="shared" si="25"/>
        <v>0</v>
      </c>
      <c r="M314" s="5">
        <f t="shared" si="27"/>
        <v>14258</v>
      </c>
      <c r="N314" s="5">
        <f t="shared" si="27"/>
        <v>42774</v>
      </c>
      <c r="O314" s="8" t="s">
        <v>20</v>
      </c>
      <c r="T314">
        <v>0</v>
      </c>
      <c r="AC314">
        <v>1</v>
      </c>
    </row>
    <row r="315" spans="1:29" ht="30" customHeight="1" x14ac:dyDescent="0.3">
      <c r="A315" s="8" t="s">
        <v>556</v>
      </c>
      <c r="B315" s="8" t="s">
        <v>288</v>
      </c>
      <c r="C315" s="8" t="s">
        <v>252</v>
      </c>
      <c r="D315" s="8" t="s">
        <v>289</v>
      </c>
      <c r="E315" s="8" t="s">
        <v>179</v>
      </c>
      <c r="F315" s="9">
        <v>7</v>
      </c>
      <c r="G315" s="5">
        <f>TRUNC([1]단가대비표!O263,0)</f>
        <v>15008</v>
      </c>
      <c r="H315" s="5">
        <f t="shared" si="23"/>
        <v>105056</v>
      </c>
      <c r="I315" s="5">
        <v>0</v>
      </c>
      <c r="J315" s="5">
        <f t="shared" si="24"/>
        <v>0</v>
      </c>
      <c r="K315" s="5">
        <v>0</v>
      </c>
      <c r="L315" s="5">
        <f t="shared" si="25"/>
        <v>0</v>
      </c>
      <c r="M315" s="5">
        <f t="shared" si="27"/>
        <v>15008</v>
      </c>
      <c r="N315" s="5">
        <f t="shared" si="27"/>
        <v>105056</v>
      </c>
      <c r="O315" s="8" t="s">
        <v>20</v>
      </c>
      <c r="T315">
        <v>0</v>
      </c>
      <c r="AC315">
        <v>1</v>
      </c>
    </row>
    <row r="316" spans="1:29" ht="30" customHeight="1" x14ac:dyDescent="0.3">
      <c r="A316" s="8" t="s">
        <v>556</v>
      </c>
      <c r="B316" s="8" t="s">
        <v>583</v>
      </c>
      <c r="C316" s="8" t="s">
        <v>252</v>
      </c>
      <c r="D316" s="8" t="s">
        <v>584</v>
      </c>
      <c r="E316" s="8" t="s">
        <v>179</v>
      </c>
      <c r="F316" s="9">
        <v>17</v>
      </c>
      <c r="G316" s="5">
        <f>TRUNC([1]단가대비표!O264,0)</f>
        <v>15008</v>
      </c>
      <c r="H316" s="5">
        <f t="shared" si="23"/>
        <v>255136</v>
      </c>
      <c r="I316" s="5">
        <v>0</v>
      </c>
      <c r="J316" s="5">
        <f t="shared" si="24"/>
        <v>0</v>
      </c>
      <c r="K316" s="5">
        <v>0</v>
      </c>
      <c r="L316" s="5">
        <f t="shared" si="25"/>
        <v>0</v>
      </c>
      <c r="M316" s="5">
        <f t="shared" si="27"/>
        <v>15008</v>
      </c>
      <c r="N316" s="5">
        <f t="shared" si="27"/>
        <v>255136</v>
      </c>
      <c r="O316" s="8" t="s">
        <v>20</v>
      </c>
      <c r="T316">
        <v>0</v>
      </c>
      <c r="AC316">
        <v>1</v>
      </c>
    </row>
    <row r="317" spans="1:29" ht="30" customHeight="1" x14ac:dyDescent="0.3">
      <c r="A317" s="8" t="s">
        <v>556</v>
      </c>
      <c r="B317" s="8" t="s">
        <v>585</v>
      </c>
      <c r="C317" s="8" t="s">
        <v>252</v>
      </c>
      <c r="D317" s="8" t="s">
        <v>586</v>
      </c>
      <c r="E317" s="8" t="s">
        <v>179</v>
      </c>
      <c r="F317" s="9">
        <v>5</v>
      </c>
      <c r="G317" s="5">
        <f>TRUNC([1]단가대비표!O266,0)</f>
        <v>29380</v>
      </c>
      <c r="H317" s="5">
        <f t="shared" si="23"/>
        <v>146900</v>
      </c>
      <c r="I317" s="5">
        <v>0</v>
      </c>
      <c r="J317" s="5">
        <f t="shared" si="24"/>
        <v>0</v>
      </c>
      <c r="K317" s="5">
        <v>0</v>
      </c>
      <c r="L317" s="5">
        <f t="shared" si="25"/>
        <v>0</v>
      </c>
      <c r="M317" s="5">
        <f t="shared" si="27"/>
        <v>29380</v>
      </c>
      <c r="N317" s="5">
        <f t="shared" si="27"/>
        <v>146900</v>
      </c>
      <c r="O317" s="8" t="s">
        <v>20</v>
      </c>
      <c r="T317">
        <v>0</v>
      </c>
      <c r="AC317">
        <v>1</v>
      </c>
    </row>
    <row r="318" spans="1:29" ht="30" customHeight="1" x14ac:dyDescent="0.3">
      <c r="A318" s="8" t="s">
        <v>556</v>
      </c>
      <c r="B318" s="8" t="s">
        <v>587</v>
      </c>
      <c r="C318" s="8" t="s">
        <v>252</v>
      </c>
      <c r="D318" s="8" t="s">
        <v>588</v>
      </c>
      <c r="E318" s="8" t="s">
        <v>179</v>
      </c>
      <c r="F318" s="9">
        <v>5</v>
      </c>
      <c r="G318" s="5">
        <f>TRUNC([1]단가대비표!O267,0)</f>
        <v>29380</v>
      </c>
      <c r="H318" s="5">
        <f t="shared" si="23"/>
        <v>146900</v>
      </c>
      <c r="I318" s="5">
        <v>0</v>
      </c>
      <c r="J318" s="5">
        <f t="shared" si="24"/>
        <v>0</v>
      </c>
      <c r="K318" s="5">
        <v>0</v>
      </c>
      <c r="L318" s="5">
        <f t="shared" si="25"/>
        <v>0</v>
      </c>
      <c r="M318" s="5">
        <f t="shared" si="27"/>
        <v>29380</v>
      </c>
      <c r="N318" s="5">
        <f t="shared" si="27"/>
        <v>146900</v>
      </c>
      <c r="O318" s="8" t="s">
        <v>20</v>
      </c>
      <c r="T318">
        <v>0</v>
      </c>
      <c r="AC318">
        <v>1</v>
      </c>
    </row>
    <row r="319" spans="1:29" ht="30" customHeight="1" x14ac:dyDescent="0.3">
      <c r="A319" s="8" t="s">
        <v>556</v>
      </c>
      <c r="B319" s="8" t="s">
        <v>589</v>
      </c>
      <c r="C319" s="8" t="s">
        <v>252</v>
      </c>
      <c r="D319" s="8" t="s">
        <v>590</v>
      </c>
      <c r="E319" s="8" t="s">
        <v>179</v>
      </c>
      <c r="F319" s="9">
        <v>3</v>
      </c>
      <c r="G319" s="5">
        <f>TRUNC([1]단가대비표!O268,0)</f>
        <v>40900</v>
      </c>
      <c r="H319" s="5">
        <f t="shared" si="23"/>
        <v>122700</v>
      </c>
      <c r="I319" s="5">
        <v>0</v>
      </c>
      <c r="J319" s="5">
        <f t="shared" si="24"/>
        <v>0</v>
      </c>
      <c r="K319" s="5">
        <v>0</v>
      </c>
      <c r="L319" s="5">
        <f t="shared" si="25"/>
        <v>0</v>
      </c>
      <c r="M319" s="5">
        <f t="shared" si="27"/>
        <v>40900</v>
      </c>
      <c r="N319" s="5">
        <f t="shared" si="27"/>
        <v>122700</v>
      </c>
      <c r="O319" s="8" t="s">
        <v>20</v>
      </c>
      <c r="T319">
        <v>0</v>
      </c>
      <c r="AC319">
        <v>1</v>
      </c>
    </row>
    <row r="320" spans="1:29" ht="30" customHeight="1" x14ac:dyDescent="0.3">
      <c r="A320" s="8" t="s">
        <v>556</v>
      </c>
      <c r="B320" s="8" t="s">
        <v>591</v>
      </c>
      <c r="C320" s="8" t="s">
        <v>252</v>
      </c>
      <c r="D320" s="8" t="s">
        <v>592</v>
      </c>
      <c r="E320" s="8" t="s">
        <v>179</v>
      </c>
      <c r="F320" s="9">
        <v>3</v>
      </c>
      <c r="G320" s="5">
        <f>TRUNC([1]단가대비표!O269,0)</f>
        <v>40900</v>
      </c>
      <c r="H320" s="5">
        <f t="shared" si="23"/>
        <v>122700</v>
      </c>
      <c r="I320" s="5">
        <v>0</v>
      </c>
      <c r="J320" s="5">
        <f t="shared" si="24"/>
        <v>0</v>
      </c>
      <c r="K320" s="5">
        <v>0</v>
      </c>
      <c r="L320" s="5">
        <f t="shared" si="25"/>
        <v>0</v>
      </c>
      <c r="M320" s="5">
        <f t="shared" si="27"/>
        <v>40900</v>
      </c>
      <c r="N320" s="5">
        <f t="shared" si="27"/>
        <v>122700</v>
      </c>
      <c r="O320" s="8" t="s">
        <v>20</v>
      </c>
      <c r="T320">
        <v>0</v>
      </c>
      <c r="AC320">
        <v>1</v>
      </c>
    </row>
    <row r="321" spans="1:29" ht="30" customHeight="1" x14ac:dyDescent="0.3">
      <c r="A321" s="8" t="s">
        <v>556</v>
      </c>
      <c r="B321" s="8" t="s">
        <v>593</v>
      </c>
      <c r="C321" s="8" t="s">
        <v>252</v>
      </c>
      <c r="D321" s="8" t="s">
        <v>594</v>
      </c>
      <c r="E321" s="8" t="s">
        <v>179</v>
      </c>
      <c r="F321" s="9">
        <v>5</v>
      </c>
      <c r="G321" s="5">
        <f>TRUNC([1]단가대비표!O271,0)</f>
        <v>40900</v>
      </c>
      <c r="H321" s="5">
        <f t="shared" si="23"/>
        <v>204500</v>
      </c>
      <c r="I321" s="5">
        <v>0</v>
      </c>
      <c r="J321" s="5">
        <f t="shared" si="24"/>
        <v>0</v>
      </c>
      <c r="K321" s="5">
        <v>0</v>
      </c>
      <c r="L321" s="5">
        <f t="shared" si="25"/>
        <v>0</v>
      </c>
      <c r="M321" s="5">
        <f t="shared" si="27"/>
        <v>40900</v>
      </c>
      <c r="N321" s="5">
        <f t="shared" si="27"/>
        <v>204500</v>
      </c>
      <c r="O321" s="8" t="s">
        <v>20</v>
      </c>
      <c r="T321">
        <v>0</v>
      </c>
      <c r="AC321">
        <v>1</v>
      </c>
    </row>
    <row r="322" spans="1:29" ht="30" customHeight="1" x14ac:dyDescent="0.3">
      <c r="A322" s="8" t="s">
        <v>556</v>
      </c>
      <c r="B322" s="8" t="s">
        <v>595</v>
      </c>
      <c r="C322" s="8" t="s">
        <v>252</v>
      </c>
      <c r="D322" s="8" t="s">
        <v>596</v>
      </c>
      <c r="E322" s="8" t="s">
        <v>179</v>
      </c>
      <c r="F322" s="9">
        <v>5</v>
      </c>
      <c r="G322" s="5">
        <f>TRUNC([1]단가대비표!O272,0)</f>
        <v>40900</v>
      </c>
      <c r="H322" s="5">
        <f t="shared" si="23"/>
        <v>204500</v>
      </c>
      <c r="I322" s="5">
        <v>0</v>
      </c>
      <c r="J322" s="5">
        <f t="shared" si="24"/>
        <v>0</v>
      </c>
      <c r="K322" s="5">
        <v>0</v>
      </c>
      <c r="L322" s="5">
        <f t="shared" si="25"/>
        <v>0</v>
      </c>
      <c r="M322" s="5">
        <f t="shared" si="27"/>
        <v>40900</v>
      </c>
      <c r="N322" s="5">
        <f t="shared" si="27"/>
        <v>204500</v>
      </c>
      <c r="O322" s="8" t="s">
        <v>20</v>
      </c>
      <c r="T322">
        <v>0</v>
      </c>
      <c r="AC322">
        <v>1</v>
      </c>
    </row>
    <row r="323" spans="1:29" ht="30" customHeight="1" x14ac:dyDescent="0.3">
      <c r="A323" s="8" t="s">
        <v>556</v>
      </c>
      <c r="B323" s="8" t="s">
        <v>597</v>
      </c>
      <c r="C323" s="8" t="s">
        <v>252</v>
      </c>
      <c r="D323" s="8" t="s">
        <v>598</v>
      </c>
      <c r="E323" s="8" t="s">
        <v>179</v>
      </c>
      <c r="F323" s="9">
        <v>11</v>
      </c>
      <c r="G323" s="5">
        <f>TRUNC([1]단가대비표!O219,0)</f>
        <v>3040</v>
      </c>
      <c r="H323" s="5">
        <f t="shared" si="23"/>
        <v>33440</v>
      </c>
      <c r="I323" s="5">
        <v>0</v>
      </c>
      <c r="J323" s="5">
        <f t="shared" si="24"/>
        <v>0</v>
      </c>
      <c r="K323" s="5">
        <v>0</v>
      </c>
      <c r="L323" s="5">
        <f t="shared" si="25"/>
        <v>0</v>
      </c>
      <c r="M323" s="5">
        <f t="shared" si="27"/>
        <v>3040</v>
      </c>
      <c r="N323" s="5">
        <f t="shared" si="27"/>
        <v>33440</v>
      </c>
      <c r="O323" s="8" t="s">
        <v>20</v>
      </c>
      <c r="T323">
        <v>0</v>
      </c>
      <c r="AC323">
        <v>1</v>
      </c>
    </row>
    <row r="324" spans="1:29" ht="30" customHeight="1" x14ac:dyDescent="0.3">
      <c r="A324" s="8" t="s">
        <v>556</v>
      </c>
      <c r="B324" s="8" t="s">
        <v>599</v>
      </c>
      <c r="C324" s="8" t="s">
        <v>252</v>
      </c>
      <c r="D324" s="8" t="s">
        <v>600</v>
      </c>
      <c r="E324" s="8" t="s">
        <v>179</v>
      </c>
      <c r="F324" s="9">
        <v>53</v>
      </c>
      <c r="G324" s="5">
        <f>TRUNC([1]단가대비표!O220,0)</f>
        <v>3920</v>
      </c>
      <c r="H324" s="5">
        <f t="shared" si="23"/>
        <v>207760</v>
      </c>
      <c r="I324" s="5">
        <v>0</v>
      </c>
      <c r="J324" s="5">
        <f t="shared" si="24"/>
        <v>0</v>
      </c>
      <c r="K324" s="5">
        <v>0</v>
      </c>
      <c r="L324" s="5">
        <f t="shared" si="25"/>
        <v>0</v>
      </c>
      <c r="M324" s="5">
        <f t="shared" si="27"/>
        <v>3920</v>
      </c>
      <c r="N324" s="5">
        <f t="shared" si="27"/>
        <v>207760</v>
      </c>
      <c r="O324" s="8" t="s">
        <v>20</v>
      </c>
      <c r="T324">
        <v>0</v>
      </c>
      <c r="AC324">
        <v>1</v>
      </c>
    </row>
    <row r="325" spans="1:29" ht="30" customHeight="1" x14ac:dyDescent="0.3">
      <c r="A325" s="8" t="s">
        <v>556</v>
      </c>
      <c r="B325" s="8" t="s">
        <v>601</v>
      </c>
      <c r="C325" s="8" t="s">
        <v>252</v>
      </c>
      <c r="D325" s="8" t="s">
        <v>602</v>
      </c>
      <c r="E325" s="8" t="s">
        <v>179</v>
      </c>
      <c r="F325" s="9">
        <v>21</v>
      </c>
      <c r="G325" s="5">
        <f>TRUNC([1]단가대비표!O221,0)</f>
        <v>6560</v>
      </c>
      <c r="H325" s="5">
        <f t="shared" si="23"/>
        <v>137760</v>
      </c>
      <c r="I325" s="5">
        <v>0</v>
      </c>
      <c r="J325" s="5">
        <f t="shared" si="24"/>
        <v>0</v>
      </c>
      <c r="K325" s="5">
        <v>0</v>
      </c>
      <c r="L325" s="5">
        <f t="shared" si="25"/>
        <v>0</v>
      </c>
      <c r="M325" s="5">
        <f t="shared" si="27"/>
        <v>6560</v>
      </c>
      <c r="N325" s="5">
        <f t="shared" si="27"/>
        <v>137760</v>
      </c>
      <c r="O325" s="8" t="s">
        <v>20</v>
      </c>
      <c r="T325">
        <v>0</v>
      </c>
      <c r="AC325">
        <v>1</v>
      </c>
    </row>
    <row r="326" spans="1:29" ht="30" customHeight="1" x14ac:dyDescent="0.3">
      <c r="A326" s="8" t="s">
        <v>556</v>
      </c>
      <c r="B326" s="8" t="s">
        <v>603</v>
      </c>
      <c r="C326" s="8" t="s">
        <v>252</v>
      </c>
      <c r="D326" s="8" t="s">
        <v>604</v>
      </c>
      <c r="E326" s="8" t="s">
        <v>179</v>
      </c>
      <c r="F326" s="9">
        <v>4</v>
      </c>
      <c r="G326" s="5">
        <f>TRUNC([1]단가대비표!O223,0)</f>
        <v>10880</v>
      </c>
      <c r="H326" s="5">
        <f t="shared" si="23"/>
        <v>43520</v>
      </c>
      <c r="I326" s="5">
        <v>0</v>
      </c>
      <c r="J326" s="5">
        <f t="shared" si="24"/>
        <v>0</v>
      </c>
      <c r="K326" s="5">
        <v>0</v>
      </c>
      <c r="L326" s="5">
        <f t="shared" si="25"/>
        <v>0</v>
      </c>
      <c r="M326" s="5">
        <f t="shared" si="27"/>
        <v>10880</v>
      </c>
      <c r="N326" s="5">
        <f t="shared" si="27"/>
        <v>43520</v>
      </c>
      <c r="O326" s="8" t="s">
        <v>20</v>
      </c>
      <c r="T326">
        <v>0</v>
      </c>
      <c r="AC326">
        <v>1</v>
      </c>
    </row>
    <row r="327" spans="1:29" ht="30" customHeight="1" x14ac:dyDescent="0.3">
      <c r="A327" s="8" t="s">
        <v>556</v>
      </c>
      <c r="B327" s="8" t="s">
        <v>605</v>
      </c>
      <c r="C327" s="8" t="s">
        <v>252</v>
      </c>
      <c r="D327" s="8" t="s">
        <v>606</v>
      </c>
      <c r="E327" s="8" t="s">
        <v>179</v>
      </c>
      <c r="F327" s="9">
        <v>586</v>
      </c>
      <c r="G327" s="5">
        <f>TRUNC([1]단가대비표!O274,0)</f>
        <v>9830</v>
      </c>
      <c r="H327" s="5">
        <f t="shared" si="23"/>
        <v>5760380</v>
      </c>
      <c r="I327" s="5">
        <v>0</v>
      </c>
      <c r="J327" s="5">
        <f t="shared" si="24"/>
        <v>0</v>
      </c>
      <c r="K327" s="5">
        <v>0</v>
      </c>
      <c r="L327" s="5">
        <f t="shared" si="25"/>
        <v>0</v>
      </c>
      <c r="M327" s="5">
        <f t="shared" si="27"/>
        <v>9830</v>
      </c>
      <c r="N327" s="5">
        <f t="shared" si="27"/>
        <v>5760380</v>
      </c>
      <c r="O327" s="8" t="s">
        <v>20</v>
      </c>
      <c r="T327">
        <v>0</v>
      </c>
      <c r="AC327">
        <v>1</v>
      </c>
    </row>
    <row r="328" spans="1:29" ht="30" customHeight="1" x14ac:dyDescent="0.3">
      <c r="A328" s="8" t="s">
        <v>556</v>
      </c>
      <c r="B328" s="8" t="s">
        <v>298</v>
      </c>
      <c r="C328" s="8" t="s">
        <v>252</v>
      </c>
      <c r="D328" s="8" t="s">
        <v>299</v>
      </c>
      <c r="E328" s="8" t="s">
        <v>179</v>
      </c>
      <c r="F328" s="9">
        <v>6</v>
      </c>
      <c r="G328" s="5">
        <f>TRUNC([1]단가대비표!O277,0)</f>
        <v>25490</v>
      </c>
      <c r="H328" s="5">
        <f t="shared" si="23"/>
        <v>152940</v>
      </c>
      <c r="I328" s="5">
        <v>0</v>
      </c>
      <c r="J328" s="5">
        <f t="shared" si="24"/>
        <v>0</v>
      </c>
      <c r="K328" s="5">
        <v>0</v>
      </c>
      <c r="L328" s="5">
        <f t="shared" si="25"/>
        <v>0</v>
      </c>
      <c r="M328" s="5">
        <f t="shared" si="27"/>
        <v>25490</v>
      </c>
      <c r="N328" s="5">
        <f t="shared" si="27"/>
        <v>152940</v>
      </c>
      <c r="O328" s="8" t="s">
        <v>20</v>
      </c>
      <c r="T328">
        <v>0</v>
      </c>
      <c r="AC328">
        <v>1</v>
      </c>
    </row>
    <row r="329" spans="1:29" ht="30" customHeight="1" x14ac:dyDescent="0.3">
      <c r="A329" s="8" t="s">
        <v>556</v>
      </c>
      <c r="B329" s="8" t="s">
        <v>300</v>
      </c>
      <c r="C329" s="8" t="s">
        <v>252</v>
      </c>
      <c r="D329" s="8" t="s">
        <v>301</v>
      </c>
      <c r="E329" s="8" t="s">
        <v>179</v>
      </c>
      <c r="F329" s="9">
        <v>21</v>
      </c>
      <c r="G329" s="5">
        <f>TRUNC([1]단가대비표!O278,0)</f>
        <v>35170</v>
      </c>
      <c r="H329" s="5">
        <f t="shared" ref="H329:H392" si="28">TRUNC(F329*G329,0)</f>
        <v>738570</v>
      </c>
      <c r="I329" s="5">
        <v>0</v>
      </c>
      <c r="J329" s="5">
        <f t="shared" ref="J329:J392" si="29">TRUNC(F329*I329,0)</f>
        <v>0</v>
      </c>
      <c r="K329" s="5">
        <v>0</v>
      </c>
      <c r="L329" s="5">
        <f t="shared" ref="L329:L392" si="30">TRUNC(F329*K329,0)</f>
        <v>0</v>
      </c>
      <c r="M329" s="5">
        <f t="shared" ref="M329:N360" si="31">G329+I329+K329</f>
        <v>35170</v>
      </c>
      <c r="N329" s="5">
        <f t="shared" si="31"/>
        <v>738570</v>
      </c>
      <c r="O329" s="8" t="s">
        <v>20</v>
      </c>
      <c r="T329">
        <v>0</v>
      </c>
      <c r="AC329">
        <v>1</v>
      </c>
    </row>
    <row r="330" spans="1:29" ht="30" customHeight="1" x14ac:dyDescent="0.3">
      <c r="A330" s="8" t="s">
        <v>556</v>
      </c>
      <c r="B330" s="8" t="s">
        <v>302</v>
      </c>
      <c r="C330" s="8" t="s">
        <v>252</v>
      </c>
      <c r="D330" s="8" t="s">
        <v>303</v>
      </c>
      <c r="E330" s="8" t="s">
        <v>179</v>
      </c>
      <c r="F330" s="9">
        <v>24</v>
      </c>
      <c r="G330" s="5">
        <f>TRUNC([1]단가대비표!O281,0)</f>
        <v>2120</v>
      </c>
      <c r="H330" s="5">
        <f t="shared" si="28"/>
        <v>50880</v>
      </c>
      <c r="I330" s="5">
        <v>0</v>
      </c>
      <c r="J330" s="5">
        <f t="shared" si="29"/>
        <v>0</v>
      </c>
      <c r="K330" s="5">
        <v>0</v>
      </c>
      <c r="L330" s="5">
        <f t="shared" si="30"/>
        <v>0</v>
      </c>
      <c r="M330" s="5">
        <f t="shared" si="31"/>
        <v>2120</v>
      </c>
      <c r="N330" s="5">
        <f t="shared" si="31"/>
        <v>50880</v>
      </c>
      <c r="O330" s="8" t="s">
        <v>20</v>
      </c>
      <c r="T330">
        <v>0</v>
      </c>
      <c r="AC330">
        <v>1</v>
      </c>
    </row>
    <row r="331" spans="1:29" ht="30" customHeight="1" x14ac:dyDescent="0.3">
      <c r="A331" s="8" t="s">
        <v>556</v>
      </c>
      <c r="B331" s="8" t="s">
        <v>304</v>
      </c>
      <c r="C331" s="8" t="s">
        <v>252</v>
      </c>
      <c r="D331" s="8" t="s">
        <v>305</v>
      </c>
      <c r="E331" s="8" t="s">
        <v>179</v>
      </c>
      <c r="F331" s="9">
        <v>7</v>
      </c>
      <c r="G331" s="5">
        <f>TRUNC([1]단가대비표!O282,0)</f>
        <v>2910</v>
      </c>
      <c r="H331" s="5">
        <f t="shared" si="28"/>
        <v>20370</v>
      </c>
      <c r="I331" s="5">
        <v>0</v>
      </c>
      <c r="J331" s="5">
        <f t="shared" si="29"/>
        <v>0</v>
      </c>
      <c r="K331" s="5">
        <v>0</v>
      </c>
      <c r="L331" s="5">
        <f t="shared" si="30"/>
        <v>0</v>
      </c>
      <c r="M331" s="5">
        <f t="shared" si="31"/>
        <v>2910</v>
      </c>
      <c r="N331" s="5">
        <f t="shared" si="31"/>
        <v>20370</v>
      </c>
      <c r="O331" s="8" t="s">
        <v>20</v>
      </c>
      <c r="T331">
        <v>0</v>
      </c>
      <c r="AC331">
        <v>1</v>
      </c>
    </row>
    <row r="332" spans="1:29" ht="30" customHeight="1" x14ac:dyDescent="0.3">
      <c r="A332" s="8" t="s">
        <v>556</v>
      </c>
      <c r="B332" s="8" t="s">
        <v>306</v>
      </c>
      <c r="C332" s="8" t="s">
        <v>252</v>
      </c>
      <c r="D332" s="8" t="s">
        <v>307</v>
      </c>
      <c r="E332" s="8" t="s">
        <v>179</v>
      </c>
      <c r="F332" s="9">
        <v>61</v>
      </c>
      <c r="G332" s="5">
        <f>TRUNC([1]단가대비표!O283,0)</f>
        <v>5030</v>
      </c>
      <c r="H332" s="5">
        <f t="shared" si="28"/>
        <v>306830</v>
      </c>
      <c r="I332" s="5">
        <v>0</v>
      </c>
      <c r="J332" s="5">
        <f t="shared" si="29"/>
        <v>0</v>
      </c>
      <c r="K332" s="5">
        <v>0</v>
      </c>
      <c r="L332" s="5">
        <f t="shared" si="30"/>
        <v>0</v>
      </c>
      <c r="M332" s="5">
        <f t="shared" si="31"/>
        <v>5030</v>
      </c>
      <c r="N332" s="5">
        <f t="shared" si="31"/>
        <v>306830</v>
      </c>
      <c r="O332" s="8" t="s">
        <v>20</v>
      </c>
      <c r="T332">
        <v>0</v>
      </c>
      <c r="AC332">
        <v>1</v>
      </c>
    </row>
    <row r="333" spans="1:29" ht="30" customHeight="1" x14ac:dyDescent="0.3">
      <c r="A333" s="8" t="s">
        <v>556</v>
      </c>
      <c r="B333" s="8" t="s">
        <v>308</v>
      </c>
      <c r="C333" s="8" t="s">
        <v>252</v>
      </c>
      <c r="D333" s="8" t="s">
        <v>309</v>
      </c>
      <c r="E333" s="8" t="s">
        <v>179</v>
      </c>
      <c r="F333" s="9">
        <v>21</v>
      </c>
      <c r="G333" s="5">
        <f>TRUNC([1]단가대비표!O284,0)</f>
        <v>6520</v>
      </c>
      <c r="H333" s="5">
        <f t="shared" si="28"/>
        <v>136920</v>
      </c>
      <c r="I333" s="5">
        <v>0</v>
      </c>
      <c r="J333" s="5">
        <f t="shared" si="29"/>
        <v>0</v>
      </c>
      <c r="K333" s="5">
        <v>0</v>
      </c>
      <c r="L333" s="5">
        <f t="shared" si="30"/>
        <v>0</v>
      </c>
      <c r="M333" s="5">
        <f t="shared" si="31"/>
        <v>6520</v>
      </c>
      <c r="N333" s="5">
        <f t="shared" si="31"/>
        <v>136920</v>
      </c>
      <c r="O333" s="8" t="s">
        <v>20</v>
      </c>
      <c r="T333">
        <v>0</v>
      </c>
      <c r="AC333">
        <v>1</v>
      </c>
    </row>
    <row r="334" spans="1:29" ht="30" customHeight="1" x14ac:dyDescent="0.3">
      <c r="A334" s="8" t="s">
        <v>556</v>
      </c>
      <c r="B334" s="8" t="s">
        <v>310</v>
      </c>
      <c r="C334" s="8" t="s">
        <v>252</v>
      </c>
      <c r="D334" s="8" t="s">
        <v>311</v>
      </c>
      <c r="E334" s="8" t="s">
        <v>179</v>
      </c>
      <c r="F334" s="9">
        <v>15</v>
      </c>
      <c r="G334" s="5">
        <f>TRUNC([1]단가대비표!O285,0)</f>
        <v>9720</v>
      </c>
      <c r="H334" s="5">
        <f t="shared" si="28"/>
        <v>145800</v>
      </c>
      <c r="I334" s="5">
        <v>0</v>
      </c>
      <c r="J334" s="5">
        <f t="shared" si="29"/>
        <v>0</v>
      </c>
      <c r="K334" s="5">
        <v>0</v>
      </c>
      <c r="L334" s="5">
        <f t="shared" si="30"/>
        <v>0</v>
      </c>
      <c r="M334" s="5">
        <f t="shared" si="31"/>
        <v>9720</v>
      </c>
      <c r="N334" s="5">
        <f t="shared" si="31"/>
        <v>145800</v>
      </c>
      <c r="O334" s="8" t="s">
        <v>20</v>
      </c>
      <c r="T334">
        <v>0</v>
      </c>
      <c r="AC334">
        <v>1</v>
      </c>
    </row>
    <row r="335" spans="1:29" ht="30" customHeight="1" x14ac:dyDescent="0.3">
      <c r="A335" s="8" t="s">
        <v>556</v>
      </c>
      <c r="B335" s="8" t="s">
        <v>312</v>
      </c>
      <c r="C335" s="8" t="s">
        <v>252</v>
      </c>
      <c r="D335" s="8" t="s">
        <v>313</v>
      </c>
      <c r="E335" s="8" t="s">
        <v>179</v>
      </c>
      <c r="F335" s="9">
        <v>33</v>
      </c>
      <c r="G335" s="5">
        <f>TRUNC([1]단가대비표!O292,0)</f>
        <v>10374</v>
      </c>
      <c r="H335" s="5">
        <f t="shared" si="28"/>
        <v>342342</v>
      </c>
      <c r="I335" s="5">
        <v>0</v>
      </c>
      <c r="J335" s="5">
        <f t="shared" si="29"/>
        <v>0</v>
      </c>
      <c r="K335" s="5">
        <v>0</v>
      </c>
      <c r="L335" s="5">
        <f t="shared" si="30"/>
        <v>0</v>
      </c>
      <c r="M335" s="5">
        <f t="shared" si="31"/>
        <v>10374</v>
      </c>
      <c r="N335" s="5">
        <f t="shared" si="31"/>
        <v>342342</v>
      </c>
      <c r="O335" s="8" t="s">
        <v>20</v>
      </c>
      <c r="T335">
        <v>0</v>
      </c>
      <c r="AC335">
        <v>1</v>
      </c>
    </row>
    <row r="336" spans="1:29" ht="30" customHeight="1" x14ac:dyDescent="0.3">
      <c r="A336" s="8" t="s">
        <v>556</v>
      </c>
      <c r="B336" s="8" t="s">
        <v>314</v>
      </c>
      <c r="C336" s="8" t="s">
        <v>252</v>
      </c>
      <c r="D336" s="8" t="s">
        <v>315</v>
      </c>
      <c r="E336" s="8" t="s">
        <v>179</v>
      </c>
      <c r="F336" s="9">
        <v>3</v>
      </c>
      <c r="G336" s="5">
        <f>TRUNC([1]단가대비표!O293,0)</f>
        <v>23420</v>
      </c>
      <c r="H336" s="5">
        <f t="shared" si="28"/>
        <v>70260</v>
      </c>
      <c r="I336" s="5">
        <v>0</v>
      </c>
      <c r="J336" s="5">
        <f t="shared" si="29"/>
        <v>0</v>
      </c>
      <c r="K336" s="5">
        <v>0</v>
      </c>
      <c r="L336" s="5">
        <f t="shared" si="30"/>
        <v>0</v>
      </c>
      <c r="M336" s="5">
        <f t="shared" si="31"/>
        <v>23420</v>
      </c>
      <c r="N336" s="5">
        <f t="shared" si="31"/>
        <v>70260</v>
      </c>
      <c r="O336" s="8" t="s">
        <v>20</v>
      </c>
      <c r="T336">
        <v>0</v>
      </c>
      <c r="AC336">
        <v>1</v>
      </c>
    </row>
    <row r="337" spans="1:29" ht="30" customHeight="1" x14ac:dyDescent="0.3">
      <c r="A337" s="8" t="s">
        <v>556</v>
      </c>
      <c r="B337" s="8" t="s">
        <v>316</v>
      </c>
      <c r="C337" s="8" t="s">
        <v>252</v>
      </c>
      <c r="D337" s="8" t="s">
        <v>317</v>
      </c>
      <c r="E337" s="8" t="s">
        <v>179</v>
      </c>
      <c r="F337" s="9">
        <v>18</v>
      </c>
      <c r="G337" s="5">
        <f>TRUNC([1]단가대비표!O294,0)</f>
        <v>32720</v>
      </c>
      <c r="H337" s="5">
        <f t="shared" si="28"/>
        <v>588960</v>
      </c>
      <c r="I337" s="5">
        <v>0</v>
      </c>
      <c r="J337" s="5">
        <f t="shared" si="29"/>
        <v>0</v>
      </c>
      <c r="K337" s="5">
        <v>0</v>
      </c>
      <c r="L337" s="5">
        <f t="shared" si="30"/>
        <v>0</v>
      </c>
      <c r="M337" s="5">
        <f t="shared" si="31"/>
        <v>32720</v>
      </c>
      <c r="N337" s="5">
        <f t="shared" si="31"/>
        <v>588960</v>
      </c>
      <c r="O337" s="8" t="s">
        <v>20</v>
      </c>
      <c r="T337">
        <v>0</v>
      </c>
      <c r="AC337">
        <v>1</v>
      </c>
    </row>
    <row r="338" spans="1:29" ht="30" customHeight="1" x14ac:dyDescent="0.3">
      <c r="A338" s="8" t="s">
        <v>556</v>
      </c>
      <c r="B338" s="8" t="s">
        <v>320</v>
      </c>
      <c r="C338" s="8" t="s">
        <v>252</v>
      </c>
      <c r="D338" s="8" t="s">
        <v>321</v>
      </c>
      <c r="E338" s="8" t="s">
        <v>179</v>
      </c>
      <c r="F338" s="9">
        <v>605</v>
      </c>
      <c r="G338" s="5">
        <f>TRUNC([1]단가대비표!O287,0)</f>
        <v>4920</v>
      </c>
      <c r="H338" s="5">
        <f t="shared" si="28"/>
        <v>2976600</v>
      </c>
      <c r="I338" s="5">
        <v>0</v>
      </c>
      <c r="J338" s="5">
        <f t="shared" si="29"/>
        <v>0</v>
      </c>
      <c r="K338" s="5">
        <v>0</v>
      </c>
      <c r="L338" s="5">
        <f t="shared" si="30"/>
        <v>0</v>
      </c>
      <c r="M338" s="5">
        <f t="shared" si="31"/>
        <v>4920</v>
      </c>
      <c r="N338" s="5">
        <f t="shared" si="31"/>
        <v>2976600</v>
      </c>
      <c r="O338" s="8" t="s">
        <v>20</v>
      </c>
      <c r="T338">
        <v>0</v>
      </c>
      <c r="AC338">
        <v>1</v>
      </c>
    </row>
    <row r="339" spans="1:29" ht="30" customHeight="1" x14ac:dyDescent="0.3">
      <c r="A339" s="8" t="s">
        <v>556</v>
      </c>
      <c r="B339" s="8" t="s">
        <v>326</v>
      </c>
      <c r="C339" s="8" t="s">
        <v>252</v>
      </c>
      <c r="D339" s="8" t="s">
        <v>327</v>
      </c>
      <c r="E339" s="8" t="s">
        <v>179</v>
      </c>
      <c r="F339" s="9">
        <v>6</v>
      </c>
      <c r="G339" s="5">
        <f>TRUNC([1]단가대비표!O290,0)</f>
        <v>10800</v>
      </c>
      <c r="H339" s="5">
        <f t="shared" si="28"/>
        <v>64800</v>
      </c>
      <c r="I339" s="5">
        <v>0</v>
      </c>
      <c r="J339" s="5">
        <f t="shared" si="29"/>
        <v>0</v>
      </c>
      <c r="K339" s="5">
        <v>0</v>
      </c>
      <c r="L339" s="5">
        <f t="shared" si="30"/>
        <v>0</v>
      </c>
      <c r="M339" s="5">
        <f t="shared" si="31"/>
        <v>10800</v>
      </c>
      <c r="N339" s="5">
        <f t="shared" si="31"/>
        <v>64800</v>
      </c>
      <c r="O339" s="8" t="s">
        <v>20</v>
      </c>
      <c r="T339">
        <v>0</v>
      </c>
      <c r="AC339">
        <v>1</v>
      </c>
    </row>
    <row r="340" spans="1:29" ht="30" customHeight="1" x14ac:dyDescent="0.3">
      <c r="A340" s="8" t="s">
        <v>556</v>
      </c>
      <c r="B340" s="8" t="s">
        <v>328</v>
      </c>
      <c r="C340" s="8" t="s">
        <v>252</v>
      </c>
      <c r="D340" s="8" t="s">
        <v>329</v>
      </c>
      <c r="E340" s="8" t="s">
        <v>179</v>
      </c>
      <c r="F340" s="9">
        <v>21</v>
      </c>
      <c r="G340" s="5">
        <f>TRUNC([1]단가대비표!O291,0)</f>
        <v>15070</v>
      </c>
      <c r="H340" s="5">
        <f t="shared" si="28"/>
        <v>316470</v>
      </c>
      <c r="I340" s="5">
        <v>0</v>
      </c>
      <c r="J340" s="5">
        <f t="shared" si="29"/>
        <v>0</v>
      </c>
      <c r="K340" s="5">
        <v>0</v>
      </c>
      <c r="L340" s="5">
        <f t="shared" si="30"/>
        <v>0</v>
      </c>
      <c r="M340" s="5">
        <f t="shared" si="31"/>
        <v>15070</v>
      </c>
      <c r="N340" s="5">
        <f t="shared" si="31"/>
        <v>316470</v>
      </c>
      <c r="O340" s="8" t="s">
        <v>20</v>
      </c>
      <c r="T340">
        <v>0</v>
      </c>
      <c r="AC340">
        <v>1</v>
      </c>
    </row>
    <row r="341" spans="1:29" ht="30" customHeight="1" x14ac:dyDescent="0.3">
      <c r="A341" s="8" t="s">
        <v>556</v>
      </c>
      <c r="B341" s="8" t="s">
        <v>334</v>
      </c>
      <c r="C341" s="8" t="s">
        <v>252</v>
      </c>
      <c r="D341" s="8" t="s">
        <v>335</v>
      </c>
      <c r="E341" s="8" t="s">
        <v>179</v>
      </c>
      <c r="F341" s="9">
        <v>4</v>
      </c>
      <c r="G341" s="5">
        <f>TRUNC([1]단가대비표!O297,0)</f>
        <v>51400</v>
      </c>
      <c r="H341" s="5">
        <f t="shared" si="28"/>
        <v>205600</v>
      </c>
      <c r="I341" s="5">
        <v>0</v>
      </c>
      <c r="J341" s="5">
        <f t="shared" si="29"/>
        <v>0</v>
      </c>
      <c r="K341" s="5">
        <v>0</v>
      </c>
      <c r="L341" s="5">
        <f t="shared" si="30"/>
        <v>0</v>
      </c>
      <c r="M341" s="5">
        <f t="shared" si="31"/>
        <v>51400</v>
      </c>
      <c r="N341" s="5">
        <f t="shared" si="31"/>
        <v>205600</v>
      </c>
      <c r="O341" s="8" t="s">
        <v>20</v>
      </c>
      <c r="T341">
        <v>0</v>
      </c>
      <c r="AC341">
        <v>1</v>
      </c>
    </row>
    <row r="342" spans="1:29" ht="30" customHeight="1" x14ac:dyDescent="0.3">
      <c r="A342" s="8" t="s">
        <v>556</v>
      </c>
      <c r="B342" s="8" t="s">
        <v>336</v>
      </c>
      <c r="C342" s="8" t="s">
        <v>252</v>
      </c>
      <c r="D342" s="8" t="s">
        <v>337</v>
      </c>
      <c r="E342" s="8" t="s">
        <v>179</v>
      </c>
      <c r="F342" s="9">
        <v>16</v>
      </c>
      <c r="G342" s="5">
        <f>TRUNC([1]단가대비표!O298,0)</f>
        <v>63300</v>
      </c>
      <c r="H342" s="5">
        <f t="shared" si="28"/>
        <v>1012800</v>
      </c>
      <c r="I342" s="5">
        <v>0</v>
      </c>
      <c r="J342" s="5">
        <f t="shared" si="29"/>
        <v>0</v>
      </c>
      <c r="K342" s="5">
        <v>0</v>
      </c>
      <c r="L342" s="5">
        <f t="shared" si="30"/>
        <v>0</v>
      </c>
      <c r="M342" s="5">
        <f t="shared" si="31"/>
        <v>63300</v>
      </c>
      <c r="N342" s="5">
        <f t="shared" si="31"/>
        <v>1012800</v>
      </c>
      <c r="O342" s="8" t="s">
        <v>20</v>
      </c>
      <c r="T342">
        <v>0</v>
      </c>
      <c r="AC342">
        <v>1</v>
      </c>
    </row>
    <row r="343" spans="1:29" ht="30" customHeight="1" x14ac:dyDescent="0.3">
      <c r="A343" s="8" t="s">
        <v>556</v>
      </c>
      <c r="B343" s="8" t="s">
        <v>338</v>
      </c>
      <c r="C343" s="8" t="s">
        <v>252</v>
      </c>
      <c r="D343" s="8" t="s">
        <v>339</v>
      </c>
      <c r="E343" s="8" t="s">
        <v>179</v>
      </c>
      <c r="F343" s="9">
        <v>26</v>
      </c>
      <c r="G343" s="5">
        <f>TRUNC([1]단가대비표!O299,0)</f>
        <v>82800</v>
      </c>
      <c r="H343" s="5">
        <f t="shared" si="28"/>
        <v>2152800</v>
      </c>
      <c r="I343" s="5">
        <v>0</v>
      </c>
      <c r="J343" s="5">
        <f t="shared" si="29"/>
        <v>0</v>
      </c>
      <c r="K343" s="5">
        <v>0</v>
      </c>
      <c r="L343" s="5">
        <f t="shared" si="30"/>
        <v>0</v>
      </c>
      <c r="M343" s="5">
        <f t="shared" si="31"/>
        <v>82800</v>
      </c>
      <c r="N343" s="5">
        <f t="shared" si="31"/>
        <v>2152800</v>
      </c>
      <c r="O343" s="8" t="s">
        <v>20</v>
      </c>
      <c r="T343">
        <v>0</v>
      </c>
      <c r="AC343">
        <v>1</v>
      </c>
    </row>
    <row r="344" spans="1:29" ht="30" customHeight="1" x14ac:dyDescent="0.3">
      <c r="A344" s="8" t="s">
        <v>556</v>
      </c>
      <c r="B344" s="8" t="s">
        <v>340</v>
      </c>
      <c r="C344" s="8" t="s">
        <v>252</v>
      </c>
      <c r="D344" s="8" t="s">
        <v>341</v>
      </c>
      <c r="E344" s="8" t="s">
        <v>179</v>
      </c>
      <c r="F344" s="9">
        <v>10</v>
      </c>
      <c r="G344" s="5">
        <f>TRUNC([1]단가대비표!O300,0)</f>
        <v>113000</v>
      </c>
      <c r="H344" s="5">
        <f t="shared" si="28"/>
        <v>1130000</v>
      </c>
      <c r="I344" s="5">
        <v>0</v>
      </c>
      <c r="J344" s="5">
        <f t="shared" si="29"/>
        <v>0</v>
      </c>
      <c r="K344" s="5">
        <v>0</v>
      </c>
      <c r="L344" s="5">
        <f t="shared" si="30"/>
        <v>0</v>
      </c>
      <c r="M344" s="5">
        <f t="shared" si="31"/>
        <v>113000</v>
      </c>
      <c r="N344" s="5">
        <f t="shared" si="31"/>
        <v>1130000</v>
      </c>
      <c r="O344" s="8" t="s">
        <v>20</v>
      </c>
      <c r="T344">
        <v>0</v>
      </c>
      <c r="AC344">
        <v>1</v>
      </c>
    </row>
    <row r="345" spans="1:29" ht="30" customHeight="1" x14ac:dyDescent="0.3">
      <c r="A345" s="8" t="s">
        <v>556</v>
      </c>
      <c r="B345" s="8" t="s">
        <v>342</v>
      </c>
      <c r="C345" s="8" t="s">
        <v>252</v>
      </c>
      <c r="D345" s="8" t="s">
        <v>343</v>
      </c>
      <c r="E345" s="8" t="s">
        <v>179</v>
      </c>
      <c r="F345" s="9">
        <v>36</v>
      </c>
      <c r="G345" s="5">
        <f>TRUNC([1]단가대비표!O301,0)</f>
        <v>134800</v>
      </c>
      <c r="H345" s="5">
        <f t="shared" si="28"/>
        <v>4852800</v>
      </c>
      <c r="I345" s="5">
        <v>0</v>
      </c>
      <c r="J345" s="5">
        <f t="shared" si="29"/>
        <v>0</v>
      </c>
      <c r="K345" s="5">
        <v>0</v>
      </c>
      <c r="L345" s="5">
        <f t="shared" si="30"/>
        <v>0</v>
      </c>
      <c r="M345" s="5">
        <f t="shared" si="31"/>
        <v>134800</v>
      </c>
      <c r="N345" s="5">
        <f t="shared" si="31"/>
        <v>4852800</v>
      </c>
      <c r="O345" s="8" t="s">
        <v>20</v>
      </c>
      <c r="T345">
        <v>0</v>
      </c>
      <c r="AC345">
        <v>1</v>
      </c>
    </row>
    <row r="346" spans="1:29" ht="30" customHeight="1" x14ac:dyDescent="0.3">
      <c r="A346" s="8" t="s">
        <v>556</v>
      </c>
      <c r="B346" s="8" t="s">
        <v>349</v>
      </c>
      <c r="C346" s="8" t="s">
        <v>345</v>
      </c>
      <c r="D346" s="8" t="s">
        <v>350</v>
      </c>
      <c r="E346" s="8" t="s">
        <v>179</v>
      </c>
      <c r="F346" s="9">
        <v>34</v>
      </c>
      <c r="G346" s="5">
        <f>TRUNC([1]단가대비표!O491,0)</f>
        <v>53700</v>
      </c>
      <c r="H346" s="5">
        <f t="shared" si="28"/>
        <v>1825800</v>
      </c>
      <c r="I346" s="5">
        <v>0</v>
      </c>
      <c r="J346" s="5">
        <f t="shared" si="29"/>
        <v>0</v>
      </c>
      <c r="K346" s="5">
        <v>0</v>
      </c>
      <c r="L346" s="5">
        <f t="shared" si="30"/>
        <v>0</v>
      </c>
      <c r="M346" s="5">
        <f t="shared" si="31"/>
        <v>53700</v>
      </c>
      <c r="N346" s="5">
        <f t="shared" si="31"/>
        <v>1825800</v>
      </c>
      <c r="O346" s="8" t="s">
        <v>20</v>
      </c>
      <c r="T346">
        <v>0</v>
      </c>
      <c r="AC346">
        <v>1</v>
      </c>
    </row>
    <row r="347" spans="1:29" ht="30" customHeight="1" x14ac:dyDescent="0.3">
      <c r="A347" s="8" t="s">
        <v>556</v>
      </c>
      <c r="B347" s="8" t="s">
        <v>351</v>
      </c>
      <c r="C347" s="8" t="s">
        <v>345</v>
      </c>
      <c r="D347" s="8" t="s">
        <v>352</v>
      </c>
      <c r="E347" s="8" t="s">
        <v>179</v>
      </c>
      <c r="F347" s="9">
        <v>6</v>
      </c>
      <c r="G347" s="5">
        <f>TRUNC([1]단가대비표!O492,0)</f>
        <v>63300</v>
      </c>
      <c r="H347" s="5">
        <f t="shared" si="28"/>
        <v>379800</v>
      </c>
      <c r="I347" s="5">
        <v>0</v>
      </c>
      <c r="J347" s="5">
        <f t="shared" si="29"/>
        <v>0</v>
      </c>
      <c r="K347" s="5">
        <v>0</v>
      </c>
      <c r="L347" s="5">
        <f t="shared" si="30"/>
        <v>0</v>
      </c>
      <c r="M347" s="5">
        <f t="shared" si="31"/>
        <v>63300</v>
      </c>
      <c r="N347" s="5">
        <f t="shared" si="31"/>
        <v>379800</v>
      </c>
      <c r="O347" s="8" t="s">
        <v>20</v>
      </c>
      <c r="T347">
        <v>0</v>
      </c>
      <c r="AC347">
        <v>1</v>
      </c>
    </row>
    <row r="348" spans="1:29" ht="30" customHeight="1" x14ac:dyDescent="0.3">
      <c r="A348" s="8" t="s">
        <v>556</v>
      </c>
      <c r="B348" s="8" t="s">
        <v>607</v>
      </c>
      <c r="C348" s="8" t="s">
        <v>345</v>
      </c>
      <c r="D348" s="8" t="s">
        <v>608</v>
      </c>
      <c r="E348" s="8" t="s">
        <v>179</v>
      </c>
      <c r="F348" s="9">
        <v>44</v>
      </c>
      <c r="G348" s="5">
        <f>TRUNC([1]단가대비표!O493,0)</f>
        <v>129800</v>
      </c>
      <c r="H348" s="5">
        <f t="shared" si="28"/>
        <v>5711200</v>
      </c>
      <c r="I348" s="5">
        <v>0</v>
      </c>
      <c r="J348" s="5">
        <f t="shared" si="29"/>
        <v>0</v>
      </c>
      <c r="K348" s="5">
        <v>0</v>
      </c>
      <c r="L348" s="5">
        <f t="shared" si="30"/>
        <v>0</v>
      </c>
      <c r="M348" s="5">
        <f t="shared" si="31"/>
        <v>129800</v>
      </c>
      <c r="N348" s="5">
        <f t="shared" si="31"/>
        <v>5711200</v>
      </c>
      <c r="O348" s="8" t="s">
        <v>20</v>
      </c>
      <c r="T348">
        <v>0</v>
      </c>
      <c r="AC348">
        <v>1</v>
      </c>
    </row>
    <row r="349" spans="1:29" ht="30" customHeight="1" x14ac:dyDescent="0.3">
      <c r="A349" s="8" t="s">
        <v>556</v>
      </c>
      <c r="B349" s="8" t="s">
        <v>356</v>
      </c>
      <c r="C349" s="8" t="s">
        <v>354</v>
      </c>
      <c r="D349" s="8" t="s">
        <v>350</v>
      </c>
      <c r="E349" s="8" t="s">
        <v>179</v>
      </c>
      <c r="F349" s="9">
        <v>4</v>
      </c>
      <c r="G349" s="5">
        <f>TRUNC([1]단가대비표!O496,0)</f>
        <v>71200</v>
      </c>
      <c r="H349" s="5">
        <f t="shared" si="28"/>
        <v>284800</v>
      </c>
      <c r="I349" s="5">
        <v>0</v>
      </c>
      <c r="J349" s="5">
        <f t="shared" si="29"/>
        <v>0</v>
      </c>
      <c r="K349" s="5">
        <v>0</v>
      </c>
      <c r="L349" s="5">
        <f t="shared" si="30"/>
        <v>0</v>
      </c>
      <c r="M349" s="5">
        <f t="shared" si="31"/>
        <v>71200</v>
      </c>
      <c r="N349" s="5">
        <f t="shared" si="31"/>
        <v>284800</v>
      </c>
      <c r="O349" s="8" t="s">
        <v>20</v>
      </c>
      <c r="T349">
        <v>0</v>
      </c>
      <c r="AC349">
        <v>1</v>
      </c>
    </row>
    <row r="350" spans="1:29" ht="30" customHeight="1" x14ac:dyDescent="0.3">
      <c r="A350" s="8" t="s">
        <v>556</v>
      </c>
      <c r="B350" s="8" t="s">
        <v>609</v>
      </c>
      <c r="C350" s="8" t="s">
        <v>354</v>
      </c>
      <c r="D350" s="8" t="s">
        <v>608</v>
      </c>
      <c r="E350" s="8" t="s">
        <v>179</v>
      </c>
      <c r="F350" s="9">
        <v>4</v>
      </c>
      <c r="G350" s="5">
        <f>TRUNC([1]단가대비표!O498,0)</f>
        <v>214400</v>
      </c>
      <c r="H350" s="5">
        <f t="shared" si="28"/>
        <v>857600</v>
      </c>
      <c r="I350" s="5">
        <v>0</v>
      </c>
      <c r="J350" s="5">
        <f t="shared" si="29"/>
        <v>0</v>
      </c>
      <c r="K350" s="5">
        <v>0</v>
      </c>
      <c r="L350" s="5">
        <f t="shared" si="30"/>
        <v>0</v>
      </c>
      <c r="M350" s="5">
        <f t="shared" si="31"/>
        <v>214400</v>
      </c>
      <c r="N350" s="5">
        <f t="shared" si="31"/>
        <v>857600</v>
      </c>
      <c r="O350" s="8" t="s">
        <v>20</v>
      </c>
      <c r="T350">
        <v>0</v>
      </c>
      <c r="AC350">
        <v>1</v>
      </c>
    </row>
    <row r="351" spans="1:29" ht="30" customHeight="1" x14ac:dyDescent="0.3">
      <c r="A351" s="8" t="s">
        <v>556</v>
      </c>
      <c r="B351" s="8" t="s">
        <v>610</v>
      </c>
      <c r="C351" s="8" t="s">
        <v>359</v>
      </c>
      <c r="D351" s="8" t="s">
        <v>350</v>
      </c>
      <c r="E351" s="8" t="s">
        <v>179</v>
      </c>
      <c r="F351" s="9">
        <v>2</v>
      </c>
      <c r="G351" s="5">
        <f>TRUNC([1]단가대비표!O501,0)</f>
        <v>84000</v>
      </c>
      <c r="H351" s="5">
        <f t="shared" si="28"/>
        <v>168000</v>
      </c>
      <c r="I351" s="5">
        <v>0</v>
      </c>
      <c r="J351" s="5">
        <f t="shared" si="29"/>
        <v>0</v>
      </c>
      <c r="K351" s="5">
        <v>0</v>
      </c>
      <c r="L351" s="5">
        <f t="shared" si="30"/>
        <v>0</v>
      </c>
      <c r="M351" s="5">
        <f t="shared" si="31"/>
        <v>84000</v>
      </c>
      <c r="N351" s="5">
        <f t="shared" si="31"/>
        <v>168000</v>
      </c>
      <c r="O351" s="8" t="s">
        <v>20</v>
      </c>
      <c r="T351">
        <v>0</v>
      </c>
      <c r="AC351">
        <v>1</v>
      </c>
    </row>
    <row r="352" spans="1:29" ht="30" customHeight="1" x14ac:dyDescent="0.3">
      <c r="A352" s="8" t="s">
        <v>556</v>
      </c>
      <c r="B352" s="8" t="s">
        <v>360</v>
      </c>
      <c r="C352" s="8" t="s">
        <v>359</v>
      </c>
      <c r="D352" s="8" t="s">
        <v>352</v>
      </c>
      <c r="E352" s="8" t="s">
        <v>179</v>
      </c>
      <c r="F352" s="9">
        <v>2</v>
      </c>
      <c r="G352" s="5">
        <f>TRUNC([1]단가대비표!O502,0)</f>
        <v>119200</v>
      </c>
      <c r="H352" s="5">
        <f t="shared" si="28"/>
        <v>238400</v>
      </c>
      <c r="I352" s="5">
        <v>0</v>
      </c>
      <c r="J352" s="5">
        <f t="shared" si="29"/>
        <v>0</v>
      </c>
      <c r="K352" s="5">
        <v>0</v>
      </c>
      <c r="L352" s="5">
        <f t="shared" si="30"/>
        <v>0</v>
      </c>
      <c r="M352" s="5">
        <f t="shared" si="31"/>
        <v>119200</v>
      </c>
      <c r="N352" s="5">
        <f t="shared" si="31"/>
        <v>238400</v>
      </c>
      <c r="O352" s="8" t="s">
        <v>20</v>
      </c>
      <c r="T352">
        <v>0</v>
      </c>
      <c r="AC352">
        <v>1</v>
      </c>
    </row>
    <row r="353" spans="1:29" ht="30" customHeight="1" x14ac:dyDescent="0.3">
      <c r="A353" s="8" t="s">
        <v>556</v>
      </c>
      <c r="B353" s="8" t="s">
        <v>611</v>
      </c>
      <c r="C353" s="8" t="s">
        <v>359</v>
      </c>
      <c r="D353" s="8" t="s">
        <v>608</v>
      </c>
      <c r="E353" s="8" t="s">
        <v>179</v>
      </c>
      <c r="F353" s="9">
        <v>8</v>
      </c>
      <c r="G353" s="5">
        <f>TRUNC([1]단가대비표!O503,0)</f>
        <v>236000</v>
      </c>
      <c r="H353" s="5">
        <f t="shared" si="28"/>
        <v>1888000</v>
      </c>
      <c r="I353" s="5">
        <v>0</v>
      </c>
      <c r="J353" s="5">
        <f t="shared" si="29"/>
        <v>0</v>
      </c>
      <c r="K353" s="5">
        <v>0</v>
      </c>
      <c r="L353" s="5">
        <f t="shared" si="30"/>
        <v>0</v>
      </c>
      <c r="M353" s="5">
        <f t="shared" si="31"/>
        <v>236000</v>
      </c>
      <c r="N353" s="5">
        <f t="shared" si="31"/>
        <v>1888000</v>
      </c>
      <c r="O353" s="8" t="s">
        <v>20</v>
      </c>
      <c r="T353">
        <v>0</v>
      </c>
      <c r="AC353">
        <v>1</v>
      </c>
    </row>
    <row r="354" spans="1:29" ht="30" customHeight="1" x14ac:dyDescent="0.3">
      <c r="A354" s="8" t="s">
        <v>556</v>
      </c>
      <c r="B354" s="8" t="s">
        <v>612</v>
      </c>
      <c r="C354" s="8" t="s">
        <v>362</v>
      </c>
      <c r="D354" s="8" t="s">
        <v>350</v>
      </c>
      <c r="E354" s="8" t="s">
        <v>179</v>
      </c>
      <c r="F354" s="9">
        <v>4</v>
      </c>
      <c r="G354" s="5">
        <f>TRUNC([1]단가대비표!O504,0)</f>
        <v>39100</v>
      </c>
      <c r="H354" s="5">
        <f t="shared" si="28"/>
        <v>156400</v>
      </c>
      <c r="I354" s="5">
        <v>0</v>
      </c>
      <c r="J354" s="5">
        <f t="shared" si="29"/>
        <v>0</v>
      </c>
      <c r="K354" s="5">
        <v>0</v>
      </c>
      <c r="L354" s="5">
        <f t="shared" si="30"/>
        <v>0</v>
      </c>
      <c r="M354" s="5">
        <f t="shared" si="31"/>
        <v>39100</v>
      </c>
      <c r="N354" s="5">
        <f t="shared" si="31"/>
        <v>156400</v>
      </c>
      <c r="O354" s="8" t="s">
        <v>20</v>
      </c>
      <c r="T354">
        <v>0</v>
      </c>
      <c r="AC354">
        <v>1</v>
      </c>
    </row>
    <row r="355" spans="1:29" ht="30" customHeight="1" x14ac:dyDescent="0.3">
      <c r="A355" s="8" t="s">
        <v>556</v>
      </c>
      <c r="B355" s="8" t="s">
        <v>613</v>
      </c>
      <c r="C355" s="8" t="s">
        <v>362</v>
      </c>
      <c r="D355" s="8" t="s">
        <v>608</v>
      </c>
      <c r="E355" s="8" t="s">
        <v>179</v>
      </c>
      <c r="F355" s="9">
        <v>6</v>
      </c>
      <c r="G355" s="5">
        <f>TRUNC([1]단가대비표!O506,0)</f>
        <v>84800</v>
      </c>
      <c r="H355" s="5">
        <f t="shared" si="28"/>
        <v>508800</v>
      </c>
      <c r="I355" s="5">
        <v>0</v>
      </c>
      <c r="J355" s="5">
        <f t="shared" si="29"/>
        <v>0</v>
      </c>
      <c r="K355" s="5">
        <v>0</v>
      </c>
      <c r="L355" s="5">
        <f t="shared" si="30"/>
        <v>0</v>
      </c>
      <c r="M355" s="5">
        <f t="shared" si="31"/>
        <v>84800</v>
      </c>
      <c r="N355" s="5">
        <f t="shared" si="31"/>
        <v>508800</v>
      </c>
      <c r="O355" s="8" t="s">
        <v>20</v>
      </c>
      <c r="T355">
        <v>0</v>
      </c>
      <c r="AC355">
        <v>1</v>
      </c>
    </row>
    <row r="356" spans="1:29" ht="30" customHeight="1" x14ac:dyDescent="0.3">
      <c r="A356" s="8" t="s">
        <v>556</v>
      </c>
      <c r="B356" s="8" t="s">
        <v>614</v>
      </c>
      <c r="C356" s="8" t="s">
        <v>615</v>
      </c>
      <c r="D356" s="8" t="s">
        <v>381</v>
      </c>
      <c r="E356" s="8" t="s">
        <v>179</v>
      </c>
      <c r="F356" s="9">
        <v>372</v>
      </c>
      <c r="G356" s="5">
        <f>TRUNC([1]단가대비표!O533,0)</f>
        <v>18400</v>
      </c>
      <c r="H356" s="5">
        <f t="shared" si="28"/>
        <v>6844800</v>
      </c>
      <c r="I356" s="5">
        <v>0</v>
      </c>
      <c r="J356" s="5">
        <f t="shared" si="29"/>
        <v>0</v>
      </c>
      <c r="K356" s="5">
        <v>0</v>
      </c>
      <c r="L356" s="5">
        <f t="shared" si="30"/>
        <v>0</v>
      </c>
      <c r="M356" s="5">
        <f t="shared" si="31"/>
        <v>18400</v>
      </c>
      <c r="N356" s="5">
        <f t="shared" si="31"/>
        <v>6844800</v>
      </c>
      <c r="O356" s="8" t="s">
        <v>20</v>
      </c>
      <c r="T356">
        <v>0</v>
      </c>
      <c r="AC356">
        <v>1</v>
      </c>
    </row>
    <row r="357" spans="1:29" ht="30" customHeight="1" x14ac:dyDescent="0.3">
      <c r="A357" s="8" t="s">
        <v>556</v>
      </c>
      <c r="B357" s="8" t="s">
        <v>380</v>
      </c>
      <c r="C357" s="8" t="s">
        <v>374</v>
      </c>
      <c r="D357" s="8" t="s">
        <v>381</v>
      </c>
      <c r="E357" s="8" t="s">
        <v>179</v>
      </c>
      <c r="F357" s="9">
        <v>9</v>
      </c>
      <c r="G357" s="5">
        <f>TRUNC([1]단가대비표!O539,0)</f>
        <v>48350</v>
      </c>
      <c r="H357" s="5">
        <f t="shared" si="28"/>
        <v>435150</v>
      </c>
      <c r="I357" s="5">
        <v>0</v>
      </c>
      <c r="J357" s="5">
        <f t="shared" si="29"/>
        <v>0</v>
      </c>
      <c r="K357" s="5">
        <v>0</v>
      </c>
      <c r="L357" s="5">
        <f t="shared" si="30"/>
        <v>0</v>
      </c>
      <c r="M357" s="5">
        <f t="shared" si="31"/>
        <v>48350</v>
      </c>
      <c r="N357" s="5">
        <f t="shared" si="31"/>
        <v>435150</v>
      </c>
      <c r="O357" s="8" t="s">
        <v>20</v>
      </c>
      <c r="T357">
        <v>0</v>
      </c>
      <c r="AC357">
        <v>1</v>
      </c>
    </row>
    <row r="358" spans="1:29" ht="30" customHeight="1" x14ac:dyDescent="0.3">
      <c r="A358" s="8" t="s">
        <v>556</v>
      </c>
      <c r="B358" s="8" t="s">
        <v>386</v>
      </c>
      <c r="C358" s="8" t="s">
        <v>374</v>
      </c>
      <c r="D358" s="8" t="s">
        <v>387</v>
      </c>
      <c r="E358" s="8" t="s">
        <v>179</v>
      </c>
      <c r="F358" s="9">
        <v>2</v>
      </c>
      <c r="G358" s="5">
        <f>TRUNC([1]단가대비표!O542,0)</f>
        <v>77300</v>
      </c>
      <c r="H358" s="5">
        <f t="shared" si="28"/>
        <v>154600</v>
      </c>
      <c r="I358" s="5">
        <v>0</v>
      </c>
      <c r="J358" s="5">
        <f t="shared" si="29"/>
        <v>0</v>
      </c>
      <c r="K358" s="5">
        <v>0</v>
      </c>
      <c r="L358" s="5">
        <f t="shared" si="30"/>
        <v>0</v>
      </c>
      <c r="M358" s="5">
        <f t="shared" si="31"/>
        <v>77300</v>
      </c>
      <c r="N358" s="5">
        <f t="shared" si="31"/>
        <v>154600</v>
      </c>
      <c r="O358" s="8" t="s">
        <v>20</v>
      </c>
      <c r="T358">
        <v>0</v>
      </c>
      <c r="AC358">
        <v>1</v>
      </c>
    </row>
    <row r="359" spans="1:29" ht="30" customHeight="1" x14ac:dyDescent="0.3">
      <c r="A359" s="8" t="s">
        <v>556</v>
      </c>
      <c r="B359" s="8" t="s">
        <v>388</v>
      </c>
      <c r="C359" s="8" t="s">
        <v>374</v>
      </c>
      <c r="D359" s="8" t="s">
        <v>389</v>
      </c>
      <c r="E359" s="8" t="s">
        <v>179</v>
      </c>
      <c r="F359" s="9">
        <v>8</v>
      </c>
      <c r="G359" s="5">
        <f>TRUNC([1]단가대비표!O543,0)</f>
        <v>81600</v>
      </c>
      <c r="H359" s="5">
        <f t="shared" si="28"/>
        <v>652800</v>
      </c>
      <c r="I359" s="5">
        <v>0</v>
      </c>
      <c r="J359" s="5">
        <f t="shared" si="29"/>
        <v>0</v>
      </c>
      <c r="K359" s="5">
        <v>0</v>
      </c>
      <c r="L359" s="5">
        <f t="shared" si="30"/>
        <v>0</v>
      </c>
      <c r="M359" s="5">
        <f t="shared" si="31"/>
        <v>81600</v>
      </c>
      <c r="N359" s="5">
        <f t="shared" si="31"/>
        <v>652800</v>
      </c>
      <c r="O359" s="8" t="s">
        <v>20</v>
      </c>
      <c r="T359">
        <v>0</v>
      </c>
      <c r="AC359">
        <v>1</v>
      </c>
    </row>
    <row r="360" spans="1:29" ht="30" customHeight="1" x14ac:dyDescent="0.3">
      <c r="A360" s="8" t="s">
        <v>556</v>
      </c>
      <c r="B360" s="8" t="s">
        <v>616</v>
      </c>
      <c r="C360" s="8" t="s">
        <v>617</v>
      </c>
      <c r="D360" s="8" t="s">
        <v>618</v>
      </c>
      <c r="E360" s="8" t="s">
        <v>179</v>
      </c>
      <c r="F360" s="9">
        <v>2</v>
      </c>
      <c r="G360" s="5">
        <f>TRUNC([1]단가대비표!O513,0)</f>
        <v>106240</v>
      </c>
      <c r="H360" s="5">
        <f t="shared" si="28"/>
        <v>212480</v>
      </c>
      <c r="I360" s="5">
        <v>0</v>
      </c>
      <c r="J360" s="5">
        <f t="shared" si="29"/>
        <v>0</v>
      </c>
      <c r="K360" s="5">
        <v>0</v>
      </c>
      <c r="L360" s="5">
        <f t="shared" si="30"/>
        <v>0</v>
      </c>
      <c r="M360" s="5">
        <f t="shared" si="31"/>
        <v>106240</v>
      </c>
      <c r="N360" s="5">
        <f t="shared" si="31"/>
        <v>212480</v>
      </c>
      <c r="O360" s="8" t="s">
        <v>20</v>
      </c>
      <c r="T360">
        <v>0</v>
      </c>
      <c r="AC360">
        <v>1</v>
      </c>
    </row>
    <row r="361" spans="1:29" ht="30" customHeight="1" x14ac:dyDescent="0.3">
      <c r="A361" s="8" t="s">
        <v>556</v>
      </c>
      <c r="B361" s="8" t="s">
        <v>619</v>
      </c>
      <c r="C361" s="8" t="s">
        <v>617</v>
      </c>
      <c r="D361" s="8" t="s">
        <v>620</v>
      </c>
      <c r="E361" s="8" t="s">
        <v>179</v>
      </c>
      <c r="F361" s="9">
        <v>1</v>
      </c>
      <c r="G361" s="5">
        <f>TRUNC([1]단가대비표!O514,0)</f>
        <v>135830</v>
      </c>
      <c r="H361" s="5">
        <f t="shared" si="28"/>
        <v>135830</v>
      </c>
      <c r="I361" s="5">
        <v>0</v>
      </c>
      <c r="J361" s="5">
        <f t="shared" si="29"/>
        <v>0</v>
      </c>
      <c r="K361" s="5">
        <v>0</v>
      </c>
      <c r="L361" s="5">
        <f t="shared" si="30"/>
        <v>0</v>
      </c>
      <c r="M361" s="5">
        <f t="shared" ref="M361:N392" si="32">G361+I361+K361</f>
        <v>135830</v>
      </c>
      <c r="N361" s="5">
        <f t="shared" si="32"/>
        <v>135830</v>
      </c>
      <c r="O361" s="8" t="s">
        <v>20</v>
      </c>
      <c r="T361">
        <v>0</v>
      </c>
      <c r="AC361">
        <v>1</v>
      </c>
    </row>
    <row r="362" spans="1:29" ht="30" customHeight="1" x14ac:dyDescent="0.3">
      <c r="A362" s="8" t="s">
        <v>556</v>
      </c>
      <c r="B362" s="8" t="s">
        <v>621</v>
      </c>
      <c r="C362" s="8" t="s">
        <v>617</v>
      </c>
      <c r="D362" s="8" t="s">
        <v>622</v>
      </c>
      <c r="E362" s="8" t="s">
        <v>179</v>
      </c>
      <c r="F362" s="9">
        <v>3</v>
      </c>
      <c r="G362" s="5">
        <f>TRUNC([1]단가대비표!O515,0)</f>
        <v>180520</v>
      </c>
      <c r="H362" s="5">
        <f t="shared" si="28"/>
        <v>541560</v>
      </c>
      <c r="I362" s="5">
        <v>0</v>
      </c>
      <c r="J362" s="5">
        <f t="shared" si="29"/>
        <v>0</v>
      </c>
      <c r="K362" s="5">
        <v>0</v>
      </c>
      <c r="L362" s="5">
        <f t="shared" si="30"/>
        <v>0</v>
      </c>
      <c r="M362" s="5">
        <f t="shared" si="32"/>
        <v>180520</v>
      </c>
      <c r="N362" s="5">
        <f t="shared" si="32"/>
        <v>541560</v>
      </c>
      <c r="O362" s="8" t="s">
        <v>20</v>
      </c>
      <c r="T362">
        <v>0</v>
      </c>
      <c r="AC362">
        <v>1</v>
      </c>
    </row>
    <row r="363" spans="1:29" ht="30" customHeight="1" x14ac:dyDescent="0.3">
      <c r="A363" s="8" t="s">
        <v>556</v>
      </c>
      <c r="B363" s="8" t="s">
        <v>623</v>
      </c>
      <c r="C363" s="8" t="s">
        <v>617</v>
      </c>
      <c r="D363" s="8" t="s">
        <v>387</v>
      </c>
      <c r="E363" s="8" t="s">
        <v>179</v>
      </c>
      <c r="F363" s="9">
        <v>1</v>
      </c>
      <c r="G363" s="5">
        <f>TRUNC([1]단가대비표!O517,0)</f>
        <v>71400</v>
      </c>
      <c r="H363" s="5">
        <f t="shared" si="28"/>
        <v>71400</v>
      </c>
      <c r="I363" s="5">
        <v>0</v>
      </c>
      <c r="J363" s="5">
        <f t="shared" si="29"/>
        <v>0</v>
      </c>
      <c r="K363" s="5">
        <v>0</v>
      </c>
      <c r="L363" s="5">
        <f t="shared" si="30"/>
        <v>0</v>
      </c>
      <c r="M363" s="5">
        <f t="shared" si="32"/>
        <v>71400</v>
      </c>
      <c r="N363" s="5">
        <f t="shared" si="32"/>
        <v>71400</v>
      </c>
      <c r="O363" s="8" t="s">
        <v>20</v>
      </c>
      <c r="T363">
        <v>0</v>
      </c>
      <c r="AC363">
        <v>1</v>
      </c>
    </row>
    <row r="364" spans="1:29" ht="30" customHeight="1" x14ac:dyDescent="0.3">
      <c r="A364" s="8" t="s">
        <v>556</v>
      </c>
      <c r="B364" s="8" t="s">
        <v>624</v>
      </c>
      <c r="C364" s="8" t="s">
        <v>617</v>
      </c>
      <c r="D364" s="8" t="s">
        <v>389</v>
      </c>
      <c r="E364" s="8" t="s">
        <v>179</v>
      </c>
      <c r="F364" s="9">
        <v>4</v>
      </c>
      <c r="G364" s="5">
        <f>TRUNC([1]단가대비표!O518,0)</f>
        <v>77300</v>
      </c>
      <c r="H364" s="5">
        <f t="shared" si="28"/>
        <v>309200</v>
      </c>
      <c r="I364" s="5">
        <v>0</v>
      </c>
      <c r="J364" s="5">
        <f t="shared" si="29"/>
        <v>0</v>
      </c>
      <c r="K364" s="5">
        <v>0</v>
      </c>
      <c r="L364" s="5">
        <f t="shared" si="30"/>
        <v>0</v>
      </c>
      <c r="M364" s="5">
        <f t="shared" si="32"/>
        <v>77300</v>
      </c>
      <c r="N364" s="5">
        <f t="shared" si="32"/>
        <v>309200</v>
      </c>
      <c r="O364" s="8" t="s">
        <v>20</v>
      </c>
      <c r="T364">
        <v>0</v>
      </c>
      <c r="AC364">
        <v>1</v>
      </c>
    </row>
    <row r="365" spans="1:29" ht="30" customHeight="1" x14ac:dyDescent="0.3">
      <c r="A365" s="8" t="s">
        <v>556</v>
      </c>
      <c r="B365" s="8" t="s">
        <v>390</v>
      </c>
      <c r="C365" s="8" t="s">
        <v>391</v>
      </c>
      <c r="D365" s="8" t="s">
        <v>392</v>
      </c>
      <c r="E365" s="8" t="s">
        <v>179</v>
      </c>
      <c r="F365" s="9">
        <v>4</v>
      </c>
      <c r="G365" s="5">
        <f>TRUNC([1]단가대비표!O526,0)</f>
        <v>99160</v>
      </c>
      <c r="H365" s="5">
        <f t="shared" si="28"/>
        <v>396640</v>
      </c>
      <c r="I365" s="5">
        <v>0</v>
      </c>
      <c r="J365" s="5">
        <f t="shared" si="29"/>
        <v>0</v>
      </c>
      <c r="K365" s="5">
        <v>0</v>
      </c>
      <c r="L365" s="5">
        <f t="shared" si="30"/>
        <v>0</v>
      </c>
      <c r="M365" s="5">
        <f t="shared" si="32"/>
        <v>99160</v>
      </c>
      <c r="N365" s="5">
        <f t="shared" si="32"/>
        <v>396640</v>
      </c>
      <c r="O365" s="8" t="s">
        <v>20</v>
      </c>
      <c r="T365">
        <v>0</v>
      </c>
      <c r="AC365">
        <v>1</v>
      </c>
    </row>
    <row r="366" spans="1:29" ht="30" customHeight="1" x14ac:dyDescent="0.3">
      <c r="A366" s="8" t="s">
        <v>556</v>
      </c>
      <c r="B366" s="8" t="s">
        <v>393</v>
      </c>
      <c r="C366" s="8" t="s">
        <v>391</v>
      </c>
      <c r="D366" s="8" t="s">
        <v>394</v>
      </c>
      <c r="E366" s="8" t="s">
        <v>179</v>
      </c>
      <c r="F366" s="9">
        <v>2</v>
      </c>
      <c r="G366" s="5">
        <f>TRUNC([1]단가대비표!O527,0)</f>
        <v>105600</v>
      </c>
      <c r="H366" s="5">
        <f t="shared" si="28"/>
        <v>211200</v>
      </c>
      <c r="I366" s="5">
        <v>0</v>
      </c>
      <c r="J366" s="5">
        <f t="shared" si="29"/>
        <v>0</v>
      </c>
      <c r="K366" s="5">
        <v>0</v>
      </c>
      <c r="L366" s="5">
        <f t="shared" si="30"/>
        <v>0</v>
      </c>
      <c r="M366" s="5">
        <f t="shared" si="32"/>
        <v>105600</v>
      </c>
      <c r="N366" s="5">
        <f t="shared" si="32"/>
        <v>211200</v>
      </c>
      <c r="O366" s="8" t="s">
        <v>20</v>
      </c>
      <c r="T366">
        <v>0</v>
      </c>
      <c r="AC366">
        <v>1</v>
      </c>
    </row>
    <row r="367" spans="1:29" ht="30" customHeight="1" x14ac:dyDescent="0.3">
      <c r="A367" s="8" t="s">
        <v>556</v>
      </c>
      <c r="B367" s="8" t="s">
        <v>625</v>
      </c>
      <c r="C367" s="8" t="s">
        <v>391</v>
      </c>
      <c r="D367" s="8" t="s">
        <v>626</v>
      </c>
      <c r="E367" s="8" t="s">
        <v>179</v>
      </c>
      <c r="F367" s="9">
        <v>6</v>
      </c>
      <c r="G367" s="5">
        <f>TRUNC([1]단가대비표!O528,0)</f>
        <v>132000</v>
      </c>
      <c r="H367" s="5">
        <f t="shared" si="28"/>
        <v>792000</v>
      </c>
      <c r="I367" s="5">
        <v>0</v>
      </c>
      <c r="J367" s="5">
        <f t="shared" si="29"/>
        <v>0</v>
      </c>
      <c r="K367" s="5">
        <v>0</v>
      </c>
      <c r="L367" s="5">
        <f t="shared" si="30"/>
        <v>0</v>
      </c>
      <c r="M367" s="5">
        <f t="shared" si="32"/>
        <v>132000</v>
      </c>
      <c r="N367" s="5">
        <f t="shared" si="32"/>
        <v>792000</v>
      </c>
      <c r="O367" s="8" t="s">
        <v>20</v>
      </c>
      <c r="T367">
        <v>0</v>
      </c>
      <c r="AC367">
        <v>1</v>
      </c>
    </row>
    <row r="368" spans="1:29" ht="30" customHeight="1" x14ac:dyDescent="0.3">
      <c r="A368" s="8" t="s">
        <v>556</v>
      </c>
      <c r="B368" s="8" t="s">
        <v>627</v>
      </c>
      <c r="C368" s="8" t="s">
        <v>412</v>
      </c>
      <c r="D368" s="8" t="s">
        <v>628</v>
      </c>
      <c r="E368" s="8" t="s">
        <v>179</v>
      </c>
      <c r="F368" s="9">
        <v>2</v>
      </c>
      <c r="G368" s="5">
        <f>TRUNC([1]단가대비표!O151,0)</f>
        <v>87440</v>
      </c>
      <c r="H368" s="5">
        <f t="shared" si="28"/>
        <v>174880</v>
      </c>
      <c r="I368" s="5">
        <v>0</v>
      </c>
      <c r="J368" s="5">
        <f t="shared" si="29"/>
        <v>0</v>
      </c>
      <c r="K368" s="5">
        <v>0</v>
      </c>
      <c r="L368" s="5">
        <f t="shared" si="30"/>
        <v>0</v>
      </c>
      <c r="M368" s="5">
        <f t="shared" si="32"/>
        <v>87440</v>
      </c>
      <c r="N368" s="5">
        <f t="shared" si="32"/>
        <v>174880</v>
      </c>
      <c r="O368" s="8" t="s">
        <v>20</v>
      </c>
      <c r="T368">
        <v>0</v>
      </c>
      <c r="AC368">
        <v>1</v>
      </c>
    </row>
    <row r="369" spans="1:29" ht="30" customHeight="1" x14ac:dyDescent="0.3">
      <c r="A369" s="8" t="s">
        <v>556</v>
      </c>
      <c r="B369" s="8" t="s">
        <v>629</v>
      </c>
      <c r="C369" s="8" t="s">
        <v>412</v>
      </c>
      <c r="D369" s="8" t="s">
        <v>630</v>
      </c>
      <c r="E369" s="8" t="s">
        <v>179</v>
      </c>
      <c r="F369" s="9">
        <v>1</v>
      </c>
      <c r="G369" s="5">
        <f>TRUNC([1]단가대비표!O152,0)</f>
        <v>115600</v>
      </c>
      <c r="H369" s="5">
        <f t="shared" si="28"/>
        <v>115600</v>
      </c>
      <c r="I369" s="5">
        <v>0</v>
      </c>
      <c r="J369" s="5">
        <f t="shared" si="29"/>
        <v>0</v>
      </c>
      <c r="K369" s="5">
        <v>0</v>
      </c>
      <c r="L369" s="5">
        <f t="shared" si="30"/>
        <v>0</v>
      </c>
      <c r="M369" s="5">
        <f t="shared" si="32"/>
        <v>115600</v>
      </c>
      <c r="N369" s="5">
        <f t="shared" si="32"/>
        <v>115600</v>
      </c>
      <c r="O369" s="8" t="s">
        <v>20</v>
      </c>
      <c r="T369">
        <v>0</v>
      </c>
      <c r="AC369">
        <v>1</v>
      </c>
    </row>
    <row r="370" spans="1:29" ht="30" customHeight="1" x14ac:dyDescent="0.3">
      <c r="A370" s="8" t="s">
        <v>556</v>
      </c>
      <c r="B370" s="8" t="s">
        <v>631</v>
      </c>
      <c r="C370" s="8" t="s">
        <v>412</v>
      </c>
      <c r="D370" s="8" t="s">
        <v>632</v>
      </c>
      <c r="E370" s="8" t="s">
        <v>179</v>
      </c>
      <c r="F370" s="9">
        <v>3</v>
      </c>
      <c r="G370" s="5">
        <f>TRUNC([1]단가대비표!O153,0)</f>
        <v>167980</v>
      </c>
      <c r="H370" s="5">
        <f t="shared" si="28"/>
        <v>503940</v>
      </c>
      <c r="I370" s="5">
        <v>0</v>
      </c>
      <c r="J370" s="5">
        <f t="shared" si="29"/>
        <v>0</v>
      </c>
      <c r="K370" s="5">
        <v>0</v>
      </c>
      <c r="L370" s="5">
        <f t="shared" si="30"/>
        <v>0</v>
      </c>
      <c r="M370" s="5">
        <f t="shared" si="32"/>
        <v>167980</v>
      </c>
      <c r="N370" s="5">
        <f t="shared" si="32"/>
        <v>503940</v>
      </c>
      <c r="O370" s="8" t="s">
        <v>20</v>
      </c>
      <c r="T370">
        <v>0</v>
      </c>
      <c r="AC370">
        <v>1</v>
      </c>
    </row>
    <row r="371" spans="1:29" ht="30" customHeight="1" x14ac:dyDescent="0.3">
      <c r="A371" s="8" t="s">
        <v>556</v>
      </c>
      <c r="B371" s="8" t="s">
        <v>415</v>
      </c>
      <c r="C371" s="8" t="s">
        <v>412</v>
      </c>
      <c r="D371" s="8" t="s">
        <v>387</v>
      </c>
      <c r="E371" s="8" t="s">
        <v>179</v>
      </c>
      <c r="F371" s="9">
        <v>1</v>
      </c>
      <c r="G371" s="5">
        <f>TRUNC([1]단가대비표!O158,0)</f>
        <v>78090</v>
      </c>
      <c r="H371" s="5">
        <f t="shared" si="28"/>
        <v>78090</v>
      </c>
      <c r="I371" s="5">
        <v>0</v>
      </c>
      <c r="J371" s="5">
        <f t="shared" si="29"/>
        <v>0</v>
      </c>
      <c r="K371" s="5">
        <v>0</v>
      </c>
      <c r="L371" s="5">
        <f t="shared" si="30"/>
        <v>0</v>
      </c>
      <c r="M371" s="5">
        <f t="shared" si="32"/>
        <v>78090</v>
      </c>
      <c r="N371" s="5">
        <f t="shared" si="32"/>
        <v>78090</v>
      </c>
      <c r="O371" s="8" t="s">
        <v>20</v>
      </c>
      <c r="T371">
        <v>0</v>
      </c>
      <c r="AC371">
        <v>1</v>
      </c>
    </row>
    <row r="372" spans="1:29" ht="30" customHeight="1" x14ac:dyDescent="0.3">
      <c r="A372" s="8" t="s">
        <v>556</v>
      </c>
      <c r="B372" s="8" t="s">
        <v>633</v>
      </c>
      <c r="C372" s="8" t="s">
        <v>412</v>
      </c>
      <c r="D372" s="8" t="s">
        <v>389</v>
      </c>
      <c r="E372" s="8" t="s">
        <v>179</v>
      </c>
      <c r="F372" s="9">
        <v>4</v>
      </c>
      <c r="G372" s="5">
        <f>TRUNC([1]단가대비표!O159,0)</f>
        <v>77340</v>
      </c>
      <c r="H372" s="5">
        <f t="shared" si="28"/>
        <v>309360</v>
      </c>
      <c r="I372" s="5">
        <v>0</v>
      </c>
      <c r="J372" s="5">
        <f t="shared" si="29"/>
        <v>0</v>
      </c>
      <c r="K372" s="5">
        <v>0</v>
      </c>
      <c r="L372" s="5">
        <f t="shared" si="30"/>
        <v>0</v>
      </c>
      <c r="M372" s="5">
        <f t="shared" si="32"/>
        <v>77340</v>
      </c>
      <c r="N372" s="5">
        <f t="shared" si="32"/>
        <v>309360</v>
      </c>
      <c r="O372" s="8" t="s">
        <v>20</v>
      </c>
      <c r="T372">
        <v>0</v>
      </c>
      <c r="AC372">
        <v>1</v>
      </c>
    </row>
    <row r="373" spans="1:29" ht="30" customHeight="1" x14ac:dyDescent="0.3">
      <c r="A373" s="8" t="s">
        <v>556</v>
      </c>
      <c r="B373" s="8" t="s">
        <v>634</v>
      </c>
      <c r="C373" s="8" t="s">
        <v>635</v>
      </c>
      <c r="D373" s="8" t="s">
        <v>484</v>
      </c>
      <c r="E373" s="8" t="s">
        <v>179</v>
      </c>
      <c r="F373" s="9">
        <v>186</v>
      </c>
      <c r="G373" s="5">
        <f>TRUNC([1]단가대비표!O519,0)</f>
        <v>178500</v>
      </c>
      <c r="H373" s="5">
        <f t="shared" si="28"/>
        <v>33201000</v>
      </c>
      <c r="I373" s="5">
        <v>0</v>
      </c>
      <c r="J373" s="5">
        <f t="shared" si="29"/>
        <v>0</v>
      </c>
      <c r="K373" s="5">
        <v>0</v>
      </c>
      <c r="L373" s="5">
        <f t="shared" si="30"/>
        <v>0</v>
      </c>
      <c r="M373" s="5">
        <f t="shared" si="32"/>
        <v>178500</v>
      </c>
      <c r="N373" s="5">
        <f t="shared" si="32"/>
        <v>33201000</v>
      </c>
      <c r="O373" s="8" t="s">
        <v>20</v>
      </c>
      <c r="T373">
        <v>0</v>
      </c>
      <c r="AC373">
        <v>1</v>
      </c>
    </row>
    <row r="374" spans="1:29" ht="30" customHeight="1" x14ac:dyDescent="0.3">
      <c r="A374" s="8" t="s">
        <v>556</v>
      </c>
      <c r="B374" s="8" t="s">
        <v>636</v>
      </c>
      <c r="C374" s="8" t="s">
        <v>637</v>
      </c>
      <c r="D374" s="8" t="s">
        <v>489</v>
      </c>
      <c r="E374" s="8" t="s">
        <v>179</v>
      </c>
      <c r="F374" s="9">
        <v>1</v>
      </c>
      <c r="G374" s="5">
        <f>TRUNC([1]단가대비표!O521,0)</f>
        <v>1331000</v>
      </c>
      <c r="H374" s="5">
        <f t="shared" si="28"/>
        <v>1331000</v>
      </c>
      <c r="I374" s="5">
        <v>0</v>
      </c>
      <c r="J374" s="5">
        <f t="shared" si="29"/>
        <v>0</v>
      </c>
      <c r="K374" s="5">
        <v>0</v>
      </c>
      <c r="L374" s="5">
        <f t="shared" si="30"/>
        <v>0</v>
      </c>
      <c r="M374" s="5">
        <f t="shared" si="32"/>
        <v>1331000</v>
      </c>
      <c r="N374" s="5">
        <f t="shared" si="32"/>
        <v>1331000</v>
      </c>
      <c r="O374" s="8" t="s">
        <v>20</v>
      </c>
      <c r="T374">
        <v>0</v>
      </c>
      <c r="AC374">
        <v>1</v>
      </c>
    </row>
    <row r="375" spans="1:29" ht="30" customHeight="1" x14ac:dyDescent="0.3">
      <c r="A375" s="8" t="s">
        <v>556</v>
      </c>
      <c r="B375" s="8" t="s">
        <v>638</v>
      </c>
      <c r="C375" s="8" t="s">
        <v>637</v>
      </c>
      <c r="D375" s="8" t="s">
        <v>346</v>
      </c>
      <c r="E375" s="8" t="s">
        <v>179</v>
      </c>
      <c r="F375" s="9">
        <v>4</v>
      </c>
      <c r="G375" s="5">
        <f>TRUNC([1]단가대비표!O522,0)</f>
        <v>1761000</v>
      </c>
      <c r="H375" s="5">
        <f t="shared" si="28"/>
        <v>7044000</v>
      </c>
      <c r="I375" s="5">
        <v>0</v>
      </c>
      <c r="J375" s="5">
        <f t="shared" si="29"/>
        <v>0</v>
      </c>
      <c r="K375" s="5">
        <v>0</v>
      </c>
      <c r="L375" s="5">
        <f t="shared" si="30"/>
        <v>0</v>
      </c>
      <c r="M375" s="5">
        <f t="shared" si="32"/>
        <v>1761000</v>
      </c>
      <c r="N375" s="5">
        <f t="shared" si="32"/>
        <v>7044000</v>
      </c>
      <c r="O375" s="8" t="s">
        <v>20</v>
      </c>
      <c r="T375">
        <v>0</v>
      </c>
      <c r="AC375">
        <v>1</v>
      </c>
    </row>
    <row r="376" spans="1:29" ht="30" customHeight="1" x14ac:dyDescent="0.3">
      <c r="A376" s="8" t="s">
        <v>556</v>
      </c>
      <c r="B376" s="8" t="s">
        <v>639</v>
      </c>
      <c r="C376" s="8" t="s">
        <v>637</v>
      </c>
      <c r="D376" s="8" t="s">
        <v>640</v>
      </c>
      <c r="E376" s="8" t="s">
        <v>179</v>
      </c>
      <c r="F376" s="9">
        <v>3</v>
      </c>
      <c r="G376" s="5">
        <f>TRUNC([1]단가대비표!O523,0)</f>
        <v>2860000</v>
      </c>
      <c r="H376" s="5">
        <f t="shared" si="28"/>
        <v>8580000</v>
      </c>
      <c r="I376" s="5">
        <v>0</v>
      </c>
      <c r="J376" s="5">
        <f t="shared" si="29"/>
        <v>0</v>
      </c>
      <c r="K376" s="5">
        <v>0</v>
      </c>
      <c r="L376" s="5">
        <f t="shared" si="30"/>
        <v>0</v>
      </c>
      <c r="M376" s="5">
        <f t="shared" si="32"/>
        <v>2860000</v>
      </c>
      <c r="N376" s="5">
        <f t="shared" si="32"/>
        <v>8580000</v>
      </c>
      <c r="O376" s="8" t="s">
        <v>20</v>
      </c>
      <c r="T376">
        <v>0</v>
      </c>
      <c r="AC376">
        <v>1</v>
      </c>
    </row>
    <row r="377" spans="1:29" ht="30" customHeight="1" x14ac:dyDescent="0.3">
      <c r="A377" s="8" t="s">
        <v>556</v>
      </c>
      <c r="B377" s="8" t="s">
        <v>641</v>
      </c>
      <c r="C377" s="8" t="s">
        <v>637</v>
      </c>
      <c r="D377" s="8" t="s">
        <v>348</v>
      </c>
      <c r="E377" s="8" t="s">
        <v>179</v>
      </c>
      <c r="F377" s="9">
        <v>3</v>
      </c>
      <c r="G377" s="5">
        <f>TRUNC([1]단가대비표!O524,0)</f>
        <v>4060000</v>
      </c>
      <c r="H377" s="5">
        <f t="shared" si="28"/>
        <v>12180000</v>
      </c>
      <c r="I377" s="5">
        <v>0</v>
      </c>
      <c r="J377" s="5">
        <f t="shared" si="29"/>
        <v>0</v>
      </c>
      <c r="K377" s="5">
        <v>0</v>
      </c>
      <c r="L377" s="5">
        <f t="shared" si="30"/>
        <v>0</v>
      </c>
      <c r="M377" s="5">
        <f t="shared" si="32"/>
        <v>4060000</v>
      </c>
      <c r="N377" s="5">
        <f t="shared" si="32"/>
        <v>12180000</v>
      </c>
      <c r="O377" s="8" t="s">
        <v>20</v>
      </c>
      <c r="T377">
        <v>0</v>
      </c>
      <c r="AC377">
        <v>1</v>
      </c>
    </row>
    <row r="378" spans="1:29" ht="30" customHeight="1" x14ac:dyDescent="0.3">
      <c r="A378" s="8" t="s">
        <v>556</v>
      </c>
      <c r="B378" s="8" t="s">
        <v>451</v>
      </c>
      <c r="C378" s="8" t="s">
        <v>452</v>
      </c>
      <c r="D378" s="8" t="s">
        <v>453</v>
      </c>
      <c r="E378" s="8" t="s">
        <v>428</v>
      </c>
      <c r="F378" s="9">
        <v>567</v>
      </c>
      <c r="G378" s="5">
        <f>TRUNC([1]단가대비표!O723,0)</f>
        <v>220</v>
      </c>
      <c r="H378" s="5">
        <f t="shared" si="28"/>
        <v>124740</v>
      </c>
      <c r="I378" s="5">
        <v>10733</v>
      </c>
      <c r="J378" s="5">
        <f t="shared" si="29"/>
        <v>6085611</v>
      </c>
      <c r="K378" s="5">
        <v>0</v>
      </c>
      <c r="L378" s="5">
        <f t="shared" si="30"/>
        <v>0</v>
      </c>
      <c r="M378" s="5">
        <f t="shared" si="32"/>
        <v>10953</v>
      </c>
      <c r="N378" s="5">
        <f t="shared" si="32"/>
        <v>6210351</v>
      </c>
      <c r="O378" s="8" t="s">
        <v>429</v>
      </c>
      <c r="T378">
        <v>0</v>
      </c>
      <c r="AC378">
        <v>1</v>
      </c>
    </row>
    <row r="379" spans="1:29" ht="30" customHeight="1" x14ac:dyDescent="0.3">
      <c r="A379" s="8" t="s">
        <v>556</v>
      </c>
      <c r="B379" s="8" t="s">
        <v>454</v>
      </c>
      <c r="C379" s="8" t="s">
        <v>452</v>
      </c>
      <c r="D379" s="8" t="s">
        <v>427</v>
      </c>
      <c r="E379" s="8" t="s">
        <v>428</v>
      </c>
      <c r="F379" s="9">
        <v>25</v>
      </c>
      <c r="G379" s="5">
        <f>TRUNC([1]단가대비표!O724,0)</f>
        <v>325</v>
      </c>
      <c r="H379" s="5">
        <f t="shared" si="28"/>
        <v>8125</v>
      </c>
      <c r="I379" s="5">
        <v>15886</v>
      </c>
      <c r="J379" s="5">
        <f t="shared" si="29"/>
        <v>397150</v>
      </c>
      <c r="K379" s="5">
        <v>0</v>
      </c>
      <c r="L379" s="5">
        <f t="shared" si="30"/>
        <v>0</v>
      </c>
      <c r="M379" s="5">
        <f t="shared" si="32"/>
        <v>16211</v>
      </c>
      <c r="N379" s="5">
        <f t="shared" si="32"/>
        <v>405275</v>
      </c>
      <c r="O379" s="8" t="s">
        <v>429</v>
      </c>
      <c r="T379">
        <v>0</v>
      </c>
      <c r="AC379">
        <v>1</v>
      </c>
    </row>
    <row r="380" spans="1:29" ht="30" customHeight="1" x14ac:dyDescent="0.3">
      <c r="A380" s="8" t="s">
        <v>556</v>
      </c>
      <c r="B380" s="8" t="s">
        <v>455</v>
      </c>
      <c r="C380" s="8" t="s">
        <v>452</v>
      </c>
      <c r="D380" s="8" t="s">
        <v>456</v>
      </c>
      <c r="E380" s="8" t="s">
        <v>428</v>
      </c>
      <c r="F380" s="9">
        <v>11</v>
      </c>
      <c r="G380" s="5">
        <f>TRUNC([1]단가대비표!O725,0)</f>
        <v>702</v>
      </c>
      <c r="H380" s="5">
        <f t="shared" si="28"/>
        <v>7722</v>
      </c>
      <c r="I380" s="5">
        <v>34385</v>
      </c>
      <c r="J380" s="5">
        <f t="shared" si="29"/>
        <v>378235</v>
      </c>
      <c r="K380" s="5">
        <v>0</v>
      </c>
      <c r="L380" s="5">
        <f t="shared" si="30"/>
        <v>0</v>
      </c>
      <c r="M380" s="5">
        <f t="shared" si="32"/>
        <v>35087</v>
      </c>
      <c r="N380" s="5">
        <f t="shared" si="32"/>
        <v>385957</v>
      </c>
      <c r="O380" s="8" t="s">
        <v>429</v>
      </c>
      <c r="T380">
        <v>0</v>
      </c>
      <c r="AC380">
        <v>1</v>
      </c>
    </row>
    <row r="381" spans="1:29" ht="30" customHeight="1" x14ac:dyDescent="0.3">
      <c r="A381" s="8" t="s">
        <v>556</v>
      </c>
      <c r="B381" s="8" t="s">
        <v>457</v>
      </c>
      <c r="C381" s="8" t="s">
        <v>452</v>
      </c>
      <c r="D381" s="8" t="s">
        <v>458</v>
      </c>
      <c r="E381" s="8" t="s">
        <v>428</v>
      </c>
      <c r="F381" s="9">
        <v>4</v>
      </c>
      <c r="G381" s="5">
        <f>TRUNC([1]단가대비표!O726,0)</f>
        <v>878</v>
      </c>
      <c r="H381" s="5">
        <f t="shared" si="28"/>
        <v>3512</v>
      </c>
      <c r="I381" s="5">
        <v>43003</v>
      </c>
      <c r="J381" s="5">
        <f t="shared" si="29"/>
        <v>172012</v>
      </c>
      <c r="K381" s="5">
        <v>0</v>
      </c>
      <c r="L381" s="5">
        <f t="shared" si="30"/>
        <v>0</v>
      </c>
      <c r="M381" s="5">
        <f t="shared" si="32"/>
        <v>43881</v>
      </c>
      <c r="N381" s="5">
        <f t="shared" si="32"/>
        <v>175524</v>
      </c>
      <c r="O381" s="8" t="s">
        <v>429</v>
      </c>
      <c r="T381">
        <v>0</v>
      </c>
      <c r="AC381">
        <v>1</v>
      </c>
    </row>
    <row r="382" spans="1:29" ht="30" customHeight="1" x14ac:dyDescent="0.3">
      <c r="A382" s="8" t="s">
        <v>556</v>
      </c>
      <c r="B382" s="8" t="s">
        <v>459</v>
      </c>
      <c r="C382" s="8" t="s">
        <v>452</v>
      </c>
      <c r="D382" s="8" t="s">
        <v>460</v>
      </c>
      <c r="E382" s="8" t="s">
        <v>428</v>
      </c>
      <c r="F382" s="9">
        <v>15</v>
      </c>
      <c r="G382" s="5">
        <f>TRUNC([1]단가대비표!O727,0)</f>
        <v>1267</v>
      </c>
      <c r="H382" s="5">
        <f t="shared" si="28"/>
        <v>19005</v>
      </c>
      <c r="I382" s="5">
        <v>62050</v>
      </c>
      <c r="J382" s="5">
        <f t="shared" si="29"/>
        <v>930750</v>
      </c>
      <c r="K382" s="5">
        <v>0</v>
      </c>
      <c r="L382" s="5">
        <f t="shared" si="30"/>
        <v>0</v>
      </c>
      <c r="M382" s="5">
        <f t="shared" si="32"/>
        <v>63317</v>
      </c>
      <c r="N382" s="5">
        <f t="shared" si="32"/>
        <v>949755</v>
      </c>
      <c r="O382" s="8" t="s">
        <v>429</v>
      </c>
      <c r="T382">
        <v>0</v>
      </c>
      <c r="AC382">
        <v>1</v>
      </c>
    </row>
    <row r="383" spans="1:29" ht="30" customHeight="1" x14ac:dyDescent="0.3">
      <c r="A383" s="8" t="s">
        <v>556</v>
      </c>
      <c r="B383" s="8" t="s">
        <v>642</v>
      </c>
      <c r="C383" s="8" t="s">
        <v>643</v>
      </c>
      <c r="D383" s="8" t="s">
        <v>487</v>
      </c>
      <c r="E383" s="8" t="s">
        <v>185</v>
      </c>
      <c r="F383" s="9">
        <v>5</v>
      </c>
      <c r="G383" s="5" t="e">
        <f>'[2].xls].xls].xls].xls].xls].xls].xls].'!E70</f>
        <v>#REF!</v>
      </c>
      <c r="H383" s="5" t="e">
        <f t="shared" si="28"/>
        <v>#REF!</v>
      </c>
      <c r="I383" s="5" t="e">
        <f>'[2].xls].xls].xls].xls].xls].xls].xls].'!F70</f>
        <v>#REF!</v>
      </c>
      <c r="J383" s="5" t="e">
        <f t="shared" si="29"/>
        <v>#REF!</v>
      </c>
      <c r="K383" s="5" t="e">
        <f>'[2].xls].xls].xls].xls].xls].xls].xls].'!G70</f>
        <v>#REF!</v>
      </c>
      <c r="L383" s="5" t="e">
        <f t="shared" si="30"/>
        <v>#REF!</v>
      </c>
      <c r="M383" s="5" t="e">
        <f t="shared" si="32"/>
        <v>#REF!</v>
      </c>
      <c r="N383" s="5" t="e">
        <f t="shared" si="32"/>
        <v>#REF!</v>
      </c>
      <c r="O383" s="8" t="s">
        <v>642</v>
      </c>
      <c r="T383">
        <v>0</v>
      </c>
      <c r="AC383">
        <v>1</v>
      </c>
    </row>
    <row r="384" spans="1:29" ht="30" customHeight="1" x14ac:dyDescent="0.3">
      <c r="A384" s="8" t="s">
        <v>556</v>
      </c>
      <c r="B384" s="8" t="s">
        <v>644</v>
      </c>
      <c r="C384" s="8" t="s">
        <v>643</v>
      </c>
      <c r="D384" s="8" t="s">
        <v>489</v>
      </c>
      <c r="E384" s="8" t="s">
        <v>185</v>
      </c>
      <c r="F384" s="9">
        <v>5</v>
      </c>
      <c r="G384" s="5" t="e">
        <f>'[2].xls].xls].xls].xls].xls].xls].xls].'!E71</f>
        <v>#REF!</v>
      </c>
      <c r="H384" s="5" t="e">
        <f t="shared" si="28"/>
        <v>#REF!</v>
      </c>
      <c r="I384" s="5" t="e">
        <f>'[2].xls].xls].xls].xls].xls].xls].xls].'!F71</f>
        <v>#REF!</v>
      </c>
      <c r="J384" s="5" t="e">
        <f t="shared" si="29"/>
        <v>#REF!</v>
      </c>
      <c r="K384" s="5" t="e">
        <f>'[2].xls].xls].xls].xls].xls].xls].xls].'!G71</f>
        <v>#REF!</v>
      </c>
      <c r="L384" s="5" t="e">
        <f t="shared" si="30"/>
        <v>#REF!</v>
      </c>
      <c r="M384" s="5" t="e">
        <f t="shared" si="32"/>
        <v>#REF!</v>
      </c>
      <c r="N384" s="5" t="e">
        <f t="shared" si="32"/>
        <v>#REF!</v>
      </c>
      <c r="O384" s="8" t="s">
        <v>644</v>
      </c>
      <c r="T384">
        <v>0</v>
      </c>
      <c r="AC384">
        <v>1</v>
      </c>
    </row>
    <row r="385" spans="1:29" ht="30" customHeight="1" x14ac:dyDescent="0.3">
      <c r="A385" s="8" t="s">
        <v>556</v>
      </c>
      <c r="B385" s="8" t="s">
        <v>645</v>
      </c>
      <c r="C385" s="8" t="s">
        <v>643</v>
      </c>
      <c r="D385" s="8" t="s">
        <v>640</v>
      </c>
      <c r="E385" s="8" t="s">
        <v>185</v>
      </c>
      <c r="F385" s="9">
        <v>2</v>
      </c>
      <c r="G385" s="5" t="e">
        <f>'[2].xls].xls].xls].xls].xls].xls].xls].'!E73</f>
        <v>#REF!</v>
      </c>
      <c r="H385" s="5" t="e">
        <f t="shared" si="28"/>
        <v>#REF!</v>
      </c>
      <c r="I385" s="5" t="e">
        <f>'[2].xls].xls].xls].xls].xls].xls].xls].'!F73</f>
        <v>#REF!</v>
      </c>
      <c r="J385" s="5" t="e">
        <f t="shared" si="29"/>
        <v>#REF!</v>
      </c>
      <c r="K385" s="5" t="e">
        <f>'[2].xls].xls].xls].xls].xls].xls].xls].'!G73</f>
        <v>#REF!</v>
      </c>
      <c r="L385" s="5" t="e">
        <f t="shared" si="30"/>
        <v>#REF!</v>
      </c>
      <c r="M385" s="5" t="e">
        <f t="shared" si="32"/>
        <v>#REF!</v>
      </c>
      <c r="N385" s="5" t="e">
        <f t="shared" si="32"/>
        <v>#REF!</v>
      </c>
      <c r="O385" s="8" t="s">
        <v>645</v>
      </c>
      <c r="T385">
        <v>0</v>
      </c>
      <c r="AC385">
        <v>1</v>
      </c>
    </row>
    <row r="386" spans="1:29" ht="30" customHeight="1" x14ac:dyDescent="0.3">
      <c r="A386" s="8" t="s">
        <v>556</v>
      </c>
      <c r="B386" s="8" t="s">
        <v>646</v>
      </c>
      <c r="C386" s="8" t="s">
        <v>643</v>
      </c>
      <c r="D386" s="8" t="s">
        <v>348</v>
      </c>
      <c r="E386" s="8" t="s">
        <v>185</v>
      </c>
      <c r="F386" s="9">
        <v>4</v>
      </c>
      <c r="G386" s="5" t="e">
        <f>'[2].xls].xls].xls].xls].xls].xls].xls].'!E75</f>
        <v>#REF!</v>
      </c>
      <c r="H386" s="5" t="e">
        <f t="shared" si="28"/>
        <v>#REF!</v>
      </c>
      <c r="I386" s="5" t="e">
        <f>'[2].xls].xls].xls].xls].xls].xls].xls].'!F75</f>
        <v>#REF!</v>
      </c>
      <c r="J386" s="5" t="e">
        <f t="shared" si="29"/>
        <v>#REF!</v>
      </c>
      <c r="K386" s="5" t="e">
        <f>'[2].xls].xls].xls].xls].xls].xls].xls].'!G75</f>
        <v>#REF!</v>
      </c>
      <c r="L386" s="5" t="e">
        <f t="shared" si="30"/>
        <v>#REF!</v>
      </c>
      <c r="M386" s="5" t="e">
        <f t="shared" si="32"/>
        <v>#REF!</v>
      </c>
      <c r="N386" s="5" t="e">
        <f t="shared" si="32"/>
        <v>#REF!</v>
      </c>
      <c r="O386" s="8" t="s">
        <v>646</v>
      </c>
      <c r="T386">
        <v>0</v>
      </c>
      <c r="AC386">
        <v>1</v>
      </c>
    </row>
    <row r="387" spans="1:29" ht="30" customHeight="1" x14ac:dyDescent="0.3">
      <c r="A387" s="8" t="s">
        <v>556</v>
      </c>
      <c r="B387" s="8" t="s">
        <v>647</v>
      </c>
      <c r="C387" s="8" t="s">
        <v>648</v>
      </c>
      <c r="D387" s="8" t="s">
        <v>20</v>
      </c>
      <c r="E387" s="8" t="s">
        <v>185</v>
      </c>
      <c r="F387" s="9">
        <v>16</v>
      </c>
      <c r="G387" s="5" t="e">
        <f>'[2].xls].xls].xls].xls].xls].xls].xls].'!E142</f>
        <v>#REF!</v>
      </c>
      <c r="H387" s="5" t="e">
        <f t="shared" si="28"/>
        <v>#REF!</v>
      </c>
      <c r="I387" s="5" t="e">
        <f>'[2].xls].xls].xls].xls].xls].xls].xls].'!F142</f>
        <v>#REF!</v>
      </c>
      <c r="J387" s="5" t="e">
        <f t="shared" si="29"/>
        <v>#REF!</v>
      </c>
      <c r="K387" s="5" t="e">
        <f>'[2].xls].xls].xls].xls].xls].xls].xls].'!G142</f>
        <v>#REF!</v>
      </c>
      <c r="L387" s="5" t="e">
        <f t="shared" si="30"/>
        <v>#REF!</v>
      </c>
      <c r="M387" s="5" t="e">
        <f t="shared" si="32"/>
        <v>#REF!</v>
      </c>
      <c r="N387" s="5" t="e">
        <f t="shared" si="32"/>
        <v>#REF!</v>
      </c>
      <c r="O387" s="8" t="s">
        <v>647</v>
      </c>
      <c r="T387">
        <v>0</v>
      </c>
      <c r="AC387">
        <v>1</v>
      </c>
    </row>
    <row r="388" spans="1:29" ht="30" customHeight="1" x14ac:dyDescent="0.3">
      <c r="A388" s="8" t="s">
        <v>556</v>
      </c>
      <c r="B388" s="8" t="s">
        <v>480</v>
      </c>
      <c r="C388" s="8" t="s">
        <v>481</v>
      </c>
      <c r="D388" s="8" t="s">
        <v>184</v>
      </c>
      <c r="E388" s="8" t="s">
        <v>185</v>
      </c>
      <c r="F388" s="9">
        <v>6</v>
      </c>
      <c r="G388" s="5" t="e">
        <f>'[2].xls].xls].xls].xls].xls].xls].xls].'!E115</f>
        <v>#REF!</v>
      </c>
      <c r="H388" s="5" t="e">
        <f t="shared" si="28"/>
        <v>#REF!</v>
      </c>
      <c r="I388" s="5" t="e">
        <f>'[2].xls].xls].xls].xls].xls].xls].xls].'!F115</f>
        <v>#REF!</v>
      </c>
      <c r="J388" s="5" t="e">
        <f t="shared" si="29"/>
        <v>#REF!</v>
      </c>
      <c r="K388" s="5" t="e">
        <f>'[2].xls].xls].xls].xls].xls].xls].xls].'!G115</f>
        <v>#REF!</v>
      </c>
      <c r="L388" s="5" t="e">
        <f t="shared" si="30"/>
        <v>#REF!</v>
      </c>
      <c r="M388" s="5" t="e">
        <f t="shared" si="32"/>
        <v>#REF!</v>
      </c>
      <c r="N388" s="5" t="e">
        <f t="shared" si="32"/>
        <v>#REF!</v>
      </c>
      <c r="O388" s="8" t="s">
        <v>480</v>
      </c>
      <c r="T388">
        <v>0</v>
      </c>
      <c r="AC388">
        <v>1</v>
      </c>
    </row>
    <row r="389" spans="1:29" ht="30" customHeight="1" x14ac:dyDescent="0.3">
      <c r="A389" s="8" t="s">
        <v>556</v>
      </c>
      <c r="B389" s="8" t="s">
        <v>482</v>
      </c>
      <c r="C389" s="8" t="s">
        <v>483</v>
      </c>
      <c r="D389" s="8" t="s">
        <v>484</v>
      </c>
      <c r="E389" s="8" t="s">
        <v>185</v>
      </c>
      <c r="F389" s="9">
        <v>2590</v>
      </c>
      <c r="G389" s="5" t="e">
        <f>'[2].xls].xls].xls].xls].xls].xls].xls].'!E48</f>
        <v>#REF!</v>
      </c>
      <c r="H389" s="5" t="e">
        <f t="shared" si="28"/>
        <v>#REF!</v>
      </c>
      <c r="I389" s="5" t="e">
        <f>'[2].xls].xls].xls].xls].xls].xls].xls].'!F48</f>
        <v>#REF!</v>
      </c>
      <c r="J389" s="5" t="e">
        <f t="shared" si="29"/>
        <v>#REF!</v>
      </c>
      <c r="K389" s="5" t="e">
        <f>'[2].xls].xls].xls].xls].xls].xls].xls].'!G48</f>
        <v>#REF!</v>
      </c>
      <c r="L389" s="5" t="e">
        <f t="shared" si="30"/>
        <v>#REF!</v>
      </c>
      <c r="M389" s="5" t="e">
        <f t="shared" si="32"/>
        <v>#REF!</v>
      </c>
      <c r="N389" s="5" t="e">
        <f t="shared" si="32"/>
        <v>#REF!</v>
      </c>
      <c r="O389" s="8" t="s">
        <v>482</v>
      </c>
      <c r="T389">
        <v>0</v>
      </c>
      <c r="AC389">
        <v>1</v>
      </c>
    </row>
    <row r="390" spans="1:29" ht="30" customHeight="1" x14ac:dyDescent="0.3">
      <c r="A390" s="8" t="s">
        <v>556</v>
      </c>
      <c r="B390" s="8" t="s">
        <v>490</v>
      </c>
      <c r="C390" s="8" t="s">
        <v>483</v>
      </c>
      <c r="D390" s="8" t="s">
        <v>346</v>
      </c>
      <c r="E390" s="8" t="s">
        <v>185</v>
      </c>
      <c r="F390" s="9">
        <v>16</v>
      </c>
      <c r="G390" s="5" t="e">
        <f>'[2].xls].xls].xls].xls].xls].xls].xls].'!E52</f>
        <v>#REF!</v>
      </c>
      <c r="H390" s="5" t="e">
        <f t="shared" si="28"/>
        <v>#REF!</v>
      </c>
      <c r="I390" s="5" t="e">
        <f>'[2].xls].xls].xls].xls].xls].xls].xls].'!F52</f>
        <v>#REF!</v>
      </c>
      <c r="J390" s="5" t="e">
        <f t="shared" si="29"/>
        <v>#REF!</v>
      </c>
      <c r="K390" s="5" t="e">
        <f>'[2].xls].xls].xls].xls].xls].xls].xls].'!G52</f>
        <v>#REF!</v>
      </c>
      <c r="L390" s="5" t="e">
        <f t="shared" si="30"/>
        <v>#REF!</v>
      </c>
      <c r="M390" s="5" t="e">
        <f t="shared" si="32"/>
        <v>#REF!</v>
      </c>
      <c r="N390" s="5" t="e">
        <f t="shared" si="32"/>
        <v>#REF!</v>
      </c>
      <c r="O390" s="8" t="s">
        <v>490</v>
      </c>
      <c r="T390">
        <v>0</v>
      </c>
      <c r="AC390">
        <v>1</v>
      </c>
    </row>
    <row r="391" spans="1:29" ht="30" customHeight="1" x14ac:dyDescent="0.3">
      <c r="A391" s="8" t="s">
        <v>556</v>
      </c>
      <c r="B391" s="8" t="s">
        <v>649</v>
      </c>
      <c r="C391" s="8" t="s">
        <v>494</v>
      </c>
      <c r="D391" s="8" t="s">
        <v>650</v>
      </c>
      <c r="E391" s="8" t="s">
        <v>179</v>
      </c>
      <c r="F391" s="9">
        <v>108</v>
      </c>
      <c r="G391" s="5">
        <f>TRUNC([1]단가대비표!O559,0)</f>
        <v>370</v>
      </c>
      <c r="H391" s="5">
        <f t="shared" si="28"/>
        <v>39960</v>
      </c>
      <c r="I391" s="5">
        <v>0</v>
      </c>
      <c r="J391" s="5">
        <f t="shared" si="29"/>
        <v>0</v>
      </c>
      <c r="K391" s="5">
        <v>0</v>
      </c>
      <c r="L391" s="5">
        <f t="shared" si="30"/>
        <v>0</v>
      </c>
      <c r="M391" s="5">
        <f t="shared" si="32"/>
        <v>370</v>
      </c>
      <c r="N391" s="5">
        <f t="shared" si="32"/>
        <v>39960</v>
      </c>
      <c r="O391" s="8" t="s">
        <v>20</v>
      </c>
      <c r="T391">
        <v>0</v>
      </c>
      <c r="AC391">
        <v>1</v>
      </c>
    </row>
    <row r="392" spans="1:29" ht="30" customHeight="1" x14ac:dyDescent="0.3">
      <c r="A392" s="8" t="s">
        <v>556</v>
      </c>
      <c r="B392" s="8" t="s">
        <v>493</v>
      </c>
      <c r="C392" s="8" t="s">
        <v>494</v>
      </c>
      <c r="D392" s="8" t="s">
        <v>495</v>
      </c>
      <c r="E392" s="8" t="s">
        <v>179</v>
      </c>
      <c r="F392" s="9">
        <v>169</v>
      </c>
      <c r="G392" s="5">
        <f>TRUNC([1]단가대비표!O560,0)</f>
        <v>410</v>
      </c>
      <c r="H392" s="5">
        <f t="shared" si="28"/>
        <v>69290</v>
      </c>
      <c r="I392" s="5">
        <v>0</v>
      </c>
      <c r="J392" s="5">
        <f t="shared" si="29"/>
        <v>0</v>
      </c>
      <c r="K392" s="5">
        <v>0</v>
      </c>
      <c r="L392" s="5">
        <f t="shared" si="30"/>
        <v>0</v>
      </c>
      <c r="M392" s="5">
        <f t="shared" si="32"/>
        <v>410</v>
      </c>
      <c r="N392" s="5">
        <f t="shared" si="32"/>
        <v>69290</v>
      </c>
      <c r="O392" s="8" t="s">
        <v>20</v>
      </c>
      <c r="T392">
        <v>0</v>
      </c>
      <c r="AC392">
        <v>1</v>
      </c>
    </row>
    <row r="393" spans="1:29" ht="30" customHeight="1" x14ac:dyDescent="0.3">
      <c r="A393" s="8" t="s">
        <v>556</v>
      </c>
      <c r="B393" s="8" t="s">
        <v>496</v>
      </c>
      <c r="C393" s="8" t="s">
        <v>494</v>
      </c>
      <c r="D393" s="8" t="s">
        <v>497</v>
      </c>
      <c r="E393" s="8" t="s">
        <v>179</v>
      </c>
      <c r="F393" s="9">
        <v>15</v>
      </c>
      <c r="G393" s="5">
        <f>TRUNC([1]단가대비표!O561,0)</f>
        <v>450</v>
      </c>
      <c r="H393" s="5">
        <f t="shared" ref="H393:H449" si="33">TRUNC(F393*G393,0)</f>
        <v>6750</v>
      </c>
      <c r="I393" s="5">
        <v>0</v>
      </c>
      <c r="J393" s="5">
        <f t="shared" ref="J393:J449" si="34">TRUNC(F393*I393,0)</f>
        <v>0</v>
      </c>
      <c r="K393" s="5">
        <v>0</v>
      </c>
      <c r="L393" s="5">
        <f t="shared" ref="L393:L449" si="35">TRUNC(F393*K393,0)</f>
        <v>0</v>
      </c>
      <c r="M393" s="5">
        <f t="shared" ref="M393:N424" si="36">G393+I393+K393</f>
        <v>450</v>
      </c>
      <c r="N393" s="5">
        <f t="shared" si="36"/>
        <v>6750</v>
      </c>
      <c r="O393" s="8" t="s">
        <v>20</v>
      </c>
      <c r="T393">
        <v>0</v>
      </c>
      <c r="AC393">
        <v>1</v>
      </c>
    </row>
    <row r="394" spans="1:29" ht="30" customHeight="1" x14ac:dyDescent="0.3">
      <c r="A394" s="8" t="s">
        <v>556</v>
      </c>
      <c r="B394" s="8" t="s">
        <v>498</v>
      </c>
      <c r="C394" s="8" t="s">
        <v>494</v>
      </c>
      <c r="D394" s="8" t="s">
        <v>499</v>
      </c>
      <c r="E394" s="8" t="s">
        <v>179</v>
      </c>
      <c r="F394" s="9">
        <v>31</v>
      </c>
      <c r="G394" s="5">
        <f>TRUNC([1]단가대비표!O562,0)</f>
        <v>520</v>
      </c>
      <c r="H394" s="5">
        <f t="shared" si="33"/>
        <v>16120</v>
      </c>
      <c r="I394" s="5">
        <v>0</v>
      </c>
      <c r="J394" s="5">
        <f t="shared" si="34"/>
        <v>0</v>
      </c>
      <c r="K394" s="5">
        <v>0</v>
      </c>
      <c r="L394" s="5">
        <f t="shared" si="35"/>
        <v>0</v>
      </c>
      <c r="M394" s="5">
        <f t="shared" si="36"/>
        <v>520</v>
      </c>
      <c r="N394" s="5">
        <f t="shared" si="36"/>
        <v>16120</v>
      </c>
      <c r="O394" s="8" t="s">
        <v>20</v>
      </c>
      <c r="T394">
        <v>0</v>
      </c>
      <c r="AC394">
        <v>1</v>
      </c>
    </row>
    <row r="395" spans="1:29" ht="30" customHeight="1" x14ac:dyDescent="0.3">
      <c r="A395" s="8" t="s">
        <v>556</v>
      </c>
      <c r="B395" s="8" t="s">
        <v>500</v>
      </c>
      <c r="C395" s="8" t="s">
        <v>494</v>
      </c>
      <c r="D395" s="8" t="s">
        <v>501</v>
      </c>
      <c r="E395" s="8" t="s">
        <v>179</v>
      </c>
      <c r="F395" s="9">
        <v>8</v>
      </c>
      <c r="G395" s="5">
        <f>TRUNC([1]단가대비표!O563,0)</f>
        <v>630</v>
      </c>
      <c r="H395" s="5">
        <f t="shared" si="33"/>
        <v>5040</v>
      </c>
      <c r="I395" s="5">
        <v>0</v>
      </c>
      <c r="J395" s="5">
        <f t="shared" si="34"/>
        <v>0</v>
      </c>
      <c r="K395" s="5">
        <v>0</v>
      </c>
      <c r="L395" s="5">
        <f t="shared" si="35"/>
        <v>0</v>
      </c>
      <c r="M395" s="5">
        <f t="shared" si="36"/>
        <v>630</v>
      </c>
      <c r="N395" s="5">
        <f t="shared" si="36"/>
        <v>5040</v>
      </c>
      <c r="O395" s="8" t="s">
        <v>20</v>
      </c>
      <c r="T395">
        <v>0</v>
      </c>
      <c r="AC395">
        <v>1</v>
      </c>
    </row>
    <row r="396" spans="1:29" ht="30" customHeight="1" x14ac:dyDescent="0.3">
      <c r="A396" s="8" t="s">
        <v>556</v>
      </c>
      <c r="B396" s="8" t="s">
        <v>502</v>
      </c>
      <c r="C396" s="8" t="s">
        <v>494</v>
      </c>
      <c r="D396" s="8" t="s">
        <v>503</v>
      </c>
      <c r="E396" s="8" t="s">
        <v>179</v>
      </c>
      <c r="F396" s="9">
        <v>8</v>
      </c>
      <c r="G396" s="5">
        <f>TRUNC([1]단가대비표!O565,0)</f>
        <v>880</v>
      </c>
      <c r="H396" s="5">
        <f t="shared" si="33"/>
        <v>7040</v>
      </c>
      <c r="I396" s="5">
        <v>0</v>
      </c>
      <c r="J396" s="5">
        <f t="shared" si="34"/>
        <v>0</v>
      </c>
      <c r="K396" s="5">
        <v>0</v>
      </c>
      <c r="L396" s="5">
        <f t="shared" si="35"/>
        <v>0</v>
      </c>
      <c r="M396" s="5">
        <f t="shared" si="36"/>
        <v>880</v>
      </c>
      <c r="N396" s="5">
        <f t="shared" si="36"/>
        <v>7040</v>
      </c>
      <c r="O396" s="8" t="s">
        <v>20</v>
      </c>
      <c r="T396">
        <v>0</v>
      </c>
      <c r="AC396">
        <v>1</v>
      </c>
    </row>
    <row r="397" spans="1:29" ht="30" customHeight="1" x14ac:dyDescent="0.3">
      <c r="A397" s="8" t="s">
        <v>556</v>
      </c>
      <c r="B397" s="8" t="s">
        <v>651</v>
      </c>
      <c r="C397" s="8" t="s">
        <v>494</v>
      </c>
      <c r="D397" s="8" t="s">
        <v>652</v>
      </c>
      <c r="E397" s="8" t="s">
        <v>179</v>
      </c>
      <c r="F397" s="9">
        <v>2</v>
      </c>
      <c r="G397" s="5">
        <f>TRUNC([1]단가대비표!O566,0)</f>
        <v>1590</v>
      </c>
      <c r="H397" s="5">
        <f t="shared" si="33"/>
        <v>3180</v>
      </c>
      <c r="I397" s="5">
        <v>0</v>
      </c>
      <c r="J397" s="5">
        <f t="shared" si="34"/>
        <v>0</v>
      </c>
      <c r="K397" s="5">
        <v>0</v>
      </c>
      <c r="L397" s="5">
        <f t="shared" si="35"/>
        <v>0</v>
      </c>
      <c r="M397" s="5">
        <f t="shared" si="36"/>
        <v>1590</v>
      </c>
      <c r="N397" s="5">
        <f t="shared" si="36"/>
        <v>3180</v>
      </c>
      <c r="O397" s="8" t="s">
        <v>20</v>
      </c>
      <c r="T397">
        <v>0</v>
      </c>
      <c r="AC397">
        <v>1</v>
      </c>
    </row>
    <row r="398" spans="1:29" ht="30" customHeight="1" x14ac:dyDescent="0.3">
      <c r="A398" s="8" t="s">
        <v>556</v>
      </c>
      <c r="B398" s="8" t="s">
        <v>653</v>
      </c>
      <c r="C398" s="8" t="s">
        <v>494</v>
      </c>
      <c r="D398" s="8" t="s">
        <v>654</v>
      </c>
      <c r="E398" s="8" t="s">
        <v>179</v>
      </c>
      <c r="F398" s="9">
        <v>2</v>
      </c>
      <c r="G398" s="5">
        <f>TRUNC([1]단가대비표!O568,0)</f>
        <v>2430</v>
      </c>
      <c r="H398" s="5">
        <f t="shared" si="33"/>
        <v>4860</v>
      </c>
      <c r="I398" s="5">
        <v>0</v>
      </c>
      <c r="J398" s="5">
        <f t="shared" si="34"/>
        <v>0</v>
      </c>
      <c r="K398" s="5">
        <v>0</v>
      </c>
      <c r="L398" s="5">
        <f t="shared" si="35"/>
        <v>0</v>
      </c>
      <c r="M398" s="5">
        <f t="shared" si="36"/>
        <v>2430</v>
      </c>
      <c r="N398" s="5">
        <f t="shared" si="36"/>
        <v>4860</v>
      </c>
      <c r="O398" s="8" t="s">
        <v>20</v>
      </c>
      <c r="T398">
        <v>0</v>
      </c>
      <c r="AC398">
        <v>1</v>
      </c>
    </row>
    <row r="399" spans="1:29" ht="30" customHeight="1" x14ac:dyDescent="0.3">
      <c r="A399" s="8" t="s">
        <v>556</v>
      </c>
      <c r="B399" s="8" t="s">
        <v>655</v>
      </c>
      <c r="C399" s="8" t="s">
        <v>507</v>
      </c>
      <c r="D399" s="8" t="s">
        <v>656</v>
      </c>
      <c r="E399" s="8" t="s">
        <v>179</v>
      </c>
      <c r="F399" s="9">
        <v>10</v>
      </c>
      <c r="G399" s="5">
        <f>TRUNC([1]단가대비표!O163,0)</f>
        <v>20290</v>
      </c>
      <c r="H399" s="5">
        <f t="shared" si="33"/>
        <v>202900</v>
      </c>
      <c r="I399" s="5">
        <v>0</v>
      </c>
      <c r="J399" s="5">
        <f t="shared" si="34"/>
        <v>0</v>
      </c>
      <c r="K399" s="5">
        <v>0</v>
      </c>
      <c r="L399" s="5">
        <f t="shared" si="35"/>
        <v>0</v>
      </c>
      <c r="M399" s="5">
        <f t="shared" si="36"/>
        <v>20290</v>
      </c>
      <c r="N399" s="5">
        <f t="shared" si="36"/>
        <v>202900</v>
      </c>
      <c r="O399" s="8" t="s">
        <v>20</v>
      </c>
      <c r="T399">
        <v>0</v>
      </c>
      <c r="AC399">
        <v>1</v>
      </c>
    </row>
    <row r="400" spans="1:29" ht="30" customHeight="1" x14ac:dyDescent="0.3">
      <c r="A400" s="8" t="s">
        <v>556</v>
      </c>
      <c r="B400" s="8" t="s">
        <v>506</v>
      </c>
      <c r="C400" s="8" t="s">
        <v>507</v>
      </c>
      <c r="D400" s="8" t="s">
        <v>508</v>
      </c>
      <c r="E400" s="8" t="s">
        <v>179</v>
      </c>
      <c r="F400" s="9">
        <v>5</v>
      </c>
      <c r="G400" s="5">
        <f>TRUNC([1]단가대비표!O164,0)</f>
        <v>22320</v>
      </c>
      <c r="H400" s="5">
        <f t="shared" si="33"/>
        <v>111600</v>
      </c>
      <c r="I400" s="5">
        <v>0</v>
      </c>
      <c r="J400" s="5">
        <f t="shared" si="34"/>
        <v>0</v>
      </c>
      <c r="K400" s="5">
        <v>0</v>
      </c>
      <c r="L400" s="5">
        <f t="shared" si="35"/>
        <v>0</v>
      </c>
      <c r="M400" s="5">
        <f t="shared" si="36"/>
        <v>22320</v>
      </c>
      <c r="N400" s="5">
        <f t="shared" si="36"/>
        <v>111600</v>
      </c>
      <c r="O400" s="8" t="s">
        <v>20</v>
      </c>
      <c r="T400">
        <v>0</v>
      </c>
      <c r="AC400">
        <v>1</v>
      </c>
    </row>
    <row r="401" spans="1:29" ht="30" customHeight="1" x14ac:dyDescent="0.3">
      <c r="A401" s="8" t="s">
        <v>556</v>
      </c>
      <c r="B401" s="8" t="s">
        <v>657</v>
      </c>
      <c r="C401" s="8" t="s">
        <v>507</v>
      </c>
      <c r="D401" s="8" t="s">
        <v>658</v>
      </c>
      <c r="E401" s="8" t="s">
        <v>179</v>
      </c>
      <c r="F401" s="9">
        <v>5</v>
      </c>
      <c r="G401" s="5">
        <f>TRUNC([1]단가대비표!O165,0)</f>
        <v>22320</v>
      </c>
      <c r="H401" s="5">
        <f t="shared" si="33"/>
        <v>111600</v>
      </c>
      <c r="I401" s="5">
        <v>0</v>
      </c>
      <c r="J401" s="5">
        <f t="shared" si="34"/>
        <v>0</v>
      </c>
      <c r="K401" s="5">
        <v>0</v>
      </c>
      <c r="L401" s="5">
        <f t="shared" si="35"/>
        <v>0</v>
      </c>
      <c r="M401" s="5">
        <f t="shared" si="36"/>
        <v>22320</v>
      </c>
      <c r="N401" s="5">
        <f t="shared" si="36"/>
        <v>111600</v>
      </c>
      <c r="O401" s="8" t="s">
        <v>20</v>
      </c>
      <c r="T401">
        <v>0</v>
      </c>
      <c r="AC401">
        <v>1</v>
      </c>
    </row>
    <row r="402" spans="1:29" ht="30" customHeight="1" x14ac:dyDescent="0.3">
      <c r="A402" s="8" t="s">
        <v>556</v>
      </c>
      <c r="B402" s="8" t="s">
        <v>509</v>
      </c>
      <c r="C402" s="8" t="s">
        <v>507</v>
      </c>
      <c r="D402" s="8" t="s">
        <v>510</v>
      </c>
      <c r="E402" s="8" t="s">
        <v>179</v>
      </c>
      <c r="F402" s="9">
        <v>4</v>
      </c>
      <c r="G402" s="5">
        <f>TRUNC([1]단가대비표!O166,0)</f>
        <v>24350</v>
      </c>
      <c r="H402" s="5">
        <f t="shared" si="33"/>
        <v>97400</v>
      </c>
      <c r="I402" s="5">
        <v>0</v>
      </c>
      <c r="J402" s="5">
        <f t="shared" si="34"/>
        <v>0</v>
      </c>
      <c r="K402" s="5">
        <v>0</v>
      </c>
      <c r="L402" s="5">
        <f t="shared" si="35"/>
        <v>0</v>
      </c>
      <c r="M402" s="5">
        <f t="shared" si="36"/>
        <v>24350</v>
      </c>
      <c r="N402" s="5">
        <f t="shared" si="36"/>
        <v>97400</v>
      </c>
      <c r="O402" s="8" t="s">
        <v>20</v>
      </c>
      <c r="T402">
        <v>0</v>
      </c>
      <c r="AC402">
        <v>1</v>
      </c>
    </row>
    <row r="403" spans="1:29" ht="30" customHeight="1" x14ac:dyDescent="0.3">
      <c r="A403" s="8" t="s">
        <v>556</v>
      </c>
      <c r="B403" s="8" t="s">
        <v>659</v>
      </c>
      <c r="C403" s="8" t="s">
        <v>507</v>
      </c>
      <c r="D403" s="8" t="s">
        <v>660</v>
      </c>
      <c r="E403" s="8" t="s">
        <v>179</v>
      </c>
      <c r="F403" s="9">
        <v>14</v>
      </c>
      <c r="G403" s="5">
        <f>TRUNC([1]단가대비표!O167,0)</f>
        <v>26380</v>
      </c>
      <c r="H403" s="5">
        <f t="shared" si="33"/>
        <v>369320</v>
      </c>
      <c r="I403" s="5">
        <v>0</v>
      </c>
      <c r="J403" s="5">
        <f t="shared" si="34"/>
        <v>0</v>
      </c>
      <c r="K403" s="5">
        <v>0</v>
      </c>
      <c r="L403" s="5">
        <f t="shared" si="35"/>
        <v>0</v>
      </c>
      <c r="M403" s="5">
        <f t="shared" si="36"/>
        <v>26380</v>
      </c>
      <c r="N403" s="5">
        <f t="shared" si="36"/>
        <v>369320</v>
      </c>
      <c r="O403" s="8" t="s">
        <v>20</v>
      </c>
      <c r="T403">
        <v>0</v>
      </c>
      <c r="AC403">
        <v>1</v>
      </c>
    </row>
    <row r="404" spans="1:29" ht="30" customHeight="1" x14ac:dyDescent="0.3">
      <c r="A404" s="8" t="s">
        <v>556</v>
      </c>
      <c r="B404" s="8" t="s">
        <v>661</v>
      </c>
      <c r="C404" s="8" t="s">
        <v>507</v>
      </c>
      <c r="D404" s="8" t="s">
        <v>662</v>
      </c>
      <c r="E404" s="8" t="s">
        <v>179</v>
      </c>
      <c r="F404" s="9">
        <v>4</v>
      </c>
      <c r="G404" s="5">
        <f>TRUNC([1]단가대비표!O169,0)</f>
        <v>40590</v>
      </c>
      <c r="H404" s="5">
        <f t="shared" si="33"/>
        <v>162360</v>
      </c>
      <c r="I404" s="5">
        <v>0</v>
      </c>
      <c r="J404" s="5">
        <f t="shared" si="34"/>
        <v>0</v>
      </c>
      <c r="K404" s="5">
        <v>0</v>
      </c>
      <c r="L404" s="5">
        <f t="shared" si="35"/>
        <v>0</v>
      </c>
      <c r="M404" s="5">
        <f t="shared" si="36"/>
        <v>40590</v>
      </c>
      <c r="N404" s="5">
        <f t="shared" si="36"/>
        <v>162360</v>
      </c>
      <c r="O404" s="8" t="s">
        <v>20</v>
      </c>
      <c r="T404">
        <v>0</v>
      </c>
      <c r="AC404">
        <v>1</v>
      </c>
    </row>
    <row r="405" spans="1:29" ht="30" customHeight="1" x14ac:dyDescent="0.3">
      <c r="A405" s="8" t="s">
        <v>556</v>
      </c>
      <c r="B405" s="8" t="s">
        <v>663</v>
      </c>
      <c r="C405" s="8" t="s">
        <v>507</v>
      </c>
      <c r="D405" s="8" t="s">
        <v>664</v>
      </c>
      <c r="E405" s="8" t="s">
        <v>179</v>
      </c>
      <c r="F405" s="9">
        <v>2</v>
      </c>
      <c r="G405" s="5">
        <f>TRUNC([1]단가대비표!O170,0)</f>
        <v>46660</v>
      </c>
      <c r="H405" s="5">
        <f t="shared" si="33"/>
        <v>93320</v>
      </c>
      <c r="I405" s="5">
        <v>0</v>
      </c>
      <c r="J405" s="5">
        <f t="shared" si="34"/>
        <v>0</v>
      </c>
      <c r="K405" s="5">
        <v>0</v>
      </c>
      <c r="L405" s="5">
        <f t="shared" si="35"/>
        <v>0</v>
      </c>
      <c r="M405" s="5">
        <f t="shared" si="36"/>
        <v>46660</v>
      </c>
      <c r="N405" s="5">
        <f t="shared" si="36"/>
        <v>93320</v>
      </c>
      <c r="O405" s="8" t="s">
        <v>20</v>
      </c>
      <c r="T405">
        <v>0</v>
      </c>
      <c r="AC405">
        <v>1</v>
      </c>
    </row>
    <row r="406" spans="1:29" ht="30" customHeight="1" x14ac:dyDescent="0.3">
      <c r="A406" s="8" t="s">
        <v>556</v>
      </c>
      <c r="B406" s="8" t="s">
        <v>665</v>
      </c>
      <c r="C406" s="8" t="s">
        <v>507</v>
      </c>
      <c r="D406" s="8" t="s">
        <v>666</v>
      </c>
      <c r="E406" s="8" t="s">
        <v>179</v>
      </c>
      <c r="F406" s="9">
        <v>10</v>
      </c>
      <c r="G406" s="5">
        <f>TRUNC([1]단가대비표!O172,0)</f>
        <v>9930</v>
      </c>
      <c r="H406" s="5">
        <f t="shared" si="33"/>
        <v>99300</v>
      </c>
      <c r="I406" s="5">
        <v>0</v>
      </c>
      <c r="J406" s="5">
        <f t="shared" si="34"/>
        <v>0</v>
      </c>
      <c r="K406" s="5">
        <v>0</v>
      </c>
      <c r="L406" s="5">
        <f t="shared" si="35"/>
        <v>0</v>
      </c>
      <c r="M406" s="5">
        <f t="shared" si="36"/>
        <v>9930</v>
      </c>
      <c r="N406" s="5">
        <f t="shared" si="36"/>
        <v>99300</v>
      </c>
      <c r="O406" s="8" t="s">
        <v>20</v>
      </c>
      <c r="T406">
        <v>0</v>
      </c>
      <c r="AC406">
        <v>1</v>
      </c>
    </row>
    <row r="407" spans="1:29" ht="30" customHeight="1" x14ac:dyDescent="0.3">
      <c r="A407" s="8" t="s">
        <v>556</v>
      </c>
      <c r="B407" s="8" t="s">
        <v>667</v>
      </c>
      <c r="C407" s="8" t="s">
        <v>507</v>
      </c>
      <c r="D407" s="8" t="s">
        <v>668</v>
      </c>
      <c r="E407" s="8" t="s">
        <v>179</v>
      </c>
      <c r="F407" s="9">
        <v>10</v>
      </c>
      <c r="G407" s="5">
        <f>TRUNC([1]단가대비표!O173,0)</f>
        <v>9930</v>
      </c>
      <c r="H407" s="5">
        <f t="shared" si="33"/>
        <v>99300</v>
      </c>
      <c r="I407" s="5">
        <v>0</v>
      </c>
      <c r="J407" s="5">
        <f t="shared" si="34"/>
        <v>0</v>
      </c>
      <c r="K407" s="5">
        <v>0</v>
      </c>
      <c r="L407" s="5">
        <f t="shared" si="35"/>
        <v>0</v>
      </c>
      <c r="M407" s="5">
        <f t="shared" si="36"/>
        <v>9930</v>
      </c>
      <c r="N407" s="5">
        <f t="shared" si="36"/>
        <v>99300</v>
      </c>
      <c r="O407" s="8" t="s">
        <v>20</v>
      </c>
      <c r="T407">
        <v>0</v>
      </c>
      <c r="AC407">
        <v>1</v>
      </c>
    </row>
    <row r="408" spans="1:29" ht="30" customHeight="1" x14ac:dyDescent="0.3">
      <c r="A408" s="8" t="s">
        <v>556</v>
      </c>
      <c r="B408" s="8" t="s">
        <v>669</v>
      </c>
      <c r="C408" s="8" t="s">
        <v>507</v>
      </c>
      <c r="D408" s="8" t="s">
        <v>670</v>
      </c>
      <c r="E408" s="8" t="s">
        <v>179</v>
      </c>
      <c r="F408" s="9">
        <v>4</v>
      </c>
      <c r="G408" s="5">
        <f>TRUNC([1]단가대비표!O175,0)</f>
        <v>12180</v>
      </c>
      <c r="H408" s="5">
        <f t="shared" si="33"/>
        <v>48720</v>
      </c>
      <c r="I408" s="5">
        <v>0</v>
      </c>
      <c r="J408" s="5">
        <f t="shared" si="34"/>
        <v>0</v>
      </c>
      <c r="K408" s="5">
        <v>0</v>
      </c>
      <c r="L408" s="5">
        <f t="shared" si="35"/>
        <v>0</v>
      </c>
      <c r="M408" s="5">
        <f t="shared" si="36"/>
        <v>12180</v>
      </c>
      <c r="N408" s="5">
        <f t="shared" si="36"/>
        <v>48720</v>
      </c>
      <c r="O408" s="8" t="s">
        <v>20</v>
      </c>
      <c r="T408">
        <v>0</v>
      </c>
      <c r="AC408">
        <v>1</v>
      </c>
    </row>
    <row r="409" spans="1:29" ht="30" customHeight="1" x14ac:dyDescent="0.3">
      <c r="A409" s="8" t="s">
        <v>556</v>
      </c>
      <c r="B409" s="8" t="s">
        <v>671</v>
      </c>
      <c r="C409" s="8" t="s">
        <v>507</v>
      </c>
      <c r="D409" s="8" t="s">
        <v>672</v>
      </c>
      <c r="E409" s="8" t="s">
        <v>179</v>
      </c>
      <c r="F409" s="9">
        <v>8</v>
      </c>
      <c r="G409" s="5">
        <f>TRUNC([1]단가대비표!O177,0)</f>
        <v>16690</v>
      </c>
      <c r="H409" s="5">
        <f t="shared" si="33"/>
        <v>133520</v>
      </c>
      <c r="I409" s="5">
        <v>0</v>
      </c>
      <c r="J409" s="5">
        <f t="shared" si="34"/>
        <v>0</v>
      </c>
      <c r="K409" s="5">
        <v>0</v>
      </c>
      <c r="L409" s="5">
        <f t="shared" si="35"/>
        <v>0</v>
      </c>
      <c r="M409" s="5">
        <f t="shared" si="36"/>
        <v>16690</v>
      </c>
      <c r="N409" s="5">
        <f t="shared" si="36"/>
        <v>133520</v>
      </c>
      <c r="O409" s="8" t="s">
        <v>20</v>
      </c>
      <c r="T409">
        <v>0</v>
      </c>
      <c r="AC409">
        <v>1</v>
      </c>
    </row>
    <row r="410" spans="1:29" ht="30" customHeight="1" x14ac:dyDescent="0.3">
      <c r="A410" s="8" t="s">
        <v>556</v>
      </c>
      <c r="B410" s="8" t="s">
        <v>673</v>
      </c>
      <c r="C410" s="8" t="s">
        <v>507</v>
      </c>
      <c r="D410" s="8" t="s">
        <v>674</v>
      </c>
      <c r="E410" s="8" t="s">
        <v>179</v>
      </c>
      <c r="F410" s="9">
        <v>16</v>
      </c>
      <c r="G410" s="5">
        <f>TRUNC([1]단가대비표!O178,0)</f>
        <v>6910</v>
      </c>
      <c r="H410" s="5">
        <f t="shared" si="33"/>
        <v>110560</v>
      </c>
      <c r="I410" s="5">
        <v>0</v>
      </c>
      <c r="J410" s="5">
        <f t="shared" si="34"/>
        <v>0</v>
      </c>
      <c r="K410" s="5">
        <v>0</v>
      </c>
      <c r="L410" s="5">
        <f t="shared" si="35"/>
        <v>0</v>
      </c>
      <c r="M410" s="5">
        <f t="shared" si="36"/>
        <v>6910</v>
      </c>
      <c r="N410" s="5">
        <f t="shared" si="36"/>
        <v>110560</v>
      </c>
      <c r="O410" s="8" t="s">
        <v>20</v>
      </c>
      <c r="T410">
        <v>0</v>
      </c>
      <c r="AC410">
        <v>1</v>
      </c>
    </row>
    <row r="411" spans="1:29" ht="30" customHeight="1" x14ac:dyDescent="0.3">
      <c r="A411" s="8" t="s">
        <v>556</v>
      </c>
      <c r="B411" s="8" t="s">
        <v>513</v>
      </c>
      <c r="C411" s="8" t="s">
        <v>507</v>
      </c>
      <c r="D411" s="8" t="s">
        <v>514</v>
      </c>
      <c r="E411" s="8" t="s">
        <v>179</v>
      </c>
      <c r="F411" s="9">
        <v>95</v>
      </c>
      <c r="G411" s="5">
        <f>TRUNC([1]단가대비표!O179,0)</f>
        <v>7510</v>
      </c>
      <c r="H411" s="5">
        <f t="shared" si="33"/>
        <v>713450</v>
      </c>
      <c r="I411" s="5">
        <v>0</v>
      </c>
      <c r="J411" s="5">
        <f t="shared" si="34"/>
        <v>0</v>
      </c>
      <c r="K411" s="5">
        <v>0</v>
      </c>
      <c r="L411" s="5">
        <f t="shared" si="35"/>
        <v>0</v>
      </c>
      <c r="M411" s="5">
        <f t="shared" si="36"/>
        <v>7510</v>
      </c>
      <c r="N411" s="5">
        <f t="shared" si="36"/>
        <v>713450</v>
      </c>
      <c r="O411" s="8" t="s">
        <v>20</v>
      </c>
      <c r="T411">
        <v>0</v>
      </c>
      <c r="AC411">
        <v>1</v>
      </c>
    </row>
    <row r="412" spans="1:29" ht="30" customHeight="1" x14ac:dyDescent="0.3">
      <c r="A412" s="8" t="s">
        <v>556</v>
      </c>
      <c r="B412" s="8" t="s">
        <v>515</v>
      </c>
      <c r="C412" s="8" t="s">
        <v>507</v>
      </c>
      <c r="D412" s="8" t="s">
        <v>516</v>
      </c>
      <c r="E412" s="8" t="s">
        <v>179</v>
      </c>
      <c r="F412" s="9">
        <v>207</v>
      </c>
      <c r="G412" s="5">
        <f>TRUNC([1]단가대비표!O180,0)</f>
        <v>8270</v>
      </c>
      <c r="H412" s="5">
        <f t="shared" si="33"/>
        <v>1711890</v>
      </c>
      <c r="I412" s="5">
        <v>0</v>
      </c>
      <c r="J412" s="5">
        <f t="shared" si="34"/>
        <v>0</v>
      </c>
      <c r="K412" s="5">
        <v>0</v>
      </c>
      <c r="L412" s="5">
        <f t="shared" si="35"/>
        <v>0</v>
      </c>
      <c r="M412" s="5">
        <f t="shared" si="36"/>
        <v>8270</v>
      </c>
      <c r="N412" s="5">
        <f t="shared" si="36"/>
        <v>1711890</v>
      </c>
      <c r="O412" s="8" t="s">
        <v>20</v>
      </c>
      <c r="T412">
        <v>0</v>
      </c>
      <c r="AC412">
        <v>1</v>
      </c>
    </row>
    <row r="413" spans="1:29" ht="30" customHeight="1" x14ac:dyDescent="0.3">
      <c r="A413" s="8" t="s">
        <v>556</v>
      </c>
      <c r="B413" s="8" t="s">
        <v>517</v>
      </c>
      <c r="C413" s="8" t="s">
        <v>507</v>
      </c>
      <c r="D413" s="8" t="s">
        <v>518</v>
      </c>
      <c r="E413" s="8" t="s">
        <v>179</v>
      </c>
      <c r="F413" s="9">
        <v>94</v>
      </c>
      <c r="G413" s="5">
        <f>TRUNC([1]단가대비표!O181,0)</f>
        <v>8270</v>
      </c>
      <c r="H413" s="5">
        <f t="shared" si="33"/>
        <v>777380</v>
      </c>
      <c r="I413" s="5">
        <v>0</v>
      </c>
      <c r="J413" s="5">
        <f t="shared" si="34"/>
        <v>0</v>
      </c>
      <c r="K413" s="5">
        <v>0</v>
      </c>
      <c r="L413" s="5">
        <f t="shared" si="35"/>
        <v>0</v>
      </c>
      <c r="M413" s="5">
        <f t="shared" si="36"/>
        <v>8270</v>
      </c>
      <c r="N413" s="5">
        <f t="shared" si="36"/>
        <v>777380</v>
      </c>
      <c r="O413" s="8" t="s">
        <v>20</v>
      </c>
      <c r="T413">
        <v>0</v>
      </c>
      <c r="AC413">
        <v>1</v>
      </c>
    </row>
    <row r="414" spans="1:29" ht="30" customHeight="1" x14ac:dyDescent="0.3">
      <c r="A414" s="8" t="s">
        <v>556</v>
      </c>
      <c r="B414" s="8" t="s">
        <v>519</v>
      </c>
      <c r="C414" s="8" t="s">
        <v>507</v>
      </c>
      <c r="D414" s="8" t="s">
        <v>520</v>
      </c>
      <c r="E414" s="8" t="s">
        <v>179</v>
      </c>
      <c r="F414" s="9">
        <v>75</v>
      </c>
      <c r="G414" s="5">
        <f>TRUNC([1]단가대비표!O182,0)</f>
        <v>9770</v>
      </c>
      <c r="H414" s="5">
        <f t="shared" si="33"/>
        <v>732750</v>
      </c>
      <c r="I414" s="5">
        <v>0</v>
      </c>
      <c r="J414" s="5">
        <f t="shared" si="34"/>
        <v>0</v>
      </c>
      <c r="K414" s="5">
        <v>0</v>
      </c>
      <c r="L414" s="5">
        <f t="shared" si="35"/>
        <v>0</v>
      </c>
      <c r="M414" s="5">
        <f t="shared" si="36"/>
        <v>9770</v>
      </c>
      <c r="N414" s="5">
        <f t="shared" si="36"/>
        <v>732750</v>
      </c>
      <c r="O414" s="8" t="s">
        <v>20</v>
      </c>
      <c r="T414">
        <v>0</v>
      </c>
      <c r="AC414">
        <v>1</v>
      </c>
    </row>
    <row r="415" spans="1:29" ht="30" customHeight="1" x14ac:dyDescent="0.3">
      <c r="A415" s="8" t="s">
        <v>556</v>
      </c>
      <c r="B415" s="8" t="s">
        <v>521</v>
      </c>
      <c r="C415" s="8" t="s">
        <v>507</v>
      </c>
      <c r="D415" s="8" t="s">
        <v>522</v>
      </c>
      <c r="E415" s="8" t="s">
        <v>179</v>
      </c>
      <c r="F415" s="9">
        <v>162</v>
      </c>
      <c r="G415" s="5">
        <f>TRUNC([1]단가대비표!O183,0)</f>
        <v>10510</v>
      </c>
      <c r="H415" s="5">
        <f t="shared" si="33"/>
        <v>1702620</v>
      </c>
      <c r="I415" s="5">
        <v>0</v>
      </c>
      <c r="J415" s="5">
        <f t="shared" si="34"/>
        <v>0</v>
      </c>
      <c r="K415" s="5">
        <v>0</v>
      </c>
      <c r="L415" s="5">
        <f t="shared" si="35"/>
        <v>0</v>
      </c>
      <c r="M415" s="5">
        <f t="shared" si="36"/>
        <v>10510</v>
      </c>
      <c r="N415" s="5">
        <f t="shared" si="36"/>
        <v>1702620</v>
      </c>
      <c r="O415" s="8" t="s">
        <v>20</v>
      </c>
      <c r="T415">
        <v>0</v>
      </c>
      <c r="AC415">
        <v>1</v>
      </c>
    </row>
    <row r="416" spans="1:29" ht="30" customHeight="1" x14ac:dyDescent="0.3">
      <c r="A416" s="8" t="s">
        <v>556</v>
      </c>
      <c r="B416" s="8" t="s">
        <v>523</v>
      </c>
      <c r="C416" s="8" t="s">
        <v>507</v>
      </c>
      <c r="D416" s="8" t="s">
        <v>524</v>
      </c>
      <c r="E416" s="8" t="s">
        <v>179</v>
      </c>
      <c r="F416" s="9">
        <v>89</v>
      </c>
      <c r="G416" s="5">
        <f>TRUNC([1]단가대비표!O184,0)</f>
        <v>12030</v>
      </c>
      <c r="H416" s="5">
        <f t="shared" si="33"/>
        <v>1070670</v>
      </c>
      <c r="I416" s="5">
        <v>0</v>
      </c>
      <c r="J416" s="5">
        <f t="shared" si="34"/>
        <v>0</v>
      </c>
      <c r="K416" s="5">
        <v>0</v>
      </c>
      <c r="L416" s="5">
        <f t="shared" si="35"/>
        <v>0</v>
      </c>
      <c r="M416" s="5">
        <f t="shared" si="36"/>
        <v>12030</v>
      </c>
      <c r="N416" s="5">
        <f t="shared" si="36"/>
        <v>1070670</v>
      </c>
      <c r="O416" s="8" t="s">
        <v>20</v>
      </c>
      <c r="T416">
        <v>0</v>
      </c>
      <c r="AC416">
        <v>1</v>
      </c>
    </row>
    <row r="417" spans="1:29" ht="30" customHeight="1" x14ac:dyDescent="0.3">
      <c r="A417" s="8" t="s">
        <v>556</v>
      </c>
      <c r="B417" s="8" t="s">
        <v>675</v>
      </c>
      <c r="C417" s="8" t="s">
        <v>507</v>
      </c>
      <c r="D417" s="8" t="s">
        <v>676</v>
      </c>
      <c r="E417" s="8" t="s">
        <v>179</v>
      </c>
      <c r="F417" s="9">
        <v>32</v>
      </c>
      <c r="G417" s="5">
        <f>TRUNC([1]단가대비표!O186,0)</f>
        <v>16520</v>
      </c>
      <c r="H417" s="5">
        <f t="shared" si="33"/>
        <v>528640</v>
      </c>
      <c r="I417" s="5">
        <v>0</v>
      </c>
      <c r="J417" s="5">
        <f t="shared" si="34"/>
        <v>0</v>
      </c>
      <c r="K417" s="5">
        <v>0</v>
      </c>
      <c r="L417" s="5">
        <f t="shared" si="35"/>
        <v>0</v>
      </c>
      <c r="M417" s="5">
        <f t="shared" si="36"/>
        <v>16520</v>
      </c>
      <c r="N417" s="5">
        <f t="shared" si="36"/>
        <v>528640</v>
      </c>
      <c r="O417" s="8" t="s">
        <v>20</v>
      </c>
      <c r="T417">
        <v>0</v>
      </c>
      <c r="AC417">
        <v>1</v>
      </c>
    </row>
    <row r="418" spans="1:29" ht="30" customHeight="1" x14ac:dyDescent="0.3">
      <c r="A418" s="8" t="s">
        <v>556</v>
      </c>
      <c r="B418" s="8" t="s">
        <v>677</v>
      </c>
      <c r="C418" s="8" t="s">
        <v>507</v>
      </c>
      <c r="D418" s="8" t="s">
        <v>678</v>
      </c>
      <c r="E418" s="8" t="s">
        <v>179</v>
      </c>
      <c r="F418" s="9">
        <v>1</v>
      </c>
      <c r="G418" s="5">
        <f>TRUNC([1]단가대비표!O187,0)</f>
        <v>22550</v>
      </c>
      <c r="H418" s="5">
        <f t="shared" si="33"/>
        <v>22550</v>
      </c>
      <c r="I418" s="5">
        <v>0</v>
      </c>
      <c r="J418" s="5">
        <f t="shared" si="34"/>
        <v>0</v>
      </c>
      <c r="K418" s="5">
        <v>0</v>
      </c>
      <c r="L418" s="5">
        <f t="shared" si="35"/>
        <v>0</v>
      </c>
      <c r="M418" s="5">
        <f t="shared" si="36"/>
        <v>22550</v>
      </c>
      <c r="N418" s="5">
        <f t="shared" si="36"/>
        <v>22550</v>
      </c>
      <c r="O418" s="8" t="s">
        <v>20</v>
      </c>
      <c r="T418">
        <v>0</v>
      </c>
      <c r="AC418">
        <v>1</v>
      </c>
    </row>
    <row r="419" spans="1:29" ht="30" customHeight="1" x14ac:dyDescent="0.3">
      <c r="A419" s="8" t="s">
        <v>556</v>
      </c>
      <c r="B419" s="8" t="s">
        <v>679</v>
      </c>
      <c r="C419" s="8" t="s">
        <v>680</v>
      </c>
      <c r="D419" s="8" t="s">
        <v>487</v>
      </c>
      <c r="E419" s="8" t="s">
        <v>185</v>
      </c>
      <c r="F419" s="9">
        <v>5</v>
      </c>
      <c r="G419" s="5">
        <f>TRUNC([1]단가대비표!O631,0)</f>
        <v>13941</v>
      </c>
      <c r="H419" s="5">
        <f t="shared" si="33"/>
        <v>69705</v>
      </c>
      <c r="I419" s="5">
        <v>0</v>
      </c>
      <c r="J419" s="5">
        <f t="shared" si="34"/>
        <v>0</v>
      </c>
      <c r="K419" s="5">
        <v>0</v>
      </c>
      <c r="L419" s="5">
        <f t="shared" si="35"/>
        <v>0</v>
      </c>
      <c r="M419" s="5">
        <f t="shared" si="36"/>
        <v>13941</v>
      </c>
      <c r="N419" s="5">
        <f t="shared" si="36"/>
        <v>69705</v>
      </c>
      <c r="O419" s="8" t="s">
        <v>20</v>
      </c>
      <c r="T419">
        <v>0</v>
      </c>
      <c r="AC419">
        <v>1</v>
      </c>
    </row>
    <row r="420" spans="1:29" ht="30" customHeight="1" x14ac:dyDescent="0.3">
      <c r="A420" s="8" t="s">
        <v>556</v>
      </c>
      <c r="B420" s="8" t="s">
        <v>681</v>
      </c>
      <c r="C420" s="8" t="s">
        <v>680</v>
      </c>
      <c r="D420" s="8" t="s">
        <v>489</v>
      </c>
      <c r="E420" s="8" t="s">
        <v>185</v>
      </c>
      <c r="F420" s="9">
        <v>1</v>
      </c>
      <c r="G420" s="5">
        <f>TRUNC([1]단가대비표!O632,0)</f>
        <v>15392</v>
      </c>
      <c r="H420" s="5">
        <f t="shared" si="33"/>
        <v>15392</v>
      </c>
      <c r="I420" s="5">
        <v>0</v>
      </c>
      <c r="J420" s="5">
        <f t="shared" si="34"/>
        <v>0</v>
      </c>
      <c r="K420" s="5">
        <v>0</v>
      </c>
      <c r="L420" s="5">
        <f t="shared" si="35"/>
        <v>0</v>
      </c>
      <c r="M420" s="5">
        <f t="shared" si="36"/>
        <v>15392</v>
      </c>
      <c r="N420" s="5">
        <f t="shared" si="36"/>
        <v>15392</v>
      </c>
      <c r="O420" s="8" t="s">
        <v>20</v>
      </c>
      <c r="T420">
        <v>0</v>
      </c>
      <c r="AC420">
        <v>1</v>
      </c>
    </row>
    <row r="421" spans="1:29" ht="30" customHeight="1" x14ac:dyDescent="0.3">
      <c r="A421" s="8" t="s">
        <v>556</v>
      </c>
      <c r="B421" s="8" t="s">
        <v>682</v>
      </c>
      <c r="C421" s="8" t="s">
        <v>680</v>
      </c>
      <c r="D421" s="8" t="s">
        <v>346</v>
      </c>
      <c r="E421" s="8" t="s">
        <v>185</v>
      </c>
      <c r="F421" s="9">
        <v>2</v>
      </c>
      <c r="G421" s="5">
        <f>TRUNC([1]단가대비표!O633,0)</f>
        <v>16074</v>
      </c>
      <c r="H421" s="5">
        <f t="shared" si="33"/>
        <v>32148</v>
      </c>
      <c r="I421" s="5">
        <v>0</v>
      </c>
      <c r="J421" s="5">
        <f t="shared" si="34"/>
        <v>0</v>
      </c>
      <c r="K421" s="5">
        <v>0</v>
      </c>
      <c r="L421" s="5">
        <f t="shared" si="35"/>
        <v>0</v>
      </c>
      <c r="M421" s="5">
        <f t="shared" si="36"/>
        <v>16074</v>
      </c>
      <c r="N421" s="5">
        <f t="shared" si="36"/>
        <v>32148</v>
      </c>
      <c r="O421" s="8" t="s">
        <v>20</v>
      </c>
      <c r="T421">
        <v>0</v>
      </c>
      <c r="AC421">
        <v>1</v>
      </c>
    </row>
    <row r="422" spans="1:29" ht="30" customHeight="1" x14ac:dyDescent="0.3">
      <c r="A422" s="8" t="s">
        <v>556</v>
      </c>
      <c r="B422" s="8" t="s">
        <v>683</v>
      </c>
      <c r="C422" s="8" t="s">
        <v>680</v>
      </c>
      <c r="D422" s="8" t="s">
        <v>640</v>
      </c>
      <c r="E422" s="8" t="s">
        <v>185</v>
      </c>
      <c r="F422" s="9">
        <v>8</v>
      </c>
      <c r="G422" s="5">
        <f>TRUNC([1]단가대비표!O634,0)</f>
        <v>17750</v>
      </c>
      <c r="H422" s="5">
        <f t="shared" si="33"/>
        <v>142000</v>
      </c>
      <c r="I422" s="5">
        <v>0</v>
      </c>
      <c r="J422" s="5">
        <f t="shared" si="34"/>
        <v>0</v>
      </c>
      <c r="K422" s="5">
        <v>0</v>
      </c>
      <c r="L422" s="5">
        <f t="shared" si="35"/>
        <v>0</v>
      </c>
      <c r="M422" s="5">
        <f t="shared" si="36"/>
        <v>17750</v>
      </c>
      <c r="N422" s="5">
        <f t="shared" si="36"/>
        <v>142000</v>
      </c>
      <c r="O422" s="8" t="s">
        <v>20</v>
      </c>
      <c r="T422">
        <v>0</v>
      </c>
      <c r="AC422">
        <v>1</v>
      </c>
    </row>
    <row r="423" spans="1:29" ht="30" customHeight="1" x14ac:dyDescent="0.3">
      <c r="A423" s="8" t="s">
        <v>556</v>
      </c>
      <c r="B423" s="8" t="s">
        <v>684</v>
      </c>
      <c r="C423" s="8" t="s">
        <v>680</v>
      </c>
      <c r="D423" s="8" t="s">
        <v>447</v>
      </c>
      <c r="E423" s="8" t="s">
        <v>185</v>
      </c>
      <c r="F423" s="9">
        <v>2</v>
      </c>
      <c r="G423" s="5">
        <f>TRUNC([1]단가대비표!O635,0)</f>
        <v>19627</v>
      </c>
      <c r="H423" s="5">
        <f t="shared" si="33"/>
        <v>39254</v>
      </c>
      <c r="I423" s="5">
        <v>0</v>
      </c>
      <c r="J423" s="5">
        <f t="shared" si="34"/>
        <v>0</v>
      </c>
      <c r="K423" s="5">
        <v>0</v>
      </c>
      <c r="L423" s="5">
        <f t="shared" si="35"/>
        <v>0</v>
      </c>
      <c r="M423" s="5">
        <f t="shared" si="36"/>
        <v>19627</v>
      </c>
      <c r="N423" s="5">
        <f t="shared" si="36"/>
        <v>39254</v>
      </c>
      <c r="O423" s="8" t="s">
        <v>20</v>
      </c>
      <c r="T423">
        <v>0</v>
      </c>
      <c r="AC423">
        <v>1</v>
      </c>
    </row>
    <row r="424" spans="1:29" ht="30" customHeight="1" x14ac:dyDescent="0.3">
      <c r="A424" s="8" t="s">
        <v>556</v>
      </c>
      <c r="B424" s="8" t="s">
        <v>685</v>
      </c>
      <c r="C424" s="8" t="s">
        <v>680</v>
      </c>
      <c r="D424" s="8" t="s">
        <v>608</v>
      </c>
      <c r="E424" s="8" t="s">
        <v>185</v>
      </c>
      <c r="F424" s="9">
        <v>6</v>
      </c>
      <c r="G424" s="5">
        <f>TRUNC([1]단가대비표!O638,0)</f>
        <v>54952</v>
      </c>
      <c r="H424" s="5">
        <f t="shared" si="33"/>
        <v>329712</v>
      </c>
      <c r="I424" s="5">
        <v>0</v>
      </c>
      <c r="J424" s="5">
        <f t="shared" si="34"/>
        <v>0</v>
      </c>
      <c r="K424" s="5">
        <v>0</v>
      </c>
      <c r="L424" s="5">
        <f t="shared" si="35"/>
        <v>0</v>
      </c>
      <c r="M424" s="5">
        <f t="shared" si="36"/>
        <v>54952</v>
      </c>
      <c r="N424" s="5">
        <f t="shared" si="36"/>
        <v>329712</v>
      </c>
      <c r="O424" s="8" t="s">
        <v>20</v>
      </c>
      <c r="T424">
        <v>0</v>
      </c>
      <c r="AC424">
        <v>1</v>
      </c>
    </row>
    <row r="425" spans="1:29" ht="30" customHeight="1" x14ac:dyDescent="0.3">
      <c r="A425" s="8" t="s">
        <v>556</v>
      </c>
      <c r="B425" s="8" t="s">
        <v>686</v>
      </c>
      <c r="C425" s="8" t="s">
        <v>687</v>
      </c>
      <c r="D425" s="8" t="s">
        <v>346</v>
      </c>
      <c r="E425" s="8" t="s">
        <v>185</v>
      </c>
      <c r="F425" s="9">
        <v>17</v>
      </c>
      <c r="G425" s="5">
        <f>TRUNC([1]단가대비표!O643,0)</f>
        <v>13168</v>
      </c>
      <c r="H425" s="5">
        <f t="shared" si="33"/>
        <v>223856</v>
      </c>
      <c r="I425" s="5">
        <v>0</v>
      </c>
      <c r="J425" s="5">
        <f t="shared" si="34"/>
        <v>0</v>
      </c>
      <c r="K425" s="5">
        <v>0</v>
      </c>
      <c r="L425" s="5">
        <f t="shared" si="35"/>
        <v>0</v>
      </c>
      <c r="M425" s="5">
        <f t="shared" ref="M425:N449" si="37">G425+I425+K425</f>
        <v>13168</v>
      </c>
      <c r="N425" s="5">
        <f t="shared" si="37"/>
        <v>223856</v>
      </c>
      <c r="O425" s="8" t="s">
        <v>20</v>
      </c>
      <c r="T425">
        <v>0</v>
      </c>
      <c r="AC425">
        <v>1</v>
      </c>
    </row>
    <row r="426" spans="1:29" ht="30" customHeight="1" x14ac:dyDescent="0.3">
      <c r="A426" s="8" t="s">
        <v>556</v>
      </c>
      <c r="B426" s="8" t="s">
        <v>688</v>
      </c>
      <c r="C426" s="8" t="s">
        <v>687</v>
      </c>
      <c r="D426" s="8" t="s">
        <v>640</v>
      </c>
      <c r="E426" s="8" t="s">
        <v>185</v>
      </c>
      <c r="F426" s="9">
        <v>8</v>
      </c>
      <c r="G426" s="5">
        <f>TRUNC([1]단가대비표!O644,0)</f>
        <v>14281</v>
      </c>
      <c r="H426" s="5">
        <f t="shared" si="33"/>
        <v>114248</v>
      </c>
      <c r="I426" s="5">
        <v>0</v>
      </c>
      <c r="J426" s="5">
        <f t="shared" si="34"/>
        <v>0</v>
      </c>
      <c r="K426" s="5">
        <v>0</v>
      </c>
      <c r="L426" s="5">
        <f t="shared" si="35"/>
        <v>0</v>
      </c>
      <c r="M426" s="5">
        <f t="shared" si="37"/>
        <v>14281</v>
      </c>
      <c r="N426" s="5">
        <f t="shared" si="37"/>
        <v>114248</v>
      </c>
      <c r="O426" s="8" t="s">
        <v>20</v>
      </c>
      <c r="T426">
        <v>0</v>
      </c>
      <c r="AC426">
        <v>1</v>
      </c>
    </row>
    <row r="427" spans="1:29" ht="30" customHeight="1" x14ac:dyDescent="0.3">
      <c r="A427" s="8" t="s">
        <v>556</v>
      </c>
      <c r="B427" s="8" t="s">
        <v>689</v>
      </c>
      <c r="C427" s="8" t="s">
        <v>687</v>
      </c>
      <c r="D427" s="8" t="s">
        <v>348</v>
      </c>
      <c r="E427" s="8" t="s">
        <v>185</v>
      </c>
      <c r="F427" s="9">
        <v>8</v>
      </c>
      <c r="G427" s="5">
        <f>TRUNC([1]단가대비표!O646,0)</f>
        <v>16464</v>
      </c>
      <c r="H427" s="5">
        <f t="shared" si="33"/>
        <v>131712</v>
      </c>
      <c r="I427" s="5">
        <v>0</v>
      </c>
      <c r="J427" s="5">
        <f t="shared" si="34"/>
        <v>0</v>
      </c>
      <c r="K427" s="5">
        <v>0</v>
      </c>
      <c r="L427" s="5">
        <f t="shared" si="35"/>
        <v>0</v>
      </c>
      <c r="M427" s="5">
        <f t="shared" si="37"/>
        <v>16464</v>
      </c>
      <c r="N427" s="5">
        <f t="shared" si="37"/>
        <v>131712</v>
      </c>
      <c r="O427" s="8" t="s">
        <v>20</v>
      </c>
      <c r="T427">
        <v>0</v>
      </c>
      <c r="AC427">
        <v>1</v>
      </c>
    </row>
    <row r="428" spans="1:29" ht="30" customHeight="1" x14ac:dyDescent="0.3">
      <c r="A428" s="8" t="s">
        <v>556</v>
      </c>
      <c r="B428" s="8" t="s">
        <v>690</v>
      </c>
      <c r="C428" s="8" t="s">
        <v>687</v>
      </c>
      <c r="D428" s="8" t="s">
        <v>350</v>
      </c>
      <c r="E428" s="8" t="s">
        <v>185</v>
      </c>
      <c r="F428" s="9">
        <v>2</v>
      </c>
      <c r="G428" s="5">
        <f>TRUNC([1]단가대비표!O647,0)</f>
        <v>23977</v>
      </c>
      <c r="H428" s="5">
        <f t="shared" si="33"/>
        <v>47954</v>
      </c>
      <c r="I428" s="5">
        <v>0</v>
      </c>
      <c r="J428" s="5">
        <f t="shared" si="34"/>
        <v>0</v>
      </c>
      <c r="K428" s="5">
        <v>0</v>
      </c>
      <c r="L428" s="5">
        <f t="shared" si="35"/>
        <v>0</v>
      </c>
      <c r="M428" s="5">
        <f t="shared" si="37"/>
        <v>23977</v>
      </c>
      <c r="N428" s="5">
        <f t="shared" si="37"/>
        <v>47954</v>
      </c>
      <c r="O428" s="8" t="s">
        <v>20</v>
      </c>
      <c r="T428">
        <v>0</v>
      </c>
      <c r="AC428">
        <v>1</v>
      </c>
    </row>
    <row r="429" spans="1:29" ht="30" customHeight="1" x14ac:dyDescent="0.3">
      <c r="A429" s="8" t="s">
        <v>556</v>
      </c>
      <c r="B429" s="8" t="s">
        <v>691</v>
      </c>
      <c r="C429" s="8" t="s">
        <v>687</v>
      </c>
      <c r="D429" s="8" t="s">
        <v>692</v>
      </c>
      <c r="E429" s="8" t="s">
        <v>185</v>
      </c>
      <c r="F429" s="9">
        <v>2</v>
      </c>
      <c r="G429" s="5">
        <f>TRUNC([1]단가대비표!O648,0)</f>
        <v>30341</v>
      </c>
      <c r="H429" s="5">
        <f t="shared" si="33"/>
        <v>60682</v>
      </c>
      <c r="I429" s="5">
        <v>0</v>
      </c>
      <c r="J429" s="5">
        <f t="shared" si="34"/>
        <v>0</v>
      </c>
      <c r="K429" s="5">
        <v>0</v>
      </c>
      <c r="L429" s="5">
        <f t="shared" si="35"/>
        <v>0</v>
      </c>
      <c r="M429" s="5">
        <f t="shared" si="37"/>
        <v>30341</v>
      </c>
      <c r="N429" s="5">
        <f t="shared" si="37"/>
        <v>60682</v>
      </c>
      <c r="O429" s="8" t="s">
        <v>20</v>
      </c>
      <c r="T429">
        <v>0</v>
      </c>
      <c r="AC429">
        <v>1</v>
      </c>
    </row>
    <row r="430" spans="1:29" ht="30" customHeight="1" x14ac:dyDescent="0.3">
      <c r="A430" s="8" t="s">
        <v>556</v>
      </c>
      <c r="B430" s="8" t="s">
        <v>693</v>
      </c>
      <c r="C430" s="8" t="s">
        <v>694</v>
      </c>
      <c r="D430" s="8" t="s">
        <v>695</v>
      </c>
      <c r="E430" s="8" t="s">
        <v>179</v>
      </c>
      <c r="F430" s="9">
        <v>5</v>
      </c>
      <c r="G430" s="5">
        <f>TRUNC([1]단가대비표!O391,0)</f>
        <v>700</v>
      </c>
      <c r="H430" s="5">
        <f t="shared" si="33"/>
        <v>3500</v>
      </c>
      <c r="I430" s="5">
        <v>0</v>
      </c>
      <c r="J430" s="5">
        <f t="shared" si="34"/>
        <v>0</v>
      </c>
      <c r="K430" s="5">
        <v>0</v>
      </c>
      <c r="L430" s="5">
        <f t="shared" si="35"/>
        <v>0</v>
      </c>
      <c r="M430" s="5">
        <f t="shared" si="37"/>
        <v>700</v>
      </c>
      <c r="N430" s="5">
        <f t="shared" si="37"/>
        <v>3500</v>
      </c>
      <c r="O430" s="8" t="s">
        <v>20</v>
      </c>
      <c r="T430">
        <v>0</v>
      </c>
      <c r="AC430">
        <v>1</v>
      </c>
    </row>
    <row r="431" spans="1:29" ht="30" customHeight="1" x14ac:dyDescent="0.3">
      <c r="A431" s="8" t="s">
        <v>556</v>
      </c>
      <c r="B431" s="8" t="s">
        <v>696</v>
      </c>
      <c r="C431" s="8" t="s">
        <v>694</v>
      </c>
      <c r="D431" s="8" t="s">
        <v>697</v>
      </c>
      <c r="E431" s="8" t="s">
        <v>179</v>
      </c>
      <c r="F431" s="9">
        <v>1</v>
      </c>
      <c r="G431" s="5">
        <f>TRUNC([1]단가대비표!O392,0)</f>
        <v>770</v>
      </c>
      <c r="H431" s="5">
        <f t="shared" si="33"/>
        <v>770</v>
      </c>
      <c r="I431" s="5">
        <v>0</v>
      </c>
      <c r="J431" s="5">
        <f t="shared" si="34"/>
        <v>0</v>
      </c>
      <c r="K431" s="5">
        <v>0</v>
      </c>
      <c r="L431" s="5">
        <f t="shared" si="35"/>
        <v>0</v>
      </c>
      <c r="M431" s="5">
        <f t="shared" si="37"/>
        <v>770</v>
      </c>
      <c r="N431" s="5">
        <f t="shared" si="37"/>
        <v>770</v>
      </c>
      <c r="O431" s="8" t="s">
        <v>20</v>
      </c>
      <c r="T431">
        <v>0</v>
      </c>
      <c r="AC431">
        <v>1</v>
      </c>
    </row>
    <row r="432" spans="1:29" ht="30" customHeight="1" x14ac:dyDescent="0.3">
      <c r="A432" s="8" t="s">
        <v>556</v>
      </c>
      <c r="B432" s="8" t="s">
        <v>698</v>
      </c>
      <c r="C432" s="8" t="s">
        <v>694</v>
      </c>
      <c r="D432" s="8" t="s">
        <v>699</v>
      </c>
      <c r="E432" s="8" t="s">
        <v>179</v>
      </c>
      <c r="F432" s="9">
        <v>2</v>
      </c>
      <c r="G432" s="5">
        <f>TRUNC([1]단가대비표!O393,0)</f>
        <v>840</v>
      </c>
      <c r="H432" s="5">
        <f t="shared" si="33"/>
        <v>1680</v>
      </c>
      <c r="I432" s="5">
        <v>0</v>
      </c>
      <c r="J432" s="5">
        <f t="shared" si="34"/>
        <v>0</v>
      </c>
      <c r="K432" s="5">
        <v>0</v>
      </c>
      <c r="L432" s="5">
        <f t="shared" si="35"/>
        <v>0</v>
      </c>
      <c r="M432" s="5">
        <f t="shared" si="37"/>
        <v>840</v>
      </c>
      <c r="N432" s="5">
        <f t="shared" si="37"/>
        <v>1680</v>
      </c>
      <c r="O432" s="8" t="s">
        <v>20</v>
      </c>
      <c r="T432">
        <v>0</v>
      </c>
      <c r="AC432">
        <v>1</v>
      </c>
    </row>
    <row r="433" spans="1:29" ht="30" customHeight="1" x14ac:dyDescent="0.3">
      <c r="A433" s="8" t="s">
        <v>556</v>
      </c>
      <c r="B433" s="8" t="s">
        <v>700</v>
      </c>
      <c r="C433" s="8" t="s">
        <v>694</v>
      </c>
      <c r="D433" s="8" t="s">
        <v>701</v>
      </c>
      <c r="E433" s="8" t="s">
        <v>179</v>
      </c>
      <c r="F433" s="9">
        <v>8</v>
      </c>
      <c r="G433" s="5">
        <f>TRUNC([1]단가대비표!O394,0)</f>
        <v>1400</v>
      </c>
      <c r="H433" s="5">
        <f t="shared" si="33"/>
        <v>11200</v>
      </c>
      <c r="I433" s="5">
        <v>0</v>
      </c>
      <c r="J433" s="5">
        <f t="shared" si="34"/>
        <v>0</v>
      </c>
      <c r="K433" s="5">
        <v>0</v>
      </c>
      <c r="L433" s="5">
        <f t="shared" si="35"/>
        <v>0</v>
      </c>
      <c r="M433" s="5">
        <f t="shared" si="37"/>
        <v>1400</v>
      </c>
      <c r="N433" s="5">
        <f t="shared" si="37"/>
        <v>11200</v>
      </c>
      <c r="O433" s="8" t="s">
        <v>20</v>
      </c>
      <c r="T433">
        <v>0</v>
      </c>
      <c r="AC433">
        <v>1</v>
      </c>
    </row>
    <row r="434" spans="1:29" ht="30" customHeight="1" x14ac:dyDescent="0.3">
      <c r="A434" s="8" t="s">
        <v>556</v>
      </c>
      <c r="B434" s="8" t="s">
        <v>702</v>
      </c>
      <c r="C434" s="8" t="s">
        <v>694</v>
      </c>
      <c r="D434" s="8" t="s">
        <v>703</v>
      </c>
      <c r="E434" s="8" t="s">
        <v>179</v>
      </c>
      <c r="F434" s="9">
        <v>2</v>
      </c>
      <c r="G434" s="5">
        <f>TRUNC([1]단가대비표!O395,0)</f>
        <v>1400</v>
      </c>
      <c r="H434" s="5">
        <f t="shared" si="33"/>
        <v>2800</v>
      </c>
      <c r="I434" s="5">
        <v>0</v>
      </c>
      <c r="J434" s="5">
        <f t="shared" si="34"/>
        <v>0</v>
      </c>
      <c r="K434" s="5">
        <v>0</v>
      </c>
      <c r="L434" s="5">
        <f t="shared" si="35"/>
        <v>0</v>
      </c>
      <c r="M434" s="5">
        <f t="shared" si="37"/>
        <v>1400</v>
      </c>
      <c r="N434" s="5">
        <f t="shared" si="37"/>
        <v>2800</v>
      </c>
      <c r="O434" s="8" t="s">
        <v>20</v>
      </c>
      <c r="T434">
        <v>0</v>
      </c>
      <c r="AC434">
        <v>1</v>
      </c>
    </row>
    <row r="435" spans="1:29" ht="30" customHeight="1" x14ac:dyDescent="0.3">
      <c r="A435" s="8" t="s">
        <v>556</v>
      </c>
      <c r="B435" s="8" t="s">
        <v>704</v>
      </c>
      <c r="C435" s="8" t="s">
        <v>694</v>
      </c>
      <c r="D435" s="8" t="s">
        <v>705</v>
      </c>
      <c r="E435" s="8" t="s">
        <v>179</v>
      </c>
      <c r="F435" s="9">
        <v>6</v>
      </c>
      <c r="G435" s="5">
        <f>TRUNC([1]단가대비표!O400,0)</f>
        <v>2500</v>
      </c>
      <c r="H435" s="5">
        <f t="shared" si="33"/>
        <v>15000</v>
      </c>
      <c r="I435" s="5">
        <v>0</v>
      </c>
      <c r="J435" s="5">
        <f t="shared" si="34"/>
        <v>0</v>
      </c>
      <c r="K435" s="5">
        <v>0</v>
      </c>
      <c r="L435" s="5">
        <f t="shared" si="35"/>
        <v>0</v>
      </c>
      <c r="M435" s="5">
        <f t="shared" si="37"/>
        <v>2500</v>
      </c>
      <c r="N435" s="5">
        <f t="shared" si="37"/>
        <v>15000</v>
      </c>
      <c r="O435" s="8" t="s">
        <v>20</v>
      </c>
      <c r="T435">
        <v>0</v>
      </c>
      <c r="AC435">
        <v>1</v>
      </c>
    </row>
    <row r="436" spans="1:29" ht="30" customHeight="1" x14ac:dyDescent="0.3">
      <c r="A436" s="8" t="s">
        <v>556</v>
      </c>
      <c r="B436" s="8" t="s">
        <v>706</v>
      </c>
      <c r="C436" s="8" t="s">
        <v>694</v>
      </c>
      <c r="D436" s="8" t="s">
        <v>707</v>
      </c>
      <c r="E436" s="8" t="s">
        <v>179</v>
      </c>
      <c r="F436" s="9">
        <v>17</v>
      </c>
      <c r="G436" s="5">
        <f>TRUNC([1]단가대비표!O412,0)</f>
        <v>840</v>
      </c>
      <c r="H436" s="5">
        <f t="shared" si="33"/>
        <v>14280</v>
      </c>
      <c r="I436" s="5">
        <v>0</v>
      </c>
      <c r="J436" s="5">
        <f t="shared" si="34"/>
        <v>0</v>
      </c>
      <c r="K436" s="5">
        <v>0</v>
      </c>
      <c r="L436" s="5">
        <f t="shared" si="35"/>
        <v>0</v>
      </c>
      <c r="M436" s="5">
        <f t="shared" si="37"/>
        <v>840</v>
      </c>
      <c r="N436" s="5">
        <f t="shared" si="37"/>
        <v>14280</v>
      </c>
      <c r="O436" s="8" t="s">
        <v>20</v>
      </c>
      <c r="T436">
        <v>0</v>
      </c>
      <c r="AC436">
        <v>1</v>
      </c>
    </row>
    <row r="437" spans="1:29" ht="30" customHeight="1" x14ac:dyDescent="0.3">
      <c r="A437" s="8" t="s">
        <v>556</v>
      </c>
      <c r="B437" s="8" t="s">
        <v>708</v>
      </c>
      <c r="C437" s="8" t="s">
        <v>694</v>
      </c>
      <c r="D437" s="8" t="s">
        <v>709</v>
      </c>
      <c r="E437" s="8" t="s">
        <v>179</v>
      </c>
      <c r="F437" s="9">
        <v>8</v>
      </c>
      <c r="G437" s="5">
        <f>TRUNC([1]단가대비표!O413,0)</f>
        <v>840</v>
      </c>
      <c r="H437" s="5">
        <f t="shared" si="33"/>
        <v>6720</v>
      </c>
      <c r="I437" s="5">
        <v>0</v>
      </c>
      <c r="J437" s="5">
        <f t="shared" si="34"/>
        <v>0</v>
      </c>
      <c r="K437" s="5">
        <v>0</v>
      </c>
      <c r="L437" s="5">
        <f t="shared" si="35"/>
        <v>0</v>
      </c>
      <c r="M437" s="5">
        <f t="shared" si="37"/>
        <v>840</v>
      </c>
      <c r="N437" s="5">
        <f t="shared" si="37"/>
        <v>6720</v>
      </c>
      <c r="O437" s="8" t="s">
        <v>20</v>
      </c>
      <c r="T437">
        <v>0</v>
      </c>
      <c r="AC437">
        <v>1</v>
      </c>
    </row>
    <row r="438" spans="1:29" ht="30" customHeight="1" x14ac:dyDescent="0.3">
      <c r="A438" s="8" t="s">
        <v>556</v>
      </c>
      <c r="B438" s="8" t="s">
        <v>710</v>
      </c>
      <c r="C438" s="8" t="s">
        <v>694</v>
      </c>
      <c r="D438" s="8" t="s">
        <v>711</v>
      </c>
      <c r="E438" s="8" t="s">
        <v>179</v>
      </c>
      <c r="F438" s="9">
        <v>8</v>
      </c>
      <c r="G438" s="5">
        <f>TRUNC([1]단가대비표!O414,0)</f>
        <v>920</v>
      </c>
      <c r="H438" s="5">
        <f t="shared" si="33"/>
        <v>7360</v>
      </c>
      <c r="I438" s="5">
        <v>0</v>
      </c>
      <c r="J438" s="5">
        <f t="shared" si="34"/>
        <v>0</v>
      </c>
      <c r="K438" s="5">
        <v>0</v>
      </c>
      <c r="L438" s="5">
        <f t="shared" si="35"/>
        <v>0</v>
      </c>
      <c r="M438" s="5">
        <f t="shared" si="37"/>
        <v>920</v>
      </c>
      <c r="N438" s="5">
        <f t="shared" si="37"/>
        <v>7360</v>
      </c>
      <c r="O438" s="8" t="s">
        <v>20</v>
      </c>
      <c r="T438">
        <v>0</v>
      </c>
      <c r="AC438">
        <v>1</v>
      </c>
    </row>
    <row r="439" spans="1:29" ht="30" customHeight="1" x14ac:dyDescent="0.3">
      <c r="A439" s="8" t="s">
        <v>556</v>
      </c>
      <c r="B439" s="8" t="s">
        <v>712</v>
      </c>
      <c r="C439" s="8" t="s">
        <v>694</v>
      </c>
      <c r="D439" s="8" t="s">
        <v>713</v>
      </c>
      <c r="E439" s="8" t="s">
        <v>179</v>
      </c>
      <c r="F439" s="9">
        <v>2</v>
      </c>
      <c r="G439" s="5">
        <f>TRUNC([1]단가대비표!O415,0)</f>
        <v>1880</v>
      </c>
      <c r="H439" s="5">
        <f t="shared" si="33"/>
        <v>3760</v>
      </c>
      <c r="I439" s="5">
        <v>0</v>
      </c>
      <c r="J439" s="5">
        <f t="shared" si="34"/>
        <v>0</v>
      </c>
      <c r="K439" s="5">
        <v>0</v>
      </c>
      <c r="L439" s="5">
        <f t="shared" si="35"/>
        <v>0</v>
      </c>
      <c r="M439" s="5">
        <f t="shared" si="37"/>
        <v>1880</v>
      </c>
      <c r="N439" s="5">
        <f t="shared" si="37"/>
        <v>3760</v>
      </c>
      <c r="O439" s="8" t="s">
        <v>20</v>
      </c>
      <c r="T439">
        <v>0</v>
      </c>
      <c r="AC439">
        <v>1</v>
      </c>
    </row>
    <row r="440" spans="1:29" ht="30" customHeight="1" x14ac:dyDescent="0.3">
      <c r="A440" s="8" t="s">
        <v>556</v>
      </c>
      <c r="B440" s="8" t="s">
        <v>714</v>
      </c>
      <c r="C440" s="8" t="s">
        <v>694</v>
      </c>
      <c r="D440" s="8" t="s">
        <v>715</v>
      </c>
      <c r="E440" s="8" t="s">
        <v>179</v>
      </c>
      <c r="F440" s="9">
        <v>2</v>
      </c>
      <c r="G440" s="5">
        <f>TRUNC([1]단가대비표!O417,0)</f>
        <v>3600</v>
      </c>
      <c r="H440" s="5">
        <f t="shared" si="33"/>
        <v>7200</v>
      </c>
      <c r="I440" s="5">
        <v>0</v>
      </c>
      <c r="J440" s="5">
        <f t="shared" si="34"/>
        <v>0</v>
      </c>
      <c r="K440" s="5">
        <v>0</v>
      </c>
      <c r="L440" s="5">
        <f t="shared" si="35"/>
        <v>0</v>
      </c>
      <c r="M440" s="5">
        <f t="shared" si="37"/>
        <v>3600</v>
      </c>
      <c r="N440" s="5">
        <f t="shared" si="37"/>
        <v>7200</v>
      </c>
      <c r="O440" s="8" t="s">
        <v>20</v>
      </c>
      <c r="T440">
        <v>0</v>
      </c>
      <c r="AC440">
        <v>1</v>
      </c>
    </row>
    <row r="441" spans="1:29" ht="30" customHeight="1" x14ac:dyDescent="0.3">
      <c r="A441" s="8" t="s">
        <v>556</v>
      </c>
      <c r="B441" s="8" t="s">
        <v>529</v>
      </c>
      <c r="C441" s="8" t="s">
        <v>530</v>
      </c>
      <c r="D441" s="8" t="s">
        <v>531</v>
      </c>
      <c r="E441" s="8" t="s">
        <v>532</v>
      </c>
      <c r="F441" s="9">
        <v>7608</v>
      </c>
      <c r="G441" s="5">
        <f>TRUNC([1]단가대비표!O755,0)</f>
        <v>1159</v>
      </c>
      <c r="H441" s="5">
        <f t="shared" si="33"/>
        <v>8817672</v>
      </c>
      <c r="I441" s="5">
        <v>0</v>
      </c>
      <c r="J441" s="5">
        <f t="shared" si="34"/>
        <v>0</v>
      </c>
      <c r="K441" s="5">
        <v>0</v>
      </c>
      <c r="L441" s="5">
        <f t="shared" si="35"/>
        <v>0</v>
      </c>
      <c r="M441" s="5">
        <f t="shared" si="37"/>
        <v>1159</v>
      </c>
      <c r="N441" s="5">
        <f t="shared" si="37"/>
        <v>8817672</v>
      </c>
      <c r="O441" s="8" t="s">
        <v>20</v>
      </c>
      <c r="T441">
        <v>0</v>
      </c>
      <c r="AC441">
        <v>1</v>
      </c>
    </row>
    <row r="442" spans="1:29" ht="30" customHeight="1" x14ac:dyDescent="0.3">
      <c r="A442" s="8" t="s">
        <v>556</v>
      </c>
      <c r="B442" s="8" t="s">
        <v>533</v>
      </c>
      <c r="C442" s="8" t="s">
        <v>534</v>
      </c>
      <c r="D442" s="8" t="s">
        <v>535</v>
      </c>
      <c r="E442" s="8" t="s">
        <v>532</v>
      </c>
      <c r="F442" s="9">
        <v>5568</v>
      </c>
      <c r="G442" s="5">
        <f>TRUNC([1]단가대비표!O759,0)</f>
        <v>1159</v>
      </c>
      <c r="H442" s="5">
        <f t="shared" si="33"/>
        <v>6453312</v>
      </c>
      <c r="I442" s="5">
        <v>0</v>
      </c>
      <c r="J442" s="5">
        <f t="shared" si="34"/>
        <v>0</v>
      </c>
      <c r="K442" s="5">
        <v>0</v>
      </c>
      <c r="L442" s="5">
        <f t="shared" si="35"/>
        <v>0</v>
      </c>
      <c r="M442" s="5">
        <f t="shared" si="37"/>
        <v>1159</v>
      </c>
      <c r="N442" s="5">
        <f t="shared" si="37"/>
        <v>6453312</v>
      </c>
      <c r="O442" s="8" t="s">
        <v>20</v>
      </c>
      <c r="T442">
        <v>0</v>
      </c>
      <c r="AC442">
        <v>1</v>
      </c>
    </row>
    <row r="443" spans="1:29" ht="30" customHeight="1" x14ac:dyDescent="0.3">
      <c r="A443" s="8" t="s">
        <v>556</v>
      </c>
      <c r="B443" s="8" t="s">
        <v>536</v>
      </c>
      <c r="C443" s="8" t="s">
        <v>537</v>
      </c>
      <c r="D443" s="8" t="s">
        <v>538</v>
      </c>
      <c r="E443" s="8" t="s">
        <v>185</v>
      </c>
      <c r="F443" s="9">
        <v>774</v>
      </c>
      <c r="G443" s="5" t="e">
        <f>'[2].xls].xls].xls].xls].xls].xls].xls].'!E127</f>
        <v>#REF!</v>
      </c>
      <c r="H443" s="5" t="e">
        <f t="shared" si="33"/>
        <v>#REF!</v>
      </c>
      <c r="I443" s="5" t="e">
        <f>'[2].xls].xls].xls].xls].xls].xls].xls].'!F127</f>
        <v>#REF!</v>
      </c>
      <c r="J443" s="5" t="e">
        <f t="shared" si="34"/>
        <v>#REF!</v>
      </c>
      <c r="K443" s="5" t="e">
        <f>'[2].xls].xls].xls].xls].xls].xls].xls].'!G127</f>
        <v>#REF!</v>
      </c>
      <c r="L443" s="5" t="e">
        <f t="shared" si="35"/>
        <v>#REF!</v>
      </c>
      <c r="M443" s="5" t="e">
        <f t="shared" si="37"/>
        <v>#REF!</v>
      </c>
      <c r="N443" s="5" t="e">
        <f t="shared" si="37"/>
        <v>#REF!</v>
      </c>
      <c r="O443" s="8" t="s">
        <v>536</v>
      </c>
      <c r="T443">
        <v>0</v>
      </c>
      <c r="AC443">
        <v>1</v>
      </c>
    </row>
    <row r="444" spans="1:29" ht="30" customHeight="1" x14ac:dyDescent="0.3">
      <c r="A444" s="8" t="s">
        <v>556</v>
      </c>
      <c r="B444" s="8" t="s">
        <v>542</v>
      </c>
      <c r="C444" s="8" t="s">
        <v>543</v>
      </c>
      <c r="D444" s="8" t="s">
        <v>544</v>
      </c>
      <c r="E444" s="8" t="s">
        <v>545</v>
      </c>
      <c r="F444" s="9">
        <v>542</v>
      </c>
      <c r="G444" s="5" t="e">
        <f>'[2].xls].xls].xls].xls].xls].xls].xls].'!E130</f>
        <v>#REF!</v>
      </c>
      <c r="H444" s="5" t="e">
        <f t="shared" si="33"/>
        <v>#REF!</v>
      </c>
      <c r="I444" s="5" t="e">
        <f>'[2].xls].xls].xls].xls].xls].xls].xls].'!F130</f>
        <v>#REF!</v>
      </c>
      <c r="J444" s="5" t="e">
        <f t="shared" si="34"/>
        <v>#REF!</v>
      </c>
      <c r="K444" s="5" t="e">
        <f>'[2].xls].xls].xls].xls].xls].xls].xls].'!G130</f>
        <v>#REF!</v>
      </c>
      <c r="L444" s="5" t="e">
        <f t="shared" si="35"/>
        <v>#REF!</v>
      </c>
      <c r="M444" s="5" t="e">
        <f t="shared" si="37"/>
        <v>#REF!</v>
      </c>
      <c r="N444" s="5" t="e">
        <f t="shared" si="37"/>
        <v>#REF!</v>
      </c>
      <c r="O444" s="8" t="s">
        <v>542</v>
      </c>
      <c r="T444">
        <v>0</v>
      </c>
      <c r="AC444">
        <v>1</v>
      </c>
    </row>
    <row r="445" spans="1:29" ht="30" customHeight="1" x14ac:dyDescent="0.3">
      <c r="A445" s="8" t="s">
        <v>556</v>
      </c>
      <c r="B445" s="8" t="s">
        <v>546</v>
      </c>
      <c r="C445" s="8" t="s">
        <v>547</v>
      </c>
      <c r="D445" s="8" t="s">
        <v>548</v>
      </c>
      <c r="E445" s="8" t="s">
        <v>545</v>
      </c>
      <c r="F445" s="9">
        <v>542</v>
      </c>
      <c r="G445" s="5" t="e">
        <f>'[2].xls].xls].xls].xls].xls].xls].xls].'!E133</f>
        <v>#REF!</v>
      </c>
      <c r="H445" s="5" t="e">
        <f t="shared" si="33"/>
        <v>#REF!</v>
      </c>
      <c r="I445" s="5" t="e">
        <f>'[2].xls].xls].xls].xls].xls].xls].xls].'!F133</f>
        <v>#REF!</v>
      </c>
      <c r="J445" s="5" t="e">
        <f t="shared" si="34"/>
        <v>#REF!</v>
      </c>
      <c r="K445" s="5" t="e">
        <f>'[2].xls].xls].xls].xls].xls].xls].xls].'!G133</f>
        <v>#REF!</v>
      </c>
      <c r="L445" s="5" t="e">
        <f t="shared" si="35"/>
        <v>#REF!</v>
      </c>
      <c r="M445" s="5" t="e">
        <f t="shared" si="37"/>
        <v>#REF!</v>
      </c>
      <c r="N445" s="5" t="e">
        <f t="shared" si="37"/>
        <v>#REF!</v>
      </c>
      <c r="O445" s="8" t="s">
        <v>546</v>
      </c>
      <c r="T445">
        <v>0</v>
      </c>
      <c r="AC445">
        <v>1</v>
      </c>
    </row>
    <row r="446" spans="1:29" ht="30" customHeight="1" x14ac:dyDescent="0.3">
      <c r="A446" s="8" t="s">
        <v>556</v>
      </c>
      <c r="B446" s="8" t="s">
        <v>549</v>
      </c>
      <c r="C446" s="8" t="s">
        <v>550</v>
      </c>
      <c r="D446" s="8" t="s">
        <v>551</v>
      </c>
      <c r="E446" s="8" t="s">
        <v>552</v>
      </c>
      <c r="F446" s="9">
        <v>12.54</v>
      </c>
      <c r="G446" s="5" t="e">
        <f>'[2].xls].xls].xls].xls].xls].xls].xls].'!E128</f>
        <v>#REF!</v>
      </c>
      <c r="H446" s="5" t="e">
        <f t="shared" si="33"/>
        <v>#REF!</v>
      </c>
      <c r="I446" s="5" t="e">
        <f>'[2].xls].xls].xls].xls].xls].xls].xls].'!F128</f>
        <v>#REF!</v>
      </c>
      <c r="J446" s="5" t="e">
        <f t="shared" si="34"/>
        <v>#REF!</v>
      </c>
      <c r="K446" s="5" t="e">
        <f>'[2].xls].xls].xls].xls].xls].xls].xls].'!G128</f>
        <v>#REF!</v>
      </c>
      <c r="L446" s="5" t="e">
        <f t="shared" si="35"/>
        <v>#REF!</v>
      </c>
      <c r="M446" s="5" t="e">
        <f t="shared" si="37"/>
        <v>#REF!</v>
      </c>
      <c r="N446" s="5" t="e">
        <f t="shared" si="37"/>
        <v>#REF!</v>
      </c>
      <c r="O446" s="8" t="s">
        <v>549</v>
      </c>
      <c r="T446">
        <v>0</v>
      </c>
      <c r="AC446">
        <v>1</v>
      </c>
    </row>
    <row r="447" spans="1:29" ht="30" customHeight="1" x14ac:dyDescent="0.3">
      <c r="A447" s="8" t="s">
        <v>556</v>
      </c>
      <c r="B447" s="8" t="s">
        <v>152</v>
      </c>
      <c r="C447" s="8" t="s">
        <v>153</v>
      </c>
      <c r="D447" s="8" t="s">
        <v>154</v>
      </c>
      <c r="E447" s="8" t="s">
        <v>155</v>
      </c>
      <c r="F447" s="9">
        <v>229</v>
      </c>
      <c r="G447" s="5">
        <v>0</v>
      </c>
      <c r="H447" s="5">
        <f t="shared" si="33"/>
        <v>0</v>
      </c>
      <c r="I447" s="5">
        <f>TRUNC([1]단가대비표!O671,0)</f>
        <v>157068</v>
      </c>
      <c r="J447" s="5">
        <f t="shared" si="34"/>
        <v>35968572</v>
      </c>
      <c r="K447" s="5">
        <v>0</v>
      </c>
      <c r="L447" s="5">
        <f t="shared" si="35"/>
        <v>0</v>
      </c>
      <c r="M447" s="5">
        <f t="shared" si="37"/>
        <v>157068</v>
      </c>
      <c r="N447" s="5">
        <f t="shared" si="37"/>
        <v>35968572</v>
      </c>
      <c r="O447" s="8" t="s">
        <v>20</v>
      </c>
      <c r="T447">
        <v>0</v>
      </c>
      <c r="W447">
        <v>3</v>
      </c>
      <c r="AC447">
        <v>1</v>
      </c>
    </row>
    <row r="448" spans="1:29" ht="30" customHeight="1" x14ac:dyDescent="0.3">
      <c r="A448" s="8" t="s">
        <v>556</v>
      </c>
      <c r="B448" s="8" t="s">
        <v>553</v>
      </c>
      <c r="C448" s="8" t="s">
        <v>153</v>
      </c>
      <c r="D448" s="8" t="s">
        <v>554</v>
      </c>
      <c r="E448" s="8" t="s">
        <v>155</v>
      </c>
      <c r="F448" s="9">
        <v>464</v>
      </c>
      <c r="G448" s="5">
        <v>0</v>
      </c>
      <c r="H448" s="5">
        <f t="shared" si="33"/>
        <v>0</v>
      </c>
      <c r="I448" s="5">
        <f>TRUNC([1]단가대비표!O668,0)</f>
        <v>214118</v>
      </c>
      <c r="J448" s="5">
        <f t="shared" si="34"/>
        <v>99350752</v>
      </c>
      <c r="K448" s="5">
        <v>0</v>
      </c>
      <c r="L448" s="5">
        <f t="shared" si="35"/>
        <v>0</v>
      </c>
      <c r="M448" s="5">
        <f t="shared" si="37"/>
        <v>214118</v>
      </c>
      <c r="N448" s="5">
        <f t="shared" si="37"/>
        <v>99350752</v>
      </c>
      <c r="O448" s="8" t="s">
        <v>20</v>
      </c>
      <c r="T448">
        <v>0</v>
      </c>
      <c r="W448">
        <v>3</v>
      </c>
      <c r="AC448">
        <v>1</v>
      </c>
    </row>
    <row r="449" spans="1:29" ht="30" customHeight="1" x14ac:dyDescent="0.3">
      <c r="A449" s="8" t="s">
        <v>556</v>
      </c>
      <c r="B449" s="8" t="s">
        <v>158</v>
      </c>
      <c r="C449" s="8" t="s">
        <v>159</v>
      </c>
      <c r="D449" s="8" t="s">
        <v>160</v>
      </c>
      <c r="E449" s="8" t="s">
        <v>161</v>
      </c>
      <c r="F449" s="9">
        <v>1</v>
      </c>
      <c r="G449" s="5">
        <f>ROUNDDOWN(SUMIF(W265:W449, RIGHTB(B449, 1), J265:J449)*T449, 0)</f>
        <v>2706386</v>
      </c>
      <c r="H449" s="5">
        <f t="shared" si="33"/>
        <v>2706386</v>
      </c>
      <c r="I449" s="5">
        <v>0</v>
      </c>
      <c r="J449" s="5">
        <f t="shared" si="34"/>
        <v>0</v>
      </c>
      <c r="K449" s="5">
        <v>0</v>
      </c>
      <c r="L449" s="5">
        <f t="shared" si="35"/>
        <v>0</v>
      </c>
      <c r="M449" s="5">
        <f t="shared" si="37"/>
        <v>2706386</v>
      </c>
      <c r="N449" s="5">
        <f t="shared" si="37"/>
        <v>2706386</v>
      </c>
      <c r="O449" s="8" t="s">
        <v>20</v>
      </c>
      <c r="P449">
        <v>449</v>
      </c>
      <c r="R449">
        <v>1</v>
      </c>
      <c r="S449">
        <v>0</v>
      </c>
      <c r="T449">
        <v>0.02</v>
      </c>
      <c r="AC449">
        <v>1</v>
      </c>
    </row>
    <row r="450" spans="1:29" ht="30" customHeight="1" x14ac:dyDescent="0.3">
      <c r="A450" s="5"/>
      <c r="B450" s="5"/>
      <c r="C450" s="5"/>
      <c r="D450" s="5"/>
      <c r="E450" s="5"/>
      <c r="F450" s="9"/>
      <c r="G450" s="5"/>
      <c r="H450" s="5"/>
      <c r="I450" s="5"/>
      <c r="J450" s="5"/>
      <c r="K450" s="5"/>
      <c r="L450" s="5"/>
      <c r="M450" s="5"/>
      <c r="N450" s="5"/>
      <c r="O450" s="5"/>
    </row>
    <row r="451" spans="1:29" ht="30" customHeight="1" x14ac:dyDescent="0.3">
      <c r="A451" s="5"/>
      <c r="B451" s="5"/>
      <c r="C451" s="5"/>
      <c r="D451" s="5"/>
      <c r="E451" s="5"/>
      <c r="F451" s="9"/>
      <c r="G451" s="5"/>
      <c r="H451" s="5"/>
      <c r="I451" s="5"/>
      <c r="J451" s="5"/>
      <c r="K451" s="5"/>
      <c r="L451" s="5"/>
      <c r="M451" s="5"/>
      <c r="N451" s="5"/>
      <c r="O451" s="5"/>
    </row>
    <row r="452" spans="1:29" ht="30" customHeight="1" x14ac:dyDescent="0.3">
      <c r="A452" s="5"/>
      <c r="B452" s="5"/>
      <c r="C452" s="5"/>
      <c r="D452" s="5"/>
      <c r="E452" s="5"/>
      <c r="F452" s="9"/>
      <c r="G452" s="5"/>
      <c r="H452" s="5"/>
      <c r="I452" s="5"/>
      <c r="J452" s="5"/>
      <c r="K452" s="5"/>
      <c r="L452" s="5"/>
      <c r="M452" s="5"/>
      <c r="N452" s="5"/>
      <c r="O452" s="5"/>
    </row>
    <row r="453" spans="1:29" ht="30" customHeight="1" x14ac:dyDescent="0.3">
      <c r="A453" s="5"/>
      <c r="B453" s="5"/>
      <c r="C453" s="5"/>
      <c r="D453" s="5"/>
      <c r="E453" s="5"/>
      <c r="F453" s="9"/>
      <c r="G453" s="5"/>
      <c r="H453" s="5"/>
      <c r="I453" s="5"/>
      <c r="J453" s="5"/>
      <c r="K453" s="5"/>
      <c r="L453" s="5"/>
      <c r="M453" s="5"/>
      <c r="N453" s="5"/>
      <c r="O453" s="5"/>
    </row>
    <row r="454" spans="1:29" ht="30" customHeight="1" x14ac:dyDescent="0.3">
      <c r="A454" s="5"/>
      <c r="B454" s="5"/>
      <c r="C454" s="5"/>
      <c r="D454" s="5"/>
      <c r="E454" s="5"/>
      <c r="F454" s="9"/>
      <c r="G454" s="5"/>
      <c r="H454" s="5"/>
      <c r="I454" s="5"/>
      <c r="J454" s="5"/>
      <c r="K454" s="5"/>
      <c r="L454" s="5"/>
      <c r="M454" s="5"/>
      <c r="N454" s="5"/>
      <c r="O454" s="5"/>
    </row>
    <row r="455" spans="1:29" ht="30" customHeight="1" x14ac:dyDescent="0.3">
      <c r="A455" s="5"/>
      <c r="B455" s="5"/>
      <c r="C455" s="5"/>
      <c r="D455" s="5"/>
      <c r="E455" s="5"/>
      <c r="F455" s="9"/>
      <c r="G455" s="5"/>
      <c r="H455" s="5"/>
      <c r="I455" s="5"/>
      <c r="J455" s="5"/>
      <c r="K455" s="5"/>
      <c r="L455" s="5"/>
      <c r="M455" s="5"/>
      <c r="N455" s="5"/>
      <c r="O455" s="5"/>
    </row>
    <row r="456" spans="1:29" ht="30" customHeight="1" x14ac:dyDescent="0.3">
      <c r="A456" s="5"/>
      <c r="B456" s="5"/>
      <c r="C456" s="5"/>
      <c r="D456" s="5"/>
      <c r="E456" s="5"/>
      <c r="F456" s="9"/>
      <c r="G456" s="5"/>
      <c r="H456" s="5"/>
      <c r="I456" s="5"/>
      <c r="J456" s="5"/>
      <c r="K456" s="5"/>
      <c r="L456" s="5"/>
      <c r="M456" s="5"/>
      <c r="N456" s="5"/>
      <c r="O456" s="5"/>
    </row>
    <row r="457" spans="1:29" ht="30" customHeight="1" x14ac:dyDescent="0.3">
      <c r="A457" s="5"/>
      <c r="B457" s="5"/>
      <c r="C457" s="5"/>
      <c r="D457" s="5"/>
      <c r="E457" s="5"/>
      <c r="F457" s="9"/>
      <c r="G457" s="5"/>
      <c r="H457" s="5"/>
      <c r="I457" s="5"/>
      <c r="J457" s="5"/>
      <c r="K457" s="5"/>
      <c r="L457" s="5"/>
      <c r="M457" s="5"/>
      <c r="N457" s="5"/>
      <c r="O457" s="5"/>
    </row>
    <row r="458" spans="1:29" ht="30" customHeight="1" x14ac:dyDescent="0.3">
      <c r="A458" s="5"/>
      <c r="B458" s="5"/>
      <c r="C458" s="5"/>
      <c r="D458" s="5"/>
      <c r="E458" s="5"/>
      <c r="F458" s="9"/>
      <c r="G458" s="5"/>
      <c r="H458" s="5"/>
      <c r="I458" s="5"/>
      <c r="J458" s="5"/>
      <c r="K458" s="5"/>
      <c r="L458" s="5"/>
      <c r="M458" s="5"/>
      <c r="N458" s="5"/>
      <c r="O458" s="5"/>
    </row>
    <row r="459" spans="1:29" ht="30" customHeight="1" x14ac:dyDescent="0.3">
      <c r="A459" s="5"/>
      <c r="B459" s="5"/>
      <c r="C459" s="5"/>
      <c r="D459" s="5"/>
      <c r="E459" s="5"/>
      <c r="F459" s="9"/>
      <c r="G459" s="5"/>
      <c r="H459" s="5"/>
      <c r="I459" s="5"/>
      <c r="J459" s="5"/>
      <c r="K459" s="5"/>
      <c r="L459" s="5"/>
      <c r="M459" s="5"/>
      <c r="N459" s="5"/>
      <c r="O459" s="5"/>
    </row>
    <row r="460" spans="1:29" ht="30" customHeight="1" x14ac:dyDescent="0.3">
      <c r="A460" s="5"/>
      <c r="B460" s="5"/>
      <c r="C460" s="5"/>
      <c r="D460" s="5"/>
      <c r="E460" s="5"/>
      <c r="F460" s="9"/>
      <c r="G460" s="5"/>
      <c r="H460" s="5"/>
      <c r="I460" s="5"/>
      <c r="J460" s="5"/>
      <c r="K460" s="5"/>
      <c r="L460" s="5"/>
      <c r="M460" s="5"/>
      <c r="N460" s="5"/>
      <c r="O460" s="5"/>
    </row>
    <row r="461" spans="1:29" ht="30" customHeight="1" x14ac:dyDescent="0.3">
      <c r="A461" s="5"/>
      <c r="B461" s="5"/>
      <c r="C461" s="5"/>
      <c r="D461" s="5"/>
      <c r="E461" s="5"/>
      <c r="F461" s="9"/>
      <c r="G461" s="5"/>
      <c r="H461" s="5"/>
      <c r="I461" s="5"/>
      <c r="J461" s="5"/>
      <c r="K461" s="5"/>
      <c r="L461" s="5"/>
      <c r="M461" s="5"/>
      <c r="N461" s="5"/>
      <c r="O461" s="5"/>
    </row>
    <row r="462" spans="1:29" ht="30" customHeight="1" x14ac:dyDescent="0.3">
      <c r="A462" s="5"/>
      <c r="B462" s="5"/>
      <c r="C462" s="5"/>
      <c r="D462" s="5"/>
      <c r="E462" s="5"/>
      <c r="F462" s="9"/>
      <c r="G462" s="5"/>
      <c r="H462" s="5"/>
      <c r="I462" s="5"/>
      <c r="J462" s="5"/>
      <c r="K462" s="5"/>
      <c r="L462" s="5"/>
      <c r="M462" s="5"/>
      <c r="N462" s="5"/>
      <c r="O462" s="5"/>
    </row>
    <row r="463" spans="1:29" ht="30" customHeight="1" x14ac:dyDescent="0.3">
      <c r="A463" s="5"/>
      <c r="B463" s="5"/>
      <c r="C463" s="5"/>
      <c r="D463" s="5"/>
      <c r="E463" s="5"/>
      <c r="F463" s="9"/>
      <c r="G463" s="5"/>
      <c r="H463" s="5"/>
      <c r="I463" s="5"/>
      <c r="J463" s="5"/>
      <c r="K463" s="5"/>
      <c r="L463" s="5"/>
      <c r="M463" s="5"/>
      <c r="N463" s="5"/>
      <c r="O463" s="5"/>
    </row>
    <row r="464" spans="1:29" ht="30" customHeight="1" x14ac:dyDescent="0.3">
      <c r="A464" s="5"/>
      <c r="B464" s="5"/>
      <c r="C464" s="5"/>
      <c r="D464" s="5"/>
      <c r="E464" s="5"/>
      <c r="F464" s="9"/>
      <c r="G464" s="5"/>
      <c r="H464" s="5"/>
      <c r="I464" s="5"/>
      <c r="J464" s="5"/>
      <c r="K464" s="5"/>
      <c r="L464" s="5"/>
      <c r="M464" s="5"/>
      <c r="N464" s="5"/>
      <c r="O464" s="5"/>
    </row>
    <row r="465" spans="1:29" ht="30" customHeight="1" x14ac:dyDescent="0.3">
      <c r="A465" s="5"/>
      <c r="B465" s="5"/>
      <c r="C465" s="5"/>
      <c r="D465" s="5"/>
      <c r="E465" s="5"/>
      <c r="F465" s="9"/>
      <c r="G465" s="5"/>
      <c r="H465" s="5"/>
      <c r="I465" s="5"/>
      <c r="J465" s="5"/>
      <c r="K465" s="5"/>
      <c r="L465" s="5"/>
      <c r="M465" s="5"/>
      <c r="N465" s="5"/>
      <c r="O465" s="5"/>
    </row>
    <row r="466" spans="1:29" ht="30" customHeight="1" x14ac:dyDescent="0.3">
      <c r="A466" s="5"/>
      <c r="B466" s="5"/>
      <c r="C466" s="5"/>
      <c r="D466" s="5"/>
      <c r="E466" s="5"/>
      <c r="F466" s="9"/>
      <c r="G466" s="5"/>
      <c r="H466" s="5"/>
      <c r="I466" s="5"/>
      <c r="J466" s="5"/>
      <c r="K466" s="5"/>
      <c r="L466" s="5"/>
      <c r="M466" s="5"/>
      <c r="N466" s="5"/>
      <c r="O466" s="5"/>
    </row>
    <row r="467" spans="1:29" ht="30" customHeight="1" x14ac:dyDescent="0.3">
      <c r="A467" s="5"/>
      <c r="B467" s="5"/>
      <c r="C467" s="5"/>
      <c r="D467" s="5"/>
      <c r="E467" s="5"/>
      <c r="F467" s="9"/>
      <c r="G467" s="5"/>
      <c r="H467" s="5"/>
      <c r="I467" s="5"/>
      <c r="J467" s="5"/>
      <c r="K467" s="5"/>
      <c r="L467" s="5"/>
      <c r="M467" s="5"/>
      <c r="N467" s="5"/>
      <c r="O467" s="5"/>
    </row>
    <row r="468" spans="1:29" ht="30" customHeight="1" x14ac:dyDescent="0.3">
      <c r="A468" s="5"/>
      <c r="B468" s="5"/>
      <c r="C468" s="5"/>
      <c r="D468" s="5"/>
      <c r="E468" s="5"/>
      <c r="F468" s="9"/>
      <c r="G468" s="5"/>
      <c r="H468" s="5"/>
      <c r="I468" s="5"/>
      <c r="J468" s="5"/>
      <c r="K468" s="5"/>
      <c r="L468" s="5"/>
      <c r="M468" s="5"/>
      <c r="N468" s="5"/>
      <c r="O468" s="5"/>
    </row>
    <row r="469" spans="1:29" ht="30" customHeight="1" x14ac:dyDescent="0.3">
      <c r="A469" s="5"/>
      <c r="B469" s="5"/>
      <c r="C469" s="5"/>
      <c r="D469" s="5"/>
      <c r="E469" s="5"/>
      <c r="F469" s="9"/>
      <c r="G469" s="5"/>
      <c r="H469" s="5"/>
      <c r="I469" s="5"/>
      <c r="J469" s="5"/>
      <c r="K469" s="5"/>
      <c r="L469" s="5"/>
      <c r="M469" s="5"/>
      <c r="N469" s="5"/>
      <c r="O469" s="5"/>
    </row>
    <row r="470" spans="1:29" ht="30" customHeight="1" x14ac:dyDescent="0.3">
      <c r="A470" s="5"/>
      <c r="B470" s="5"/>
      <c r="C470" s="5"/>
      <c r="D470" s="5"/>
      <c r="E470" s="5"/>
      <c r="F470" s="9"/>
      <c r="G470" s="5"/>
      <c r="H470" s="5"/>
      <c r="I470" s="5"/>
      <c r="J470" s="5"/>
      <c r="K470" s="5"/>
      <c r="L470" s="5"/>
      <c r="M470" s="5"/>
      <c r="N470" s="5"/>
      <c r="O470" s="5"/>
    </row>
    <row r="471" spans="1:29" ht="30" customHeight="1" x14ac:dyDescent="0.3">
      <c r="A471" s="5"/>
      <c r="B471" s="5"/>
      <c r="C471" s="5" t="s">
        <v>162</v>
      </c>
      <c r="D471" s="5"/>
      <c r="E471" s="5"/>
      <c r="F471" s="9"/>
      <c r="G471" s="5"/>
      <c r="H471" s="5" t="e">
        <f>SUMIF(AC265:AC470, 1, H265:H470)</f>
        <v>#REF!</v>
      </c>
      <c r="I471" s="5"/>
      <c r="J471" s="5" t="e">
        <f>SUMIF(AC265:AC470, 1, J265:J470)</f>
        <v>#REF!</v>
      </c>
      <c r="K471" s="5"/>
      <c r="L471" s="5" t="e">
        <f>SUMIF(AC265:AC470, 1, L265:L470)</f>
        <v>#REF!</v>
      </c>
      <c r="M471" s="5"/>
      <c r="N471" s="5" t="e">
        <f>H471+J471+L471</f>
        <v>#REF!</v>
      </c>
      <c r="O471" s="5"/>
    </row>
    <row r="472" spans="1:29" ht="30" customHeight="1" x14ac:dyDescent="0.3">
      <c r="A472" s="5"/>
      <c r="B472" s="5"/>
      <c r="C472" s="10" t="s">
        <v>716</v>
      </c>
      <c r="D472" s="10"/>
      <c r="E472" s="10"/>
      <c r="F472" s="11"/>
      <c r="G472" s="10"/>
      <c r="H472" s="10"/>
      <c r="I472" s="10"/>
      <c r="J472" s="10"/>
      <c r="K472" s="10"/>
      <c r="L472" s="10"/>
      <c r="M472" s="10"/>
      <c r="N472" s="10"/>
      <c r="O472" s="10"/>
    </row>
    <row r="473" spans="1:29" ht="30" customHeight="1" x14ac:dyDescent="0.3">
      <c r="A473" s="8" t="s">
        <v>717</v>
      </c>
      <c r="B473" s="8" t="s">
        <v>718</v>
      </c>
      <c r="C473" s="8" t="s">
        <v>719</v>
      </c>
      <c r="D473" s="8" t="s">
        <v>720</v>
      </c>
      <c r="E473" s="8" t="s">
        <v>721</v>
      </c>
      <c r="F473" s="9">
        <v>67</v>
      </c>
      <c r="G473" s="5">
        <f>TRUNC([1]단가대비표!O36,0)</f>
        <v>198900</v>
      </c>
      <c r="H473" s="5">
        <f t="shared" ref="H473:H492" si="38">TRUNC(F473*G473,0)</f>
        <v>13326300</v>
      </c>
      <c r="I473" s="5">
        <v>0</v>
      </c>
      <c r="J473" s="5">
        <f t="shared" ref="J473:J492" si="39">TRUNC(F473*I473,0)</f>
        <v>0</v>
      </c>
      <c r="K473" s="5">
        <v>0</v>
      </c>
      <c r="L473" s="5">
        <f t="shared" ref="L473:L492" si="40">TRUNC(F473*K473,0)</f>
        <v>0</v>
      </c>
      <c r="M473" s="5">
        <f t="shared" ref="M473:N492" si="41">G473+I473+K473</f>
        <v>198900</v>
      </c>
      <c r="N473" s="5">
        <f t="shared" si="41"/>
        <v>13326300</v>
      </c>
      <c r="O473" s="8" t="s">
        <v>20</v>
      </c>
      <c r="T473">
        <v>0</v>
      </c>
      <c r="AC473">
        <v>1</v>
      </c>
    </row>
    <row r="474" spans="1:29" ht="30" customHeight="1" x14ac:dyDescent="0.3">
      <c r="A474" s="8" t="s">
        <v>717</v>
      </c>
      <c r="B474" s="8" t="s">
        <v>722</v>
      </c>
      <c r="C474" s="8" t="s">
        <v>723</v>
      </c>
      <c r="D474" s="8" t="s">
        <v>724</v>
      </c>
      <c r="E474" s="8" t="s">
        <v>721</v>
      </c>
      <c r="F474" s="9">
        <v>38</v>
      </c>
      <c r="G474" s="5">
        <f>TRUNC([1]단가대비표!O38,0)</f>
        <v>158100</v>
      </c>
      <c r="H474" s="5">
        <f t="shared" si="38"/>
        <v>6007800</v>
      </c>
      <c r="I474" s="5">
        <v>0</v>
      </c>
      <c r="J474" s="5">
        <f t="shared" si="39"/>
        <v>0</v>
      </c>
      <c r="K474" s="5">
        <v>0</v>
      </c>
      <c r="L474" s="5">
        <f t="shared" si="40"/>
        <v>0</v>
      </c>
      <c r="M474" s="5">
        <f t="shared" si="41"/>
        <v>158100</v>
      </c>
      <c r="N474" s="5">
        <f t="shared" si="41"/>
        <v>6007800</v>
      </c>
      <c r="O474" s="8" t="s">
        <v>20</v>
      </c>
      <c r="T474">
        <v>0</v>
      </c>
      <c r="AC474">
        <v>1</v>
      </c>
    </row>
    <row r="475" spans="1:29" ht="30" customHeight="1" x14ac:dyDescent="0.3">
      <c r="A475" s="8" t="s">
        <v>717</v>
      </c>
      <c r="B475" s="8" t="s">
        <v>725</v>
      </c>
      <c r="C475" s="8" t="s">
        <v>726</v>
      </c>
      <c r="D475" s="8" t="s">
        <v>724</v>
      </c>
      <c r="E475" s="8" t="s">
        <v>721</v>
      </c>
      <c r="F475" s="9">
        <v>10</v>
      </c>
      <c r="G475" s="5">
        <f>TRUNC([1]단가대비표!O39,0)</f>
        <v>322000</v>
      </c>
      <c r="H475" s="5">
        <f t="shared" si="38"/>
        <v>3220000</v>
      </c>
      <c r="I475" s="5">
        <v>0</v>
      </c>
      <c r="J475" s="5">
        <f t="shared" si="39"/>
        <v>0</v>
      </c>
      <c r="K475" s="5">
        <v>0</v>
      </c>
      <c r="L475" s="5">
        <f t="shared" si="40"/>
        <v>0</v>
      </c>
      <c r="M475" s="5">
        <f t="shared" si="41"/>
        <v>322000</v>
      </c>
      <c r="N475" s="5">
        <f t="shared" si="41"/>
        <v>3220000</v>
      </c>
      <c r="O475" s="8" t="s">
        <v>20</v>
      </c>
      <c r="T475">
        <v>0</v>
      </c>
      <c r="AC475">
        <v>1</v>
      </c>
    </row>
    <row r="476" spans="1:29" ht="30" customHeight="1" x14ac:dyDescent="0.3">
      <c r="A476" s="8" t="s">
        <v>717</v>
      </c>
      <c r="B476" s="8" t="s">
        <v>727</v>
      </c>
      <c r="C476" s="8" t="s">
        <v>728</v>
      </c>
      <c r="D476" s="8" t="s">
        <v>729</v>
      </c>
      <c r="E476" s="8" t="s">
        <v>721</v>
      </c>
      <c r="F476" s="9">
        <v>23</v>
      </c>
      <c r="G476" s="5">
        <f>TRUNC([1]단가대비표!O40,0)</f>
        <v>316200</v>
      </c>
      <c r="H476" s="5">
        <f t="shared" si="38"/>
        <v>7272600</v>
      </c>
      <c r="I476" s="5">
        <v>0</v>
      </c>
      <c r="J476" s="5">
        <f t="shared" si="39"/>
        <v>0</v>
      </c>
      <c r="K476" s="5">
        <v>0</v>
      </c>
      <c r="L476" s="5">
        <f t="shared" si="40"/>
        <v>0</v>
      </c>
      <c r="M476" s="5">
        <f t="shared" si="41"/>
        <v>316200</v>
      </c>
      <c r="N476" s="5">
        <f t="shared" si="41"/>
        <v>7272600</v>
      </c>
      <c r="O476" s="8" t="s">
        <v>20</v>
      </c>
      <c r="T476">
        <v>0</v>
      </c>
      <c r="AC476">
        <v>1</v>
      </c>
    </row>
    <row r="477" spans="1:29" ht="30" customHeight="1" x14ac:dyDescent="0.3">
      <c r="A477" s="8" t="s">
        <v>717</v>
      </c>
      <c r="B477" s="8" t="s">
        <v>730</v>
      </c>
      <c r="C477" s="8" t="s">
        <v>731</v>
      </c>
      <c r="D477" s="8" t="s">
        <v>732</v>
      </c>
      <c r="E477" s="8" t="s">
        <v>721</v>
      </c>
      <c r="F477" s="9">
        <v>10</v>
      </c>
      <c r="G477" s="5">
        <f>TRUNC([1]단가대비표!O32,0)</f>
        <v>254000</v>
      </c>
      <c r="H477" s="5">
        <f t="shared" si="38"/>
        <v>2540000</v>
      </c>
      <c r="I477" s="5">
        <v>0</v>
      </c>
      <c r="J477" s="5">
        <f t="shared" si="39"/>
        <v>0</v>
      </c>
      <c r="K477" s="5">
        <v>0</v>
      </c>
      <c r="L477" s="5">
        <f t="shared" si="40"/>
        <v>0</v>
      </c>
      <c r="M477" s="5">
        <f t="shared" si="41"/>
        <v>254000</v>
      </c>
      <c r="N477" s="5">
        <f t="shared" si="41"/>
        <v>2540000</v>
      </c>
      <c r="O477" s="8" t="s">
        <v>20</v>
      </c>
      <c r="T477">
        <v>0</v>
      </c>
      <c r="AC477">
        <v>1</v>
      </c>
    </row>
    <row r="478" spans="1:29" ht="30" customHeight="1" x14ac:dyDescent="0.3">
      <c r="A478" s="8" t="s">
        <v>717</v>
      </c>
      <c r="B478" s="8" t="s">
        <v>733</v>
      </c>
      <c r="C478" s="8" t="s">
        <v>734</v>
      </c>
      <c r="D478" s="8" t="s">
        <v>735</v>
      </c>
      <c r="E478" s="8" t="s">
        <v>721</v>
      </c>
      <c r="F478" s="9">
        <v>98</v>
      </c>
      <c r="G478" s="5">
        <f>TRUNC([1]단가대비표!O33,0)</f>
        <v>178500</v>
      </c>
      <c r="H478" s="5">
        <f t="shared" si="38"/>
        <v>17493000</v>
      </c>
      <c r="I478" s="5">
        <v>0</v>
      </c>
      <c r="J478" s="5">
        <f t="shared" si="39"/>
        <v>0</v>
      </c>
      <c r="K478" s="5">
        <v>0</v>
      </c>
      <c r="L478" s="5">
        <f t="shared" si="40"/>
        <v>0</v>
      </c>
      <c r="M478" s="5">
        <f t="shared" si="41"/>
        <v>178500</v>
      </c>
      <c r="N478" s="5">
        <f t="shared" si="41"/>
        <v>17493000</v>
      </c>
      <c r="O478" s="8" t="s">
        <v>20</v>
      </c>
      <c r="T478">
        <v>0</v>
      </c>
      <c r="AC478">
        <v>1</v>
      </c>
    </row>
    <row r="479" spans="1:29" ht="30" customHeight="1" x14ac:dyDescent="0.3">
      <c r="A479" s="8" t="s">
        <v>717</v>
      </c>
      <c r="B479" s="8" t="s">
        <v>736</v>
      </c>
      <c r="C479" s="8" t="s">
        <v>737</v>
      </c>
      <c r="D479" s="8" t="s">
        <v>738</v>
      </c>
      <c r="E479" s="8" t="s">
        <v>721</v>
      </c>
      <c r="F479" s="9">
        <v>11</v>
      </c>
      <c r="G479" s="5">
        <f>TRUNC([1]단가대비표!O41,0)</f>
        <v>123250</v>
      </c>
      <c r="H479" s="5">
        <f t="shared" si="38"/>
        <v>1355750</v>
      </c>
      <c r="I479" s="5">
        <v>0</v>
      </c>
      <c r="J479" s="5">
        <f t="shared" si="39"/>
        <v>0</v>
      </c>
      <c r="K479" s="5">
        <v>0</v>
      </c>
      <c r="L479" s="5">
        <f t="shared" si="40"/>
        <v>0</v>
      </c>
      <c r="M479" s="5">
        <f t="shared" si="41"/>
        <v>123250</v>
      </c>
      <c r="N479" s="5">
        <f t="shared" si="41"/>
        <v>1355750</v>
      </c>
      <c r="O479" s="8" t="s">
        <v>20</v>
      </c>
      <c r="T479">
        <v>0</v>
      </c>
      <c r="AC479">
        <v>1</v>
      </c>
    </row>
    <row r="480" spans="1:29" ht="30" customHeight="1" x14ac:dyDescent="0.3">
      <c r="A480" s="8" t="s">
        <v>717</v>
      </c>
      <c r="B480" s="8" t="s">
        <v>739</v>
      </c>
      <c r="C480" s="8" t="s">
        <v>740</v>
      </c>
      <c r="D480" s="8" t="s">
        <v>20</v>
      </c>
      <c r="E480" s="8" t="s">
        <v>179</v>
      </c>
      <c r="F480" s="9">
        <v>5</v>
      </c>
      <c r="G480" s="5">
        <f>TRUNC([1]단가대비표!O42,0)</f>
        <v>57960</v>
      </c>
      <c r="H480" s="5">
        <f t="shared" si="38"/>
        <v>289800</v>
      </c>
      <c r="I480" s="5">
        <v>0</v>
      </c>
      <c r="J480" s="5">
        <f t="shared" si="39"/>
        <v>0</v>
      </c>
      <c r="K480" s="5">
        <v>0</v>
      </c>
      <c r="L480" s="5">
        <f t="shared" si="40"/>
        <v>0</v>
      </c>
      <c r="M480" s="5">
        <f t="shared" si="41"/>
        <v>57960</v>
      </c>
      <c r="N480" s="5">
        <f t="shared" si="41"/>
        <v>289800</v>
      </c>
      <c r="O480" s="8" t="s">
        <v>20</v>
      </c>
      <c r="T480">
        <v>0</v>
      </c>
      <c r="AC480">
        <v>1</v>
      </c>
    </row>
    <row r="481" spans="1:29" ht="30" customHeight="1" x14ac:dyDescent="0.3">
      <c r="A481" s="8" t="s">
        <v>717</v>
      </c>
      <c r="B481" s="8" t="s">
        <v>741</v>
      </c>
      <c r="C481" s="8" t="s">
        <v>742</v>
      </c>
      <c r="D481" s="8" t="s">
        <v>20</v>
      </c>
      <c r="E481" s="8" t="s">
        <v>179</v>
      </c>
      <c r="F481" s="9">
        <v>104</v>
      </c>
      <c r="G481" s="5">
        <f>TRUNC([1]단가대비표!O44,0)</f>
        <v>160700</v>
      </c>
      <c r="H481" s="5">
        <f t="shared" si="38"/>
        <v>16712800</v>
      </c>
      <c r="I481" s="5">
        <v>0</v>
      </c>
      <c r="J481" s="5">
        <f t="shared" si="39"/>
        <v>0</v>
      </c>
      <c r="K481" s="5">
        <v>0</v>
      </c>
      <c r="L481" s="5">
        <f t="shared" si="40"/>
        <v>0</v>
      </c>
      <c r="M481" s="5">
        <f t="shared" si="41"/>
        <v>160700</v>
      </c>
      <c r="N481" s="5">
        <f t="shared" si="41"/>
        <v>16712800</v>
      </c>
      <c r="O481" s="8" t="s">
        <v>20</v>
      </c>
      <c r="T481">
        <v>0</v>
      </c>
      <c r="AC481">
        <v>1</v>
      </c>
    </row>
    <row r="482" spans="1:29" ht="30" customHeight="1" x14ac:dyDescent="0.3">
      <c r="A482" s="8" t="s">
        <v>717</v>
      </c>
      <c r="B482" s="8" t="s">
        <v>743</v>
      </c>
      <c r="C482" s="8" t="s">
        <v>744</v>
      </c>
      <c r="D482" s="8" t="s">
        <v>745</v>
      </c>
      <c r="E482" s="8" t="s">
        <v>179</v>
      </c>
      <c r="F482" s="9">
        <v>5</v>
      </c>
      <c r="G482" s="5">
        <f>TRUNC([1]단가대비표!O43,0)</f>
        <v>11900</v>
      </c>
      <c r="H482" s="5">
        <f t="shared" si="38"/>
        <v>59500</v>
      </c>
      <c r="I482" s="5">
        <v>0</v>
      </c>
      <c r="J482" s="5">
        <f t="shared" si="39"/>
        <v>0</v>
      </c>
      <c r="K482" s="5">
        <v>0</v>
      </c>
      <c r="L482" s="5">
        <f t="shared" si="40"/>
        <v>0</v>
      </c>
      <c r="M482" s="5">
        <f t="shared" si="41"/>
        <v>11900</v>
      </c>
      <c r="N482" s="5">
        <f t="shared" si="41"/>
        <v>59500</v>
      </c>
      <c r="O482" s="8" t="s">
        <v>20</v>
      </c>
      <c r="T482">
        <v>0</v>
      </c>
      <c r="AC482">
        <v>1</v>
      </c>
    </row>
    <row r="483" spans="1:29" ht="30" customHeight="1" x14ac:dyDescent="0.3">
      <c r="A483" s="8" t="s">
        <v>717</v>
      </c>
      <c r="B483" s="8" t="s">
        <v>746</v>
      </c>
      <c r="C483" s="8" t="s">
        <v>747</v>
      </c>
      <c r="D483" s="8" t="s">
        <v>20</v>
      </c>
      <c r="E483" s="8" t="s">
        <v>179</v>
      </c>
      <c r="F483" s="9">
        <v>12</v>
      </c>
      <c r="G483" s="5">
        <f>TRUNC([1]단가대비표!O45,0)</f>
        <v>25500</v>
      </c>
      <c r="H483" s="5">
        <f t="shared" si="38"/>
        <v>306000</v>
      </c>
      <c r="I483" s="5">
        <v>0</v>
      </c>
      <c r="J483" s="5">
        <f t="shared" si="39"/>
        <v>0</v>
      </c>
      <c r="K483" s="5">
        <v>0</v>
      </c>
      <c r="L483" s="5">
        <f t="shared" si="40"/>
        <v>0</v>
      </c>
      <c r="M483" s="5">
        <f t="shared" si="41"/>
        <v>25500</v>
      </c>
      <c r="N483" s="5">
        <f t="shared" si="41"/>
        <v>306000</v>
      </c>
      <c r="O483" s="8" t="s">
        <v>20</v>
      </c>
      <c r="T483">
        <v>0</v>
      </c>
      <c r="AC483">
        <v>1</v>
      </c>
    </row>
    <row r="484" spans="1:29" ht="30" customHeight="1" x14ac:dyDescent="0.3">
      <c r="A484" s="8" t="s">
        <v>717</v>
      </c>
      <c r="B484" s="8" t="s">
        <v>748</v>
      </c>
      <c r="C484" s="8" t="s">
        <v>749</v>
      </c>
      <c r="D484" s="8" t="s">
        <v>20</v>
      </c>
      <c r="E484" s="8" t="s">
        <v>179</v>
      </c>
      <c r="F484" s="9">
        <v>22</v>
      </c>
      <c r="G484" s="5">
        <f>TRUNC([1]단가대비표!O692,0)</f>
        <v>289000</v>
      </c>
      <c r="H484" s="5">
        <f t="shared" si="38"/>
        <v>6358000</v>
      </c>
      <c r="I484" s="5">
        <v>0</v>
      </c>
      <c r="J484" s="5">
        <f t="shared" si="39"/>
        <v>0</v>
      </c>
      <c r="K484" s="5">
        <v>0</v>
      </c>
      <c r="L484" s="5">
        <f t="shared" si="40"/>
        <v>0</v>
      </c>
      <c r="M484" s="5">
        <f t="shared" si="41"/>
        <v>289000</v>
      </c>
      <c r="N484" s="5">
        <f t="shared" si="41"/>
        <v>6358000</v>
      </c>
      <c r="O484" s="8" t="s">
        <v>20</v>
      </c>
      <c r="T484">
        <v>0</v>
      </c>
      <c r="AC484">
        <v>1</v>
      </c>
    </row>
    <row r="485" spans="1:29" ht="30" customHeight="1" x14ac:dyDescent="0.3">
      <c r="A485" s="8" t="s">
        <v>717</v>
      </c>
      <c r="B485" s="8" t="s">
        <v>750</v>
      </c>
      <c r="C485" s="8" t="s">
        <v>751</v>
      </c>
      <c r="D485" s="8" t="s">
        <v>20</v>
      </c>
      <c r="E485" s="8" t="s">
        <v>179</v>
      </c>
      <c r="F485" s="9">
        <v>92</v>
      </c>
      <c r="G485" s="5">
        <f>TRUNC([1]단가대비표!O34,0)</f>
        <v>8075</v>
      </c>
      <c r="H485" s="5">
        <f t="shared" si="38"/>
        <v>742900</v>
      </c>
      <c r="I485" s="5">
        <v>0</v>
      </c>
      <c r="J485" s="5">
        <f t="shared" si="39"/>
        <v>0</v>
      </c>
      <c r="K485" s="5">
        <v>0</v>
      </c>
      <c r="L485" s="5">
        <f t="shared" si="40"/>
        <v>0</v>
      </c>
      <c r="M485" s="5">
        <f t="shared" si="41"/>
        <v>8075</v>
      </c>
      <c r="N485" s="5">
        <f t="shared" si="41"/>
        <v>742900</v>
      </c>
      <c r="O485" s="8" t="s">
        <v>20</v>
      </c>
      <c r="T485">
        <v>0</v>
      </c>
      <c r="AC485">
        <v>1</v>
      </c>
    </row>
    <row r="486" spans="1:29" ht="30" customHeight="1" x14ac:dyDescent="0.3">
      <c r="A486" s="8" t="s">
        <v>717</v>
      </c>
      <c r="B486" s="8" t="s">
        <v>752</v>
      </c>
      <c r="C486" s="8" t="s">
        <v>753</v>
      </c>
      <c r="D486" s="8" t="s">
        <v>20</v>
      </c>
      <c r="E486" s="8" t="s">
        <v>179</v>
      </c>
      <c r="F486" s="9">
        <v>115</v>
      </c>
      <c r="G486" s="5">
        <f>TRUNC([1]단가대비표!O35,0)</f>
        <v>6720</v>
      </c>
      <c r="H486" s="5">
        <f t="shared" si="38"/>
        <v>772800</v>
      </c>
      <c r="I486" s="5">
        <v>0</v>
      </c>
      <c r="J486" s="5">
        <f t="shared" si="39"/>
        <v>0</v>
      </c>
      <c r="K486" s="5">
        <v>0</v>
      </c>
      <c r="L486" s="5">
        <f t="shared" si="40"/>
        <v>0</v>
      </c>
      <c r="M486" s="5">
        <f t="shared" si="41"/>
        <v>6720</v>
      </c>
      <c r="N486" s="5">
        <f t="shared" si="41"/>
        <v>772800</v>
      </c>
      <c r="O486" s="8" t="s">
        <v>20</v>
      </c>
      <c r="T486">
        <v>0</v>
      </c>
      <c r="AC486">
        <v>1</v>
      </c>
    </row>
    <row r="487" spans="1:29" ht="30" customHeight="1" x14ac:dyDescent="0.3">
      <c r="A487" s="8" t="s">
        <v>717</v>
      </c>
      <c r="B487" s="8" t="s">
        <v>754</v>
      </c>
      <c r="C487" s="8" t="s">
        <v>755</v>
      </c>
      <c r="D487" s="8" t="s">
        <v>756</v>
      </c>
      <c r="E487" s="8" t="s">
        <v>179</v>
      </c>
      <c r="F487" s="9">
        <v>10</v>
      </c>
      <c r="G487" s="5">
        <f>TRUNC([1]단가대비표!O47,0)</f>
        <v>79050</v>
      </c>
      <c r="H487" s="5">
        <f t="shared" si="38"/>
        <v>790500</v>
      </c>
      <c r="I487" s="5">
        <v>0</v>
      </c>
      <c r="J487" s="5">
        <f t="shared" si="39"/>
        <v>0</v>
      </c>
      <c r="K487" s="5">
        <v>0</v>
      </c>
      <c r="L487" s="5">
        <f t="shared" si="40"/>
        <v>0</v>
      </c>
      <c r="M487" s="5">
        <f t="shared" si="41"/>
        <v>79050</v>
      </c>
      <c r="N487" s="5">
        <f t="shared" si="41"/>
        <v>790500</v>
      </c>
      <c r="O487" s="8" t="s">
        <v>20</v>
      </c>
      <c r="T487">
        <v>0</v>
      </c>
      <c r="AC487">
        <v>1</v>
      </c>
    </row>
    <row r="488" spans="1:29" ht="30" customHeight="1" x14ac:dyDescent="0.3">
      <c r="A488" s="8" t="s">
        <v>717</v>
      </c>
      <c r="B488" s="8" t="s">
        <v>757</v>
      </c>
      <c r="C488" s="8" t="s">
        <v>755</v>
      </c>
      <c r="D488" s="8" t="s">
        <v>758</v>
      </c>
      <c r="E488" s="8" t="s">
        <v>179</v>
      </c>
      <c r="F488" s="9">
        <v>10</v>
      </c>
      <c r="G488" s="5">
        <f>TRUNC([1]단가대비표!O48,0)</f>
        <v>131750</v>
      </c>
      <c r="H488" s="5">
        <f t="shared" si="38"/>
        <v>1317500</v>
      </c>
      <c r="I488" s="5">
        <v>0</v>
      </c>
      <c r="J488" s="5">
        <f t="shared" si="39"/>
        <v>0</v>
      </c>
      <c r="K488" s="5">
        <v>0</v>
      </c>
      <c r="L488" s="5">
        <f t="shared" si="40"/>
        <v>0</v>
      </c>
      <c r="M488" s="5">
        <f t="shared" si="41"/>
        <v>131750</v>
      </c>
      <c r="N488" s="5">
        <f t="shared" si="41"/>
        <v>1317500</v>
      </c>
      <c r="O488" s="8" t="s">
        <v>20</v>
      </c>
      <c r="T488">
        <v>0</v>
      </c>
      <c r="AC488">
        <v>1</v>
      </c>
    </row>
    <row r="489" spans="1:29" ht="30" customHeight="1" x14ac:dyDescent="0.3">
      <c r="A489" s="8" t="s">
        <v>717</v>
      </c>
      <c r="B489" s="8" t="s">
        <v>759</v>
      </c>
      <c r="C489" s="8" t="s">
        <v>760</v>
      </c>
      <c r="D489" s="8" t="s">
        <v>20</v>
      </c>
      <c r="E489" s="8" t="s">
        <v>179</v>
      </c>
      <c r="F489" s="9">
        <v>10</v>
      </c>
      <c r="G489" s="5">
        <f>TRUNC([1]단가대비표!O46,0)</f>
        <v>170000</v>
      </c>
      <c r="H489" s="5">
        <f t="shared" si="38"/>
        <v>1700000</v>
      </c>
      <c r="I489" s="5">
        <v>0</v>
      </c>
      <c r="J489" s="5">
        <f t="shared" si="39"/>
        <v>0</v>
      </c>
      <c r="K489" s="5">
        <v>0</v>
      </c>
      <c r="L489" s="5">
        <f t="shared" si="40"/>
        <v>0</v>
      </c>
      <c r="M489" s="5">
        <f t="shared" si="41"/>
        <v>170000</v>
      </c>
      <c r="N489" s="5">
        <f t="shared" si="41"/>
        <v>1700000</v>
      </c>
      <c r="O489" s="8" t="s">
        <v>20</v>
      </c>
      <c r="T489">
        <v>0</v>
      </c>
      <c r="AC489">
        <v>1</v>
      </c>
    </row>
    <row r="490" spans="1:29" ht="30" customHeight="1" x14ac:dyDescent="0.3">
      <c r="A490" s="8" t="s">
        <v>717</v>
      </c>
      <c r="B490" s="8" t="s">
        <v>152</v>
      </c>
      <c r="C490" s="8" t="s">
        <v>153</v>
      </c>
      <c r="D490" s="8" t="s">
        <v>154</v>
      </c>
      <c r="E490" s="8" t="s">
        <v>155</v>
      </c>
      <c r="F490" s="9">
        <v>66</v>
      </c>
      <c r="G490" s="5">
        <v>0</v>
      </c>
      <c r="H490" s="5">
        <f t="shared" si="38"/>
        <v>0</v>
      </c>
      <c r="I490" s="5">
        <f>TRUNC([1]단가대비표!O671,0)</f>
        <v>157068</v>
      </c>
      <c r="J490" s="5">
        <f t="shared" si="39"/>
        <v>10366488</v>
      </c>
      <c r="K490" s="5">
        <v>0</v>
      </c>
      <c r="L490" s="5">
        <f t="shared" si="40"/>
        <v>0</v>
      </c>
      <c r="M490" s="5">
        <f t="shared" si="41"/>
        <v>157068</v>
      </c>
      <c r="N490" s="5">
        <f t="shared" si="41"/>
        <v>10366488</v>
      </c>
      <c r="O490" s="8" t="s">
        <v>20</v>
      </c>
      <c r="T490">
        <v>0</v>
      </c>
      <c r="W490">
        <v>3</v>
      </c>
      <c r="AC490">
        <v>1</v>
      </c>
    </row>
    <row r="491" spans="1:29" ht="30" customHeight="1" x14ac:dyDescent="0.3">
      <c r="A491" s="8" t="s">
        <v>717</v>
      </c>
      <c r="B491" s="8" t="s">
        <v>761</v>
      </c>
      <c r="C491" s="8" t="s">
        <v>153</v>
      </c>
      <c r="D491" s="8" t="s">
        <v>762</v>
      </c>
      <c r="E491" s="8" t="s">
        <v>155</v>
      </c>
      <c r="F491" s="9">
        <v>276</v>
      </c>
      <c r="G491" s="5">
        <v>0</v>
      </c>
      <c r="H491" s="5">
        <f t="shared" si="38"/>
        <v>0</v>
      </c>
      <c r="I491" s="5">
        <f>TRUNC([1]단가대비표!O673,0)</f>
        <v>202504</v>
      </c>
      <c r="J491" s="5">
        <f t="shared" si="39"/>
        <v>55891104</v>
      </c>
      <c r="K491" s="5">
        <v>0</v>
      </c>
      <c r="L491" s="5">
        <f t="shared" si="40"/>
        <v>0</v>
      </c>
      <c r="M491" s="5">
        <f t="shared" si="41"/>
        <v>202504</v>
      </c>
      <c r="N491" s="5">
        <f t="shared" si="41"/>
        <v>55891104</v>
      </c>
      <c r="O491" s="8" t="s">
        <v>20</v>
      </c>
      <c r="T491">
        <v>0</v>
      </c>
      <c r="W491">
        <v>3</v>
      </c>
      <c r="AC491">
        <v>1</v>
      </c>
    </row>
    <row r="492" spans="1:29" ht="30" customHeight="1" x14ac:dyDescent="0.3">
      <c r="A492" s="8" t="s">
        <v>717</v>
      </c>
      <c r="B492" s="8" t="s">
        <v>158</v>
      </c>
      <c r="C492" s="8" t="s">
        <v>159</v>
      </c>
      <c r="D492" s="8" t="s">
        <v>160</v>
      </c>
      <c r="E492" s="8" t="s">
        <v>161</v>
      </c>
      <c r="F492" s="9">
        <v>1</v>
      </c>
      <c r="G492" s="5">
        <f>ROUNDDOWN(SUMIF(W473:W492, RIGHTB(B492, 1), J473:J492)*T492, 0)</f>
        <v>1325151</v>
      </c>
      <c r="H492" s="5">
        <f t="shared" si="38"/>
        <v>1325151</v>
      </c>
      <c r="I492" s="5">
        <v>0</v>
      </c>
      <c r="J492" s="5">
        <f t="shared" si="39"/>
        <v>0</v>
      </c>
      <c r="K492" s="5">
        <v>0</v>
      </c>
      <c r="L492" s="5">
        <f t="shared" si="40"/>
        <v>0</v>
      </c>
      <c r="M492" s="5">
        <f t="shared" si="41"/>
        <v>1325151</v>
      </c>
      <c r="N492" s="5">
        <f t="shared" si="41"/>
        <v>1325151</v>
      </c>
      <c r="O492" s="8" t="s">
        <v>20</v>
      </c>
      <c r="P492">
        <v>492</v>
      </c>
      <c r="R492">
        <v>1</v>
      </c>
      <c r="S492">
        <v>0</v>
      </c>
      <c r="T492">
        <v>0.02</v>
      </c>
      <c r="AC492">
        <v>1</v>
      </c>
    </row>
    <row r="493" spans="1:29" ht="30" customHeight="1" x14ac:dyDescent="0.3">
      <c r="A493" s="5"/>
      <c r="B493" s="5"/>
      <c r="C493" s="5"/>
      <c r="D493" s="5"/>
      <c r="E493" s="5"/>
      <c r="F493" s="9"/>
      <c r="G493" s="5"/>
      <c r="H493" s="5"/>
      <c r="I493" s="5"/>
      <c r="J493" s="5"/>
      <c r="K493" s="5"/>
      <c r="L493" s="5"/>
      <c r="M493" s="5"/>
      <c r="N493" s="5"/>
      <c r="O493" s="5"/>
    </row>
    <row r="494" spans="1:29" ht="30" customHeight="1" x14ac:dyDescent="0.3">
      <c r="A494" s="5"/>
      <c r="B494" s="5"/>
      <c r="C494" s="5"/>
      <c r="D494" s="5"/>
      <c r="E494" s="5"/>
      <c r="F494" s="9"/>
      <c r="G494" s="5"/>
      <c r="H494" s="5"/>
      <c r="I494" s="5"/>
      <c r="J494" s="5"/>
      <c r="K494" s="5"/>
      <c r="L494" s="5"/>
      <c r="M494" s="5"/>
      <c r="N494" s="5"/>
      <c r="O494" s="5"/>
    </row>
    <row r="495" spans="1:29" ht="30" customHeight="1" x14ac:dyDescent="0.3">
      <c r="A495" s="5"/>
      <c r="B495" s="5"/>
      <c r="C495" s="5"/>
      <c r="D495" s="5"/>
      <c r="E495" s="5"/>
      <c r="F495" s="9"/>
      <c r="G495" s="5"/>
      <c r="H495" s="5"/>
      <c r="I495" s="5"/>
      <c r="J495" s="5"/>
      <c r="K495" s="5"/>
      <c r="L495" s="5"/>
      <c r="M495" s="5"/>
      <c r="N495" s="5"/>
      <c r="O495" s="5"/>
    </row>
    <row r="496" spans="1:29" ht="30" customHeight="1" x14ac:dyDescent="0.3">
      <c r="A496" s="5"/>
      <c r="B496" s="5"/>
      <c r="C496" s="5"/>
      <c r="D496" s="5"/>
      <c r="E496" s="5"/>
      <c r="F496" s="9"/>
      <c r="G496" s="5"/>
      <c r="H496" s="5"/>
      <c r="I496" s="5"/>
      <c r="J496" s="5"/>
      <c r="K496" s="5"/>
      <c r="L496" s="5"/>
      <c r="M496" s="5"/>
      <c r="N496" s="5"/>
      <c r="O496" s="5"/>
    </row>
    <row r="497" spans="1:29" ht="30" customHeight="1" x14ac:dyDescent="0.3">
      <c r="A497" s="5"/>
      <c r="B497" s="5"/>
      <c r="C497" s="5" t="s">
        <v>162</v>
      </c>
      <c r="D497" s="5"/>
      <c r="E497" s="5"/>
      <c r="F497" s="9"/>
      <c r="G497" s="5"/>
      <c r="H497" s="5">
        <f>SUMIF(AC473:AC496, 1, H473:H496)</f>
        <v>81590401</v>
      </c>
      <c r="I497" s="5"/>
      <c r="J497" s="5">
        <f>SUMIF(AC473:AC496, 1, J473:J496)</f>
        <v>66257592</v>
      </c>
      <c r="K497" s="5"/>
      <c r="L497" s="5">
        <f>SUMIF(AC473:AC496, 1, L473:L496)</f>
        <v>0</v>
      </c>
      <c r="M497" s="5"/>
      <c r="N497" s="5">
        <f>H497+J497+L497</f>
        <v>147847993</v>
      </c>
      <c r="O497" s="5"/>
    </row>
    <row r="498" spans="1:29" ht="30" customHeight="1" x14ac:dyDescent="0.3">
      <c r="A498" s="5"/>
      <c r="B498" s="5"/>
      <c r="C498" s="10" t="s">
        <v>763</v>
      </c>
      <c r="D498" s="10"/>
      <c r="E498" s="10"/>
      <c r="F498" s="11"/>
      <c r="G498" s="10"/>
      <c r="H498" s="10"/>
      <c r="I498" s="10"/>
      <c r="J498" s="10"/>
      <c r="K498" s="10"/>
      <c r="L498" s="10"/>
      <c r="M498" s="10"/>
      <c r="N498" s="10"/>
      <c r="O498" s="10"/>
    </row>
    <row r="499" spans="1:29" ht="30" customHeight="1" x14ac:dyDescent="0.3">
      <c r="A499" s="8" t="s">
        <v>764</v>
      </c>
      <c r="B499" s="8" t="s">
        <v>190</v>
      </c>
      <c r="C499" s="8" t="s">
        <v>191</v>
      </c>
      <c r="D499" s="8" t="s">
        <v>192</v>
      </c>
      <c r="E499" s="8" t="s">
        <v>168</v>
      </c>
      <c r="F499" s="9">
        <v>2057</v>
      </c>
      <c r="G499" s="5">
        <f>TRUNC([1]단가대비표!O85,0)</f>
        <v>1980</v>
      </c>
      <c r="H499" s="5">
        <f t="shared" ref="H499:H562" si="42">TRUNC(F499*G499,0)</f>
        <v>4072860</v>
      </c>
      <c r="I499" s="5">
        <v>0</v>
      </c>
      <c r="J499" s="5">
        <f t="shared" ref="J499:J562" si="43">TRUNC(F499*I499,0)</f>
        <v>0</v>
      </c>
      <c r="K499" s="5">
        <v>0</v>
      </c>
      <c r="L499" s="5">
        <f t="shared" ref="L499:L562" si="44">TRUNC(F499*K499,0)</f>
        <v>0</v>
      </c>
      <c r="M499" s="5">
        <f t="shared" ref="M499:N530" si="45">G499+I499+K499</f>
        <v>1980</v>
      </c>
      <c r="N499" s="5">
        <f t="shared" si="45"/>
        <v>4072860</v>
      </c>
      <c r="O499" s="8" t="s">
        <v>20</v>
      </c>
      <c r="T499">
        <v>0</v>
      </c>
      <c r="U499">
        <v>1</v>
      </c>
      <c r="AC499">
        <v>1</v>
      </c>
    </row>
    <row r="500" spans="1:29" ht="30" customHeight="1" x14ac:dyDescent="0.3">
      <c r="A500" s="8" t="s">
        <v>764</v>
      </c>
      <c r="B500" s="8" t="s">
        <v>193</v>
      </c>
      <c r="C500" s="8" t="s">
        <v>191</v>
      </c>
      <c r="D500" s="8" t="s">
        <v>194</v>
      </c>
      <c r="E500" s="8" t="s">
        <v>168</v>
      </c>
      <c r="F500" s="9">
        <v>1100</v>
      </c>
      <c r="G500" s="5">
        <f>TRUNC([1]단가대비표!O86,0)</f>
        <v>3220</v>
      </c>
      <c r="H500" s="5">
        <f t="shared" si="42"/>
        <v>3542000</v>
      </c>
      <c r="I500" s="5">
        <v>0</v>
      </c>
      <c r="J500" s="5">
        <f t="shared" si="43"/>
        <v>0</v>
      </c>
      <c r="K500" s="5">
        <v>0</v>
      </c>
      <c r="L500" s="5">
        <f t="shared" si="44"/>
        <v>0</v>
      </c>
      <c r="M500" s="5">
        <f t="shared" si="45"/>
        <v>3220</v>
      </c>
      <c r="N500" s="5">
        <f t="shared" si="45"/>
        <v>3542000</v>
      </c>
      <c r="O500" s="8" t="s">
        <v>20</v>
      </c>
      <c r="T500">
        <v>0</v>
      </c>
      <c r="U500">
        <v>1</v>
      </c>
      <c r="AC500">
        <v>1</v>
      </c>
    </row>
    <row r="501" spans="1:29" ht="30" customHeight="1" x14ac:dyDescent="0.3">
      <c r="A501" s="8" t="s">
        <v>764</v>
      </c>
      <c r="B501" s="8" t="s">
        <v>195</v>
      </c>
      <c r="C501" s="8" t="s">
        <v>191</v>
      </c>
      <c r="D501" s="8" t="s">
        <v>196</v>
      </c>
      <c r="E501" s="8" t="s">
        <v>168</v>
      </c>
      <c r="F501" s="9">
        <v>513</v>
      </c>
      <c r="G501" s="5">
        <f>TRUNC([1]단가대비표!O87,0)</f>
        <v>4010</v>
      </c>
      <c r="H501" s="5">
        <f t="shared" si="42"/>
        <v>2057130</v>
      </c>
      <c r="I501" s="5">
        <v>0</v>
      </c>
      <c r="J501" s="5">
        <f t="shared" si="43"/>
        <v>0</v>
      </c>
      <c r="K501" s="5">
        <v>0</v>
      </c>
      <c r="L501" s="5">
        <f t="shared" si="44"/>
        <v>0</v>
      </c>
      <c r="M501" s="5">
        <f t="shared" si="45"/>
        <v>4010</v>
      </c>
      <c r="N501" s="5">
        <f t="shared" si="45"/>
        <v>2057130</v>
      </c>
      <c r="O501" s="8" t="s">
        <v>20</v>
      </c>
      <c r="T501">
        <v>0</v>
      </c>
      <c r="U501">
        <v>1</v>
      </c>
      <c r="AC501">
        <v>1</v>
      </c>
    </row>
    <row r="502" spans="1:29" ht="30" customHeight="1" x14ac:dyDescent="0.3">
      <c r="A502" s="8" t="s">
        <v>764</v>
      </c>
      <c r="B502" s="8" t="s">
        <v>197</v>
      </c>
      <c r="C502" s="8" t="s">
        <v>191</v>
      </c>
      <c r="D502" s="8" t="s">
        <v>198</v>
      </c>
      <c r="E502" s="8" t="s">
        <v>168</v>
      </c>
      <c r="F502" s="9">
        <v>399</v>
      </c>
      <c r="G502" s="5">
        <f>TRUNC([1]단가대비표!O88,0)</f>
        <v>5650</v>
      </c>
      <c r="H502" s="5">
        <f t="shared" si="42"/>
        <v>2254350</v>
      </c>
      <c r="I502" s="5">
        <v>0</v>
      </c>
      <c r="J502" s="5">
        <f t="shared" si="43"/>
        <v>0</v>
      </c>
      <c r="K502" s="5">
        <v>0</v>
      </c>
      <c r="L502" s="5">
        <f t="shared" si="44"/>
        <v>0</v>
      </c>
      <c r="M502" s="5">
        <f t="shared" si="45"/>
        <v>5650</v>
      </c>
      <c r="N502" s="5">
        <f t="shared" si="45"/>
        <v>2254350</v>
      </c>
      <c r="O502" s="8" t="s">
        <v>20</v>
      </c>
      <c r="T502">
        <v>0</v>
      </c>
      <c r="U502">
        <v>1</v>
      </c>
      <c r="AC502">
        <v>1</v>
      </c>
    </row>
    <row r="503" spans="1:29" ht="30" customHeight="1" x14ac:dyDescent="0.3">
      <c r="A503" s="8" t="s">
        <v>764</v>
      </c>
      <c r="B503" s="8" t="s">
        <v>199</v>
      </c>
      <c r="C503" s="8" t="s">
        <v>191</v>
      </c>
      <c r="D503" s="8" t="s">
        <v>200</v>
      </c>
      <c r="E503" s="8" t="s">
        <v>168</v>
      </c>
      <c r="F503" s="9">
        <v>201</v>
      </c>
      <c r="G503" s="5">
        <f>TRUNC([1]단가대비표!O89,0)</f>
        <v>6910</v>
      </c>
      <c r="H503" s="5">
        <f t="shared" si="42"/>
        <v>1388910</v>
      </c>
      <c r="I503" s="5">
        <v>0</v>
      </c>
      <c r="J503" s="5">
        <f t="shared" si="43"/>
        <v>0</v>
      </c>
      <c r="K503" s="5">
        <v>0</v>
      </c>
      <c r="L503" s="5">
        <f t="shared" si="44"/>
        <v>0</v>
      </c>
      <c r="M503" s="5">
        <f t="shared" si="45"/>
        <v>6910</v>
      </c>
      <c r="N503" s="5">
        <f t="shared" si="45"/>
        <v>1388910</v>
      </c>
      <c r="O503" s="8" t="s">
        <v>20</v>
      </c>
      <c r="T503">
        <v>0</v>
      </c>
      <c r="U503">
        <v>1</v>
      </c>
      <c r="AC503">
        <v>1</v>
      </c>
    </row>
    <row r="504" spans="1:29" ht="30" customHeight="1" x14ac:dyDescent="0.3">
      <c r="A504" s="8" t="s">
        <v>764</v>
      </c>
      <c r="B504" s="8" t="s">
        <v>201</v>
      </c>
      <c r="C504" s="8" t="s">
        <v>191</v>
      </c>
      <c r="D504" s="8" t="s">
        <v>202</v>
      </c>
      <c r="E504" s="8" t="s">
        <v>168</v>
      </c>
      <c r="F504" s="9">
        <v>1499</v>
      </c>
      <c r="G504" s="5">
        <f>TRUNC([1]단가대비표!O90,0)</f>
        <v>7960</v>
      </c>
      <c r="H504" s="5">
        <f t="shared" si="42"/>
        <v>11932040</v>
      </c>
      <c r="I504" s="5">
        <v>0</v>
      </c>
      <c r="J504" s="5">
        <f t="shared" si="43"/>
        <v>0</v>
      </c>
      <c r="K504" s="5">
        <v>0</v>
      </c>
      <c r="L504" s="5">
        <f t="shared" si="44"/>
        <v>0</v>
      </c>
      <c r="M504" s="5">
        <f t="shared" si="45"/>
        <v>7960</v>
      </c>
      <c r="N504" s="5">
        <f t="shared" si="45"/>
        <v>11932040</v>
      </c>
      <c r="O504" s="8" t="s">
        <v>20</v>
      </c>
      <c r="T504">
        <v>0</v>
      </c>
      <c r="U504">
        <v>1</v>
      </c>
      <c r="AC504">
        <v>1</v>
      </c>
    </row>
    <row r="505" spans="1:29" ht="30" customHeight="1" x14ac:dyDescent="0.3">
      <c r="A505" s="8" t="s">
        <v>764</v>
      </c>
      <c r="B505" s="8" t="s">
        <v>203</v>
      </c>
      <c r="C505" s="8" t="s">
        <v>191</v>
      </c>
      <c r="D505" s="8" t="s">
        <v>204</v>
      </c>
      <c r="E505" s="8" t="s">
        <v>168</v>
      </c>
      <c r="F505" s="9">
        <v>174</v>
      </c>
      <c r="G505" s="5">
        <f>TRUNC([1]단가대비표!O91,0)</f>
        <v>12350</v>
      </c>
      <c r="H505" s="5">
        <f t="shared" si="42"/>
        <v>2148900</v>
      </c>
      <c r="I505" s="5">
        <v>0</v>
      </c>
      <c r="J505" s="5">
        <f t="shared" si="43"/>
        <v>0</v>
      </c>
      <c r="K505" s="5">
        <v>0</v>
      </c>
      <c r="L505" s="5">
        <f t="shared" si="44"/>
        <v>0</v>
      </c>
      <c r="M505" s="5">
        <f t="shared" si="45"/>
        <v>12350</v>
      </c>
      <c r="N505" s="5">
        <f t="shared" si="45"/>
        <v>2148900</v>
      </c>
      <c r="O505" s="8" t="s">
        <v>20</v>
      </c>
      <c r="T505">
        <v>0</v>
      </c>
      <c r="U505">
        <v>1</v>
      </c>
      <c r="AC505">
        <v>1</v>
      </c>
    </row>
    <row r="506" spans="1:29" ht="30" customHeight="1" x14ac:dyDescent="0.3">
      <c r="A506" s="8" t="s">
        <v>764</v>
      </c>
      <c r="B506" s="8" t="s">
        <v>205</v>
      </c>
      <c r="C506" s="8" t="s">
        <v>191</v>
      </c>
      <c r="D506" s="8" t="s">
        <v>206</v>
      </c>
      <c r="E506" s="8" t="s">
        <v>168</v>
      </c>
      <c r="F506" s="9">
        <v>114</v>
      </c>
      <c r="G506" s="5">
        <f>TRUNC([1]단가대비표!O92,0)</f>
        <v>22620</v>
      </c>
      <c r="H506" s="5">
        <f t="shared" si="42"/>
        <v>2578680</v>
      </c>
      <c r="I506" s="5">
        <v>0</v>
      </c>
      <c r="J506" s="5">
        <f t="shared" si="43"/>
        <v>0</v>
      </c>
      <c r="K506" s="5">
        <v>0</v>
      </c>
      <c r="L506" s="5">
        <f t="shared" si="44"/>
        <v>0</v>
      </c>
      <c r="M506" s="5">
        <f t="shared" si="45"/>
        <v>22620</v>
      </c>
      <c r="N506" s="5">
        <f t="shared" si="45"/>
        <v>2578680</v>
      </c>
      <c r="O506" s="8" t="s">
        <v>20</v>
      </c>
      <c r="T506">
        <v>0</v>
      </c>
      <c r="U506">
        <v>1</v>
      </c>
      <c r="AC506">
        <v>1</v>
      </c>
    </row>
    <row r="507" spans="1:29" ht="30" customHeight="1" x14ac:dyDescent="0.3">
      <c r="A507" s="8" t="s">
        <v>764</v>
      </c>
      <c r="B507" s="8" t="s">
        <v>207</v>
      </c>
      <c r="C507" s="8" t="s">
        <v>191</v>
      </c>
      <c r="D507" s="8" t="s">
        <v>208</v>
      </c>
      <c r="E507" s="8" t="s">
        <v>168</v>
      </c>
      <c r="F507" s="9">
        <v>41</v>
      </c>
      <c r="G507" s="5">
        <f>TRUNC([1]단가대비표!O93,0)</f>
        <v>28130</v>
      </c>
      <c r="H507" s="5">
        <f t="shared" si="42"/>
        <v>1153330</v>
      </c>
      <c r="I507" s="5">
        <v>0</v>
      </c>
      <c r="J507" s="5">
        <f t="shared" si="43"/>
        <v>0</v>
      </c>
      <c r="K507" s="5">
        <v>0</v>
      </c>
      <c r="L507" s="5">
        <f t="shared" si="44"/>
        <v>0</v>
      </c>
      <c r="M507" s="5">
        <f t="shared" si="45"/>
        <v>28130</v>
      </c>
      <c r="N507" s="5">
        <f t="shared" si="45"/>
        <v>1153330</v>
      </c>
      <c r="O507" s="8" t="s">
        <v>20</v>
      </c>
      <c r="T507">
        <v>0</v>
      </c>
      <c r="U507">
        <v>1</v>
      </c>
      <c r="AC507">
        <v>1</v>
      </c>
    </row>
    <row r="508" spans="1:29" ht="30" customHeight="1" x14ac:dyDescent="0.3">
      <c r="A508" s="8" t="s">
        <v>764</v>
      </c>
      <c r="B508" s="8" t="s">
        <v>214</v>
      </c>
      <c r="C508" s="8" t="s">
        <v>210</v>
      </c>
      <c r="D508" s="8" t="s">
        <v>215</v>
      </c>
      <c r="E508" s="8" t="s">
        <v>168</v>
      </c>
      <c r="F508" s="9">
        <v>77</v>
      </c>
      <c r="G508" s="5">
        <f>TRUNC([1]단가대비표!O96,0)</f>
        <v>53450</v>
      </c>
      <c r="H508" s="5">
        <f t="shared" si="42"/>
        <v>4115650</v>
      </c>
      <c r="I508" s="5">
        <v>0</v>
      </c>
      <c r="J508" s="5">
        <f t="shared" si="43"/>
        <v>0</v>
      </c>
      <c r="K508" s="5">
        <v>0</v>
      </c>
      <c r="L508" s="5">
        <f t="shared" si="44"/>
        <v>0</v>
      </c>
      <c r="M508" s="5">
        <f t="shared" si="45"/>
        <v>53450</v>
      </c>
      <c r="N508" s="5">
        <f t="shared" si="45"/>
        <v>4115650</v>
      </c>
      <c r="O508" s="8" t="s">
        <v>20</v>
      </c>
      <c r="T508">
        <v>0</v>
      </c>
      <c r="U508">
        <v>1</v>
      </c>
      <c r="AC508">
        <v>1</v>
      </c>
    </row>
    <row r="509" spans="1:29" ht="30" customHeight="1" x14ac:dyDescent="0.3">
      <c r="A509" s="8" t="s">
        <v>764</v>
      </c>
      <c r="B509" s="8" t="s">
        <v>173</v>
      </c>
      <c r="C509" s="8" t="s">
        <v>174</v>
      </c>
      <c r="D509" s="8" t="s">
        <v>175</v>
      </c>
      <c r="E509" s="8" t="s">
        <v>161</v>
      </c>
      <c r="F509" s="9">
        <v>1</v>
      </c>
      <c r="G509" s="5">
        <f>ROUNDDOWN(SUMIF(U499:U698, RIGHTB(B509, 1), H499:H698)*T509, 0)</f>
        <v>1057315</v>
      </c>
      <c r="H509" s="5">
        <f t="shared" si="42"/>
        <v>1057315</v>
      </c>
      <c r="I509" s="5">
        <v>0</v>
      </c>
      <c r="J509" s="5">
        <f t="shared" si="43"/>
        <v>0</v>
      </c>
      <c r="K509" s="5">
        <v>0</v>
      </c>
      <c r="L509" s="5">
        <f t="shared" si="44"/>
        <v>0</v>
      </c>
      <c r="M509" s="5">
        <f t="shared" si="45"/>
        <v>1057315</v>
      </c>
      <c r="N509" s="5">
        <f t="shared" si="45"/>
        <v>1057315</v>
      </c>
      <c r="O509" s="8" t="s">
        <v>20</v>
      </c>
      <c r="P509">
        <v>509</v>
      </c>
      <c r="R509">
        <v>0</v>
      </c>
      <c r="S509">
        <v>0</v>
      </c>
      <c r="T509">
        <v>0.03</v>
      </c>
      <c r="AC509">
        <v>1</v>
      </c>
    </row>
    <row r="510" spans="1:29" ht="30" customHeight="1" x14ac:dyDescent="0.3">
      <c r="A510" s="8" t="s">
        <v>764</v>
      </c>
      <c r="B510" s="8" t="s">
        <v>765</v>
      </c>
      <c r="C510" s="8" t="s">
        <v>766</v>
      </c>
      <c r="D510" s="8" t="s">
        <v>767</v>
      </c>
      <c r="E510" s="8" t="s">
        <v>168</v>
      </c>
      <c r="F510" s="9">
        <v>662</v>
      </c>
      <c r="G510" s="5" t="e">
        <f>'[2].xls].xls].xls].xls].xls].xls].xls].'!E79</f>
        <v>#REF!</v>
      </c>
      <c r="H510" s="5" t="e">
        <f t="shared" si="42"/>
        <v>#REF!</v>
      </c>
      <c r="I510" s="5" t="e">
        <f>'[2].xls].xls].xls].xls].xls].xls].xls].'!F79</f>
        <v>#REF!</v>
      </c>
      <c r="J510" s="5" t="e">
        <f t="shared" si="43"/>
        <v>#REF!</v>
      </c>
      <c r="K510" s="5" t="e">
        <f>'[2].xls].xls].xls].xls].xls].xls].xls].'!G79</f>
        <v>#REF!</v>
      </c>
      <c r="L510" s="5" t="e">
        <f t="shared" si="44"/>
        <v>#REF!</v>
      </c>
      <c r="M510" s="5" t="e">
        <f t="shared" si="45"/>
        <v>#REF!</v>
      </c>
      <c r="N510" s="5" t="e">
        <f t="shared" si="45"/>
        <v>#REF!</v>
      </c>
      <c r="O510" s="8" t="s">
        <v>765</v>
      </c>
      <c r="T510">
        <v>0</v>
      </c>
      <c r="AC510">
        <v>1</v>
      </c>
    </row>
    <row r="511" spans="1:29" ht="30" customHeight="1" x14ac:dyDescent="0.3">
      <c r="A511" s="8" t="s">
        <v>764</v>
      </c>
      <c r="B511" s="8" t="s">
        <v>768</v>
      </c>
      <c r="C511" s="8" t="s">
        <v>766</v>
      </c>
      <c r="D511" s="8" t="s">
        <v>769</v>
      </c>
      <c r="E511" s="8" t="s">
        <v>168</v>
      </c>
      <c r="F511" s="9">
        <v>15</v>
      </c>
      <c r="G511" s="5" t="e">
        <f>'[2].xls].xls].xls].xls].xls].xls].xls].'!E80</f>
        <v>#REF!</v>
      </c>
      <c r="H511" s="5" t="e">
        <f t="shared" si="42"/>
        <v>#REF!</v>
      </c>
      <c r="I511" s="5" t="e">
        <f>'[2].xls].xls].xls].xls].xls].xls].xls].'!F80</f>
        <v>#REF!</v>
      </c>
      <c r="J511" s="5" t="e">
        <f t="shared" si="43"/>
        <v>#REF!</v>
      </c>
      <c r="K511" s="5" t="e">
        <f>'[2].xls].xls].xls].xls].xls].xls].xls].'!G80</f>
        <v>#REF!</v>
      </c>
      <c r="L511" s="5" t="e">
        <f t="shared" si="44"/>
        <v>#REF!</v>
      </c>
      <c r="M511" s="5" t="e">
        <f t="shared" si="45"/>
        <v>#REF!</v>
      </c>
      <c r="N511" s="5" t="e">
        <f t="shared" si="45"/>
        <v>#REF!</v>
      </c>
      <c r="O511" s="8" t="s">
        <v>768</v>
      </c>
      <c r="T511">
        <v>0</v>
      </c>
      <c r="AC511">
        <v>1</v>
      </c>
    </row>
    <row r="512" spans="1:29" ht="30" customHeight="1" x14ac:dyDescent="0.3">
      <c r="A512" s="8" t="s">
        <v>764</v>
      </c>
      <c r="B512" s="8" t="s">
        <v>770</v>
      </c>
      <c r="C512" s="8" t="s">
        <v>766</v>
      </c>
      <c r="D512" s="8" t="s">
        <v>771</v>
      </c>
      <c r="E512" s="8" t="s">
        <v>168</v>
      </c>
      <c r="F512" s="9">
        <v>33</v>
      </c>
      <c r="G512" s="5" t="e">
        <f>'[2].xls].xls].xls].xls].xls].xls].xls].'!E81</f>
        <v>#REF!</v>
      </c>
      <c r="H512" s="5" t="e">
        <f t="shared" si="42"/>
        <v>#REF!</v>
      </c>
      <c r="I512" s="5" t="e">
        <f>'[2].xls].xls].xls].xls].xls].xls].xls].'!F81</f>
        <v>#REF!</v>
      </c>
      <c r="J512" s="5" t="e">
        <f t="shared" si="43"/>
        <v>#REF!</v>
      </c>
      <c r="K512" s="5" t="e">
        <f>'[2].xls].xls].xls].xls].xls].xls].xls].'!G81</f>
        <v>#REF!</v>
      </c>
      <c r="L512" s="5" t="e">
        <f t="shared" si="44"/>
        <v>#REF!</v>
      </c>
      <c r="M512" s="5" t="e">
        <f t="shared" si="45"/>
        <v>#REF!</v>
      </c>
      <c r="N512" s="5" t="e">
        <f t="shared" si="45"/>
        <v>#REF!</v>
      </c>
      <c r="O512" s="8" t="s">
        <v>770</v>
      </c>
      <c r="T512">
        <v>0</v>
      </c>
      <c r="AC512">
        <v>1</v>
      </c>
    </row>
    <row r="513" spans="1:29" ht="30" customHeight="1" x14ac:dyDescent="0.3">
      <c r="A513" s="8" t="s">
        <v>764</v>
      </c>
      <c r="B513" s="8" t="s">
        <v>772</v>
      </c>
      <c r="C513" s="8" t="s">
        <v>219</v>
      </c>
      <c r="D513" s="8" t="s">
        <v>773</v>
      </c>
      <c r="E513" s="8" t="s">
        <v>168</v>
      </c>
      <c r="F513" s="9">
        <v>719</v>
      </c>
      <c r="G513" s="5" t="e">
        <f>'[2].xls].xls].xls].xls].xls].xls].xls].'!E88</f>
        <v>#REF!</v>
      </c>
      <c r="H513" s="5" t="e">
        <f t="shared" si="42"/>
        <v>#REF!</v>
      </c>
      <c r="I513" s="5" t="e">
        <f>'[2].xls].xls].xls].xls].xls].xls].xls].'!F88</f>
        <v>#REF!</v>
      </c>
      <c r="J513" s="5" t="e">
        <f t="shared" si="43"/>
        <v>#REF!</v>
      </c>
      <c r="K513" s="5" t="e">
        <f>'[2].xls].xls].xls].xls].xls].xls].xls].'!G88</f>
        <v>#REF!</v>
      </c>
      <c r="L513" s="5" t="e">
        <f t="shared" si="44"/>
        <v>#REF!</v>
      </c>
      <c r="M513" s="5" t="e">
        <f t="shared" si="45"/>
        <v>#REF!</v>
      </c>
      <c r="N513" s="5" t="e">
        <f t="shared" si="45"/>
        <v>#REF!</v>
      </c>
      <c r="O513" s="8" t="s">
        <v>772</v>
      </c>
      <c r="T513">
        <v>0</v>
      </c>
      <c r="AC513">
        <v>1</v>
      </c>
    </row>
    <row r="514" spans="1:29" ht="30" customHeight="1" x14ac:dyDescent="0.3">
      <c r="A514" s="8" t="s">
        <v>764</v>
      </c>
      <c r="B514" s="8" t="s">
        <v>218</v>
      </c>
      <c r="C514" s="8" t="s">
        <v>219</v>
      </c>
      <c r="D514" s="8" t="s">
        <v>220</v>
      </c>
      <c r="E514" s="8" t="s">
        <v>168</v>
      </c>
      <c r="F514" s="9">
        <v>382</v>
      </c>
      <c r="G514" s="5" t="e">
        <f>'[2].xls].xls].xls].xls].xls].xls].xls].'!E89</f>
        <v>#REF!</v>
      </c>
      <c r="H514" s="5" t="e">
        <f t="shared" si="42"/>
        <v>#REF!</v>
      </c>
      <c r="I514" s="5" t="e">
        <f>'[2].xls].xls].xls].xls].xls].xls].xls].'!F89</f>
        <v>#REF!</v>
      </c>
      <c r="J514" s="5" t="e">
        <f t="shared" si="43"/>
        <v>#REF!</v>
      </c>
      <c r="K514" s="5" t="e">
        <f>'[2].xls].xls].xls].xls].xls].xls].xls].'!G89</f>
        <v>#REF!</v>
      </c>
      <c r="L514" s="5" t="e">
        <f t="shared" si="44"/>
        <v>#REF!</v>
      </c>
      <c r="M514" s="5" t="e">
        <f t="shared" si="45"/>
        <v>#REF!</v>
      </c>
      <c r="N514" s="5" t="e">
        <f t="shared" si="45"/>
        <v>#REF!</v>
      </c>
      <c r="O514" s="8" t="s">
        <v>218</v>
      </c>
      <c r="T514">
        <v>0</v>
      </c>
      <c r="AC514">
        <v>1</v>
      </c>
    </row>
    <row r="515" spans="1:29" ht="30" customHeight="1" x14ac:dyDescent="0.3">
      <c r="A515" s="8" t="s">
        <v>764</v>
      </c>
      <c r="B515" s="8" t="s">
        <v>221</v>
      </c>
      <c r="C515" s="8" t="s">
        <v>219</v>
      </c>
      <c r="D515" s="8" t="s">
        <v>222</v>
      </c>
      <c r="E515" s="8" t="s">
        <v>168</v>
      </c>
      <c r="F515" s="9">
        <v>211</v>
      </c>
      <c r="G515" s="5" t="e">
        <f>'[2].xls].xls].xls].xls].xls].xls].xls].'!E90</f>
        <v>#REF!</v>
      </c>
      <c r="H515" s="5" t="e">
        <f t="shared" si="42"/>
        <v>#REF!</v>
      </c>
      <c r="I515" s="5" t="e">
        <f>'[2].xls].xls].xls].xls].xls].xls].xls].'!F90</f>
        <v>#REF!</v>
      </c>
      <c r="J515" s="5" t="e">
        <f t="shared" si="43"/>
        <v>#REF!</v>
      </c>
      <c r="K515" s="5" t="e">
        <f>'[2].xls].xls].xls].xls].xls].xls].xls].'!G90</f>
        <v>#REF!</v>
      </c>
      <c r="L515" s="5" t="e">
        <f t="shared" si="44"/>
        <v>#REF!</v>
      </c>
      <c r="M515" s="5" t="e">
        <f t="shared" si="45"/>
        <v>#REF!</v>
      </c>
      <c r="N515" s="5" t="e">
        <f t="shared" si="45"/>
        <v>#REF!</v>
      </c>
      <c r="O515" s="8" t="s">
        <v>221</v>
      </c>
      <c r="T515">
        <v>0</v>
      </c>
      <c r="AC515">
        <v>1</v>
      </c>
    </row>
    <row r="516" spans="1:29" ht="30" customHeight="1" x14ac:dyDescent="0.3">
      <c r="A516" s="8" t="s">
        <v>764</v>
      </c>
      <c r="B516" s="8" t="s">
        <v>223</v>
      </c>
      <c r="C516" s="8" t="s">
        <v>219</v>
      </c>
      <c r="D516" s="8" t="s">
        <v>224</v>
      </c>
      <c r="E516" s="8" t="s">
        <v>168</v>
      </c>
      <c r="F516" s="9">
        <v>120</v>
      </c>
      <c r="G516" s="5" t="e">
        <f>'[2].xls].xls].xls].xls].xls].xls].xls].'!E91</f>
        <v>#REF!</v>
      </c>
      <c r="H516" s="5" t="e">
        <f t="shared" si="42"/>
        <v>#REF!</v>
      </c>
      <c r="I516" s="5" t="e">
        <f>'[2].xls].xls].xls].xls].xls].xls].xls].'!F91</f>
        <v>#REF!</v>
      </c>
      <c r="J516" s="5" t="e">
        <f t="shared" si="43"/>
        <v>#REF!</v>
      </c>
      <c r="K516" s="5" t="e">
        <f>'[2].xls].xls].xls].xls].xls].xls].xls].'!G91</f>
        <v>#REF!</v>
      </c>
      <c r="L516" s="5" t="e">
        <f t="shared" si="44"/>
        <v>#REF!</v>
      </c>
      <c r="M516" s="5" t="e">
        <f t="shared" si="45"/>
        <v>#REF!</v>
      </c>
      <c r="N516" s="5" t="e">
        <f t="shared" si="45"/>
        <v>#REF!</v>
      </c>
      <c r="O516" s="8" t="s">
        <v>223</v>
      </c>
      <c r="T516">
        <v>0</v>
      </c>
      <c r="AC516">
        <v>1</v>
      </c>
    </row>
    <row r="517" spans="1:29" ht="30" customHeight="1" x14ac:dyDescent="0.3">
      <c r="A517" s="8" t="s">
        <v>764</v>
      </c>
      <c r="B517" s="8" t="s">
        <v>225</v>
      </c>
      <c r="C517" s="8" t="s">
        <v>219</v>
      </c>
      <c r="D517" s="8" t="s">
        <v>226</v>
      </c>
      <c r="E517" s="8" t="s">
        <v>168</v>
      </c>
      <c r="F517" s="9">
        <v>103</v>
      </c>
      <c r="G517" s="5" t="e">
        <f>'[2].xls].xls].xls].xls].xls].xls].xls].'!E92</f>
        <v>#REF!</v>
      </c>
      <c r="H517" s="5" t="e">
        <f t="shared" si="42"/>
        <v>#REF!</v>
      </c>
      <c r="I517" s="5" t="e">
        <f>'[2].xls].xls].xls].xls].xls].xls].xls].'!F92</f>
        <v>#REF!</v>
      </c>
      <c r="J517" s="5" t="e">
        <f t="shared" si="43"/>
        <v>#REF!</v>
      </c>
      <c r="K517" s="5" t="e">
        <f>'[2].xls].xls].xls].xls].xls].xls].xls].'!G92</f>
        <v>#REF!</v>
      </c>
      <c r="L517" s="5" t="e">
        <f t="shared" si="44"/>
        <v>#REF!</v>
      </c>
      <c r="M517" s="5" t="e">
        <f t="shared" si="45"/>
        <v>#REF!</v>
      </c>
      <c r="N517" s="5" t="e">
        <f t="shared" si="45"/>
        <v>#REF!</v>
      </c>
      <c r="O517" s="8" t="s">
        <v>225</v>
      </c>
      <c r="T517">
        <v>0</v>
      </c>
      <c r="AC517">
        <v>1</v>
      </c>
    </row>
    <row r="518" spans="1:29" ht="30" customHeight="1" x14ac:dyDescent="0.3">
      <c r="A518" s="8" t="s">
        <v>764</v>
      </c>
      <c r="B518" s="8" t="s">
        <v>227</v>
      </c>
      <c r="C518" s="8" t="s">
        <v>219</v>
      </c>
      <c r="D518" s="8" t="s">
        <v>228</v>
      </c>
      <c r="E518" s="8" t="s">
        <v>168</v>
      </c>
      <c r="F518" s="9">
        <v>193</v>
      </c>
      <c r="G518" s="5" t="e">
        <f>'[2].xls].xls].xls].xls].xls].xls].xls].'!E93</f>
        <v>#REF!</v>
      </c>
      <c r="H518" s="5" t="e">
        <f t="shared" si="42"/>
        <v>#REF!</v>
      </c>
      <c r="I518" s="5" t="e">
        <f>'[2].xls].xls].xls].xls].xls].xls].xls].'!F93</f>
        <v>#REF!</v>
      </c>
      <c r="J518" s="5" t="e">
        <f t="shared" si="43"/>
        <v>#REF!</v>
      </c>
      <c r="K518" s="5" t="e">
        <f>'[2].xls].xls].xls].xls].xls].xls].xls].'!G93</f>
        <v>#REF!</v>
      </c>
      <c r="L518" s="5" t="e">
        <f t="shared" si="44"/>
        <v>#REF!</v>
      </c>
      <c r="M518" s="5" t="e">
        <f t="shared" si="45"/>
        <v>#REF!</v>
      </c>
      <c r="N518" s="5" t="e">
        <f t="shared" si="45"/>
        <v>#REF!</v>
      </c>
      <c r="O518" s="8" t="s">
        <v>227</v>
      </c>
      <c r="T518">
        <v>0</v>
      </c>
      <c r="AC518">
        <v>1</v>
      </c>
    </row>
    <row r="519" spans="1:29" ht="30" customHeight="1" x14ac:dyDescent="0.3">
      <c r="A519" s="8" t="s">
        <v>764</v>
      </c>
      <c r="B519" s="8" t="s">
        <v>229</v>
      </c>
      <c r="C519" s="8" t="s">
        <v>219</v>
      </c>
      <c r="D519" s="8" t="s">
        <v>230</v>
      </c>
      <c r="E519" s="8" t="s">
        <v>168</v>
      </c>
      <c r="F519" s="9">
        <v>118</v>
      </c>
      <c r="G519" s="5" t="e">
        <f>'[2].xls].xls].xls].xls].xls].xls].xls].'!E94</f>
        <v>#REF!</v>
      </c>
      <c r="H519" s="5" t="e">
        <f t="shared" si="42"/>
        <v>#REF!</v>
      </c>
      <c r="I519" s="5" t="e">
        <f>'[2].xls].xls].xls].xls].xls].xls].xls].'!F94</f>
        <v>#REF!</v>
      </c>
      <c r="J519" s="5" t="e">
        <f t="shared" si="43"/>
        <v>#REF!</v>
      </c>
      <c r="K519" s="5" t="e">
        <f>'[2].xls].xls].xls].xls].xls].xls].xls].'!G94</f>
        <v>#REF!</v>
      </c>
      <c r="L519" s="5" t="e">
        <f t="shared" si="44"/>
        <v>#REF!</v>
      </c>
      <c r="M519" s="5" t="e">
        <f t="shared" si="45"/>
        <v>#REF!</v>
      </c>
      <c r="N519" s="5" t="e">
        <f t="shared" si="45"/>
        <v>#REF!</v>
      </c>
      <c r="O519" s="8" t="s">
        <v>229</v>
      </c>
      <c r="T519">
        <v>0</v>
      </c>
      <c r="AC519">
        <v>1</v>
      </c>
    </row>
    <row r="520" spans="1:29" ht="30" customHeight="1" x14ac:dyDescent="0.3">
      <c r="A520" s="8" t="s">
        <v>764</v>
      </c>
      <c r="B520" s="8" t="s">
        <v>231</v>
      </c>
      <c r="C520" s="8" t="s">
        <v>219</v>
      </c>
      <c r="D520" s="8" t="s">
        <v>232</v>
      </c>
      <c r="E520" s="8" t="s">
        <v>168</v>
      </c>
      <c r="F520" s="9">
        <v>29</v>
      </c>
      <c r="G520" s="5" t="e">
        <f>'[2].xls].xls].xls].xls].xls].xls].xls].'!E95</f>
        <v>#REF!</v>
      </c>
      <c r="H520" s="5" t="e">
        <f t="shared" si="42"/>
        <v>#REF!</v>
      </c>
      <c r="I520" s="5" t="e">
        <f>'[2].xls].xls].xls].xls].xls].xls].xls].'!F95</f>
        <v>#REF!</v>
      </c>
      <c r="J520" s="5" t="e">
        <f t="shared" si="43"/>
        <v>#REF!</v>
      </c>
      <c r="K520" s="5" t="e">
        <f>'[2].xls].xls].xls].xls].xls].xls].xls].'!G95</f>
        <v>#REF!</v>
      </c>
      <c r="L520" s="5" t="e">
        <f t="shared" si="44"/>
        <v>#REF!</v>
      </c>
      <c r="M520" s="5" t="e">
        <f t="shared" si="45"/>
        <v>#REF!</v>
      </c>
      <c r="N520" s="5" t="e">
        <f t="shared" si="45"/>
        <v>#REF!</v>
      </c>
      <c r="O520" s="8" t="s">
        <v>231</v>
      </c>
      <c r="T520">
        <v>0</v>
      </c>
      <c r="AC520">
        <v>1</v>
      </c>
    </row>
    <row r="521" spans="1:29" ht="30" customHeight="1" x14ac:dyDescent="0.3">
      <c r="A521" s="8" t="s">
        <v>764</v>
      </c>
      <c r="B521" s="8" t="s">
        <v>233</v>
      </c>
      <c r="C521" s="8" t="s">
        <v>219</v>
      </c>
      <c r="D521" s="8" t="s">
        <v>234</v>
      </c>
      <c r="E521" s="8" t="s">
        <v>168</v>
      </c>
      <c r="F521" s="9">
        <v>22</v>
      </c>
      <c r="G521" s="5" t="e">
        <f>'[2].xls].xls].xls].xls].xls].xls].xls].'!E96</f>
        <v>#REF!</v>
      </c>
      <c r="H521" s="5" t="e">
        <f t="shared" si="42"/>
        <v>#REF!</v>
      </c>
      <c r="I521" s="5" t="e">
        <f>'[2].xls].xls].xls].xls].xls].xls].xls].'!F96</f>
        <v>#REF!</v>
      </c>
      <c r="J521" s="5" t="e">
        <f t="shared" si="43"/>
        <v>#REF!</v>
      </c>
      <c r="K521" s="5" t="e">
        <f>'[2].xls].xls].xls].xls].xls].xls].xls].'!G96</f>
        <v>#REF!</v>
      </c>
      <c r="L521" s="5" t="e">
        <f t="shared" si="44"/>
        <v>#REF!</v>
      </c>
      <c r="M521" s="5" t="e">
        <f t="shared" si="45"/>
        <v>#REF!</v>
      </c>
      <c r="N521" s="5" t="e">
        <f t="shared" si="45"/>
        <v>#REF!</v>
      </c>
      <c r="O521" s="8" t="s">
        <v>233</v>
      </c>
      <c r="T521">
        <v>0</v>
      </c>
      <c r="AC521">
        <v>1</v>
      </c>
    </row>
    <row r="522" spans="1:29" ht="30" customHeight="1" x14ac:dyDescent="0.3">
      <c r="A522" s="8" t="s">
        <v>764</v>
      </c>
      <c r="B522" s="8" t="s">
        <v>774</v>
      </c>
      <c r="C522" s="8" t="s">
        <v>219</v>
      </c>
      <c r="D522" s="8" t="s">
        <v>775</v>
      </c>
      <c r="E522" s="8" t="s">
        <v>168</v>
      </c>
      <c r="F522" s="9">
        <v>70</v>
      </c>
      <c r="G522" s="5" t="e">
        <f>'[2].xls].xls].xls].xls].xls].xls].xls].'!E97</f>
        <v>#REF!</v>
      </c>
      <c r="H522" s="5" t="e">
        <f t="shared" si="42"/>
        <v>#REF!</v>
      </c>
      <c r="I522" s="5" t="e">
        <f>'[2].xls].xls].xls].xls].xls].xls].xls].'!F97</f>
        <v>#REF!</v>
      </c>
      <c r="J522" s="5" t="e">
        <f t="shared" si="43"/>
        <v>#REF!</v>
      </c>
      <c r="K522" s="5" t="e">
        <f>'[2].xls].xls].xls].xls].xls].xls].xls].'!G97</f>
        <v>#REF!</v>
      </c>
      <c r="L522" s="5" t="e">
        <f t="shared" si="44"/>
        <v>#REF!</v>
      </c>
      <c r="M522" s="5" t="e">
        <f t="shared" si="45"/>
        <v>#REF!</v>
      </c>
      <c r="N522" s="5" t="e">
        <f t="shared" si="45"/>
        <v>#REF!</v>
      </c>
      <c r="O522" s="8" t="s">
        <v>774</v>
      </c>
      <c r="T522">
        <v>0</v>
      </c>
      <c r="AC522">
        <v>1</v>
      </c>
    </row>
    <row r="523" spans="1:29" ht="30" customHeight="1" x14ac:dyDescent="0.3">
      <c r="A523" s="8" t="s">
        <v>764</v>
      </c>
      <c r="B523" s="8" t="s">
        <v>776</v>
      </c>
      <c r="C523" s="8" t="s">
        <v>219</v>
      </c>
      <c r="D523" s="8" t="s">
        <v>777</v>
      </c>
      <c r="E523" s="8" t="s">
        <v>168</v>
      </c>
      <c r="F523" s="9">
        <v>489</v>
      </c>
      <c r="G523" s="5" t="e">
        <f>'[2].xls].xls].xls].xls].xls].xls].xls].'!E101</f>
        <v>#REF!</v>
      </c>
      <c r="H523" s="5" t="e">
        <f t="shared" si="42"/>
        <v>#REF!</v>
      </c>
      <c r="I523" s="5" t="e">
        <f>'[2].xls].xls].xls].xls].xls].xls].xls].'!F101</f>
        <v>#REF!</v>
      </c>
      <c r="J523" s="5" t="e">
        <f t="shared" si="43"/>
        <v>#REF!</v>
      </c>
      <c r="K523" s="5" t="e">
        <f>'[2].xls].xls].xls].xls].xls].xls].xls].'!G101</f>
        <v>#REF!</v>
      </c>
      <c r="L523" s="5" t="e">
        <f t="shared" si="44"/>
        <v>#REF!</v>
      </c>
      <c r="M523" s="5" t="e">
        <f t="shared" si="45"/>
        <v>#REF!</v>
      </c>
      <c r="N523" s="5" t="e">
        <f t="shared" si="45"/>
        <v>#REF!</v>
      </c>
      <c r="O523" s="8" t="s">
        <v>776</v>
      </c>
      <c r="T523">
        <v>0</v>
      </c>
      <c r="AC523">
        <v>1</v>
      </c>
    </row>
    <row r="524" spans="1:29" ht="30" customHeight="1" x14ac:dyDescent="0.3">
      <c r="A524" s="8" t="s">
        <v>764</v>
      </c>
      <c r="B524" s="8" t="s">
        <v>559</v>
      </c>
      <c r="C524" s="8" t="s">
        <v>219</v>
      </c>
      <c r="D524" s="8" t="s">
        <v>560</v>
      </c>
      <c r="E524" s="8" t="s">
        <v>168</v>
      </c>
      <c r="F524" s="9">
        <v>594</v>
      </c>
      <c r="G524" s="5" t="e">
        <f>'[2].xls].xls].xls].xls].xls].xls].xls].'!E102</f>
        <v>#REF!</v>
      </c>
      <c r="H524" s="5" t="e">
        <f t="shared" si="42"/>
        <v>#REF!</v>
      </c>
      <c r="I524" s="5" t="e">
        <f>'[2].xls].xls].xls].xls].xls].xls].xls].'!F102</f>
        <v>#REF!</v>
      </c>
      <c r="J524" s="5" t="e">
        <f t="shared" si="43"/>
        <v>#REF!</v>
      </c>
      <c r="K524" s="5" t="e">
        <f>'[2].xls].xls].xls].xls].xls].xls].xls].'!G102</f>
        <v>#REF!</v>
      </c>
      <c r="L524" s="5" t="e">
        <f t="shared" si="44"/>
        <v>#REF!</v>
      </c>
      <c r="M524" s="5" t="e">
        <f t="shared" si="45"/>
        <v>#REF!</v>
      </c>
      <c r="N524" s="5" t="e">
        <f t="shared" si="45"/>
        <v>#REF!</v>
      </c>
      <c r="O524" s="8" t="s">
        <v>559</v>
      </c>
      <c r="T524">
        <v>0</v>
      </c>
      <c r="AC524">
        <v>1</v>
      </c>
    </row>
    <row r="525" spans="1:29" ht="30" customHeight="1" x14ac:dyDescent="0.3">
      <c r="A525" s="8" t="s">
        <v>764</v>
      </c>
      <c r="B525" s="8" t="s">
        <v>237</v>
      </c>
      <c r="C525" s="8" t="s">
        <v>219</v>
      </c>
      <c r="D525" s="8" t="s">
        <v>238</v>
      </c>
      <c r="E525" s="8" t="s">
        <v>168</v>
      </c>
      <c r="F525" s="9">
        <v>223</v>
      </c>
      <c r="G525" s="5" t="e">
        <f>'[2].xls].xls].xls].xls].xls].xls].xls].'!E103</f>
        <v>#REF!</v>
      </c>
      <c r="H525" s="5" t="e">
        <f t="shared" si="42"/>
        <v>#REF!</v>
      </c>
      <c r="I525" s="5" t="e">
        <f>'[2].xls].xls].xls].xls].xls].xls].xls].'!F103</f>
        <v>#REF!</v>
      </c>
      <c r="J525" s="5" t="e">
        <f t="shared" si="43"/>
        <v>#REF!</v>
      </c>
      <c r="K525" s="5" t="e">
        <f>'[2].xls].xls].xls].xls].xls].xls].xls].'!G103</f>
        <v>#REF!</v>
      </c>
      <c r="L525" s="5" t="e">
        <f t="shared" si="44"/>
        <v>#REF!</v>
      </c>
      <c r="M525" s="5" t="e">
        <f t="shared" si="45"/>
        <v>#REF!</v>
      </c>
      <c r="N525" s="5" t="e">
        <f t="shared" si="45"/>
        <v>#REF!</v>
      </c>
      <c r="O525" s="8" t="s">
        <v>237</v>
      </c>
      <c r="T525">
        <v>0</v>
      </c>
      <c r="AC525">
        <v>1</v>
      </c>
    </row>
    <row r="526" spans="1:29" ht="30" customHeight="1" x14ac:dyDescent="0.3">
      <c r="A526" s="8" t="s">
        <v>764</v>
      </c>
      <c r="B526" s="8" t="s">
        <v>239</v>
      </c>
      <c r="C526" s="8" t="s">
        <v>219</v>
      </c>
      <c r="D526" s="8" t="s">
        <v>240</v>
      </c>
      <c r="E526" s="8" t="s">
        <v>168</v>
      </c>
      <c r="F526" s="9">
        <v>242</v>
      </c>
      <c r="G526" s="5" t="e">
        <f>'[2].xls].xls].xls].xls].xls].xls].xls].'!E104</f>
        <v>#REF!</v>
      </c>
      <c r="H526" s="5" t="e">
        <f t="shared" si="42"/>
        <v>#REF!</v>
      </c>
      <c r="I526" s="5" t="e">
        <f>'[2].xls].xls].xls].xls].xls].xls].xls].'!F104</f>
        <v>#REF!</v>
      </c>
      <c r="J526" s="5" t="e">
        <f t="shared" si="43"/>
        <v>#REF!</v>
      </c>
      <c r="K526" s="5" t="e">
        <f>'[2].xls].xls].xls].xls].xls].xls].xls].'!G104</f>
        <v>#REF!</v>
      </c>
      <c r="L526" s="5" t="e">
        <f t="shared" si="44"/>
        <v>#REF!</v>
      </c>
      <c r="M526" s="5" t="e">
        <f t="shared" si="45"/>
        <v>#REF!</v>
      </c>
      <c r="N526" s="5" t="e">
        <f t="shared" si="45"/>
        <v>#REF!</v>
      </c>
      <c r="O526" s="8" t="s">
        <v>239</v>
      </c>
      <c r="T526">
        <v>0</v>
      </c>
      <c r="AC526">
        <v>1</v>
      </c>
    </row>
    <row r="527" spans="1:29" ht="30" customHeight="1" x14ac:dyDescent="0.3">
      <c r="A527" s="8" t="s">
        <v>764</v>
      </c>
      <c r="B527" s="8" t="s">
        <v>241</v>
      </c>
      <c r="C527" s="8" t="s">
        <v>219</v>
      </c>
      <c r="D527" s="8" t="s">
        <v>242</v>
      </c>
      <c r="E527" s="8" t="s">
        <v>168</v>
      </c>
      <c r="F527" s="9">
        <v>79</v>
      </c>
      <c r="G527" s="5" t="e">
        <f>'[2].xls].xls].xls].xls].xls].xls].xls].'!E105</f>
        <v>#REF!</v>
      </c>
      <c r="H527" s="5" t="e">
        <f t="shared" si="42"/>
        <v>#REF!</v>
      </c>
      <c r="I527" s="5" t="e">
        <f>'[2].xls].xls].xls].xls].xls].xls].xls].'!F105</f>
        <v>#REF!</v>
      </c>
      <c r="J527" s="5" t="e">
        <f t="shared" si="43"/>
        <v>#REF!</v>
      </c>
      <c r="K527" s="5" t="e">
        <f>'[2].xls].xls].xls].xls].xls].xls].xls].'!G105</f>
        <v>#REF!</v>
      </c>
      <c r="L527" s="5" t="e">
        <f t="shared" si="44"/>
        <v>#REF!</v>
      </c>
      <c r="M527" s="5" t="e">
        <f t="shared" si="45"/>
        <v>#REF!</v>
      </c>
      <c r="N527" s="5" t="e">
        <f t="shared" si="45"/>
        <v>#REF!</v>
      </c>
      <c r="O527" s="8" t="s">
        <v>241</v>
      </c>
      <c r="T527">
        <v>0</v>
      </c>
      <c r="AC527">
        <v>1</v>
      </c>
    </row>
    <row r="528" spans="1:29" ht="30" customHeight="1" x14ac:dyDescent="0.3">
      <c r="A528" s="8" t="s">
        <v>764</v>
      </c>
      <c r="B528" s="8" t="s">
        <v>243</v>
      </c>
      <c r="C528" s="8" t="s">
        <v>219</v>
      </c>
      <c r="D528" s="8" t="s">
        <v>244</v>
      </c>
      <c r="E528" s="8" t="s">
        <v>168</v>
      </c>
      <c r="F528" s="9">
        <v>1170</v>
      </c>
      <c r="G528" s="5" t="e">
        <f>'[2].xls].xls].xls].xls].xls].xls].xls].'!E107</f>
        <v>#REF!</v>
      </c>
      <c r="H528" s="5" t="e">
        <f t="shared" si="42"/>
        <v>#REF!</v>
      </c>
      <c r="I528" s="5" t="e">
        <f>'[2].xls].xls].xls].xls].xls].xls].xls].'!F107</f>
        <v>#REF!</v>
      </c>
      <c r="J528" s="5" t="e">
        <f t="shared" si="43"/>
        <v>#REF!</v>
      </c>
      <c r="K528" s="5" t="e">
        <f>'[2].xls].xls].xls].xls].xls].xls].xls].'!G107</f>
        <v>#REF!</v>
      </c>
      <c r="L528" s="5" t="e">
        <f t="shared" si="44"/>
        <v>#REF!</v>
      </c>
      <c r="M528" s="5" t="e">
        <f t="shared" si="45"/>
        <v>#REF!</v>
      </c>
      <c r="N528" s="5" t="e">
        <f t="shared" si="45"/>
        <v>#REF!</v>
      </c>
      <c r="O528" s="8" t="s">
        <v>243</v>
      </c>
      <c r="T528">
        <v>0</v>
      </c>
      <c r="AC528">
        <v>1</v>
      </c>
    </row>
    <row r="529" spans="1:29" ht="30" customHeight="1" x14ac:dyDescent="0.3">
      <c r="A529" s="8" t="s">
        <v>764</v>
      </c>
      <c r="B529" s="8" t="s">
        <v>245</v>
      </c>
      <c r="C529" s="8" t="s">
        <v>219</v>
      </c>
      <c r="D529" s="8" t="s">
        <v>246</v>
      </c>
      <c r="E529" s="8" t="s">
        <v>168</v>
      </c>
      <c r="F529" s="9">
        <v>41</v>
      </c>
      <c r="G529" s="5" t="e">
        <f>'[2].xls].xls].xls].xls].xls].xls].xls].'!E108</f>
        <v>#REF!</v>
      </c>
      <c r="H529" s="5" t="e">
        <f t="shared" si="42"/>
        <v>#REF!</v>
      </c>
      <c r="I529" s="5" t="e">
        <f>'[2].xls].xls].xls].xls].xls].xls].xls].'!F108</f>
        <v>#REF!</v>
      </c>
      <c r="J529" s="5" t="e">
        <f t="shared" si="43"/>
        <v>#REF!</v>
      </c>
      <c r="K529" s="5" t="e">
        <f>'[2].xls].xls].xls].xls].xls].xls].xls].'!G108</f>
        <v>#REF!</v>
      </c>
      <c r="L529" s="5" t="e">
        <f t="shared" si="44"/>
        <v>#REF!</v>
      </c>
      <c r="M529" s="5" t="e">
        <f t="shared" si="45"/>
        <v>#REF!</v>
      </c>
      <c r="N529" s="5" t="e">
        <f t="shared" si="45"/>
        <v>#REF!</v>
      </c>
      <c r="O529" s="8" t="s">
        <v>245</v>
      </c>
      <c r="T529">
        <v>0</v>
      </c>
      <c r="AC529">
        <v>1</v>
      </c>
    </row>
    <row r="530" spans="1:29" ht="30" customHeight="1" x14ac:dyDescent="0.3">
      <c r="A530" s="8" t="s">
        <v>764</v>
      </c>
      <c r="B530" s="8" t="s">
        <v>247</v>
      </c>
      <c r="C530" s="8" t="s">
        <v>219</v>
      </c>
      <c r="D530" s="8" t="s">
        <v>248</v>
      </c>
      <c r="E530" s="8" t="s">
        <v>168</v>
      </c>
      <c r="F530" s="9">
        <v>74</v>
      </c>
      <c r="G530" s="5" t="e">
        <f>'[2].xls].xls].xls].xls].xls].xls].xls].'!E109</f>
        <v>#REF!</v>
      </c>
      <c r="H530" s="5" t="e">
        <f t="shared" si="42"/>
        <v>#REF!</v>
      </c>
      <c r="I530" s="5" t="e">
        <f>'[2].xls].xls].xls].xls].xls].xls].xls].'!F109</f>
        <v>#REF!</v>
      </c>
      <c r="J530" s="5" t="e">
        <f t="shared" si="43"/>
        <v>#REF!</v>
      </c>
      <c r="K530" s="5" t="e">
        <f>'[2].xls].xls].xls].xls].xls].xls].xls].'!G109</f>
        <v>#REF!</v>
      </c>
      <c r="L530" s="5" t="e">
        <f t="shared" si="44"/>
        <v>#REF!</v>
      </c>
      <c r="M530" s="5" t="e">
        <f t="shared" si="45"/>
        <v>#REF!</v>
      </c>
      <c r="N530" s="5" t="e">
        <f t="shared" si="45"/>
        <v>#REF!</v>
      </c>
      <c r="O530" s="8" t="s">
        <v>247</v>
      </c>
      <c r="T530">
        <v>0</v>
      </c>
      <c r="AC530">
        <v>1</v>
      </c>
    </row>
    <row r="531" spans="1:29" ht="30" customHeight="1" x14ac:dyDescent="0.3">
      <c r="A531" s="8" t="s">
        <v>764</v>
      </c>
      <c r="B531" s="8" t="s">
        <v>249</v>
      </c>
      <c r="C531" s="8" t="s">
        <v>219</v>
      </c>
      <c r="D531" s="8" t="s">
        <v>250</v>
      </c>
      <c r="E531" s="8" t="s">
        <v>168</v>
      </c>
      <c r="F531" s="9">
        <v>15</v>
      </c>
      <c r="G531" s="5" t="e">
        <f>'[2].xls].xls].xls].xls].xls].xls].xls].'!E110</f>
        <v>#REF!</v>
      </c>
      <c r="H531" s="5" t="e">
        <f t="shared" si="42"/>
        <v>#REF!</v>
      </c>
      <c r="I531" s="5" t="e">
        <f>'[2].xls].xls].xls].xls].xls].xls].xls].'!F110</f>
        <v>#REF!</v>
      </c>
      <c r="J531" s="5" t="e">
        <f t="shared" si="43"/>
        <v>#REF!</v>
      </c>
      <c r="K531" s="5" t="e">
        <f>'[2].xls].xls].xls].xls].xls].xls].xls].'!G110</f>
        <v>#REF!</v>
      </c>
      <c r="L531" s="5" t="e">
        <f t="shared" si="44"/>
        <v>#REF!</v>
      </c>
      <c r="M531" s="5" t="e">
        <f t="shared" ref="M531:N562" si="46">G531+I531+K531</f>
        <v>#REF!</v>
      </c>
      <c r="N531" s="5" t="e">
        <f t="shared" si="46"/>
        <v>#REF!</v>
      </c>
      <c r="O531" s="8" t="s">
        <v>249</v>
      </c>
      <c r="T531">
        <v>0</v>
      </c>
      <c r="AC531">
        <v>1</v>
      </c>
    </row>
    <row r="532" spans="1:29" ht="30" customHeight="1" x14ac:dyDescent="0.3">
      <c r="A532" s="8" t="s">
        <v>764</v>
      </c>
      <c r="B532" s="8" t="s">
        <v>778</v>
      </c>
      <c r="C532" s="8" t="s">
        <v>252</v>
      </c>
      <c r="D532" s="8" t="s">
        <v>779</v>
      </c>
      <c r="E532" s="8" t="s">
        <v>179</v>
      </c>
      <c r="F532" s="9">
        <v>1901</v>
      </c>
      <c r="G532" s="5">
        <f>TRUNC([1]단가대비표!O226,0)</f>
        <v>1860</v>
      </c>
      <c r="H532" s="5">
        <f t="shared" si="42"/>
        <v>3535860</v>
      </c>
      <c r="I532" s="5">
        <v>0</v>
      </c>
      <c r="J532" s="5">
        <f t="shared" si="43"/>
        <v>0</v>
      </c>
      <c r="K532" s="5">
        <v>0</v>
      </c>
      <c r="L532" s="5">
        <f t="shared" si="44"/>
        <v>0</v>
      </c>
      <c r="M532" s="5">
        <f t="shared" si="46"/>
        <v>1860</v>
      </c>
      <c r="N532" s="5">
        <f t="shared" si="46"/>
        <v>3535860</v>
      </c>
      <c r="O532" s="8" t="s">
        <v>20</v>
      </c>
      <c r="T532">
        <v>0</v>
      </c>
      <c r="AC532">
        <v>1</v>
      </c>
    </row>
    <row r="533" spans="1:29" ht="30" customHeight="1" x14ac:dyDescent="0.3">
      <c r="A533" s="8" t="s">
        <v>764</v>
      </c>
      <c r="B533" s="8" t="s">
        <v>251</v>
      </c>
      <c r="C533" s="8" t="s">
        <v>252</v>
      </c>
      <c r="D533" s="8" t="s">
        <v>253</v>
      </c>
      <c r="E533" s="8" t="s">
        <v>179</v>
      </c>
      <c r="F533" s="9">
        <v>452</v>
      </c>
      <c r="G533" s="5">
        <f>TRUNC([1]단가대비표!O227,0)</f>
        <v>2690</v>
      </c>
      <c r="H533" s="5">
        <f t="shared" si="42"/>
        <v>1215880</v>
      </c>
      <c r="I533" s="5">
        <v>0</v>
      </c>
      <c r="J533" s="5">
        <f t="shared" si="43"/>
        <v>0</v>
      </c>
      <c r="K533" s="5">
        <v>0</v>
      </c>
      <c r="L533" s="5">
        <f t="shared" si="44"/>
        <v>0</v>
      </c>
      <c r="M533" s="5">
        <f t="shared" si="46"/>
        <v>2690</v>
      </c>
      <c r="N533" s="5">
        <f t="shared" si="46"/>
        <v>1215880</v>
      </c>
      <c r="O533" s="8" t="s">
        <v>20</v>
      </c>
      <c r="T533">
        <v>0</v>
      </c>
      <c r="AC533">
        <v>1</v>
      </c>
    </row>
    <row r="534" spans="1:29" ht="30" customHeight="1" x14ac:dyDescent="0.3">
      <c r="A534" s="8" t="s">
        <v>764</v>
      </c>
      <c r="B534" s="8" t="s">
        <v>254</v>
      </c>
      <c r="C534" s="8" t="s">
        <v>252</v>
      </c>
      <c r="D534" s="8" t="s">
        <v>255</v>
      </c>
      <c r="E534" s="8" t="s">
        <v>179</v>
      </c>
      <c r="F534" s="9">
        <v>188</v>
      </c>
      <c r="G534" s="5">
        <f>TRUNC([1]단가대비표!O228,0)</f>
        <v>3520</v>
      </c>
      <c r="H534" s="5">
        <f t="shared" si="42"/>
        <v>661760</v>
      </c>
      <c r="I534" s="5">
        <v>0</v>
      </c>
      <c r="J534" s="5">
        <f t="shared" si="43"/>
        <v>0</v>
      </c>
      <c r="K534" s="5">
        <v>0</v>
      </c>
      <c r="L534" s="5">
        <f t="shared" si="44"/>
        <v>0</v>
      </c>
      <c r="M534" s="5">
        <f t="shared" si="46"/>
        <v>3520</v>
      </c>
      <c r="N534" s="5">
        <f t="shared" si="46"/>
        <v>661760</v>
      </c>
      <c r="O534" s="8" t="s">
        <v>20</v>
      </c>
      <c r="T534">
        <v>0</v>
      </c>
      <c r="AC534">
        <v>1</v>
      </c>
    </row>
    <row r="535" spans="1:29" ht="30" customHeight="1" x14ac:dyDescent="0.3">
      <c r="A535" s="8" t="s">
        <v>764</v>
      </c>
      <c r="B535" s="8" t="s">
        <v>256</v>
      </c>
      <c r="C535" s="8" t="s">
        <v>252</v>
      </c>
      <c r="D535" s="8" t="s">
        <v>257</v>
      </c>
      <c r="E535" s="8" t="s">
        <v>179</v>
      </c>
      <c r="F535" s="9">
        <v>57</v>
      </c>
      <c r="G535" s="5">
        <f>TRUNC([1]단가대비표!O229,0)</f>
        <v>6990</v>
      </c>
      <c r="H535" s="5">
        <f t="shared" si="42"/>
        <v>398430</v>
      </c>
      <c r="I535" s="5">
        <v>0</v>
      </c>
      <c r="J535" s="5">
        <f t="shared" si="43"/>
        <v>0</v>
      </c>
      <c r="K535" s="5">
        <v>0</v>
      </c>
      <c r="L535" s="5">
        <f t="shared" si="44"/>
        <v>0</v>
      </c>
      <c r="M535" s="5">
        <f t="shared" si="46"/>
        <v>6990</v>
      </c>
      <c r="N535" s="5">
        <f t="shared" si="46"/>
        <v>398430</v>
      </c>
      <c r="O535" s="8" t="s">
        <v>20</v>
      </c>
      <c r="T535">
        <v>0</v>
      </c>
      <c r="AC535">
        <v>1</v>
      </c>
    </row>
    <row r="536" spans="1:29" ht="30" customHeight="1" x14ac:dyDescent="0.3">
      <c r="A536" s="8" t="s">
        <v>764</v>
      </c>
      <c r="B536" s="8" t="s">
        <v>258</v>
      </c>
      <c r="C536" s="8" t="s">
        <v>252</v>
      </c>
      <c r="D536" s="8" t="s">
        <v>259</v>
      </c>
      <c r="E536" s="8" t="s">
        <v>179</v>
      </c>
      <c r="F536" s="9">
        <v>32</v>
      </c>
      <c r="G536" s="5">
        <f>TRUNC([1]단가대비표!O230,0)</f>
        <v>8650</v>
      </c>
      <c r="H536" s="5">
        <f t="shared" si="42"/>
        <v>276800</v>
      </c>
      <c r="I536" s="5">
        <v>0</v>
      </c>
      <c r="J536" s="5">
        <f t="shared" si="43"/>
        <v>0</v>
      </c>
      <c r="K536" s="5">
        <v>0</v>
      </c>
      <c r="L536" s="5">
        <f t="shared" si="44"/>
        <v>0</v>
      </c>
      <c r="M536" s="5">
        <f t="shared" si="46"/>
        <v>8650</v>
      </c>
      <c r="N536" s="5">
        <f t="shared" si="46"/>
        <v>276800</v>
      </c>
      <c r="O536" s="8" t="s">
        <v>20</v>
      </c>
      <c r="T536">
        <v>0</v>
      </c>
      <c r="AC536">
        <v>1</v>
      </c>
    </row>
    <row r="537" spans="1:29" ht="30" customHeight="1" x14ac:dyDescent="0.3">
      <c r="A537" s="8" t="s">
        <v>764</v>
      </c>
      <c r="B537" s="8" t="s">
        <v>260</v>
      </c>
      <c r="C537" s="8" t="s">
        <v>252</v>
      </c>
      <c r="D537" s="8" t="s">
        <v>261</v>
      </c>
      <c r="E537" s="8" t="s">
        <v>179</v>
      </c>
      <c r="F537" s="9">
        <v>52</v>
      </c>
      <c r="G537" s="5">
        <f>TRUNC([1]단가대비표!O231,0)</f>
        <v>11460</v>
      </c>
      <c r="H537" s="5">
        <f t="shared" si="42"/>
        <v>595920</v>
      </c>
      <c r="I537" s="5">
        <v>0</v>
      </c>
      <c r="J537" s="5">
        <f t="shared" si="43"/>
        <v>0</v>
      </c>
      <c r="K537" s="5">
        <v>0</v>
      </c>
      <c r="L537" s="5">
        <f t="shared" si="44"/>
        <v>0</v>
      </c>
      <c r="M537" s="5">
        <f t="shared" si="46"/>
        <v>11460</v>
      </c>
      <c r="N537" s="5">
        <f t="shared" si="46"/>
        <v>595920</v>
      </c>
      <c r="O537" s="8" t="s">
        <v>20</v>
      </c>
      <c r="T537">
        <v>0</v>
      </c>
      <c r="AC537">
        <v>1</v>
      </c>
    </row>
    <row r="538" spans="1:29" ht="30" customHeight="1" x14ac:dyDescent="0.3">
      <c r="A538" s="8" t="s">
        <v>764</v>
      </c>
      <c r="B538" s="8" t="s">
        <v>262</v>
      </c>
      <c r="C538" s="8" t="s">
        <v>252</v>
      </c>
      <c r="D538" s="8" t="s">
        <v>263</v>
      </c>
      <c r="E538" s="8" t="s">
        <v>179</v>
      </c>
      <c r="F538" s="9">
        <v>30</v>
      </c>
      <c r="G538" s="5">
        <f>TRUNC([1]단가대비표!O232,0)</f>
        <v>14620</v>
      </c>
      <c r="H538" s="5">
        <f t="shared" si="42"/>
        <v>438600</v>
      </c>
      <c r="I538" s="5">
        <v>0</v>
      </c>
      <c r="J538" s="5">
        <f t="shared" si="43"/>
        <v>0</v>
      </c>
      <c r="K538" s="5">
        <v>0</v>
      </c>
      <c r="L538" s="5">
        <f t="shared" si="44"/>
        <v>0</v>
      </c>
      <c r="M538" s="5">
        <f t="shared" si="46"/>
        <v>14620</v>
      </c>
      <c r="N538" s="5">
        <f t="shared" si="46"/>
        <v>438600</v>
      </c>
      <c r="O538" s="8" t="s">
        <v>20</v>
      </c>
      <c r="T538">
        <v>0</v>
      </c>
      <c r="AC538">
        <v>1</v>
      </c>
    </row>
    <row r="539" spans="1:29" ht="30" customHeight="1" x14ac:dyDescent="0.3">
      <c r="A539" s="8" t="s">
        <v>764</v>
      </c>
      <c r="B539" s="8" t="s">
        <v>264</v>
      </c>
      <c r="C539" s="8" t="s">
        <v>252</v>
      </c>
      <c r="D539" s="8" t="s">
        <v>265</v>
      </c>
      <c r="E539" s="8" t="s">
        <v>179</v>
      </c>
      <c r="F539" s="9">
        <v>9</v>
      </c>
      <c r="G539" s="5">
        <f>TRUNC([1]단가대비표!O233,0)</f>
        <v>46490</v>
      </c>
      <c r="H539" s="5">
        <f t="shared" si="42"/>
        <v>418410</v>
      </c>
      <c r="I539" s="5">
        <v>0</v>
      </c>
      <c r="J539" s="5">
        <f t="shared" si="43"/>
        <v>0</v>
      </c>
      <c r="K539" s="5">
        <v>0</v>
      </c>
      <c r="L539" s="5">
        <f t="shared" si="44"/>
        <v>0</v>
      </c>
      <c r="M539" s="5">
        <f t="shared" si="46"/>
        <v>46490</v>
      </c>
      <c r="N539" s="5">
        <f t="shared" si="46"/>
        <v>418410</v>
      </c>
      <c r="O539" s="8" t="s">
        <v>20</v>
      </c>
      <c r="T539">
        <v>0</v>
      </c>
      <c r="AC539">
        <v>1</v>
      </c>
    </row>
    <row r="540" spans="1:29" ht="30" customHeight="1" x14ac:dyDescent="0.3">
      <c r="A540" s="8" t="s">
        <v>764</v>
      </c>
      <c r="B540" s="8" t="s">
        <v>266</v>
      </c>
      <c r="C540" s="8" t="s">
        <v>252</v>
      </c>
      <c r="D540" s="8" t="s">
        <v>267</v>
      </c>
      <c r="E540" s="8" t="s">
        <v>179</v>
      </c>
      <c r="F540" s="9">
        <v>5</v>
      </c>
      <c r="G540" s="5">
        <f>TRUNC([1]단가대비표!O234,0)</f>
        <v>66510</v>
      </c>
      <c r="H540" s="5">
        <f t="shared" si="42"/>
        <v>332550</v>
      </c>
      <c r="I540" s="5">
        <v>0</v>
      </c>
      <c r="J540" s="5">
        <f t="shared" si="43"/>
        <v>0</v>
      </c>
      <c r="K540" s="5">
        <v>0</v>
      </c>
      <c r="L540" s="5">
        <f t="shared" si="44"/>
        <v>0</v>
      </c>
      <c r="M540" s="5">
        <f t="shared" si="46"/>
        <v>66510</v>
      </c>
      <c r="N540" s="5">
        <f t="shared" si="46"/>
        <v>332550</v>
      </c>
      <c r="O540" s="8" t="s">
        <v>20</v>
      </c>
      <c r="T540">
        <v>0</v>
      </c>
      <c r="AC540">
        <v>1</v>
      </c>
    </row>
    <row r="541" spans="1:29" ht="30" customHeight="1" x14ac:dyDescent="0.3">
      <c r="A541" s="8" t="s">
        <v>764</v>
      </c>
      <c r="B541" s="8" t="s">
        <v>780</v>
      </c>
      <c r="C541" s="8" t="s">
        <v>252</v>
      </c>
      <c r="D541" s="8" t="s">
        <v>781</v>
      </c>
      <c r="E541" s="8" t="s">
        <v>179</v>
      </c>
      <c r="F541" s="9">
        <v>71</v>
      </c>
      <c r="G541" s="5">
        <f>TRUNC([1]단가대비표!O215,0)</f>
        <v>3910</v>
      </c>
      <c r="H541" s="5">
        <f t="shared" si="42"/>
        <v>277610</v>
      </c>
      <c r="I541" s="5">
        <v>0</v>
      </c>
      <c r="J541" s="5">
        <f t="shared" si="43"/>
        <v>0</v>
      </c>
      <c r="K541" s="5">
        <v>0</v>
      </c>
      <c r="L541" s="5">
        <f t="shared" si="44"/>
        <v>0</v>
      </c>
      <c r="M541" s="5">
        <f t="shared" si="46"/>
        <v>3910</v>
      </c>
      <c r="N541" s="5">
        <f t="shared" si="46"/>
        <v>277610</v>
      </c>
      <c r="O541" s="8" t="s">
        <v>20</v>
      </c>
      <c r="T541">
        <v>0</v>
      </c>
      <c r="AC541">
        <v>1</v>
      </c>
    </row>
    <row r="542" spans="1:29" ht="30" customHeight="1" x14ac:dyDescent="0.3">
      <c r="A542" s="8" t="s">
        <v>764</v>
      </c>
      <c r="B542" s="8" t="s">
        <v>782</v>
      </c>
      <c r="C542" s="8" t="s">
        <v>252</v>
      </c>
      <c r="D542" s="8" t="s">
        <v>783</v>
      </c>
      <c r="E542" s="8" t="s">
        <v>179</v>
      </c>
      <c r="F542" s="9">
        <v>13</v>
      </c>
      <c r="G542" s="5">
        <f>TRUNC([1]단가대비표!O216,0)</f>
        <v>4830</v>
      </c>
      <c r="H542" s="5">
        <f t="shared" si="42"/>
        <v>62790</v>
      </c>
      <c r="I542" s="5">
        <v>0</v>
      </c>
      <c r="J542" s="5">
        <f t="shared" si="43"/>
        <v>0</v>
      </c>
      <c r="K542" s="5">
        <v>0</v>
      </c>
      <c r="L542" s="5">
        <f t="shared" si="44"/>
        <v>0</v>
      </c>
      <c r="M542" s="5">
        <f t="shared" si="46"/>
        <v>4830</v>
      </c>
      <c r="N542" s="5">
        <f t="shared" si="46"/>
        <v>62790</v>
      </c>
      <c r="O542" s="8" t="s">
        <v>20</v>
      </c>
      <c r="T542">
        <v>0</v>
      </c>
      <c r="AC542">
        <v>1</v>
      </c>
    </row>
    <row r="543" spans="1:29" ht="30" customHeight="1" x14ac:dyDescent="0.3">
      <c r="A543" s="8" t="s">
        <v>764</v>
      </c>
      <c r="B543" s="8" t="s">
        <v>784</v>
      </c>
      <c r="C543" s="8" t="s">
        <v>252</v>
      </c>
      <c r="D543" s="8" t="s">
        <v>785</v>
      </c>
      <c r="E543" s="8" t="s">
        <v>179</v>
      </c>
      <c r="F543" s="9">
        <v>49</v>
      </c>
      <c r="G543" s="5">
        <f>TRUNC([1]단가대비표!O217,0)</f>
        <v>6480</v>
      </c>
      <c r="H543" s="5">
        <f t="shared" si="42"/>
        <v>317520</v>
      </c>
      <c r="I543" s="5">
        <v>0</v>
      </c>
      <c r="J543" s="5">
        <f t="shared" si="43"/>
        <v>0</v>
      </c>
      <c r="K543" s="5">
        <v>0</v>
      </c>
      <c r="L543" s="5">
        <f t="shared" si="44"/>
        <v>0</v>
      </c>
      <c r="M543" s="5">
        <f t="shared" si="46"/>
        <v>6480</v>
      </c>
      <c r="N543" s="5">
        <f t="shared" si="46"/>
        <v>317520</v>
      </c>
      <c r="O543" s="8" t="s">
        <v>20</v>
      </c>
      <c r="T543">
        <v>0</v>
      </c>
      <c r="AC543">
        <v>1</v>
      </c>
    </row>
    <row r="544" spans="1:29" ht="30" customHeight="1" x14ac:dyDescent="0.3">
      <c r="A544" s="8" t="s">
        <v>764</v>
      </c>
      <c r="B544" s="8" t="s">
        <v>567</v>
      </c>
      <c r="C544" s="8" t="s">
        <v>252</v>
      </c>
      <c r="D544" s="8" t="s">
        <v>568</v>
      </c>
      <c r="E544" s="8" t="s">
        <v>179</v>
      </c>
      <c r="F544" s="9">
        <v>468</v>
      </c>
      <c r="G544" s="5">
        <f>TRUNC([1]단가대비표!O236,0)</f>
        <v>6900</v>
      </c>
      <c r="H544" s="5">
        <f t="shared" si="42"/>
        <v>3229200</v>
      </c>
      <c r="I544" s="5">
        <v>0</v>
      </c>
      <c r="J544" s="5">
        <f t="shared" si="43"/>
        <v>0</v>
      </c>
      <c r="K544" s="5">
        <v>0</v>
      </c>
      <c r="L544" s="5">
        <f t="shared" si="44"/>
        <v>0</v>
      </c>
      <c r="M544" s="5">
        <f t="shared" si="46"/>
        <v>6900</v>
      </c>
      <c r="N544" s="5">
        <f t="shared" si="46"/>
        <v>3229200</v>
      </c>
      <c r="O544" s="8" t="s">
        <v>20</v>
      </c>
      <c r="T544">
        <v>0</v>
      </c>
      <c r="AC544">
        <v>1</v>
      </c>
    </row>
    <row r="545" spans="1:29" ht="30" customHeight="1" x14ac:dyDescent="0.3">
      <c r="A545" s="8" t="s">
        <v>764</v>
      </c>
      <c r="B545" s="8" t="s">
        <v>268</v>
      </c>
      <c r="C545" s="8" t="s">
        <v>252</v>
      </c>
      <c r="D545" s="8" t="s">
        <v>269</v>
      </c>
      <c r="E545" s="8" t="s">
        <v>179</v>
      </c>
      <c r="F545" s="9">
        <v>122</v>
      </c>
      <c r="G545" s="5">
        <f>TRUNC([1]단가대비표!O237,0)</f>
        <v>10110</v>
      </c>
      <c r="H545" s="5">
        <f t="shared" si="42"/>
        <v>1233420</v>
      </c>
      <c r="I545" s="5">
        <v>0</v>
      </c>
      <c r="J545" s="5">
        <f t="shared" si="43"/>
        <v>0</v>
      </c>
      <c r="K545" s="5">
        <v>0</v>
      </c>
      <c r="L545" s="5">
        <f t="shared" si="44"/>
        <v>0</v>
      </c>
      <c r="M545" s="5">
        <f t="shared" si="46"/>
        <v>10110</v>
      </c>
      <c r="N545" s="5">
        <f t="shared" si="46"/>
        <v>1233420</v>
      </c>
      <c r="O545" s="8" t="s">
        <v>20</v>
      </c>
      <c r="T545">
        <v>0</v>
      </c>
      <c r="AC545">
        <v>1</v>
      </c>
    </row>
    <row r="546" spans="1:29" ht="30" customHeight="1" x14ac:dyDescent="0.3">
      <c r="A546" s="8" t="s">
        <v>764</v>
      </c>
      <c r="B546" s="8" t="s">
        <v>569</v>
      </c>
      <c r="C546" s="8" t="s">
        <v>252</v>
      </c>
      <c r="D546" s="8" t="s">
        <v>570</v>
      </c>
      <c r="E546" s="8" t="s">
        <v>179</v>
      </c>
      <c r="F546" s="9">
        <v>144</v>
      </c>
      <c r="G546" s="5">
        <f>TRUNC([1]단가대비표!O238,0)</f>
        <v>13500</v>
      </c>
      <c r="H546" s="5">
        <f t="shared" si="42"/>
        <v>1944000</v>
      </c>
      <c r="I546" s="5">
        <v>0</v>
      </c>
      <c r="J546" s="5">
        <f t="shared" si="43"/>
        <v>0</v>
      </c>
      <c r="K546" s="5">
        <v>0</v>
      </c>
      <c r="L546" s="5">
        <f t="shared" si="44"/>
        <v>0</v>
      </c>
      <c r="M546" s="5">
        <f t="shared" si="46"/>
        <v>13500</v>
      </c>
      <c r="N546" s="5">
        <f t="shared" si="46"/>
        <v>1944000</v>
      </c>
      <c r="O546" s="8" t="s">
        <v>20</v>
      </c>
      <c r="T546">
        <v>0</v>
      </c>
      <c r="AC546">
        <v>1</v>
      </c>
    </row>
    <row r="547" spans="1:29" ht="30" customHeight="1" x14ac:dyDescent="0.3">
      <c r="A547" s="8" t="s">
        <v>764</v>
      </c>
      <c r="B547" s="8" t="s">
        <v>270</v>
      </c>
      <c r="C547" s="8" t="s">
        <v>252</v>
      </c>
      <c r="D547" s="8" t="s">
        <v>271</v>
      </c>
      <c r="E547" s="8" t="s">
        <v>179</v>
      </c>
      <c r="F547" s="9">
        <v>108</v>
      </c>
      <c r="G547" s="5">
        <f>TRUNC([1]단가대비표!O239,0)</f>
        <v>17380</v>
      </c>
      <c r="H547" s="5">
        <f t="shared" si="42"/>
        <v>1877040</v>
      </c>
      <c r="I547" s="5">
        <v>0</v>
      </c>
      <c r="J547" s="5">
        <f t="shared" si="43"/>
        <v>0</v>
      </c>
      <c r="K547" s="5">
        <v>0</v>
      </c>
      <c r="L547" s="5">
        <f t="shared" si="44"/>
        <v>0</v>
      </c>
      <c r="M547" s="5">
        <f t="shared" si="46"/>
        <v>17380</v>
      </c>
      <c r="N547" s="5">
        <f t="shared" si="46"/>
        <v>1877040</v>
      </c>
      <c r="O547" s="8" t="s">
        <v>20</v>
      </c>
      <c r="T547">
        <v>0</v>
      </c>
      <c r="AC547">
        <v>1</v>
      </c>
    </row>
    <row r="548" spans="1:29" ht="30" customHeight="1" x14ac:dyDescent="0.3">
      <c r="A548" s="8" t="s">
        <v>764</v>
      </c>
      <c r="B548" s="8" t="s">
        <v>571</v>
      </c>
      <c r="C548" s="8" t="s">
        <v>252</v>
      </c>
      <c r="D548" s="8" t="s">
        <v>572</v>
      </c>
      <c r="E548" s="8" t="s">
        <v>179</v>
      </c>
      <c r="F548" s="9">
        <v>117</v>
      </c>
      <c r="G548" s="5">
        <f>TRUNC([1]단가대비표!O240,0)</f>
        <v>23220</v>
      </c>
      <c r="H548" s="5">
        <f t="shared" si="42"/>
        <v>2716740</v>
      </c>
      <c r="I548" s="5">
        <v>0</v>
      </c>
      <c r="J548" s="5">
        <f t="shared" si="43"/>
        <v>0</v>
      </c>
      <c r="K548" s="5">
        <v>0</v>
      </c>
      <c r="L548" s="5">
        <f t="shared" si="44"/>
        <v>0</v>
      </c>
      <c r="M548" s="5">
        <f t="shared" si="46"/>
        <v>23220</v>
      </c>
      <c r="N548" s="5">
        <f t="shared" si="46"/>
        <v>2716740</v>
      </c>
      <c r="O548" s="8" t="s">
        <v>20</v>
      </c>
      <c r="T548">
        <v>0</v>
      </c>
      <c r="AC548">
        <v>1</v>
      </c>
    </row>
    <row r="549" spans="1:29" ht="30" customHeight="1" x14ac:dyDescent="0.3">
      <c r="A549" s="8" t="s">
        <v>764</v>
      </c>
      <c r="B549" s="8" t="s">
        <v>272</v>
      </c>
      <c r="C549" s="8" t="s">
        <v>252</v>
      </c>
      <c r="D549" s="8" t="s">
        <v>273</v>
      </c>
      <c r="E549" s="8" t="s">
        <v>179</v>
      </c>
      <c r="F549" s="9">
        <v>46</v>
      </c>
      <c r="G549" s="5">
        <f>TRUNC([1]단가대비표!O241,0)</f>
        <v>28800</v>
      </c>
      <c r="H549" s="5">
        <f t="shared" si="42"/>
        <v>1324800</v>
      </c>
      <c r="I549" s="5">
        <v>0</v>
      </c>
      <c r="J549" s="5">
        <f t="shared" si="43"/>
        <v>0</v>
      </c>
      <c r="K549" s="5">
        <v>0</v>
      </c>
      <c r="L549" s="5">
        <f t="shared" si="44"/>
        <v>0</v>
      </c>
      <c r="M549" s="5">
        <f t="shared" si="46"/>
        <v>28800</v>
      </c>
      <c r="N549" s="5">
        <f t="shared" si="46"/>
        <v>1324800</v>
      </c>
      <c r="O549" s="8" t="s">
        <v>20</v>
      </c>
      <c r="T549">
        <v>0</v>
      </c>
      <c r="AC549">
        <v>1</v>
      </c>
    </row>
    <row r="550" spans="1:29" ht="30" customHeight="1" x14ac:dyDescent="0.3">
      <c r="A550" s="8" t="s">
        <v>764</v>
      </c>
      <c r="B550" s="8" t="s">
        <v>274</v>
      </c>
      <c r="C550" s="8" t="s">
        <v>252</v>
      </c>
      <c r="D550" s="8" t="s">
        <v>275</v>
      </c>
      <c r="E550" s="8" t="s">
        <v>179</v>
      </c>
      <c r="F550" s="9">
        <v>1</v>
      </c>
      <c r="G550" s="5">
        <f>TRUNC([1]단가대비표!O243,0)</f>
        <v>69460</v>
      </c>
      <c r="H550" s="5">
        <f t="shared" si="42"/>
        <v>69460</v>
      </c>
      <c r="I550" s="5">
        <v>0</v>
      </c>
      <c r="J550" s="5">
        <f t="shared" si="43"/>
        <v>0</v>
      </c>
      <c r="K550" s="5">
        <v>0</v>
      </c>
      <c r="L550" s="5">
        <f t="shared" si="44"/>
        <v>0</v>
      </c>
      <c r="M550" s="5">
        <f t="shared" si="46"/>
        <v>69460</v>
      </c>
      <c r="N550" s="5">
        <f t="shared" si="46"/>
        <v>69460</v>
      </c>
      <c r="O550" s="8" t="s">
        <v>20</v>
      </c>
      <c r="T550">
        <v>0</v>
      </c>
      <c r="AC550">
        <v>1</v>
      </c>
    </row>
    <row r="551" spans="1:29" ht="30" customHeight="1" x14ac:dyDescent="0.3">
      <c r="A551" s="8" t="s">
        <v>764</v>
      </c>
      <c r="B551" s="8" t="s">
        <v>276</v>
      </c>
      <c r="C551" s="8" t="s">
        <v>252</v>
      </c>
      <c r="D551" s="8" t="s">
        <v>277</v>
      </c>
      <c r="E551" s="8" t="s">
        <v>179</v>
      </c>
      <c r="F551" s="9">
        <v>15</v>
      </c>
      <c r="G551" s="5">
        <f>TRUNC([1]단가대비표!O244,0)</f>
        <v>93940</v>
      </c>
      <c r="H551" s="5">
        <f t="shared" si="42"/>
        <v>1409100</v>
      </c>
      <c r="I551" s="5">
        <v>0</v>
      </c>
      <c r="J551" s="5">
        <f t="shared" si="43"/>
        <v>0</v>
      </c>
      <c r="K551" s="5">
        <v>0</v>
      </c>
      <c r="L551" s="5">
        <f t="shared" si="44"/>
        <v>0</v>
      </c>
      <c r="M551" s="5">
        <f t="shared" si="46"/>
        <v>93940</v>
      </c>
      <c r="N551" s="5">
        <f t="shared" si="46"/>
        <v>1409100</v>
      </c>
      <c r="O551" s="8" t="s">
        <v>20</v>
      </c>
      <c r="T551">
        <v>0</v>
      </c>
      <c r="AC551">
        <v>1</v>
      </c>
    </row>
    <row r="552" spans="1:29" ht="30" customHeight="1" x14ac:dyDescent="0.3">
      <c r="A552" s="8" t="s">
        <v>764</v>
      </c>
      <c r="B552" s="8" t="s">
        <v>786</v>
      </c>
      <c r="C552" s="8" t="s">
        <v>252</v>
      </c>
      <c r="D552" s="8" t="s">
        <v>787</v>
      </c>
      <c r="E552" s="8" t="s">
        <v>179</v>
      </c>
      <c r="F552" s="9">
        <v>544</v>
      </c>
      <c r="G552" s="5">
        <f>TRUNC([1]단가대비표!O242,0)</f>
        <v>5340</v>
      </c>
      <c r="H552" s="5">
        <f t="shared" si="42"/>
        <v>2904960</v>
      </c>
      <c r="I552" s="5">
        <v>0</v>
      </c>
      <c r="J552" s="5">
        <f t="shared" si="43"/>
        <v>0</v>
      </c>
      <c r="K552" s="5">
        <v>0</v>
      </c>
      <c r="L552" s="5">
        <f t="shared" si="44"/>
        <v>0</v>
      </c>
      <c r="M552" s="5">
        <f t="shared" si="46"/>
        <v>5340</v>
      </c>
      <c r="N552" s="5">
        <f t="shared" si="46"/>
        <v>2904960</v>
      </c>
      <c r="O552" s="8" t="s">
        <v>20</v>
      </c>
      <c r="T552">
        <v>0</v>
      </c>
      <c r="AC552">
        <v>1</v>
      </c>
    </row>
    <row r="553" spans="1:29" ht="30" customHeight="1" x14ac:dyDescent="0.3">
      <c r="A553" s="8" t="s">
        <v>764</v>
      </c>
      <c r="B553" s="8" t="s">
        <v>788</v>
      </c>
      <c r="C553" s="8" t="s">
        <v>252</v>
      </c>
      <c r="D553" s="8" t="s">
        <v>789</v>
      </c>
      <c r="E553" s="8" t="s">
        <v>179</v>
      </c>
      <c r="F553" s="9">
        <v>3</v>
      </c>
      <c r="G553" s="5">
        <f>TRUNC([1]단가대비표!O245,0)</f>
        <v>2950</v>
      </c>
      <c r="H553" s="5">
        <f t="shared" si="42"/>
        <v>8850</v>
      </c>
      <c r="I553" s="5">
        <v>0</v>
      </c>
      <c r="J553" s="5">
        <f t="shared" si="43"/>
        <v>0</v>
      </c>
      <c r="K553" s="5">
        <v>0</v>
      </c>
      <c r="L553" s="5">
        <f t="shared" si="44"/>
        <v>0</v>
      </c>
      <c r="M553" s="5">
        <f t="shared" si="46"/>
        <v>2950</v>
      </c>
      <c r="N553" s="5">
        <f t="shared" si="46"/>
        <v>8850</v>
      </c>
      <c r="O553" s="8" t="s">
        <v>20</v>
      </c>
      <c r="T553">
        <v>0</v>
      </c>
      <c r="AC553">
        <v>1</v>
      </c>
    </row>
    <row r="554" spans="1:29" ht="30" customHeight="1" x14ac:dyDescent="0.3">
      <c r="A554" s="8" t="s">
        <v>764</v>
      </c>
      <c r="B554" s="8" t="s">
        <v>278</v>
      </c>
      <c r="C554" s="8" t="s">
        <v>252</v>
      </c>
      <c r="D554" s="8" t="s">
        <v>279</v>
      </c>
      <c r="E554" s="8" t="s">
        <v>179</v>
      </c>
      <c r="F554" s="9">
        <v>1</v>
      </c>
      <c r="G554" s="5">
        <f>TRUNC([1]단가대비표!O246,0)</f>
        <v>4810</v>
      </c>
      <c r="H554" s="5">
        <f t="shared" si="42"/>
        <v>4810</v>
      </c>
      <c r="I554" s="5">
        <v>0</v>
      </c>
      <c r="J554" s="5">
        <f t="shared" si="43"/>
        <v>0</v>
      </c>
      <c r="K554" s="5">
        <v>0</v>
      </c>
      <c r="L554" s="5">
        <f t="shared" si="44"/>
        <v>0</v>
      </c>
      <c r="M554" s="5">
        <f t="shared" si="46"/>
        <v>4810</v>
      </c>
      <c r="N554" s="5">
        <f t="shared" si="46"/>
        <v>4810</v>
      </c>
      <c r="O554" s="8" t="s">
        <v>20</v>
      </c>
      <c r="T554">
        <v>0</v>
      </c>
      <c r="AC554">
        <v>1</v>
      </c>
    </row>
    <row r="555" spans="1:29" ht="30" customHeight="1" x14ac:dyDescent="0.3">
      <c r="A555" s="8" t="s">
        <v>764</v>
      </c>
      <c r="B555" s="8" t="s">
        <v>573</v>
      </c>
      <c r="C555" s="8" t="s">
        <v>252</v>
      </c>
      <c r="D555" s="8" t="s">
        <v>574</v>
      </c>
      <c r="E555" s="8" t="s">
        <v>179</v>
      </c>
      <c r="F555" s="9">
        <v>28</v>
      </c>
      <c r="G555" s="5">
        <f>TRUNC([1]단가대비표!O247,0)</f>
        <v>5080</v>
      </c>
      <c r="H555" s="5">
        <f t="shared" si="42"/>
        <v>142240</v>
      </c>
      <c r="I555" s="5">
        <v>0</v>
      </c>
      <c r="J555" s="5">
        <f t="shared" si="43"/>
        <v>0</v>
      </c>
      <c r="K555" s="5">
        <v>0</v>
      </c>
      <c r="L555" s="5">
        <f t="shared" si="44"/>
        <v>0</v>
      </c>
      <c r="M555" s="5">
        <f t="shared" si="46"/>
        <v>5080</v>
      </c>
      <c r="N555" s="5">
        <f t="shared" si="46"/>
        <v>142240</v>
      </c>
      <c r="O555" s="8" t="s">
        <v>20</v>
      </c>
      <c r="T555">
        <v>0</v>
      </c>
      <c r="AC555">
        <v>1</v>
      </c>
    </row>
    <row r="556" spans="1:29" ht="30" customHeight="1" x14ac:dyDescent="0.3">
      <c r="A556" s="8" t="s">
        <v>764</v>
      </c>
      <c r="B556" s="8" t="s">
        <v>790</v>
      </c>
      <c r="C556" s="8" t="s">
        <v>252</v>
      </c>
      <c r="D556" s="8" t="s">
        <v>791</v>
      </c>
      <c r="E556" s="8" t="s">
        <v>179</v>
      </c>
      <c r="F556" s="9">
        <v>1</v>
      </c>
      <c r="G556" s="5">
        <f>TRUNC([1]단가대비표!O248,0)</f>
        <v>6240</v>
      </c>
      <c r="H556" s="5">
        <f t="shared" si="42"/>
        <v>6240</v>
      </c>
      <c r="I556" s="5">
        <v>0</v>
      </c>
      <c r="J556" s="5">
        <f t="shared" si="43"/>
        <v>0</v>
      </c>
      <c r="K556" s="5">
        <v>0</v>
      </c>
      <c r="L556" s="5">
        <f t="shared" si="44"/>
        <v>0</v>
      </c>
      <c r="M556" s="5">
        <f t="shared" si="46"/>
        <v>6240</v>
      </c>
      <c r="N556" s="5">
        <f t="shared" si="46"/>
        <v>6240</v>
      </c>
      <c r="O556" s="8" t="s">
        <v>20</v>
      </c>
      <c r="T556">
        <v>0</v>
      </c>
      <c r="AC556">
        <v>1</v>
      </c>
    </row>
    <row r="557" spans="1:29" ht="30" customHeight="1" x14ac:dyDescent="0.3">
      <c r="A557" s="8" t="s">
        <v>764</v>
      </c>
      <c r="B557" s="8" t="s">
        <v>792</v>
      </c>
      <c r="C557" s="8" t="s">
        <v>252</v>
      </c>
      <c r="D557" s="8" t="s">
        <v>793</v>
      </c>
      <c r="E557" s="8" t="s">
        <v>179</v>
      </c>
      <c r="F557" s="9">
        <v>3</v>
      </c>
      <c r="G557" s="5">
        <f>TRUNC([1]단가대비표!O249,0)</f>
        <v>7970</v>
      </c>
      <c r="H557" s="5">
        <f t="shared" si="42"/>
        <v>23910</v>
      </c>
      <c r="I557" s="5">
        <v>0</v>
      </c>
      <c r="J557" s="5">
        <f t="shared" si="43"/>
        <v>0</v>
      </c>
      <c r="K557" s="5">
        <v>0</v>
      </c>
      <c r="L557" s="5">
        <f t="shared" si="44"/>
        <v>0</v>
      </c>
      <c r="M557" s="5">
        <f t="shared" si="46"/>
        <v>7970</v>
      </c>
      <c r="N557" s="5">
        <f t="shared" si="46"/>
        <v>23910</v>
      </c>
      <c r="O557" s="8" t="s">
        <v>20</v>
      </c>
      <c r="T557">
        <v>0</v>
      </c>
      <c r="AC557">
        <v>1</v>
      </c>
    </row>
    <row r="558" spans="1:29" ht="30" customHeight="1" x14ac:dyDescent="0.3">
      <c r="A558" s="8" t="s">
        <v>764</v>
      </c>
      <c r="B558" s="8" t="s">
        <v>575</v>
      </c>
      <c r="C558" s="8" t="s">
        <v>252</v>
      </c>
      <c r="D558" s="8" t="s">
        <v>576</v>
      </c>
      <c r="E558" s="8" t="s">
        <v>179</v>
      </c>
      <c r="F558" s="9">
        <v>41</v>
      </c>
      <c r="G558" s="5">
        <f>TRUNC([1]단가대비표!O250,0)</f>
        <v>8570</v>
      </c>
      <c r="H558" s="5">
        <f t="shared" si="42"/>
        <v>351370</v>
      </c>
      <c r="I558" s="5">
        <v>0</v>
      </c>
      <c r="J558" s="5">
        <f t="shared" si="43"/>
        <v>0</v>
      </c>
      <c r="K558" s="5">
        <v>0</v>
      </c>
      <c r="L558" s="5">
        <f t="shared" si="44"/>
        <v>0</v>
      </c>
      <c r="M558" s="5">
        <f t="shared" si="46"/>
        <v>8570</v>
      </c>
      <c r="N558" s="5">
        <f t="shared" si="46"/>
        <v>351370</v>
      </c>
      <c r="O558" s="8" t="s">
        <v>20</v>
      </c>
      <c r="T558">
        <v>0</v>
      </c>
      <c r="AC558">
        <v>1</v>
      </c>
    </row>
    <row r="559" spans="1:29" ht="30" customHeight="1" x14ac:dyDescent="0.3">
      <c r="A559" s="8" t="s">
        <v>764</v>
      </c>
      <c r="B559" s="8" t="s">
        <v>794</v>
      </c>
      <c r="C559" s="8" t="s">
        <v>252</v>
      </c>
      <c r="D559" s="8" t="s">
        <v>795</v>
      </c>
      <c r="E559" s="8" t="s">
        <v>179</v>
      </c>
      <c r="F559" s="9">
        <v>3</v>
      </c>
      <c r="G559" s="5">
        <f>TRUNC([1]단가대비표!O252,0)</f>
        <v>9670</v>
      </c>
      <c r="H559" s="5">
        <f t="shared" si="42"/>
        <v>29010</v>
      </c>
      <c r="I559" s="5">
        <v>0</v>
      </c>
      <c r="J559" s="5">
        <f t="shared" si="43"/>
        <v>0</v>
      </c>
      <c r="K559" s="5">
        <v>0</v>
      </c>
      <c r="L559" s="5">
        <f t="shared" si="44"/>
        <v>0</v>
      </c>
      <c r="M559" s="5">
        <f t="shared" si="46"/>
        <v>9670</v>
      </c>
      <c r="N559" s="5">
        <f t="shared" si="46"/>
        <v>29010</v>
      </c>
      <c r="O559" s="8" t="s">
        <v>20</v>
      </c>
      <c r="T559">
        <v>0</v>
      </c>
      <c r="AC559">
        <v>1</v>
      </c>
    </row>
    <row r="560" spans="1:29" ht="30" customHeight="1" x14ac:dyDescent="0.3">
      <c r="A560" s="8" t="s">
        <v>764</v>
      </c>
      <c r="B560" s="8" t="s">
        <v>796</v>
      </c>
      <c r="C560" s="8" t="s">
        <v>252</v>
      </c>
      <c r="D560" s="8" t="s">
        <v>797</v>
      </c>
      <c r="E560" s="8" t="s">
        <v>179</v>
      </c>
      <c r="F560" s="9">
        <v>4</v>
      </c>
      <c r="G560" s="5">
        <f>TRUNC([1]단가대비표!O253,0)</f>
        <v>9790</v>
      </c>
      <c r="H560" s="5">
        <f t="shared" si="42"/>
        <v>39160</v>
      </c>
      <c r="I560" s="5">
        <v>0</v>
      </c>
      <c r="J560" s="5">
        <f t="shared" si="43"/>
        <v>0</v>
      </c>
      <c r="K560" s="5">
        <v>0</v>
      </c>
      <c r="L560" s="5">
        <f t="shared" si="44"/>
        <v>0</v>
      </c>
      <c r="M560" s="5">
        <f t="shared" si="46"/>
        <v>9790</v>
      </c>
      <c r="N560" s="5">
        <f t="shared" si="46"/>
        <v>39160</v>
      </c>
      <c r="O560" s="8" t="s">
        <v>20</v>
      </c>
      <c r="T560">
        <v>0</v>
      </c>
      <c r="AC560">
        <v>1</v>
      </c>
    </row>
    <row r="561" spans="1:29" ht="30" customHeight="1" x14ac:dyDescent="0.3">
      <c r="A561" s="8" t="s">
        <v>764</v>
      </c>
      <c r="B561" s="8" t="s">
        <v>282</v>
      </c>
      <c r="C561" s="8" t="s">
        <v>252</v>
      </c>
      <c r="D561" s="8" t="s">
        <v>283</v>
      </c>
      <c r="E561" s="8" t="s">
        <v>179</v>
      </c>
      <c r="F561" s="9">
        <v>35</v>
      </c>
      <c r="G561" s="5">
        <f>TRUNC([1]단가대비표!O254,0)</f>
        <v>11040</v>
      </c>
      <c r="H561" s="5">
        <f t="shared" si="42"/>
        <v>386400</v>
      </c>
      <c r="I561" s="5">
        <v>0</v>
      </c>
      <c r="J561" s="5">
        <f t="shared" si="43"/>
        <v>0</v>
      </c>
      <c r="K561" s="5">
        <v>0</v>
      </c>
      <c r="L561" s="5">
        <f t="shared" si="44"/>
        <v>0</v>
      </c>
      <c r="M561" s="5">
        <f t="shared" si="46"/>
        <v>11040</v>
      </c>
      <c r="N561" s="5">
        <f t="shared" si="46"/>
        <v>386400</v>
      </c>
      <c r="O561" s="8" t="s">
        <v>20</v>
      </c>
      <c r="T561">
        <v>0</v>
      </c>
      <c r="AC561">
        <v>1</v>
      </c>
    </row>
    <row r="562" spans="1:29" ht="30" customHeight="1" x14ac:dyDescent="0.3">
      <c r="A562" s="8" t="s">
        <v>764</v>
      </c>
      <c r="B562" s="8" t="s">
        <v>798</v>
      </c>
      <c r="C562" s="8" t="s">
        <v>252</v>
      </c>
      <c r="D562" s="8" t="s">
        <v>799</v>
      </c>
      <c r="E562" s="8" t="s">
        <v>179</v>
      </c>
      <c r="F562" s="9">
        <v>3</v>
      </c>
      <c r="G562" s="5">
        <f>TRUNC([1]단가대비표!O257,0)</f>
        <v>12540</v>
      </c>
      <c r="H562" s="5">
        <f t="shared" si="42"/>
        <v>37620</v>
      </c>
      <c r="I562" s="5">
        <v>0</v>
      </c>
      <c r="J562" s="5">
        <f t="shared" si="43"/>
        <v>0</v>
      </c>
      <c r="K562" s="5">
        <v>0</v>
      </c>
      <c r="L562" s="5">
        <f t="shared" si="44"/>
        <v>0</v>
      </c>
      <c r="M562" s="5">
        <f t="shared" si="46"/>
        <v>12540</v>
      </c>
      <c r="N562" s="5">
        <f t="shared" si="46"/>
        <v>37620</v>
      </c>
      <c r="O562" s="8" t="s">
        <v>20</v>
      </c>
      <c r="T562">
        <v>0</v>
      </c>
      <c r="AC562">
        <v>1</v>
      </c>
    </row>
    <row r="563" spans="1:29" ht="30" customHeight="1" x14ac:dyDescent="0.3">
      <c r="A563" s="8" t="s">
        <v>764</v>
      </c>
      <c r="B563" s="8" t="s">
        <v>800</v>
      </c>
      <c r="C563" s="8" t="s">
        <v>252</v>
      </c>
      <c r="D563" s="8" t="s">
        <v>801</v>
      </c>
      <c r="E563" s="8" t="s">
        <v>179</v>
      </c>
      <c r="F563" s="9">
        <v>8</v>
      </c>
      <c r="G563" s="5">
        <f>TRUNC([1]단가대비표!O258,0)</f>
        <v>13200</v>
      </c>
      <c r="H563" s="5">
        <f t="shared" ref="H563:H626" si="47">TRUNC(F563*G563,0)</f>
        <v>105600</v>
      </c>
      <c r="I563" s="5">
        <v>0</v>
      </c>
      <c r="J563" s="5">
        <f t="shared" ref="J563:J626" si="48">TRUNC(F563*I563,0)</f>
        <v>0</v>
      </c>
      <c r="K563" s="5">
        <v>0</v>
      </c>
      <c r="L563" s="5">
        <f t="shared" ref="L563:L626" si="49">TRUNC(F563*K563,0)</f>
        <v>0</v>
      </c>
      <c r="M563" s="5">
        <f t="shared" ref="M563:N594" si="50">G563+I563+K563</f>
        <v>13200</v>
      </c>
      <c r="N563" s="5">
        <f t="shared" si="50"/>
        <v>105600</v>
      </c>
      <c r="O563" s="8" t="s">
        <v>20</v>
      </c>
      <c r="T563">
        <v>0</v>
      </c>
      <c r="AC563">
        <v>1</v>
      </c>
    </row>
    <row r="564" spans="1:29" ht="30" customHeight="1" x14ac:dyDescent="0.3">
      <c r="A564" s="8" t="s">
        <v>764</v>
      </c>
      <c r="B564" s="8" t="s">
        <v>284</v>
      </c>
      <c r="C564" s="8" t="s">
        <v>252</v>
      </c>
      <c r="D564" s="8" t="s">
        <v>285</v>
      </c>
      <c r="E564" s="8" t="s">
        <v>179</v>
      </c>
      <c r="F564" s="9">
        <v>16</v>
      </c>
      <c r="G564" s="5">
        <f>TRUNC([1]단가대비표!O259,0)</f>
        <v>13440</v>
      </c>
      <c r="H564" s="5">
        <f t="shared" si="47"/>
        <v>215040</v>
      </c>
      <c r="I564" s="5">
        <v>0</v>
      </c>
      <c r="J564" s="5">
        <f t="shared" si="48"/>
        <v>0</v>
      </c>
      <c r="K564" s="5">
        <v>0</v>
      </c>
      <c r="L564" s="5">
        <f t="shared" si="49"/>
        <v>0</v>
      </c>
      <c r="M564" s="5">
        <f t="shared" si="50"/>
        <v>13440</v>
      </c>
      <c r="N564" s="5">
        <f t="shared" si="50"/>
        <v>215040</v>
      </c>
      <c r="O564" s="8" t="s">
        <v>20</v>
      </c>
      <c r="T564">
        <v>0</v>
      </c>
      <c r="AC564">
        <v>1</v>
      </c>
    </row>
    <row r="565" spans="1:29" ht="30" customHeight="1" x14ac:dyDescent="0.3">
      <c r="A565" s="8" t="s">
        <v>764</v>
      </c>
      <c r="B565" s="8" t="s">
        <v>581</v>
      </c>
      <c r="C565" s="8" t="s">
        <v>252</v>
      </c>
      <c r="D565" s="8" t="s">
        <v>582</v>
      </c>
      <c r="E565" s="8" t="s">
        <v>179</v>
      </c>
      <c r="F565" s="9">
        <v>4</v>
      </c>
      <c r="G565" s="5">
        <f>TRUNC([1]단가대비표!O261,0)</f>
        <v>14258</v>
      </c>
      <c r="H565" s="5">
        <f t="shared" si="47"/>
        <v>57032</v>
      </c>
      <c r="I565" s="5">
        <v>0</v>
      </c>
      <c r="J565" s="5">
        <f t="shared" si="48"/>
        <v>0</v>
      </c>
      <c r="K565" s="5">
        <v>0</v>
      </c>
      <c r="L565" s="5">
        <f t="shared" si="49"/>
        <v>0</v>
      </c>
      <c r="M565" s="5">
        <f t="shared" si="50"/>
        <v>14258</v>
      </c>
      <c r="N565" s="5">
        <f t="shared" si="50"/>
        <v>57032</v>
      </c>
      <c r="O565" s="8" t="s">
        <v>20</v>
      </c>
      <c r="T565">
        <v>0</v>
      </c>
      <c r="AC565">
        <v>1</v>
      </c>
    </row>
    <row r="566" spans="1:29" ht="30" customHeight="1" x14ac:dyDescent="0.3">
      <c r="A566" s="8" t="s">
        <v>764</v>
      </c>
      <c r="B566" s="8" t="s">
        <v>802</v>
      </c>
      <c r="C566" s="8" t="s">
        <v>252</v>
      </c>
      <c r="D566" s="8" t="s">
        <v>803</v>
      </c>
      <c r="E566" s="8" t="s">
        <v>179</v>
      </c>
      <c r="F566" s="9">
        <v>1</v>
      </c>
      <c r="G566" s="5">
        <f>TRUNC([1]단가대비표!O262,0)</f>
        <v>14258</v>
      </c>
      <c r="H566" s="5">
        <f t="shared" si="47"/>
        <v>14258</v>
      </c>
      <c r="I566" s="5">
        <v>0</v>
      </c>
      <c r="J566" s="5">
        <f t="shared" si="48"/>
        <v>0</v>
      </c>
      <c r="K566" s="5">
        <v>0</v>
      </c>
      <c r="L566" s="5">
        <f t="shared" si="49"/>
        <v>0</v>
      </c>
      <c r="M566" s="5">
        <f t="shared" si="50"/>
        <v>14258</v>
      </c>
      <c r="N566" s="5">
        <f t="shared" si="50"/>
        <v>14258</v>
      </c>
      <c r="O566" s="8" t="s">
        <v>20</v>
      </c>
      <c r="T566">
        <v>0</v>
      </c>
      <c r="AC566">
        <v>1</v>
      </c>
    </row>
    <row r="567" spans="1:29" ht="30" customHeight="1" x14ac:dyDescent="0.3">
      <c r="A567" s="8" t="s">
        <v>764</v>
      </c>
      <c r="B567" s="8" t="s">
        <v>583</v>
      </c>
      <c r="C567" s="8" t="s">
        <v>252</v>
      </c>
      <c r="D567" s="8" t="s">
        <v>584</v>
      </c>
      <c r="E567" s="8" t="s">
        <v>179</v>
      </c>
      <c r="F567" s="9">
        <v>10</v>
      </c>
      <c r="G567" s="5">
        <f>TRUNC([1]단가대비표!O264,0)</f>
        <v>15008</v>
      </c>
      <c r="H567" s="5">
        <f t="shared" si="47"/>
        <v>150080</v>
      </c>
      <c r="I567" s="5">
        <v>0</v>
      </c>
      <c r="J567" s="5">
        <f t="shared" si="48"/>
        <v>0</v>
      </c>
      <c r="K567" s="5">
        <v>0</v>
      </c>
      <c r="L567" s="5">
        <f t="shared" si="49"/>
        <v>0</v>
      </c>
      <c r="M567" s="5">
        <f t="shared" si="50"/>
        <v>15008</v>
      </c>
      <c r="N567" s="5">
        <f t="shared" si="50"/>
        <v>150080</v>
      </c>
      <c r="O567" s="8" t="s">
        <v>20</v>
      </c>
      <c r="T567">
        <v>0</v>
      </c>
      <c r="AC567">
        <v>1</v>
      </c>
    </row>
    <row r="568" spans="1:29" ht="30" customHeight="1" x14ac:dyDescent="0.3">
      <c r="A568" s="8" t="s">
        <v>764</v>
      </c>
      <c r="B568" s="8" t="s">
        <v>804</v>
      </c>
      <c r="C568" s="8" t="s">
        <v>252</v>
      </c>
      <c r="D568" s="8" t="s">
        <v>805</v>
      </c>
      <c r="E568" s="8" t="s">
        <v>179</v>
      </c>
      <c r="F568" s="9">
        <v>3</v>
      </c>
      <c r="G568" s="5">
        <f>TRUNC([1]단가대비표!O265,0)</f>
        <v>29380</v>
      </c>
      <c r="H568" s="5">
        <f t="shared" si="47"/>
        <v>88140</v>
      </c>
      <c r="I568" s="5">
        <v>0</v>
      </c>
      <c r="J568" s="5">
        <f t="shared" si="48"/>
        <v>0</v>
      </c>
      <c r="K568" s="5">
        <v>0</v>
      </c>
      <c r="L568" s="5">
        <f t="shared" si="49"/>
        <v>0</v>
      </c>
      <c r="M568" s="5">
        <f t="shared" si="50"/>
        <v>29380</v>
      </c>
      <c r="N568" s="5">
        <f t="shared" si="50"/>
        <v>88140</v>
      </c>
      <c r="O568" s="8" t="s">
        <v>20</v>
      </c>
      <c r="T568">
        <v>0</v>
      </c>
      <c r="AC568">
        <v>1</v>
      </c>
    </row>
    <row r="569" spans="1:29" ht="30" customHeight="1" x14ac:dyDescent="0.3">
      <c r="A569" s="8" t="s">
        <v>764</v>
      </c>
      <c r="B569" s="8" t="s">
        <v>587</v>
      </c>
      <c r="C569" s="8" t="s">
        <v>252</v>
      </c>
      <c r="D569" s="8" t="s">
        <v>588</v>
      </c>
      <c r="E569" s="8" t="s">
        <v>179</v>
      </c>
      <c r="F569" s="9">
        <v>3</v>
      </c>
      <c r="G569" s="5">
        <f>TRUNC([1]단가대비표!O267,0)</f>
        <v>29380</v>
      </c>
      <c r="H569" s="5">
        <f t="shared" si="47"/>
        <v>88140</v>
      </c>
      <c r="I569" s="5">
        <v>0</v>
      </c>
      <c r="J569" s="5">
        <f t="shared" si="48"/>
        <v>0</v>
      </c>
      <c r="K569" s="5">
        <v>0</v>
      </c>
      <c r="L569" s="5">
        <f t="shared" si="49"/>
        <v>0</v>
      </c>
      <c r="M569" s="5">
        <f t="shared" si="50"/>
        <v>29380</v>
      </c>
      <c r="N569" s="5">
        <f t="shared" si="50"/>
        <v>88140</v>
      </c>
      <c r="O569" s="8" t="s">
        <v>20</v>
      </c>
      <c r="T569">
        <v>0</v>
      </c>
      <c r="AC569">
        <v>1</v>
      </c>
    </row>
    <row r="570" spans="1:29" ht="30" customHeight="1" x14ac:dyDescent="0.3">
      <c r="A570" s="8" t="s">
        <v>764</v>
      </c>
      <c r="B570" s="8" t="s">
        <v>591</v>
      </c>
      <c r="C570" s="8" t="s">
        <v>252</v>
      </c>
      <c r="D570" s="8" t="s">
        <v>592</v>
      </c>
      <c r="E570" s="8" t="s">
        <v>179</v>
      </c>
      <c r="F570" s="9">
        <v>3</v>
      </c>
      <c r="G570" s="5">
        <f>TRUNC([1]단가대비표!O269,0)</f>
        <v>40900</v>
      </c>
      <c r="H570" s="5">
        <f t="shared" si="47"/>
        <v>122700</v>
      </c>
      <c r="I570" s="5">
        <v>0</v>
      </c>
      <c r="J570" s="5">
        <f t="shared" si="48"/>
        <v>0</v>
      </c>
      <c r="K570" s="5">
        <v>0</v>
      </c>
      <c r="L570" s="5">
        <f t="shared" si="49"/>
        <v>0</v>
      </c>
      <c r="M570" s="5">
        <f t="shared" si="50"/>
        <v>40900</v>
      </c>
      <c r="N570" s="5">
        <f t="shared" si="50"/>
        <v>122700</v>
      </c>
      <c r="O570" s="8" t="s">
        <v>20</v>
      </c>
      <c r="T570">
        <v>0</v>
      </c>
      <c r="AC570">
        <v>1</v>
      </c>
    </row>
    <row r="571" spans="1:29" ht="30" customHeight="1" x14ac:dyDescent="0.3">
      <c r="A571" s="8" t="s">
        <v>764</v>
      </c>
      <c r="B571" s="8" t="s">
        <v>806</v>
      </c>
      <c r="C571" s="8" t="s">
        <v>252</v>
      </c>
      <c r="D571" s="8" t="s">
        <v>807</v>
      </c>
      <c r="E571" s="8" t="s">
        <v>179</v>
      </c>
      <c r="F571" s="9">
        <v>1</v>
      </c>
      <c r="G571" s="5">
        <f>TRUNC([1]단가대비표!O270,0)</f>
        <v>40900</v>
      </c>
      <c r="H571" s="5">
        <f t="shared" si="47"/>
        <v>40900</v>
      </c>
      <c r="I571" s="5">
        <v>0</v>
      </c>
      <c r="J571" s="5">
        <f t="shared" si="48"/>
        <v>0</v>
      </c>
      <c r="K571" s="5">
        <v>0</v>
      </c>
      <c r="L571" s="5">
        <f t="shared" si="49"/>
        <v>0</v>
      </c>
      <c r="M571" s="5">
        <f t="shared" si="50"/>
        <v>40900</v>
      </c>
      <c r="N571" s="5">
        <f t="shared" si="50"/>
        <v>40900</v>
      </c>
      <c r="O571" s="8" t="s">
        <v>20</v>
      </c>
      <c r="T571">
        <v>0</v>
      </c>
      <c r="AC571">
        <v>1</v>
      </c>
    </row>
    <row r="572" spans="1:29" ht="30" customHeight="1" x14ac:dyDescent="0.3">
      <c r="A572" s="8" t="s">
        <v>764</v>
      </c>
      <c r="B572" s="8" t="s">
        <v>593</v>
      </c>
      <c r="C572" s="8" t="s">
        <v>252</v>
      </c>
      <c r="D572" s="8" t="s">
        <v>594</v>
      </c>
      <c r="E572" s="8" t="s">
        <v>179</v>
      </c>
      <c r="F572" s="9">
        <v>3</v>
      </c>
      <c r="G572" s="5">
        <f>TRUNC([1]단가대비표!O271,0)</f>
        <v>40900</v>
      </c>
      <c r="H572" s="5">
        <f t="shared" si="47"/>
        <v>122700</v>
      </c>
      <c r="I572" s="5">
        <v>0</v>
      </c>
      <c r="J572" s="5">
        <f t="shared" si="48"/>
        <v>0</v>
      </c>
      <c r="K572" s="5">
        <v>0</v>
      </c>
      <c r="L572" s="5">
        <f t="shared" si="49"/>
        <v>0</v>
      </c>
      <c r="M572" s="5">
        <f t="shared" si="50"/>
        <v>40900</v>
      </c>
      <c r="N572" s="5">
        <f t="shared" si="50"/>
        <v>122700</v>
      </c>
      <c r="O572" s="8" t="s">
        <v>20</v>
      </c>
      <c r="T572">
        <v>0</v>
      </c>
      <c r="AC572">
        <v>1</v>
      </c>
    </row>
    <row r="573" spans="1:29" ht="30" customHeight="1" x14ac:dyDescent="0.3">
      <c r="A573" s="8" t="s">
        <v>764</v>
      </c>
      <c r="B573" s="8" t="s">
        <v>808</v>
      </c>
      <c r="C573" s="8" t="s">
        <v>252</v>
      </c>
      <c r="D573" s="8" t="s">
        <v>809</v>
      </c>
      <c r="E573" s="8" t="s">
        <v>179</v>
      </c>
      <c r="F573" s="9">
        <v>555</v>
      </c>
      <c r="G573" s="5">
        <f>TRUNC([1]단가대비표!O218,0)</f>
        <v>2490</v>
      </c>
      <c r="H573" s="5">
        <f t="shared" si="47"/>
        <v>1381950</v>
      </c>
      <c r="I573" s="5">
        <v>0</v>
      </c>
      <c r="J573" s="5">
        <f t="shared" si="48"/>
        <v>0</v>
      </c>
      <c r="K573" s="5">
        <v>0</v>
      </c>
      <c r="L573" s="5">
        <f t="shared" si="49"/>
        <v>0</v>
      </c>
      <c r="M573" s="5">
        <f t="shared" si="50"/>
        <v>2490</v>
      </c>
      <c r="N573" s="5">
        <f t="shared" si="50"/>
        <v>1381950</v>
      </c>
      <c r="O573" s="8" t="s">
        <v>20</v>
      </c>
      <c r="T573">
        <v>0</v>
      </c>
      <c r="AC573">
        <v>1</v>
      </c>
    </row>
    <row r="574" spans="1:29" ht="30" customHeight="1" x14ac:dyDescent="0.3">
      <c r="A574" s="8" t="s">
        <v>764</v>
      </c>
      <c r="B574" s="8" t="s">
        <v>597</v>
      </c>
      <c r="C574" s="8" t="s">
        <v>252</v>
      </c>
      <c r="D574" s="8" t="s">
        <v>598</v>
      </c>
      <c r="E574" s="8" t="s">
        <v>179</v>
      </c>
      <c r="F574" s="9">
        <v>183</v>
      </c>
      <c r="G574" s="5">
        <f>TRUNC([1]단가대비표!O219,0)</f>
        <v>3040</v>
      </c>
      <c r="H574" s="5">
        <f t="shared" si="47"/>
        <v>556320</v>
      </c>
      <c r="I574" s="5">
        <v>0</v>
      </c>
      <c r="J574" s="5">
        <f t="shared" si="48"/>
        <v>0</v>
      </c>
      <c r="K574" s="5">
        <v>0</v>
      </c>
      <c r="L574" s="5">
        <f t="shared" si="49"/>
        <v>0</v>
      </c>
      <c r="M574" s="5">
        <f t="shared" si="50"/>
        <v>3040</v>
      </c>
      <c r="N574" s="5">
        <f t="shared" si="50"/>
        <v>556320</v>
      </c>
      <c r="O574" s="8" t="s">
        <v>20</v>
      </c>
      <c r="T574">
        <v>0</v>
      </c>
      <c r="AC574">
        <v>1</v>
      </c>
    </row>
    <row r="575" spans="1:29" ht="30" customHeight="1" x14ac:dyDescent="0.3">
      <c r="A575" s="8" t="s">
        <v>764</v>
      </c>
      <c r="B575" s="8" t="s">
        <v>599</v>
      </c>
      <c r="C575" s="8" t="s">
        <v>252</v>
      </c>
      <c r="D575" s="8" t="s">
        <v>600</v>
      </c>
      <c r="E575" s="8" t="s">
        <v>179</v>
      </c>
      <c r="F575" s="9">
        <v>21</v>
      </c>
      <c r="G575" s="5">
        <f>TRUNC([1]단가대비표!O220,0)</f>
        <v>3920</v>
      </c>
      <c r="H575" s="5">
        <f t="shared" si="47"/>
        <v>82320</v>
      </c>
      <c r="I575" s="5">
        <v>0</v>
      </c>
      <c r="J575" s="5">
        <f t="shared" si="48"/>
        <v>0</v>
      </c>
      <c r="K575" s="5">
        <v>0</v>
      </c>
      <c r="L575" s="5">
        <f t="shared" si="49"/>
        <v>0</v>
      </c>
      <c r="M575" s="5">
        <f t="shared" si="50"/>
        <v>3920</v>
      </c>
      <c r="N575" s="5">
        <f t="shared" si="50"/>
        <v>82320</v>
      </c>
      <c r="O575" s="8" t="s">
        <v>20</v>
      </c>
      <c r="T575">
        <v>0</v>
      </c>
      <c r="AC575">
        <v>1</v>
      </c>
    </row>
    <row r="576" spans="1:29" ht="30" customHeight="1" x14ac:dyDescent="0.3">
      <c r="A576" s="8" t="s">
        <v>764</v>
      </c>
      <c r="B576" s="8" t="s">
        <v>601</v>
      </c>
      <c r="C576" s="8" t="s">
        <v>252</v>
      </c>
      <c r="D576" s="8" t="s">
        <v>602</v>
      </c>
      <c r="E576" s="8" t="s">
        <v>179</v>
      </c>
      <c r="F576" s="9">
        <v>12</v>
      </c>
      <c r="G576" s="5">
        <f>TRUNC([1]단가대비표!O221,0)</f>
        <v>6560</v>
      </c>
      <c r="H576" s="5">
        <f t="shared" si="47"/>
        <v>78720</v>
      </c>
      <c r="I576" s="5">
        <v>0</v>
      </c>
      <c r="J576" s="5">
        <f t="shared" si="48"/>
        <v>0</v>
      </c>
      <c r="K576" s="5">
        <v>0</v>
      </c>
      <c r="L576" s="5">
        <f t="shared" si="49"/>
        <v>0</v>
      </c>
      <c r="M576" s="5">
        <f t="shared" si="50"/>
        <v>6560</v>
      </c>
      <c r="N576" s="5">
        <f t="shared" si="50"/>
        <v>78720</v>
      </c>
      <c r="O576" s="8" t="s">
        <v>20</v>
      </c>
      <c r="T576">
        <v>0</v>
      </c>
      <c r="AC576">
        <v>1</v>
      </c>
    </row>
    <row r="577" spans="1:29" ht="30" customHeight="1" x14ac:dyDescent="0.3">
      <c r="A577" s="8" t="s">
        <v>764</v>
      </c>
      <c r="B577" s="8" t="s">
        <v>810</v>
      </c>
      <c r="C577" s="8" t="s">
        <v>252</v>
      </c>
      <c r="D577" s="8" t="s">
        <v>811</v>
      </c>
      <c r="E577" s="8" t="s">
        <v>179</v>
      </c>
      <c r="F577" s="9">
        <v>11</v>
      </c>
      <c r="G577" s="5">
        <f>TRUNC([1]단가대비표!O273,0)</f>
        <v>7480</v>
      </c>
      <c r="H577" s="5">
        <f t="shared" si="47"/>
        <v>82280</v>
      </c>
      <c r="I577" s="5">
        <v>0</v>
      </c>
      <c r="J577" s="5">
        <f t="shared" si="48"/>
        <v>0</v>
      </c>
      <c r="K577" s="5">
        <v>0</v>
      </c>
      <c r="L577" s="5">
        <f t="shared" si="49"/>
        <v>0</v>
      </c>
      <c r="M577" s="5">
        <f t="shared" si="50"/>
        <v>7480</v>
      </c>
      <c r="N577" s="5">
        <f t="shared" si="50"/>
        <v>82280</v>
      </c>
      <c r="O577" s="8" t="s">
        <v>20</v>
      </c>
      <c r="T577">
        <v>0</v>
      </c>
      <c r="AC577">
        <v>1</v>
      </c>
    </row>
    <row r="578" spans="1:29" ht="30" customHeight="1" x14ac:dyDescent="0.3">
      <c r="A578" s="8" t="s">
        <v>764</v>
      </c>
      <c r="B578" s="8" t="s">
        <v>605</v>
      </c>
      <c r="C578" s="8" t="s">
        <v>252</v>
      </c>
      <c r="D578" s="8" t="s">
        <v>606</v>
      </c>
      <c r="E578" s="8" t="s">
        <v>179</v>
      </c>
      <c r="F578" s="9">
        <v>158</v>
      </c>
      <c r="G578" s="5">
        <f>TRUNC([1]단가대비표!O274,0)</f>
        <v>9830</v>
      </c>
      <c r="H578" s="5">
        <f t="shared" si="47"/>
        <v>1553140</v>
      </c>
      <c r="I578" s="5">
        <v>0</v>
      </c>
      <c r="J578" s="5">
        <f t="shared" si="48"/>
        <v>0</v>
      </c>
      <c r="K578" s="5">
        <v>0</v>
      </c>
      <c r="L578" s="5">
        <f t="shared" si="49"/>
        <v>0</v>
      </c>
      <c r="M578" s="5">
        <f t="shared" si="50"/>
        <v>9830</v>
      </c>
      <c r="N578" s="5">
        <f t="shared" si="50"/>
        <v>1553140</v>
      </c>
      <c r="O578" s="8" t="s">
        <v>20</v>
      </c>
      <c r="T578">
        <v>0</v>
      </c>
      <c r="AC578">
        <v>1</v>
      </c>
    </row>
    <row r="579" spans="1:29" ht="30" customHeight="1" x14ac:dyDescent="0.3">
      <c r="A579" s="8" t="s">
        <v>764</v>
      </c>
      <c r="B579" s="8" t="s">
        <v>294</v>
      </c>
      <c r="C579" s="8" t="s">
        <v>252</v>
      </c>
      <c r="D579" s="8" t="s">
        <v>295</v>
      </c>
      <c r="E579" s="8" t="s">
        <v>179</v>
      </c>
      <c r="F579" s="9">
        <v>3</v>
      </c>
      <c r="G579" s="5">
        <f>TRUNC([1]단가대비표!O275,0)</f>
        <v>13410</v>
      </c>
      <c r="H579" s="5">
        <f t="shared" si="47"/>
        <v>40230</v>
      </c>
      <c r="I579" s="5">
        <v>0</v>
      </c>
      <c r="J579" s="5">
        <f t="shared" si="48"/>
        <v>0</v>
      </c>
      <c r="K579" s="5">
        <v>0</v>
      </c>
      <c r="L579" s="5">
        <f t="shared" si="49"/>
        <v>0</v>
      </c>
      <c r="M579" s="5">
        <f t="shared" si="50"/>
        <v>13410</v>
      </c>
      <c r="N579" s="5">
        <f t="shared" si="50"/>
        <v>40230</v>
      </c>
      <c r="O579" s="8" t="s">
        <v>20</v>
      </c>
      <c r="T579">
        <v>0</v>
      </c>
      <c r="AC579">
        <v>1</v>
      </c>
    </row>
    <row r="580" spans="1:29" ht="30" customHeight="1" x14ac:dyDescent="0.3">
      <c r="A580" s="8" t="s">
        <v>764</v>
      </c>
      <c r="B580" s="8" t="s">
        <v>296</v>
      </c>
      <c r="C580" s="8" t="s">
        <v>252</v>
      </c>
      <c r="D580" s="8" t="s">
        <v>297</v>
      </c>
      <c r="E580" s="8" t="s">
        <v>179</v>
      </c>
      <c r="F580" s="9">
        <v>13</v>
      </c>
      <c r="G580" s="5">
        <f>TRUNC([1]단가대비표!O276,0)</f>
        <v>17440</v>
      </c>
      <c r="H580" s="5">
        <f t="shared" si="47"/>
        <v>226720</v>
      </c>
      <c r="I580" s="5">
        <v>0</v>
      </c>
      <c r="J580" s="5">
        <f t="shared" si="48"/>
        <v>0</v>
      </c>
      <c r="K580" s="5">
        <v>0</v>
      </c>
      <c r="L580" s="5">
        <f t="shared" si="49"/>
        <v>0</v>
      </c>
      <c r="M580" s="5">
        <f t="shared" si="50"/>
        <v>17440</v>
      </c>
      <c r="N580" s="5">
        <f t="shared" si="50"/>
        <v>226720</v>
      </c>
      <c r="O580" s="8" t="s">
        <v>20</v>
      </c>
      <c r="T580">
        <v>0</v>
      </c>
      <c r="AC580">
        <v>1</v>
      </c>
    </row>
    <row r="581" spans="1:29" ht="30" customHeight="1" x14ac:dyDescent="0.3">
      <c r="A581" s="8" t="s">
        <v>764</v>
      </c>
      <c r="B581" s="8" t="s">
        <v>298</v>
      </c>
      <c r="C581" s="8" t="s">
        <v>252</v>
      </c>
      <c r="D581" s="8" t="s">
        <v>299</v>
      </c>
      <c r="E581" s="8" t="s">
        <v>179</v>
      </c>
      <c r="F581" s="9">
        <v>3</v>
      </c>
      <c r="G581" s="5">
        <f>TRUNC([1]단가대비표!O277,0)</f>
        <v>25490</v>
      </c>
      <c r="H581" s="5">
        <f t="shared" si="47"/>
        <v>76470</v>
      </c>
      <c r="I581" s="5">
        <v>0</v>
      </c>
      <c r="J581" s="5">
        <f t="shared" si="48"/>
        <v>0</v>
      </c>
      <c r="K581" s="5">
        <v>0</v>
      </c>
      <c r="L581" s="5">
        <f t="shared" si="49"/>
        <v>0</v>
      </c>
      <c r="M581" s="5">
        <f t="shared" si="50"/>
        <v>25490</v>
      </c>
      <c r="N581" s="5">
        <f t="shared" si="50"/>
        <v>76470</v>
      </c>
      <c r="O581" s="8" t="s">
        <v>20</v>
      </c>
      <c r="T581">
        <v>0</v>
      </c>
      <c r="AC581">
        <v>1</v>
      </c>
    </row>
    <row r="582" spans="1:29" ht="30" customHeight="1" x14ac:dyDescent="0.3">
      <c r="A582" s="8" t="s">
        <v>764</v>
      </c>
      <c r="B582" s="8" t="s">
        <v>300</v>
      </c>
      <c r="C582" s="8" t="s">
        <v>252</v>
      </c>
      <c r="D582" s="8" t="s">
        <v>301</v>
      </c>
      <c r="E582" s="8" t="s">
        <v>179</v>
      </c>
      <c r="F582" s="9">
        <v>14</v>
      </c>
      <c r="G582" s="5">
        <f>TRUNC([1]단가대비표!O278,0)</f>
        <v>35170</v>
      </c>
      <c r="H582" s="5">
        <f t="shared" si="47"/>
        <v>492380</v>
      </c>
      <c r="I582" s="5">
        <v>0</v>
      </c>
      <c r="J582" s="5">
        <f t="shared" si="48"/>
        <v>0</v>
      </c>
      <c r="K582" s="5">
        <v>0</v>
      </c>
      <c r="L582" s="5">
        <f t="shared" si="49"/>
        <v>0</v>
      </c>
      <c r="M582" s="5">
        <f t="shared" si="50"/>
        <v>35170</v>
      </c>
      <c r="N582" s="5">
        <f t="shared" si="50"/>
        <v>492380</v>
      </c>
      <c r="O582" s="8" t="s">
        <v>20</v>
      </c>
      <c r="T582">
        <v>0</v>
      </c>
      <c r="AC582">
        <v>1</v>
      </c>
    </row>
    <row r="583" spans="1:29" ht="30" customHeight="1" x14ac:dyDescent="0.3">
      <c r="A583" s="8" t="s">
        <v>764</v>
      </c>
      <c r="B583" s="8" t="s">
        <v>302</v>
      </c>
      <c r="C583" s="8" t="s">
        <v>252</v>
      </c>
      <c r="D583" s="8" t="s">
        <v>303</v>
      </c>
      <c r="E583" s="8" t="s">
        <v>179</v>
      </c>
      <c r="F583" s="9">
        <v>29</v>
      </c>
      <c r="G583" s="5">
        <f>TRUNC([1]단가대비표!O281,0)</f>
        <v>2120</v>
      </c>
      <c r="H583" s="5">
        <f t="shared" si="47"/>
        <v>61480</v>
      </c>
      <c r="I583" s="5">
        <v>0</v>
      </c>
      <c r="J583" s="5">
        <f t="shared" si="48"/>
        <v>0</v>
      </c>
      <c r="K583" s="5">
        <v>0</v>
      </c>
      <c r="L583" s="5">
        <f t="shared" si="49"/>
        <v>0</v>
      </c>
      <c r="M583" s="5">
        <f t="shared" si="50"/>
        <v>2120</v>
      </c>
      <c r="N583" s="5">
        <f t="shared" si="50"/>
        <v>61480</v>
      </c>
      <c r="O583" s="8" t="s">
        <v>20</v>
      </c>
      <c r="T583">
        <v>0</v>
      </c>
      <c r="AC583">
        <v>1</v>
      </c>
    </row>
    <row r="584" spans="1:29" ht="30" customHeight="1" x14ac:dyDescent="0.3">
      <c r="A584" s="8" t="s">
        <v>764</v>
      </c>
      <c r="B584" s="8" t="s">
        <v>304</v>
      </c>
      <c r="C584" s="8" t="s">
        <v>252</v>
      </c>
      <c r="D584" s="8" t="s">
        <v>305</v>
      </c>
      <c r="E584" s="8" t="s">
        <v>179</v>
      </c>
      <c r="F584" s="9">
        <v>7</v>
      </c>
      <c r="G584" s="5">
        <f>TRUNC([1]단가대비표!O282,0)</f>
        <v>2910</v>
      </c>
      <c r="H584" s="5">
        <f t="shared" si="47"/>
        <v>20370</v>
      </c>
      <c r="I584" s="5">
        <v>0</v>
      </c>
      <c r="J584" s="5">
        <f t="shared" si="48"/>
        <v>0</v>
      </c>
      <c r="K584" s="5">
        <v>0</v>
      </c>
      <c r="L584" s="5">
        <f t="shared" si="49"/>
        <v>0</v>
      </c>
      <c r="M584" s="5">
        <f t="shared" si="50"/>
        <v>2910</v>
      </c>
      <c r="N584" s="5">
        <f t="shared" si="50"/>
        <v>20370</v>
      </c>
      <c r="O584" s="8" t="s">
        <v>20</v>
      </c>
      <c r="T584">
        <v>0</v>
      </c>
      <c r="AC584">
        <v>1</v>
      </c>
    </row>
    <row r="585" spans="1:29" ht="30" customHeight="1" x14ac:dyDescent="0.3">
      <c r="A585" s="8" t="s">
        <v>764</v>
      </c>
      <c r="B585" s="8" t="s">
        <v>306</v>
      </c>
      <c r="C585" s="8" t="s">
        <v>252</v>
      </c>
      <c r="D585" s="8" t="s">
        <v>307</v>
      </c>
      <c r="E585" s="8" t="s">
        <v>179</v>
      </c>
      <c r="F585" s="9">
        <v>9</v>
      </c>
      <c r="G585" s="5">
        <f>TRUNC([1]단가대비표!O283,0)</f>
        <v>5030</v>
      </c>
      <c r="H585" s="5">
        <f t="shared" si="47"/>
        <v>45270</v>
      </c>
      <c r="I585" s="5">
        <v>0</v>
      </c>
      <c r="J585" s="5">
        <f t="shared" si="48"/>
        <v>0</v>
      </c>
      <c r="K585" s="5">
        <v>0</v>
      </c>
      <c r="L585" s="5">
        <f t="shared" si="49"/>
        <v>0</v>
      </c>
      <c r="M585" s="5">
        <f t="shared" si="50"/>
        <v>5030</v>
      </c>
      <c r="N585" s="5">
        <f t="shared" si="50"/>
        <v>45270</v>
      </c>
      <c r="O585" s="8" t="s">
        <v>20</v>
      </c>
      <c r="T585">
        <v>0</v>
      </c>
      <c r="AC585">
        <v>1</v>
      </c>
    </row>
    <row r="586" spans="1:29" ht="30" customHeight="1" x14ac:dyDescent="0.3">
      <c r="A586" s="8" t="s">
        <v>764</v>
      </c>
      <c r="B586" s="8" t="s">
        <v>310</v>
      </c>
      <c r="C586" s="8" t="s">
        <v>252</v>
      </c>
      <c r="D586" s="8" t="s">
        <v>311</v>
      </c>
      <c r="E586" s="8" t="s">
        <v>179</v>
      </c>
      <c r="F586" s="9">
        <v>11</v>
      </c>
      <c r="G586" s="5">
        <f>TRUNC([1]단가대비표!O285,0)</f>
        <v>9720</v>
      </c>
      <c r="H586" s="5">
        <f t="shared" si="47"/>
        <v>106920</v>
      </c>
      <c r="I586" s="5">
        <v>0</v>
      </c>
      <c r="J586" s="5">
        <f t="shared" si="48"/>
        <v>0</v>
      </c>
      <c r="K586" s="5">
        <v>0</v>
      </c>
      <c r="L586" s="5">
        <f t="shared" si="49"/>
        <v>0</v>
      </c>
      <c r="M586" s="5">
        <f t="shared" si="50"/>
        <v>9720</v>
      </c>
      <c r="N586" s="5">
        <f t="shared" si="50"/>
        <v>106920</v>
      </c>
      <c r="O586" s="8" t="s">
        <v>20</v>
      </c>
      <c r="T586">
        <v>0</v>
      </c>
      <c r="AC586">
        <v>1</v>
      </c>
    </row>
    <row r="587" spans="1:29" ht="30" customHeight="1" x14ac:dyDescent="0.3">
      <c r="A587" s="8" t="s">
        <v>764</v>
      </c>
      <c r="B587" s="8" t="s">
        <v>314</v>
      </c>
      <c r="C587" s="8" t="s">
        <v>252</v>
      </c>
      <c r="D587" s="8" t="s">
        <v>315</v>
      </c>
      <c r="E587" s="8" t="s">
        <v>179</v>
      </c>
      <c r="F587" s="9">
        <v>12</v>
      </c>
      <c r="G587" s="5">
        <f>TRUNC([1]단가대비표!O293,0)</f>
        <v>23420</v>
      </c>
      <c r="H587" s="5">
        <f t="shared" si="47"/>
        <v>281040</v>
      </c>
      <c r="I587" s="5">
        <v>0</v>
      </c>
      <c r="J587" s="5">
        <f t="shared" si="48"/>
        <v>0</v>
      </c>
      <c r="K587" s="5">
        <v>0</v>
      </c>
      <c r="L587" s="5">
        <f t="shared" si="49"/>
        <v>0</v>
      </c>
      <c r="M587" s="5">
        <f t="shared" si="50"/>
        <v>23420</v>
      </c>
      <c r="N587" s="5">
        <f t="shared" si="50"/>
        <v>281040</v>
      </c>
      <c r="O587" s="8" t="s">
        <v>20</v>
      </c>
      <c r="T587">
        <v>0</v>
      </c>
      <c r="AC587">
        <v>1</v>
      </c>
    </row>
    <row r="588" spans="1:29" ht="30" customHeight="1" x14ac:dyDescent="0.3">
      <c r="A588" s="8" t="s">
        <v>764</v>
      </c>
      <c r="B588" s="8" t="s">
        <v>316</v>
      </c>
      <c r="C588" s="8" t="s">
        <v>252</v>
      </c>
      <c r="D588" s="8" t="s">
        <v>317</v>
      </c>
      <c r="E588" s="8" t="s">
        <v>179</v>
      </c>
      <c r="F588" s="9">
        <v>3</v>
      </c>
      <c r="G588" s="5">
        <f>TRUNC([1]단가대비표!O294,0)</f>
        <v>32720</v>
      </c>
      <c r="H588" s="5">
        <f t="shared" si="47"/>
        <v>98160</v>
      </c>
      <c r="I588" s="5">
        <v>0</v>
      </c>
      <c r="J588" s="5">
        <f t="shared" si="48"/>
        <v>0</v>
      </c>
      <c r="K588" s="5">
        <v>0</v>
      </c>
      <c r="L588" s="5">
        <f t="shared" si="49"/>
        <v>0</v>
      </c>
      <c r="M588" s="5">
        <f t="shared" si="50"/>
        <v>32720</v>
      </c>
      <c r="N588" s="5">
        <f t="shared" si="50"/>
        <v>98160</v>
      </c>
      <c r="O588" s="8" t="s">
        <v>20</v>
      </c>
      <c r="T588">
        <v>0</v>
      </c>
      <c r="AC588">
        <v>1</v>
      </c>
    </row>
    <row r="589" spans="1:29" ht="30" customHeight="1" x14ac:dyDescent="0.3">
      <c r="A589" s="8" t="s">
        <v>764</v>
      </c>
      <c r="B589" s="8" t="s">
        <v>318</v>
      </c>
      <c r="C589" s="8" t="s">
        <v>252</v>
      </c>
      <c r="D589" s="8" t="s">
        <v>319</v>
      </c>
      <c r="E589" s="8" t="s">
        <v>179</v>
      </c>
      <c r="F589" s="9">
        <v>11</v>
      </c>
      <c r="G589" s="5">
        <f>TRUNC([1]단가대비표!O286,0)</f>
        <v>3570</v>
      </c>
      <c r="H589" s="5">
        <f t="shared" si="47"/>
        <v>39270</v>
      </c>
      <c r="I589" s="5">
        <v>0</v>
      </c>
      <c r="J589" s="5">
        <f t="shared" si="48"/>
        <v>0</v>
      </c>
      <c r="K589" s="5">
        <v>0</v>
      </c>
      <c r="L589" s="5">
        <f t="shared" si="49"/>
        <v>0</v>
      </c>
      <c r="M589" s="5">
        <f t="shared" si="50"/>
        <v>3570</v>
      </c>
      <c r="N589" s="5">
        <f t="shared" si="50"/>
        <v>39270</v>
      </c>
      <c r="O589" s="8" t="s">
        <v>20</v>
      </c>
      <c r="T589">
        <v>0</v>
      </c>
      <c r="AC589">
        <v>1</v>
      </c>
    </row>
    <row r="590" spans="1:29" ht="30" customHeight="1" x14ac:dyDescent="0.3">
      <c r="A590" s="8" t="s">
        <v>764</v>
      </c>
      <c r="B590" s="8" t="s">
        <v>320</v>
      </c>
      <c r="C590" s="8" t="s">
        <v>252</v>
      </c>
      <c r="D590" s="8" t="s">
        <v>321</v>
      </c>
      <c r="E590" s="8" t="s">
        <v>179</v>
      </c>
      <c r="F590" s="9">
        <v>179</v>
      </c>
      <c r="G590" s="5">
        <f>TRUNC([1]단가대비표!O287,0)</f>
        <v>4920</v>
      </c>
      <c r="H590" s="5">
        <f t="shared" si="47"/>
        <v>880680</v>
      </c>
      <c r="I590" s="5">
        <v>0</v>
      </c>
      <c r="J590" s="5">
        <f t="shared" si="48"/>
        <v>0</v>
      </c>
      <c r="K590" s="5">
        <v>0</v>
      </c>
      <c r="L590" s="5">
        <f t="shared" si="49"/>
        <v>0</v>
      </c>
      <c r="M590" s="5">
        <f t="shared" si="50"/>
        <v>4920</v>
      </c>
      <c r="N590" s="5">
        <f t="shared" si="50"/>
        <v>880680</v>
      </c>
      <c r="O590" s="8" t="s">
        <v>20</v>
      </c>
      <c r="T590">
        <v>0</v>
      </c>
      <c r="AC590">
        <v>1</v>
      </c>
    </row>
    <row r="591" spans="1:29" ht="30" customHeight="1" x14ac:dyDescent="0.3">
      <c r="A591" s="8" t="s">
        <v>764</v>
      </c>
      <c r="B591" s="8" t="s">
        <v>322</v>
      </c>
      <c r="C591" s="8" t="s">
        <v>252</v>
      </c>
      <c r="D591" s="8" t="s">
        <v>323</v>
      </c>
      <c r="E591" s="8" t="s">
        <v>179</v>
      </c>
      <c r="F591" s="9">
        <v>3</v>
      </c>
      <c r="G591" s="5">
        <f>TRUNC([1]단가대비표!O288,0)</f>
        <v>6720</v>
      </c>
      <c r="H591" s="5">
        <f t="shared" si="47"/>
        <v>20160</v>
      </c>
      <c r="I591" s="5">
        <v>0</v>
      </c>
      <c r="J591" s="5">
        <f t="shared" si="48"/>
        <v>0</v>
      </c>
      <c r="K591" s="5">
        <v>0</v>
      </c>
      <c r="L591" s="5">
        <f t="shared" si="49"/>
        <v>0</v>
      </c>
      <c r="M591" s="5">
        <f t="shared" si="50"/>
        <v>6720</v>
      </c>
      <c r="N591" s="5">
        <f t="shared" si="50"/>
        <v>20160</v>
      </c>
      <c r="O591" s="8" t="s">
        <v>20</v>
      </c>
      <c r="T591">
        <v>0</v>
      </c>
      <c r="AC591">
        <v>1</v>
      </c>
    </row>
    <row r="592" spans="1:29" ht="30" customHeight="1" x14ac:dyDescent="0.3">
      <c r="A592" s="8" t="s">
        <v>764</v>
      </c>
      <c r="B592" s="8" t="s">
        <v>324</v>
      </c>
      <c r="C592" s="8" t="s">
        <v>252</v>
      </c>
      <c r="D592" s="8" t="s">
        <v>325</v>
      </c>
      <c r="E592" s="8" t="s">
        <v>179</v>
      </c>
      <c r="F592" s="9">
        <v>13</v>
      </c>
      <c r="G592" s="5">
        <f>TRUNC([1]단가대비표!O289,0)</f>
        <v>7910</v>
      </c>
      <c r="H592" s="5">
        <f t="shared" si="47"/>
        <v>102830</v>
      </c>
      <c r="I592" s="5">
        <v>0</v>
      </c>
      <c r="J592" s="5">
        <f t="shared" si="48"/>
        <v>0</v>
      </c>
      <c r="K592" s="5">
        <v>0</v>
      </c>
      <c r="L592" s="5">
        <f t="shared" si="49"/>
        <v>0</v>
      </c>
      <c r="M592" s="5">
        <f t="shared" si="50"/>
        <v>7910</v>
      </c>
      <c r="N592" s="5">
        <f t="shared" si="50"/>
        <v>102830</v>
      </c>
      <c r="O592" s="8" t="s">
        <v>20</v>
      </c>
      <c r="T592">
        <v>0</v>
      </c>
      <c r="AC592">
        <v>1</v>
      </c>
    </row>
    <row r="593" spans="1:29" ht="30" customHeight="1" x14ac:dyDescent="0.3">
      <c r="A593" s="8" t="s">
        <v>764</v>
      </c>
      <c r="B593" s="8" t="s">
        <v>326</v>
      </c>
      <c r="C593" s="8" t="s">
        <v>252</v>
      </c>
      <c r="D593" s="8" t="s">
        <v>327</v>
      </c>
      <c r="E593" s="8" t="s">
        <v>179</v>
      </c>
      <c r="F593" s="9">
        <v>3</v>
      </c>
      <c r="G593" s="5">
        <f>TRUNC([1]단가대비표!O290,0)</f>
        <v>10800</v>
      </c>
      <c r="H593" s="5">
        <f t="shared" si="47"/>
        <v>32400</v>
      </c>
      <c r="I593" s="5">
        <v>0</v>
      </c>
      <c r="J593" s="5">
        <f t="shared" si="48"/>
        <v>0</v>
      </c>
      <c r="K593" s="5">
        <v>0</v>
      </c>
      <c r="L593" s="5">
        <f t="shared" si="49"/>
        <v>0</v>
      </c>
      <c r="M593" s="5">
        <f t="shared" si="50"/>
        <v>10800</v>
      </c>
      <c r="N593" s="5">
        <f t="shared" si="50"/>
        <v>32400</v>
      </c>
      <c r="O593" s="8" t="s">
        <v>20</v>
      </c>
      <c r="T593">
        <v>0</v>
      </c>
      <c r="AC593">
        <v>1</v>
      </c>
    </row>
    <row r="594" spans="1:29" ht="30" customHeight="1" x14ac:dyDescent="0.3">
      <c r="A594" s="8" t="s">
        <v>764</v>
      </c>
      <c r="B594" s="8" t="s">
        <v>328</v>
      </c>
      <c r="C594" s="8" t="s">
        <v>252</v>
      </c>
      <c r="D594" s="8" t="s">
        <v>329</v>
      </c>
      <c r="E594" s="8" t="s">
        <v>179</v>
      </c>
      <c r="F594" s="9">
        <v>14</v>
      </c>
      <c r="G594" s="5">
        <f>TRUNC([1]단가대비표!O291,0)</f>
        <v>15070</v>
      </c>
      <c r="H594" s="5">
        <f t="shared" si="47"/>
        <v>210980</v>
      </c>
      <c r="I594" s="5">
        <v>0</v>
      </c>
      <c r="J594" s="5">
        <f t="shared" si="48"/>
        <v>0</v>
      </c>
      <c r="K594" s="5">
        <v>0</v>
      </c>
      <c r="L594" s="5">
        <f t="shared" si="49"/>
        <v>0</v>
      </c>
      <c r="M594" s="5">
        <f t="shared" si="50"/>
        <v>15070</v>
      </c>
      <c r="N594" s="5">
        <f t="shared" si="50"/>
        <v>210980</v>
      </c>
      <c r="O594" s="8" t="s">
        <v>20</v>
      </c>
      <c r="T594">
        <v>0</v>
      </c>
      <c r="AC594">
        <v>1</v>
      </c>
    </row>
    <row r="595" spans="1:29" ht="30" customHeight="1" x14ac:dyDescent="0.3">
      <c r="A595" s="8" t="s">
        <v>764</v>
      </c>
      <c r="B595" s="8" t="s">
        <v>336</v>
      </c>
      <c r="C595" s="8" t="s">
        <v>252</v>
      </c>
      <c r="D595" s="8" t="s">
        <v>337</v>
      </c>
      <c r="E595" s="8" t="s">
        <v>179</v>
      </c>
      <c r="F595" s="9">
        <v>1</v>
      </c>
      <c r="G595" s="5">
        <f>TRUNC([1]단가대비표!O298,0)</f>
        <v>63300</v>
      </c>
      <c r="H595" s="5">
        <f t="shared" si="47"/>
        <v>63300</v>
      </c>
      <c r="I595" s="5">
        <v>0</v>
      </c>
      <c r="J595" s="5">
        <f t="shared" si="48"/>
        <v>0</v>
      </c>
      <c r="K595" s="5">
        <v>0</v>
      </c>
      <c r="L595" s="5">
        <f t="shared" si="49"/>
        <v>0</v>
      </c>
      <c r="M595" s="5">
        <f t="shared" ref="M595:N626" si="51">G595+I595+K595</f>
        <v>63300</v>
      </c>
      <c r="N595" s="5">
        <f t="shared" si="51"/>
        <v>63300</v>
      </c>
      <c r="O595" s="8" t="s">
        <v>20</v>
      </c>
      <c r="T595">
        <v>0</v>
      </c>
      <c r="AC595">
        <v>1</v>
      </c>
    </row>
    <row r="596" spans="1:29" ht="30" customHeight="1" x14ac:dyDescent="0.3">
      <c r="A596" s="8" t="s">
        <v>764</v>
      </c>
      <c r="B596" s="8" t="s">
        <v>338</v>
      </c>
      <c r="C596" s="8" t="s">
        <v>252</v>
      </c>
      <c r="D596" s="8" t="s">
        <v>339</v>
      </c>
      <c r="E596" s="8" t="s">
        <v>179</v>
      </c>
      <c r="F596" s="9">
        <v>16</v>
      </c>
      <c r="G596" s="5">
        <f>TRUNC([1]단가대비표!O299,0)</f>
        <v>82800</v>
      </c>
      <c r="H596" s="5">
        <f t="shared" si="47"/>
        <v>1324800</v>
      </c>
      <c r="I596" s="5">
        <v>0</v>
      </c>
      <c r="J596" s="5">
        <f t="shared" si="48"/>
        <v>0</v>
      </c>
      <c r="K596" s="5">
        <v>0</v>
      </c>
      <c r="L596" s="5">
        <f t="shared" si="49"/>
        <v>0</v>
      </c>
      <c r="M596" s="5">
        <f t="shared" si="51"/>
        <v>82800</v>
      </c>
      <c r="N596" s="5">
        <f t="shared" si="51"/>
        <v>1324800</v>
      </c>
      <c r="O596" s="8" t="s">
        <v>20</v>
      </c>
      <c r="T596">
        <v>0</v>
      </c>
      <c r="AC596">
        <v>1</v>
      </c>
    </row>
    <row r="597" spans="1:29" ht="30" customHeight="1" x14ac:dyDescent="0.3">
      <c r="A597" s="8" t="s">
        <v>764</v>
      </c>
      <c r="B597" s="8" t="s">
        <v>340</v>
      </c>
      <c r="C597" s="8" t="s">
        <v>252</v>
      </c>
      <c r="D597" s="8" t="s">
        <v>341</v>
      </c>
      <c r="E597" s="8" t="s">
        <v>179</v>
      </c>
      <c r="F597" s="9">
        <v>11</v>
      </c>
      <c r="G597" s="5">
        <f>TRUNC([1]단가대비표!O300,0)</f>
        <v>113000</v>
      </c>
      <c r="H597" s="5">
        <f t="shared" si="47"/>
        <v>1243000</v>
      </c>
      <c r="I597" s="5">
        <v>0</v>
      </c>
      <c r="J597" s="5">
        <f t="shared" si="48"/>
        <v>0</v>
      </c>
      <c r="K597" s="5">
        <v>0</v>
      </c>
      <c r="L597" s="5">
        <f t="shared" si="49"/>
        <v>0</v>
      </c>
      <c r="M597" s="5">
        <f t="shared" si="51"/>
        <v>113000</v>
      </c>
      <c r="N597" s="5">
        <f t="shared" si="51"/>
        <v>1243000</v>
      </c>
      <c r="O597" s="8" t="s">
        <v>20</v>
      </c>
      <c r="T597">
        <v>0</v>
      </c>
      <c r="AC597">
        <v>1</v>
      </c>
    </row>
    <row r="598" spans="1:29" ht="30" customHeight="1" x14ac:dyDescent="0.3">
      <c r="A598" s="8" t="s">
        <v>764</v>
      </c>
      <c r="B598" s="8" t="s">
        <v>349</v>
      </c>
      <c r="C598" s="8" t="s">
        <v>345</v>
      </c>
      <c r="D598" s="8" t="s">
        <v>350</v>
      </c>
      <c r="E598" s="8" t="s">
        <v>179</v>
      </c>
      <c r="F598" s="9">
        <v>24</v>
      </c>
      <c r="G598" s="5">
        <f>TRUNC([1]단가대비표!O491,0)</f>
        <v>53700</v>
      </c>
      <c r="H598" s="5">
        <f t="shared" si="47"/>
        <v>1288800</v>
      </c>
      <c r="I598" s="5">
        <v>0</v>
      </c>
      <c r="J598" s="5">
        <f t="shared" si="48"/>
        <v>0</v>
      </c>
      <c r="K598" s="5">
        <v>0</v>
      </c>
      <c r="L598" s="5">
        <f t="shared" si="49"/>
        <v>0</v>
      </c>
      <c r="M598" s="5">
        <f t="shared" si="51"/>
        <v>53700</v>
      </c>
      <c r="N598" s="5">
        <f t="shared" si="51"/>
        <v>1288800</v>
      </c>
      <c r="O598" s="8" t="s">
        <v>20</v>
      </c>
      <c r="T598">
        <v>0</v>
      </c>
      <c r="AC598">
        <v>1</v>
      </c>
    </row>
    <row r="599" spans="1:29" ht="30" customHeight="1" x14ac:dyDescent="0.3">
      <c r="A599" s="8" t="s">
        <v>764</v>
      </c>
      <c r="B599" s="8" t="s">
        <v>356</v>
      </c>
      <c r="C599" s="8" t="s">
        <v>354</v>
      </c>
      <c r="D599" s="8" t="s">
        <v>350</v>
      </c>
      <c r="E599" s="8" t="s">
        <v>179</v>
      </c>
      <c r="F599" s="9">
        <v>6</v>
      </c>
      <c r="G599" s="5">
        <f>TRUNC([1]단가대비표!O496,0)</f>
        <v>71200</v>
      </c>
      <c r="H599" s="5">
        <f t="shared" si="47"/>
        <v>427200</v>
      </c>
      <c r="I599" s="5">
        <v>0</v>
      </c>
      <c r="J599" s="5">
        <f t="shared" si="48"/>
        <v>0</v>
      </c>
      <c r="K599" s="5">
        <v>0</v>
      </c>
      <c r="L599" s="5">
        <f t="shared" si="49"/>
        <v>0</v>
      </c>
      <c r="M599" s="5">
        <f t="shared" si="51"/>
        <v>71200</v>
      </c>
      <c r="N599" s="5">
        <f t="shared" si="51"/>
        <v>427200</v>
      </c>
      <c r="O599" s="8" t="s">
        <v>20</v>
      </c>
      <c r="T599">
        <v>0</v>
      </c>
      <c r="AC599">
        <v>1</v>
      </c>
    </row>
    <row r="600" spans="1:29" ht="30" customHeight="1" x14ac:dyDescent="0.3">
      <c r="A600" s="8" t="s">
        <v>764</v>
      </c>
      <c r="B600" s="8" t="s">
        <v>610</v>
      </c>
      <c r="C600" s="8" t="s">
        <v>359</v>
      </c>
      <c r="D600" s="8" t="s">
        <v>350</v>
      </c>
      <c r="E600" s="8" t="s">
        <v>179</v>
      </c>
      <c r="F600" s="9">
        <v>2</v>
      </c>
      <c r="G600" s="5">
        <f>TRUNC([1]단가대비표!O501,0)</f>
        <v>84000</v>
      </c>
      <c r="H600" s="5">
        <f t="shared" si="47"/>
        <v>168000</v>
      </c>
      <c r="I600" s="5">
        <v>0</v>
      </c>
      <c r="J600" s="5">
        <f t="shared" si="48"/>
        <v>0</v>
      </c>
      <c r="K600" s="5">
        <v>0</v>
      </c>
      <c r="L600" s="5">
        <f t="shared" si="49"/>
        <v>0</v>
      </c>
      <c r="M600" s="5">
        <f t="shared" si="51"/>
        <v>84000</v>
      </c>
      <c r="N600" s="5">
        <f t="shared" si="51"/>
        <v>168000</v>
      </c>
      <c r="O600" s="8" t="s">
        <v>20</v>
      </c>
      <c r="T600">
        <v>0</v>
      </c>
      <c r="AC600">
        <v>1</v>
      </c>
    </row>
    <row r="601" spans="1:29" ht="30" customHeight="1" x14ac:dyDescent="0.3">
      <c r="A601" s="8" t="s">
        <v>764</v>
      </c>
      <c r="B601" s="8" t="s">
        <v>614</v>
      </c>
      <c r="C601" s="8" t="s">
        <v>615</v>
      </c>
      <c r="D601" s="8" t="s">
        <v>381</v>
      </c>
      <c r="E601" s="8" t="s">
        <v>179</v>
      </c>
      <c r="F601" s="9">
        <v>10</v>
      </c>
      <c r="G601" s="5">
        <f>TRUNC([1]단가대비표!O533,0)</f>
        <v>18400</v>
      </c>
      <c r="H601" s="5">
        <f t="shared" si="47"/>
        <v>184000</v>
      </c>
      <c r="I601" s="5">
        <v>0</v>
      </c>
      <c r="J601" s="5">
        <f t="shared" si="48"/>
        <v>0</v>
      </c>
      <c r="K601" s="5">
        <v>0</v>
      </c>
      <c r="L601" s="5">
        <f t="shared" si="49"/>
        <v>0</v>
      </c>
      <c r="M601" s="5">
        <f t="shared" si="51"/>
        <v>18400</v>
      </c>
      <c r="N601" s="5">
        <f t="shared" si="51"/>
        <v>184000</v>
      </c>
      <c r="O601" s="8" t="s">
        <v>20</v>
      </c>
      <c r="T601">
        <v>0</v>
      </c>
      <c r="AC601">
        <v>1</v>
      </c>
    </row>
    <row r="602" spans="1:29" ht="30" customHeight="1" x14ac:dyDescent="0.3">
      <c r="A602" s="8" t="s">
        <v>764</v>
      </c>
      <c r="B602" s="8" t="s">
        <v>378</v>
      </c>
      <c r="C602" s="8" t="s">
        <v>374</v>
      </c>
      <c r="D602" s="8" t="s">
        <v>379</v>
      </c>
      <c r="E602" s="8" t="s">
        <v>179</v>
      </c>
      <c r="F602" s="9">
        <v>11</v>
      </c>
      <c r="G602" s="5">
        <f>TRUNC([1]단가대비표!O538,0)</f>
        <v>44960</v>
      </c>
      <c r="H602" s="5">
        <f t="shared" si="47"/>
        <v>494560</v>
      </c>
      <c r="I602" s="5">
        <v>0</v>
      </c>
      <c r="J602" s="5">
        <f t="shared" si="48"/>
        <v>0</v>
      </c>
      <c r="K602" s="5">
        <v>0</v>
      </c>
      <c r="L602" s="5">
        <f t="shared" si="49"/>
        <v>0</v>
      </c>
      <c r="M602" s="5">
        <f t="shared" si="51"/>
        <v>44960</v>
      </c>
      <c r="N602" s="5">
        <f t="shared" si="51"/>
        <v>494560</v>
      </c>
      <c r="O602" s="8" t="s">
        <v>20</v>
      </c>
      <c r="T602">
        <v>0</v>
      </c>
      <c r="AC602">
        <v>1</v>
      </c>
    </row>
    <row r="603" spans="1:29" ht="30" customHeight="1" x14ac:dyDescent="0.3">
      <c r="A603" s="8" t="s">
        <v>764</v>
      </c>
      <c r="B603" s="8" t="s">
        <v>380</v>
      </c>
      <c r="C603" s="8" t="s">
        <v>374</v>
      </c>
      <c r="D603" s="8" t="s">
        <v>381</v>
      </c>
      <c r="E603" s="8" t="s">
        <v>179</v>
      </c>
      <c r="F603" s="9">
        <v>149</v>
      </c>
      <c r="G603" s="5">
        <f>TRUNC([1]단가대비표!O539,0)</f>
        <v>48350</v>
      </c>
      <c r="H603" s="5">
        <f t="shared" si="47"/>
        <v>7204150</v>
      </c>
      <c r="I603" s="5">
        <v>0</v>
      </c>
      <c r="J603" s="5">
        <f t="shared" si="48"/>
        <v>0</v>
      </c>
      <c r="K603" s="5">
        <v>0</v>
      </c>
      <c r="L603" s="5">
        <f t="shared" si="49"/>
        <v>0</v>
      </c>
      <c r="M603" s="5">
        <f t="shared" si="51"/>
        <v>48350</v>
      </c>
      <c r="N603" s="5">
        <f t="shared" si="51"/>
        <v>7204150</v>
      </c>
      <c r="O603" s="8" t="s">
        <v>20</v>
      </c>
      <c r="T603">
        <v>0</v>
      </c>
      <c r="AC603">
        <v>1</v>
      </c>
    </row>
    <row r="604" spans="1:29" ht="30" customHeight="1" x14ac:dyDescent="0.3">
      <c r="A604" s="8" t="s">
        <v>764</v>
      </c>
      <c r="B604" s="8" t="s">
        <v>382</v>
      </c>
      <c r="C604" s="8" t="s">
        <v>374</v>
      </c>
      <c r="D604" s="8" t="s">
        <v>383</v>
      </c>
      <c r="E604" s="8" t="s">
        <v>179</v>
      </c>
      <c r="F604" s="9">
        <v>2</v>
      </c>
      <c r="G604" s="5">
        <f>TRUNC([1]단가대비표!O540,0)</f>
        <v>56060</v>
      </c>
      <c r="H604" s="5">
        <f t="shared" si="47"/>
        <v>112120</v>
      </c>
      <c r="I604" s="5">
        <v>0</v>
      </c>
      <c r="J604" s="5">
        <f t="shared" si="48"/>
        <v>0</v>
      </c>
      <c r="K604" s="5">
        <v>0</v>
      </c>
      <c r="L604" s="5">
        <f t="shared" si="49"/>
        <v>0</v>
      </c>
      <c r="M604" s="5">
        <f t="shared" si="51"/>
        <v>56060</v>
      </c>
      <c r="N604" s="5">
        <f t="shared" si="51"/>
        <v>112120</v>
      </c>
      <c r="O604" s="8" t="s">
        <v>20</v>
      </c>
      <c r="T604">
        <v>0</v>
      </c>
      <c r="AC604">
        <v>1</v>
      </c>
    </row>
    <row r="605" spans="1:29" ht="30" customHeight="1" x14ac:dyDescent="0.3">
      <c r="A605" s="8" t="s">
        <v>764</v>
      </c>
      <c r="B605" s="8" t="s">
        <v>384</v>
      </c>
      <c r="C605" s="8" t="s">
        <v>374</v>
      </c>
      <c r="D605" s="8" t="s">
        <v>385</v>
      </c>
      <c r="E605" s="8" t="s">
        <v>179</v>
      </c>
      <c r="F605" s="9">
        <v>12</v>
      </c>
      <c r="G605" s="5">
        <f>TRUNC([1]단가대비표!O541,0)</f>
        <v>61200</v>
      </c>
      <c r="H605" s="5">
        <f t="shared" si="47"/>
        <v>734400</v>
      </c>
      <c r="I605" s="5">
        <v>0</v>
      </c>
      <c r="J605" s="5">
        <f t="shared" si="48"/>
        <v>0</v>
      </c>
      <c r="K605" s="5">
        <v>0</v>
      </c>
      <c r="L605" s="5">
        <f t="shared" si="49"/>
        <v>0</v>
      </c>
      <c r="M605" s="5">
        <f t="shared" si="51"/>
        <v>61200</v>
      </c>
      <c r="N605" s="5">
        <f t="shared" si="51"/>
        <v>734400</v>
      </c>
      <c r="O605" s="8" t="s">
        <v>20</v>
      </c>
      <c r="T605">
        <v>0</v>
      </c>
      <c r="AC605">
        <v>1</v>
      </c>
    </row>
    <row r="606" spans="1:29" ht="30" customHeight="1" x14ac:dyDescent="0.3">
      <c r="A606" s="8" t="s">
        <v>764</v>
      </c>
      <c r="B606" s="8" t="s">
        <v>386</v>
      </c>
      <c r="C606" s="8" t="s">
        <v>374</v>
      </c>
      <c r="D606" s="8" t="s">
        <v>387</v>
      </c>
      <c r="E606" s="8" t="s">
        <v>179</v>
      </c>
      <c r="F606" s="9">
        <v>2</v>
      </c>
      <c r="G606" s="5">
        <f>TRUNC([1]단가대비표!O542,0)</f>
        <v>77300</v>
      </c>
      <c r="H606" s="5">
        <f t="shared" si="47"/>
        <v>154600</v>
      </c>
      <c r="I606" s="5">
        <v>0</v>
      </c>
      <c r="J606" s="5">
        <f t="shared" si="48"/>
        <v>0</v>
      </c>
      <c r="K606" s="5">
        <v>0</v>
      </c>
      <c r="L606" s="5">
        <f t="shared" si="49"/>
        <v>0</v>
      </c>
      <c r="M606" s="5">
        <f t="shared" si="51"/>
        <v>77300</v>
      </c>
      <c r="N606" s="5">
        <f t="shared" si="51"/>
        <v>154600</v>
      </c>
      <c r="O606" s="8" t="s">
        <v>20</v>
      </c>
      <c r="T606">
        <v>0</v>
      </c>
      <c r="AC606">
        <v>1</v>
      </c>
    </row>
    <row r="607" spans="1:29" ht="30" customHeight="1" x14ac:dyDescent="0.3">
      <c r="A607" s="8" t="s">
        <v>764</v>
      </c>
      <c r="B607" s="8" t="s">
        <v>388</v>
      </c>
      <c r="C607" s="8" t="s">
        <v>374</v>
      </c>
      <c r="D607" s="8" t="s">
        <v>389</v>
      </c>
      <c r="E607" s="8" t="s">
        <v>179</v>
      </c>
      <c r="F607" s="9">
        <v>13</v>
      </c>
      <c r="G607" s="5">
        <f>TRUNC([1]단가대비표!O543,0)</f>
        <v>81600</v>
      </c>
      <c r="H607" s="5">
        <f t="shared" si="47"/>
        <v>1060800</v>
      </c>
      <c r="I607" s="5">
        <v>0</v>
      </c>
      <c r="J607" s="5">
        <f t="shared" si="48"/>
        <v>0</v>
      </c>
      <c r="K607" s="5">
        <v>0</v>
      </c>
      <c r="L607" s="5">
        <f t="shared" si="49"/>
        <v>0</v>
      </c>
      <c r="M607" s="5">
        <f t="shared" si="51"/>
        <v>81600</v>
      </c>
      <c r="N607" s="5">
        <f t="shared" si="51"/>
        <v>1060800</v>
      </c>
      <c r="O607" s="8" t="s">
        <v>20</v>
      </c>
      <c r="T607">
        <v>0</v>
      </c>
      <c r="AC607">
        <v>1</v>
      </c>
    </row>
    <row r="608" spans="1:29" ht="30" customHeight="1" x14ac:dyDescent="0.3">
      <c r="A608" s="8" t="s">
        <v>764</v>
      </c>
      <c r="B608" s="8" t="s">
        <v>390</v>
      </c>
      <c r="C608" s="8" t="s">
        <v>391</v>
      </c>
      <c r="D608" s="8" t="s">
        <v>392</v>
      </c>
      <c r="E608" s="8" t="s">
        <v>179</v>
      </c>
      <c r="F608" s="9">
        <v>7</v>
      </c>
      <c r="G608" s="5">
        <f>TRUNC([1]단가대비표!O526,0)</f>
        <v>99160</v>
      </c>
      <c r="H608" s="5">
        <f t="shared" si="47"/>
        <v>694120</v>
      </c>
      <c r="I608" s="5">
        <v>0</v>
      </c>
      <c r="J608" s="5">
        <f t="shared" si="48"/>
        <v>0</v>
      </c>
      <c r="K608" s="5">
        <v>0</v>
      </c>
      <c r="L608" s="5">
        <f t="shared" si="49"/>
        <v>0</v>
      </c>
      <c r="M608" s="5">
        <f t="shared" si="51"/>
        <v>99160</v>
      </c>
      <c r="N608" s="5">
        <f t="shared" si="51"/>
        <v>694120</v>
      </c>
      <c r="O608" s="8" t="s">
        <v>20</v>
      </c>
      <c r="T608">
        <v>0</v>
      </c>
      <c r="AC608">
        <v>1</v>
      </c>
    </row>
    <row r="609" spans="1:29" ht="30" customHeight="1" x14ac:dyDescent="0.3">
      <c r="A609" s="8" t="s">
        <v>764</v>
      </c>
      <c r="B609" s="8" t="s">
        <v>451</v>
      </c>
      <c r="C609" s="8" t="s">
        <v>452</v>
      </c>
      <c r="D609" s="8" t="s">
        <v>453</v>
      </c>
      <c r="E609" s="8" t="s">
        <v>428</v>
      </c>
      <c r="F609" s="9">
        <v>172</v>
      </c>
      <c r="G609" s="5">
        <f>TRUNC([1]단가대비표!O723,0)</f>
        <v>220</v>
      </c>
      <c r="H609" s="5">
        <f t="shared" si="47"/>
        <v>37840</v>
      </c>
      <c r="I609" s="5">
        <v>10733</v>
      </c>
      <c r="J609" s="5">
        <f t="shared" si="48"/>
        <v>1846076</v>
      </c>
      <c r="K609" s="5">
        <v>0</v>
      </c>
      <c r="L609" s="5">
        <f t="shared" si="49"/>
        <v>0</v>
      </c>
      <c r="M609" s="5">
        <f t="shared" si="51"/>
        <v>10953</v>
      </c>
      <c r="N609" s="5">
        <f t="shared" si="51"/>
        <v>1883916</v>
      </c>
      <c r="O609" s="8" t="s">
        <v>429</v>
      </c>
      <c r="T609">
        <v>0</v>
      </c>
      <c r="AC609">
        <v>1</v>
      </c>
    </row>
    <row r="610" spans="1:29" ht="30" customHeight="1" x14ac:dyDescent="0.3">
      <c r="A610" s="8" t="s">
        <v>764</v>
      </c>
      <c r="B610" s="8" t="s">
        <v>454</v>
      </c>
      <c r="C610" s="8" t="s">
        <v>452</v>
      </c>
      <c r="D610" s="8" t="s">
        <v>427</v>
      </c>
      <c r="E610" s="8" t="s">
        <v>428</v>
      </c>
      <c r="F610" s="9">
        <v>27</v>
      </c>
      <c r="G610" s="5">
        <f>TRUNC([1]단가대비표!O724,0)</f>
        <v>325</v>
      </c>
      <c r="H610" s="5">
        <f t="shared" si="47"/>
        <v>8775</v>
      </c>
      <c r="I610" s="5">
        <v>15886</v>
      </c>
      <c r="J610" s="5">
        <f t="shared" si="48"/>
        <v>428922</v>
      </c>
      <c r="K610" s="5">
        <v>0</v>
      </c>
      <c r="L610" s="5">
        <f t="shared" si="49"/>
        <v>0</v>
      </c>
      <c r="M610" s="5">
        <f t="shared" si="51"/>
        <v>16211</v>
      </c>
      <c r="N610" s="5">
        <f t="shared" si="51"/>
        <v>437697</v>
      </c>
      <c r="O610" s="8" t="s">
        <v>429</v>
      </c>
      <c r="T610">
        <v>0</v>
      </c>
      <c r="AC610">
        <v>1</v>
      </c>
    </row>
    <row r="611" spans="1:29" ht="30" customHeight="1" x14ac:dyDescent="0.3">
      <c r="A611" s="8" t="s">
        <v>764</v>
      </c>
      <c r="B611" s="8" t="s">
        <v>455</v>
      </c>
      <c r="C611" s="8" t="s">
        <v>452</v>
      </c>
      <c r="D611" s="8" t="s">
        <v>456</v>
      </c>
      <c r="E611" s="8" t="s">
        <v>428</v>
      </c>
      <c r="F611" s="9">
        <v>7</v>
      </c>
      <c r="G611" s="5">
        <f>TRUNC([1]단가대비표!O725,0)</f>
        <v>702</v>
      </c>
      <c r="H611" s="5">
        <f t="shared" si="47"/>
        <v>4914</v>
      </c>
      <c r="I611" s="5">
        <v>34385</v>
      </c>
      <c r="J611" s="5">
        <f t="shared" si="48"/>
        <v>240695</v>
      </c>
      <c r="K611" s="5">
        <v>0</v>
      </c>
      <c r="L611" s="5">
        <f t="shared" si="49"/>
        <v>0</v>
      </c>
      <c r="M611" s="5">
        <f t="shared" si="51"/>
        <v>35087</v>
      </c>
      <c r="N611" s="5">
        <f t="shared" si="51"/>
        <v>245609</v>
      </c>
      <c r="O611" s="8" t="s">
        <v>429</v>
      </c>
      <c r="T611">
        <v>0</v>
      </c>
      <c r="AC611">
        <v>1</v>
      </c>
    </row>
    <row r="612" spans="1:29" ht="30" customHeight="1" x14ac:dyDescent="0.3">
      <c r="A612" s="8" t="s">
        <v>764</v>
      </c>
      <c r="B612" s="8" t="s">
        <v>812</v>
      </c>
      <c r="C612" s="8" t="s">
        <v>433</v>
      </c>
      <c r="D612" s="8" t="s">
        <v>813</v>
      </c>
      <c r="E612" s="8" t="s">
        <v>179</v>
      </c>
      <c r="F612" s="9">
        <v>1</v>
      </c>
      <c r="G612" s="5">
        <f>TRUNC([1]단가대비표!O196,0)</f>
        <v>29550</v>
      </c>
      <c r="H612" s="5">
        <f t="shared" si="47"/>
        <v>29550</v>
      </c>
      <c r="I612" s="5">
        <v>0</v>
      </c>
      <c r="J612" s="5">
        <f t="shared" si="48"/>
        <v>0</v>
      </c>
      <c r="K612" s="5">
        <v>0</v>
      </c>
      <c r="L612" s="5">
        <f t="shared" si="49"/>
        <v>0</v>
      </c>
      <c r="M612" s="5">
        <f t="shared" si="51"/>
        <v>29550</v>
      </c>
      <c r="N612" s="5">
        <f t="shared" si="51"/>
        <v>29550</v>
      </c>
      <c r="O612" s="8" t="s">
        <v>20</v>
      </c>
      <c r="T612">
        <v>0</v>
      </c>
      <c r="AC612">
        <v>1</v>
      </c>
    </row>
    <row r="613" spans="1:29" ht="30" customHeight="1" x14ac:dyDescent="0.3">
      <c r="A613" s="8" t="s">
        <v>764</v>
      </c>
      <c r="B613" s="8" t="s">
        <v>814</v>
      </c>
      <c r="C613" s="8" t="s">
        <v>433</v>
      </c>
      <c r="D613" s="8" t="s">
        <v>815</v>
      </c>
      <c r="E613" s="8" t="s">
        <v>179</v>
      </c>
      <c r="F613" s="9">
        <v>2</v>
      </c>
      <c r="G613" s="5">
        <f>TRUNC([1]단가대비표!O197,0)</f>
        <v>32580</v>
      </c>
      <c r="H613" s="5">
        <f t="shared" si="47"/>
        <v>65160</v>
      </c>
      <c r="I613" s="5">
        <v>0</v>
      </c>
      <c r="J613" s="5">
        <f t="shared" si="48"/>
        <v>0</v>
      </c>
      <c r="K613" s="5">
        <v>0</v>
      </c>
      <c r="L613" s="5">
        <f t="shared" si="49"/>
        <v>0</v>
      </c>
      <c r="M613" s="5">
        <f t="shared" si="51"/>
        <v>32580</v>
      </c>
      <c r="N613" s="5">
        <f t="shared" si="51"/>
        <v>65160</v>
      </c>
      <c r="O613" s="8" t="s">
        <v>20</v>
      </c>
      <c r="T613">
        <v>0</v>
      </c>
      <c r="AC613">
        <v>1</v>
      </c>
    </row>
    <row r="614" spans="1:29" ht="30" customHeight="1" x14ac:dyDescent="0.3">
      <c r="A614" s="8" t="s">
        <v>764</v>
      </c>
      <c r="B614" s="8" t="s">
        <v>816</v>
      </c>
      <c r="C614" s="8" t="s">
        <v>433</v>
      </c>
      <c r="D614" s="8" t="s">
        <v>817</v>
      </c>
      <c r="E614" s="8" t="s">
        <v>179</v>
      </c>
      <c r="F614" s="9">
        <v>11</v>
      </c>
      <c r="G614" s="5">
        <f>TRUNC([1]단가대비표!O198,0)</f>
        <v>42420</v>
      </c>
      <c r="H614" s="5">
        <f t="shared" si="47"/>
        <v>466620</v>
      </c>
      <c r="I614" s="5">
        <v>0</v>
      </c>
      <c r="J614" s="5">
        <f t="shared" si="48"/>
        <v>0</v>
      </c>
      <c r="K614" s="5">
        <v>0</v>
      </c>
      <c r="L614" s="5">
        <f t="shared" si="49"/>
        <v>0</v>
      </c>
      <c r="M614" s="5">
        <f t="shared" si="51"/>
        <v>42420</v>
      </c>
      <c r="N614" s="5">
        <f t="shared" si="51"/>
        <v>466620</v>
      </c>
      <c r="O614" s="8" t="s">
        <v>20</v>
      </c>
      <c r="T614">
        <v>0</v>
      </c>
      <c r="AC614">
        <v>1</v>
      </c>
    </row>
    <row r="615" spans="1:29" ht="30" customHeight="1" x14ac:dyDescent="0.3">
      <c r="A615" s="8" t="s">
        <v>764</v>
      </c>
      <c r="B615" s="8" t="s">
        <v>818</v>
      </c>
      <c r="C615" s="8" t="s">
        <v>643</v>
      </c>
      <c r="D615" s="8" t="s">
        <v>444</v>
      </c>
      <c r="E615" s="8" t="s">
        <v>185</v>
      </c>
      <c r="F615" s="9">
        <v>2</v>
      </c>
      <c r="G615" s="5" t="e">
        <f>'[2].xls].xls].xls].xls].xls].xls].xls].'!E69</f>
        <v>#REF!</v>
      </c>
      <c r="H615" s="5" t="e">
        <f t="shared" si="47"/>
        <v>#REF!</v>
      </c>
      <c r="I615" s="5" t="e">
        <f>'[2].xls].xls].xls].xls].xls].xls].xls].'!F69</f>
        <v>#REF!</v>
      </c>
      <c r="J615" s="5" t="e">
        <f t="shared" si="48"/>
        <v>#REF!</v>
      </c>
      <c r="K615" s="5" t="e">
        <f>'[2].xls].xls].xls].xls].xls].xls].xls].'!G69</f>
        <v>#REF!</v>
      </c>
      <c r="L615" s="5" t="e">
        <f t="shared" si="49"/>
        <v>#REF!</v>
      </c>
      <c r="M615" s="5" t="e">
        <f t="shared" si="51"/>
        <v>#REF!</v>
      </c>
      <c r="N615" s="5" t="e">
        <f t="shared" si="51"/>
        <v>#REF!</v>
      </c>
      <c r="O615" s="8" t="s">
        <v>818</v>
      </c>
      <c r="T615">
        <v>0</v>
      </c>
      <c r="AC615">
        <v>1</v>
      </c>
    </row>
    <row r="616" spans="1:29" ht="30" customHeight="1" x14ac:dyDescent="0.3">
      <c r="A616" s="8" t="s">
        <v>764</v>
      </c>
      <c r="B616" s="8" t="s">
        <v>642</v>
      </c>
      <c r="C616" s="8" t="s">
        <v>643</v>
      </c>
      <c r="D616" s="8" t="s">
        <v>487</v>
      </c>
      <c r="E616" s="8" t="s">
        <v>185</v>
      </c>
      <c r="F616" s="9">
        <v>1</v>
      </c>
      <c r="G616" s="5" t="e">
        <f>'[2].xls].xls].xls].xls].xls].xls].xls].'!E70</f>
        <v>#REF!</v>
      </c>
      <c r="H616" s="5" t="e">
        <f t="shared" si="47"/>
        <v>#REF!</v>
      </c>
      <c r="I616" s="5" t="e">
        <f>'[2].xls].xls].xls].xls].xls].xls].xls].'!F70</f>
        <v>#REF!</v>
      </c>
      <c r="J616" s="5" t="e">
        <f t="shared" si="48"/>
        <v>#REF!</v>
      </c>
      <c r="K616" s="5" t="e">
        <f>'[2].xls].xls].xls].xls].xls].xls].xls].'!G70</f>
        <v>#REF!</v>
      </c>
      <c r="L616" s="5" t="e">
        <f t="shared" si="49"/>
        <v>#REF!</v>
      </c>
      <c r="M616" s="5" t="e">
        <f t="shared" si="51"/>
        <v>#REF!</v>
      </c>
      <c r="N616" s="5" t="e">
        <f t="shared" si="51"/>
        <v>#REF!</v>
      </c>
      <c r="O616" s="8" t="s">
        <v>642</v>
      </c>
      <c r="T616">
        <v>0</v>
      </c>
      <c r="AC616">
        <v>1</v>
      </c>
    </row>
    <row r="617" spans="1:29" ht="30" customHeight="1" x14ac:dyDescent="0.3">
      <c r="A617" s="8" t="s">
        <v>764</v>
      </c>
      <c r="B617" s="8" t="s">
        <v>644</v>
      </c>
      <c r="C617" s="8" t="s">
        <v>643</v>
      </c>
      <c r="D617" s="8" t="s">
        <v>489</v>
      </c>
      <c r="E617" s="8" t="s">
        <v>185</v>
      </c>
      <c r="F617" s="9">
        <v>2</v>
      </c>
      <c r="G617" s="5" t="e">
        <f>'[2].xls].xls].xls].xls].xls].xls].xls].'!E71</f>
        <v>#REF!</v>
      </c>
      <c r="H617" s="5" t="e">
        <f t="shared" si="47"/>
        <v>#REF!</v>
      </c>
      <c r="I617" s="5" t="e">
        <f>'[2].xls].xls].xls].xls].xls].xls].xls].'!F71</f>
        <v>#REF!</v>
      </c>
      <c r="J617" s="5" t="e">
        <f t="shared" si="48"/>
        <v>#REF!</v>
      </c>
      <c r="K617" s="5" t="e">
        <f>'[2].xls].xls].xls].xls].xls].xls].xls].'!G71</f>
        <v>#REF!</v>
      </c>
      <c r="L617" s="5" t="e">
        <f t="shared" si="49"/>
        <v>#REF!</v>
      </c>
      <c r="M617" s="5" t="e">
        <f t="shared" si="51"/>
        <v>#REF!</v>
      </c>
      <c r="N617" s="5" t="e">
        <f t="shared" si="51"/>
        <v>#REF!</v>
      </c>
      <c r="O617" s="8" t="s">
        <v>644</v>
      </c>
      <c r="T617">
        <v>0</v>
      </c>
      <c r="AC617">
        <v>1</v>
      </c>
    </row>
    <row r="618" spans="1:29" ht="30" customHeight="1" x14ac:dyDescent="0.3">
      <c r="A618" s="8" t="s">
        <v>764</v>
      </c>
      <c r="B618" s="8" t="s">
        <v>819</v>
      </c>
      <c r="C618" s="8" t="s">
        <v>643</v>
      </c>
      <c r="D618" s="8" t="s">
        <v>346</v>
      </c>
      <c r="E618" s="8" t="s">
        <v>185</v>
      </c>
      <c r="F618" s="9">
        <v>2</v>
      </c>
      <c r="G618" s="5" t="e">
        <f>'[2].xls].xls].xls].xls].xls].xls].xls].'!E72</f>
        <v>#REF!</v>
      </c>
      <c r="H618" s="5" t="e">
        <f t="shared" si="47"/>
        <v>#REF!</v>
      </c>
      <c r="I618" s="5" t="e">
        <f>'[2].xls].xls].xls].xls].xls].xls].xls].'!F72</f>
        <v>#REF!</v>
      </c>
      <c r="J618" s="5" t="e">
        <f t="shared" si="48"/>
        <v>#REF!</v>
      </c>
      <c r="K618" s="5" t="e">
        <f>'[2].xls].xls].xls].xls].xls].xls].xls].'!G72</f>
        <v>#REF!</v>
      </c>
      <c r="L618" s="5" t="e">
        <f t="shared" si="49"/>
        <v>#REF!</v>
      </c>
      <c r="M618" s="5" t="e">
        <f t="shared" si="51"/>
        <v>#REF!</v>
      </c>
      <c r="N618" s="5" t="e">
        <f t="shared" si="51"/>
        <v>#REF!</v>
      </c>
      <c r="O618" s="8" t="s">
        <v>819</v>
      </c>
      <c r="T618">
        <v>0</v>
      </c>
      <c r="AC618">
        <v>1</v>
      </c>
    </row>
    <row r="619" spans="1:29" ht="30" customHeight="1" x14ac:dyDescent="0.3">
      <c r="A619" s="8" t="s">
        <v>764</v>
      </c>
      <c r="B619" s="8" t="s">
        <v>820</v>
      </c>
      <c r="C619" s="8" t="s">
        <v>643</v>
      </c>
      <c r="D619" s="8" t="s">
        <v>447</v>
      </c>
      <c r="E619" s="8" t="s">
        <v>185</v>
      </c>
      <c r="F619" s="9">
        <v>1</v>
      </c>
      <c r="G619" s="5" t="e">
        <f>'[2].xls].xls].xls].xls].xls].xls].xls].'!E74</f>
        <v>#REF!</v>
      </c>
      <c r="H619" s="5" t="e">
        <f t="shared" si="47"/>
        <v>#REF!</v>
      </c>
      <c r="I619" s="5" t="e">
        <f>'[2].xls].xls].xls].xls].xls].xls].xls].'!F74</f>
        <v>#REF!</v>
      </c>
      <c r="J619" s="5" t="e">
        <f t="shared" si="48"/>
        <v>#REF!</v>
      </c>
      <c r="K619" s="5" t="e">
        <f>'[2].xls].xls].xls].xls].xls].xls].xls].'!G74</f>
        <v>#REF!</v>
      </c>
      <c r="L619" s="5" t="e">
        <f t="shared" si="49"/>
        <v>#REF!</v>
      </c>
      <c r="M619" s="5" t="e">
        <f t="shared" si="51"/>
        <v>#REF!</v>
      </c>
      <c r="N619" s="5" t="e">
        <f t="shared" si="51"/>
        <v>#REF!</v>
      </c>
      <c r="O619" s="8" t="s">
        <v>820</v>
      </c>
      <c r="T619">
        <v>0</v>
      </c>
      <c r="AC619">
        <v>1</v>
      </c>
    </row>
    <row r="620" spans="1:29" ht="30" customHeight="1" x14ac:dyDescent="0.3">
      <c r="A620" s="8" t="s">
        <v>764</v>
      </c>
      <c r="B620" s="8" t="s">
        <v>647</v>
      </c>
      <c r="C620" s="8" t="s">
        <v>648</v>
      </c>
      <c r="D620" s="8" t="s">
        <v>20</v>
      </c>
      <c r="E620" s="8" t="s">
        <v>185</v>
      </c>
      <c r="F620" s="9">
        <v>8</v>
      </c>
      <c r="G620" s="5" t="e">
        <f>'[2].xls].xls].xls].xls].xls].xls].xls].'!E142</f>
        <v>#REF!</v>
      </c>
      <c r="H620" s="5" t="e">
        <f t="shared" si="47"/>
        <v>#REF!</v>
      </c>
      <c r="I620" s="5" t="e">
        <f>'[2].xls].xls].xls].xls].xls].xls].xls].'!F142</f>
        <v>#REF!</v>
      </c>
      <c r="J620" s="5" t="e">
        <f t="shared" si="48"/>
        <v>#REF!</v>
      </c>
      <c r="K620" s="5" t="e">
        <f>'[2].xls].xls].xls].xls].xls].xls].xls].'!G142</f>
        <v>#REF!</v>
      </c>
      <c r="L620" s="5" t="e">
        <f t="shared" si="49"/>
        <v>#REF!</v>
      </c>
      <c r="M620" s="5" t="e">
        <f t="shared" si="51"/>
        <v>#REF!</v>
      </c>
      <c r="N620" s="5" t="e">
        <f t="shared" si="51"/>
        <v>#REF!</v>
      </c>
      <c r="O620" s="8" t="s">
        <v>647</v>
      </c>
      <c r="T620">
        <v>0</v>
      </c>
      <c r="AC620">
        <v>1</v>
      </c>
    </row>
    <row r="621" spans="1:29" ht="30" customHeight="1" x14ac:dyDescent="0.3">
      <c r="A621" s="8" t="s">
        <v>764</v>
      </c>
      <c r="B621" s="8" t="s">
        <v>480</v>
      </c>
      <c r="C621" s="8" t="s">
        <v>481</v>
      </c>
      <c r="D621" s="8" t="s">
        <v>184</v>
      </c>
      <c r="E621" s="8" t="s">
        <v>185</v>
      </c>
      <c r="F621" s="9">
        <v>3</v>
      </c>
      <c r="G621" s="5" t="e">
        <f>'[2].xls].xls].xls].xls].xls].xls].xls].'!E115</f>
        <v>#REF!</v>
      </c>
      <c r="H621" s="5" t="e">
        <f t="shared" si="47"/>
        <v>#REF!</v>
      </c>
      <c r="I621" s="5" t="e">
        <f>'[2].xls].xls].xls].xls].xls].xls].xls].'!F115</f>
        <v>#REF!</v>
      </c>
      <c r="J621" s="5" t="e">
        <f t="shared" si="48"/>
        <v>#REF!</v>
      </c>
      <c r="K621" s="5" t="e">
        <f>'[2].xls].xls].xls].xls].xls].xls].xls].'!G115</f>
        <v>#REF!</v>
      </c>
      <c r="L621" s="5" t="e">
        <f t="shared" si="49"/>
        <v>#REF!</v>
      </c>
      <c r="M621" s="5" t="e">
        <f t="shared" si="51"/>
        <v>#REF!</v>
      </c>
      <c r="N621" s="5" t="e">
        <f t="shared" si="51"/>
        <v>#REF!</v>
      </c>
      <c r="O621" s="8" t="s">
        <v>480</v>
      </c>
      <c r="T621">
        <v>0</v>
      </c>
      <c r="AC621">
        <v>1</v>
      </c>
    </row>
    <row r="622" spans="1:29" ht="30" customHeight="1" x14ac:dyDescent="0.3">
      <c r="A622" s="8" t="s">
        <v>764</v>
      </c>
      <c r="B622" s="8" t="s">
        <v>821</v>
      </c>
      <c r="C622" s="8" t="s">
        <v>483</v>
      </c>
      <c r="D622" s="8" t="s">
        <v>184</v>
      </c>
      <c r="E622" s="8" t="s">
        <v>185</v>
      </c>
      <c r="F622" s="9">
        <v>616</v>
      </c>
      <c r="G622" s="5" t="e">
        <f>'[2].xls].xls].xls].xls].xls].xls].xls].'!E47</f>
        <v>#REF!</v>
      </c>
      <c r="H622" s="5" t="e">
        <f t="shared" si="47"/>
        <v>#REF!</v>
      </c>
      <c r="I622" s="5" t="e">
        <f>'[2].xls].xls].xls].xls].xls].xls].xls].'!F47</f>
        <v>#REF!</v>
      </c>
      <c r="J622" s="5" t="e">
        <f t="shared" si="48"/>
        <v>#REF!</v>
      </c>
      <c r="K622" s="5" t="e">
        <f>'[2].xls].xls].xls].xls].xls].xls].xls].'!G47</f>
        <v>#REF!</v>
      </c>
      <c r="L622" s="5" t="e">
        <f t="shared" si="49"/>
        <v>#REF!</v>
      </c>
      <c r="M622" s="5" t="e">
        <f t="shared" si="51"/>
        <v>#REF!</v>
      </c>
      <c r="N622" s="5" t="e">
        <f t="shared" si="51"/>
        <v>#REF!</v>
      </c>
      <c r="O622" s="8" t="s">
        <v>821</v>
      </c>
      <c r="T622">
        <v>0</v>
      </c>
      <c r="AC622">
        <v>1</v>
      </c>
    </row>
    <row r="623" spans="1:29" ht="30" customHeight="1" x14ac:dyDescent="0.3">
      <c r="A623" s="8" t="s">
        <v>764</v>
      </c>
      <c r="B623" s="8" t="s">
        <v>482</v>
      </c>
      <c r="C623" s="8" t="s">
        <v>483</v>
      </c>
      <c r="D623" s="8" t="s">
        <v>484</v>
      </c>
      <c r="E623" s="8" t="s">
        <v>185</v>
      </c>
      <c r="F623" s="9">
        <v>802</v>
      </c>
      <c r="G623" s="5" t="e">
        <f>'[2].xls].xls].xls].xls].xls].xls].xls].'!E48</f>
        <v>#REF!</v>
      </c>
      <c r="H623" s="5" t="e">
        <f t="shared" si="47"/>
        <v>#REF!</v>
      </c>
      <c r="I623" s="5" t="e">
        <f>'[2].xls].xls].xls].xls].xls].xls].xls].'!F48</f>
        <v>#REF!</v>
      </c>
      <c r="J623" s="5" t="e">
        <f t="shared" si="48"/>
        <v>#REF!</v>
      </c>
      <c r="K623" s="5" t="e">
        <f>'[2].xls].xls].xls].xls].xls].xls].xls].'!G48</f>
        <v>#REF!</v>
      </c>
      <c r="L623" s="5" t="e">
        <f t="shared" si="49"/>
        <v>#REF!</v>
      </c>
      <c r="M623" s="5" t="e">
        <f t="shared" si="51"/>
        <v>#REF!</v>
      </c>
      <c r="N623" s="5" t="e">
        <f t="shared" si="51"/>
        <v>#REF!</v>
      </c>
      <c r="O623" s="8" t="s">
        <v>482</v>
      </c>
      <c r="T623">
        <v>0</v>
      </c>
      <c r="AC623">
        <v>1</v>
      </c>
    </row>
    <row r="624" spans="1:29" ht="30" customHeight="1" x14ac:dyDescent="0.3">
      <c r="A624" s="8" t="s">
        <v>764</v>
      </c>
      <c r="B624" s="8" t="s">
        <v>485</v>
      </c>
      <c r="C624" s="8" t="s">
        <v>483</v>
      </c>
      <c r="D624" s="8" t="s">
        <v>444</v>
      </c>
      <c r="E624" s="8" t="s">
        <v>185</v>
      </c>
      <c r="F624" s="9">
        <v>115</v>
      </c>
      <c r="G624" s="5" t="e">
        <f>'[2].xls].xls].xls].xls].xls].xls].xls].'!E49</f>
        <v>#REF!</v>
      </c>
      <c r="H624" s="5" t="e">
        <f t="shared" si="47"/>
        <v>#REF!</v>
      </c>
      <c r="I624" s="5" t="e">
        <f>'[2].xls].xls].xls].xls].xls].xls].xls].'!F49</f>
        <v>#REF!</v>
      </c>
      <c r="J624" s="5" t="e">
        <f t="shared" si="48"/>
        <v>#REF!</v>
      </c>
      <c r="K624" s="5" t="e">
        <f>'[2].xls].xls].xls].xls].xls].xls].xls].'!G49</f>
        <v>#REF!</v>
      </c>
      <c r="L624" s="5" t="e">
        <f t="shared" si="49"/>
        <v>#REF!</v>
      </c>
      <c r="M624" s="5" t="e">
        <f t="shared" si="51"/>
        <v>#REF!</v>
      </c>
      <c r="N624" s="5" t="e">
        <f t="shared" si="51"/>
        <v>#REF!</v>
      </c>
      <c r="O624" s="8" t="s">
        <v>485</v>
      </c>
      <c r="T624">
        <v>0</v>
      </c>
      <c r="AC624">
        <v>1</v>
      </c>
    </row>
    <row r="625" spans="1:29" ht="30" customHeight="1" x14ac:dyDescent="0.3">
      <c r="A625" s="8" t="s">
        <v>764</v>
      </c>
      <c r="B625" s="8" t="s">
        <v>486</v>
      </c>
      <c r="C625" s="8" t="s">
        <v>483</v>
      </c>
      <c r="D625" s="8" t="s">
        <v>487</v>
      </c>
      <c r="E625" s="8" t="s">
        <v>185</v>
      </c>
      <c r="F625" s="9">
        <v>99</v>
      </c>
      <c r="G625" s="5" t="e">
        <f>'[2].xls].xls].xls].xls].xls].xls].xls].'!E50</f>
        <v>#REF!</v>
      </c>
      <c r="H625" s="5" t="e">
        <f t="shared" si="47"/>
        <v>#REF!</v>
      </c>
      <c r="I625" s="5" t="e">
        <f>'[2].xls].xls].xls].xls].xls].xls].xls].'!F50</f>
        <v>#REF!</v>
      </c>
      <c r="J625" s="5" t="e">
        <f t="shared" si="48"/>
        <v>#REF!</v>
      </c>
      <c r="K625" s="5" t="e">
        <f>'[2].xls].xls].xls].xls].xls].xls].xls].'!G50</f>
        <v>#REF!</v>
      </c>
      <c r="L625" s="5" t="e">
        <f t="shared" si="49"/>
        <v>#REF!</v>
      </c>
      <c r="M625" s="5" t="e">
        <f t="shared" si="51"/>
        <v>#REF!</v>
      </c>
      <c r="N625" s="5" t="e">
        <f t="shared" si="51"/>
        <v>#REF!</v>
      </c>
      <c r="O625" s="8" t="s">
        <v>486</v>
      </c>
      <c r="T625">
        <v>0</v>
      </c>
      <c r="AC625">
        <v>1</v>
      </c>
    </row>
    <row r="626" spans="1:29" ht="30" customHeight="1" x14ac:dyDescent="0.3">
      <c r="A626" s="8" t="s">
        <v>764</v>
      </c>
      <c r="B626" s="8" t="s">
        <v>488</v>
      </c>
      <c r="C626" s="8" t="s">
        <v>483</v>
      </c>
      <c r="D626" s="8" t="s">
        <v>489</v>
      </c>
      <c r="E626" s="8" t="s">
        <v>185</v>
      </c>
      <c r="F626" s="9">
        <v>59</v>
      </c>
      <c r="G626" s="5" t="e">
        <f>'[2].xls].xls].xls].xls].xls].xls].xls].'!E51</f>
        <v>#REF!</v>
      </c>
      <c r="H626" s="5" t="e">
        <f t="shared" si="47"/>
        <v>#REF!</v>
      </c>
      <c r="I626" s="5" t="e">
        <f>'[2].xls].xls].xls].xls].xls].xls].xls].'!F51</f>
        <v>#REF!</v>
      </c>
      <c r="J626" s="5" t="e">
        <f t="shared" si="48"/>
        <v>#REF!</v>
      </c>
      <c r="K626" s="5" t="e">
        <f>'[2].xls].xls].xls].xls].xls].xls].xls].'!G51</f>
        <v>#REF!</v>
      </c>
      <c r="L626" s="5" t="e">
        <f t="shared" si="49"/>
        <v>#REF!</v>
      </c>
      <c r="M626" s="5" t="e">
        <f t="shared" si="51"/>
        <v>#REF!</v>
      </c>
      <c r="N626" s="5" t="e">
        <f t="shared" si="51"/>
        <v>#REF!</v>
      </c>
      <c r="O626" s="8" t="s">
        <v>488</v>
      </c>
      <c r="T626">
        <v>0</v>
      </c>
      <c r="AC626">
        <v>1</v>
      </c>
    </row>
    <row r="627" spans="1:29" ht="30" customHeight="1" x14ac:dyDescent="0.3">
      <c r="A627" s="8" t="s">
        <v>764</v>
      </c>
      <c r="B627" s="8" t="s">
        <v>490</v>
      </c>
      <c r="C627" s="8" t="s">
        <v>483</v>
      </c>
      <c r="D627" s="8" t="s">
        <v>346</v>
      </c>
      <c r="E627" s="8" t="s">
        <v>185</v>
      </c>
      <c r="F627" s="9">
        <v>43</v>
      </c>
      <c r="G627" s="5" t="e">
        <f>'[2].xls].xls].xls].xls].xls].xls].xls].'!E52</f>
        <v>#REF!</v>
      </c>
      <c r="H627" s="5" t="e">
        <f t="shared" ref="H627:H690" si="52">TRUNC(F627*G627,0)</f>
        <v>#REF!</v>
      </c>
      <c r="I627" s="5" t="e">
        <f>'[2].xls].xls].xls].xls].xls].xls].xls].'!F52</f>
        <v>#REF!</v>
      </c>
      <c r="J627" s="5" t="e">
        <f t="shared" ref="J627:J690" si="53">TRUNC(F627*I627,0)</f>
        <v>#REF!</v>
      </c>
      <c r="K627" s="5" t="e">
        <f>'[2].xls].xls].xls].xls].xls].xls].xls].'!G52</f>
        <v>#REF!</v>
      </c>
      <c r="L627" s="5" t="e">
        <f t="shared" ref="L627:L690" si="54">TRUNC(F627*K627,0)</f>
        <v>#REF!</v>
      </c>
      <c r="M627" s="5" t="e">
        <f t="shared" ref="M627:N658" si="55">G627+I627+K627</f>
        <v>#REF!</v>
      </c>
      <c r="N627" s="5" t="e">
        <f t="shared" si="55"/>
        <v>#REF!</v>
      </c>
      <c r="O627" s="8" t="s">
        <v>490</v>
      </c>
      <c r="T627">
        <v>0</v>
      </c>
      <c r="AC627">
        <v>1</v>
      </c>
    </row>
    <row r="628" spans="1:29" ht="30" customHeight="1" x14ac:dyDescent="0.3">
      <c r="A628" s="8" t="s">
        <v>764</v>
      </c>
      <c r="B628" s="8" t="s">
        <v>822</v>
      </c>
      <c r="C628" s="8" t="s">
        <v>483</v>
      </c>
      <c r="D628" s="8" t="s">
        <v>640</v>
      </c>
      <c r="E628" s="8" t="s">
        <v>185</v>
      </c>
      <c r="F628" s="9">
        <v>19</v>
      </c>
      <c r="G628" s="5" t="e">
        <f>'[2].xls].xls].xls].xls].xls].xls].xls].'!E53</f>
        <v>#REF!</v>
      </c>
      <c r="H628" s="5" t="e">
        <f t="shared" si="52"/>
        <v>#REF!</v>
      </c>
      <c r="I628" s="5" t="e">
        <f>'[2].xls].xls].xls].xls].xls].xls].xls].'!F53</f>
        <v>#REF!</v>
      </c>
      <c r="J628" s="5" t="e">
        <f t="shared" si="53"/>
        <v>#REF!</v>
      </c>
      <c r="K628" s="5" t="e">
        <f>'[2].xls].xls].xls].xls].xls].xls].xls].'!G53</f>
        <v>#REF!</v>
      </c>
      <c r="L628" s="5" t="e">
        <f t="shared" si="54"/>
        <v>#REF!</v>
      </c>
      <c r="M628" s="5" t="e">
        <f t="shared" si="55"/>
        <v>#REF!</v>
      </c>
      <c r="N628" s="5" t="e">
        <f t="shared" si="55"/>
        <v>#REF!</v>
      </c>
      <c r="O628" s="8" t="s">
        <v>822</v>
      </c>
      <c r="T628">
        <v>0</v>
      </c>
      <c r="AC628">
        <v>1</v>
      </c>
    </row>
    <row r="629" spans="1:29" ht="30" customHeight="1" x14ac:dyDescent="0.3">
      <c r="A629" s="8" t="s">
        <v>764</v>
      </c>
      <c r="B629" s="8" t="s">
        <v>492</v>
      </c>
      <c r="C629" s="8" t="s">
        <v>483</v>
      </c>
      <c r="D629" s="8" t="s">
        <v>348</v>
      </c>
      <c r="E629" s="8" t="s">
        <v>185</v>
      </c>
      <c r="F629" s="9">
        <v>1</v>
      </c>
      <c r="G629" s="5" t="e">
        <f>'[2].xls].xls].xls].xls].xls].xls].xls].'!E55</f>
        <v>#REF!</v>
      </c>
      <c r="H629" s="5" t="e">
        <f t="shared" si="52"/>
        <v>#REF!</v>
      </c>
      <c r="I629" s="5" t="e">
        <f>'[2].xls].xls].xls].xls].xls].xls].xls].'!F55</f>
        <v>#REF!</v>
      </c>
      <c r="J629" s="5" t="e">
        <f t="shared" si="53"/>
        <v>#REF!</v>
      </c>
      <c r="K629" s="5" t="e">
        <f>'[2].xls].xls].xls].xls].xls].xls].xls].'!G55</f>
        <v>#REF!</v>
      </c>
      <c r="L629" s="5" t="e">
        <f t="shared" si="54"/>
        <v>#REF!</v>
      </c>
      <c r="M629" s="5" t="e">
        <f t="shared" si="55"/>
        <v>#REF!</v>
      </c>
      <c r="N629" s="5" t="e">
        <f t="shared" si="55"/>
        <v>#REF!</v>
      </c>
      <c r="O629" s="8" t="s">
        <v>492</v>
      </c>
      <c r="T629">
        <v>0</v>
      </c>
      <c r="AC629">
        <v>1</v>
      </c>
    </row>
    <row r="630" spans="1:29" ht="30" customHeight="1" x14ac:dyDescent="0.3">
      <c r="A630" s="8" t="s">
        <v>764</v>
      </c>
      <c r="B630" s="8" t="s">
        <v>823</v>
      </c>
      <c r="C630" s="8" t="s">
        <v>494</v>
      </c>
      <c r="D630" s="8" t="s">
        <v>824</v>
      </c>
      <c r="E630" s="8" t="s">
        <v>179</v>
      </c>
      <c r="F630" s="9">
        <v>1</v>
      </c>
      <c r="G630" s="5">
        <f>TRUNC([1]단가대비표!O558,0)</f>
        <v>330</v>
      </c>
      <c r="H630" s="5">
        <f t="shared" si="52"/>
        <v>330</v>
      </c>
      <c r="I630" s="5">
        <v>0</v>
      </c>
      <c r="J630" s="5">
        <f t="shared" si="53"/>
        <v>0</v>
      </c>
      <c r="K630" s="5">
        <v>0</v>
      </c>
      <c r="L630" s="5">
        <f t="shared" si="54"/>
        <v>0</v>
      </c>
      <c r="M630" s="5">
        <f t="shared" si="55"/>
        <v>330</v>
      </c>
      <c r="N630" s="5">
        <f t="shared" si="55"/>
        <v>330</v>
      </c>
      <c r="O630" s="8" t="s">
        <v>20</v>
      </c>
      <c r="T630">
        <v>0</v>
      </c>
      <c r="AC630">
        <v>1</v>
      </c>
    </row>
    <row r="631" spans="1:29" ht="30" customHeight="1" x14ac:dyDescent="0.3">
      <c r="A631" s="8" t="s">
        <v>764</v>
      </c>
      <c r="B631" s="8" t="s">
        <v>649</v>
      </c>
      <c r="C631" s="8" t="s">
        <v>494</v>
      </c>
      <c r="D631" s="8" t="s">
        <v>650</v>
      </c>
      <c r="E631" s="8" t="s">
        <v>179</v>
      </c>
      <c r="F631" s="9">
        <v>9</v>
      </c>
      <c r="G631" s="5">
        <f>TRUNC([1]단가대비표!O559,0)</f>
        <v>370</v>
      </c>
      <c r="H631" s="5">
        <f t="shared" si="52"/>
        <v>3330</v>
      </c>
      <c r="I631" s="5">
        <v>0</v>
      </c>
      <c r="J631" s="5">
        <f t="shared" si="53"/>
        <v>0</v>
      </c>
      <c r="K631" s="5">
        <v>0</v>
      </c>
      <c r="L631" s="5">
        <f t="shared" si="54"/>
        <v>0</v>
      </c>
      <c r="M631" s="5">
        <f t="shared" si="55"/>
        <v>370</v>
      </c>
      <c r="N631" s="5">
        <f t="shared" si="55"/>
        <v>3330</v>
      </c>
      <c r="O631" s="8" t="s">
        <v>20</v>
      </c>
      <c r="T631">
        <v>0</v>
      </c>
      <c r="AC631">
        <v>1</v>
      </c>
    </row>
    <row r="632" spans="1:29" ht="30" customHeight="1" x14ac:dyDescent="0.3">
      <c r="A632" s="8" t="s">
        <v>764</v>
      </c>
      <c r="B632" s="8" t="s">
        <v>493</v>
      </c>
      <c r="C632" s="8" t="s">
        <v>494</v>
      </c>
      <c r="D632" s="8" t="s">
        <v>495</v>
      </c>
      <c r="E632" s="8" t="s">
        <v>179</v>
      </c>
      <c r="F632" s="9">
        <v>16</v>
      </c>
      <c r="G632" s="5">
        <f>TRUNC([1]단가대비표!O560,0)</f>
        <v>410</v>
      </c>
      <c r="H632" s="5">
        <f t="shared" si="52"/>
        <v>6560</v>
      </c>
      <c r="I632" s="5">
        <v>0</v>
      </c>
      <c r="J632" s="5">
        <f t="shared" si="53"/>
        <v>0</v>
      </c>
      <c r="K632" s="5">
        <v>0</v>
      </c>
      <c r="L632" s="5">
        <f t="shared" si="54"/>
        <v>0</v>
      </c>
      <c r="M632" s="5">
        <f t="shared" si="55"/>
        <v>410</v>
      </c>
      <c r="N632" s="5">
        <f t="shared" si="55"/>
        <v>6560</v>
      </c>
      <c r="O632" s="8" t="s">
        <v>20</v>
      </c>
      <c r="T632">
        <v>0</v>
      </c>
      <c r="AC632">
        <v>1</v>
      </c>
    </row>
    <row r="633" spans="1:29" ht="30" customHeight="1" x14ac:dyDescent="0.3">
      <c r="A633" s="8" t="s">
        <v>764</v>
      </c>
      <c r="B633" s="8" t="s">
        <v>496</v>
      </c>
      <c r="C633" s="8" t="s">
        <v>494</v>
      </c>
      <c r="D633" s="8" t="s">
        <v>497</v>
      </c>
      <c r="E633" s="8" t="s">
        <v>179</v>
      </c>
      <c r="F633" s="9">
        <v>15</v>
      </c>
      <c r="G633" s="5">
        <f>TRUNC([1]단가대비표!O561,0)</f>
        <v>450</v>
      </c>
      <c r="H633" s="5">
        <f t="shared" si="52"/>
        <v>6750</v>
      </c>
      <c r="I633" s="5">
        <v>0</v>
      </c>
      <c r="J633" s="5">
        <f t="shared" si="53"/>
        <v>0</v>
      </c>
      <c r="K633" s="5">
        <v>0</v>
      </c>
      <c r="L633" s="5">
        <f t="shared" si="54"/>
        <v>0</v>
      </c>
      <c r="M633" s="5">
        <f t="shared" si="55"/>
        <v>450</v>
      </c>
      <c r="N633" s="5">
        <f t="shared" si="55"/>
        <v>6750</v>
      </c>
      <c r="O633" s="8" t="s">
        <v>20</v>
      </c>
      <c r="T633">
        <v>0</v>
      </c>
      <c r="AC633">
        <v>1</v>
      </c>
    </row>
    <row r="634" spans="1:29" ht="30" customHeight="1" x14ac:dyDescent="0.3">
      <c r="A634" s="8" t="s">
        <v>764</v>
      </c>
      <c r="B634" s="8" t="s">
        <v>498</v>
      </c>
      <c r="C634" s="8" t="s">
        <v>494</v>
      </c>
      <c r="D634" s="8" t="s">
        <v>499</v>
      </c>
      <c r="E634" s="8" t="s">
        <v>179</v>
      </c>
      <c r="F634" s="9">
        <v>43</v>
      </c>
      <c r="G634" s="5">
        <f>TRUNC([1]단가대비표!O562,0)</f>
        <v>520</v>
      </c>
      <c r="H634" s="5">
        <f t="shared" si="52"/>
        <v>22360</v>
      </c>
      <c r="I634" s="5">
        <v>0</v>
      </c>
      <c r="J634" s="5">
        <f t="shared" si="53"/>
        <v>0</v>
      </c>
      <c r="K634" s="5">
        <v>0</v>
      </c>
      <c r="L634" s="5">
        <f t="shared" si="54"/>
        <v>0</v>
      </c>
      <c r="M634" s="5">
        <f t="shared" si="55"/>
        <v>520</v>
      </c>
      <c r="N634" s="5">
        <f t="shared" si="55"/>
        <v>22360</v>
      </c>
      <c r="O634" s="8" t="s">
        <v>20</v>
      </c>
      <c r="T634">
        <v>0</v>
      </c>
      <c r="AC634">
        <v>1</v>
      </c>
    </row>
    <row r="635" spans="1:29" ht="30" customHeight="1" x14ac:dyDescent="0.3">
      <c r="A635" s="8" t="s">
        <v>764</v>
      </c>
      <c r="B635" s="8" t="s">
        <v>500</v>
      </c>
      <c r="C635" s="8" t="s">
        <v>494</v>
      </c>
      <c r="D635" s="8" t="s">
        <v>501</v>
      </c>
      <c r="E635" s="8" t="s">
        <v>179</v>
      </c>
      <c r="F635" s="9">
        <v>31</v>
      </c>
      <c r="G635" s="5">
        <f>TRUNC([1]단가대비표!O563,0)</f>
        <v>630</v>
      </c>
      <c r="H635" s="5">
        <f t="shared" si="52"/>
        <v>19530</v>
      </c>
      <c r="I635" s="5">
        <v>0</v>
      </c>
      <c r="J635" s="5">
        <f t="shared" si="53"/>
        <v>0</v>
      </c>
      <c r="K635" s="5">
        <v>0</v>
      </c>
      <c r="L635" s="5">
        <f t="shared" si="54"/>
        <v>0</v>
      </c>
      <c r="M635" s="5">
        <f t="shared" si="55"/>
        <v>630</v>
      </c>
      <c r="N635" s="5">
        <f t="shared" si="55"/>
        <v>19530</v>
      </c>
      <c r="O635" s="8" t="s">
        <v>20</v>
      </c>
      <c r="T635">
        <v>0</v>
      </c>
      <c r="AC635">
        <v>1</v>
      </c>
    </row>
    <row r="636" spans="1:29" ht="30" customHeight="1" x14ac:dyDescent="0.3">
      <c r="A636" s="8" t="s">
        <v>764</v>
      </c>
      <c r="B636" s="8" t="s">
        <v>825</v>
      </c>
      <c r="C636" s="8" t="s">
        <v>494</v>
      </c>
      <c r="D636" s="8" t="s">
        <v>826</v>
      </c>
      <c r="E636" s="8" t="s">
        <v>179</v>
      </c>
      <c r="F636" s="9">
        <v>7</v>
      </c>
      <c r="G636" s="5">
        <f>TRUNC([1]단가대비표!O564,0)</f>
        <v>700</v>
      </c>
      <c r="H636" s="5">
        <f t="shared" si="52"/>
        <v>4900</v>
      </c>
      <c r="I636" s="5">
        <v>0</v>
      </c>
      <c r="J636" s="5">
        <f t="shared" si="53"/>
        <v>0</v>
      </c>
      <c r="K636" s="5">
        <v>0</v>
      </c>
      <c r="L636" s="5">
        <f t="shared" si="54"/>
        <v>0</v>
      </c>
      <c r="M636" s="5">
        <f t="shared" si="55"/>
        <v>700</v>
      </c>
      <c r="N636" s="5">
        <f t="shared" si="55"/>
        <v>4900</v>
      </c>
      <c r="O636" s="8" t="s">
        <v>20</v>
      </c>
      <c r="T636">
        <v>0</v>
      </c>
      <c r="AC636">
        <v>1</v>
      </c>
    </row>
    <row r="637" spans="1:29" ht="30" customHeight="1" x14ac:dyDescent="0.3">
      <c r="A637" s="8" t="s">
        <v>764</v>
      </c>
      <c r="B637" s="8" t="s">
        <v>502</v>
      </c>
      <c r="C637" s="8" t="s">
        <v>494</v>
      </c>
      <c r="D637" s="8" t="s">
        <v>503</v>
      </c>
      <c r="E637" s="8" t="s">
        <v>179</v>
      </c>
      <c r="F637" s="9">
        <v>6</v>
      </c>
      <c r="G637" s="5">
        <f>TRUNC([1]단가대비표!O565,0)</f>
        <v>880</v>
      </c>
      <c r="H637" s="5">
        <f t="shared" si="52"/>
        <v>5280</v>
      </c>
      <c r="I637" s="5">
        <v>0</v>
      </c>
      <c r="J637" s="5">
        <f t="shared" si="53"/>
        <v>0</v>
      </c>
      <c r="K637" s="5">
        <v>0</v>
      </c>
      <c r="L637" s="5">
        <f t="shared" si="54"/>
        <v>0</v>
      </c>
      <c r="M637" s="5">
        <f t="shared" si="55"/>
        <v>880</v>
      </c>
      <c r="N637" s="5">
        <f t="shared" si="55"/>
        <v>5280</v>
      </c>
      <c r="O637" s="8" t="s">
        <v>20</v>
      </c>
      <c r="T637">
        <v>0</v>
      </c>
      <c r="AC637">
        <v>1</v>
      </c>
    </row>
    <row r="638" spans="1:29" ht="30" customHeight="1" x14ac:dyDescent="0.3">
      <c r="A638" s="8" t="s">
        <v>764</v>
      </c>
      <c r="B638" s="8" t="s">
        <v>651</v>
      </c>
      <c r="C638" s="8" t="s">
        <v>494</v>
      </c>
      <c r="D638" s="8" t="s">
        <v>652</v>
      </c>
      <c r="E638" s="8" t="s">
        <v>179</v>
      </c>
      <c r="F638" s="9">
        <v>23</v>
      </c>
      <c r="G638" s="5">
        <f>TRUNC([1]단가대비표!O566,0)</f>
        <v>1590</v>
      </c>
      <c r="H638" s="5">
        <f t="shared" si="52"/>
        <v>36570</v>
      </c>
      <c r="I638" s="5">
        <v>0</v>
      </c>
      <c r="J638" s="5">
        <f t="shared" si="53"/>
        <v>0</v>
      </c>
      <c r="K638" s="5">
        <v>0</v>
      </c>
      <c r="L638" s="5">
        <f t="shared" si="54"/>
        <v>0</v>
      </c>
      <c r="M638" s="5">
        <f t="shared" si="55"/>
        <v>1590</v>
      </c>
      <c r="N638" s="5">
        <f t="shared" si="55"/>
        <v>36570</v>
      </c>
      <c r="O638" s="8" t="s">
        <v>20</v>
      </c>
      <c r="T638">
        <v>0</v>
      </c>
      <c r="AC638">
        <v>1</v>
      </c>
    </row>
    <row r="639" spans="1:29" ht="30" customHeight="1" x14ac:dyDescent="0.3">
      <c r="A639" s="8" t="s">
        <v>764</v>
      </c>
      <c r="B639" s="8" t="s">
        <v>827</v>
      </c>
      <c r="C639" s="8" t="s">
        <v>507</v>
      </c>
      <c r="D639" s="8" t="s">
        <v>828</v>
      </c>
      <c r="E639" s="8" t="s">
        <v>179</v>
      </c>
      <c r="F639" s="9">
        <v>5</v>
      </c>
      <c r="G639" s="5">
        <f>TRUNC([1]단가대비표!O162,0)</f>
        <v>20290</v>
      </c>
      <c r="H639" s="5">
        <f t="shared" si="52"/>
        <v>101450</v>
      </c>
      <c r="I639" s="5">
        <v>0</v>
      </c>
      <c r="J639" s="5">
        <f t="shared" si="53"/>
        <v>0</v>
      </c>
      <c r="K639" s="5">
        <v>0</v>
      </c>
      <c r="L639" s="5">
        <f t="shared" si="54"/>
        <v>0</v>
      </c>
      <c r="M639" s="5">
        <f t="shared" si="55"/>
        <v>20290</v>
      </c>
      <c r="N639" s="5">
        <f t="shared" si="55"/>
        <v>101450</v>
      </c>
      <c r="O639" s="8" t="s">
        <v>20</v>
      </c>
      <c r="T639">
        <v>0</v>
      </c>
      <c r="AC639">
        <v>1</v>
      </c>
    </row>
    <row r="640" spans="1:29" ht="30" customHeight="1" x14ac:dyDescent="0.3">
      <c r="A640" s="8" t="s">
        <v>764</v>
      </c>
      <c r="B640" s="8" t="s">
        <v>655</v>
      </c>
      <c r="C640" s="8" t="s">
        <v>507</v>
      </c>
      <c r="D640" s="8" t="s">
        <v>656</v>
      </c>
      <c r="E640" s="8" t="s">
        <v>179</v>
      </c>
      <c r="F640" s="9">
        <v>8</v>
      </c>
      <c r="G640" s="5">
        <f>TRUNC([1]단가대비표!O163,0)</f>
        <v>20290</v>
      </c>
      <c r="H640" s="5">
        <f t="shared" si="52"/>
        <v>162320</v>
      </c>
      <c r="I640" s="5">
        <v>0</v>
      </c>
      <c r="J640" s="5">
        <f t="shared" si="53"/>
        <v>0</v>
      </c>
      <c r="K640" s="5">
        <v>0</v>
      </c>
      <c r="L640" s="5">
        <f t="shared" si="54"/>
        <v>0</v>
      </c>
      <c r="M640" s="5">
        <f t="shared" si="55"/>
        <v>20290</v>
      </c>
      <c r="N640" s="5">
        <f t="shared" si="55"/>
        <v>162320</v>
      </c>
      <c r="O640" s="8" t="s">
        <v>20</v>
      </c>
      <c r="T640">
        <v>0</v>
      </c>
      <c r="AC640">
        <v>1</v>
      </c>
    </row>
    <row r="641" spans="1:29" ht="30" customHeight="1" x14ac:dyDescent="0.3">
      <c r="A641" s="8" t="s">
        <v>764</v>
      </c>
      <c r="B641" s="8" t="s">
        <v>506</v>
      </c>
      <c r="C641" s="8" t="s">
        <v>507</v>
      </c>
      <c r="D641" s="8" t="s">
        <v>508</v>
      </c>
      <c r="E641" s="8" t="s">
        <v>179</v>
      </c>
      <c r="F641" s="9">
        <v>3</v>
      </c>
      <c r="G641" s="5">
        <f>TRUNC([1]단가대비표!O164,0)</f>
        <v>22320</v>
      </c>
      <c r="H641" s="5">
        <f t="shared" si="52"/>
        <v>66960</v>
      </c>
      <c r="I641" s="5">
        <v>0</v>
      </c>
      <c r="J641" s="5">
        <f t="shared" si="53"/>
        <v>0</v>
      </c>
      <c r="K641" s="5">
        <v>0</v>
      </c>
      <c r="L641" s="5">
        <f t="shared" si="54"/>
        <v>0</v>
      </c>
      <c r="M641" s="5">
        <f t="shared" si="55"/>
        <v>22320</v>
      </c>
      <c r="N641" s="5">
        <f t="shared" si="55"/>
        <v>66960</v>
      </c>
      <c r="O641" s="8" t="s">
        <v>20</v>
      </c>
      <c r="T641">
        <v>0</v>
      </c>
      <c r="AC641">
        <v>1</v>
      </c>
    </row>
    <row r="642" spans="1:29" ht="30" customHeight="1" x14ac:dyDescent="0.3">
      <c r="A642" s="8" t="s">
        <v>764</v>
      </c>
      <c r="B642" s="8" t="s">
        <v>509</v>
      </c>
      <c r="C642" s="8" t="s">
        <v>507</v>
      </c>
      <c r="D642" s="8" t="s">
        <v>510</v>
      </c>
      <c r="E642" s="8" t="s">
        <v>179</v>
      </c>
      <c r="F642" s="9">
        <v>4</v>
      </c>
      <c r="G642" s="5">
        <f>TRUNC([1]단가대비표!O166,0)</f>
        <v>24350</v>
      </c>
      <c r="H642" s="5">
        <f t="shared" si="52"/>
        <v>97400</v>
      </c>
      <c r="I642" s="5">
        <v>0</v>
      </c>
      <c r="J642" s="5">
        <f t="shared" si="53"/>
        <v>0</v>
      </c>
      <c r="K642" s="5">
        <v>0</v>
      </c>
      <c r="L642" s="5">
        <f t="shared" si="54"/>
        <v>0</v>
      </c>
      <c r="M642" s="5">
        <f t="shared" si="55"/>
        <v>24350</v>
      </c>
      <c r="N642" s="5">
        <f t="shared" si="55"/>
        <v>97400</v>
      </c>
      <c r="O642" s="8" t="s">
        <v>20</v>
      </c>
      <c r="T642">
        <v>0</v>
      </c>
      <c r="AC642">
        <v>1</v>
      </c>
    </row>
    <row r="643" spans="1:29" ht="30" customHeight="1" x14ac:dyDescent="0.3">
      <c r="A643" s="8" t="s">
        <v>764</v>
      </c>
      <c r="B643" s="8" t="s">
        <v>511</v>
      </c>
      <c r="C643" s="8" t="s">
        <v>507</v>
      </c>
      <c r="D643" s="8" t="s">
        <v>512</v>
      </c>
      <c r="E643" s="8" t="s">
        <v>179</v>
      </c>
      <c r="F643" s="9">
        <v>2</v>
      </c>
      <c r="G643" s="5">
        <f>TRUNC([1]단가대비표!O168,0)</f>
        <v>36530</v>
      </c>
      <c r="H643" s="5">
        <f t="shared" si="52"/>
        <v>73060</v>
      </c>
      <c r="I643" s="5">
        <v>0</v>
      </c>
      <c r="J643" s="5">
        <f t="shared" si="53"/>
        <v>0</v>
      </c>
      <c r="K643" s="5">
        <v>0</v>
      </c>
      <c r="L643" s="5">
        <f t="shared" si="54"/>
        <v>0</v>
      </c>
      <c r="M643" s="5">
        <f t="shared" si="55"/>
        <v>36530</v>
      </c>
      <c r="N643" s="5">
        <f t="shared" si="55"/>
        <v>73060</v>
      </c>
      <c r="O643" s="8" t="s">
        <v>20</v>
      </c>
      <c r="T643">
        <v>0</v>
      </c>
      <c r="AC643">
        <v>1</v>
      </c>
    </row>
    <row r="644" spans="1:29" ht="30" customHeight="1" x14ac:dyDescent="0.3">
      <c r="A644" s="8" t="s">
        <v>764</v>
      </c>
      <c r="B644" s="8" t="s">
        <v>829</v>
      </c>
      <c r="C644" s="8" t="s">
        <v>507</v>
      </c>
      <c r="D644" s="8" t="s">
        <v>830</v>
      </c>
      <c r="E644" s="8" t="s">
        <v>179</v>
      </c>
      <c r="F644" s="9">
        <v>4</v>
      </c>
      <c r="G644" s="5">
        <f>TRUNC([1]단가대비표!O171,0)</f>
        <v>9180</v>
      </c>
      <c r="H644" s="5">
        <f t="shared" si="52"/>
        <v>36720</v>
      </c>
      <c r="I644" s="5">
        <v>0</v>
      </c>
      <c r="J644" s="5">
        <f t="shared" si="53"/>
        <v>0</v>
      </c>
      <c r="K644" s="5">
        <v>0</v>
      </c>
      <c r="L644" s="5">
        <f t="shared" si="54"/>
        <v>0</v>
      </c>
      <c r="M644" s="5">
        <f t="shared" si="55"/>
        <v>9180</v>
      </c>
      <c r="N644" s="5">
        <f t="shared" si="55"/>
        <v>36720</v>
      </c>
      <c r="O644" s="8" t="s">
        <v>20</v>
      </c>
      <c r="T644">
        <v>0</v>
      </c>
      <c r="AC644">
        <v>1</v>
      </c>
    </row>
    <row r="645" spans="1:29" ht="30" customHeight="1" x14ac:dyDescent="0.3">
      <c r="A645" s="8" t="s">
        <v>764</v>
      </c>
      <c r="B645" s="8" t="s">
        <v>665</v>
      </c>
      <c r="C645" s="8" t="s">
        <v>507</v>
      </c>
      <c r="D645" s="8" t="s">
        <v>666</v>
      </c>
      <c r="E645" s="8" t="s">
        <v>179</v>
      </c>
      <c r="F645" s="9">
        <v>2</v>
      </c>
      <c r="G645" s="5">
        <f>TRUNC([1]단가대비표!O172,0)</f>
        <v>9930</v>
      </c>
      <c r="H645" s="5">
        <f t="shared" si="52"/>
        <v>19860</v>
      </c>
      <c r="I645" s="5">
        <v>0</v>
      </c>
      <c r="J645" s="5">
        <f t="shared" si="53"/>
        <v>0</v>
      </c>
      <c r="K645" s="5">
        <v>0</v>
      </c>
      <c r="L645" s="5">
        <f t="shared" si="54"/>
        <v>0</v>
      </c>
      <c r="M645" s="5">
        <f t="shared" si="55"/>
        <v>9930</v>
      </c>
      <c r="N645" s="5">
        <f t="shared" si="55"/>
        <v>19860</v>
      </c>
      <c r="O645" s="8" t="s">
        <v>20</v>
      </c>
      <c r="T645">
        <v>0</v>
      </c>
      <c r="AC645">
        <v>1</v>
      </c>
    </row>
    <row r="646" spans="1:29" ht="30" customHeight="1" x14ac:dyDescent="0.3">
      <c r="A646" s="8" t="s">
        <v>764</v>
      </c>
      <c r="B646" s="8" t="s">
        <v>667</v>
      </c>
      <c r="C646" s="8" t="s">
        <v>507</v>
      </c>
      <c r="D646" s="8" t="s">
        <v>668</v>
      </c>
      <c r="E646" s="8" t="s">
        <v>179</v>
      </c>
      <c r="F646" s="9">
        <v>4</v>
      </c>
      <c r="G646" s="5">
        <f>TRUNC([1]단가대비표!O173,0)</f>
        <v>9930</v>
      </c>
      <c r="H646" s="5">
        <f t="shared" si="52"/>
        <v>39720</v>
      </c>
      <c r="I646" s="5">
        <v>0</v>
      </c>
      <c r="J646" s="5">
        <f t="shared" si="53"/>
        <v>0</v>
      </c>
      <c r="K646" s="5">
        <v>0</v>
      </c>
      <c r="L646" s="5">
        <f t="shared" si="54"/>
        <v>0</v>
      </c>
      <c r="M646" s="5">
        <f t="shared" si="55"/>
        <v>9930</v>
      </c>
      <c r="N646" s="5">
        <f t="shared" si="55"/>
        <v>39720</v>
      </c>
      <c r="O646" s="8" t="s">
        <v>20</v>
      </c>
      <c r="T646">
        <v>0</v>
      </c>
      <c r="AC646">
        <v>1</v>
      </c>
    </row>
    <row r="647" spans="1:29" ht="30" customHeight="1" x14ac:dyDescent="0.3">
      <c r="A647" s="8" t="s">
        <v>764</v>
      </c>
      <c r="B647" s="8" t="s">
        <v>831</v>
      </c>
      <c r="C647" s="8" t="s">
        <v>507</v>
      </c>
      <c r="D647" s="8" t="s">
        <v>832</v>
      </c>
      <c r="E647" s="8" t="s">
        <v>179</v>
      </c>
      <c r="F647" s="9">
        <v>4</v>
      </c>
      <c r="G647" s="5">
        <f>TRUNC([1]단가대비표!O174,0)</f>
        <v>11430</v>
      </c>
      <c r="H647" s="5">
        <f t="shared" si="52"/>
        <v>45720</v>
      </c>
      <c r="I647" s="5">
        <v>0</v>
      </c>
      <c r="J647" s="5">
        <f t="shared" si="53"/>
        <v>0</v>
      </c>
      <c r="K647" s="5">
        <v>0</v>
      </c>
      <c r="L647" s="5">
        <f t="shared" si="54"/>
        <v>0</v>
      </c>
      <c r="M647" s="5">
        <f t="shared" si="55"/>
        <v>11430</v>
      </c>
      <c r="N647" s="5">
        <f t="shared" si="55"/>
        <v>45720</v>
      </c>
      <c r="O647" s="8" t="s">
        <v>20</v>
      </c>
      <c r="T647">
        <v>0</v>
      </c>
      <c r="AC647">
        <v>1</v>
      </c>
    </row>
    <row r="648" spans="1:29" ht="30" customHeight="1" x14ac:dyDescent="0.3">
      <c r="A648" s="8" t="s">
        <v>764</v>
      </c>
      <c r="B648" s="8" t="s">
        <v>833</v>
      </c>
      <c r="C648" s="8" t="s">
        <v>507</v>
      </c>
      <c r="D648" s="8" t="s">
        <v>834</v>
      </c>
      <c r="E648" s="8" t="s">
        <v>179</v>
      </c>
      <c r="F648" s="9">
        <v>2</v>
      </c>
      <c r="G648" s="5">
        <f>TRUNC([1]단가대비표!O176,0)</f>
        <v>13680</v>
      </c>
      <c r="H648" s="5">
        <f t="shared" si="52"/>
        <v>27360</v>
      </c>
      <c r="I648" s="5">
        <v>0</v>
      </c>
      <c r="J648" s="5">
        <f t="shared" si="53"/>
        <v>0</v>
      </c>
      <c r="K648" s="5">
        <v>0</v>
      </c>
      <c r="L648" s="5">
        <f t="shared" si="54"/>
        <v>0</v>
      </c>
      <c r="M648" s="5">
        <f t="shared" si="55"/>
        <v>13680</v>
      </c>
      <c r="N648" s="5">
        <f t="shared" si="55"/>
        <v>27360</v>
      </c>
      <c r="O648" s="8" t="s">
        <v>20</v>
      </c>
      <c r="T648">
        <v>0</v>
      </c>
      <c r="AC648">
        <v>1</v>
      </c>
    </row>
    <row r="649" spans="1:29" ht="30" customHeight="1" x14ac:dyDescent="0.3">
      <c r="A649" s="8" t="s">
        <v>764</v>
      </c>
      <c r="B649" s="8" t="s">
        <v>673</v>
      </c>
      <c r="C649" s="8" t="s">
        <v>507</v>
      </c>
      <c r="D649" s="8" t="s">
        <v>674</v>
      </c>
      <c r="E649" s="8" t="s">
        <v>179</v>
      </c>
      <c r="F649" s="9">
        <v>49</v>
      </c>
      <c r="G649" s="5">
        <f>TRUNC([1]단가대비표!O178,0)</f>
        <v>6910</v>
      </c>
      <c r="H649" s="5">
        <f t="shared" si="52"/>
        <v>338590</v>
      </c>
      <c r="I649" s="5">
        <v>0</v>
      </c>
      <c r="J649" s="5">
        <f t="shared" si="53"/>
        <v>0</v>
      </c>
      <c r="K649" s="5">
        <v>0</v>
      </c>
      <c r="L649" s="5">
        <f t="shared" si="54"/>
        <v>0</v>
      </c>
      <c r="M649" s="5">
        <f t="shared" si="55"/>
        <v>6910</v>
      </c>
      <c r="N649" s="5">
        <f t="shared" si="55"/>
        <v>338590</v>
      </c>
      <c r="O649" s="8" t="s">
        <v>20</v>
      </c>
      <c r="T649">
        <v>0</v>
      </c>
      <c r="AC649">
        <v>1</v>
      </c>
    </row>
    <row r="650" spans="1:29" ht="30" customHeight="1" x14ac:dyDescent="0.3">
      <c r="A650" s="8" t="s">
        <v>764</v>
      </c>
      <c r="B650" s="8" t="s">
        <v>513</v>
      </c>
      <c r="C650" s="8" t="s">
        <v>507</v>
      </c>
      <c r="D650" s="8" t="s">
        <v>514</v>
      </c>
      <c r="E650" s="8" t="s">
        <v>179</v>
      </c>
      <c r="F650" s="9">
        <v>51</v>
      </c>
      <c r="G650" s="5">
        <f>TRUNC([1]단가대비표!O179,0)</f>
        <v>7510</v>
      </c>
      <c r="H650" s="5">
        <f t="shared" si="52"/>
        <v>383010</v>
      </c>
      <c r="I650" s="5">
        <v>0</v>
      </c>
      <c r="J650" s="5">
        <f t="shared" si="53"/>
        <v>0</v>
      </c>
      <c r="K650" s="5">
        <v>0</v>
      </c>
      <c r="L650" s="5">
        <f t="shared" si="54"/>
        <v>0</v>
      </c>
      <c r="M650" s="5">
        <f t="shared" si="55"/>
        <v>7510</v>
      </c>
      <c r="N650" s="5">
        <f t="shared" si="55"/>
        <v>383010</v>
      </c>
      <c r="O650" s="8" t="s">
        <v>20</v>
      </c>
      <c r="T650">
        <v>0</v>
      </c>
      <c r="AC650">
        <v>1</v>
      </c>
    </row>
    <row r="651" spans="1:29" ht="30" customHeight="1" x14ac:dyDescent="0.3">
      <c r="A651" s="8" t="s">
        <v>764</v>
      </c>
      <c r="B651" s="8" t="s">
        <v>515</v>
      </c>
      <c r="C651" s="8" t="s">
        <v>507</v>
      </c>
      <c r="D651" s="8" t="s">
        <v>516</v>
      </c>
      <c r="E651" s="8" t="s">
        <v>179</v>
      </c>
      <c r="F651" s="9">
        <v>46</v>
      </c>
      <c r="G651" s="5">
        <f>TRUNC([1]단가대비표!O180,0)</f>
        <v>8270</v>
      </c>
      <c r="H651" s="5">
        <f t="shared" si="52"/>
        <v>380420</v>
      </c>
      <c r="I651" s="5">
        <v>0</v>
      </c>
      <c r="J651" s="5">
        <f t="shared" si="53"/>
        <v>0</v>
      </c>
      <c r="K651" s="5">
        <v>0</v>
      </c>
      <c r="L651" s="5">
        <f t="shared" si="54"/>
        <v>0</v>
      </c>
      <c r="M651" s="5">
        <f t="shared" si="55"/>
        <v>8270</v>
      </c>
      <c r="N651" s="5">
        <f t="shared" si="55"/>
        <v>380420</v>
      </c>
      <c r="O651" s="8" t="s">
        <v>20</v>
      </c>
      <c r="T651">
        <v>0</v>
      </c>
      <c r="AC651">
        <v>1</v>
      </c>
    </row>
    <row r="652" spans="1:29" ht="30" customHeight="1" x14ac:dyDescent="0.3">
      <c r="A652" s="8" t="s">
        <v>764</v>
      </c>
      <c r="B652" s="8" t="s">
        <v>517</v>
      </c>
      <c r="C652" s="8" t="s">
        <v>507</v>
      </c>
      <c r="D652" s="8" t="s">
        <v>518</v>
      </c>
      <c r="E652" s="8" t="s">
        <v>179</v>
      </c>
      <c r="F652" s="9">
        <v>9</v>
      </c>
      <c r="G652" s="5">
        <f>TRUNC([1]단가대비표!O181,0)</f>
        <v>8270</v>
      </c>
      <c r="H652" s="5">
        <f t="shared" si="52"/>
        <v>74430</v>
      </c>
      <c r="I652" s="5">
        <v>0</v>
      </c>
      <c r="J652" s="5">
        <f t="shared" si="53"/>
        <v>0</v>
      </c>
      <c r="K652" s="5">
        <v>0</v>
      </c>
      <c r="L652" s="5">
        <f t="shared" si="54"/>
        <v>0</v>
      </c>
      <c r="M652" s="5">
        <f t="shared" si="55"/>
        <v>8270</v>
      </c>
      <c r="N652" s="5">
        <f t="shared" si="55"/>
        <v>74430</v>
      </c>
      <c r="O652" s="8" t="s">
        <v>20</v>
      </c>
      <c r="T652">
        <v>0</v>
      </c>
      <c r="AC652">
        <v>1</v>
      </c>
    </row>
    <row r="653" spans="1:29" ht="30" customHeight="1" x14ac:dyDescent="0.3">
      <c r="A653" s="8" t="s">
        <v>764</v>
      </c>
      <c r="B653" s="8" t="s">
        <v>519</v>
      </c>
      <c r="C653" s="8" t="s">
        <v>507</v>
      </c>
      <c r="D653" s="8" t="s">
        <v>520</v>
      </c>
      <c r="E653" s="8" t="s">
        <v>179</v>
      </c>
      <c r="F653" s="9">
        <v>371</v>
      </c>
      <c r="G653" s="5">
        <f>TRUNC([1]단가대비표!O182,0)</f>
        <v>9770</v>
      </c>
      <c r="H653" s="5">
        <f t="shared" si="52"/>
        <v>3624670</v>
      </c>
      <c r="I653" s="5">
        <v>0</v>
      </c>
      <c r="J653" s="5">
        <f t="shared" si="53"/>
        <v>0</v>
      </c>
      <c r="K653" s="5">
        <v>0</v>
      </c>
      <c r="L653" s="5">
        <f t="shared" si="54"/>
        <v>0</v>
      </c>
      <c r="M653" s="5">
        <f t="shared" si="55"/>
        <v>9770</v>
      </c>
      <c r="N653" s="5">
        <f t="shared" si="55"/>
        <v>3624670</v>
      </c>
      <c r="O653" s="8" t="s">
        <v>20</v>
      </c>
      <c r="T653">
        <v>0</v>
      </c>
      <c r="AC653">
        <v>1</v>
      </c>
    </row>
    <row r="654" spans="1:29" ht="30" customHeight="1" x14ac:dyDescent="0.3">
      <c r="A654" s="8" t="s">
        <v>764</v>
      </c>
      <c r="B654" s="8" t="s">
        <v>521</v>
      </c>
      <c r="C654" s="8" t="s">
        <v>507</v>
      </c>
      <c r="D654" s="8" t="s">
        <v>522</v>
      </c>
      <c r="E654" s="8" t="s">
        <v>179</v>
      </c>
      <c r="F654" s="9">
        <v>2</v>
      </c>
      <c r="G654" s="5">
        <f>TRUNC([1]단가대비표!O183,0)</f>
        <v>10510</v>
      </c>
      <c r="H654" s="5">
        <f t="shared" si="52"/>
        <v>21020</v>
      </c>
      <c r="I654" s="5">
        <v>0</v>
      </c>
      <c r="J654" s="5">
        <f t="shared" si="53"/>
        <v>0</v>
      </c>
      <c r="K654" s="5">
        <v>0</v>
      </c>
      <c r="L654" s="5">
        <f t="shared" si="54"/>
        <v>0</v>
      </c>
      <c r="M654" s="5">
        <f t="shared" si="55"/>
        <v>10510</v>
      </c>
      <c r="N654" s="5">
        <f t="shared" si="55"/>
        <v>21020</v>
      </c>
      <c r="O654" s="8" t="s">
        <v>20</v>
      </c>
      <c r="T654">
        <v>0</v>
      </c>
      <c r="AC654">
        <v>1</v>
      </c>
    </row>
    <row r="655" spans="1:29" ht="30" customHeight="1" x14ac:dyDescent="0.3">
      <c r="A655" s="8" t="s">
        <v>764</v>
      </c>
      <c r="B655" s="8" t="s">
        <v>523</v>
      </c>
      <c r="C655" s="8" t="s">
        <v>507</v>
      </c>
      <c r="D655" s="8" t="s">
        <v>524</v>
      </c>
      <c r="E655" s="8" t="s">
        <v>179</v>
      </c>
      <c r="F655" s="9">
        <v>24</v>
      </c>
      <c r="G655" s="5">
        <f>TRUNC([1]단가대비표!O184,0)</f>
        <v>12030</v>
      </c>
      <c r="H655" s="5">
        <f t="shared" si="52"/>
        <v>288720</v>
      </c>
      <c r="I655" s="5">
        <v>0</v>
      </c>
      <c r="J655" s="5">
        <f t="shared" si="53"/>
        <v>0</v>
      </c>
      <c r="K655" s="5">
        <v>0</v>
      </c>
      <c r="L655" s="5">
        <f t="shared" si="54"/>
        <v>0</v>
      </c>
      <c r="M655" s="5">
        <f t="shared" si="55"/>
        <v>12030</v>
      </c>
      <c r="N655" s="5">
        <f t="shared" si="55"/>
        <v>288720</v>
      </c>
      <c r="O655" s="8" t="s">
        <v>20</v>
      </c>
      <c r="T655">
        <v>0</v>
      </c>
      <c r="AC655">
        <v>1</v>
      </c>
    </row>
    <row r="656" spans="1:29" ht="30" customHeight="1" x14ac:dyDescent="0.3">
      <c r="A656" s="8" t="s">
        <v>764</v>
      </c>
      <c r="B656" s="8" t="s">
        <v>525</v>
      </c>
      <c r="C656" s="8" t="s">
        <v>507</v>
      </c>
      <c r="D656" s="8" t="s">
        <v>526</v>
      </c>
      <c r="E656" s="8" t="s">
        <v>179</v>
      </c>
      <c r="F656" s="9">
        <v>2</v>
      </c>
      <c r="G656" s="5">
        <f>TRUNC([1]단가대비표!O185,0)</f>
        <v>15020</v>
      </c>
      <c r="H656" s="5">
        <f t="shared" si="52"/>
        <v>30040</v>
      </c>
      <c r="I656" s="5">
        <v>0</v>
      </c>
      <c r="J656" s="5">
        <f t="shared" si="53"/>
        <v>0</v>
      </c>
      <c r="K656" s="5">
        <v>0</v>
      </c>
      <c r="L656" s="5">
        <f t="shared" si="54"/>
        <v>0</v>
      </c>
      <c r="M656" s="5">
        <f t="shared" si="55"/>
        <v>15020</v>
      </c>
      <c r="N656" s="5">
        <f t="shared" si="55"/>
        <v>30040</v>
      </c>
      <c r="O656" s="8" t="s">
        <v>20</v>
      </c>
      <c r="T656">
        <v>0</v>
      </c>
      <c r="AC656">
        <v>1</v>
      </c>
    </row>
    <row r="657" spans="1:29" ht="30" customHeight="1" x14ac:dyDescent="0.3">
      <c r="A657" s="8" t="s">
        <v>764</v>
      </c>
      <c r="B657" s="8" t="s">
        <v>835</v>
      </c>
      <c r="C657" s="8" t="s">
        <v>680</v>
      </c>
      <c r="D657" s="8" t="s">
        <v>484</v>
      </c>
      <c r="E657" s="8" t="s">
        <v>185</v>
      </c>
      <c r="F657" s="9">
        <v>146</v>
      </c>
      <c r="G657" s="5">
        <f>TRUNC([1]단가대비표!O629,0)</f>
        <v>12938</v>
      </c>
      <c r="H657" s="5">
        <f t="shared" si="52"/>
        <v>1888948</v>
      </c>
      <c r="I657" s="5">
        <v>0</v>
      </c>
      <c r="J657" s="5">
        <f t="shared" si="53"/>
        <v>0</v>
      </c>
      <c r="K657" s="5">
        <v>0</v>
      </c>
      <c r="L657" s="5">
        <f t="shared" si="54"/>
        <v>0</v>
      </c>
      <c r="M657" s="5">
        <f t="shared" si="55"/>
        <v>12938</v>
      </c>
      <c r="N657" s="5">
        <f t="shared" si="55"/>
        <v>1888948</v>
      </c>
      <c r="O657" s="8" t="s">
        <v>20</v>
      </c>
      <c r="T657">
        <v>0</v>
      </c>
      <c r="AC657">
        <v>1</v>
      </c>
    </row>
    <row r="658" spans="1:29" ht="30" customHeight="1" x14ac:dyDescent="0.3">
      <c r="A658" s="8" t="s">
        <v>764</v>
      </c>
      <c r="B658" s="8" t="s">
        <v>836</v>
      </c>
      <c r="C658" s="8" t="s">
        <v>680</v>
      </c>
      <c r="D658" s="8" t="s">
        <v>444</v>
      </c>
      <c r="E658" s="8" t="s">
        <v>185</v>
      </c>
      <c r="F658" s="9">
        <v>2</v>
      </c>
      <c r="G658" s="5">
        <f>TRUNC([1]단가대비표!O630,0)</f>
        <v>13020</v>
      </c>
      <c r="H658" s="5">
        <f t="shared" si="52"/>
        <v>26040</v>
      </c>
      <c r="I658" s="5">
        <v>0</v>
      </c>
      <c r="J658" s="5">
        <f t="shared" si="53"/>
        <v>0</v>
      </c>
      <c r="K658" s="5">
        <v>0</v>
      </c>
      <c r="L658" s="5">
        <f t="shared" si="54"/>
        <v>0</v>
      </c>
      <c r="M658" s="5">
        <f t="shared" si="55"/>
        <v>13020</v>
      </c>
      <c r="N658" s="5">
        <f t="shared" si="55"/>
        <v>26040</v>
      </c>
      <c r="O658" s="8" t="s">
        <v>20</v>
      </c>
      <c r="T658">
        <v>0</v>
      </c>
      <c r="AC658">
        <v>1</v>
      </c>
    </row>
    <row r="659" spans="1:29" ht="30" customHeight="1" x14ac:dyDescent="0.3">
      <c r="A659" s="8" t="s">
        <v>764</v>
      </c>
      <c r="B659" s="8" t="s">
        <v>679</v>
      </c>
      <c r="C659" s="8" t="s">
        <v>680</v>
      </c>
      <c r="D659" s="8" t="s">
        <v>487</v>
      </c>
      <c r="E659" s="8" t="s">
        <v>185</v>
      </c>
      <c r="F659" s="9">
        <v>10</v>
      </c>
      <c r="G659" s="5">
        <f>TRUNC([1]단가대비표!O631,0)</f>
        <v>13941</v>
      </c>
      <c r="H659" s="5">
        <f t="shared" si="52"/>
        <v>139410</v>
      </c>
      <c r="I659" s="5">
        <v>0</v>
      </c>
      <c r="J659" s="5">
        <f t="shared" si="53"/>
        <v>0</v>
      </c>
      <c r="K659" s="5">
        <v>0</v>
      </c>
      <c r="L659" s="5">
        <f t="shared" si="54"/>
        <v>0</v>
      </c>
      <c r="M659" s="5">
        <f t="shared" ref="M659:N690" si="56">G659+I659+K659</f>
        <v>13941</v>
      </c>
      <c r="N659" s="5">
        <f t="shared" si="56"/>
        <v>139410</v>
      </c>
      <c r="O659" s="8" t="s">
        <v>20</v>
      </c>
      <c r="T659">
        <v>0</v>
      </c>
      <c r="AC659">
        <v>1</v>
      </c>
    </row>
    <row r="660" spans="1:29" ht="30" customHeight="1" x14ac:dyDescent="0.3">
      <c r="A660" s="8" t="s">
        <v>764</v>
      </c>
      <c r="B660" s="8" t="s">
        <v>681</v>
      </c>
      <c r="C660" s="8" t="s">
        <v>680</v>
      </c>
      <c r="D660" s="8" t="s">
        <v>489</v>
      </c>
      <c r="E660" s="8" t="s">
        <v>185</v>
      </c>
      <c r="F660" s="9">
        <v>2</v>
      </c>
      <c r="G660" s="5">
        <f>TRUNC([1]단가대비표!O632,0)</f>
        <v>15392</v>
      </c>
      <c r="H660" s="5">
        <f t="shared" si="52"/>
        <v>30784</v>
      </c>
      <c r="I660" s="5">
        <v>0</v>
      </c>
      <c r="J660" s="5">
        <f t="shared" si="53"/>
        <v>0</v>
      </c>
      <c r="K660" s="5">
        <v>0</v>
      </c>
      <c r="L660" s="5">
        <f t="shared" si="54"/>
        <v>0</v>
      </c>
      <c r="M660" s="5">
        <f t="shared" si="56"/>
        <v>15392</v>
      </c>
      <c r="N660" s="5">
        <f t="shared" si="56"/>
        <v>30784</v>
      </c>
      <c r="O660" s="8" t="s">
        <v>20</v>
      </c>
      <c r="T660">
        <v>0</v>
      </c>
      <c r="AC660">
        <v>1</v>
      </c>
    </row>
    <row r="661" spans="1:29" ht="30" customHeight="1" x14ac:dyDescent="0.3">
      <c r="A661" s="8" t="s">
        <v>764</v>
      </c>
      <c r="B661" s="8" t="s">
        <v>682</v>
      </c>
      <c r="C661" s="8" t="s">
        <v>680</v>
      </c>
      <c r="D661" s="8" t="s">
        <v>346</v>
      </c>
      <c r="E661" s="8" t="s">
        <v>185</v>
      </c>
      <c r="F661" s="9">
        <v>12</v>
      </c>
      <c r="G661" s="5">
        <f>TRUNC([1]단가대비표!O633,0)</f>
        <v>16074</v>
      </c>
      <c r="H661" s="5">
        <f t="shared" si="52"/>
        <v>192888</v>
      </c>
      <c r="I661" s="5">
        <v>0</v>
      </c>
      <c r="J661" s="5">
        <f t="shared" si="53"/>
        <v>0</v>
      </c>
      <c r="K661" s="5">
        <v>0</v>
      </c>
      <c r="L661" s="5">
        <f t="shared" si="54"/>
        <v>0</v>
      </c>
      <c r="M661" s="5">
        <f t="shared" si="56"/>
        <v>16074</v>
      </c>
      <c r="N661" s="5">
        <f t="shared" si="56"/>
        <v>192888</v>
      </c>
      <c r="O661" s="8" t="s">
        <v>20</v>
      </c>
      <c r="T661">
        <v>0</v>
      </c>
      <c r="AC661">
        <v>1</v>
      </c>
    </row>
    <row r="662" spans="1:29" ht="30" customHeight="1" x14ac:dyDescent="0.3">
      <c r="A662" s="8" t="s">
        <v>764</v>
      </c>
      <c r="B662" s="8" t="s">
        <v>683</v>
      </c>
      <c r="C662" s="8" t="s">
        <v>680</v>
      </c>
      <c r="D662" s="8" t="s">
        <v>640</v>
      </c>
      <c r="E662" s="8" t="s">
        <v>185</v>
      </c>
      <c r="F662" s="9">
        <v>7</v>
      </c>
      <c r="G662" s="5">
        <f>TRUNC([1]단가대비표!O634,0)</f>
        <v>17750</v>
      </c>
      <c r="H662" s="5">
        <f t="shared" si="52"/>
        <v>124250</v>
      </c>
      <c r="I662" s="5">
        <v>0</v>
      </c>
      <c r="J662" s="5">
        <f t="shared" si="53"/>
        <v>0</v>
      </c>
      <c r="K662" s="5">
        <v>0</v>
      </c>
      <c r="L662" s="5">
        <f t="shared" si="54"/>
        <v>0</v>
      </c>
      <c r="M662" s="5">
        <f t="shared" si="56"/>
        <v>17750</v>
      </c>
      <c r="N662" s="5">
        <f t="shared" si="56"/>
        <v>124250</v>
      </c>
      <c r="O662" s="8" t="s">
        <v>20</v>
      </c>
      <c r="T662">
        <v>0</v>
      </c>
      <c r="AC662">
        <v>1</v>
      </c>
    </row>
    <row r="663" spans="1:29" ht="30" customHeight="1" x14ac:dyDescent="0.3">
      <c r="A663" s="8" t="s">
        <v>764</v>
      </c>
      <c r="B663" s="8" t="s">
        <v>684</v>
      </c>
      <c r="C663" s="8" t="s">
        <v>680</v>
      </c>
      <c r="D663" s="8" t="s">
        <v>447</v>
      </c>
      <c r="E663" s="8" t="s">
        <v>185</v>
      </c>
      <c r="F663" s="9">
        <v>1</v>
      </c>
      <c r="G663" s="5">
        <f>TRUNC([1]단가대비표!O635,0)</f>
        <v>19627</v>
      </c>
      <c r="H663" s="5">
        <f t="shared" si="52"/>
        <v>19627</v>
      </c>
      <c r="I663" s="5">
        <v>0</v>
      </c>
      <c r="J663" s="5">
        <f t="shared" si="53"/>
        <v>0</v>
      </c>
      <c r="K663" s="5">
        <v>0</v>
      </c>
      <c r="L663" s="5">
        <f t="shared" si="54"/>
        <v>0</v>
      </c>
      <c r="M663" s="5">
        <f t="shared" si="56"/>
        <v>19627</v>
      </c>
      <c r="N663" s="5">
        <f t="shared" si="56"/>
        <v>19627</v>
      </c>
      <c r="O663" s="8" t="s">
        <v>20</v>
      </c>
      <c r="T663">
        <v>0</v>
      </c>
      <c r="AC663">
        <v>1</v>
      </c>
    </row>
    <row r="664" spans="1:29" ht="30" customHeight="1" x14ac:dyDescent="0.3">
      <c r="A664" s="8" t="s">
        <v>764</v>
      </c>
      <c r="B664" s="8" t="s">
        <v>837</v>
      </c>
      <c r="C664" s="8" t="s">
        <v>680</v>
      </c>
      <c r="D664" s="8" t="s">
        <v>348</v>
      </c>
      <c r="E664" s="8" t="s">
        <v>185</v>
      </c>
      <c r="F664" s="9">
        <v>2</v>
      </c>
      <c r="G664" s="5">
        <f>TRUNC([1]단가대비표!O636,0)</f>
        <v>20800</v>
      </c>
      <c r="H664" s="5">
        <f t="shared" si="52"/>
        <v>41600</v>
      </c>
      <c r="I664" s="5">
        <v>0</v>
      </c>
      <c r="J664" s="5">
        <f t="shared" si="53"/>
        <v>0</v>
      </c>
      <c r="K664" s="5">
        <v>0</v>
      </c>
      <c r="L664" s="5">
        <f t="shared" si="54"/>
        <v>0</v>
      </c>
      <c r="M664" s="5">
        <f t="shared" si="56"/>
        <v>20800</v>
      </c>
      <c r="N664" s="5">
        <f t="shared" si="56"/>
        <v>41600</v>
      </c>
      <c r="O664" s="8" t="s">
        <v>20</v>
      </c>
      <c r="T664">
        <v>0</v>
      </c>
      <c r="AC664">
        <v>1</v>
      </c>
    </row>
    <row r="665" spans="1:29" ht="30" customHeight="1" x14ac:dyDescent="0.3">
      <c r="A665" s="8" t="s">
        <v>764</v>
      </c>
      <c r="B665" s="8" t="s">
        <v>838</v>
      </c>
      <c r="C665" s="8" t="s">
        <v>680</v>
      </c>
      <c r="D665" s="8" t="s">
        <v>350</v>
      </c>
      <c r="E665" s="8" t="s">
        <v>185</v>
      </c>
      <c r="F665" s="9">
        <v>1</v>
      </c>
      <c r="G665" s="5">
        <f>TRUNC([1]단가대비표!O637,0)</f>
        <v>23331</v>
      </c>
      <c r="H665" s="5">
        <f t="shared" si="52"/>
        <v>23331</v>
      </c>
      <c r="I665" s="5">
        <v>0</v>
      </c>
      <c r="J665" s="5">
        <f t="shared" si="53"/>
        <v>0</v>
      </c>
      <c r="K665" s="5">
        <v>0</v>
      </c>
      <c r="L665" s="5">
        <f t="shared" si="54"/>
        <v>0</v>
      </c>
      <c r="M665" s="5">
        <f t="shared" si="56"/>
        <v>23331</v>
      </c>
      <c r="N665" s="5">
        <f t="shared" si="56"/>
        <v>23331</v>
      </c>
      <c r="O665" s="8" t="s">
        <v>20</v>
      </c>
      <c r="T665">
        <v>0</v>
      </c>
      <c r="AC665">
        <v>1</v>
      </c>
    </row>
    <row r="666" spans="1:29" ht="30" customHeight="1" x14ac:dyDescent="0.3">
      <c r="A666" s="8" t="s">
        <v>764</v>
      </c>
      <c r="B666" s="8" t="s">
        <v>839</v>
      </c>
      <c r="C666" s="8" t="s">
        <v>687</v>
      </c>
      <c r="D666" s="8" t="s">
        <v>484</v>
      </c>
      <c r="E666" s="8" t="s">
        <v>185</v>
      </c>
      <c r="F666" s="9">
        <v>1</v>
      </c>
      <c r="G666" s="5">
        <f>TRUNC([1]단가대비표!O639,0)</f>
        <v>11968</v>
      </c>
      <c r="H666" s="5">
        <f t="shared" si="52"/>
        <v>11968</v>
      </c>
      <c r="I666" s="5">
        <v>0</v>
      </c>
      <c r="J666" s="5">
        <f t="shared" si="53"/>
        <v>0</v>
      </c>
      <c r="K666" s="5">
        <v>0</v>
      </c>
      <c r="L666" s="5">
        <f t="shared" si="54"/>
        <v>0</v>
      </c>
      <c r="M666" s="5">
        <f t="shared" si="56"/>
        <v>11968</v>
      </c>
      <c r="N666" s="5">
        <f t="shared" si="56"/>
        <v>11968</v>
      </c>
      <c r="O666" s="8" t="s">
        <v>20</v>
      </c>
      <c r="T666">
        <v>0</v>
      </c>
      <c r="AC666">
        <v>1</v>
      </c>
    </row>
    <row r="667" spans="1:29" ht="30" customHeight="1" x14ac:dyDescent="0.3">
      <c r="A667" s="8" t="s">
        <v>764</v>
      </c>
      <c r="B667" s="8" t="s">
        <v>840</v>
      </c>
      <c r="C667" s="8" t="s">
        <v>687</v>
      </c>
      <c r="D667" s="8" t="s">
        <v>444</v>
      </c>
      <c r="E667" s="8" t="s">
        <v>185</v>
      </c>
      <c r="F667" s="9">
        <v>2</v>
      </c>
      <c r="G667" s="5">
        <f>TRUNC([1]단가대비표!O640,0)</f>
        <v>12007</v>
      </c>
      <c r="H667" s="5">
        <f t="shared" si="52"/>
        <v>24014</v>
      </c>
      <c r="I667" s="5">
        <v>0</v>
      </c>
      <c r="J667" s="5">
        <f t="shared" si="53"/>
        <v>0</v>
      </c>
      <c r="K667" s="5">
        <v>0</v>
      </c>
      <c r="L667" s="5">
        <f t="shared" si="54"/>
        <v>0</v>
      </c>
      <c r="M667" s="5">
        <f t="shared" si="56"/>
        <v>12007</v>
      </c>
      <c r="N667" s="5">
        <f t="shared" si="56"/>
        <v>24014</v>
      </c>
      <c r="O667" s="8" t="s">
        <v>20</v>
      </c>
      <c r="T667">
        <v>0</v>
      </c>
      <c r="AC667">
        <v>1</v>
      </c>
    </row>
    <row r="668" spans="1:29" ht="30" customHeight="1" x14ac:dyDescent="0.3">
      <c r="A668" s="8" t="s">
        <v>764</v>
      </c>
      <c r="B668" s="8" t="s">
        <v>841</v>
      </c>
      <c r="C668" s="8" t="s">
        <v>687</v>
      </c>
      <c r="D668" s="8" t="s">
        <v>487</v>
      </c>
      <c r="E668" s="8" t="s">
        <v>185</v>
      </c>
      <c r="F668" s="9">
        <v>2</v>
      </c>
      <c r="G668" s="5">
        <f>TRUNC([1]단가대비표!O641,0)</f>
        <v>12179</v>
      </c>
      <c r="H668" s="5">
        <f t="shared" si="52"/>
        <v>24358</v>
      </c>
      <c r="I668" s="5">
        <v>0</v>
      </c>
      <c r="J668" s="5">
        <f t="shared" si="53"/>
        <v>0</v>
      </c>
      <c r="K668" s="5">
        <v>0</v>
      </c>
      <c r="L668" s="5">
        <f t="shared" si="54"/>
        <v>0</v>
      </c>
      <c r="M668" s="5">
        <f t="shared" si="56"/>
        <v>12179</v>
      </c>
      <c r="N668" s="5">
        <f t="shared" si="56"/>
        <v>24358</v>
      </c>
      <c r="O668" s="8" t="s">
        <v>20</v>
      </c>
      <c r="T668">
        <v>0</v>
      </c>
      <c r="AC668">
        <v>1</v>
      </c>
    </row>
    <row r="669" spans="1:29" ht="30" customHeight="1" x14ac:dyDescent="0.3">
      <c r="A669" s="8" t="s">
        <v>764</v>
      </c>
      <c r="B669" s="8" t="s">
        <v>842</v>
      </c>
      <c r="C669" s="8" t="s">
        <v>687</v>
      </c>
      <c r="D669" s="8" t="s">
        <v>489</v>
      </c>
      <c r="E669" s="8" t="s">
        <v>185</v>
      </c>
      <c r="F669" s="9">
        <v>4</v>
      </c>
      <c r="G669" s="5">
        <f>TRUNC([1]단가대비표!O642,0)</f>
        <v>13094</v>
      </c>
      <c r="H669" s="5">
        <f t="shared" si="52"/>
        <v>52376</v>
      </c>
      <c r="I669" s="5">
        <v>0</v>
      </c>
      <c r="J669" s="5">
        <f t="shared" si="53"/>
        <v>0</v>
      </c>
      <c r="K669" s="5">
        <v>0</v>
      </c>
      <c r="L669" s="5">
        <f t="shared" si="54"/>
        <v>0</v>
      </c>
      <c r="M669" s="5">
        <f t="shared" si="56"/>
        <v>13094</v>
      </c>
      <c r="N669" s="5">
        <f t="shared" si="56"/>
        <v>52376</v>
      </c>
      <c r="O669" s="8" t="s">
        <v>20</v>
      </c>
      <c r="T669">
        <v>0</v>
      </c>
      <c r="AC669">
        <v>1</v>
      </c>
    </row>
    <row r="670" spans="1:29" ht="30" customHeight="1" x14ac:dyDescent="0.3">
      <c r="A670" s="8" t="s">
        <v>764</v>
      </c>
      <c r="B670" s="8" t="s">
        <v>686</v>
      </c>
      <c r="C670" s="8" t="s">
        <v>687</v>
      </c>
      <c r="D670" s="8" t="s">
        <v>346</v>
      </c>
      <c r="E670" s="8" t="s">
        <v>185</v>
      </c>
      <c r="F670" s="9">
        <v>2</v>
      </c>
      <c r="G670" s="5">
        <f>TRUNC([1]단가대비표!O643,0)</f>
        <v>13168</v>
      </c>
      <c r="H670" s="5">
        <f t="shared" si="52"/>
        <v>26336</v>
      </c>
      <c r="I670" s="5">
        <v>0</v>
      </c>
      <c r="J670" s="5">
        <f t="shared" si="53"/>
        <v>0</v>
      </c>
      <c r="K670" s="5">
        <v>0</v>
      </c>
      <c r="L670" s="5">
        <f t="shared" si="54"/>
        <v>0</v>
      </c>
      <c r="M670" s="5">
        <f t="shared" si="56"/>
        <v>13168</v>
      </c>
      <c r="N670" s="5">
        <f t="shared" si="56"/>
        <v>26336</v>
      </c>
      <c r="O670" s="8" t="s">
        <v>20</v>
      </c>
      <c r="T670">
        <v>0</v>
      </c>
      <c r="AC670">
        <v>1</v>
      </c>
    </row>
    <row r="671" spans="1:29" ht="30" customHeight="1" x14ac:dyDescent="0.3">
      <c r="A671" s="8" t="s">
        <v>764</v>
      </c>
      <c r="B671" s="8" t="s">
        <v>688</v>
      </c>
      <c r="C671" s="8" t="s">
        <v>687</v>
      </c>
      <c r="D671" s="8" t="s">
        <v>640</v>
      </c>
      <c r="E671" s="8" t="s">
        <v>185</v>
      </c>
      <c r="F671" s="9">
        <v>7</v>
      </c>
      <c r="G671" s="5">
        <f>TRUNC([1]단가대비표!O644,0)</f>
        <v>14281</v>
      </c>
      <c r="H671" s="5">
        <f t="shared" si="52"/>
        <v>99967</v>
      </c>
      <c r="I671" s="5">
        <v>0</v>
      </c>
      <c r="J671" s="5">
        <f t="shared" si="53"/>
        <v>0</v>
      </c>
      <c r="K671" s="5">
        <v>0</v>
      </c>
      <c r="L671" s="5">
        <f t="shared" si="54"/>
        <v>0</v>
      </c>
      <c r="M671" s="5">
        <f t="shared" si="56"/>
        <v>14281</v>
      </c>
      <c r="N671" s="5">
        <f t="shared" si="56"/>
        <v>99967</v>
      </c>
      <c r="O671" s="8" t="s">
        <v>20</v>
      </c>
      <c r="T671">
        <v>0</v>
      </c>
      <c r="AC671">
        <v>1</v>
      </c>
    </row>
    <row r="672" spans="1:29" ht="30" customHeight="1" x14ac:dyDescent="0.3">
      <c r="A672" s="8" t="s">
        <v>764</v>
      </c>
      <c r="B672" s="8" t="s">
        <v>843</v>
      </c>
      <c r="C672" s="8" t="s">
        <v>687</v>
      </c>
      <c r="D672" s="8" t="s">
        <v>447</v>
      </c>
      <c r="E672" s="8" t="s">
        <v>185</v>
      </c>
      <c r="F672" s="9">
        <v>2</v>
      </c>
      <c r="G672" s="5">
        <f>TRUNC([1]단가대비표!O645,0)</f>
        <v>15482</v>
      </c>
      <c r="H672" s="5">
        <f t="shared" si="52"/>
        <v>30964</v>
      </c>
      <c r="I672" s="5">
        <v>0</v>
      </c>
      <c r="J672" s="5">
        <f t="shared" si="53"/>
        <v>0</v>
      </c>
      <c r="K672" s="5">
        <v>0</v>
      </c>
      <c r="L672" s="5">
        <f t="shared" si="54"/>
        <v>0</v>
      </c>
      <c r="M672" s="5">
        <f t="shared" si="56"/>
        <v>15482</v>
      </c>
      <c r="N672" s="5">
        <f t="shared" si="56"/>
        <v>30964</v>
      </c>
      <c r="O672" s="8" t="s">
        <v>20</v>
      </c>
      <c r="T672">
        <v>0</v>
      </c>
      <c r="AC672">
        <v>1</v>
      </c>
    </row>
    <row r="673" spans="1:29" ht="30" customHeight="1" x14ac:dyDescent="0.3">
      <c r="A673" s="8" t="s">
        <v>764</v>
      </c>
      <c r="B673" s="8" t="s">
        <v>689</v>
      </c>
      <c r="C673" s="8" t="s">
        <v>687</v>
      </c>
      <c r="D673" s="8" t="s">
        <v>348</v>
      </c>
      <c r="E673" s="8" t="s">
        <v>185</v>
      </c>
      <c r="F673" s="9">
        <v>2</v>
      </c>
      <c r="G673" s="5">
        <f>TRUNC([1]단가대비표!O646,0)</f>
        <v>16464</v>
      </c>
      <c r="H673" s="5">
        <f t="shared" si="52"/>
        <v>32928</v>
      </c>
      <c r="I673" s="5">
        <v>0</v>
      </c>
      <c r="J673" s="5">
        <f t="shared" si="53"/>
        <v>0</v>
      </c>
      <c r="K673" s="5">
        <v>0</v>
      </c>
      <c r="L673" s="5">
        <f t="shared" si="54"/>
        <v>0</v>
      </c>
      <c r="M673" s="5">
        <f t="shared" si="56"/>
        <v>16464</v>
      </c>
      <c r="N673" s="5">
        <f t="shared" si="56"/>
        <v>32928</v>
      </c>
      <c r="O673" s="8" t="s">
        <v>20</v>
      </c>
      <c r="T673">
        <v>0</v>
      </c>
      <c r="AC673">
        <v>1</v>
      </c>
    </row>
    <row r="674" spans="1:29" ht="30" customHeight="1" x14ac:dyDescent="0.3">
      <c r="A674" s="8" t="s">
        <v>764</v>
      </c>
      <c r="B674" s="8" t="s">
        <v>844</v>
      </c>
      <c r="C674" s="8" t="s">
        <v>694</v>
      </c>
      <c r="D674" s="8" t="s">
        <v>845</v>
      </c>
      <c r="E674" s="8" t="s">
        <v>179</v>
      </c>
      <c r="F674" s="9">
        <v>146</v>
      </c>
      <c r="G674" s="5">
        <f>TRUNC([1]단가대비표!O389,0)</f>
        <v>290</v>
      </c>
      <c r="H674" s="5">
        <f t="shared" si="52"/>
        <v>42340</v>
      </c>
      <c r="I674" s="5">
        <v>0</v>
      </c>
      <c r="J674" s="5">
        <f t="shared" si="53"/>
        <v>0</v>
      </c>
      <c r="K674" s="5">
        <v>0</v>
      </c>
      <c r="L674" s="5">
        <f t="shared" si="54"/>
        <v>0</v>
      </c>
      <c r="M674" s="5">
        <f t="shared" si="56"/>
        <v>290</v>
      </c>
      <c r="N674" s="5">
        <f t="shared" si="56"/>
        <v>42340</v>
      </c>
      <c r="O674" s="8" t="s">
        <v>20</v>
      </c>
      <c r="T674">
        <v>0</v>
      </c>
      <c r="AC674">
        <v>1</v>
      </c>
    </row>
    <row r="675" spans="1:29" ht="30" customHeight="1" x14ac:dyDescent="0.3">
      <c r="A675" s="8" t="s">
        <v>764</v>
      </c>
      <c r="B675" s="8" t="s">
        <v>846</v>
      </c>
      <c r="C675" s="8" t="s">
        <v>694</v>
      </c>
      <c r="D675" s="8" t="s">
        <v>847</v>
      </c>
      <c r="E675" s="8" t="s">
        <v>179</v>
      </c>
      <c r="F675" s="9">
        <v>2</v>
      </c>
      <c r="G675" s="5">
        <f>TRUNC([1]단가대비표!O390,0)</f>
        <v>320</v>
      </c>
      <c r="H675" s="5">
        <f t="shared" si="52"/>
        <v>640</v>
      </c>
      <c r="I675" s="5">
        <v>0</v>
      </c>
      <c r="J675" s="5">
        <f t="shared" si="53"/>
        <v>0</v>
      </c>
      <c r="K675" s="5">
        <v>0</v>
      </c>
      <c r="L675" s="5">
        <f t="shared" si="54"/>
        <v>0</v>
      </c>
      <c r="M675" s="5">
        <f t="shared" si="56"/>
        <v>320</v>
      </c>
      <c r="N675" s="5">
        <f t="shared" si="56"/>
        <v>640</v>
      </c>
      <c r="O675" s="8" t="s">
        <v>20</v>
      </c>
      <c r="T675">
        <v>0</v>
      </c>
      <c r="AC675">
        <v>1</v>
      </c>
    </row>
    <row r="676" spans="1:29" ht="30" customHeight="1" x14ac:dyDescent="0.3">
      <c r="A676" s="8" t="s">
        <v>764</v>
      </c>
      <c r="B676" s="8" t="s">
        <v>693</v>
      </c>
      <c r="C676" s="8" t="s">
        <v>694</v>
      </c>
      <c r="D676" s="8" t="s">
        <v>695</v>
      </c>
      <c r="E676" s="8" t="s">
        <v>179</v>
      </c>
      <c r="F676" s="9">
        <v>10</v>
      </c>
      <c r="G676" s="5">
        <f>TRUNC([1]단가대비표!O391,0)</f>
        <v>700</v>
      </c>
      <c r="H676" s="5">
        <f t="shared" si="52"/>
        <v>7000</v>
      </c>
      <c r="I676" s="5">
        <v>0</v>
      </c>
      <c r="J676" s="5">
        <f t="shared" si="53"/>
        <v>0</v>
      </c>
      <c r="K676" s="5">
        <v>0</v>
      </c>
      <c r="L676" s="5">
        <f t="shared" si="54"/>
        <v>0</v>
      </c>
      <c r="M676" s="5">
        <f t="shared" si="56"/>
        <v>700</v>
      </c>
      <c r="N676" s="5">
        <f t="shared" si="56"/>
        <v>7000</v>
      </c>
      <c r="O676" s="8" t="s">
        <v>20</v>
      </c>
      <c r="T676">
        <v>0</v>
      </c>
      <c r="AC676">
        <v>1</v>
      </c>
    </row>
    <row r="677" spans="1:29" ht="30" customHeight="1" x14ac:dyDescent="0.3">
      <c r="A677" s="8" t="s">
        <v>764</v>
      </c>
      <c r="B677" s="8" t="s">
        <v>696</v>
      </c>
      <c r="C677" s="8" t="s">
        <v>694</v>
      </c>
      <c r="D677" s="8" t="s">
        <v>697</v>
      </c>
      <c r="E677" s="8" t="s">
        <v>179</v>
      </c>
      <c r="F677" s="9">
        <v>2</v>
      </c>
      <c r="G677" s="5">
        <f>TRUNC([1]단가대비표!O392,0)</f>
        <v>770</v>
      </c>
      <c r="H677" s="5">
        <f t="shared" si="52"/>
        <v>1540</v>
      </c>
      <c r="I677" s="5">
        <v>0</v>
      </c>
      <c r="J677" s="5">
        <f t="shared" si="53"/>
        <v>0</v>
      </c>
      <c r="K677" s="5">
        <v>0</v>
      </c>
      <c r="L677" s="5">
        <f t="shared" si="54"/>
        <v>0</v>
      </c>
      <c r="M677" s="5">
        <f t="shared" si="56"/>
        <v>770</v>
      </c>
      <c r="N677" s="5">
        <f t="shared" si="56"/>
        <v>1540</v>
      </c>
      <c r="O677" s="8" t="s">
        <v>20</v>
      </c>
      <c r="T677">
        <v>0</v>
      </c>
      <c r="AC677">
        <v>1</v>
      </c>
    </row>
    <row r="678" spans="1:29" ht="30" customHeight="1" x14ac:dyDescent="0.3">
      <c r="A678" s="8" t="s">
        <v>764</v>
      </c>
      <c r="B678" s="8" t="s">
        <v>698</v>
      </c>
      <c r="C678" s="8" t="s">
        <v>694</v>
      </c>
      <c r="D678" s="8" t="s">
        <v>699</v>
      </c>
      <c r="E678" s="8" t="s">
        <v>179</v>
      </c>
      <c r="F678" s="9">
        <v>12</v>
      </c>
      <c r="G678" s="5">
        <f>TRUNC([1]단가대비표!O393,0)</f>
        <v>840</v>
      </c>
      <c r="H678" s="5">
        <f t="shared" si="52"/>
        <v>10080</v>
      </c>
      <c r="I678" s="5">
        <v>0</v>
      </c>
      <c r="J678" s="5">
        <f t="shared" si="53"/>
        <v>0</v>
      </c>
      <c r="K678" s="5">
        <v>0</v>
      </c>
      <c r="L678" s="5">
        <f t="shared" si="54"/>
        <v>0</v>
      </c>
      <c r="M678" s="5">
        <f t="shared" si="56"/>
        <v>840</v>
      </c>
      <c r="N678" s="5">
        <f t="shared" si="56"/>
        <v>10080</v>
      </c>
      <c r="O678" s="8" t="s">
        <v>20</v>
      </c>
      <c r="T678">
        <v>0</v>
      </c>
      <c r="AC678">
        <v>1</v>
      </c>
    </row>
    <row r="679" spans="1:29" ht="30" customHeight="1" x14ac:dyDescent="0.3">
      <c r="A679" s="8" t="s">
        <v>764</v>
      </c>
      <c r="B679" s="8" t="s">
        <v>700</v>
      </c>
      <c r="C679" s="8" t="s">
        <v>694</v>
      </c>
      <c r="D679" s="8" t="s">
        <v>701</v>
      </c>
      <c r="E679" s="8" t="s">
        <v>179</v>
      </c>
      <c r="F679" s="9">
        <v>8</v>
      </c>
      <c r="G679" s="5">
        <f>TRUNC([1]단가대비표!O394,0)</f>
        <v>1400</v>
      </c>
      <c r="H679" s="5">
        <f t="shared" si="52"/>
        <v>11200</v>
      </c>
      <c r="I679" s="5">
        <v>0</v>
      </c>
      <c r="J679" s="5">
        <f t="shared" si="53"/>
        <v>0</v>
      </c>
      <c r="K679" s="5">
        <v>0</v>
      </c>
      <c r="L679" s="5">
        <f t="shared" si="54"/>
        <v>0</v>
      </c>
      <c r="M679" s="5">
        <f t="shared" si="56"/>
        <v>1400</v>
      </c>
      <c r="N679" s="5">
        <f t="shared" si="56"/>
        <v>11200</v>
      </c>
      <c r="O679" s="8" t="s">
        <v>20</v>
      </c>
      <c r="T679">
        <v>0</v>
      </c>
      <c r="AC679">
        <v>1</v>
      </c>
    </row>
    <row r="680" spans="1:29" ht="30" customHeight="1" x14ac:dyDescent="0.3">
      <c r="A680" s="8" t="s">
        <v>764</v>
      </c>
      <c r="B680" s="8" t="s">
        <v>702</v>
      </c>
      <c r="C680" s="8" t="s">
        <v>694</v>
      </c>
      <c r="D680" s="8" t="s">
        <v>703</v>
      </c>
      <c r="E680" s="8" t="s">
        <v>179</v>
      </c>
      <c r="F680" s="9">
        <v>2</v>
      </c>
      <c r="G680" s="5">
        <f>TRUNC([1]단가대비표!O395,0)</f>
        <v>1400</v>
      </c>
      <c r="H680" s="5">
        <f t="shared" si="52"/>
        <v>2800</v>
      </c>
      <c r="I680" s="5">
        <v>0</v>
      </c>
      <c r="J680" s="5">
        <f t="shared" si="53"/>
        <v>0</v>
      </c>
      <c r="K680" s="5">
        <v>0</v>
      </c>
      <c r="L680" s="5">
        <f t="shared" si="54"/>
        <v>0</v>
      </c>
      <c r="M680" s="5">
        <f t="shared" si="56"/>
        <v>1400</v>
      </c>
      <c r="N680" s="5">
        <f t="shared" si="56"/>
        <v>2800</v>
      </c>
      <c r="O680" s="8" t="s">
        <v>20</v>
      </c>
      <c r="T680">
        <v>0</v>
      </c>
      <c r="AC680">
        <v>1</v>
      </c>
    </row>
    <row r="681" spans="1:29" ht="30" customHeight="1" x14ac:dyDescent="0.3">
      <c r="A681" s="8" t="s">
        <v>764</v>
      </c>
      <c r="B681" s="8" t="s">
        <v>848</v>
      </c>
      <c r="C681" s="8" t="s">
        <v>694</v>
      </c>
      <c r="D681" s="8" t="s">
        <v>849</v>
      </c>
      <c r="E681" s="8" t="s">
        <v>179</v>
      </c>
      <c r="F681" s="9">
        <v>1</v>
      </c>
      <c r="G681" s="5">
        <f>TRUNC([1]단가대비표!O396,0)</f>
        <v>2000</v>
      </c>
      <c r="H681" s="5">
        <f t="shared" si="52"/>
        <v>2000</v>
      </c>
      <c r="I681" s="5">
        <v>0</v>
      </c>
      <c r="J681" s="5">
        <f t="shared" si="53"/>
        <v>0</v>
      </c>
      <c r="K681" s="5">
        <v>0</v>
      </c>
      <c r="L681" s="5">
        <f t="shared" si="54"/>
        <v>0</v>
      </c>
      <c r="M681" s="5">
        <f t="shared" si="56"/>
        <v>2000</v>
      </c>
      <c r="N681" s="5">
        <f t="shared" si="56"/>
        <v>2000</v>
      </c>
      <c r="O681" s="8" t="s">
        <v>20</v>
      </c>
      <c r="T681">
        <v>0</v>
      </c>
      <c r="AC681">
        <v>1</v>
      </c>
    </row>
    <row r="682" spans="1:29" ht="30" customHeight="1" x14ac:dyDescent="0.3">
      <c r="A682" s="8" t="s">
        <v>764</v>
      </c>
      <c r="B682" s="8" t="s">
        <v>850</v>
      </c>
      <c r="C682" s="8" t="s">
        <v>694</v>
      </c>
      <c r="D682" s="8" t="s">
        <v>851</v>
      </c>
      <c r="E682" s="8" t="s">
        <v>179</v>
      </c>
      <c r="F682" s="9">
        <v>3</v>
      </c>
      <c r="G682" s="5">
        <f>TRUNC([1]단가대비표!O409,0)</f>
        <v>840</v>
      </c>
      <c r="H682" s="5">
        <f t="shared" si="52"/>
        <v>2520</v>
      </c>
      <c r="I682" s="5">
        <v>0</v>
      </c>
      <c r="J682" s="5">
        <f t="shared" si="53"/>
        <v>0</v>
      </c>
      <c r="K682" s="5">
        <v>0</v>
      </c>
      <c r="L682" s="5">
        <f t="shared" si="54"/>
        <v>0</v>
      </c>
      <c r="M682" s="5">
        <f t="shared" si="56"/>
        <v>840</v>
      </c>
      <c r="N682" s="5">
        <f t="shared" si="56"/>
        <v>2520</v>
      </c>
      <c r="O682" s="8" t="s">
        <v>20</v>
      </c>
      <c r="T682">
        <v>0</v>
      </c>
      <c r="AC682">
        <v>1</v>
      </c>
    </row>
    <row r="683" spans="1:29" ht="30" customHeight="1" x14ac:dyDescent="0.3">
      <c r="A683" s="8" t="s">
        <v>764</v>
      </c>
      <c r="B683" s="8" t="s">
        <v>852</v>
      </c>
      <c r="C683" s="8" t="s">
        <v>694</v>
      </c>
      <c r="D683" s="8" t="s">
        <v>853</v>
      </c>
      <c r="E683" s="8" t="s">
        <v>179</v>
      </c>
      <c r="F683" s="9">
        <v>2</v>
      </c>
      <c r="G683" s="5">
        <f>TRUNC([1]단가대비표!O410,0)</f>
        <v>840</v>
      </c>
      <c r="H683" s="5">
        <f t="shared" si="52"/>
        <v>1680</v>
      </c>
      <c r="I683" s="5">
        <v>0</v>
      </c>
      <c r="J683" s="5">
        <f t="shared" si="53"/>
        <v>0</v>
      </c>
      <c r="K683" s="5">
        <v>0</v>
      </c>
      <c r="L683" s="5">
        <f t="shared" si="54"/>
        <v>0</v>
      </c>
      <c r="M683" s="5">
        <f t="shared" si="56"/>
        <v>840</v>
      </c>
      <c r="N683" s="5">
        <f t="shared" si="56"/>
        <v>1680</v>
      </c>
      <c r="O683" s="8" t="s">
        <v>20</v>
      </c>
      <c r="T683">
        <v>0</v>
      </c>
      <c r="AC683">
        <v>1</v>
      </c>
    </row>
    <row r="684" spans="1:29" ht="30" customHeight="1" x14ac:dyDescent="0.3">
      <c r="A684" s="8" t="s">
        <v>764</v>
      </c>
      <c r="B684" s="8" t="s">
        <v>854</v>
      </c>
      <c r="C684" s="8" t="s">
        <v>694</v>
      </c>
      <c r="D684" s="8" t="s">
        <v>855</v>
      </c>
      <c r="E684" s="8" t="s">
        <v>179</v>
      </c>
      <c r="F684" s="9">
        <v>4</v>
      </c>
      <c r="G684" s="5">
        <f>TRUNC([1]단가대비표!O411,0)</f>
        <v>840</v>
      </c>
      <c r="H684" s="5">
        <f t="shared" si="52"/>
        <v>3360</v>
      </c>
      <c r="I684" s="5">
        <v>0</v>
      </c>
      <c r="J684" s="5">
        <f t="shared" si="53"/>
        <v>0</v>
      </c>
      <c r="K684" s="5">
        <v>0</v>
      </c>
      <c r="L684" s="5">
        <f t="shared" si="54"/>
        <v>0</v>
      </c>
      <c r="M684" s="5">
        <f t="shared" si="56"/>
        <v>840</v>
      </c>
      <c r="N684" s="5">
        <f t="shared" si="56"/>
        <v>3360</v>
      </c>
      <c r="O684" s="8" t="s">
        <v>20</v>
      </c>
      <c r="T684">
        <v>0</v>
      </c>
      <c r="AC684">
        <v>1</v>
      </c>
    </row>
    <row r="685" spans="1:29" ht="30" customHeight="1" x14ac:dyDescent="0.3">
      <c r="A685" s="8" t="s">
        <v>764</v>
      </c>
      <c r="B685" s="8" t="s">
        <v>706</v>
      </c>
      <c r="C685" s="8" t="s">
        <v>694</v>
      </c>
      <c r="D685" s="8" t="s">
        <v>707</v>
      </c>
      <c r="E685" s="8" t="s">
        <v>179</v>
      </c>
      <c r="F685" s="9">
        <v>2</v>
      </c>
      <c r="G685" s="5">
        <f>TRUNC([1]단가대비표!O412,0)</f>
        <v>840</v>
      </c>
      <c r="H685" s="5">
        <f t="shared" si="52"/>
        <v>1680</v>
      </c>
      <c r="I685" s="5">
        <v>0</v>
      </c>
      <c r="J685" s="5">
        <f t="shared" si="53"/>
        <v>0</v>
      </c>
      <c r="K685" s="5">
        <v>0</v>
      </c>
      <c r="L685" s="5">
        <f t="shared" si="54"/>
        <v>0</v>
      </c>
      <c r="M685" s="5">
        <f t="shared" si="56"/>
        <v>840</v>
      </c>
      <c r="N685" s="5">
        <f t="shared" si="56"/>
        <v>1680</v>
      </c>
      <c r="O685" s="8" t="s">
        <v>20</v>
      </c>
      <c r="T685">
        <v>0</v>
      </c>
      <c r="AC685">
        <v>1</v>
      </c>
    </row>
    <row r="686" spans="1:29" ht="30" customHeight="1" x14ac:dyDescent="0.3">
      <c r="A686" s="8" t="s">
        <v>764</v>
      </c>
      <c r="B686" s="8" t="s">
        <v>708</v>
      </c>
      <c r="C686" s="8" t="s">
        <v>694</v>
      </c>
      <c r="D686" s="8" t="s">
        <v>709</v>
      </c>
      <c r="E686" s="8" t="s">
        <v>179</v>
      </c>
      <c r="F686" s="9">
        <v>9</v>
      </c>
      <c r="G686" s="5">
        <f>TRUNC([1]단가대비표!O413,0)</f>
        <v>840</v>
      </c>
      <c r="H686" s="5">
        <f t="shared" si="52"/>
        <v>7560</v>
      </c>
      <c r="I686" s="5">
        <v>0</v>
      </c>
      <c r="J686" s="5">
        <f t="shared" si="53"/>
        <v>0</v>
      </c>
      <c r="K686" s="5">
        <v>0</v>
      </c>
      <c r="L686" s="5">
        <f t="shared" si="54"/>
        <v>0</v>
      </c>
      <c r="M686" s="5">
        <f t="shared" si="56"/>
        <v>840</v>
      </c>
      <c r="N686" s="5">
        <f t="shared" si="56"/>
        <v>7560</v>
      </c>
      <c r="O686" s="8" t="s">
        <v>20</v>
      </c>
      <c r="T686">
        <v>0</v>
      </c>
      <c r="AC686">
        <v>1</v>
      </c>
    </row>
    <row r="687" spans="1:29" ht="30" customHeight="1" x14ac:dyDescent="0.3">
      <c r="A687" s="8" t="s">
        <v>764</v>
      </c>
      <c r="B687" s="8" t="s">
        <v>710</v>
      </c>
      <c r="C687" s="8" t="s">
        <v>694</v>
      </c>
      <c r="D687" s="8" t="s">
        <v>711</v>
      </c>
      <c r="E687" s="8" t="s">
        <v>179</v>
      </c>
      <c r="F687" s="9">
        <v>2</v>
      </c>
      <c r="G687" s="5">
        <f>TRUNC([1]단가대비표!O414,0)</f>
        <v>920</v>
      </c>
      <c r="H687" s="5">
        <f t="shared" si="52"/>
        <v>1840</v>
      </c>
      <c r="I687" s="5">
        <v>0</v>
      </c>
      <c r="J687" s="5">
        <f t="shared" si="53"/>
        <v>0</v>
      </c>
      <c r="K687" s="5">
        <v>0</v>
      </c>
      <c r="L687" s="5">
        <f t="shared" si="54"/>
        <v>0</v>
      </c>
      <c r="M687" s="5">
        <f t="shared" si="56"/>
        <v>920</v>
      </c>
      <c r="N687" s="5">
        <f t="shared" si="56"/>
        <v>1840</v>
      </c>
      <c r="O687" s="8" t="s">
        <v>20</v>
      </c>
      <c r="T687">
        <v>0</v>
      </c>
      <c r="AC687">
        <v>1</v>
      </c>
    </row>
    <row r="688" spans="1:29" ht="30" customHeight="1" x14ac:dyDescent="0.3">
      <c r="A688" s="8" t="s">
        <v>764</v>
      </c>
      <c r="B688" s="8" t="s">
        <v>856</v>
      </c>
      <c r="C688" s="8" t="s">
        <v>857</v>
      </c>
      <c r="D688" s="8" t="s">
        <v>858</v>
      </c>
      <c r="E688" s="8" t="s">
        <v>179</v>
      </c>
      <c r="F688" s="9">
        <v>72</v>
      </c>
      <c r="G688" s="5">
        <f>TRUNC([1]단가대비표!O581,0)</f>
        <v>120</v>
      </c>
      <c r="H688" s="5">
        <f t="shared" si="52"/>
        <v>8640</v>
      </c>
      <c r="I688" s="5">
        <v>0</v>
      </c>
      <c r="J688" s="5">
        <f t="shared" si="53"/>
        <v>0</v>
      </c>
      <c r="K688" s="5">
        <v>0</v>
      </c>
      <c r="L688" s="5">
        <f t="shared" si="54"/>
        <v>0</v>
      </c>
      <c r="M688" s="5">
        <f t="shared" si="56"/>
        <v>120</v>
      </c>
      <c r="N688" s="5">
        <f t="shared" si="56"/>
        <v>8640</v>
      </c>
      <c r="O688" s="8" t="s">
        <v>20</v>
      </c>
      <c r="T688">
        <v>0</v>
      </c>
      <c r="AC688">
        <v>1</v>
      </c>
    </row>
    <row r="689" spans="1:29" ht="30" customHeight="1" x14ac:dyDescent="0.3">
      <c r="A689" s="8" t="s">
        <v>764</v>
      </c>
      <c r="B689" s="8" t="s">
        <v>529</v>
      </c>
      <c r="C689" s="8" t="s">
        <v>530</v>
      </c>
      <c r="D689" s="8" t="s">
        <v>531</v>
      </c>
      <c r="E689" s="8" t="s">
        <v>532</v>
      </c>
      <c r="F689" s="9">
        <v>2595</v>
      </c>
      <c r="G689" s="5">
        <f>TRUNC([1]단가대비표!O755,0)</f>
        <v>1159</v>
      </c>
      <c r="H689" s="5">
        <f t="shared" si="52"/>
        <v>3007605</v>
      </c>
      <c r="I689" s="5">
        <v>0</v>
      </c>
      <c r="J689" s="5">
        <f t="shared" si="53"/>
        <v>0</v>
      </c>
      <c r="K689" s="5">
        <v>0</v>
      </c>
      <c r="L689" s="5">
        <f t="shared" si="54"/>
        <v>0</v>
      </c>
      <c r="M689" s="5">
        <f t="shared" si="56"/>
        <v>1159</v>
      </c>
      <c r="N689" s="5">
        <f t="shared" si="56"/>
        <v>3007605</v>
      </c>
      <c r="O689" s="8" t="s">
        <v>20</v>
      </c>
      <c r="T689">
        <v>0</v>
      </c>
      <c r="AC689">
        <v>1</v>
      </c>
    </row>
    <row r="690" spans="1:29" ht="30" customHeight="1" x14ac:dyDescent="0.3">
      <c r="A690" s="8" t="s">
        <v>764</v>
      </c>
      <c r="B690" s="8" t="s">
        <v>859</v>
      </c>
      <c r="C690" s="8" t="s">
        <v>534</v>
      </c>
      <c r="D690" s="8" t="s">
        <v>860</v>
      </c>
      <c r="E690" s="8" t="s">
        <v>532</v>
      </c>
      <c r="F690" s="9">
        <v>430</v>
      </c>
      <c r="G690" s="5">
        <f>TRUNC([1]단가대비표!O757,0)</f>
        <v>1159</v>
      </c>
      <c r="H690" s="5">
        <f t="shared" si="52"/>
        <v>498370</v>
      </c>
      <c r="I690" s="5">
        <v>0</v>
      </c>
      <c r="J690" s="5">
        <f t="shared" si="53"/>
        <v>0</v>
      </c>
      <c r="K690" s="5">
        <v>0</v>
      </c>
      <c r="L690" s="5">
        <f t="shared" si="54"/>
        <v>0</v>
      </c>
      <c r="M690" s="5">
        <f t="shared" si="56"/>
        <v>1159</v>
      </c>
      <c r="N690" s="5">
        <f t="shared" si="56"/>
        <v>498370</v>
      </c>
      <c r="O690" s="8" t="s">
        <v>20</v>
      </c>
      <c r="T690">
        <v>0</v>
      </c>
      <c r="AC690">
        <v>1</v>
      </c>
    </row>
    <row r="691" spans="1:29" ht="30" customHeight="1" x14ac:dyDescent="0.3">
      <c r="A691" s="8" t="s">
        <v>764</v>
      </c>
      <c r="B691" s="8" t="s">
        <v>533</v>
      </c>
      <c r="C691" s="8" t="s">
        <v>534</v>
      </c>
      <c r="D691" s="8" t="s">
        <v>535</v>
      </c>
      <c r="E691" s="8" t="s">
        <v>532</v>
      </c>
      <c r="F691" s="9">
        <v>1900</v>
      </c>
      <c r="G691" s="5">
        <f>TRUNC([1]단가대비표!O759,0)</f>
        <v>1159</v>
      </c>
      <c r="H691" s="5">
        <f t="shared" ref="H691:H698" si="57">TRUNC(F691*G691,0)</f>
        <v>2202100</v>
      </c>
      <c r="I691" s="5">
        <v>0</v>
      </c>
      <c r="J691" s="5">
        <f t="shared" ref="J691:J698" si="58">TRUNC(F691*I691,0)</f>
        <v>0</v>
      </c>
      <c r="K691" s="5">
        <v>0</v>
      </c>
      <c r="L691" s="5">
        <f t="shared" ref="L691:L698" si="59">TRUNC(F691*K691,0)</f>
        <v>0</v>
      </c>
      <c r="M691" s="5">
        <f t="shared" ref="M691:N698" si="60">G691+I691+K691</f>
        <v>1159</v>
      </c>
      <c r="N691" s="5">
        <f t="shared" si="60"/>
        <v>2202100</v>
      </c>
      <c r="O691" s="8" t="s">
        <v>20</v>
      </c>
      <c r="T691">
        <v>0</v>
      </c>
      <c r="AC691">
        <v>1</v>
      </c>
    </row>
    <row r="692" spans="1:29" ht="30" customHeight="1" x14ac:dyDescent="0.3">
      <c r="A692" s="8" t="s">
        <v>764</v>
      </c>
      <c r="B692" s="8" t="s">
        <v>536</v>
      </c>
      <c r="C692" s="8" t="s">
        <v>537</v>
      </c>
      <c r="D692" s="8" t="s">
        <v>538</v>
      </c>
      <c r="E692" s="8" t="s">
        <v>185</v>
      </c>
      <c r="F692" s="9">
        <v>264</v>
      </c>
      <c r="G692" s="5" t="e">
        <f>'[2].xls].xls].xls].xls].xls].xls].xls].'!E127</f>
        <v>#REF!</v>
      </c>
      <c r="H692" s="5" t="e">
        <f t="shared" si="57"/>
        <v>#REF!</v>
      </c>
      <c r="I692" s="5" t="e">
        <f>'[2].xls].xls].xls].xls].xls].xls].xls].'!F127</f>
        <v>#REF!</v>
      </c>
      <c r="J692" s="5" t="e">
        <f t="shared" si="58"/>
        <v>#REF!</v>
      </c>
      <c r="K692" s="5" t="e">
        <f>'[2].xls].xls].xls].xls].xls].xls].xls].'!G127</f>
        <v>#REF!</v>
      </c>
      <c r="L692" s="5" t="e">
        <f t="shared" si="59"/>
        <v>#REF!</v>
      </c>
      <c r="M692" s="5" t="e">
        <f t="shared" si="60"/>
        <v>#REF!</v>
      </c>
      <c r="N692" s="5" t="e">
        <f t="shared" si="60"/>
        <v>#REF!</v>
      </c>
      <c r="O692" s="8" t="s">
        <v>536</v>
      </c>
      <c r="T692">
        <v>0</v>
      </c>
      <c r="AC692">
        <v>1</v>
      </c>
    </row>
    <row r="693" spans="1:29" ht="30" customHeight="1" x14ac:dyDescent="0.3">
      <c r="A693" s="8" t="s">
        <v>764</v>
      </c>
      <c r="B693" s="8" t="s">
        <v>542</v>
      </c>
      <c r="C693" s="8" t="s">
        <v>543</v>
      </c>
      <c r="D693" s="8" t="s">
        <v>544</v>
      </c>
      <c r="E693" s="8" t="s">
        <v>545</v>
      </c>
      <c r="F693" s="9">
        <v>204</v>
      </c>
      <c r="G693" s="5" t="e">
        <f>'[2].xls].xls].xls].xls].xls].xls].xls].'!E130</f>
        <v>#REF!</v>
      </c>
      <c r="H693" s="5" t="e">
        <f t="shared" si="57"/>
        <v>#REF!</v>
      </c>
      <c r="I693" s="5" t="e">
        <f>'[2].xls].xls].xls].xls].xls].xls].xls].'!F130</f>
        <v>#REF!</v>
      </c>
      <c r="J693" s="5" t="e">
        <f t="shared" si="58"/>
        <v>#REF!</v>
      </c>
      <c r="K693" s="5" t="e">
        <f>'[2].xls].xls].xls].xls].xls].xls].xls].'!G130</f>
        <v>#REF!</v>
      </c>
      <c r="L693" s="5" t="e">
        <f t="shared" si="59"/>
        <v>#REF!</v>
      </c>
      <c r="M693" s="5" t="e">
        <f t="shared" si="60"/>
        <v>#REF!</v>
      </c>
      <c r="N693" s="5" t="e">
        <f t="shared" si="60"/>
        <v>#REF!</v>
      </c>
      <c r="O693" s="8" t="s">
        <v>542</v>
      </c>
      <c r="T693">
        <v>0</v>
      </c>
      <c r="AC693">
        <v>1</v>
      </c>
    </row>
    <row r="694" spans="1:29" ht="30" customHeight="1" x14ac:dyDescent="0.3">
      <c r="A694" s="8" t="s">
        <v>764</v>
      </c>
      <c r="B694" s="8" t="s">
        <v>546</v>
      </c>
      <c r="C694" s="8" t="s">
        <v>547</v>
      </c>
      <c r="D694" s="8" t="s">
        <v>548</v>
      </c>
      <c r="E694" s="8" t="s">
        <v>545</v>
      </c>
      <c r="F694" s="9">
        <v>204</v>
      </c>
      <c r="G694" s="5" t="e">
        <f>'[2].xls].xls].xls].xls].xls].xls].xls].'!E133</f>
        <v>#REF!</v>
      </c>
      <c r="H694" s="5" t="e">
        <f t="shared" si="57"/>
        <v>#REF!</v>
      </c>
      <c r="I694" s="5" t="e">
        <f>'[2].xls].xls].xls].xls].xls].xls].xls].'!F133</f>
        <v>#REF!</v>
      </c>
      <c r="J694" s="5" t="e">
        <f t="shared" si="58"/>
        <v>#REF!</v>
      </c>
      <c r="K694" s="5" t="e">
        <f>'[2].xls].xls].xls].xls].xls].xls].xls].'!G133</f>
        <v>#REF!</v>
      </c>
      <c r="L694" s="5" t="e">
        <f t="shared" si="59"/>
        <v>#REF!</v>
      </c>
      <c r="M694" s="5" t="e">
        <f t="shared" si="60"/>
        <v>#REF!</v>
      </c>
      <c r="N694" s="5" t="e">
        <f t="shared" si="60"/>
        <v>#REF!</v>
      </c>
      <c r="O694" s="8" t="s">
        <v>546</v>
      </c>
      <c r="T694">
        <v>0</v>
      </c>
      <c r="AC694">
        <v>1</v>
      </c>
    </row>
    <row r="695" spans="1:29" ht="30" customHeight="1" x14ac:dyDescent="0.3">
      <c r="A695" s="8" t="s">
        <v>764</v>
      </c>
      <c r="B695" s="8" t="s">
        <v>549</v>
      </c>
      <c r="C695" s="8" t="s">
        <v>550</v>
      </c>
      <c r="D695" s="8" t="s">
        <v>551</v>
      </c>
      <c r="E695" s="8" t="s">
        <v>552</v>
      </c>
      <c r="F695" s="9">
        <v>4.6900000000000004</v>
      </c>
      <c r="G695" s="5" t="e">
        <f>'[2].xls].xls].xls].xls].xls].xls].xls].'!E128</f>
        <v>#REF!</v>
      </c>
      <c r="H695" s="5" t="e">
        <f t="shared" si="57"/>
        <v>#REF!</v>
      </c>
      <c r="I695" s="5" t="e">
        <f>'[2].xls].xls].xls].xls].xls].xls].xls].'!F128</f>
        <v>#REF!</v>
      </c>
      <c r="J695" s="5" t="e">
        <f t="shared" si="58"/>
        <v>#REF!</v>
      </c>
      <c r="K695" s="5" t="e">
        <f>'[2].xls].xls].xls].xls].xls].xls].xls].'!G128</f>
        <v>#REF!</v>
      </c>
      <c r="L695" s="5" t="e">
        <f t="shared" si="59"/>
        <v>#REF!</v>
      </c>
      <c r="M695" s="5" t="e">
        <f t="shared" si="60"/>
        <v>#REF!</v>
      </c>
      <c r="N695" s="5" t="e">
        <f t="shared" si="60"/>
        <v>#REF!</v>
      </c>
      <c r="O695" s="8" t="s">
        <v>549</v>
      </c>
      <c r="T695">
        <v>0</v>
      </c>
      <c r="AC695">
        <v>1</v>
      </c>
    </row>
    <row r="696" spans="1:29" ht="30" customHeight="1" x14ac:dyDescent="0.3">
      <c r="A696" s="8" t="s">
        <v>764</v>
      </c>
      <c r="B696" s="8" t="s">
        <v>152</v>
      </c>
      <c r="C696" s="8" t="s">
        <v>153</v>
      </c>
      <c r="D696" s="8" t="s">
        <v>154</v>
      </c>
      <c r="E696" s="8" t="s">
        <v>155</v>
      </c>
      <c r="F696" s="9">
        <v>173</v>
      </c>
      <c r="G696" s="5">
        <v>0</v>
      </c>
      <c r="H696" s="5">
        <f t="shared" si="57"/>
        <v>0</v>
      </c>
      <c r="I696" s="5">
        <f>TRUNC([1]단가대비표!O671,0)</f>
        <v>157068</v>
      </c>
      <c r="J696" s="5">
        <f t="shared" si="58"/>
        <v>27172764</v>
      </c>
      <c r="K696" s="5">
        <v>0</v>
      </c>
      <c r="L696" s="5">
        <f t="shared" si="59"/>
        <v>0</v>
      </c>
      <c r="M696" s="5">
        <f t="shared" si="60"/>
        <v>157068</v>
      </c>
      <c r="N696" s="5">
        <f t="shared" si="60"/>
        <v>27172764</v>
      </c>
      <c r="O696" s="8" t="s">
        <v>20</v>
      </c>
      <c r="T696">
        <v>0</v>
      </c>
      <c r="W696">
        <v>3</v>
      </c>
      <c r="AC696">
        <v>1</v>
      </c>
    </row>
    <row r="697" spans="1:29" ht="30" customHeight="1" x14ac:dyDescent="0.3">
      <c r="A697" s="8" t="s">
        <v>764</v>
      </c>
      <c r="B697" s="8" t="s">
        <v>553</v>
      </c>
      <c r="C697" s="8" t="s">
        <v>153</v>
      </c>
      <c r="D697" s="8" t="s">
        <v>554</v>
      </c>
      <c r="E697" s="8" t="s">
        <v>155</v>
      </c>
      <c r="F697" s="9">
        <v>346</v>
      </c>
      <c r="G697" s="5">
        <v>0</v>
      </c>
      <c r="H697" s="5">
        <f t="shared" si="57"/>
        <v>0</v>
      </c>
      <c r="I697" s="5">
        <f>TRUNC([1]단가대비표!O668,0)</f>
        <v>214118</v>
      </c>
      <c r="J697" s="5">
        <f t="shared" si="58"/>
        <v>74084828</v>
      </c>
      <c r="K697" s="5">
        <v>0</v>
      </c>
      <c r="L697" s="5">
        <f t="shared" si="59"/>
        <v>0</v>
      </c>
      <c r="M697" s="5">
        <f t="shared" si="60"/>
        <v>214118</v>
      </c>
      <c r="N697" s="5">
        <f t="shared" si="60"/>
        <v>74084828</v>
      </c>
      <c r="O697" s="8" t="s">
        <v>20</v>
      </c>
      <c r="T697">
        <v>0</v>
      </c>
      <c r="W697">
        <v>3</v>
      </c>
      <c r="AC697">
        <v>1</v>
      </c>
    </row>
    <row r="698" spans="1:29" ht="30" customHeight="1" x14ac:dyDescent="0.3">
      <c r="A698" s="8" t="s">
        <v>764</v>
      </c>
      <c r="B698" s="8" t="s">
        <v>158</v>
      </c>
      <c r="C698" s="8" t="s">
        <v>159</v>
      </c>
      <c r="D698" s="8" t="s">
        <v>160</v>
      </c>
      <c r="E698" s="8" t="s">
        <v>161</v>
      </c>
      <c r="F698" s="9">
        <v>1</v>
      </c>
      <c r="G698" s="5">
        <f>ROUNDDOWN(SUMIF(W499:W698, RIGHTB(B698, 1), J499:J698)*T698, 0)</f>
        <v>2025151</v>
      </c>
      <c r="H698" s="5">
        <f t="shared" si="57"/>
        <v>2025151</v>
      </c>
      <c r="I698" s="5">
        <v>0</v>
      </c>
      <c r="J698" s="5">
        <f t="shared" si="58"/>
        <v>0</v>
      </c>
      <c r="K698" s="5">
        <v>0</v>
      </c>
      <c r="L698" s="5">
        <f t="shared" si="59"/>
        <v>0</v>
      </c>
      <c r="M698" s="5">
        <f t="shared" si="60"/>
        <v>2025151</v>
      </c>
      <c r="N698" s="5">
        <f t="shared" si="60"/>
        <v>2025151</v>
      </c>
      <c r="O698" s="8" t="s">
        <v>20</v>
      </c>
      <c r="P698">
        <v>698</v>
      </c>
      <c r="R698">
        <v>1</v>
      </c>
      <c r="S698">
        <v>0</v>
      </c>
      <c r="T698">
        <v>0.02</v>
      </c>
      <c r="AC698">
        <v>1</v>
      </c>
    </row>
    <row r="699" spans="1:29" ht="30" customHeight="1" x14ac:dyDescent="0.3">
      <c r="A699" s="5"/>
      <c r="B699" s="5"/>
      <c r="C699" s="5"/>
      <c r="D699" s="5"/>
      <c r="E699" s="5"/>
      <c r="F699" s="9"/>
      <c r="G699" s="5"/>
      <c r="H699" s="5"/>
      <c r="I699" s="5"/>
      <c r="J699" s="5"/>
      <c r="K699" s="5"/>
      <c r="L699" s="5"/>
      <c r="M699" s="5"/>
      <c r="N699" s="5"/>
      <c r="O699" s="5"/>
    </row>
    <row r="700" spans="1:29" ht="30" customHeight="1" x14ac:dyDescent="0.3">
      <c r="A700" s="5"/>
      <c r="B700" s="5"/>
      <c r="C700" s="5"/>
      <c r="D700" s="5"/>
      <c r="E700" s="5"/>
      <c r="F700" s="9"/>
      <c r="G700" s="5"/>
      <c r="H700" s="5"/>
      <c r="I700" s="5"/>
      <c r="J700" s="5"/>
      <c r="K700" s="5"/>
      <c r="L700" s="5"/>
      <c r="M700" s="5"/>
      <c r="N700" s="5"/>
      <c r="O700" s="5"/>
    </row>
    <row r="701" spans="1:29" ht="30" customHeight="1" x14ac:dyDescent="0.3">
      <c r="A701" s="5"/>
      <c r="B701" s="5"/>
      <c r="C701" s="5"/>
      <c r="D701" s="5"/>
      <c r="E701" s="5"/>
      <c r="F701" s="9"/>
      <c r="G701" s="5"/>
      <c r="H701" s="5"/>
      <c r="I701" s="5"/>
      <c r="J701" s="5"/>
      <c r="K701" s="5"/>
      <c r="L701" s="5"/>
      <c r="M701" s="5"/>
      <c r="N701" s="5"/>
      <c r="O701" s="5"/>
    </row>
    <row r="702" spans="1:29" ht="30" customHeight="1" x14ac:dyDescent="0.3">
      <c r="A702" s="5"/>
      <c r="B702" s="5"/>
      <c r="C702" s="5"/>
      <c r="D702" s="5"/>
      <c r="E702" s="5"/>
      <c r="F702" s="9"/>
      <c r="G702" s="5"/>
      <c r="H702" s="5"/>
      <c r="I702" s="5"/>
      <c r="J702" s="5"/>
      <c r="K702" s="5"/>
      <c r="L702" s="5"/>
      <c r="M702" s="5"/>
      <c r="N702" s="5"/>
      <c r="O702" s="5"/>
    </row>
    <row r="703" spans="1:29" ht="30" customHeight="1" x14ac:dyDescent="0.3">
      <c r="A703" s="5"/>
      <c r="B703" s="5"/>
      <c r="C703" s="5"/>
      <c r="D703" s="5"/>
      <c r="E703" s="5"/>
      <c r="F703" s="9"/>
      <c r="G703" s="5"/>
      <c r="H703" s="5"/>
      <c r="I703" s="5"/>
      <c r="J703" s="5"/>
      <c r="K703" s="5"/>
      <c r="L703" s="5"/>
      <c r="M703" s="5"/>
      <c r="N703" s="5"/>
      <c r="O703" s="5"/>
    </row>
    <row r="704" spans="1:29" ht="30" customHeight="1" x14ac:dyDescent="0.3">
      <c r="A704" s="5"/>
      <c r="B704" s="5"/>
      <c r="C704" s="5"/>
      <c r="D704" s="5"/>
      <c r="E704" s="5"/>
      <c r="F704" s="9"/>
      <c r="G704" s="5"/>
      <c r="H704" s="5"/>
      <c r="I704" s="5"/>
      <c r="J704" s="5"/>
      <c r="K704" s="5"/>
      <c r="L704" s="5"/>
      <c r="M704" s="5"/>
      <c r="N704" s="5"/>
      <c r="O704" s="5"/>
    </row>
    <row r="705" spans="1:29" ht="30" customHeight="1" x14ac:dyDescent="0.3">
      <c r="A705" s="5"/>
      <c r="B705" s="5"/>
      <c r="C705" s="5" t="s">
        <v>162</v>
      </c>
      <c r="D705" s="5"/>
      <c r="E705" s="5"/>
      <c r="F705" s="9"/>
      <c r="G705" s="5"/>
      <c r="H705" s="5" t="e">
        <f>SUMIF(AC499:AC704, 1, H499:H704)</f>
        <v>#REF!</v>
      </c>
      <c r="I705" s="5"/>
      <c r="J705" s="5" t="e">
        <f>SUMIF(AC499:AC704, 1, J499:J704)</f>
        <v>#REF!</v>
      </c>
      <c r="K705" s="5"/>
      <c r="L705" s="5" t="e">
        <f>SUMIF(AC499:AC704, 1, L499:L704)</f>
        <v>#REF!</v>
      </c>
      <c r="M705" s="5"/>
      <c r="N705" s="5" t="e">
        <f>H705+J705+L705</f>
        <v>#REF!</v>
      </c>
      <c r="O705" s="5"/>
    </row>
    <row r="706" spans="1:29" ht="30" customHeight="1" x14ac:dyDescent="0.3">
      <c r="A706" s="5"/>
      <c r="B706" s="5"/>
      <c r="C706" s="10" t="s">
        <v>861</v>
      </c>
      <c r="D706" s="10"/>
      <c r="E706" s="10"/>
      <c r="F706" s="11"/>
      <c r="G706" s="10"/>
      <c r="H706" s="10"/>
      <c r="I706" s="10"/>
      <c r="J706" s="10"/>
      <c r="K706" s="10"/>
      <c r="L706" s="10"/>
      <c r="M706" s="10"/>
      <c r="N706" s="10"/>
      <c r="O706" s="10"/>
    </row>
    <row r="707" spans="1:29" ht="30" customHeight="1" x14ac:dyDescent="0.3">
      <c r="A707" s="8" t="s">
        <v>862</v>
      </c>
      <c r="B707" s="8" t="s">
        <v>209</v>
      </c>
      <c r="C707" s="8" t="s">
        <v>210</v>
      </c>
      <c r="D707" s="8" t="s">
        <v>211</v>
      </c>
      <c r="E707" s="8" t="s">
        <v>168</v>
      </c>
      <c r="F707" s="9">
        <v>140</v>
      </c>
      <c r="G707" s="5">
        <f>TRUNC([1]단가대비표!O94,0)</f>
        <v>22580</v>
      </c>
      <c r="H707" s="5">
        <f t="shared" ref="H707:H770" si="61">TRUNC(F707*G707,0)</f>
        <v>3161200</v>
      </c>
      <c r="I707" s="5">
        <v>0</v>
      </c>
      <c r="J707" s="5">
        <f t="shared" ref="J707:J770" si="62">TRUNC(F707*I707,0)</f>
        <v>0</v>
      </c>
      <c r="K707" s="5">
        <v>0</v>
      </c>
      <c r="L707" s="5">
        <f t="shared" ref="L707:L770" si="63">TRUNC(F707*K707,0)</f>
        <v>0</v>
      </c>
      <c r="M707" s="5">
        <f t="shared" ref="M707:N738" si="64">G707+I707+K707</f>
        <v>22580</v>
      </c>
      <c r="N707" s="5">
        <f t="shared" si="64"/>
        <v>3161200</v>
      </c>
      <c r="O707" s="8" t="s">
        <v>20</v>
      </c>
      <c r="T707">
        <v>0</v>
      </c>
      <c r="U707">
        <v>1</v>
      </c>
      <c r="AC707">
        <v>1</v>
      </c>
    </row>
    <row r="708" spans="1:29" ht="30" customHeight="1" x14ac:dyDescent="0.3">
      <c r="A708" s="8" t="s">
        <v>862</v>
      </c>
      <c r="B708" s="8" t="s">
        <v>212</v>
      </c>
      <c r="C708" s="8" t="s">
        <v>210</v>
      </c>
      <c r="D708" s="8" t="s">
        <v>213</v>
      </c>
      <c r="E708" s="8" t="s">
        <v>168</v>
      </c>
      <c r="F708" s="9">
        <v>125</v>
      </c>
      <c r="G708" s="5">
        <f>TRUNC([1]단가대비표!O95,0)</f>
        <v>43650</v>
      </c>
      <c r="H708" s="5">
        <f t="shared" si="61"/>
        <v>5456250</v>
      </c>
      <c r="I708" s="5">
        <v>0</v>
      </c>
      <c r="J708" s="5">
        <f t="shared" si="62"/>
        <v>0</v>
      </c>
      <c r="K708" s="5">
        <v>0</v>
      </c>
      <c r="L708" s="5">
        <f t="shared" si="63"/>
        <v>0</v>
      </c>
      <c r="M708" s="5">
        <f t="shared" si="64"/>
        <v>43650</v>
      </c>
      <c r="N708" s="5">
        <f t="shared" si="64"/>
        <v>5456250</v>
      </c>
      <c r="O708" s="8" t="s">
        <v>20</v>
      </c>
      <c r="T708">
        <v>0</v>
      </c>
      <c r="U708">
        <v>1</v>
      </c>
      <c r="AC708">
        <v>1</v>
      </c>
    </row>
    <row r="709" spans="1:29" ht="30" customHeight="1" x14ac:dyDescent="0.3">
      <c r="A709" s="8" t="s">
        <v>862</v>
      </c>
      <c r="B709" s="8" t="s">
        <v>863</v>
      </c>
      <c r="C709" s="8" t="s">
        <v>864</v>
      </c>
      <c r="D709" s="8" t="s">
        <v>865</v>
      </c>
      <c r="E709" s="8" t="s">
        <v>168</v>
      </c>
      <c r="F709" s="9">
        <v>22</v>
      </c>
      <c r="G709" s="5">
        <f>TRUNC([1]단가대비표!O113,0)</f>
        <v>2666</v>
      </c>
      <c r="H709" s="5">
        <f t="shared" si="61"/>
        <v>58652</v>
      </c>
      <c r="I709" s="5">
        <v>0</v>
      </c>
      <c r="J709" s="5">
        <f t="shared" si="62"/>
        <v>0</v>
      </c>
      <c r="K709" s="5">
        <v>0</v>
      </c>
      <c r="L709" s="5">
        <f t="shared" si="63"/>
        <v>0</v>
      </c>
      <c r="M709" s="5">
        <f t="shared" si="64"/>
        <v>2666</v>
      </c>
      <c r="N709" s="5">
        <f t="shared" si="64"/>
        <v>58652</v>
      </c>
      <c r="O709" s="8" t="s">
        <v>20</v>
      </c>
      <c r="T709">
        <v>0</v>
      </c>
      <c r="U709">
        <v>1</v>
      </c>
      <c r="AC709">
        <v>1</v>
      </c>
    </row>
    <row r="710" spans="1:29" ht="30" customHeight="1" x14ac:dyDescent="0.3">
      <c r="A710" s="8" t="s">
        <v>862</v>
      </c>
      <c r="B710" s="8" t="s">
        <v>866</v>
      </c>
      <c r="C710" s="8" t="s">
        <v>864</v>
      </c>
      <c r="D710" s="8" t="s">
        <v>867</v>
      </c>
      <c r="E710" s="8" t="s">
        <v>168</v>
      </c>
      <c r="F710" s="9">
        <v>22</v>
      </c>
      <c r="G710" s="5">
        <f>TRUNC([1]단가대비표!O114,0)</f>
        <v>5296</v>
      </c>
      <c r="H710" s="5">
        <f t="shared" si="61"/>
        <v>116512</v>
      </c>
      <c r="I710" s="5">
        <v>0</v>
      </c>
      <c r="J710" s="5">
        <f t="shared" si="62"/>
        <v>0</v>
      </c>
      <c r="K710" s="5">
        <v>0</v>
      </c>
      <c r="L710" s="5">
        <f t="shared" si="63"/>
        <v>0</v>
      </c>
      <c r="M710" s="5">
        <f t="shared" si="64"/>
        <v>5296</v>
      </c>
      <c r="N710" s="5">
        <f t="shared" si="64"/>
        <v>116512</v>
      </c>
      <c r="O710" s="8" t="s">
        <v>20</v>
      </c>
      <c r="T710">
        <v>0</v>
      </c>
      <c r="U710">
        <v>1</v>
      </c>
      <c r="AC710">
        <v>1</v>
      </c>
    </row>
    <row r="711" spans="1:29" ht="30" customHeight="1" x14ac:dyDescent="0.3">
      <c r="A711" s="8" t="s">
        <v>862</v>
      </c>
      <c r="B711" s="8" t="s">
        <v>868</v>
      </c>
      <c r="C711" s="8" t="s">
        <v>864</v>
      </c>
      <c r="D711" s="8" t="s">
        <v>869</v>
      </c>
      <c r="E711" s="8" t="s">
        <v>168</v>
      </c>
      <c r="F711" s="9">
        <v>20</v>
      </c>
      <c r="G711" s="5">
        <f>TRUNC([1]단가대비표!O115,0)</f>
        <v>8068</v>
      </c>
      <c r="H711" s="5">
        <f t="shared" si="61"/>
        <v>161360</v>
      </c>
      <c r="I711" s="5">
        <v>0</v>
      </c>
      <c r="J711" s="5">
        <f t="shared" si="62"/>
        <v>0</v>
      </c>
      <c r="K711" s="5">
        <v>0</v>
      </c>
      <c r="L711" s="5">
        <f t="shared" si="63"/>
        <v>0</v>
      </c>
      <c r="M711" s="5">
        <f t="shared" si="64"/>
        <v>8068</v>
      </c>
      <c r="N711" s="5">
        <f t="shared" si="64"/>
        <v>161360</v>
      </c>
      <c r="O711" s="8" t="s">
        <v>20</v>
      </c>
      <c r="T711">
        <v>0</v>
      </c>
      <c r="U711">
        <v>1</v>
      </c>
      <c r="AC711">
        <v>1</v>
      </c>
    </row>
    <row r="712" spans="1:29" ht="30" customHeight="1" x14ac:dyDescent="0.3">
      <c r="A712" s="8" t="s">
        <v>862</v>
      </c>
      <c r="B712" s="8" t="s">
        <v>870</v>
      </c>
      <c r="C712" s="8" t="s">
        <v>864</v>
      </c>
      <c r="D712" s="8" t="s">
        <v>871</v>
      </c>
      <c r="E712" s="8" t="s">
        <v>168</v>
      </c>
      <c r="F712" s="9">
        <v>50</v>
      </c>
      <c r="G712" s="5">
        <f>TRUNC([1]단가대비표!O117,0)</f>
        <v>16108</v>
      </c>
      <c r="H712" s="5">
        <f t="shared" si="61"/>
        <v>805400</v>
      </c>
      <c r="I712" s="5">
        <v>0</v>
      </c>
      <c r="J712" s="5">
        <f t="shared" si="62"/>
        <v>0</v>
      </c>
      <c r="K712" s="5">
        <v>0</v>
      </c>
      <c r="L712" s="5">
        <f t="shared" si="63"/>
        <v>0</v>
      </c>
      <c r="M712" s="5">
        <f t="shared" si="64"/>
        <v>16108</v>
      </c>
      <c r="N712" s="5">
        <f t="shared" si="64"/>
        <v>805400</v>
      </c>
      <c r="O712" s="8" t="s">
        <v>20</v>
      </c>
      <c r="T712">
        <v>0</v>
      </c>
      <c r="U712">
        <v>1</v>
      </c>
      <c r="AC712">
        <v>1</v>
      </c>
    </row>
    <row r="713" spans="1:29" ht="30" customHeight="1" x14ac:dyDescent="0.3">
      <c r="A713" s="8" t="s">
        <v>862</v>
      </c>
      <c r="B713" s="8" t="s">
        <v>872</v>
      </c>
      <c r="C713" s="8" t="s">
        <v>864</v>
      </c>
      <c r="D713" s="8" t="s">
        <v>873</v>
      </c>
      <c r="E713" s="8" t="s">
        <v>168</v>
      </c>
      <c r="F713" s="9">
        <v>200</v>
      </c>
      <c r="G713" s="5">
        <f>TRUNC([1]단가대비표!O118,0)</f>
        <v>24414</v>
      </c>
      <c r="H713" s="5">
        <f t="shared" si="61"/>
        <v>4882800</v>
      </c>
      <c r="I713" s="5">
        <v>0</v>
      </c>
      <c r="J713" s="5">
        <f t="shared" si="62"/>
        <v>0</v>
      </c>
      <c r="K713" s="5">
        <v>0</v>
      </c>
      <c r="L713" s="5">
        <f t="shared" si="63"/>
        <v>0</v>
      </c>
      <c r="M713" s="5">
        <f t="shared" si="64"/>
        <v>24414</v>
      </c>
      <c r="N713" s="5">
        <f t="shared" si="64"/>
        <v>4882800</v>
      </c>
      <c r="O713" s="8" t="s">
        <v>20</v>
      </c>
      <c r="T713">
        <v>0</v>
      </c>
      <c r="U713">
        <v>1</v>
      </c>
      <c r="AC713">
        <v>1</v>
      </c>
    </row>
    <row r="714" spans="1:29" ht="30" customHeight="1" x14ac:dyDescent="0.3">
      <c r="A714" s="8" t="s">
        <v>862</v>
      </c>
      <c r="B714" s="8" t="s">
        <v>874</v>
      </c>
      <c r="C714" s="8" t="s">
        <v>864</v>
      </c>
      <c r="D714" s="8" t="s">
        <v>875</v>
      </c>
      <c r="E714" s="8" t="s">
        <v>168</v>
      </c>
      <c r="F714" s="9">
        <v>15</v>
      </c>
      <c r="G714" s="5">
        <f>TRUNC([1]단가대비표!O127,0)</f>
        <v>9506</v>
      </c>
      <c r="H714" s="5">
        <f t="shared" si="61"/>
        <v>142590</v>
      </c>
      <c r="I714" s="5">
        <v>0</v>
      </c>
      <c r="J714" s="5">
        <f t="shared" si="62"/>
        <v>0</v>
      </c>
      <c r="K714" s="5">
        <v>0</v>
      </c>
      <c r="L714" s="5">
        <f t="shared" si="63"/>
        <v>0</v>
      </c>
      <c r="M714" s="5">
        <f t="shared" si="64"/>
        <v>9506</v>
      </c>
      <c r="N714" s="5">
        <f t="shared" si="64"/>
        <v>142590</v>
      </c>
      <c r="O714" s="8" t="s">
        <v>20</v>
      </c>
      <c r="T714">
        <v>0</v>
      </c>
      <c r="U714">
        <v>1</v>
      </c>
      <c r="AC714">
        <v>1</v>
      </c>
    </row>
    <row r="715" spans="1:29" ht="30" customHeight="1" x14ac:dyDescent="0.3">
      <c r="A715" s="8" t="s">
        <v>862</v>
      </c>
      <c r="B715" s="8" t="s">
        <v>876</v>
      </c>
      <c r="C715" s="8" t="s">
        <v>864</v>
      </c>
      <c r="D715" s="8" t="s">
        <v>877</v>
      </c>
      <c r="E715" s="8" t="s">
        <v>168</v>
      </c>
      <c r="F715" s="9">
        <v>164</v>
      </c>
      <c r="G715" s="5">
        <f>TRUNC([1]단가대비표!O119,0)</f>
        <v>1666</v>
      </c>
      <c r="H715" s="5">
        <f t="shared" si="61"/>
        <v>273224</v>
      </c>
      <c r="I715" s="5">
        <v>0</v>
      </c>
      <c r="J715" s="5">
        <f t="shared" si="62"/>
        <v>0</v>
      </c>
      <c r="K715" s="5">
        <v>0</v>
      </c>
      <c r="L715" s="5">
        <f t="shared" si="63"/>
        <v>0</v>
      </c>
      <c r="M715" s="5">
        <f t="shared" si="64"/>
        <v>1666</v>
      </c>
      <c r="N715" s="5">
        <f t="shared" si="64"/>
        <v>273224</v>
      </c>
      <c r="O715" s="8" t="s">
        <v>20</v>
      </c>
      <c r="T715">
        <v>0</v>
      </c>
      <c r="U715">
        <v>1</v>
      </c>
      <c r="AC715">
        <v>1</v>
      </c>
    </row>
    <row r="716" spans="1:29" ht="30" customHeight="1" x14ac:dyDescent="0.3">
      <c r="A716" s="8" t="s">
        <v>862</v>
      </c>
      <c r="B716" s="8" t="s">
        <v>878</v>
      </c>
      <c r="C716" s="8" t="s">
        <v>864</v>
      </c>
      <c r="D716" s="8" t="s">
        <v>879</v>
      </c>
      <c r="E716" s="8" t="s">
        <v>168</v>
      </c>
      <c r="F716" s="9">
        <v>26</v>
      </c>
      <c r="G716" s="5">
        <f>TRUNC([1]단가대비표!O120,0)</f>
        <v>1878</v>
      </c>
      <c r="H716" s="5">
        <f t="shared" si="61"/>
        <v>48828</v>
      </c>
      <c r="I716" s="5">
        <v>0</v>
      </c>
      <c r="J716" s="5">
        <f t="shared" si="62"/>
        <v>0</v>
      </c>
      <c r="K716" s="5">
        <v>0</v>
      </c>
      <c r="L716" s="5">
        <f t="shared" si="63"/>
        <v>0</v>
      </c>
      <c r="M716" s="5">
        <f t="shared" si="64"/>
        <v>1878</v>
      </c>
      <c r="N716" s="5">
        <f t="shared" si="64"/>
        <v>48828</v>
      </c>
      <c r="O716" s="8" t="s">
        <v>20</v>
      </c>
      <c r="T716">
        <v>0</v>
      </c>
      <c r="U716">
        <v>1</v>
      </c>
      <c r="AC716">
        <v>1</v>
      </c>
    </row>
    <row r="717" spans="1:29" ht="30" customHeight="1" x14ac:dyDescent="0.3">
      <c r="A717" s="8" t="s">
        <v>862</v>
      </c>
      <c r="B717" s="8" t="s">
        <v>880</v>
      </c>
      <c r="C717" s="8" t="s">
        <v>864</v>
      </c>
      <c r="D717" s="8" t="s">
        <v>881</v>
      </c>
      <c r="E717" s="8" t="s">
        <v>168</v>
      </c>
      <c r="F717" s="9">
        <v>650</v>
      </c>
      <c r="G717" s="5">
        <f>TRUNC([1]단가대비표!O121,0)</f>
        <v>2666</v>
      </c>
      <c r="H717" s="5">
        <f t="shared" si="61"/>
        <v>1732900</v>
      </c>
      <c r="I717" s="5">
        <v>0</v>
      </c>
      <c r="J717" s="5">
        <f t="shared" si="62"/>
        <v>0</v>
      </c>
      <c r="K717" s="5">
        <v>0</v>
      </c>
      <c r="L717" s="5">
        <f t="shared" si="63"/>
        <v>0</v>
      </c>
      <c r="M717" s="5">
        <f t="shared" si="64"/>
        <v>2666</v>
      </c>
      <c r="N717" s="5">
        <f t="shared" si="64"/>
        <v>1732900</v>
      </c>
      <c r="O717" s="8" t="s">
        <v>20</v>
      </c>
      <c r="T717">
        <v>0</v>
      </c>
      <c r="U717">
        <v>1</v>
      </c>
      <c r="AC717">
        <v>1</v>
      </c>
    </row>
    <row r="718" spans="1:29" ht="30" customHeight="1" x14ac:dyDescent="0.3">
      <c r="A718" s="8" t="s">
        <v>862</v>
      </c>
      <c r="B718" s="8" t="s">
        <v>882</v>
      </c>
      <c r="C718" s="8" t="s">
        <v>864</v>
      </c>
      <c r="D718" s="8" t="s">
        <v>883</v>
      </c>
      <c r="E718" s="8" t="s">
        <v>168</v>
      </c>
      <c r="F718" s="9">
        <v>213</v>
      </c>
      <c r="G718" s="5">
        <f>TRUNC([1]단가대비표!O122,0)</f>
        <v>5296</v>
      </c>
      <c r="H718" s="5">
        <f t="shared" si="61"/>
        <v>1128048</v>
      </c>
      <c r="I718" s="5">
        <v>0</v>
      </c>
      <c r="J718" s="5">
        <f t="shared" si="62"/>
        <v>0</v>
      </c>
      <c r="K718" s="5">
        <v>0</v>
      </c>
      <c r="L718" s="5">
        <f t="shared" si="63"/>
        <v>0</v>
      </c>
      <c r="M718" s="5">
        <f t="shared" si="64"/>
        <v>5296</v>
      </c>
      <c r="N718" s="5">
        <f t="shared" si="64"/>
        <v>1128048</v>
      </c>
      <c r="O718" s="8" t="s">
        <v>20</v>
      </c>
      <c r="T718">
        <v>0</v>
      </c>
      <c r="U718">
        <v>1</v>
      </c>
      <c r="AC718">
        <v>1</v>
      </c>
    </row>
    <row r="719" spans="1:29" ht="30" customHeight="1" x14ac:dyDescent="0.3">
      <c r="A719" s="8" t="s">
        <v>862</v>
      </c>
      <c r="B719" s="8" t="s">
        <v>884</v>
      </c>
      <c r="C719" s="8" t="s">
        <v>864</v>
      </c>
      <c r="D719" s="8" t="s">
        <v>885</v>
      </c>
      <c r="E719" s="8" t="s">
        <v>168</v>
      </c>
      <c r="F719" s="9">
        <v>1193</v>
      </c>
      <c r="G719" s="5">
        <f>TRUNC([1]단가대비표!O123,0)</f>
        <v>8068</v>
      </c>
      <c r="H719" s="5">
        <f t="shared" si="61"/>
        <v>9625124</v>
      </c>
      <c r="I719" s="5">
        <v>0</v>
      </c>
      <c r="J719" s="5">
        <f t="shared" si="62"/>
        <v>0</v>
      </c>
      <c r="K719" s="5">
        <v>0</v>
      </c>
      <c r="L719" s="5">
        <f t="shared" si="63"/>
        <v>0</v>
      </c>
      <c r="M719" s="5">
        <f t="shared" si="64"/>
        <v>8068</v>
      </c>
      <c r="N719" s="5">
        <f t="shared" si="64"/>
        <v>9625124</v>
      </c>
      <c r="O719" s="8" t="s">
        <v>20</v>
      </c>
      <c r="T719">
        <v>0</v>
      </c>
      <c r="U719">
        <v>1</v>
      </c>
      <c r="AC719">
        <v>1</v>
      </c>
    </row>
    <row r="720" spans="1:29" ht="30" customHeight="1" x14ac:dyDescent="0.3">
      <c r="A720" s="8" t="s">
        <v>862</v>
      </c>
      <c r="B720" s="8" t="s">
        <v>886</v>
      </c>
      <c r="C720" s="8" t="s">
        <v>864</v>
      </c>
      <c r="D720" s="8" t="s">
        <v>887</v>
      </c>
      <c r="E720" s="8" t="s">
        <v>168</v>
      </c>
      <c r="F720" s="9">
        <v>219</v>
      </c>
      <c r="G720" s="5">
        <f>TRUNC([1]단가대비표!O124,0)</f>
        <v>10738</v>
      </c>
      <c r="H720" s="5">
        <f t="shared" si="61"/>
        <v>2351622</v>
      </c>
      <c r="I720" s="5">
        <v>0</v>
      </c>
      <c r="J720" s="5">
        <f t="shared" si="62"/>
        <v>0</v>
      </c>
      <c r="K720" s="5">
        <v>0</v>
      </c>
      <c r="L720" s="5">
        <f t="shared" si="63"/>
        <v>0</v>
      </c>
      <c r="M720" s="5">
        <f t="shared" si="64"/>
        <v>10738</v>
      </c>
      <c r="N720" s="5">
        <f t="shared" si="64"/>
        <v>2351622</v>
      </c>
      <c r="O720" s="8" t="s">
        <v>20</v>
      </c>
      <c r="T720">
        <v>0</v>
      </c>
      <c r="U720">
        <v>1</v>
      </c>
      <c r="AC720">
        <v>1</v>
      </c>
    </row>
    <row r="721" spans="1:29" ht="30" customHeight="1" x14ac:dyDescent="0.3">
      <c r="A721" s="8" t="s">
        <v>862</v>
      </c>
      <c r="B721" s="8" t="s">
        <v>888</v>
      </c>
      <c r="C721" s="8" t="s">
        <v>864</v>
      </c>
      <c r="D721" s="8" t="s">
        <v>889</v>
      </c>
      <c r="E721" s="8" t="s">
        <v>168</v>
      </c>
      <c r="F721" s="9">
        <v>440</v>
      </c>
      <c r="G721" s="5">
        <f>TRUNC([1]단가대비표!O128,0)</f>
        <v>1240</v>
      </c>
      <c r="H721" s="5">
        <f t="shared" si="61"/>
        <v>545600</v>
      </c>
      <c r="I721" s="5">
        <v>0</v>
      </c>
      <c r="J721" s="5">
        <f t="shared" si="62"/>
        <v>0</v>
      </c>
      <c r="K721" s="5">
        <v>0</v>
      </c>
      <c r="L721" s="5">
        <f t="shared" si="63"/>
        <v>0</v>
      </c>
      <c r="M721" s="5">
        <f t="shared" si="64"/>
        <v>1240</v>
      </c>
      <c r="N721" s="5">
        <f t="shared" si="64"/>
        <v>545600</v>
      </c>
      <c r="O721" s="8" t="s">
        <v>20</v>
      </c>
      <c r="T721">
        <v>0</v>
      </c>
      <c r="U721">
        <v>1</v>
      </c>
      <c r="AC721">
        <v>1</v>
      </c>
    </row>
    <row r="722" spans="1:29" ht="30" customHeight="1" x14ac:dyDescent="0.3">
      <c r="A722" s="8" t="s">
        <v>862</v>
      </c>
      <c r="B722" s="8" t="s">
        <v>890</v>
      </c>
      <c r="C722" s="8" t="s">
        <v>864</v>
      </c>
      <c r="D722" s="8" t="s">
        <v>891</v>
      </c>
      <c r="E722" s="8" t="s">
        <v>168</v>
      </c>
      <c r="F722" s="9">
        <v>15</v>
      </c>
      <c r="G722" s="5">
        <f>TRUNC([1]단가대비표!O130,0)</f>
        <v>6560</v>
      </c>
      <c r="H722" s="5">
        <f t="shared" si="61"/>
        <v>98400</v>
      </c>
      <c r="I722" s="5">
        <v>0</v>
      </c>
      <c r="J722" s="5">
        <f t="shared" si="62"/>
        <v>0</v>
      </c>
      <c r="K722" s="5">
        <v>0</v>
      </c>
      <c r="L722" s="5">
        <f t="shared" si="63"/>
        <v>0</v>
      </c>
      <c r="M722" s="5">
        <f t="shared" si="64"/>
        <v>6560</v>
      </c>
      <c r="N722" s="5">
        <f t="shared" si="64"/>
        <v>98400</v>
      </c>
      <c r="O722" s="8" t="s">
        <v>20</v>
      </c>
      <c r="T722">
        <v>0</v>
      </c>
      <c r="U722">
        <v>1</v>
      </c>
      <c r="AC722">
        <v>1</v>
      </c>
    </row>
    <row r="723" spans="1:29" ht="30" customHeight="1" x14ac:dyDescent="0.3">
      <c r="A723" s="8" t="s">
        <v>862</v>
      </c>
      <c r="B723" s="8" t="s">
        <v>173</v>
      </c>
      <c r="C723" s="8" t="s">
        <v>174</v>
      </c>
      <c r="D723" s="8" t="s">
        <v>175</v>
      </c>
      <c r="E723" s="8" t="s">
        <v>161</v>
      </c>
      <c r="F723" s="9">
        <v>1</v>
      </c>
      <c r="G723" s="5">
        <f>ROUNDDOWN(SUMIF(U707:U872, RIGHTB(B723, 1), H707:H872)*T723, 0)</f>
        <v>917655</v>
      </c>
      <c r="H723" s="5">
        <f t="shared" si="61"/>
        <v>917655</v>
      </c>
      <c r="I723" s="5">
        <v>0</v>
      </c>
      <c r="J723" s="5">
        <f t="shared" si="62"/>
        <v>0</v>
      </c>
      <c r="K723" s="5">
        <v>0</v>
      </c>
      <c r="L723" s="5">
        <f t="shared" si="63"/>
        <v>0</v>
      </c>
      <c r="M723" s="5">
        <f t="shared" si="64"/>
        <v>917655</v>
      </c>
      <c r="N723" s="5">
        <f t="shared" si="64"/>
        <v>917655</v>
      </c>
      <c r="O723" s="8" t="s">
        <v>20</v>
      </c>
      <c r="P723">
        <v>723</v>
      </c>
      <c r="R723">
        <v>0</v>
      </c>
      <c r="S723">
        <v>0</v>
      </c>
      <c r="T723">
        <v>0.03</v>
      </c>
      <c r="AC723">
        <v>1</v>
      </c>
    </row>
    <row r="724" spans="1:29" ht="30" customHeight="1" x14ac:dyDescent="0.3">
      <c r="A724" s="8" t="s">
        <v>862</v>
      </c>
      <c r="B724" s="8" t="s">
        <v>892</v>
      </c>
      <c r="C724" s="8" t="s">
        <v>893</v>
      </c>
      <c r="D724" s="8" t="s">
        <v>894</v>
      </c>
      <c r="E724" s="8" t="s">
        <v>895</v>
      </c>
      <c r="F724" s="9">
        <v>164</v>
      </c>
      <c r="G724" s="5">
        <f>TRUNC([1]단가대비표!O693,0)</f>
        <v>463</v>
      </c>
      <c r="H724" s="5">
        <f t="shared" si="61"/>
        <v>75932</v>
      </c>
      <c r="I724" s="5">
        <v>6141</v>
      </c>
      <c r="J724" s="5">
        <f>TRUNC(F724*I724,0)</f>
        <v>1007124</v>
      </c>
      <c r="K724" s="5">
        <v>0</v>
      </c>
      <c r="L724" s="5">
        <f t="shared" si="63"/>
        <v>0</v>
      </c>
      <c r="M724" s="5">
        <f t="shared" si="64"/>
        <v>6604</v>
      </c>
      <c r="N724" s="5">
        <f t="shared" si="64"/>
        <v>1083056</v>
      </c>
      <c r="O724" s="8" t="s">
        <v>429</v>
      </c>
      <c r="T724">
        <v>0</v>
      </c>
      <c r="AC724">
        <v>1</v>
      </c>
    </row>
    <row r="725" spans="1:29" ht="30" customHeight="1" x14ac:dyDescent="0.3">
      <c r="A725" s="8" t="s">
        <v>862</v>
      </c>
      <c r="B725" s="8" t="s">
        <v>896</v>
      </c>
      <c r="C725" s="8" t="s">
        <v>893</v>
      </c>
      <c r="D725" s="8" t="s">
        <v>897</v>
      </c>
      <c r="E725" s="8" t="s">
        <v>895</v>
      </c>
      <c r="F725" s="9">
        <v>26</v>
      </c>
      <c r="G725" s="5">
        <f>TRUNC([1]단가대비표!O694,0)</f>
        <v>496</v>
      </c>
      <c r="H725" s="5">
        <f t="shared" si="61"/>
        <v>12896</v>
      </c>
      <c r="I725" s="5">
        <v>6581</v>
      </c>
      <c r="J725" s="5">
        <f t="shared" si="62"/>
        <v>171106</v>
      </c>
      <c r="K725" s="5">
        <v>0</v>
      </c>
      <c r="L725" s="5">
        <f t="shared" si="63"/>
        <v>0</v>
      </c>
      <c r="M725" s="5">
        <f t="shared" si="64"/>
        <v>7077</v>
      </c>
      <c r="N725" s="5">
        <f t="shared" si="64"/>
        <v>184002</v>
      </c>
      <c r="O725" s="8" t="s">
        <v>429</v>
      </c>
      <c r="T725">
        <v>0</v>
      </c>
      <c r="AC725">
        <v>1</v>
      </c>
    </row>
    <row r="726" spans="1:29" ht="30" customHeight="1" x14ac:dyDescent="0.3">
      <c r="A726" s="8" t="s">
        <v>862</v>
      </c>
      <c r="B726" s="8" t="s">
        <v>898</v>
      </c>
      <c r="C726" s="8" t="s">
        <v>893</v>
      </c>
      <c r="D726" s="8" t="s">
        <v>899</v>
      </c>
      <c r="E726" s="8" t="s">
        <v>895</v>
      </c>
      <c r="F726" s="9">
        <v>1112</v>
      </c>
      <c r="G726" s="5">
        <f>TRUNC([1]단가대비표!O695,0)</f>
        <v>575</v>
      </c>
      <c r="H726" s="5">
        <f t="shared" si="61"/>
        <v>639400</v>
      </c>
      <c r="I726" s="5">
        <v>7631</v>
      </c>
      <c r="J726" s="5">
        <f t="shared" si="62"/>
        <v>8485672</v>
      </c>
      <c r="K726" s="5">
        <v>0</v>
      </c>
      <c r="L726" s="5">
        <f t="shared" si="63"/>
        <v>0</v>
      </c>
      <c r="M726" s="5">
        <f t="shared" si="64"/>
        <v>8206</v>
      </c>
      <c r="N726" s="5">
        <f t="shared" si="64"/>
        <v>9125072</v>
      </c>
      <c r="O726" s="8" t="s">
        <v>429</v>
      </c>
      <c r="T726">
        <v>0</v>
      </c>
      <c r="AC726">
        <v>1</v>
      </c>
    </row>
    <row r="727" spans="1:29" ht="30" customHeight="1" x14ac:dyDescent="0.3">
      <c r="A727" s="8" t="s">
        <v>862</v>
      </c>
      <c r="B727" s="8" t="s">
        <v>900</v>
      </c>
      <c r="C727" s="8" t="s">
        <v>893</v>
      </c>
      <c r="D727" s="8" t="s">
        <v>901</v>
      </c>
      <c r="E727" s="8" t="s">
        <v>895</v>
      </c>
      <c r="F727" s="9">
        <v>235</v>
      </c>
      <c r="G727" s="5">
        <f>TRUNC([1]단가대비표!O696,0)</f>
        <v>829</v>
      </c>
      <c r="H727" s="5">
        <f t="shared" si="61"/>
        <v>194815</v>
      </c>
      <c r="I727" s="5">
        <v>11004</v>
      </c>
      <c r="J727" s="5">
        <f t="shared" si="62"/>
        <v>2585940</v>
      </c>
      <c r="K727" s="5">
        <v>0</v>
      </c>
      <c r="L727" s="5">
        <f t="shared" si="63"/>
        <v>0</v>
      </c>
      <c r="M727" s="5">
        <f t="shared" si="64"/>
        <v>11833</v>
      </c>
      <c r="N727" s="5">
        <f t="shared" si="64"/>
        <v>2780755</v>
      </c>
      <c r="O727" s="8" t="s">
        <v>429</v>
      </c>
      <c r="T727">
        <v>0</v>
      </c>
      <c r="AC727">
        <v>1</v>
      </c>
    </row>
    <row r="728" spans="1:29" ht="30" customHeight="1" x14ac:dyDescent="0.3">
      <c r="A728" s="8" t="s">
        <v>862</v>
      </c>
      <c r="B728" s="8" t="s">
        <v>902</v>
      </c>
      <c r="C728" s="8" t="s">
        <v>893</v>
      </c>
      <c r="D728" s="8" t="s">
        <v>903</v>
      </c>
      <c r="E728" s="8" t="s">
        <v>895</v>
      </c>
      <c r="F728" s="9">
        <v>1193</v>
      </c>
      <c r="G728" s="5">
        <f>TRUNC([1]단가대비표!O697,0)</f>
        <v>1083</v>
      </c>
      <c r="H728" s="5">
        <f t="shared" si="61"/>
        <v>1292019</v>
      </c>
      <c r="I728" s="5">
        <v>14376</v>
      </c>
      <c r="J728" s="5">
        <f t="shared" si="62"/>
        <v>17150568</v>
      </c>
      <c r="K728" s="5">
        <v>0</v>
      </c>
      <c r="L728" s="5">
        <f t="shared" si="63"/>
        <v>0</v>
      </c>
      <c r="M728" s="5">
        <f t="shared" si="64"/>
        <v>15459</v>
      </c>
      <c r="N728" s="5">
        <f t="shared" si="64"/>
        <v>18442587</v>
      </c>
      <c r="O728" s="8" t="s">
        <v>429</v>
      </c>
      <c r="T728">
        <v>0</v>
      </c>
      <c r="AC728">
        <v>1</v>
      </c>
    </row>
    <row r="729" spans="1:29" ht="30" customHeight="1" x14ac:dyDescent="0.3">
      <c r="A729" s="8" t="s">
        <v>862</v>
      </c>
      <c r="B729" s="8" t="s">
        <v>904</v>
      </c>
      <c r="C729" s="8" t="s">
        <v>893</v>
      </c>
      <c r="D729" s="8" t="s">
        <v>905</v>
      </c>
      <c r="E729" s="8" t="s">
        <v>895</v>
      </c>
      <c r="F729" s="9">
        <v>234</v>
      </c>
      <c r="G729" s="5">
        <f>TRUNC([1]단가대비표!O698,0)</f>
        <v>1279</v>
      </c>
      <c r="H729" s="5">
        <f t="shared" si="61"/>
        <v>299286</v>
      </c>
      <c r="I729" s="5">
        <v>16982</v>
      </c>
      <c r="J729" s="5">
        <f t="shared" si="62"/>
        <v>3973788</v>
      </c>
      <c r="K729" s="5">
        <v>0</v>
      </c>
      <c r="L729" s="5">
        <f t="shared" si="63"/>
        <v>0</v>
      </c>
      <c r="M729" s="5">
        <f t="shared" si="64"/>
        <v>18261</v>
      </c>
      <c r="N729" s="5">
        <f t="shared" si="64"/>
        <v>4273074</v>
      </c>
      <c r="O729" s="8" t="s">
        <v>429</v>
      </c>
      <c r="T729">
        <v>0</v>
      </c>
      <c r="AC729">
        <v>1</v>
      </c>
    </row>
    <row r="730" spans="1:29" ht="30" customHeight="1" x14ac:dyDescent="0.3">
      <c r="A730" s="8" t="s">
        <v>862</v>
      </c>
      <c r="B730" s="8" t="s">
        <v>906</v>
      </c>
      <c r="C730" s="8" t="s">
        <v>893</v>
      </c>
      <c r="D730" s="8" t="s">
        <v>907</v>
      </c>
      <c r="E730" s="8" t="s">
        <v>895</v>
      </c>
      <c r="F730" s="9">
        <v>65</v>
      </c>
      <c r="G730" s="5">
        <f>TRUNC([1]단가대비표!O699,0)</f>
        <v>1599</v>
      </c>
      <c r="H730" s="5">
        <f t="shared" si="61"/>
        <v>103935</v>
      </c>
      <c r="I730" s="5">
        <v>21241</v>
      </c>
      <c r="J730" s="5">
        <f t="shared" si="62"/>
        <v>1380665</v>
      </c>
      <c r="K730" s="5">
        <v>0</v>
      </c>
      <c r="L730" s="5">
        <f t="shared" si="63"/>
        <v>0</v>
      </c>
      <c r="M730" s="5">
        <f t="shared" si="64"/>
        <v>22840</v>
      </c>
      <c r="N730" s="5">
        <f t="shared" si="64"/>
        <v>1484600</v>
      </c>
      <c r="O730" s="8" t="s">
        <v>429</v>
      </c>
      <c r="T730">
        <v>0</v>
      </c>
      <c r="AC730">
        <v>1</v>
      </c>
    </row>
    <row r="731" spans="1:29" ht="30" customHeight="1" x14ac:dyDescent="0.3">
      <c r="A731" s="8" t="s">
        <v>862</v>
      </c>
      <c r="B731" s="8" t="s">
        <v>908</v>
      </c>
      <c r="C731" s="8" t="s">
        <v>893</v>
      </c>
      <c r="D731" s="8" t="s">
        <v>909</v>
      </c>
      <c r="E731" s="8" t="s">
        <v>895</v>
      </c>
      <c r="F731" s="9">
        <v>200</v>
      </c>
      <c r="G731" s="5">
        <f>TRUNC([1]단가대비표!O700,0)</f>
        <v>2007</v>
      </c>
      <c r="H731" s="5">
        <f t="shared" si="61"/>
        <v>401400</v>
      </c>
      <c r="I731" s="5">
        <v>26657</v>
      </c>
      <c r="J731" s="5">
        <f t="shared" si="62"/>
        <v>5331400</v>
      </c>
      <c r="K731" s="5">
        <v>0</v>
      </c>
      <c r="L731" s="5">
        <f t="shared" si="63"/>
        <v>0</v>
      </c>
      <c r="M731" s="5">
        <f t="shared" si="64"/>
        <v>28664</v>
      </c>
      <c r="N731" s="5">
        <f t="shared" si="64"/>
        <v>5732800</v>
      </c>
      <c r="O731" s="8" t="s">
        <v>429</v>
      </c>
      <c r="T731">
        <v>0</v>
      </c>
      <c r="AC731">
        <v>1</v>
      </c>
    </row>
    <row r="732" spans="1:29" ht="30" customHeight="1" x14ac:dyDescent="0.3">
      <c r="A732" s="8" t="s">
        <v>862</v>
      </c>
      <c r="B732" s="8" t="s">
        <v>344</v>
      </c>
      <c r="C732" s="8" t="s">
        <v>345</v>
      </c>
      <c r="D732" s="8" t="s">
        <v>346</v>
      </c>
      <c r="E732" s="8" t="s">
        <v>179</v>
      </c>
      <c r="F732" s="9">
        <v>92</v>
      </c>
      <c r="G732" s="5">
        <f>TRUNC([1]단가대비표!O489,0)</f>
        <v>16300</v>
      </c>
      <c r="H732" s="5">
        <f t="shared" si="61"/>
        <v>1499600</v>
      </c>
      <c r="I732" s="5">
        <v>0</v>
      </c>
      <c r="J732" s="5">
        <f t="shared" si="62"/>
        <v>0</v>
      </c>
      <c r="K732" s="5">
        <v>0</v>
      </c>
      <c r="L732" s="5">
        <f t="shared" si="63"/>
        <v>0</v>
      </c>
      <c r="M732" s="5">
        <f t="shared" si="64"/>
        <v>16300</v>
      </c>
      <c r="N732" s="5">
        <f t="shared" si="64"/>
        <v>1499600</v>
      </c>
      <c r="O732" s="8" t="s">
        <v>20</v>
      </c>
      <c r="T732">
        <v>0</v>
      </c>
      <c r="AC732">
        <v>1</v>
      </c>
    </row>
    <row r="733" spans="1:29" ht="30" customHeight="1" x14ac:dyDescent="0.3">
      <c r="A733" s="8" t="s">
        <v>862</v>
      </c>
      <c r="B733" s="8" t="s">
        <v>347</v>
      </c>
      <c r="C733" s="8" t="s">
        <v>345</v>
      </c>
      <c r="D733" s="8" t="s">
        <v>348</v>
      </c>
      <c r="E733" s="8" t="s">
        <v>179</v>
      </c>
      <c r="F733" s="9">
        <v>108</v>
      </c>
      <c r="G733" s="5">
        <f>TRUNC([1]단가대비표!O490,0)</f>
        <v>37900</v>
      </c>
      <c r="H733" s="5">
        <f t="shared" si="61"/>
        <v>4093200</v>
      </c>
      <c r="I733" s="5">
        <v>0</v>
      </c>
      <c r="J733" s="5">
        <f t="shared" si="62"/>
        <v>0</v>
      </c>
      <c r="K733" s="5">
        <v>0</v>
      </c>
      <c r="L733" s="5">
        <f t="shared" si="63"/>
        <v>0</v>
      </c>
      <c r="M733" s="5">
        <f t="shared" si="64"/>
        <v>37900</v>
      </c>
      <c r="N733" s="5">
        <f t="shared" si="64"/>
        <v>4093200</v>
      </c>
      <c r="O733" s="8" t="s">
        <v>20</v>
      </c>
      <c r="T733">
        <v>0</v>
      </c>
      <c r="AC733">
        <v>1</v>
      </c>
    </row>
    <row r="734" spans="1:29" ht="30" customHeight="1" x14ac:dyDescent="0.3">
      <c r="A734" s="8" t="s">
        <v>862</v>
      </c>
      <c r="B734" s="8" t="s">
        <v>353</v>
      </c>
      <c r="C734" s="8" t="s">
        <v>354</v>
      </c>
      <c r="D734" s="8" t="s">
        <v>346</v>
      </c>
      <c r="E734" s="8" t="s">
        <v>179</v>
      </c>
      <c r="F734" s="9">
        <v>29</v>
      </c>
      <c r="G734" s="5">
        <f>TRUNC([1]단가대비표!O494,0)</f>
        <v>16800</v>
      </c>
      <c r="H734" s="5">
        <f t="shared" si="61"/>
        <v>487200</v>
      </c>
      <c r="I734" s="5">
        <v>0</v>
      </c>
      <c r="J734" s="5">
        <f t="shared" si="62"/>
        <v>0</v>
      </c>
      <c r="K734" s="5">
        <v>0</v>
      </c>
      <c r="L734" s="5">
        <f t="shared" si="63"/>
        <v>0</v>
      </c>
      <c r="M734" s="5">
        <f t="shared" si="64"/>
        <v>16800</v>
      </c>
      <c r="N734" s="5">
        <f t="shared" si="64"/>
        <v>487200</v>
      </c>
      <c r="O734" s="8" t="s">
        <v>20</v>
      </c>
      <c r="T734">
        <v>0</v>
      </c>
      <c r="AC734">
        <v>1</v>
      </c>
    </row>
    <row r="735" spans="1:29" ht="30" customHeight="1" x14ac:dyDescent="0.3">
      <c r="A735" s="8" t="s">
        <v>862</v>
      </c>
      <c r="B735" s="8" t="s">
        <v>355</v>
      </c>
      <c r="C735" s="8" t="s">
        <v>354</v>
      </c>
      <c r="D735" s="8" t="s">
        <v>348</v>
      </c>
      <c r="E735" s="8" t="s">
        <v>179</v>
      </c>
      <c r="F735" s="9">
        <v>31</v>
      </c>
      <c r="G735" s="5">
        <f>TRUNC([1]단가대비표!O495,0)</f>
        <v>40000</v>
      </c>
      <c r="H735" s="5">
        <f t="shared" si="61"/>
        <v>1240000</v>
      </c>
      <c r="I735" s="5">
        <v>0</v>
      </c>
      <c r="J735" s="5">
        <f t="shared" si="62"/>
        <v>0</v>
      </c>
      <c r="K735" s="5">
        <v>0</v>
      </c>
      <c r="L735" s="5">
        <f t="shared" si="63"/>
        <v>0</v>
      </c>
      <c r="M735" s="5">
        <f t="shared" si="64"/>
        <v>40000</v>
      </c>
      <c r="N735" s="5">
        <f t="shared" si="64"/>
        <v>1240000</v>
      </c>
      <c r="O735" s="8" t="s">
        <v>20</v>
      </c>
      <c r="T735">
        <v>0</v>
      </c>
      <c r="AC735">
        <v>1</v>
      </c>
    </row>
    <row r="736" spans="1:29" ht="30" customHeight="1" x14ac:dyDescent="0.3">
      <c r="A736" s="8" t="s">
        <v>862</v>
      </c>
      <c r="B736" s="8" t="s">
        <v>910</v>
      </c>
      <c r="C736" s="8" t="s">
        <v>359</v>
      </c>
      <c r="D736" s="8" t="s">
        <v>346</v>
      </c>
      <c r="E736" s="8" t="s">
        <v>179</v>
      </c>
      <c r="F736" s="9">
        <v>3</v>
      </c>
      <c r="G736" s="5">
        <f>TRUNC([1]단가대비표!O499,0)</f>
        <v>26000</v>
      </c>
      <c r="H736" s="5">
        <f t="shared" si="61"/>
        <v>78000</v>
      </c>
      <c r="I736" s="5">
        <v>0</v>
      </c>
      <c r="J736" s="5">
        <f t="shared" si="62"/>
        <v>0</v>
      </c>
      <c r="K736" s="5">
        <v>0</v>
      </c>
      <c r="L736" s="5">
        <f t="shared" si="63"/>
        <v>0</v>
      </c>
      <c r="M736" s="5">
        <f t="shared" si="64"/>
        <v>26000</v>
      </c>
      <c r="N736" s="5">
        <f t="shared" si="64"/>
        <v>78000</v>
      </c>
      <c r="O736" s="8" t="s">
        <v>20</v>
      </c>
      <c r="T736">
        <v>0</v>
      </c>
      <c r="AC736">
        <v>1</v>
      </c>
    </row>
    <row r="737" spans="1:29" ht="30" customHeight="1" x14ac:dyDescent="0.3">
      <c r="A737" s="8" t="s">
        <v>862</v>
      </c>
      <c r="B737" s="8" t="s">
        <v>358</v>
      </c>
      <c r="C737" s="8" t="s">
        <v>359</v>
      </c>
      <c r="D737" s="8" t="s">
        <v>348</v>
      </c>
      <c r="E737" s="8" t="s">
        <v>179</v>
      </c>
      <c r="F737" s="9">
        <v>6</v>
      </c>
      <c r="G737" s="5">
        <f>TRUNC([1]단가대비표!O500,0)</f>
        <v>57200</v>
      </c>
      <c r="H737" s="5">
        <f t="shared" si="61"/>
        <v>343200</v>
      </c>
      <c r="I737" s="5">
        <v>0</v>
      </c>
      <c r="J737" s="5">
        <f t="shared" si="62"/>
        <v>0</v>
      </c>
      <c r="K737" s="5">
        <v>0</v>
      </c>
      <c r="L737" s="5">
        <f t="shared" si="63"/>
        <v>0</v>
      </c>
      <c r="M737" s="5">
        <f t="shared" si="64"/>
        <v>57200</v>
      </c>
      <c r="N737" s="5">
        <f t="shared" si="64"/>
        <v>343200</v>
      </c>
      <c r="O737" s="8" t="s">
        <v>20</v>
      </c>
      <c r="T737">
        <v>0</v>
      </c>
      <c r="AC737">
        <v>1</v>
      </c>
    </row>
    <row r="738" spans="1:29" ht="30" customHeight="1" x14ac:dyDescent="0.3">
      <c r="A738" s="8" t="s">
        <v>862</v>
      </c>
      <c r="B738" s="8" t="s">
        <v>363</v>
      </c>
      <c r="C738" s="8" t="s">
        <v>364</v>
      </c>
      <c r="D738" s="8" t="s">
        <v>346</v>
      </c>
      <c r="E738" s="8" t="s">
        <v>179</v>
      </c>
      <c r="F738" s="9">
        <v>15</v>
      </c>
      <c r="G738" s="5">
        <f>TRUNC([1]단가대비표!O507,0)</f>
        <v>48400</v>
      </c>
      <c r="H738" s="5">
        <f t="shared" si="61"/>
        <v>726000</v>
      </c>
      <c r="I738" s="5">
        <v>0</v>
      </c>
      <c r="J738" s="5">
        <f t="shared" si="62"/>
        <v>0</v>
      </c>
      <c r="K738" s="5">
        <v>0</v>
      </c>
      <c r="L738" s="5">
        <f t="shared" si="63"/>
        <v>0</v>
      </c>
      <c r="M738" s="5">
        <f t="shared" si="64"/>
        <v>48400</v>
      </c>
      <c r="N738" s="5">
        <f t="shared" si="64"/>
        <v>726000</v>
      </c>
      <c r="O738" s="8" t="s">
        <v>20</v>
      </c>
      <c r="T738">
        <v>0</v>
      </c>
      <c r="AC738">
        <v>1</v>
      </c>
    </row>
    <row r="739" spans="1:29" ht="30" customHeight="1" x14ac:dyDescent="0.3">
      <c r="A739" s="8" t="s">
        <v>862</v>
      </c>
      <c r="B739" s="8" t="s">
        <v>365</v>
      </c>
      <c r="C739" s="8" t="s">
        <v>364</v>
      </c>
      <c r="D739" s="8" t="s">
        <v>348</v>
      </c>
      <c r="E739" s="8" t="s">
        <v>179</v>
      </c>
      <c r="F739" s="9">
        <v>20</v>
      </c>
      <c r="G739" s="5">
        <f>TRUNC([1]단가대비표!O508,0)</f>
        <v>94200</v>
      </c>
      <c r="H739" s="5">
        <f t="shared" si="61"/>
        <v>1884000</v>
      </c>
      <c r="I739" s="5">
        <v>0</v>
      </c>
      <c r="J739" s="5">
        <f t="shared" si="62"/>
        <v>0</v>
      </c>
      <c r="K739" s="5">
        <v>0</v>
      </c>
      <c r="L739" s="5">
        <f t="shared" si="63"/>
        <v>0</v>
      </c>
      <c r="M739" s="5">
        <f t="shared" ref="M739:N770" si="65">G739+I739+K739</f>
        <v>94200</v>
      </c>
      <c r="N739" s="5">
        <f t="shared" si="65"/>
        <v>1884000</v>
      </c>
      <c r="O739" s="8" t="s">
        <v>20</v>
      </c>
      <c r="T739">
        <v>0</v>
      </c>
      <c r="AC739">
        <v>1</v>
      </c>
    </row>
    <row r="740" spans="1:29" ht="30" customHeight="1" x14ac:dyDescent="0.3">
      <c r="A740" s="8" t="s">
        <v>862</v>
      </c>
      <c r="B740" s="8" t="s">
        <v>911</v>
      </c>
      <c r="C740" s="8" t="s">
        <v>912</v>
      </c>
      <c r="D740" s="8" t="s">
        <v>346</v>
      </c>
      <c r="E740" s="8" t="s">
        <v>179</v>
      </c>
      <c r="F740" s="9">
        <v>88</v>
      </c>
      <c r="G740" s="5">
        <f>TRUNC([1]단가대비표!O145,0)</f>
        <v>15800</v>
      </c>
      <c r="H740" s="5">
        <f t="shared" si="61"/>
        <v>1390400</v>
      </c>
      <c r="I740" s="5">
        <v>0</v>
      </c>
      <c r="J740" s="5">
        <f t="shared" si="62"/>
        <v>0</v>
      </c>
      <c r="K740" s="5">
        <v>0</v>
      </c>
      <c r="L740" s="5">
        <f t="shared" si="63"/>
        <v>0</v>
      </c>
      <c r="M740" s="5">
        <f t="shared" si="65"/>
        <v>15800</v>
      </c>
      <c r="N740" s="5">
        <f t="shared" si="65"/>
        <v>1390400</v>
      </c>
      <c r="O740" s="8" t="s">
        <v>20</v>
      </c>
      <c r="T740">
        <v>0</v>
      </c>
      <c r="AC740">
        <v>1</v>
      </c>
    </row>
    <row r="741" spans="1:29" ht="30" customHeight="1" x14ac:dyDescent="0.3">
      <c r="A741" s="8" t="s">
        <v>862</v>
      </c>
      <c r="B741" s="8" t="s">
        <v>913</v>
      </c>
      <c r="C741" s="8" t="s">
        <v>912</v>
      </c>
      <c r="D741" s="8" t="s">
        <v>187</v>
      </c>
      <c r="E741" s="8" t="s">
        <v>179</v>
      </c>
      <c r="F741" s="9">
        <v>27</v>
      </c>
      <c r="G741" s="5">
        <f>TRUNC([1]단가대비표!O146,0)</f>
        <v>14640</v>
      </c>
      <c r="H741" s="5">
        <f t="shared" si="61"/>
        <v>395280</v>
      </c>
      <c r="I741" s="5">
        <v>0</v>
      </c>
      <c r="J741" s="5">
        <f t="shared" si="62"/>
        <v>0</v>
      </c>
      <c r="K741" s="5">
        <v>0</v>
      </c>
      <c r="L741" s="5">
        <f t="shared" si="63"/>
        <v>0</v>
      </c>
      <c r="M741" s="5">
        <f t="shared" si="65"/>
        <v>14640</v>
      </c>
      <c r="N741" s="5">
        <f t="shared" si="65"/>
        <v>395280</v>
      </c>
      <c r="O741" s="8" t="s">
        <v>20</v>
      </c>
      <c r="T741">
        <v>0</v>
      </c>
      <c r="AC741">
        <v>1</v>
      </c>
    </row>
    <row r="742" spans="1:29" ht="30" customHeight="1" x14ac:dyDescent="0.3">
      <c r="A742" s="8" t="s">
        <v>862</v>
      </c>
      <c r="B742" s="8" t="s">
        <v>914</v>
      </c>
      <c r="C742" s="8" t="s">
        <v>912</v>
      </c>
      <c r="D742" s="8" t="s">
        <v>348</v>
      </c>
      <c r="E742" s="8" t="s">
        <v>179</v>
      </c>
      <c r="F742" s="9">
        <v>12</v>
      </c>
      <c r="G742" s="5">
        <f>TRUNC([1]단가대비표!O147,0)</f>
        <v>43300</v>
      </c>
      <c r="H742" s="5">
        <f t="shared" si="61"/>
        <v>519600</v>
      </c>
      <c r="I742" s="5">
        <v>0</v>
      </c>
      <c r="J742" s="5">
        <f t="shared" si="62"/>
        <v>0</v>
      </c>
      <c r="K742" s="5">
        <v>0</v>
      </c>
      <c r="L742" s="5">
        <f t="shared" si="63"/>
        <v>0</v>
      </c>
      <c r="M742" s="5">
        <f t="shared" si="65"/>
        <v>43300</v>
      </c>
      <c r="N742" s="5">
        <f t="shared" si="65"/>
        <v>519600</v>
      </c>
      <c r="O742" s="8" t="s">
        <v>20</v>
      </c>
      <c r="T742">
        <v>0</v>
      </c>
      <c r="AC742">
        <v>1</v>
      </c>
    </row>
    <row r="743" spans="1:29" ht="30" customHeight="1" x14ac:dyDescent="0.3">
      <c r="A743" s="8" t="s">
        <v>862</v>
      </c>
      <c r="B743" s="8" t="s">
        <v>915</v>
      </c>
      <c r="C743" s="8" t="s">
        <v>694</v>
      </c>
      <c r="D743" s="8" t="s">
        <v>916</v>
      </c>
      <c r="E743" s="8" t="s">
        <v>179</v>
      </c>
      <c r="F743" s="9">
        <v>10</v>
      </c>
      <c r="G743" s="5">
        <f>TRUNC([1]단가대비표!O303,0)</f>
        <v>420</v>
      </c>
      <c r="H743" s="5">
        <f t="shared" si="61"/>
        <v>4200</v>
      </c>
      <c r="I743" s="5">
        <v>0</v>
      </c>
      <c r="J743" s="5">
        <f t="shared" si="62"/>
        <v>0</v>
      </c>
      <c r="K743" s="5">
        <v>0</v>
      </c>
      <c r="L743" s="5">
        <f t="shared" si="63"/>
        <v>0</v>
      </c>
      <c r="M743" s="5">
        <f t="shared" si="65"/>
        <v>420</v>
      </c>
      <c r="N743" s="5">
        <f t="shared" si="65"/>
        <v>4200</v>
      </c>
      <c r="O743" s="8" t="s">
        <v>20</v>
      </c>
      <c r="T743">
        <v>0</v>
      </c>
      <c r="AC743">
        <v>1</v>
      </c>
    </row>
    <row r="744" spans="1:29" ht="30" customHeight="1" x14ac:dyDescent="0.3">
      <c r="A744" s="8" t="s">
        <v>862</v>
      </c>
      <c r="B744" s="8" t="s">
        <v>917</v>
      </c>
      <c r="C744" s="8" t="s">
        <v>694</v>
      </c>
      <c r="D744" s="8" t="s">
        <v>918</v>
      </c>
      <c r="E744" s="8" t="s">
        <v>179</v>
      </c>
      <c r="F744" s="9">
        <v>1</v>
      </c>
      <c r="G744" s="5">
        <f>TRUNC([1]단가대비표!O305,0)</f>
        <v>6030</v>
      </c>
      <c r="H744" s="5">
        <f t="shared" si="61"/>
        <v>6030</v>
      </c>
      <c r="I744" s="5">
        <v>0</v>
      </c>
      <c r="J744" s="5">
        <f t="shared" si="62"/>
        <v>0</v>
      </c>
      <c r="K744" s="5">
        <v>0</v>
      </c>
      <c r="L744" s="5">
        <f t="shared" si="63"/>
        <v>0</v>
      </c>
      <c r="M744" s="5">
        <f t="shared" si="65"/>
        <v>6030</v>
      </c>
      <c r="N744" s="5">
        <f t="shared" si="65"/>
        <v>6030</v>
      </c>
      <c r="O744" s="8" t="s">
        <v>20</v>
      </c>
      <c r="T744">
        <v>0</v>
      </c>
      <c r="AC744">
        <v>1</v>
      </c>
    </row>
    <row r="745" spans="1:29" ht="30" customHeight="1" x14ac:dyDescent="0.3">
      <c r="A745" s="8" t="s">
        <v>862</v>
      </c>
      <c r="B745" s="8" t="s">
        <v>919</v>
      </c>
      <c r="C745" s="8" t="s">
        <v>694</v>
      </c>
      <c r="D745" s="8" t="s">
        <v>920</v>
      </c>
      <c r="E745" s="8" t="s">
        <v>179</v>
      </c>
      <c r="F745" s="9">
        <v>3</v>
      </c>
      <c r="G745" s="5">
        <f>TRUNC([1]단가대비표!O307,0)</f>
        <v>860</v>
      </c>
      <c r="H745" s="5">
        <f t="shared" si="61"/>
        <v>2580</v>
      </c>
      <c r="I745" s="5">
        <v>0</v>
      </c>
      <c r="J745" s="5">
        <f t="shared" si="62"/>
        <v>0</v>
      </c>
      <c r="K745" s="5">
        <v>0</v>
      </c>
      <c r="L745" s="5">
        <f t="shared" si="63"/>
        <v>0</v>
      </c>
      <c r="M745" s="5">
        <f t="shared" si="65"/>
        <v>860</v>
      </c>
      <c r="N745" s="5">
        <f t="shared" si="65"/>
        <v>2580</v>
      </c>
      <c r="O745" s="8" t="s">
        <v>20</v>
      </c>
      <c r="T745">
        <v>0</v>
      </c>
      <c r="AC745">
        <v>1</v>
      </c>
    </row>
    <row r="746" spans="1:29" ht="30" customHeight="1" x14ac:dyDescent="0.3">
      <c r="A746" s="8" t="s">
        <v>862</v>
      </c>
      <c r="B746" s="8" t="s">
        <v>921</v>
      </c>
      <c r="C746" s="8" t="s">
        <v>694</v>
      </c>
      <c r="D746" s="8" t="s">
        <v>922</v>
      </c>
      <c r="E746" s="8" t="s">
        <v>179</v>
      </c>
      <c r="F746" s="9">
        <v>4</v>
      </c>
      <c r="G746" s="5">
        <f>TRUNC([1]단가대비표!O308,0)</f>
        <v>1620</v>
      </c>
      <c r="H746" s="5">
        <f t="shared" si="61"/>
        <v>6480</v>
      </c>
      <c r="I746" s="5">
        <v>0</v>
      </c>
      <c r="J746" s="5">
        <f t="shared" si="62"/>
        <v>0</v>
      </c>
      <c r="K746" s="5">
        <v>0</v>
      </c>
      <c r="L746" s="5">
        <f t="shared" si="63"/>
        <v>0</v>
      </c>
      <c r="M746" s="5">
        <f t="shared" si="65"/>
        <v>1620</v>
      </c>
      <c r="N746" s="5">
        <f t="shared" si="65"/>
        <v>6480</v>
      </c>
      <c r="O746" s="8" t="s">
        <v>20</v>
      </c>
      <c r="T746">
        <v>0</v>
      </c>
      <c r="AC746">
        <v>1</v>
      </c>
    </row>
    <row r="747" spans="1:29" ht="30" customHeight="1" x14ac:dyDescent="0.3">
      <c r="A747" s="8" t="s">
        <v>862</v>
      </c>
      <c r="B747" s="8" t="s">
        <v>923</v>
      </c>
      <c r="C747" s="8" t="s">
        <v>694</v>
      </c>
      <c r="D747" s="8" t="s">
        <v>924</v>
      </c>
      <c r="E747" s="8" t="s">
        <v>179</v>
      </c>
      <c r="F747" s="9">
        <v>15</v>
      </c>
      <c r="G747" s="5">
        <f>TRUNC([1]단가대비표!O310,0)</f>
        <v>4680</v>
      </c>
      <c r="H747" s="5">
        <f t="shared" si="61"/>
        <v>70200</v>
      </c>
      <c r="I747" s="5">
        <v>0</v>
      </c>
      <c r="J747" s="5">
        <f t="shared" si="62"/>
        <v>0</v>
      </c>
      <c r="K747" s="5">
        <v>0</v>
      </c>
      <c r="L747" s="5">
        <f t="shared" si="63"/>
        <v>0</v>
      </c>
      <c r="M747" s="5">
        <f t="shared" si="65"/>
        <v>4680</v>
      </c>
      <c r="N747" s="5">
        <f t="shared" si="65"/>
        <v>70200</v>
      </c>
      <c r="O747" s="8" t="s">
        <v>20</v>
      </c>
      <c r="T747">
        <v>0</v>
      </c>
      <c r="AC747">
        <v>1</v>
      </c>
    </row>
    <row r="748" spans="1:29" ht="30" customHeight="1" x14ac:dyDescent="0.3">
      <c r="A748" s="8" t="s">
        <v>862</v>
      </c>
      <c r="B748" s="8" t="s">
        <v>925</v>
      </c>
      <c r="C748" s="8" t="s">
        <v>694</v>
      </c>
      <c r="D748" s="8" t="s">
        <v>926</v>
      </c>
      <c r="E748" s="8" t="s">
        <v>179</v>
      </c>
      <c r="F748" s="9">
        <v>19</v>
      </c>
      <c r="G748" s="5">
        <f>TRUNC([1]단가대비표!O311,0)</f>
        <v>7530</v>
      </c>
      <c r="H748" s="5">
        <f t="shared" si="61"/>
        <v>143070</v>
      </c>
      <c r="I748" s="5">
        <v>0</v>
      </c>
      <c r="J748" s="5">
        <f t="shared" si="62"/>
        <v>0</v>
      </c>
      <c r="K748" s="5">
        <v>0</v>
      </c>
      <c r="L748" s="5">
        <f t="shared" si="63"/>
        <v>0</v>
      </c>
      <c r="M748" s="5">
        <f t="shared" si="65"/>
        <v>7530</v>
      </c>
      <c r="N748" s="5">
        <f t="shared" si="65"/>
        <v>143070</v>
      </c>
      <c r="O748" s="8" t="s">
        <v>20</v>
      </c>
      <c r="T748">
        <v>0</v>
      </c>
      <c r="AC748">
        <v>1</v>
      </c>
    </row>
    <row r="749" spans="1:29" ht="30" customHeight="1" x14ac:dyDescent="0.3">
      <c r="A749" s="8" t="s">
        <v>862</v>
      </c>
      <c r="B749" s="8" t="s">
        <v>927</v>
      </c>
      <c r="C749" s="8" t="s">
        <v>694</v>
      </c>
      <c r="D749" s="8" t="s">
        <v>928</v>
      </c>
      <c r="E749" s="8" t="s">
        <v>179</v>
      </c>
      <c r="F749" s="9">
        <v>2</v>
      </c>
      <c r="G749" s="5">
        <f>TRUNC([1]단가대비표!O312,0)</f>
        <v>1110</v>
      </c>
      <c r="H749" s="5">
        <f t="shared" si="61"/>
        <v>2220</v>
      </c>
      <c r="I749" s="5">
        <v>0</v>
      </c>
      <c r="J749" s="5">
        <f t="shared" si="62"/>
        <v>0</v>
      </c>
      <c r="K749" s="5">
        <v>0</v>
      </c>
      <c r="L749" s="5">
        <f t="shared" si="63"/>
        <v>0</v>
      </c>
      <c r="M749" s="5">
        <f t="shared" si="65"/>
        <v>1110</v>
      </c>
      <c r="N749" s="5">
        <f t="shared" si="65"/>
        <v>2220</v>
      </c>
      <c r="O749" s="8" t="s">
        <v>20</v>
      </c>
      <c r="T749">
        <v>0</v>
      </c>
      <c r="AC749">
        <v>1</v>
      </c>
    </row>
    <row r="750" spans="1:29" ht="30" customHeight="1" x14ac:dyDescent="0.3">
      <c r="A750" s="8" t="s">
        <v>862</v>
      </c>
      <c r="B750" s="8" t="s">
        <v>929</v>
      </c>
      <c r="C750" s="8" t="s">
        <v>694</v>
      </c>
      <c r="D750" s="8" t="s">
        <v>930</v>
      </c>
      <c r="E750" s="8" t="s">
        <v>179</v>
      </c>
      <c r="F750" s="9">
        <v>28</v>
      </c>
      <c r="G750" s="5">
        <f>TRUNC([1]단가대비표!O314,0)</f>
        <v>3170</v>
      </c>
      <c r="H750" s="5">
        <f t="shared" si="61"/>
        <v>88760</v>
      </c>
      <c r="I750" s="5">
        <v>0</v>
      </c>
      <c r="J750" s="5">
        <f t="shared" si="62"/>
        <v>0</v>
      </c>
      <c r="K750" s="5">
        <v>0</v>
      </c>
      <c r="L750" s="5">
        <f t="shared" si="63"/>
        <v>0</v>
      </c>
      <c r="M750" s="5">
        <f t="shared" si="65"/>
        <v>3170</v>
      </c>
      <c r="N750" s="5">
        <f t="shared" si="65"/>
        <v>88760</v>
      </c>
      <c r="O750" s="8" t="s">
        <v>20</v>
      </c>
      <c r="T750">
        <v>0</v>
      </c>
      <c r="AC750">
        <v>1</v>
      </c>
    </row>
    <row r="751" spans="1:29" ht="30" customHeight="1" x14ac:dyDescent="0.3">
      <c r="A751" s="8" t="s">
        <v>862</v>
      </c>
      <c r="B751" s="8" t="s">
        <v>931</v>
      </c>
      <c r="C751" s="8" t="s">
        <v>694</v>
      </c>
      <c r="D751" s="8" t="s">
        <v>932</v>
      </c>
      <c r="E751" s="8" t="s">
        <v>179</v>
      </c>
      <c r="F751" s="9">
        <v>13</v>
      </c>
      <c r="G751" s="5">
        <f>TRUNC([1]단가대비표!O315,0)</f>
        <v>6550</v>
      </c>
      <c r="H751" s="5">
        <f t="shared" si="61"/>
        <v>85150</v>
      </c>
      <c r="I751" s="5">
        <v>0</v>
      </c>
      <c r="J751" s="5">
        <f t="shared" si="62"/>
        <v>0</v>
      </c>
      <c r="K751" s="5">
        <v>0</v>
      </c>
      <c r="L751" s="5">
        <f t="shared" si="63"/>
        <v>0</v>
      </c>
      <c r="M751" s="5">
        <f t="shared" si="65"/>
        <v>6550</v>
      </c>
      <c r="N751" s="5">
        <f t="shared" si="65"/>
        <v>85150</v>
      </c>
      <c r="O751" s="8" t="s">
        <v>20</v>
      </c>
      <c r="T751">
        <v>0</v>
      </c>
      <c r="AC751">
        <v>1</v>
      </c>
    </row>
    <row r="752" spans="1:29" ht="30" customHeight="1" x14ac:dyDescent="0.3">
      <c r="A752" s="8" t="s">
        <v>862</v>
      </c>
      <c r="B752" s="8" t="s">
        <v>933</v>
      </c>
      <c r="C752" s="8" t="s">
        <v>694</v>
      </c>
      <c r="D752" s="8" t="s">
        <v>934</v>
      </c>
      <c r="E752" s="8" t="s">
        <v>179</v>
      </c>
      <c r="F752" s="9">
        <v>1</v>
      </c>
      <c r="G752" s="5">
        <f>TRUNC([1]단가대비표!O318,0)</f>
        <v>3650</v>
      </c>
      <c r="H752" s="5">
        <f t="shared" si="61"/>
        <v>3650</v>
      </c>
      <c r="I752" s="5">
        <v>0</v>
      </c>
      <c r="J752" s="5">
        <f t="shared" si="62"/>
        <v>0</v>
      </c>
      <c r="K752" s="5">
        <v>0</v>
      </c>
      <c r="L752" s="5">
        <f t="shared" si="63"/>
        <v>0</v>
      </c>
      <c r="M752" s="5">
        <f t="shared" si="65"/>
        <v>3650</v>
      </c>
      <c r="N752" s="5">
        <f t="shared" si="65"/>
        <v>3650</v>
      </c>
      <c r="O752" s="8" t="s">
        <v>20</v>
      </c>
      <c r="T752">
        <v>0</v>
      </c>
      <c r="AC752">
        <v>1</v>
      </c>
    </row>
    <row r="753" spans="1:29" ht="30" customHeight="1" x14ac:dyDescent="0.3">
      <c r="A753" s="8" t="s">
        <v>862</v>
      </c>
      <c r="B753" s="8" t="s">
        <v>935</v>
      </c>
      <c r="C753" s="8" t="s">
        <v>694</v>
      </c>
      <c r="D753" s="8" t="s">
        <v>936</v>
      </c>
      <c r="E753" s="8" t="s">
        <v>179</v>
      </c>
      <c r="F753" s="9">
        <v>1</v>
      </c>
      <c r="G753" s="5">
        <f>TRUNC([1]단가대비표!O322,0)</f>
        <v>3310</v>
      </c>
      <c r="H753" s="5">
        <f t="shared" si="61"/>
        <v>3310</v>
      </c>
      <c r="I753" s="5">
        <v>0</v>
      </c>
      <c r="J753" s="5">
        <f t="shared" si="62"/>
        <v>0</v>
      </c>
      <c r="K753" s="5">
        <v>0</v>
      </c>
      <c r="L753" s="5">
        <f t="shared" si="63"/>
        <v>0</v>
      </c>
      <c r="M753" s="5">
        <f t="shared" si="65"/>
        <v>3310</v>
      </c>
      <c r="N753" s="5">
        <f t="shared" si="65"/>
        <v>3310</v>
      </c>
      <c r="O753" s="8" t="s">
        <v>20</v>
      </c>
      <c r="T753">
        <v>0</v>
      </c>
      <c r="AC753">
        <v>1</v>
      </c>
    </row>
    <row r="754" spans="1:29" ht="30" customHeight="1" x14ac:dyDescent="0.3">
      <c r="A754" s="8" t="s">
        <v>862</v>
      </c>
      <c r="B754" s="8" t="s">
        <v>937</v>
      </c>
      <c r="C754" s="8" t="s">
        <v>694</v>
      </c>
      <c r="D754" s="8" t="s">
        <v>938</v>
      </c>
      <c r="E754" s="8" t="s">
        <v>179</v>
      </c>
      <c r="F754" s="9">
        <v>3</v>
      </c>
      <c r="G754" s="5">
        <f>TRUNC([1]단가대비표!O323,0)</f>
        <v>3440</v>
      </c>
      <c r="H754" s="5">
        <f t="shared" si="61"/>
        <v>10320</v>
      </c>
      <c r="I754" s="5">
        <v>0</v>
      </c>
      <c r="J754" s="5">
        <f t="shared" si="62"/>
        <v>0</v>
      </c>
      <c r="K754" s="5">
        <v>0</v>
      </c>
      <c r="L754" s="5">
        <f t="shared" si="63"/>
        <v>0</v>
      </c>
      <c r="M754" s="5">
        <f t="shared" si="65"/>
        <v>3440</v>
      </c>
      <c r="N754" s="5">
        <f t="shared" si="65"/>
        <v>10320</v>
      </c>
      <c r="O754" s="8" t="s">
        <v>20</v>
      </c>
      <c r="T754">
        <v>0</v>
      </c>
      <c r="AC754">
        <v>1</v>
      </c>
    </row>
    <row r="755" spans="1:29" ht="30" customHeight="1" x14ac:dyDescent="0.3">
      <c r="A755" s="8" t="s">
        <v>862</v>
      </c>
      <c r="B755" s="8" t="s">
        <v>939</v>
      </c>
      <c r="C755" s="8" t="s">
        <v>694</v>
      </c>
      <c r="D755" s="8" t="s">
        <v>940</v>
      </c>
      <c r="E755" s="8" t="s">
        <v>179</v>
      </c>
      <c r="F755" s="9">
        <v>6</v>
      </c>
      <c r="G755" s="5">
        <f>TRUNC([1]단가대비표!O325,0)</f>
        <v>24000</v>
      </c>
      <c r="H755" s="5">
        <f t="shared" si="61"/>
        <v>144000</v>
      </c>
      <c r="I755" s="5">
        <v>0</v>
      </c>
      <c r="J755" s="5">
        <f t="shared" si="62"/>
        <v>0</v>
      </c>
      <c r="K755" s="5">
        <v>0</v>
      </c>
      <c r="L755" s="5">
        <f t="shared" si="63"/>
        <v>0</v>
      </c>
      <c r="M755" s="5">
        <f t="shared" si="65"/>
        <v>24000</v>
      </c>
      <c r="N755" s="5">
        <f t="shared" si="65"/>
        <v>144000</v>
      </c>
      <c r="O755" s="8" t="s">
        <v>20</v>
      </c>
      <c r="T755">
        <v>0</v>
      </c>
      <c r="AC755">
        <v>1</v>
      </c>
    </row>
    <row r="756" spans="1:29" ht="30" customHeight="1" x14ac:dyDescent="0.3">
      <c r="A756" s="8" t="s">
        <v>862</v>
      </c>
      <c r="B756" s="8" t="s">
        <v>941</v>
      </c>
      <c r="C756" s="8" t="s">
        <v>694</v>
      </c>
      <c r="D756" s="8" t="s">
        <v>942</v>
      </c>
      <c r="E756" s="8" t="s">
        <v>179</v>
      </c>
      <c r="F756" s="9">
        <v>9</v>
      </c>
      <c r="G756" s="5">
        <f>TRUNC([1]단가대비표!O326,0)</f>
        <v>17500</v>
      </c>
      <c r="H756" s="5">
        <f t="shared" si="61"/>
        <v>157500</v>
      </c>
      <c r="I756" s="5">
        <v>0</v>
      </c>
      <c r="J756" s="5">
        <f t="shared" si="62"/>
        <v>0</v>
      </c>
      <c r="K756" s="5">
        <v>0</v>
      </c>
      <c r="L756" s="5">
        <f t="shared" si="63"/>
        <v>0</v>
      </c>
      <c r="M756" s="5">
        <f t="shared" si="65"/>
        <v>17500</v>
      </c>
      <c r="N756" s="5">
        <f t="shared" si="65"/>
        <v>157500</v>
      </c>
      <c r="O756" s="8" t="s">
        <v>20</v>
      </c>
      <c r="T756">
        <v>0</v>
      </c>
      <c r="AC756">
        <v>1</v>
      </c>
    </row>
    <row r="757" spans="1:29" ht="30" customHeight="1" x14ac:dyDescent="0.3">
      <c r="A757" s="8" t="s">
        <v>862</v>
      </c>
      <c r="B757" s="8" t="s">
        <v>943</v>
      </c>
      <c r="C757" s="8" t="s">
        <v>694</v>
      </c>
      <c r="D757" s="8" t="s">
        <v>944</v>
      </c>
      <c r="E757" s="8" t="s">
        <v>179</v>
      </c>
      <c r="F757" s="9">
        <v>9</v>
      </c>
      <c r="G757" s="5">
        <f>TRUNC([1]단가대비표!O327,0)</f>
        <v>13660</v>
      </c>
      <c r="H757" s="5">
        <f t="shared" si="61"/>
        <v>122940</v>
      </c>
      <c r="I757" s="5">
        <v>0</v>
      </c>
      <c r="J757" s="5">
        <f t="shared" si="62"/>
        <v>0</v>
      </c>
      <c r="K757" s="5">
        <v>0</v>
      </c>
      <c r="L757" s="5">
        <f t="shared" si="63"/>
        <v>0</v>
      </c>
      <c r="M757" s="5">
        <f t="shared" si="65"/>
        <v>13660</v>
      </c>
      <c r="N757" s="5">
        <f t="shared" si="65"/>
        <v>122940</v>
      </c>
      <c r="O757" s="8" t="s">
        <v>20</v>
      </c>
      <c r="T757">
        <v>0</v>
      </c>
      <c r="AC757">
        <v>1</v>
      </c>
    </row>
    <row r="758" spans="1:29" ht="30" customHeight="1" x14ac:dyDescent="0.3">
      <c r="A758" s="8" t="s">
        <v>862</v>
      </c>
      <c r="B758" s="8" t="s">
        <v>945</v>
      </c>
      <c r="C758" s="8" t="s">
        <v>694</v>
      </c>
      <c r="D758" s="8" t="s">
        <v>946</v>
      </c>
      <c r="E758" s="8" t="s">
        <v>179</v>
      </c>
      <c r="F758" s="9">
        <v>7</v>
      </c>
      <c r="G758" s="5">
        <f>TRUNC([1]단가대비표!O328,0)</f>
        <v>41480</v>
      </c>
      <c r="H758" s="5">
        <f t="shared" si="61"/>
        <v>290360</v>
      </c>
      <c r="I758" s="5">
        <v>0</v>
      </c>
      <c r="J758" s="5">
        <f t="shared" si="62"/>
        <v>0</v>
      </c>
      <c r="K758" s="5">
        <v>0</v>
      </c>
      <c r="L758" s="5">
        <f t="shared" si="63"/>
        <v>0</v>
      </c>
      <c r="M758" s="5">
        <f t="shared" si="65"/>
        <v>41480</v>
      </c>
      <c r="N758" s="5">
        <f t="shared" si="65"/>
        <v>290360</v>
      </c>
      <c r="O758" s="8" t="s">
        <v>20</v>
      </c>
      <c r="T758">
        <v>0</v>
      </c>
      <c r="AC758">
        <v>1</v>
      </c>
    </row>
    <row r="759" spans="1:29" ht="30" customHeight="1" x14ac:dyDescent="0.3">
      <c r="A759" s="8" t="s">
        <v>862</v>
      </c>
      <c r="B759" s="8" t="s">
        <v>947</v>
      </c>
      <c r="C759" s="8" t="s">
        <v>694</v>
      </c>
      <c r="D759" s="8" t="s">
        <v>948</v>
      </c>
      <c r="E759" s="8" t="s">
        <v>179</v>
      </c>
      <c r="F759" s="9">
        <v>18</v>
      </c>
      <c r="G759" s="5">
        <f>TRUNC([1]단가대비표!O329,0)</f>
        <v>2880</v>
      </c>
      <c r="H759" s="5">
        <f t="shared" si="61"/>
        <v>51840</v>
      </c>
      <c r="I759" s="5">
        <v>0</v>
      </c>
      <c r="J759" s="5">
        <f t="shared" si="62"/>
        <v>0</v>
      </c>
      <c r="K759" s="5">
        <v>0</v>
      </c>
      <c r="L759" s="5">
        <f t="shared" si="63"/>
        <v>0</v>
      </c>
      <c r="M759" s="5">
        <f t="shared" si="65"/>
        <v>2880</v>
      </c>
      <c r="N759" s="5">
        <f t="shared" si="65"/>
        <v>51840</v>
      </c>
      <c r="O759" s="8" t="s">
        <v>20</v>
      </c>
      <c r="T759">
        <v>0</v>
      </c>
      <c r="AC759">
        <v>1</v>
      </c>
    </row>
    <row r="760" spans="1:29" ht="30" customHeight="1" x14ac:dyDescent="0.3">
      <c r="A760" s="8" t="s">
        <v>862</v>
      </c>
      <c r="B760" s="8" t="s">
        <v>949</v>
      </c>
      <c r="C760" s="8" t="s">
        <v>694</v>
      </c>
      <c r="D760" s="8" t="s">
        <v>950</v>
      </c>
      <c r="E760" s="8" t="s">
        <v>179</v>
      </c>
      <c r="F760" s="9">
        <v>3</v>
      </c>
      <c r="G760" s="5">
        <f>TRUNC([1]단가대비표!O330,0)</f>
        <v>31680</v>
      </c>
      <c r="H760" s="5">
        <f t="shared" si="61"/>
        <v>95040</v>
      </c>
      <c r="I760" s="5">
        <v>0</v>
      </c>
      <c r="J760" s="5">
        <f t="shared" si="62"/>
        <v>0</v>
      </c>
      <c r="K760" s="5">
        <v>0</v>
      </c>
      <c r="L760" s="5">
        <f t="shared" si="63"/>
        <v>0</v>
      </c>
      <c r="M760" s="5">
        <f t="shared" si="65"/>
        <v>31680</v>
      </c>
      <c r="N760" s="5">
        <f t="shared" si="65"/>
        <v>95040</v>
      </c>
      <c r="O760" s="8" t="s">
        <v>20</v>
      </c>
      <c r="T760">
        <v>0</v>
      </c>
      <c r="AC760">
        <v>1</v>
      </c>
    </row>
    <row r="761" spans="1:29" ht="30" customHeight="1" x14ac:dyDescent="0.3">
      <c r="A761" s="8" t="s">
        <v>862</v>
      </c>
      <c r="B761" s="8" t="s">
        <v>951</v>
      </c>
      <c r="C761" s="8" t="s">
        <v>694</v>
      </c>
      <c r="D761" s="8" t="s">
        <v>952</v>
      </c>
      <c r="E761" s="8" t="s">
        <v>179</v>
      </c>
      <c r="F761" s="9">
        <v>2</v>
      </c>
      <c r="G761" s="5">
        <f>TRUNC([1]단가대비표!O331,0)</f>
        <v>34560</v>
      </c>
      <c r="H761" s="5">
        <f t="shared" si="61"/>
        <v>69120</v>
      </c>
      <c r="I761" s="5">
        <v>0</v>
      </c>
      <c r="J761" s="5">
        <f t="shared" si="62"/>
        <v>0</v>
      </c>
      <c r="K761" s="5">
        <v>0</v>
      </c>
      <c r="L761" s="5">
        <f t="shared" si="63"/>
        <v>0</v>
      </c>
      <c r="M761" s="5">
        <f t="shared" si="65"/>
        <v>34560</v>
      </c>
      <c r="N761" s="5">
        <f t="shared" si="65"/>
        <v>69120</v>
      </c>
      <c r="O761" s="8" t="s">
        <v>20</v>
      </c>
      <c r="T761">
        <v>0</v>
      </c>
      <c r="AC761">
        <v>1</v>
      </c>
    </row>
    <row r="762" spans="1:29" ht="30" customHeight="1" x14ac:dyDescent="0.3">
      <c r="A762" s="8" t="s">
        <v>862</v>
      </c>
      <c r="B762" s="8" t="s">
        <v>953</v>
      </c>
      <c r="C762" s="8" t="s">
        <v>694</v>
      </c>
      <c r="D762" s="8" t="s">
        <v>954</v>
      </c>
      <c r="E762" s="8" t="s">
        <v>179</v>
      </c>
      <c r="F762" s="9">
        <v>1</v>
      </c>
      <c r="G762" s="5">
        <f>TRUNC([1]단가대비표!O336,0)</f>
        <v>12420</v>
      </c>
      <c r="H762" s="5">
        <f t="shared" si="61"/>
        <v>12420</v>
      </c>
      <c r="I762" s="5">
        <v>0</v>
      </c>
      <c r="J762" s="5">
        <f t="shared" si="62"/>
        <v>0</v>
      </c>
      <c r="K762" s="5">
        <v>0</v>
      </c>
      <c r="L762" s="5">
        <f t="shared" si="63"/>
        <v>0</v>
      </c>
      <c r="M762" s="5">
        <f t="shared" si="65"/>
        <v>12420</v>
      </c>
      <c r="N762" s="5">
        <f t="shared" si="65"/>
        <v>12420</v>
      </c>
      <c r="O762" s="8" t="s">
        <v>20</v>
      </c>
      <c r="T762">
        <v>0</v>
      </c>
      <c r="AC762">
        <v>1</v>
      </c>
    </row>
    <row r="763" spans="1:29" ht="30" customHeight="1" x14ac:dyDescent="0.3">
      <c r="A763" s="8" t="s">
        <v>862</v>
      </c>
      <c r="B763" s="8" t="s">
        <v>955</v>
      </c>
      <c r="C763" s="8" t="s">
        <v>694</v>
      </c>
      <c r="D763" s="8" t="s">
        <v>956</v>
      </c>
      <c r="E763" s="8" t="s">
        <v>179</v>
      </c>
      <c r="F763" s="9">
        <v>3</v>
      </c>
      <c r="G763" s="5">
        <f>TRUNC([1]단가대비표!O337,0)</f>
        <v>5470</v>
      </c>
      <c r="H763" s="5">
        <f t="shared" si="61"/>
        <v>16410</v>
      </c>
      <c r="I763" s="5">
        <v>0</v>
      </c>
      <c r="J763" s="5">
        <f t="shared" si="62"/>
        <v>0</v>
      </c>
      <c r="K763" s="5">
        <v>0</v>
      </c>
      <c r="L763" s="5">
        <f t="shared" si="63"/>
        <v>0</v>
      </c>
      <c r="M763" s="5">
        <f t="shared" si="65"/>
        <v>5470</v>
      </c>
      <c r="N763" s="5">
        <f t="shared" si="65"/>
        <v>16410</v>
      </c>
      <c r="O763" s="8" t="s">
        <v>20</v>
      </c>
      <c r="T763">
        <v>0</v>
      </c>
      <c r="AC763">
        <v>1</v>
      </c>
    </row>
    <row r="764" spans="1:29" ht="30" customHeight="1" x14ac:dyDescent="0.3">
      <c r="A764" s="8" t="s">
        <v>862</v>
      </c>
      <c r="B764" s="8" t="s">
        <v>957</v>
      </c>
      <c r="C764" s="8" t="s">
        <v>694</v>
      </c>
      <c r="D764" s="8" t="s">
        <v>958</v>
      </c>
      <c r="E764" s="8" t="s">
        <v>179</v>
      </c>
      <c r="F764" s="9">
        <v>9</v>
      </c>
      <c r="G764" s="5">
        <f>TRUNC([1]단가대비표!O338,0)</f>
        <v>6780</v>
      </c>
      <c r="H764" s="5">
        <f t="shared" si="61"/>
        <v>61020</v>
      </c>
      <c r="I764" s="5">
        <v>0</v>
      </c>
      <c r="J764" s="5">
        <f t="shared" si="62"/>
        <v>0</v>
      </c>
      <c r="K764" s="5">
        <v>0</v>
      </c>
      <c r="L764" s="5">
        <f t="shared" si="63"/>
        <v>0</v>
      </c>
      <c r="M764" s="5">
        <f t="shared" si="65"/>
        <v>6780</v>
      </c>
      <c r="N764" s="5">
        <f t="shared" si="65"/>
        <v>61020</v>
      </c>
      <c r="O764" s="8" t="s">
        <v>20</v>
      </c>
      <c r="T764">
        <v>0</v>
      </c>
      <c r="AC764">
        <v>1</v>
      </c>
    </row>
    <row r="765" spans="1:29" ht="30" customHeight="1" x14ac:dyDescent="0.3">
      <c r="A765" s="8" t="s">
        <v>862</v>
      </c>
      <c r="B765" s="8" t="s">
        <v>959</v>
      </c>
      <c r="C765" s="8" t="s">
        <v>694</v>
      </c>
      <c r="D765" s="8" t="s">
        <v>960</v>
      </c>
      <c r="E765" s="8" t="s">
        <v>179</v>
      </c>
      <c r="F765" s="9">
        <v>4</v>
      </c>
      <c r="G765" s="5">
        <f>TRUNC([1]단가대비표!O339,0)</f>
        <v>20259</v>
      </c>
      <c r="H765" s="5">
        <f t="shared" si="61"/>
        <v>81036</v>
      </c>
      <c r="I765" s="5">
        <v>0</v>
      </c>
      <c r="J765" s="5">
        <f t="shared" si="62"/>
        <v>0</v>
      </c>
      <c r="K765" s="5">
        <v>0</v>
      </c>
      <c r="L765" s="5">
        <f t="shared" si="63"/>
        <v>0</v>
      </c>
      <c r="M765" s="5">
        <f t="shared" si="65"/>
        <v>20259</v>
      </c>
      <c r="N765" s="5">
        <f t="shared" si="65"/>
        <v>81036</v>
      </c>
      <c r="O765" s="8" t="s">
        <v>20</v>
      </c>
      <c r="T765">
        <v>0</v>
      </c>
      <c r="AC765">
        <v>1</v>
      </c>
    </row>
    <row r="766" spans="1:29" ht="30" customHeight="1" x14ac:dyDescent="0.3">
      <c r="A766" s="8" t="s">
        <v>862</v>
      </c>
      <c r="B766" s="8" t="s">
        <v>961</v>
      </c>
      <c r="C766" s="8" t="s">
        <v>694</v>
      </c>
      <c r="D766" s="8" t="s">
        <v>962</v>
      </c>
      <c r="E766" s="8" t="s">
        <v>179</v>
      </c>
      <c r="F766" s="9">
        <v>7</v>
      </c>
      <c r="G766" s="5">
        <f>TRUNC([1]단가대비표!O383,0)</f>
        <v>4080</v>
      </c>
      <c r="H766" s="5">
        <f t="shared" si="61"/>
        <v>28560</v>
      </c>
      <c r="I766" s="5">
        <v>0</v>
      </c>
      <c r="J766" s="5">
        <f t="shared" si="62"/>
        <v>0</v>
      </c>
      <c r="K766" s="5">
        <v>0</v>
      </c>
      <c r="L766" s="5">
        <f t="shared" si="63"/>
        <v>0</v>
      </c>
      <c r="M766" s="5">
        <f t="shared" si="65"/>
        <v>4080</v>
      </c>
      <c r="N766" s="5">
        <f t="shared" si="65"/>
        <v>28560</v>
      </c>
      <c r="O766" s="8" t="s">
        <v>20</v>
      </c>
      <c r="T766">
        <v>0</v>
      </c>
      <c r="AC766">
        <v>1</v>
      </c>
    </row>
    <row r="767" spans="1:29" ht="30" customHeight="1" x14ac:dyDescent="0.3">
      <c r="A767" s="8" t="s">
        <v>862</v>
      </c>
      <c r="B767" s="8" t="s">
        <v>963</v>
      </c>
      <c r="C767" s="8" t="s">
        <v>694</v>
      </c>
      <c r="D767" s="8" t="s">
        <v>964</v>
      </c>
      <c r="E767" s="8" t="s">
        <v>179</v>
      </c>
      <c r="F767" s="9">
        <v>12</v>
      </c>
      <c r="G767" s="5">
        <f>TRUNC([1]단가대비표!O384,0)</f>
        <v>27550</v>
      </c>
      <c r="H767" s="5">
        <f t="shared" si="61"/>
        <v>330600</v>
      </c>
      <c r="I767" s="5">
        <v>0</v>
      </c>
      <c r="J767" s="5">
        <f t="shared" si="62"/>
        <v>0</v>
      </c>
      <c r="K767" s="5">
        <v>0</v>
      </c>
      <c r="L767" s="5">
        <f t="shared" si="63"/>
        <v>0</v>
      </c>
      <c r="M767" s="5">
        <f t="shared" si="65"/>
        <v>27550</v>
      </c>
      <c r="N767" s="5">
        <f t="shared" si="65"/>
        <v>330600</v>
      </c>
      <c r="O767" s="8" t="s">
        <v>20</v>
      </c>
      <c r="T767">
        <v>0</v>
      </c>
      <c r="AC767">
        <v>1</v>
      </c>
    </row>
    <row r="768" spans="1:29" ht="30" customHeight="1" x14ac:dyDescent="0.3">
      <c r="A768" s="8" t="s">
        <v>862</v>
      </c>
      <c r="B768" s="8" t="s">
        <v>965</v>
      </c>
      <c r="C768" s="8" t="s">
        <v>694</v>
      </c>
      <c r="D768" s="8" t="s">
        <v>966</v>
      </c>
      <c r="E768" s="8" t="s">
        <v>179</v>
      </c>
      <c r="F768" s="9">
        <v>2</v>
      </c>
      <c r="G768" s="5">
        <f>TRUNC([1]단가대비표!O388,0)</f>
        <v>2400</v>
      </c>
      <c r="H768" s="5">
        <f t="shared" si="61"/>
        <v>4800</v>
      </c>
      <c r="I768" s="5">
        <v>0</v>
      </c>
      <c r="J768" s="5">
        <f t="shared" si="62"/>
        <v>0</v>
      </c>
      <c r="K768" s="5">
        <v>0</v>
      </c>
      <c r="L768" s="5">
        <f t="shared" si="63"/>
        <v>0</v>
      </c>
      <c r="M768" s="5">
        <f t="shared" si="65"/>
        <v>2400</v>
      </c>
      <c r="N768" s="5">
        <f t="shared" si="65"/>
        <v>4800</v>
      </c>
      <c r="O768" s="8" t="s">
        <v>20</v>
      </c>
      <c r="T768">
        <v>0</v>
      </c>
      <c r="AC768">
        <v>1</v>
      </c>
    </row>
    <row r="769" spans="1:29" ht="30" customHeight="1" x14ac:dyDescent="0.3">
      <c r="A769" s="8" t="s">
        <v>862</v>
      </c>
      <c r="B769" s="8" t="s">
        <v>967</v>
      </c>
      <c r="C769" s="8" t="s">
        <v>694</v>
      </c>
      <c r="D769" s="8" t="s">
        <v>968</v>
      </c>
      <c r="E769" s="8" t="s">
        <v>179</v>
      </c>
      <c r="F769" s="9">
        <v>3</v>
      </c>
      <c r="G769" s="5">
        <f>TRUNC([1]단가대비표!O380,0)</f>
        <v>3400</v>
      </c>
      <c r="H769" s="5">
        <f t="shared" si="61"/>
        <v>10200</v>
      </c>
      <c r="I769" s="5">
        <v>0</v>
      </c>
      <c r="J769" s="5">
        <f t="shared" si="62"/>
        <v>0</v>
      </c>
      <c r="K769" s="5">
        <v>0</v>
      </c>
      <c r="L769" s="5">
        <f t="shared" si="63"/>
        <v>0</v>
      </c>
      <c r="M769" s="5">
        <f t="shared" si="65"/>
        <v>3400</v>
      </c>
      <c r="N769" s="5">
        <f t="shared" si="65"/>
        <v>10200</v>
      </c>
      <c r="O769" s="8" t="s">
        <v>20</v>
      </c>
      <c r="T769">
        <v>0</v>
      </c>
      <c r="AC769">
        <v>1</v>
      </c>
    </row>
    <row r="770" spans="1:29" ht="30" customHeight="1" x14ac:dyDescent="0.3">
      <c r="A770" s="8" t="s">
        <v>862</v>
      </c>
      <c r="B770" s="8" t="s">
        <v>969</v>
      </c>
      <c r="C770" s="8" t="s">
        <v>694</v>
      </c>
      <c r="D770" s="8" t="s">
        <v>970</v>
      </c>
      <c r="E770" s="8" t="s">
        <v>179</v>
      </c>
      <c r="F770" s="9">
        <v>104</v>
      </c>
      <c r="G770" s="5">
        <f>TRUNC([1]단가대비표!O340,0)</f>
        <v>1150</v>
      </c>
      <c r="H770" s="5">
        <f t="shared" si="61"/>
        <v>119600</v>
      </c>
      <c r="I770" s="5">
        <v>0</v>
      </c>
      <c r="J770" s="5">
        <f t="shared" si="62"/>
        <v>0</v>
      </c>
      <c r="K770" s="5">
        <v>0</v>
      </c>
      <c r="L770" s="5">
        <f t="shared" si="63"/>
        <v>0</v>
      </c>
      <c r="M770" s="5">
        <f t="shared" si="65"/>
        <v>1150</v>
      </c>
      <c r="N770" s="5">
        <f t="shared" si="65"/>
        <v>119600</v>
      </c>
      <c r="O770" s="8" t="s">
        <v>20</v>
      </c>
      <c r="T770">
        <v>0</v>
      </c>
      <c r="AC770">
        <v>1</v>
      </c>
    </row>
    <row r="771" spans="1:29" ht="30" customHeight="1" x14ac:dyDescent="0.3">
      <c r="A771" s="8" t="s">
        <v>862</v>
      </c>
      <c r="B771" s="8" t="s">
        <v>971</v>
      </c>
      <c r="C771" s="8" t="s">
        <v>694</v>
      </c>
      <c r="D771" s="8" t="s">
        <v>972</v>
      </c>
      <c r="E771" s="8" t="s">
        <v>179</v>
      </c>
      <c r="F771" s="9">
        <v>279</v>
      </c>
      <c r="G771" s="5">
        <f>TRUNC([1]단가대비표!O341,0)</f>
        <v>2000</v>
      </c>
      <c r="H771" s="5">
        <f t="shared" ref="H771:H834" si="66">TRUNC(F771*G771,0)</f>
        <v>558000</v>
      </c>
      <c r="I771" s="5">
        <v>0</v>
      </c>
      <c r="J771" s="5">
        <f t="shared" ref="J771:J834" si="67">TRUNC(F771*I771,0)</f>
        <v>0</v>
      </c>
      <c r="K771" s="5">
        <v>0</v>
      </c>
      <c r="L771" s="5">
        <f t="shared" ref="L771:L834" si="68">TRUNC(F771*K771,0)</f>
        <v>0</v>
      </c>
      <c r="M771" s="5">
        <f t="shared" ref="M771:N802" si="69">G771+I771+K771</f>
        <v>2000</v>
      </c>
      <c r="N771" s="5">
        <f t="shared" si="69"/>
        <v>558000</v>
      </c>
      <c r="O771" s="8" t="s">
        <v>20</v>
      </c>
      <c r="T771">
        <v>0</v>
      </c>
      <c r="AC771">
        <v>1</v>
      </c>
    </row>
    <row r="772" spans="1:29" ht="30" customHeight="1" x14ac:dyDescent="0.3">
      <c r="A772" s="8" t="s">
        <v>862</v>
      </c>
      <c r="B772" s="8" t="s">
        <v>973</v>
      </c>
      <c r="C772" s="8" t="s">
        <v>694</v>
      </c>
      <c r="D772" s="8" t="s">
        <v>974</v>
      </c>
      <c r="E772" s="8" t="s">
        <v>179</v>
      </c>
      <c r="F772" s="9">
        <v>12</v>
      </c>
      <c r="G772" s="5">
        <f>TRUNC([1]단가대비표!O342,0)</f>
        <v>3870</v>
      </c>
      <c r="H772" s="5">
        <f t="shared" si="66"/>
        <v>46440</v>
      </c>
      <c r="I772" s="5">
        <v>0</v>
      </c>
      <c r="J772" s="5">
        <f t="shared" si="67"/>
        <v>0</v>
      </c>
      <c r="K772" s="5">
        <v>0</v>
      </c>
      <c r="L772" s="5">
        <f t="shared" si="68"/>
        <v>0</v>
      </c>
      <c r="M772" s="5">
        <f t="shared" si="69"/>
        <v>3870</v>
      </c>
      <c r="N772" s="5">
        <f t="shared" si="69"/>
        <v>46440</v>
      </c>
      <c r="O772" s="8" t="s">
        <v>20</v>
      </c>
      <c r="T772">
        <v>0</v>
      </c>
      <c r="AC772">
        <v>1</v>
      </c>
    </row>
    <row r="773" spans="1:29" ht="30" customHeight="1" x14ac:dyDescent="0.3">
      <c r="A773" s="8" t="s">
        <v>862</v>
      </c>
      <c r="B773" s="8" t="s">
        <v>975</v>
      </c>
      <c r="C773" s="8" t="s">
        <v>694</v>
      </c>
      <c r="D773" s="8" t="s">
        <v>976</v>
      </c>
      <c r="E773" s="8" t="s">
        <v>179</v>
      </c>
      <c r="F773" s="9">
        <v>114</v>
      </c>
      <c r="G773" s="5">
        <f>TRUNC([1]단가대비표!O343,0)</f>
        <v>6920</v>
      </c>
      <c r="H773" s="5">
        <f t="shared" si="66"/>
        <v>788880</v>
      </c>
      <c r="I773" s="5">
        <v>0</v>
      </c>
      <c r="J773" s="5">
        <f t="shared" si="67"/>
        <v>0</v>
      </c>
      <c r="K773" s="5">
        <v>0</v>
      </c>
      <c r="L773" s="5">
        <f t="shared" si="68"/>
        <v>0</v>
      </c>
      <c r="M773" s="5">
        <f t="shared" si="69"/>
        <v>6920</v>
      </c>
      <c r="N773" s="5">
        <f t="shared" si="69"/>
        <v>788880</v>
      </c>
      <c r="O773" s="8" t="s">
        <v>20</v>
      </c>
      <c r="T773">
        <v>0</v>
      </c>
      <c r="AC773">
        <v>1</v>
      </c>
    </row>
    <row r="774" spans="1:29" ht="30" customHeight="1" x14ac:dyDescent="0.3">
      <c r="A774" s="8" t="s">
        <v>862</v>
      </c>
      <c r="B774" s="8" t="s">
        <v>977</v>
      </c>
      <c r="C774" s="8" t="s">
        <v>694</v>
      </c>
      <c r="D774" s="8" t="s">
        <v>978</v>
      </c>
      <c r="E774" s="8" t="s">
        <v>179</v>
      </c>
      <c r="F774" s="9">
        <v>2</v>
      </c>
      <c r="G774" s="5">
        <f>TRUNC([1]단가대비표!O344,0)</f>
        <v>13110</v>
      </c>
      <c r="H774" s="5">
        <f t="shared" si="66"/>
        <v>26220</v>
      </c>
      <c r="I774" s="5">
        <v>0</v>
      </c>
      <c r="J774" s="5">
        <f t="shared" si="67"/>
        <v>0</v>
      </c>
      <c r="K774" s="5">
        <v>0</v>
      </c>
      <c r="L774" s="5">
        <f t="shared" si="68"/>
        <v>0</v>
      </c>
      <c r="M774" s="5">
        <f t="shared" si="69"/>
        <v>13110</v>
      </c>
      <c r="N774" s="5">
        <f t="shared" si="69"/>
        <v>26220</v>
      </c>
      <c r="O774" s="8" t="s">
        <v>20</v>
      </c>
      <c r="T774">
        <v>0</v>
      </c>
      <c r="AC774">
        <v>1</v>
      </c>
    </row>
    <row r="775" spans="1:29" ht="30" customHeight="1" x14ac:dyDescent="0.3">
      <c r="A775" s="8" t="s">
        <v>862</v>
      </c>
      <c r="B775" s="8" t="s">
        <v>979</v>
      </c>
      <c r="C775" s="8" t="s">
        <v>694</v>
      </c>
      <c r="D775" s="8" t="s">
        <v>980</v>
      </c>
      <c r="E775" s="8" t="s">
        <v>179</v>
      </c>
      <c r="F775" s="9">
        <v>389</v>
      </c>
      <c r="G775" s="5">
        <f>TRUNC([1]단가대비표!O345,0)</f>
        <v>1770</v>
      </c>
      <c r="H775" s="5">
        <f t="shared" si="66"/>
        <v>688530</v>
      </c>
      <c r="I775" s="5">
        <v>0</v>
      </c>
      <c r="J775" s="5">
        <f t="shared" si="67"/>
        <v>0</v>
      </c>
      <c r="K775" s="5">
        <v>0</v>
      </c>
      <c r="L775" s="5">
        <f t="shared" si="68"/>
        <v>0</v>
      </c>
      <c r="M775" s="5">
        <f t="shared" si="69"/>
        <v>1770</v>
      </c>
      <c r="N775" s="5">
        <f t="shared" si="69"/>
        <v>688530</v>
      </c>
      <c r="O775" s="8" t="s">
        <v>20</v>
      </c>
      <c r="T775">
        <v>0</v>
      </c>
      <c r="AC775">
        <v>1</v>
      </c>
    </row>
    <row r="776" spans="1:29" ht="30" customHeight="1" x14ac:dyDescent="0.3">
      <c r="A776" s="8" t="s">
        <v>862</v>
      </c>
      <c r="B776" s="8" t="s">
        <v>981</v>
      </c>
      <c r="C776" s="8" t="s">
        <v>694</v>
      </c>
      <c r="D776" s="8" t="s">
        <v>982</v>
      </c>
      <c r="E776" s="8" t="s">
        <v>179</v>
      </c>
      <c r="F776" s="9">
        <v>304</v>
      </c>
      <c r="G776" s="5">
        <f>TRUNC([1]단가대비표!O346,0)</f>
        <v>3140</v>
      </c>
      <c r="H776" s="5">
        <f t="shared" si="66"/>
        <v>954560</v>
      </c>
      <c r="I776" s="5">
        <v>0</v>
      </c>
      <c r="J776" s="5">
        <f t="shared" si="67"/>
        <v>0</v>
      </c>
      <c r="K776" s="5">
        <v>0</v>
      </c>
      <c r="L776" s="5">
        <f t="shared" si="68"/>
        <v>0</v>
      </c>
      <c r="M776" s="5">
        <f t="shared" si="69"/>
        <v>3140</v>
      </c>
      <c r="N776" s="5">
        <f t="shared" si="69"/>
        <v>954560</v>
      </c>
      <c r="O776" s="8" t="s">
        <v>20</v>
      </c>
      <c r="T776">
        <v>0</v>
      </c>
      <c r="AC776">
        <v>1</v>
      </c>
    </row>
    <row r="777" spans="1:29" ht="30" customHeight="1" x14ac:dyDescent="0.3">
      <c r="A777" s="8" t="s">
        <v>862</v>
      </c>
      <c r="B777" s="8" t="s">
        <v>983</v>
      </c>
      <c r="C777" s="8" t="s">
        <v>694</v>
      </c>
      <c r="D777" s="8" t="s">
        <v>984</v>
      </c>
      <c r="E777" s="8" t="s">
        <v>179</v>
      </c>
      <c r="F777" s="9">
        <v>179</v>
      </c>
      <c r="G777" s="5">
        <f>TRUNC([1]단가대비표!O347,0)</f>
        <v>5240</v>
      </c>
      <c r="H777" s="5">
        <f t="shared" si="66"/>
        <v>937960</v>
      </c>
      <c r="I777" s="5">
        <v>0</v>
      </c>
      <c r="J777" s="5">
        <f t="shared" si="67"/>
        <v>0</v>
      </c>
      <c r="K777" s="5">
        <v>0</v>
      </c>
      <c r="L777" s="5">
        <f t="shared" si="68"/>
        <v>0</v>
      </c>
      <c r="M777" s="5">
        <f t="shared" si="69"/>
        <v>5240</v>
      </c>
      <c r="N777" s="5">
        <f t="shared" si="69"/>
        <v>937960</v>
      </c>
      <c r="O777" s="8" t="s">
        <v>20</v>
      </c>
      <c r="T777">
        <v>0</v>
      </c>
      <c r="AC777">
        <v>1</v>
      </c>
    </row>
    <row r="778" spans="1:29" ht="30" customHeight="1" x14ac:dyDescent="0.3">
      <c r="A778" s="8" t="s">
        <v>862</v>
      </c>
      <c r="B778" s="8" t="s">
        <v>985</v>
      </c>
      <c r="C778" s="8" t="s">
        <v>694</v>
      </c>
      <c r="D778" s="8" t="s">
        <v>986</v>
      </c>
      <c r="E778" s="8" t="s">
        <v>179</v>
      </c>
      <c r="F778" s="9">
        <v>28</v>
      </c>
      <c r="G778" s="5">
        <f>TRUNC([1]단가대비표!O348,0)</f>
        <v>9230</v>
      </c>
      <c r="H778" s="5">
        <f t="shared" si="66"/>
        <v>258440</v>
      </c>
      <c r="I778" s="5">
        <v>0</v>
      </c>
      <c r="J778" s="5">
        <f t="shared" si="67"/>
        <v>0</v>
      </c>
      <c r="K778" s="5">
        <v>0</v>
      </c>
      <c r="L778" s="5">
        <f t="shared" si="68"/>
        <v>0</v>
      </c>
      <c r="M778" s="5">
        <f t="shared" si="69"/>
        <v>9230</v>
      </c>
      <c r="N778" s="5">
        <f t="shared" si="69"/>
        <v>258440</v>
      </c>
      <c r="O778" s="8" t="s">
        <v>20</v>
      </c>
      <c r="T778">
        <v>0</v>
      </c>
      <c r="AC778">
        <v>1</v>
      </c>
    </row>
    <row r="779" spans="1:29" ht="30" customHeight="1" x14ac:dyDescent="0.3">
      <c r="A779" s="8" t="s">
        <v>862</v>
      </c>
      <c r="B779" s="8" t="s">
        <v>987</v>
      </c>
      <c r="C779" s="8" t="s">
        <v>694</v>
      </c>
      <c r="D779" s="8" t="s">
        <v>988</v>
      </c>
      <c r="E779" s="8" t="s">
        <v>179</v>
      </c>
      <c r="F779" s="9">
        <v>149</v>
      </c>
      <c r="G779" s="5">
        <f>TRUNC([1]단가대비표!O349,0)</f>
        <v>2920</v>
      </c>
      <c r="H779" s="5">
        <f t="shared" si="66"/>
        <v>435080</v>
      </c>
      <c r="I779" s="5">
        <v>0</v>
      </c>
      <c r="J779" s="5">
        <f t="shared" si="67"/>
        <v>0</v>
      </c>
      <c r="K779" s="5">
        <v>0</v>
      </c>
      <c r="L779" s="5">
        <f t="shared" si="68"/>
        <v>0</v>
      </c>
      <c r="M779" s="5">
        <f t="shared" si="69"/>
        <v>2920</v>
      </c>
      <c r="N779" s="5">
        <f t="shared" si="69"/>
        <v>435080</v>
      </c>
      <c r="O779" s="8" t="s">
        <v>20</v>
      </c>
      <c r="T779">
        <v>0</v>
      </c>
      <c r="AC779">
        <v>1</v>
      </c>
    </row>
    <row r="780" spans="1:29" ht="30" customHeight="1" x14ac:dyDescent="0.3">
      <c r="A780" s="8" t="s">
        <v>862</v>
      </c>
      <c r="B780" s="8" t="s">
        <v>989</v>
      </c>
      <c r="C780" s="8" t="s">
        <v>694</v>
      </c>
      <c r="D780" s="8" t="s">
        <v>990</v>
      </c>
      <c r="E780" s="8" t="s">
        <v>179</v>
      </c>
      <c r="F780" s="9">
        <v>55</v>
      </c>
      <c r="G780" s="5">
        <f>TRUNC([1]단가대비표!O350,0)</f>
        <v>5040</v>
      </c>
      <c r="H780" s="5">
        <f t="shared" si="66"/>
        <v>277200</v>
      </c>
      <c r="I780" s="5">
        <v>0</v>
      </c>
      <c r="J780" s="5">
        <f t="shared" si="67"/>
        <v>0</v>
      </c>
      <c r="K780" s="5">
        <v>0</v>
      </c>
      <c r="L780" s="5">
        <f t="shared" si="68"/>
        <v>0</v>
      </c>
      <c r="M780" s="5">
        <f t="shared" si="69"/>
        <v>5040</v>
      </c>
      <c r="N780" s="5">
        <f t="shared" si="69"/>
        <v>277200</v>
      </c>
      <c r="O780" s="8" t="s">
        <v>20</v>
      </c>
      <c r="T780">
        <v>0</v>
      </c>
      <c r="AC780">
        <v>1</v>
      </c>
    </row>
    <row r="781" spans="1:29" ht="30" customHeight="1" x14ac:dyDescent="0.3">
      <c r="A781" s="8" t="s">
        <v>862</v>
      </c>
      <c r="B781" s="8" t="s">
        <v>991</v>
      </c>
      <c r="C781" s="8" t="s">
        <v>694</v>
      </c>
      <c r="D781" s="8" t="s">
        <v>992</v>
      </c>
      <c r="E781" s="8" t="s">
        <v>179</v>
      </c>
      <c r="F781" s="9">
        <v>43</v>
      </c>
      <c r="G781" s="5">
        <f>TRUNC([1]단가대비표!O351,0)</f>
        <v>4780</v>
      </c>
      <c r="H781" s="5">
        <f t="shared" si="66"/>
        <v>205540</v>
      </c>
      <c r="I781" s="5">
        <v>0</v>
      </c>
      <c r="J781" s="5">
        <f t="shared" si="67"/>
        <v>0</v>
      </c>
      <c r="K781" s="5">
        <v>0</v>
      </c>
      <c r="L781" s="5">
        <f t="shared" si="68"/>
        <v>0</v>
      </c>
      <c r="M781" s="5">
        <f t="shared" si="69"/>
        <v>4780</v>
      </c>
      <c r="N781" s="5">
        <f t="shared" si="69"/>
        <v>205540</v>
      </c>
      <c r="O781" s="8" t="s">
        <v>20</v>
      </c>
      <c r="T781">
        <v>0</v>
      </c>
      <c r="AC781">
        <v>1</v>
      </c>
    </row>
    <row r="782" spans="1:29" ht="30" customHeight="1" x14ac:dyDescent="0.3">
      <c r="A782" s="8" t="s">
        <v>862</v>
      </c>
      <c r="B782" s="8" t="s">
        <v>993</v>
      </c>
      <c r="C782" s="8" t="s">
        <v>694</v>
      </c>
      <c r="D782" s="8" t="s">
        <v>994</v>
      </c>
      <c r="E782" s="8" t="s">
        <v>179</v>
      </c>
      <c r="F782" s="9">
        <v>101</v>
      </c>
      <c r="G782" s="5">
        <f>TRUNC([1]단가대비표!O352,0)</f>
        <v>5780</v>
      </c>
      <c r="H782" s="5">
        <f t="shared" si="66"/>
        <v>583780</v>
      </c>
      <c r="I782" s="5">
        <v>0</v>
      </c>
      <c r="J782" s="5">
        <f t="shared" si="67"/>
        <v>0</v>
      </c>
      <c r="K782" s="5">
        <v>0</v>
      </c>
      <c r="L782" s="5">
        <f t="shared" si="68"/>
        <v>0</v>
      </c>
      <c r="M782" s="5">
        <f t="shared" si="69"/>
        <v>5780</v>
      </c>
      <c r="N782" s="5">
        <f t="shared" si="69"/>
        <v>583780</v>
      </c>
      <c r="O782" s="8" t="s">
        <v>20</v>
      </c>
      <c r="T782">
        <v>0</v>
      </c>
      <c r="AC782">
        <v>1</v>
      </c>
    </row>
    <row r="783" spans="1:29" ht="30" customHeight="1" x14ac:dyDescent="0.3">
      <c r="A783" s="8" t="s">
        <v>862</v>
      </c>
      <c r="B783" s="8" t="s">
        <v>995</v>
      </c>
      <c r="C783" s="8" t="s">
        <v>694</v>
      </c>
      <c r="D783" s="8" t="s">
        <v>996</v>
      </c>
      <c r="E783" s="8" t="s">
        <v>179</v>
      </c>
      <c r="F783" s="9">
        <v>223</v>
      </c>
      <c r="G783" s="5">
        <f>TRUNC([1]단가대비표!O353,0)</f>
        <v>6500</v>
      </c>
      <c r="H783" s="5">
        <f t="shared" si="66"/>
        <v>1449500</v>
      </c>
      <c r="I783" s="5">
        <v>0</v>
      </c>
      <c r="J783" s="5">
        <f t="shared" si="67"/>
        <v>0</v>
      </c>
      <c r="K783" s="5">
        <v>0</v>
      </c>
      <c r="L783" s="5">
        <f t="shared" si="68"/>
        <v>0</v>
      </c>
      <c r="M783" s="5">
        <f t="shared" si="69"/>
        <v>6500</v>
      </c>
      <c r="N783" s="5">
        <f t="shared" si="69"/>
        <v>1449500</v>
      </c>
      <c r="O783" s="8" t="s">
        <v>20</v>
      </c>
      <c r="T783">
        <v>0</v>
      </c>
      <c r="AC783">
        <v>1</v>
      </c>
    </row>
    <row r="784" spans="1:29" ht="30" customHeight="1" x14ac:dyDescent="0.3">
      <c r="A784" s="8" t="s">
        <v>862</v>
      </c>
      <c r="B784" s="8" t="s">
        <v>997</v>
      </c>
      <c r="C784" s="8" t="s">
        <v>694</v>
      </c>
      <c r="D784" s="8" t="s">
        <v>998</v>
      </c>
      <c r="E784" s="8" t="s">
        <v>179</v>
      </c>
      <c r="F784" s="9">
        <v>3</v>
      </c>
      <c r="G784" s="5">
        <f>TRUNC([1]단가대비표!O356,0)</f>
        <v>12210</v>
      </c>
      <c r="H784" s="5">
        <f t="shared" si="66"/>
        <v>36630</v>
      </c>
      <c r="I784" s="5">
        <v>0</v>
      </c>
      <c r="J784" s="5">
        <f t="shared" si="67"/>
        <v>0</v>
      </c>
      <c r="K784" s="5">
        <v>0</v>
      </c>
      <c r="L784" s="5">
        <f t="shared" si="68"/>
        <v>0</v>
      </c>
      <c r="M784" s="5">
        <f t="shared" si="69"/>
        <v>12210</v>
      </c>
      <c r="N784" s="5">
        <f t="shared" si="69"/>
        <v>36630</v>
      </c>
      <c r="O784" s="8" t="s">
        <v>20</v>
      </c>
      <c r="T784">
        <v>0</v>
      </c>
      <c r="AC784">
        <v>1</v>
      </c>
    </row>
    <row r="785" spans="1:29" ht="30" customHeight="1" x14ac:dyDescent="0.3">
      <c r="A785" s="8" t="s">
        <v>862</v>
      </c>
      <c r="B785" s="8" t="s">
        <v>999</v>
      </c>
      <c r="C785" s="8" t="s">
        <v>694</v>
      </c>
      <c r="D785" s="8" t="s">
        <v>1000</v>
      </c>
      <c r="E785" s="8" t="s">
        <v>179</v>
      </c>
      <c r="F785" s="9">
        <v>9</v>
      </c>
      <c r="G785" s="5">
        <f>TRUNC([1]단가대비표!O373,0)</f>
        <v>12210</v>
      </c>
      <c r="H785" s="5">
        <f t="shared" si="66"/>
        <v>109890</v>
      </c>
      <c r="I785" s="5">
        <v>0</v>
      </c>
      <c r="J785" s="5">
        <f t="shared" si="67"/>
        <v>0</v>
      </c>
      <c r="K785" s="5">
        <v>0</v>
      </c>
      <c r="L785" s="5">
        <f t="shared" si="68"/>
        <v>0</v>
      </c>
      <c r="M785" s="5">
        <f t="shared" si="69"/>
        <v>12210</v>
      </c>
      <c r="N785" s="5">
        <f t="shared" si="69"/>
        <v>109890</v>
      </c>
      <c r="O785" s="8" t="s">
        <v>20</v>
      </c>
      <c r="T785">
        <v>0</v>
      </c>
      <c r="AC785">
        <v>1</v>
      </c>
    </row>
    <row r="786" spans="1:29" ht="30" customHeight="1" x14ac:dyDescent="0.3">
      <c r="A786" s="8" t="s">
        <v>862</v>
      </c>
      <c r="B786" s="8" t="s">
        <v>1001</v>
      </c>
      <c r="C786" s="8" t="s">
        <v>694</v>
      </c>
      <c r="D786" s="8" t="s">
        <v>1002</v>
      </c>
      <c r="E786" s="8" t="s">
        <v>179</v>
      </c>
      <c r="F786" s="9">
        <v>10</v>
      </c>
      <c r="G786" s="5">
        <f>TRUNC([1]단가대비표!O355,0)</f>
        <v>12690</v>
      </c>
      <c r="H786" s="5">
        <f t="shared" si="66"/>
        <v>126900</v>
      </c>
      <c r="I786" s="5">
        <v>0</v>
      </c>
      <c r="J786" s="5">
        <f t="shared" si="67"/>
        <v>0</v>
      </c>
      <c r="K786" s="5">
        <v>0</v>
      </c>
      <c r="L786" s="5">
        <f t="shared" si="68"/>
        <v>0</v>
      </c>
      <c r="M786" s="5">
        <f t="shared" si="69"/>
        <v>12690</v>
      </c>
      <c r="N786" s="5">
        <f t="shared" si="69"/>
        <v>126900</v>
      </c>
      <c r="O786" s="8" t="s">
        <v>20</v>
      </c>
      <c r="T786">
        <v>0</v>
      </c>
      <c r="AC786">
        <v>1</v>
      </c>
    </row>
    <row r="787" spans="1:29" ht="30" customHeight="1" x14ac:dyDescent="0.3">
      <c r="A787" s="8" t="s">
        <v>862</v>
      </c>
      <c r="B787" s="8" t="s">
        <v>1003</v>
      </c>
      <c r="C787" s="8" t="s">
        <v>694</v>
      </c>
      <c r="D787" s="8" t="s">
        <v>1004</v>
      </c>
      <c r="E787" s="8" t="s">
        <v>179</v>
      </c>
      <c r="F787" s="9">
        <v>12</v>
      </c>
      <c r="G787" s="5">
        <f>TRUNC([1]단가대비표!O374,0)</f>
        <v>14650</v>
      </c>
      <c r="H787" s="5">
        <f t="shared" si="66"/>
        <v>175800</v>
      </c>
      <c r="I787" s="5">
        <v>0</v>
      </c>
      <c r="J787" s="5">
        <f t="shared" si="67"/>
        <v>0</v>
      </c>
      <c r="K787" s="5">
        <v>0</v>
      </c>
      <c r="L787" s="5">
        <f t="shared" si="68"/>
        <v>0</v>
      </c>
      <c r="M787" s="5">
        <f t="shared" si="69"/>
        <v>14650</v>
      </c>
      <c r="N787" s="5">
        <f t="shared" si="69"/>
        <v>175800</v>
      </c>
      <c r="O787" s="8" t="s">
        <v>20</v>
      </c>
      <c r="T787">
        <v>0</v>
      </c>
      <c r="AC787">
        <v>1</v>
      </c>
    </row>
    <row r="788" spans="1:29" ht="30" customHeight="1" x14ac:dyDescent="0.3">
      <c r="A788" s="8" t="s">
        <v>862</v>
      </c>
      <c r="B788" s="8" t="s">
        <v>1005</v>
      </c>
      <c r="C788" s="8" t="s">
        <v>694</v>
      </c>
      <c r="D788" s="8" t="s">
        <v>1006</v>
      </c>
      <c r="E788" s="8" t="s">
        <v>179</v>
      </c>
      <c r="F788" s="9">
        <v>33</v>
      </c>
      <c r="G788" s="5">
        <f>TRUNC([1]단가대비표!O357,0)</f>
        <v>3210</v>
      </c>
      <c r="H788" s="5">
        <f t="shared" si="66"/>
        <v>105930</v>
      </c>
      <c r="I788" s="5">
        <v>0</v>
      </c>
      <c r="J788" s="5">
        <f t="shared" si="67"/>
        <v>0</v>
      </c>
      <c r="K788" s="5">
        <v>0</v>
      </c>
      <c r="L788" s="5">
        <f t="shared" si="68"/>
        <v>0</v>
      </c>
      <c r="M788" s="5">
        <f t="shared" si="69"/>
        <v>3210</v>
      </c>
      <c r="N788" s="5">
        <f t="shared" si="69"/>
        <v>105930</v>
      </c>
      <c r="O788" s="8" t="s">
        <v>20</v>
      </c>
      <c r="T788">
        <v>0</v>
      </c>
      <c r="AC788">
        <v>1</v>
      </c>
    </row>
    <row r="789" spans="1:29" ht="30" customHeight="1" x14ac:dyDescent="0.3">
      <c r="A789" s="8" t="s">
        <v>862</v>
      </c>
      <c r="B789" s="8" t="s">
        <v>1007</v>
      </c>
      <c r="C789" s="8" t="s">
        <v>694</v>
      </c>
      <c r="D789" s="8" t="s">
        <v>1008</v>
      </c>
      <c r="E789" s="8" t="s">
        <v>179</v>
      </c>
      <c r="F789" s="9">
        <v>13</v>
      </c>
      <c r="G789" s="5">
        <f>TRUNC([1]단가대비표!O358,0)</f>
        <v>5170</v>
      </c>
      <c r="H789" s="5">
        <f t="shared" si="66"/>
        <v>67210</v>
      </c>
      <c r="I789" s="5">
        <v>0</v>
      </c>
      <c r="J789" s="5">
        <f t="shared" si="67"/>
        <v>0</v>
      </c>
      <c r="K789" s="5">
        <v>0</v>
      </c>
      <c r="L789" s="5">
        <f t="shared" si="68"/>
        <v>0</v>
      </c>
      <c r="M789" s="5">
        <f t="shared" si="69"/>
        <v>5170</v>
      </c>
      <c r="N789" s="5">
        <f t="shared" si="69"/>
        <v>67210</v>
      </c>
      <c r="O789" s="8" t="s">
        <v>20</v>
      </c>
      <c r="T789">
        <v>0</v>
      </c>
      <c r="AC789">
        <v>1</v>
      </c>
    </row>
    <row r="790" spans="1:29" ht="30" customHeight="1" x14ac:dyDescent="0.3">
      <c r="A790" s="8" t="s">
        <v>862</v>
      </c>
      <c r="B790" s="8" t="s">
        <v>1009</v>
      </c>
      <c r="C790" s="8" t="s">
        <v>694</v>
      </c>
      <c r="D790" s="8" t="s">
        <v>1010</v>
      </c>
      <c r="E790" s="8" t="s">
        <v>179</v>
      </c>
      <c r="F790" s="9">
        <v>19</v>
      </c>
      <c r="G790" s="5">
        <f>TRUNC([1]단가대비표!O359,0)</f>
        <v>5750</v>
      </c>
      <c r="H790" s="5">
        <f t="shared" si="66"/>
        <v>109250</v>
      </c>
      <c r="I790" s="5">
        <v>0</v>
      </c>
      <c r="J790" s="5">
        <f t="shared" si="67"/>
        <v>0</v>
      </c>
      <c r="K790" s="5">
        <v>0</v>
      </c>
      <c r="L790" s="5">
        <f t="shared" si="68"/>
        <v>0</v>
      </c>
      <c r="M790" s="5">
        <f t="shared" si="69"/>
        <v>5750</v>
      </c>
      <c r="N790" s="5">
        <f t="shared" si="69"/>
        <v>109250</v>
      </c>
      <c r="O790" s="8" t="s">
        <v>20</v>
      </c>
      <c r="T790">
        <v>0</v>
      </c>
      <c r="AC790">
        <v>1</v>
      </c>
    </row>
    <row r="791" spans="1:29" ht="30" customHeight="1" x14ac:dyDescent="0.3">
      <c r="A791" s="8" t="s">
        <v>862</v>
      </c>
      <c r="B791" s="8" t="s">
        <v>1011</v>
      </c>
      <c r="C791" s="8" t="s">
        <v>694</v>
      </c>
      <c r="D791" s="8" t="s">
        <v>1012</v>
      </c>
      <c r="E791" s="8" t="s">
        <v>179</v>
      </c>
      <c r="F791" s="9">
        <v>26</v>
      </c>
      <c r="G791" s="5">
        <f>TRUNC([1]단가대비표!O360,0)</f>
        <v>8300</v>
      </c>
      <c r="H791" s="5">
        <f t="shared" si="66"/>
        <v>215800</v>
      </c>
      <c r="I791" s="5">
        <v>0</v>
      </c>
      <c r="J791" s="5">
        <f t="shared" si="67"/>
        <v>0</v>
      </c>
      <c r="K791" s="5">
        <v>0</v>
      </c>
      <c r="L791" s="5">
        <f t="shared" si="68"/>
        <v>0</v>
      </c>
      <c r="M791" s="5">
        <f t="shared" si="69"/>
        <v>8300</v>
      </c>
      <c r="N791" s="5">
        <f t="shared" si="69"/>
        <v>215800</v>
      </c>
      <c r="O791" s="8" t="s">
        <v>20</v>
      </c>
      <c r="T791">
        <v>0</v>
      </c>
      <c r="AC791">
        <v>1</v>
      </c>
    </row>
    <row r="792" spans="1:29" ht="30" customHeight="1" x14ac:dyDescent="0.3">
      <c r="A792" s="8" t="s">
        <v>862</v>
      </c>
      <c r="B792" s="8" t="s">
        <v>1013</v>
      </c>
      <c r="C792" s="8" t="s">
        <v>694</v>
      </c>
      <c r="D792" s="8" t="s">
        <v>1014</v>
      </c>
      <c r="E792" s="8" t="s">
        <v>179</v>
      </c>
      <c r="F792" s="9">
        <v>3</v>
      </c>
      <c r="G792" s="5">
        <f>TRUNC([1]단가대비표!O385,0)</f>
        <v>12690</v>
      </c>
      <c r="H792" s="5">
        <f t="shared" si="66"/>
        <v>38070</v>
      </c>
      <c r="I792" s="5">
        <v>0</v>
      </c>
      <c r="J792" s="5">
        <f t="shared" si="67"/>
        <v>0</v>
      </c>
      <c r="K792" s="5">
        <v>0</v>
      </c>
      <c r="L792" s="5">
        <f t="shared" si="68"/>
        <v>0</v>
      </c>
      <c r="M792" s="5">
        <f t="shared" si="69"/>
        <v>12690</v>
      </c>
      <c r="N792" s="5">
        <f t="shared" si="69"/>
        <v>38070</v>
      </c>
      <c r="O792" s="8" t="s">
        <v>20</v>
      </c>
      <c r="T792">
        <v>0</v>
      </c>
      <c r="AC792">
        <v>1</v>
      </c>
    </row>
    <row r="793" spans="1:29" ht="30" customHeight="1" x14ac:dyDescent="0.3">
      <c r="A793" s="8" t="s">
        <v>862</v>
      </c>
      <c r="B793" s="8" t="s">
        <v>1015</v>
      </c>
      <c r="C793" s="8" t="s">
        <v>694</v>
      </c>
      <c r="D793" s="8" t="s">
        <v>1016</v>
      </c>
      <c r="E793" s="8" t="s">
        <v>179</v>
      </c>
      <c r="F793" s="9">
        <v>6</v>
      </c>
      <c r="G793" s="5">
        <f>TRUNC([1]단가대비표!O361,0)</f>
        <v>13680</v>
      </c>
      <c r="H793" s="5">
        <f t="shared" si="66"/>
        <v>82080</v>
      </c>
      <c r="I793" s="5">
        <v>0</v>
      </c>
      <c r="J793" s="5">
        <f t="shared" si="67"/>
        <v>0</v>
      </c>
      <c r="K793" s="5">
        <v>0</v>
      </c>
      <c r="L793" s="5">
        <f t="shared" si="68"/>
        <v>0</v>
      </c>
      <c r="M793" s="5">
        <f t="shared" si="69"/>
        <v>13680</v>
      </c>
      <c r="N793" s="5">
        <f t="shared" si="69"/>
        <v>82080</v>
      </c>
      <c r="O793" s="8" t="s">
        <v>20</v>
      </c>
      <c r="T793">
        <v>0</v>
      </c>
      <c r="AC793">
        <v>1</v>
      </c>
    </row>
    <row r="794" spans="1:29" ht="30" customHeight="1" x14ac:dyDescent="0.3">
      <c r="A794" s="8" t="s">
        <v>862</v>
      </c>
      <c r="B794" s="8" t="s">
        <v>1017</v>
      </c>
      <c r="C794" s="8" t="s">
        <v>694</v>
      </c>
      <c r="D794" s="8" t="s">
        <v>1018</v>
      </c>
      <c r="E794" s="8" t="s">
        <v>179</v>
      </c>
      <c r="F794" s="9">
        <v>65</v>
      </c>
      <c r="G794" s="5">
        <f>TRUNC([1]단가대비표!O362,0)</f>
        <v>1980</v>
      </c>
      <c r="H794" s="5">
        <f t="shared" si="66"/>
        <v>128700</v>
      </c>
      <c r="I794" s="5">
        <v>0</v>
      </c>
      <c r="J794" s="5">
        <f t="shared" si="67"/>
        <v>0</v>
      </c>
      <c r="K794" s="5">
        <v>0</v>
      </c>
      <c r="L794" s="5">
        <f t="shared" si="68"/>
        <v>0</v>
      </c>
      <c r="M794" s="5">
        <f t="shared" si="69"/>
        <v>1980</v>
      </c>
      <c r="N794" s="5">
        <f t="shared" si="69"/>
        <v>128700</v>
      </c>
      <c r="O794" s="8" t="s">
        <v>20</v>
      </c>
      <c r="T794">
        <v>0</v>
      </c>
      <c r="AC794">
        <v>1</v>
      </c>
    </row>
    <row r="795" spans="1:29" ht="30" customHeight="1" x14ac:dyDescent="0.3">
      <c r="A795" s="8" t="s">
        <v>862</v>
      </c>
      <c r="B795" s="8" t="s">
        <v>1019</v>
      </c>
      <c r="C795" s="8" t="s">
        <v>694</v>
      </c>
      <c r="D795" s="8" t="s">
        <v>1020</v>
      </c>
      <c r="E795" s="8" t="s">
        <v>179</v>
      </c>
      <c r="F795" s="9">
        <v>1</v>
      </c>
      <c r="G795" s="5">
        <f>TRUNC([1]단가대비표!O363,0)</f>
        <v>3870</v>
      </c>
      <c r="H795" s="5">
        <f t="shared" si="66"/>
        <v>3870</v>
      </c>
      <c r="I795" s="5">
        <v>0</v>
      </c>
      <c r="J795" s="5">
        <f t="shared" si="67"/>
        <v>0</v>
      </c>
      <c r="K795" s="5">
        <v>0</v>
      </c>
      <c r="L795" s="5">
        <f t="shared" si="68"/>
        <v>0</v>
      </c>
      <c r="M795" s="5">
        <f t="shared" si="69"/>
        <v>3870</v>
      </c>
      <c r="N795" s="5">
        <f t="shared" si="69"/>
        <v>3870</v>
      </c>
      <c r="O795" s="8" t="s">
        <v>20</v>
      </c>
      <c r="T795">
        <v>0</v>
      </c>
      <c r="AC795">
        <v>1</v>
      </c>
    </row>
    <row r="796" spans="1:29" ht="30" customHeight="1" x14ac:dyDescent="0.3">
      <c r="A796" s="8" t="s">
        <v>862</v>
      </c>
      <c r="B796" s="8" t="s">
        <v>1021</v>
      </c>
      <c r="C796" s="8" t="s">
        <v>694</v>
      </c>
      <c r="D796" s="8" t="s">
        <v>1022</v>
      </c>
      <c r="E796" s="8" t="s">
        <v>179</v>
      </c>
      <c r="F796" s="9">
        <v>22</v>
      </c>
      <c r="G796" s="5">
        <f>TRUNC([1]단가대비표!O364,0)</f>
        <v>5130</v>
      </c>
      <c r="H796" s="5">
        <f t="shared" si="66"/>
        <v>112860</v>
      </c>
      <c r="I796" s="5">
        <v>0</v>
      </c>
      <c r="J796" s="5">
        <f t="shared" si="67"/>
        <v>0</v>
      </c>
      <c r="K796" s="5">
        <v>0</v>
      </c>
      <c r="L796" s="5">
        <f t="shared" si="68"/>
        <v>0</v>
      </c>
      <c r="M796" s="5">
        <f t="shared" si="69"/>
        <v>5130</v>
      </c>
      <c r="N796" s="5">
        <f t="shared" si="69"/>
        <v>112860</v>
      </c>
      <c r="O796" s="8" t="s">
        <v>20</v>
      </c>
      <c r="T796">
        <v>0</v>
      </c>
      <c r="AC796">
        <v>1</v>
      </c>
    </row>
    <row r="797" spans="1:29" ht="30" customHeight="1" x14ac:dyDescent="0.3">
      <c r="A797" s="8" t="s">
        <v>862</v>
      </c>
      <c r="B797" s="8" t="s">
        <v>1023</v>
      </c>
      <c r="C797" s="8" t="s">
        <v>694</v>
      </c>
      <c r="D797" s="8" t="s">
        <v>1024</v>
      </c>
      <c r="E797" s="8" t="s">
        <v>179</v>
      </c>
      <c r="F797" s="9">
        <v>37</v>
      </c>
      <c r="G797" s="5">
        <f>TRUNC([1]단가대비표!O365,0)</f>
        <v>8390</v>
      </c>
      <c r="H797" s="5">
        <f t="shared" si="66"/>
        <v>310430</v>
      </c>
      <c r="I797" s="5">
        <v>0</v>
      </c>
      <c r="J797" s="5">
        <f t="shared" si="67"/>
        <v>0</v>
      </c>
      <c r="K797" s="5">
        <v>0</v>
      </c>
      <c r="L797" s="5">
        <f t="shared" si="68"/>
        <v>0</v>
      </c>
      <c r="M797" s="5">
        <f t="shared" si="69"/>
        <v>8390</v>
      </c>
      <c r="N797" s="5">
        <f t="shared" si="69"/>
        <v>310430</v>
      </c>
      <c r="O797" s="8" t="s">
        <v>20</v>
      </c>
      <c r="T797">
        <v>0</v>
      </c>
      <c r="AC797">
        <v>1</v>
      </c>
    </row>
    <row r="798" spans="1:29" ht="30" customHeight="1" x14ac:dyDescent="0.3">
      <c r="A798" s="8" t="s">
        <v>862</v>
      </c>
      <c r="B798" s="8" t="s">
        <v>1025</v>
      </c>
      <c r="C798" s="8" t="s">
        <v>694</v>
      </c>
      <c r="D798" s="8" t="s">
        <v>1026</v>
      </c>
      <c r="E798" s="8" t="s">
        <v>179</v>
      </c>
      <c r="F798" s="9">
        <v>104</v>
      </c>
      <c r="G798" s="5">
        <f>TRUNC([1]단가대비표!O366,0)</f>
        <v>1740</v>
      </c>
      <c r="H798" s="5">
        <f t="shared" si="66"/>
        <v>180960</v>
      </c>
      <c r="I798" s="5">
        <v>0</v>
      </c>
      <c r="J798" s="5">
        <f t="shared" si="67"/>
        <v>0</v>
      </c>
      <c r="K798" s="5">
        <v>0</v>
      </c>
      <c r="L798" s="5">
        <f t="shared" si="68"/>
        <v>0</v>
      </c>
      <c r="M798" s="5">
        <f t="shared" si="69"/>
        <v>1740</v>
      </c>
      <c r="N798" s="5">
        <f t="shared" si="69"/>
        <v>180960</v>
      </c>
      <c r="O798" s="8" t="s">
        <v>20</v>
      </c>
      <c r="T798">
        <v>0</v>
      </c>
      <c r="AC798">
        <v>1</v>
      </c>
    </row>
    <row r="799" spans="1:29" ht="30" customHeight="1" x14ac:dyDescent="0.3">
      <c r="A799" s="8" t="s">
        <v>862</v>
      </c>
      <c r="B799" s="8" t="s">
        <v>1027</v>
      </c>
      <c r="C799" s="8" t="s">
        <v>694</v>
      </c>
      <c r="D799" s="8" t="s">
        <v>1028</v>
      </c>
      <c r="E799" s="8" t="s">
        <v>179</v>
      </c>
      <c r="F799" s="9">
        <v>24</v>
      </c>
      <c r="G799" s="5">
        <f>TRUNC([1]단가대비표!O367,0)</f>
        <v>1880</v>
      </c>
      <c r="H799" s="5">
        <f t="shared" si="66"/>
        <v>45120</v>
      </c>
      <c r="I799" s="5">
        <v>0</v>
      </c>
      <c r="J799" s="5">
        <f t="shared" si="67"/>
        <v>0</v>
      </c>
      <c r="K799" s="5">
        <v>0</v>
      </c>
      <c r="L799" s="5">
        <f t="shared" si="68"/>
        <v>0</v>
      </c>
      <c r="M799" s="5">
        <f t="shared" si="69"/>
        <v>1880</v>
      </c>
      <c r="N799" s="5">
        <f t="shared" si="69"/>
        <v>45120</v>
      </c>
      <c r="O799" s="8" t="s">
        <v>20</v>
      </c>
      <c r="T799">
        <v>0</v>
      </c>
      <c r="AC799">
        <v>1</v>
      </c>
    </row>
    <row r="800" spans="1:29" ht="30" customHeight="1" x14ac:dyDescent="0.3">
      <c r="A800" s="8" t="s">
        <v>862</v>
      </c>
      <c r="B800" s="8" t="s">
        <v>1029</v>
      </c>
      <c r="C800" s="8" t="s">
        <v>694</v>
      </c>
      <c r="D800" s="8" t="s">
        <v>1030</v>
      </c>
      <c r="E800" s="8" t="s">
        <v>179</v>
      </c>
      <c r="F800" s="9">
        <v>2</v>
      </c>
      <c r="G800" s="5">
        <f>TRUNC([1]단가대비표!O369,0)</f>
        <v>3980</v>
      </c>
      <c r="H800" s="5">
        <f t="shared" si="66"/>
        <v>7960</v>
      </c>
      <c r="I800" s="5">
        <v>0</v>
      </c>
      <c r="J800" s="5">
        <f t="shared" si="67"/>
        <v>0</v>
      </c>
      <c r="K800" s="5">
        <v>0</v>
      </c>
      <c r="L800" s="5">
        <f t="shared" si="68"/>
        <v>0</v>
      </c>
      <c r="M800" s="5">
        <f t="shared" si="69"/>
        <v>3980</v>
      </c>
      <c r="N800" s="5">
        <f t="shared" si="69"/>
        <v>7960</v>
      </c>
      <c r="O800" s="8" t="s">
        <v>20</v>
      </c>
      <c r="T800">
        <v>0</v>
      </c>
      <c r="AC800">
        <v>1</v>
      </c>
    </row>
    <row r="801" spans="1:29" ht="30" customHeight="1" x14ac:dyDescent="0.3">
      <c r="A801" s="8" t="s">
        <v>862</v>
      </c>
      <c r="B801" s="8" t="s">
        <v>1031</v>
      </c>
      <c r="C801" s="8" t="s">
        <v>694</v>
      </c>
      <c r="D801" s="8" t="s">
        <v>1032</v>
      </c>
      <c r="E801" s="8" t="s">
        <v>179</v>
      </c>
      <c r="F801" s="9">
        <v>88</v>
      </c>
      <c r="G801" s="5">
        <f>TRUNC([1]단가대비표!O370,0)</f>
        <v>4810</v>
      </c>
      <c r="H801" s="5">
        <f t="shared" si="66"/>
        <v>423280</v>
      </c>
      <c r="I801" s="5">
        <v>0</v>
      </c>
      <c r="J801" s="5">
        <f t="shared" si="67"/>
        <v>0</v>
      </c>
      <c r="K801" s="5">
        <v>0</v>
      </c>
      <c r="L801" s="5">
        <f t="shared" si="68"/>
        <v>0</v>
      </c>
      <c r="M801" s="5">
        <f t="shared" si="69"/>
        <v>4810</v>
      </c>
      <c r="N801" s="5">
        <f t="shared" si="69"/>
        <v>423280</v>
      </c>
      <c r="O801" s="8" t="s">
        <v>20</v>
      </c>
      <c r="T801">
        <v>0</v>
      </c>
      <c r="AC801">
        <v>1</v>
      </c>
    </row>
    <row r="802" spans="1:29" ht="30" customHeight="1" x14ac:dyDescent="0.3">
      <c r="A802" s="8" t="s">
        <v>862</v>
      </c>
      <c r="B802" s="8" t="s">
        <v>1033</v>
      </c>
      <c r="C802" s="8" t="s">
        <v>694</v>
      </c>
      <c r="D802" s="8" t="s">
        <v>1034</v>
      </c>
      <c r="E802" s="8" t="s">
        <v>179</v>
      </c>
      <c r="F802" s="9">
        <v>24</v>
      </c>
      <c r="G802" s="5">
        <f>TRUNC([1]단가대비표!O371,0)</f>
        <v>9440</v>
      </c>
      <c r="H802" s="5">
        <f t="shared" si="66"/>
        <v>226560</v>
      </c>
      <c r="I802" s="5">
        <v>0</v>
      </c>
      <c r="J802" s="5">
        <f t="shared" si="67"/>
        <v>0</v>
      </c>
      <c r="K802" s="5">
        <v>0</v>
      </c>
      <c r="L802" s="5">
        <f t="shared" si="68"/>
        <v>0</v>
      </c>
      <c r="M802" s="5">
        <f t="shared" si="69"/>
        <v>9440</v>
      </c>
      <c r="N802" s="5">
        <f t="shared" si="69"/>
        <v>226560</v>
      </c>
      <c r="O802" s="8" t="s">
        <v>20</v>
      </c>
      <c r="T802">
        <v>0</v>
      </c>
      <c r="AC802">
        <v>1</v>
      </c>
    </row>
    <row r="803" spans="1:29" ht="30" customHeight="1" x14ac:dyDescent="0.3">
      <c r="A803" s="8" t="s">
        <v>862</v>
      </c>
      <c r="B803" s="8" t="s">
        <v>1035</v>
      </c>
      <c r="C803" s="8" t="s">
        <v>694</v>
      </c>
      <c r="D803" s="8" t="s">
        <v>1036</v>
      </c>
      <c r="E803" s="8" t="s">
        <v>179</v>
      </c>
      <c r="F803" s="9">
        <v>12</v>
      </c>
      <c r="G803" s="5">
        <f>TRUNC([1]단가대비표!O372,0)</f>
        <v>14480</v>
      </c>
      <c r="H803" s="5">
        <f t="shared" si="66"/>
        <v>173760</v>
      </c>
      <c r="I803" s="5">
        <v>0</v>
      </c>
      <c r="J803" s="5">
        <f t="shared" si="67"/>
        <v>0</v>
      </c>
      <c r="K803" s="5">
        <v>0</v>
      </c>
      <c r="L803" s="5">
        <f t="shared" si="68"/>
        <v>0</v>
      </c>
      <c r="M803" s="5">
        <f t="shared" ref="M803:N834" si="70">G803+I803+K803</f>
        <v>14480</v>
      </c>
      <c r="N803" s="5">
        <f t="shared" si="70"/>
        <v>173760</v>
      </c>
      <c r="O803" s="8" t="s">
        <v>20</v>
      </c>
      <c r="T803">
        <v>0</v>
      </c>
      <c r="AC803">
        <v>1</v>
      </c>
    </row>
    <row r="804" spans="1:29" ht="30" customHeight="1" x14ac:dyDescent="0.3">
      <c r="A804" s="8" t="s">
        <v>862</v>
      </c>
      <c r="B804" s="8" t="s">
        <v>1037</v>
      </c>
      <c r="C804" s="8" t="s">
        <v>694</v>
      </c>
      <c r="D804" s="8" t="s">
        <v>1038</v>
      </c>
      <c r="E804" s="8" t="s">
        <v>179</v>
      </c>
      <c r="F804" s="9">
        <v>72</v>
      </c>
      <c r="G804" s="5">
        <f>TRUNC([1]단가대비표!O375,0)</f>
        <v>820</v>
      </c>
      <c r="H804" s="5">
        <f t="shared" si="66"/>
        <v>59040</v>
      </c>
      <c r="I804" s="5">
        <v>0</v>
      </c>
      <c r="J804" s="5">
        <f t="shared" si="67"/>
        <v>0</v>
      </c>
      <c r="K804" s="5">
        <v>0</v>
      </c>
      <c r="L804" s="5">
        <f t="shared" si="68"/>
        <v>0</v>
      </c>
      <c r="M804" s="5">
        <f t="shared" si="70"/>
        <v>820</v>
      </c>
      <c r="N804" s="5">
        <f t="shared" si="70"/>
        <v>59040</v>
      </c>
      <c r="O804" s="8" t="s">
        <v>20</v>
      </c>
      <c r="T804">
        <v>0</v>
      </c>
      <c r="AC804">
        <v>1</v>
      </c>
    </row>
    <row r="805" spans="1:29" ht="30" customHeight="1" x14ac:dyDescent="0.3">
      <c r="A805" s="8" t="s">
        <v>862</v>
      </c>
      <c r="B805" s="8" t="s">
        <v>1039</v>
      </c>
      <c r="C805" s="8" t="s">
        <v>694</v>
      </c>
      <c r="D805" s="8" t="s">
        <v>1040</v>
      </c>
      <c r="E805" s="8" t="s">
        <v>179</v>
      </c>
      <c r="F805" s="9">
        <v>29</v>
      </c>
      <c r="G805" s="5">
        <f>TRUNC([1]단가대비표!O376,0)</f>
        <v>1550</v>
      </c>
      <c r="H805" s="5">
        <f t="shared" si="66"/>
        <v>44950</v>
      </c>
      <c r="I805" s="5">
        <v>0</v>
      </c>
      <c r="J805" s="5">
        <f t="shared" si="67"/>
        <v>0</v>
      </c>
      <c r="K805" s="5">
        <v>0</v>
      </c>
      <c r="L805" s="5">
        <f t="shared" si="68"/>
        <v>0</v>
      </c>
      <c r="M805" s="5">
        <f t="shared" si="70"/>
        <v>1550</v>
      </c>
      <c r="N805" s="5">
        <f t="shared" si="70"/>
        <v>44950</v>
      </c>
      <c r="O805" s="8" t="s">
        <v>20</v>
      </c>
      <c r="T805">
        <v>0</v>
      </c>
      <c r="AC805">
        <v>1</v>
      </c>
    </row>
    <row r="806" spans="1:29" ht="30" customHeight="1" x14ac:dyDescent="0.3">
      <c r="A806" s="8" t="s">
        <v>862</v>
      </c>
      <c r="B806" s="8" t="s">
        <v>1041</v>
      </c>
      <c r="C806" s="8" t="s">
        <v>694</v>
      </c>
      <c r="D806" s="8" t="s">
        <v>1042</v>
      </c>
      <c r="E806" s="8" t="s">
        <v>179</v>
      </c>
      <c r="F806" s="9">
        <v>138</v>
      </c>
      <c r="G806" s="5">
        <f>TRUNC([1]단가대비표!O377,0)</f>
        <v>2000</v>
      </c>
      <c r="H806" s="5">
        <f t="shared" si="66"/>
        <v>276000</v>
      </c>
      <c r="I806" s="5">
        <v>0</v>
      </c>
      <c r="J806" s="5">
        <f t="shared" si="67"/>
        <v>0</v>
      </c>
      <c r="K806" s="5">
        <v>0</v>
      </c>
      <c r="L806" s="5">
        <f t="shared" si="68"/>
        <v>0</v>
      </c>
      <c r="M806" s="5">
        <f t="shared" si="70"/>
        <v>2000</v>
      </c>
      <c r="N806" s="5">
        <f t="shared" si="70"/>
        <v>276000</v>
      </c>
      <c r="O806" s="8" t="s">
        <v>20</v>
      </c>
      <c r="T806">
        <v>0</v>
      </c>
      <c r="AC806">
        <v>1</v>
      </c>
    </row>
    <row r="807" spans="1:29" ht="30" customHeight="1" x14ac:dyDescent="0.3">
      <c r="A807" s="8" t="s">
        <v>862</v>
      </c>
      <c r="B807" s="8" t="s">
        <v>1043</v>
      </c>
      <c r="C807" s="8" t="s">
        <v>694</v>
      </c>
      <c r="D807" s="8" t="s">
        <v>1044</v>
      </c>
      <c r="E807" s="8" t="s">
        <v>179</v>
      </c>
      <c r="F807" s="9">
        <v>13</v>
      </c>
      <c r="G807" s="5">
        <f>TRUNC([1]단가대비표!O378,0)</f>
        <v>3500</v>
      </c>
      <c r="H807" s="5">
        <f t="shared" si="66"/>
        <v>45500</v>
      </c>
      <c r="I807" s="5">
        <v>0</v>
      </c>
      <c r="J807" s="5">
        <f t="shared" si="67"/>
        <v>0</v>
      </c>
      <c r="K807" s="5">
        <v>0</v>
      </c>
      <c r="L807" s="5">
        <f t="shared" si="68"/>
        <v>0</v>
      </c>
      <c r="M807" s="5">
        <f t="shared" si="70"/>
        <v>3500</v>
      </c>
      <c r="N807" s="5">
        <f t="shared" si="70"/>
        <v>45500</v>
      </c>
      <c r="O807" s="8" t="s">
        <v>20</v>
      </c>
      <c r="T807">
        <v>0</v>
      </c>
      <c r="AC807">
        <v>1</v>
      </c>
    </row>
    <row r="808" spans="1:29" ht="30" customHeight="1" x14ac:dyDescent="0.3">
      <c r="A808" s="8" t="s">
        <v>862</v>
      </c>
      <c r="B808" s="8" t="s">
        <v>1045</v>
      </c>
      <c r="C808" s="8" t="s">
        <v>694</v>
      </c>
      <c r="D808" s="8" t="s">
        <v>1046</v>
      </c>
      <c r="E808" s="8" t="s">
        <v>179</v>
      </c>
      <c r="F808" s="9">
        <v>2</v>
      </c>
      <c r="G808" s="5">
        <f>TRUNC([1]단가대비표!O398,0)</f>
        <v>7672</v>
      </c>
      <c r="H808" s="5">
        <f t="shared" si="66"/>
        <v>15344</v>
      </c>
      <c r="I808" s="5">
        <v>0</v>
      </c>
      <c r="J808" s="5">
        <f t="shared" si="67"/>
        <v>0</v>
      </c>
      <c r="K808" s="5">
        <v>0</v>
      </c>
      <c r="L808" s="5">
        <f t="shared" si="68"/>
        <v>0</v>
      </c>
      <c r="M808" s="5">
        <f t="shared" si="70"/>
        <v>7672</v>
      </c>
      <c r="N808" s="5">
        <f t="shared" si="70"/>
        <v>15344</v>
      </c>
      <c r="O808" s="8" t="s">
        <v>20</v>
      </c>
      <c r="T808">
        <v>0</v>
      </c>
      <c r="AC808">
        <v>1</v>
      </c>
    </row>
    <row r="809" spans="1:29" ht="30" customHeight="1" x14ac:dyDescent="0.3">
      <c r="A809" s="8" t="s">
        <v>862</v>
      </c>
      <c r="B809" s="8" t="s">
        <v>1047</v>
      </c>
      <c r="C809" s="8" t="s">
        <v>694</v>
      </c>
      <c r="D809" s="8" t="s">
        <v>1048</v>
      </c>
      <c r="E809" s="8" t="s">
        <v>179</v>
      </c>
      <c r="F809" s="9">
        <v>2</v>
      </c>
      <c r="G809" s="5">
        <f>TRUNC([1]단가대비표!O399,0)</f>
        <v>13580</v>
      </c>
      <c r="H809" s="5">
        <f t="shared" si="66"/>
        <v>27160</v>
      </c>
      <c r="I809" s="5">
        <v>0</v>
      </c>
      <c r="J809" s="5">
        <f t="shared" si="67"/>
        <v>0</v>
      </c>
      <c r="K809" s="5">
        <v>0</v>
      </c>
      <c r="L809" s="5">
        <f t="shared" si="68"/>
        <v>0</v>
      </c>
      <c r="M809" s="5">
        <f t="shared" si="70"/>
        <v>13580</v>
      </c>
      <c r="N809" s="5">
        <f t="shared" si="70"/>
        <v>27160</v>
      </c>
      <c r="O809" s="8" t="s">
        <v>20</v>
      </c>
      <c r="T809">
        <v>0</v>
      </c>
      <c r="AC809">
        <v>1</v>
      </c>
    </row>
    <row r="810" spans="1:29" ht="30" customHeight="1" x14ac:dyDescent="0.3">
      <c r="A810" s="8" t="s">
        <v>862</v>
      </c>
      <c r="B810" s="8" t="s">
        <v>1049</v>
      </c>
      <c r="C810" s="8" t="s">
        <v>694</v>
      </c>
      <c r="D810" s="8" t="s">
        <v>1050</v>
      </c>
      <c r="E810" s="8" t="s">
        <v>179</v>
      </c>
      <c r="F810" s="9">
        <v>1</v>
      </c>
      <c r="G810" s="5">
        <f>TRUNC([1]단가대비표!O404,0)</f>
        <v>13580</v>
      </c>
      <c r="H810" s="5">
        <f t="shared" si="66"/>
        <v>13580</v>
      </c>
      <c r="I810" s="5">
        <v>0</v>
      </c>
      <c r="J810" s="5">
        <f t="shared" si="67"/>
        <v>0</v>
      </c>
      <c r="K810" s="5">
        <v>0</v>
      </c>
      <c r="L810" s="5">
        <f t="shared" si="68"/>
        <v>0</v>
      </c>
      <c r="M810" s="5">
        <f t="shared" si="70"/>
        <v>13580</v>
      </c>
      <c r="N810" s="5">
        <f t="shared" si="70"/>
        <v>13580</v>
      </c>
      <c r="O810" s="8" t="s">
        <v>20</v>
      </c>
      <c r="T810">
        <v>0</v>
      </c>
      <c r="AC810">
        <v>1</v>
      </c>
    </row>
    <row r="811" spans="1:29" ht="30" customHeight="1" x14ac:dyDescent="0.3">
      <c r="A811" s="8" t="s">
        <v>862</v>
      </c>
      <c r="B811" s="8" t="s">
        <v>376</v>
      </c>
      <c r="C811" s="8" t="s">
        <v>374</v>
      </c>
      <c r="D811" s="8" t="s">
        <v>377</v>
      </c>
      <c r="E811" s="8" t="s">
        <v>179</v>
      </c>
      <c r="F811" s="9">
        <v>4</v>
      </c>
      <c r="G811" s="5">
        <f>TRUNC([1]단가대비표!O537,0)</f>
        <v>144690</v>
      </c>
      <c r="H811" s="5">
        <f t="shared" si="66"/>
        <v>578760</v>
      </c>
      <c r="I811" s="5">
        <v>0</v>
      </c>
      <c r="J811" s="5">
        <f t="shared" si="67"/>
        <v>0</v>
      </c>
      <c r="K811" s="5">
        <v>0</v>
      </c>
      <c r="L811" s="5">
        <f t="shared" si="68"/>
        <v>0</v>
      </c>
      <c r="M811" s="5">
        <f t="shared" si="70"/>
        <v>144690</v>
      </c>
      <c r="N811" s="5">
        <f t="shared" si="70"/>
        <v>578760</v>
      </c>
      <c r="O811" s="8" t="s">
        <v>20</v>
      </c>
      <c r="T811">
        <v>0</v>
      </c>
      <c r="AC811">
        <v>1</v>
      </c>
    </row>
    <row r="812" spans="1:29" ht="30" customHeight="1" x14ac:dyDescent="0.3">
      <c r="A812" s="8" t="s">
        <v>862</v>
      </c>
      <c r="B812" s="8" t="s">
        <v>388</v>
      </c>
      <c r="C812" s="8" t="s">
        <v>374</v>
      </c>
      <c r="D812" s="8" t="s">
        <v>389</v>
      </c>
      <c r="E812" s="8" t="s">
        <v>179</v>
      </c>
      <c r="F812" s="9">
        <v>3</v>
      </c>
      <c r="G812" s="5">
        <f>TRUNC([1]단가대비표!O543,0)</f>
        <v>81600</v>
      </c>
      <c r="H812" s="5">
        <f t="shared" si="66"/>
        <v>244800</v>
      </c>
      <c r="I812" s="5">
        <v>0</v>
      </c>
      <c r="J812" s="5">
        <f t="shared" si="67"/>
        <v>0</v>
      </c>
      <c r="K812" s="5">
        <v>0</v>
      </c>
      <c r="L812" s="5">
        <f t="shared" si="68"/>
        <v>0</v>
      </c>
      <c r="M812" s="5">
        <f t="shared" si="70"/>
        <v>81600</v>
      </c>
      <c r="N812" s="5">
        <f t="shared" si="70"/>
        <v>244800</v>
      </c>
      <c r="O812" s="8" t="s">
        <v>20</v>
      </c>
      <c r="T812">
        <v>0</v>
      </c>
      <c r="AC812">
        <v>1</v>
      </c>
    </row>
    <row r="813" spans="1:29" ht="30" customHeight="1" x14ac:dyDescent="0.3">
      <c r="A813" s="8" t="s">
        <v>862</v>
      </c>
      <c r="B813" s="8" t="s">
        <v>402</v>
      </c>
      <c r="C813" s="8" t="s">
        <v>400</v>
      </c>
      <c r="D813" s="8" t="s">
        <v>377</v>
      </c>
      <c r="E813" s="8" t="s">
        <v>179</v>
      </c>
      <c r="F813" s="9">
        <v>4</v>
      </c>
      <c r="G813" s="5">
        <f>TRUNC([1]단가대비표!O547,0)</f>
        <v>76480</v>
      </c>
      <c r="H813" s="5">
        <f t="shared" si="66"/>
        <v>305920</v>
      </c>
      <c r="I813" s="5">
        <v>0</v>
      </c>
      <c r="J813" s="5">
        <f t="shared" si="67"/>
        <v>0</v>
      </c>
      <c r="K813" s="5">
        <v>0</v>
      </c>
      <c r="L813" s="5">
        <f t="shared" si="68"/>
        <v>0</v>
      </c>
      <c r="M813" s="5">
        <f t="shared" si="70"/>
        <v>76480</v>
      </c>
      <c r="N813" s="5">
        <f t="shared" si="70"/>
        <v>305920</v>
      </c>
      <c r="O813" s="8" t="s">
        <v>20</v>
      </c>
      <c r="T813">
        <v>0</v>
      </c>
      <c r="AC813">
        <v>1</v>
      </c>
    </row>
    <row r="814" spans="1:29" ht="30" customHeight="1" x14ac:dyDescent="0.3">
      <c r="A814" s="8" t="s">
        <v>862</v>
      </c>
      <c r="B814" s="8" t="s">
        <v>1051</v>
      </c>
      <c r="C814" s="8" t="s">
        <v>400</v>
      </c>
      <c r="D814" s="8" t="s">
        <v>1052</v>
      </c>
      <c r="E814" s="8" t="s">
        <v>179</v>
      </c>
      <c r="F814" s="9">
        <v>3</v>
      </c>
      <c r="G814" s="5">
        <f>TRUNC([1]단가대비표!O549,0)</f>
        <v>77300</v>
      </c>
      <c r="H814" s="5">
        <f t="shared" si="66"/>
        <v>231900</v>
      </c>
      <c r="I814" s="5">
        <v>0</v>
      </c>
      <c r="J814" s="5">
        <f t="shared" si="67"/>
        <v>0</v>
      </c>
      <c r="K814" s="5">
        <v>0</v>
      </c>
      <c r="L814" s="5">
        <f t="shared" si="68"/>
        <v>0</v>
      </c>
      <c r="M814" s="5">
        <f t="shared" si="70"/>
        <v>77300</v>
      </c>
      <c r="N814" s="5">
        <f t="shared" si="70"/>
        <v>231900</v>
      </c>
      <c r="O814" s="8" t="s">
        <v>20</v>
      </c>
      <c r="T814">
        <v>0</v>
      </c>
      <c r="AC814">
        <v>1</v>
      </c>
    </row>
    <row r="815" spans="1:29" ht="30" customHeight="1" x14ac:dyDescent="0.3">
      <c r="A815" s="8" t="s">
        <v>862</v>
      </c>
      <c r="B815" s="8" t="s">
        <v>454</v>
      </c>
      <c r="C815" s="8" t="s">
        <v>452</v>
      </c>
      <c r="D815" s="8" t="s">
        <v>427</v>
      </c>
      <c r="E815" s="8" t="s">
        <v>428</v>
      </c>
      <c r="F815" s="9">
        <v>6</v>
      </c>
      <c r="G815" s="5">
        <f>TRUNC([1]단가대비표!O724,0)</f>
        <v>325</v>
      </c>
      <c r="H815" s="5">
        <f t="shared" si="66"/>
        <v>1950</v>
      </c>
      <c r="I815" s="5">
        <v>15886</v>
      </c>
      <c r="J815" s="5">
        <f t="shared" si="67"/>
        <v>95316</v>
      </c>
      <c r="K815" s="5">
        <v>0</v>
      </c>
      <c r="L815" s="5">
        <f t="shared" si="68"/>
        <v>0</v>
      </c>
      <c r="M815" s="5">
        <f t="shared" si="70"/>
        <v>16211</v>
      </c>
      <c r="N815" s="5">
        <f t="shared" si="70"/>
        <v>97266</v>
      </c>
      <c r="O815" s="8" t="s">
        <v>429</v>
      </c>
      <c r="T815">
        <v>0</v>
      </c>
      <c r="AC815">
        <v>1</v>
      </c>
    </row>
    <row r="816" spans="1:29" ht="30" customHeight="1" x14ac:dyDescent="0.3">
      <c r="A816" s="8" t="s">
        <v>862</v>
      </c>
      <c r="B816" s="8" t="s">
        <v>459</v>
      </c>
      <c r="C816" s="8" t="s">
        <v>452</v>
      </c>
      <c r="D816" s="8" t="s">
        <v>460</v>
      </c>
      <c r="E816" s="8" t="s">
        <v>428</v>
      </c>
      <c r="F816" s="9">
        <v>8</v>
      </c>
      <c r="G816" s="5">
        <f>TRUNC([1]단가대비표!O727,0)</f>
        <v>1267</v>
      </c>
      <c r="H816" s="5">
        <f t="shared" si="66"/>
        <v>10136</v>
      </c>
      <c r="I816" s="5">
        <v>62050</v>
      </c>
      <c r="J816" s="5">
        <f t="shared" si="67"/>
        <v>496400</v>
      </c>
      <c r="K816" s="5">
        <v>0</v>
      </c>
      <c r="L816" s="5">
        <f t="shared" si="68"/>
        <v>0</v>
      </c>
      <c r="M816" s="5">
        <f t="shared" si="70"/>
        <v>63317</v>
      </c>
      <c r="N816" s="5">
        <f t="shared" si="70"/>
        <v>506536</v>
      </c>
      <c r="O816" s="8" t="s">
        <v>429</v>
      </c>
      <c r="T816">
        <v>0</v>
      </c>
      <c r="AC816">
        <v>1</v>
      </c>
    </row>
    <row r="817" spans="1:29" ht="30" customHeight="1" x14ac:dyDescent="0.3">
      <c r="A817" s="8" t="s">
        <v>862</v>
      </c>
      <c r="B817" s="8" t="s">
        <v>473</v>
      </c>
      <c r="C817" s="8" t="s">
        <v>474</v>
      </c>
      <c r="D817" s="8" t="s">
        <v>475</v>
      </c>
      <c r="E817" s="8" t="s">
        <v>476</v>
      </c>
      <c r="F817" s="9">
        <v>7</v>
      </c>
      <c r="G817" s="5" t="e">
        <f>'[2].xls].xls].xls].xls].xls].xls].xls].'!E125</f>
        <v>#REF!</v>
      </c>
      <c r="H817" s="5" t="e">
        <f t="shared" si="66"/>
        <v>#REF!</v>
      </c>
      <c r="I817" s="5" t="e">
        <f>'[2].xls].xls].xls].xls].xls].xls].xls].'!F125</f>
        <v>#REF!</v>
      </c>
      <c r="J817" s="5" t="e">
        <f t="shared" si="67"/>
        <v>#REF!</v>
      </c>
      <c r="K817" s="5" t="e">
        <f>'[2].xls].xls].xls].xls].xls].xls].xls].'!G125</f>
        <v>#REF!</v>
      </c>
      <c r="L817" s="5" t="e">
        <f t="shared" si="68"/>
        <v>#REF!</v>
      </c>
      <c r="M817" s="5" t="e">
        <f t="shared" si="70"/>
        <v>#REF!</v>
      </c>
      <c r="N817" s="5" t="e">
        <f t="shared" si="70"/>
        <v>#REF!</v>
      </c>
      <c r="O817" s="8" t="s">
        <v>473</v>
      </c>
      <c r="T817">
        <v>0</v>
      </c>
      <c r="AC817">
        <v>1</v>
      </c>
    </row>
    <row r="818" spans="1:29" ht="30" customHeight="1" x14ac:dyDescent="0.3">
      <c r="A818" s="8" t="s">
        <v>862</v>
      </c>
      <c r="B818" s="8" t="s">
        <v>1053</v>
      </c>
      <c r="C818" s="8" t="s">
        <v>1054</v>
      </c>
      <c r="D818" s="8" t="s">
        <v>1055</v>
      </c>
      <c r="E818" s="8" t="s">
        <v>428</v>
      </c>
      <c r="F818" s="9">
        <v>7</v>
      </c>
      <c r="G818" s="5">
        <f>TRUNC([1]단가대비표!O731,0)</f>
        <v>1376</v>
      </c>
      <c r="H818" s="5">
        <f t="shared" si="66"/>
        <v>9632</v>
      </c>
      <c r="I818" s="5">
        <v>21541</v>
      </c>
      <c r="J818" s="5">
        <f t="shared" si="67"/>
        <v>150787</v>
      </c>
      <c r="K818" s="5">
        <v>0</v>
      </c>
      <c r="L818" s="5">
        <f t="shared" si="68"/>
        <v>0</v>
      </c>
      <c r="M818" s="5">
        <f t="shared" si="70"/>
        <v>22917</v>
      </c>
      <c r="N818" s="5">
        <f t="shared" si="70"/>
        <v>160419</v>
      </c>
      <c r="O818" s="8" t="s">
        <v>429</v>
      </c>
      <c r="T818">
        <v>0</v>
      </c>
      <c r="AC818">
        <v>1</v>
      </c>
    </row>
    <row r="819" spans="1:29" ht="30" customHeight="1" x14ac:dyDescent="0.3">
      <c r="A819" s="8" t="s">
        <v>862</v>
      </c>
      <c r="B819" s="8" t="s">
        <v>1056</v>
      </c>
      <c r="C819" s="8" t="s">
        <v>1057</v>
      </c>
      <c r="D819" s="8" t="s">
        <v>346</v>
      </c>
      <c r="E819" s="8" t="s">
        <v>185</v>
      </c>
      <c r="F819" s="9">
        <v>514</v>
      </c>
      <c r="G819" s="5" t="e">
        <f>'[2].xls].xls].xls].xls].xls].xls].xls].'!E39</f>
        <v>#REF!</v>
      </c>
      <c r="H819" s="5" t="e">
        <f t="shared" si="66"/>
        <v>#REF!</v>
      </c>
      <c r="I819" s="5" t="e">
        <f>'[2].xls].xls].xls].xls].xls].xls].xls].'!F39</f>
        <v>#REF!</v>
      </c>
      <c r="J819" s="5" t="e">
        <f t="shared" si="67"/>
        <v>#REF!</v>
      </c>
      <c r="K819" s="5" t="e">
        <f>'[2].xls].xls].xls].xls].xls].xls].xls].'!G39</f>
        <v>#REF!</v>
      </c>
      <c r="L819" s="5" t="e">
        <f t="shared" si="68"/>
        <v>#REF!</v>
      </c>
      <c r="M819" s="5" t="e">
        <f t="shared" si="70"/>
        <v>#REF!</v>
      </c>
      <c r="N819" s="5" t="e">
        <f t="shared" si="70"/>
        <v>#REF!</v>
      </c>
      <c r="O819" s="8" t="s">
        <v>1056</v>
      </c>
      <c r="T819">
        <v>0</v>
      </c>
      <c r="AC819">
        <v>1</v>
      </c>
    </row>
    <row r="820" spans="1:29" ht="30" customHeight="1" x14ac:dyDescent="0.3">
      <c r="A820" s="8" t="s">
        <v>862</v>
      </c>
      <c r="B820" s="8" t="s">
        <v>1058</v>
      </c>
      <c r="C820" s="8" t="s">
        <v>1057</v>
      </c>
      <c r="D820" s="8" t="s">
        <v>447</v>
      </c>
      <c r="E820" s="8" t="s">
        <v>185</v>
      </c>
      <c r="F820" s="9">
        <v>98</v>
      </c>
      <c r="G820" s="5" t="e">
        <f>'[2].xls].xls].xls].xls].xls].xls].xls].'!E40</f>
        <v>#REF!</v>
      </c>
      <c r="H820" s="5" t="e">
        <f t="shared" si="66"/>
        <v>#REF!</v>
      </c>
      <c r="I820" s="5" t="e">
        <f>'[2].xls].xls].xls].xls].xls].xls].xls].'!F40</f>
        <v>#REF!</v>
      </c>
      <c r="J820" s="5" t="e">
        <f t="shared" si="67"/>
        <v>#REF!</v>
      </c>
      <c r="K820" s="5" t="e">
        <f>'[2].xls].xls].xls].xls].xls].xls].xls].'!G40</f>
        <v>#REF!</v>
      </c>
      <c r="L820" s="5" t="e">
        <f t="shared" si="68"/>
        <v>#REF!</v>
      </c>
      <c r="M820" s="5" t="e">
        <f t="shared" si="70"/>
        <v>#REF!</v>
      </c>
      <c r="N820" s="5" t="e">
        <f t="shared" si="70"/>
        <v>#REF!</v>
      </c>
      <c r="O820" s="8" t="s">
        <v>1058</v>
      </c>
      <c r="T820">
        <v>0</v>
      </c>
      <c r="AC820">
        <v>1</v>
      </c>
    </row>
    <row r="821" spans="1:29" ht="30" customHeight="1" x14ac:dyDescent="0.3">
      <c r="A821" s="8" t="s">
        <v>862</v>
      </c>
      <c r="B821" s="8" t="s">
        <v>1059</v>
      </c>
      <c r="C821" s="8" t="s">
        <v>1057</v>
      </c>
      <c r="D821" s="8" t="s">
        <v>348</v>
      </c>
      <c r="E821" s="8" t="s">
        <v>185</v>
      </c>
      <c r="F821" s="9">
        <v>502</v>
      </c>
      <c r="G821" s="5" t="e">
        <f>'[2].xls].xls].xls].xls].xls].xls].xls].'!E41</f>
        <v>#REF!</v>
      </c>
      <c r="H821" s="5" t="e">
        <f t="shared" si="66"/>
        <v>#REF!</v>
      </c>
      <c r="I821" s="5" t="e">
        <f>'[2].xls].xls].xls].xls].xls].xls].xls].'!F41</f>
        <v>#REF!</v>
      </c>
      <c r="J821" s="5" t="e">
        <f t="shared" si="67"/>
        <v>#REF!</v>
      </c>
      <c r="K821" s="5" t="e">
        <f>'[2].xls].xls].xls].xls].xls].xls].xls].'!G41</f>
        <v>#REF!</v>
      </c>
      <c r="L821" s="5" t="e">
        <f t="shared" si="68"/>
        <v>#REF!</v>
      </c>
      <c r="M821" s="5" t="e">
        <f t="shared" si="70"/>
        <v>#REF!</v>
      </c>
      <c r="N821" s="5" t="e">
        <f t="shared" si="70"/>
        <v>#REF!</v>
      </c>
      <c r="O821" s="8" t="s">
        <v>1059</v>
      </c>
      <c r="T821">
        <v>0</v>
      </c>
      <c r="AC821">
        <v>1</v>
      </c>
    </row>
    <row r="822" spans="1:29" ht="30" customHeight="1" x14ac:dyDescent="0.3">
      <c r="A822" s="8" t="s">
        <v>862</v>
      </c>
      <c r="B822" s="8" t="s">
        <v>1060</v>
      </c>
      <c r="C822" s="8" t="s">
        <v>1057</v>
      </c>
      <c r="D822" s="8" t="s">
        <v>350</v>
      </c>
      <c r="E822" s="8" t="s">
        <v>185</v>
      </c>
      <c r="F822" s="9">
        <v>71</v>
      </c>
      <c r="G822" s="5" t="e">
        <f>'[2].xls].xls].xls].xls].xls].xls].xls].'!E42</f>
        <v>#REF!</v>
      </c>
      <c r="H822" s="5" t="e">
        <f t="shared" si="66"/>
        <v>#REF!</v>
      </c>
      <c r="I822" s="5" t="e">
        <f>'[2].xls].xls].xls].xls].xls].xls].xls].'!F42</f>
        <v>#REF!</v>
      </c>
      <c r="J822" s="5" t="e">
        <f t="shared" si="67"/>
        <v>#REF!</v>
      </c>
      <c r="K822" s="5" t="e">
        <f>'[2].xls].xls].xls].xls].xls].xls].xls].'!G42</f>
        <v>#REF!</v>
      </c>
      <c r="L822" s="5" t="e">
        <f t="shared" si="68"/>
        <v>#REF!</v>
      </c>
      <c r="M822" s="5" t="e">
        <f t="shared" si="70"/>
        <v>#REF!</v>
      </c>
      <c r="N822" s="5" t="e">
        <f t="shared" si="70"/>
        <v>#REF!</v>
      </c>
      <c r="O822" s="8" t="s">
        <v>1060</v>
      </c>
      <c r="T822">
        <v>0</v>
      </c>
      <c r="AC822">
        <v>1</v>
      </c>
    </row>
    <row r="823" spans="1:29" ht="30" customHeight="1" x14ac:dyDescent="0.3">
      <c r="A823" s="8" t="s">
        <v>862</v>
      </c>
      <c r="B823" s="8" t="s">
        <v>1061</v>
      </c>
      <c r="C823" s="8" t="s">
        <v>1057</v>
      </c>
      <c r="D823" s="8" t="s">
        <v>352</v>
      </c>
      <c r="E823" s="8" t="s">
        <v>185</v>
      </c>
      <c r="F823" s="9">
        <v>2</v>
      </c>
      <c r="G823" s="5" t="e">
        <f>'[2].xls].xls].xls].xls].xls].xls].xls].'!E43</f>
        <v>#REF!</v>
      </c>
      <c r="H823" s="5" t="e">
        <f t="shared" si="66"/>
        <v>#REF!</v>
      </c>
      <c r="I823" s="5" t="e">
        <f>'[2].xls].xls].xls].xls].xls].xls].xls].'!F43</f>
        <v>#REF!</v>
      </c>
      <c r="J823" s="5" t="e">
        <f t="shared" si="67"/>
        <v>#REF!</v>
      </c>
      <c r="K823" s="5" t="e">
        <f>'[2].xls].xls].xls].xls].xls].xls].xls].'!G43</f>
        <v>#REF!</v>
      </c>
      <c r="L823" s="5" t="e">
        <f t="shared" si="68"/>
        <v>#REF!</v>
      </c>
      <c r="M823" s="5" t="e">
        <f t="shared" si="70"/>
        <v>#REF!</v>
      </c>
      <c r="N823" s="5" t="e">
        <f t="shared" si="70"/>
        <v>#REF!</v>
      </c>
      <c r="O823" s="8" t="s">
        <v>1061</v>
      </c>
      <c r="T823">
        <v>0</v>
      </c>
      <c r="AC823">
        <v>1</v>
      </c>
    </row>
    <row r="824" spans="1:29" ht="30" customHeight="1" x14ac:dyDescent="0.3">
      <c r="A824" s="8" t="s">
        <v>862</v>
      </c>
      <c r="B824" s="8" t="s">
        <v>1062</v>
      </c>
      <c r="C824" s="8" t="s">
        <v>1057</v>
      </c>
      <c r="D824" s="8" t="s">
        <v>608</v>
      </c>
      <c r="E824" s="8" t="s">
        <v>185</v>
      </c>
      <c r="F824" s="9">
        <v>67</v>
      </c>
      <c r="G824" s="5" t="e">
        <f>'[2].xls].xls].xls].xls].xls].xls].xls].'!E44</f>
        <v>#REF!</v>
      </c>
      <c r="H824" s="5" t="e">
        <f t="shared" si="66"/>
        <v>#REF!</v>
      </c>
      <c r="I824" s="5" t="e">
        <f>'[2].xls].xls].xls].xls].xls].xls].xls].'!F44</f>
        <v>#REF!</v>
      </c>
      <c r="J824" s="5" t="e">
        <f t="shared" si="67"/>
        <v>#REF!</v>
      </c>
      <c r="K824" s="5" t="e">
        <f>'[2].xls].xls].xls].xls].xls].xls].xls].'!G44</f>
        <v>#REF!</v>
      </c>
      <c r="L824" s="5" t="e">
        <f t="shared" si="68"/>
        <v>#REF!</v>
      </c>
      <c r="M824" s="5" t="e">
        <f t="shared" si="70"/>
        <v>#REF!</v>
      </c>
      <c r="N824" s="5" t="e">
        <f t="shared" si="70"/>
        <v>#REF!</v>
      </c>
      <c r="O824" s="8" t="s">
        <v>1062</v>
      </c>
      <c r="T824">
        <v>0</v>
      </c>
      <c r="AC824">
        <v>1</v>
      </c>
    </row>
    <row r="825" spans="1:29" ht="30" customHeight="1" x14ac:dyDescent="0.3">
      <c r="A825" s="8" t="s">
        <v>862</v>
      </c>
      <c r="B825" s="8" t="s">
        <v>490</v>
      </c>
      <c r="C825" s="8" t="s">
        <v>483</v>
      </c>
      <c r="D825" s="8" t="s">
        <v>346</v>
      </c>
      <c r="E825" s="8" t="s">
        <v>185</v>
      </c>
      <c r="F825" s="9">
        <v>45</v>
      </c>
      <c r="G825" s="5" t="e">
        <f>'[2].xls].xls].xls].xls].xls].xls].xls].'!E52</f>
        <v>#REF!</v>
      </c>
      <c r="H825" s="5" t="e">
        <f t="shared" si="66"/>
        <v>#REF!</v>
      </c>
      <c r="I825" s="5" t="e">
        <f>'[2].xls].xls].xls].xls].xls].xls].xls].'!F52</f>
        <v>#REF!</v>
      </c>
      <c r="J825" s="5" t="e">
        <f t="shared" si="67"/>
        <v>#REF!</v>
      </c>
      <c r="K825" s="5" t="e">
        <f>'[2].xls].xls].xls].xls].xls].xls].xls].'!G52</f>
        <v>#REF!</v>
      </c>
      <c r="L825" s="5" t="e">
        <f t="shared" si="68"/>
        <v>#REF!</v>
      </c>
      <c r="M825" s="5" t="e">
        <f t="shared" si="70"/>
        <v>#REF!</v>
      </c>
      <c r="N825" s="5" t="e">
        <f t="shared" si="70"/>
        <v>#REF!</v>
      </c>
      <c r="O825" s="8" t="s">
        <v>490</v>
      </c>
      <c r="T825">
        <v>0</v>
      </c>
      <c r="AC825">
        <v>1</v>
      </c>
    </row>
    <row r="826" spans="1:29" ht="30" customHeight="1" x14ac:dyDescent="0.3">
      <c r="A826" s="8" t="s">
        <v>862</v>
      </c>
      <c r="B826" s="8" t="s">
        <v>492</v>
      </c>
      <c r="C826" s="8" t="s">
        <v>483</v>
      </c>
      <c r="D826" s="8" t="s">
        <v>348</v>
      </c>
      <c r="E826" s="8" t="s">
        <v>185</v>
      </c>
      <c r="F826" s="9">
        <v>21</v>
      </c>
      <c r="G826" s="5" t="e">
        <f>'[2].xls].xls].xls].xls].xls].xls].xls].'!E55</f>
        <v>#REF!</v>
      </c>
      <c r="H826" s="5" t="e">
        <f t="shared" si="66"/>
        <v>#REF!</v>
      </c>
      <c r="I826" s="5" t="e">
        <f>'[2].xls].xls].xls].xls].xls].xls].xls].'!F55</f>
        <v>#REF!</v>
      </c>
      <c r="J826" s="5" t="e">
        <f t="shared" si="67"/>
        <v>#REF!</v>
      </c>
      <c r="K826" s="5" t="e">
        <f>'[2].xls].xls].xls].xls].xls].xls].xls].'!G55</f>
        <v>#REF!</v>
      </c>
      <c r="L826" s="5" t="e">
        <f t="shared" si="68"/>
        <v>#REF!</v>
      </c>
      <c r="M826" s="5" t="e">
        <f t="shared" si="70"/>
        <v>#REF!</v>
      </c>
      <c r="N826" s="5" t="e">
        <f t="shared" si="70"/>
        <v>#REF!</v>
      </c>
      <c r="O826" s="8" t="s">
        <v>492</v>
      </c>
      <c r="T826">
        <v>0</v>
      </c>
      <c r="AC826">
        <v>1</v>
      </c>
    </row>
    <row r="827" spans="1:29" ht="30" customHeight="1" x14ac:dyDescent="0.3">
      <c r="A827" s="8" t="s">
        <v>862</v>
      </c>
      <c r="B827" s="8" t="s">
        <v>498</v>
      </c>
      <c r="C827" s="8" t="s">
        <v>494</v>
      </c>
      <c r="D827" s="8" t="s">
        <v>499</v>
      </c>
      <c r="E827" s="8" t="s">
        <v>179</v>
      </c>
      <c r="F827" s="9">
        <v>5</v>
      </c>
      <c r="G827" s="5">
        <f>TRUNC([1]단가대비표!O562,0)</f>
        <v>520</v>
      </c>
      <c r="H827" s="5">
        <f t="shared" si="66"/>
        <v>2600</v>
      </c>
      <c r="I827" s="5">
        <v>0</v>
      </c>
      <c r="J827" s="5">
        <f t="shared" si="67"/>
        <v>0</v>
      </c>
      <c r="K827" s="5">
        <v>0</v>
      </c>
      <c r="L827" s="5">
        <f t="shared" si="68"/>
        <v>0</v>
      </c>
      <c r="M827" s="5">
        <f t="shared" si="70"/>
        <v>520</v>
      </c>
      <c r="N827" s="5">
        <f t="shared" si="70"/>
        <v>2600</v>
      </c>
      <c r="O827" s="8" t="s">
        <v>20</v>
      </c>
      <c r="T827">
        <v>0</v>
      </c>
      <c r="AC827">
        <v>1</v>
      </c>
    </row>
    <row r="828" spans="1:29" ht="30" customHeight="1" x14ac:dyDescent="0.3">
      <c r="A828" s="8" t="s">
        <v>862</v>
      </c>
      <c r="B828" s="8" t="s">
        <v>502</v>
      </c>
      <c r="C828" s="8" t="s">
        <v>494</v>
      </c>
      <c r="D828" s="8" t="s">
        <v>503</v>
      </c>
      <c r="E828" s="8" t="s">
        <v>179</v>
      </c>
      <c r="F828" s="9">
        <v>6</v>
      </c>
      <c r="G828" s="5">
        <f>TRUNC([1]단가대비표!O565,0)</f>
        <v>880</v>
      </c>
      <c r="H828" s="5">
        <f t="shared" si="66"/>
        <v>5280</v>
      </c>
      <c r="I828" s="5">
        <v>0</v>
      </c>
      <c r="J828" s="5">
        <f t="shared" si="67"/>
        <v>0</v>
      </c>
      <c r="K828" s="5">
        <v>0</v>
      </c>
      <c r="L828" s="5">
        <f t="shared" si="68"/>
        <v>0</v>
      </c>
      <c r="M828" s="5">
        <f t="shared" si="70"/>
        <v>880</v>
      </c>
      <c r="N828" s="5">
        <f t="shared" si="70"/>
        <v>5280</v>
      </c>
      <c r="O828" s="8" t="s">
        <v>20</v>
      </c>
      <c r="T828">
        <v>0</v>
      </c>
      <c r="AC828">
        <v>1</v>
      </c>
    </row>
    <row r="829" spans="1:29" ht="30" customHeight="1" x14ac:dyDescent="0.3">
      <c r="A829" s="8" t="s">
        <v>862</v>
      </c>
      <c r="B829" s="8" t="s">
        <v>1063</v>
      </c>
      <c r="C829" s="8" t="s">
        <v>494</v>
      </c>
      <c r="D829" s="8" t="s">
        <v>1064</v>
      </c>
      <c r="E829" s="8" t="s">
        <v>179</v>
      </c>
      <c r="F829" s="9">
        <v>11</v>
      </c>
      <c r="G829" s="5">
        <f>TRUNC([1]단가대비표!O571,0)</f>
        <v>280</v>
      </c>
      <c r="H829" s="5">
        <f t="shared" si="66"/>
        <v>3080</v>
      </c>
      <c r="I829" s="5">
        <v>0</v>
      </c>
      <c r="J829" s="5">
        <f t="shared" si="67"/>
        <v>0</v>
      </c>
      <c r="K829" s="5">
        <v>0</v>
      </c>
      <c r="L829" s="5">
        <f t="shared" si="68"/>
        <v>0</v>
      </c>
      <c r="M829" s="5">
        <f t="shared" si="70"/>
        <v>280</v>
      </c>
      <c r="N829" s="5">
        <f t="shared" si="70"/>
        <v>3080</v>
      </c>
      <c r="O829" s="8" t="s">
        <v>20</v>
      </c>
      <c r="T829">
        <v>0</v>
      </c>
      <c r="AC829">
        <v>1</v>
      </c>
    </row>
    <row r="830" spans="1:29" ht="30" customHeight="1" x14ac:dyDescent="0.3">
      <c r="A830" s="8" t="s">
        <v>862</v>
      </c>
      <c r="B830" s="8" t="s">
        <v>1065</v>
      </c>
      <c r="C830" s="8" t="s">
        <v>494</v>
      </c>
      <c r="D830" s="8" t="s">
        <v>1066</v>
      </c>
      <c r="E830" s="8" t="s">
        <v>179</v>
      </c>
      <c r="F830" s="9">
        <v>5</v>
      </c>
      <c r="G830" s="5">
        <f>TRUNC([1]단가대비표!O572,0)</f>
        <v>440</v>
      </c>
      <c r="H830" s="5">
        <f t="shared" si="66"/>
        <v>2200</v>
      </c>
      <c r="I830" s="5">
        <v>0</v>
      </c>
      <c r="J830" s="5">
        <f t="shared" si="67"/>
        <v>0</v>
      </c>
      <c r="K830" s="5">
        <v>0</v>
      </c>
      <c r="L830" s="5">
        <f t="shared" si="68"/>
        <v>0</v>
      </c>
      <c r="M830" s="5">
        <f t="shared" si="70"/>
        <v>440</v>
      </c>
      <c r="N830" s="5">
        <f t="shared" si="70"/>
        <v>2200</v>
      </c>
      <c r="O830" s="8" t="s">
        <v>20</v>
      </c>
      <c r="T830">
        <v>0</v>
      </c>
      <c r="AC830">
        <v>1</v>
      </c>
    </row>
    <row r="831" spans="1:29" ht="30" customHeight="1" x14ac:dyDescent="0.3">
      <c r="A831" s="8" t="s">
        <v>862</v>
      </c>
      <c r="B831" s="8" t="s">
        <v>1067</v>
      </c>
      <c r="C831" s="8" t="s">
        <v>494</v>
      </c>
      <c r="D831" s="8" t="s">
        <v>1068</v>
      </c>
      <c r="E831" s="8" t="s">
        <v>179</v>
      </c>
      <c r="F831" s="9">
        <v>8</v>
      </c>
      <c r="G831" s="5">
        <f>TRUNC([1]단가대비표!O573,0)</f>
        <v>540</v>
      </c>
      <c r="H831" s="5">
        <f t="shared" si="66"/>
        <v>4320</v>
      </c>
      <c r="I831" s="5">
        <v>0</v>
      </c>
      <c r="J831" s="5">
        <f t="shared" si="67"/>
        <v>0</v>
      </c>
      <c r="K831" s="5">
        <v>0</v>
      </c>
      <c r="L831" s="5">
        <f t="shared" si="68"/>
        <v>0</v>
      </c>
      <c r="M831" s="5">
        <f t="shared" si="70"/>
        <v>540</v>
      </c>
      <c r="N831" s="5">
        <f t="shared" si="70"/>
        <v>4320</v>
      </c>
      <c r="O831" s="8" t="s">
        <v>20</v>
      </c>
      <c r="T831">
        <v>0</v>
      </c>
      <c r="AC831">
        <v>1</v>
      </c>
    </row>
    <row r="832" spans="1:29" ht="30" customHeight="1" x14ac:dyDescent="0.3">
      <c r="A832" s="8" t="s">
        <v>862</v>
      </c>
      <c r="B832" s="8" t="s">
        <v>1069</v>
      </c>
      <c r="C832" s="8" t="s">
        <v>494</v>
      </c>
      <c r="D832" s="8" t="s">
        <v>1070</v>
      </c>
      <c r="E832" s="8" t="s">
        <v>179</v>
      </c>
      <c r="F832" s="9">
        <v>11</v>
      </c>
      <c r="G832" s="5">
        <f>TRUNC([1]단가대비표!O574,0)</f>
        <v>640</v>
      </c>
      <c r="H832" s="5">
        <f t="shared" si="66"/>
        <v>7040</v>
      </c>
      <c r="I832" s="5">
        <v>0</v>
      </c>
      <c r="J832" s="5">
        <f t="shared" si="67"/>
        <v>0</v>
      </c>
      <c r="K832" s="5">
        <v>0</v>
      </c>
      <c r="L832" s="5">
        <f t="shared" si="68"/>
        <v>0</v>
      </c>
      <c r="M832" s="5">
        <f t="shared" si="70"/>
        <v>640</v>
      </c>
      <c r="N832" s="5">
        <f t="shared" si="70"/>
        <v>7040</v>
      </c>
      <c r="O832" s="8" t="s">
        <v>20</v>
      </c>
      <c r="T832">
        <v>0</v>
      </c>
      <c r="AC832">
        <v>1</v>
      </c>
    </row>
    <row r="833" spans="1:29" ht="30" customHeight="1" x14ac:dyDescent="0.3">
      <c r="A833" s="8" t="s">
        <v>862</v>
      </c>
      <c r="B833" s="8" t="s">
        <v>1071</v>
      </c>
      <c r="C833" s="8" t="s">
        <v>494</v>
      </c>
      <c r="D833" s="8" t="s">
        <v>1072</v>
      </c>
      <c r="E833" s="8" t="s">
        <v>179</v>
      </c>
      <c r="F833" s="9">
        <v>2</v>
      </c>
      <c r="G833" s="5">
        <f>TRUNC([1]단가대비표!O575,0)</f>
        <v>840</v>
      </c>
      <c r="H833" s="5">
        <f t="shared" si="66"/>
        <v>1680</v>
      </c>
      <c r="I833" s="5">
        <v>0</v>
      </c>
      <c r="J833" s="5">
        <f t="shared" si="67"/>
        <v>0</v>
      </c>
      <c r="K833" s="5">
        <v>0</v>
      </c>
      <c r="L833" s="5">
        <f t="shared" si="68"/>
        <v>0</v>
      </c>
      <c r="M833" s="5">
        <f t="shared" si="70"/>
        <v>840</v>
      </c>
      <c r="N833" s="5">
        <f t="shared" si="70"/>
        <v>1680</v>
      </c>
      <c r="O833" s="8" t="s">
        <v>20</v>
      </c>
      <c r="T833">
        <v>0</v>
      </c>
      <c r="AC833">
        <v>1</v>
      </c>
    </row>
    <row r="834" spans="1:29" ht="30" customHeight="1" x14ac:dyDescent="0.3">
      <c r="A834" s="8" t="s">
        <v>862</v>
      </c>
      <c r="B834" s="8" t="s">
        <v>1073</v>
      </c>
      <c r="C834" s="8" t="s">
        <v>528</v>
      </c>
      <c r="D834" s="8" t="s">
        <v>346</v>
      </c>
      <c r="E834" s="8" t="s">
        <v>185</v>
      </c>
      <c r="F834" s="9">
        <v>3</v>
      </c>
      <c r="G834" s="5" t="e">
        <f>'[2].xls].xls].xls].xls].xls].xls].xls].'!E59</f>
        <v>#REF!</v>
      </c>
      <c r="H834" s="5" t="e">
        <f t="shared" si="66"/>
        <v>#REF!</v>
      </c>
      <c r="I834" s="5" t="e">
        <f>'[2].xls].xls].xls].xls].xls].xls].xls].'!F59</f>
        <v>#REF!</v>
      </c>
      <c r="J834" s="5" t="e">
        <f t="shared" si="67"/>
        <v>#REF!</v>
      </c>
      <c r="K834" s="5" t="e">
        <f>'[2].xls].xls].xls].xls].xls].xls].xls].'!G59</f>
        <v>#REF!</v>
      </c>
      <c r="L834" s="5" t="e">
        <f t="shared" si="68"/>
        <v>#REF!</v>
      </c>
      <c r="M834" s="5" t="e">
        <f t="shared" si="70"/>
        <v>#REF!</v>
      </c>
      <c r="N834" s="5" t="e">
        <f t="shared" si="70"/>
        <v>#REF!</v>
      </c>
      <c r="O834" s="8" t="s">
        <v>1073</v>
      </c>
      <c r="T834">
        <v>0</v>
      </c>
      <c r="AC834">
        <v>1</v>
      </c>
    </row>
    <row r="835" spans="1:29" ht="30" customHeight="1" x14ac:dyDescent="0.3">
      <c r="A835" s="8" t="s">
        <v>862</v>
      </c>
      <c r="B835" s="8" t="s">
        <v>1074</v>
      </c>
      <c r="C835" s="8" t="s">
        <v>528</v>
      </c>
      <c r="D835" s="8" t="s">
        <v>348</v>
      </c>
      <c r="E835" s="8" t="s">
        <v>185</v>
      </c>
      <c r="F835" s="9">
        <v>5</v>
      </c>
      <c r="G835" s="5" t="e">
        <f>'[2].xls].xls].xls].xls].xls].xls].xls].'!E61</f>
        <v>#REF!</v>
      </c>
      <c r="H835" s="5" t="e">
        <f t="shared" ref="H835:H872" si="71">TRUNC(F835*G835,0)</f>
        <v>#REF!</v>
      </c>
      <c r="I835" s="5" t="e">
        <f>'[2].xls].xls].xls].xls].xls].xls].xls].'!F61</f>
        <v>#REF!</v>
      </c>
      <c r="J835" s="5" t="e">
        <f t="shared" ref="J835:J872" si="72">TRUNC(F835*I835,0)</f>
        <v>#REF!</v>
      </c>
      <c r="K835" s="5" t="e">
        <f>'[2].xls].xls].xls].xls].xls].xls].xls].'!G61</f>
        <v>#REF!</v>
      </c>
      <c r="L835" s="5" t="e">
        <f t="shared" ref="L835:L872" si="73">TRUNC(F835*K835,0)</f>
        <v>#REF!</v>
      </c>
      <c r="M835" s="5" t="e">
        <f t="shared" ref="M835:N866" si="74">G835+I835+K835</f>
        <v>#REF!</v>
      </c>
      <c r="N835" s="5" t="e">
        <f t="shared" si="74"/>
        <v>#REF!</v>
      </c>
      <c r="O835" s="8" t="s">
        <v>1074</v>
      </c>
      <c r="T835">
        <v>0</v>
      </c>
      <c r="AC835">
        <v>1</v>
      </c>
    </row>
    <row r="836" spans="1:29" ht="30" customHeight="1" x14ac:dyDescent="0.3">
      <c r="A836" s="8" t="s">
        <v>862</v>
      </c>
      <c r="B836" s="8" t="s">
        <v>1075</v>
      </c>
      <c r="C836" s="8" t="s">
        <v>528</v>
      </c>
      <c r="D836" s="8" t="s">
        <v>350</v>
      </c>
      <c r="E836" s="8" t="s">
        <v>185</v>
      </c>
      <c r="F836" s="9">
        <v>1</v>
      </c>
      <c r="G836" s="5" t="e">
        <f>'[2].xls].xls].xls].xls].xls].xls].xls].'!E62</f>
        <v>#REF!</v>
      </c>
      <c r="H836" s="5" t="e">
        <f t="shared" si="71"/>
        <v>#REF!</v>
      </c>
      <c r="I836" s="5" t="e">
        <f>'[2].xls].xls].xls].xls].xls].xls].xls].'!F62</f>
        <v>#REF!</v>
      </c>
      <c r="J836" s="5" t="e">
        <f t="shared" si="72"/>
        <v>#REF!</v>
      </c>
      <c r="K836" s="5" t="e">
        <f>'[2].xls].xls].xls].xls].xls].xls].xls].'!G62</f>
        <v>#REF!</v>
      </c>
      <c r="L836" s="5" t="e">
        <f t="shared" si="73"/>
        <v>#REF!</v>
      </c>
      <c r="M836" s="5" t="e">
        <f t="shared" si="74"/>
        <v>#REF!</v>
      </c>
      <c r="N836" s="5" t="e">
        <f t="shared" si="74"/>
        <v>#REF!</v>
      </c>
      <c r="O836" s="8" t="s">
        <v>1075</v>
      </c>
      <c r="T836">
        <v>0</v>
      </c>
      <c r="AC836">
        <v>1</v>
      </c>
    </row>
    <row r="837" spans="1:29" ht="30" customHeight="1" x14ac:dyDescent="0.3">
      <c r="A837" s="8" t="s">
        <v>862</v>
      </c>
      <c r="B837" s="8" t="s">
        <v>1076</v>
      </c>
      <c r="C837" s="8" t="s">
        <v>528</v>
      </c>
      <c r="D837" s="8" t="s">
        <v>352</v>
      </c>
      <c r="E837" s="8" t="s">
        <v>185</v>
      </c>
      <c r="F837" s="9">
        <v>2</v>
      </c>
      <c r="G837" s="5" t="e">
        <f>'[2].xls].xls].xls].xls].xls].xls].xls].'!E63</f>
        <v>#REF!</v>
      </c>
      <c r="H837" s="5" t="e">
        <f t="shared" si="71"/>
        <v>#REF!</v>
      </c>
      <c r="I837" s="5" t="e">
        <f>'[2].xls].xls].xls].xls].xls].xls].xls].'!F63</f>
        <v>#REF!</v>
      </c>
      <c r="J837" s="5" t="e">
        <f t="shared" si="72"/>
        <v>#REF!</v>
      </c>
      <c r="K837" s="5" t="e">
        <f>'[2].xls].xls].xls].xls].xls].xls].xls].'!G63</f>
        <v>#REF!</v>
      </c>
      <c r="L837" s="5" t="e">
        <f t="shared" si="73"/>
        <v>#REF!</v>
      </c>
      <c r="M837" s="5" t="e">
        <f t="shared" si="74"/>
        <v>#REF!</v>
      </c>
      <c r="N837" s="5" t="e">
        <f t="shared" si="74"/>
        <v>#REF!</v>
      </c>
      <c r="O837" s="8" t="s">
        <v>1076</v>
      </c>
      <c r="T837">
        <v>0</v>
      </c>
      <c r="AC837">
        <v>1</v>
      </c>
    </row>
    <row r="838" spans="1:29" ht="30" customHeight="1" x14ac:dyDescent="0.3">
      <c r="A838" s="8" t="s">
        <v>862</v>
      </c>
      <c r="B838" s="8" t="s">
        <v>1077</v>
      </c>
      <c r="C838" s="8" t="s">
        <v>528</v>
      </c>
      <c r="D838" s="8" t="s">
        <v>608</v>
      </c>
      <c r="E838" s="8" t="s">
        <v>185</v>
      </c>
      <c r="F838" s="9">
        <v>3</v>
      </c>
      <c r="G838" s="5" t="e">
        <f>'[2].xls].xls].xls].xls].xls].xls].xls].'!E64</f>
        <v>#REF!</v>
      </c>
      <c r="H838" s="5" t="e">
        <f t="shared" si="71"/>
        <v>#REF!</v>
      </c>
      <c r="I838" s="5" t="e">
        <f>'[2].xls].xls].xls].xls].xls].xls].xls].'!F64</f>
        <v>#REF!</v>
      </c>
      <c r="J838" s="5" t="e">
        <f t="shared" si="72"/>
        <v>#REF!</v>
      </c>
      <c r="K838" s="5" t="e">
        <f>'[2].xls].xls].xls].xls].xls].xls].xls].'!G64</f>
        <v>#REF!</v>
      </c>
      <c r="L838" s="5" t="e">
        <f t="shared" si="73"/>
        <v>#REF!</v>
      </c>
      <c r="M838" s="5" t="e">
        <f t="shared" si="74"/>
        <v>#REF!</v>
      </c>
      <c r="N838" s="5" t="e">
        <f t="shared" si="74"/>
        <v>#REF!</v>
      </c>
      <c r="O838" s="8" t="s">
        <v>1077</v>
      </c>
      <c r="T838">
        <v>0</v>
      </c>
      <c r="AC838">
        <v>1</v>
      </c>
    </row>
    <row r="839" spans="1:29" ht="30" customHeight="1" x14ac:dyDescent="0.3">
      <c r="A839" s="8" t="s">
        <v>862</v>
      </c>
      <c r="B839" s="8" t="s">
        <v>1078</v>
      </c>
      <c r="C839" s="8" t="s">
        <v>1079</v>
      </c>
      <c r="D839" s="8" t="s">
        <v>350</v>
      </c>
      <c r="E839" s="8" t="s">
        <v>185</v>
      </c>
      <c r="F839" s="9">
        <v>2</v>
      </c>
      <c r="G839" s="5" t="e">
        <f>'[2].xls].xls].xls].xls].xls].xls].xls].'!E67</f>
        <v>#REF!</v>
      </c>
      <c r="H839" s="5" t="e">
        <f t="shared" si="71"/>
        <v>#REF!</v>
      </c>
      <c r="I839" s="5" t="e">
        <f>'[2].xls].xls].xls].xls].xls].xls].xls].'!F67</f>
        <v>#REF!</v>
      </c>
      <c r="J839" s="5" t="e">
        <f t="shared" si="72"/>
        <v>#REF!</v>
      </c>
      <c r="K839" s="5" t="e">
        <f>'[2].xls].xls].xls].xls].xls].xls].xls].'!G67</f>
        <v>#REF!</v>
      </c>
      <c r="L839" s="5" t="e">
        <f t="shared" si="73"/>
        <v>#REF!</v>
      </c>
      <c r="M839" s="5" t="e">
        <f t="shared" si="74"/>
        <v>#REF!</v>
      </c>
      <c r="N839" s="5" t="e">
        <f t="shared" si="74"/>
        <v>#REF!</v>
      </c>
      <c r="O839" s="8" t="s">
        <v>1078</v>
      </c>
      <c r="T839">
        <v>0</v>
      </c>
      <c r="AC839">
        <v>1</v>
      </c>
    </row>
    <row r="840" spans="1:29" ht="30" customHeight="1" x14ac:dyDescent="0.3">
      <c r="A840" s="8" t="s">
        <v>862</v>
      </c>
      <c r="B840" s="8" t="s">
        <v>1080</v>
      </c>
      <c r="C840" s="8" t="s">
        <v>1079</v>
      </c>
      <c r="D840" s="8" t="s">
        <v>352</v>
      </c>
      <c r="E840" s="8" t="s">
        <v>185</v>
      </c>
      <c r="F840" s="9">
        <v>2</v>
      </c>
      <c r="G840" s="5" t="e">
        <f>'[2].xls].xls].xls].xls].xls].xls].xls].'!E68</f>
        <v>#REF!</v>
      </c>
      <c r="H840" s="5" t="e">
        <f t="shared" si="71"/>
        <v>#REF!</v>
      </c>
      <c r="I840" s="5" t="e">
        <f>'[2].xls].xls].xls].xls].xls].xls].xls].'!F68</f>
        <v>#REF!</v>
      </c>
      <c r="J840" s="5" t="e">
        <f t="shared" si="72"/>
        <v>#REF!</v>
      </c>
      <c r="K840" s="5" t="e">
        <f>'[2].xls].xls].xls].xls].xls].xls].xls].'!G68</f>
        <v>#REF!</v>
      </c>
      <c r="L840" s="5" t="e">
        <f t="shared" si="73"/>
        <v>#REF!</v>
      </c>
      <c r="M840" s="5" t="e">
        <f t="shared" si="74"/>
        <v>#REF!</v>
      </c>
      <c r="N840" s="5" t="e">
        <f t="shared" si="74"/>
        <v>#REF!</v>
      </c>
      <c r="O840" s="8" t="s">
        <v>1080</v>
      </c>
      <c r="T840">
        <v>0</v>
      </c>
      <c r="AC840">
        <v>1</v>
      </c>
    </row>
    <row r="841" spans="1:29" ht="30" customHeight="1" x14ac:dyDescent="0.3">
      <c r="A841" s="8" t="s">
        <v>862</v>
      </c>
      <c r="B841" s="8" t="s">
        <v>686</v>
      </c>
      <c r="C841" s="8" t="s">
        <v>687</v>
      </c>
      <c r="D841" s="8" t="s">
        <v>346</v>
      </c>
      <c r="E841" s="8" t="s">
        <v>185</v>
      </c>
      <c r="F841" s="9">
        <v>5</v>
      </c>
      <c r="G841" s="5">
        <f>TRUNC([1]단가대비표!O643,0)</f>
        <v>13168</v>
      </c>
      <c r="H841" s="5">
        <f t="shared" si="71"/>
        <v>65840</v>
      </c>
      <c r="I841" s="5">
        <v>0</v>
      </c>
      <c r="J841" s="5">
        <f t="shared" si="72"/>
        <v>0</v>
      </c>
      <c r="K841" s="5">
        <v>0</v>
      </c>
      <c r="L841" s="5">
        <f t="shared" si="73"/>
        <v>0</v>
      </c>
      <c r="M841" s="5">
        <f t="shared" si="74"/>
        <v>13168</v>
      </c>
      <c r="N841" s="5">
        <f t="shared" si="74"/>
        <v>65840</v>
      </c>
      <c r="O841" s="8" t="s">
        <v>20</v>
      </c>
      <c r="T841">
        <v>0</v>
      </c>
      <c r="AC841">
        <v>1</v>
      </c>
    </row>
    <row r="842" spans="1:29" ht="30" customHeight="1" x14ac:dyDescent="0.3">
      <c r="A842" s="8" t="s">
        <v>862</v>
      </c>
      <c r="B842" s="8" t="s">
        <v>689</v>
      </c>
      <c r="C842" s="8" t="s">
        <v>687</v>
      </c>
      <c r="D842" s="8" t="s">
        <v>348</v>
      </c>
      <c r="E842" s="8" t="s">
        <v>185</v>
      </c>
      <c r="F842" s="9">
        <v>6</v>
      </c>
      <c r="G842" s="5">
        <f>TRUNC([1]단가대비표!O646,0)</f>
        <v>16464</v>
      </c>
      <c r="H842" s="5">
        <f t="shared" si="71"/>
        <v>98784</v>
      </c>
      <c r="I842" s="5">
        <v>0</v>
      </c>
      <c r="J842" s="5">
        <f t="shared" si="72"/>
        <v>0</v>
      </c>
      <c r="K842" s="5">
        <v>0</v>
      </c>
      <c r="L842" s="5">
        <f t="shared" si="73"/>
        <v>0</v>
      </c>
      <c r="M842" s="5">
        <f t="shared" si="74"/>
        <v>16464</v>
      </c>
      <c r="N842" s="5">
        <f t="shared" si="74"/>
        <v>98784</v>
      </c>
      <c r="O842" s="8" t="s">
        <v>20</v>
      </c>
      <c r="T842">
        <v>0</v>
      </c>
      <c r="AC842">
        <v>1</v>
      </c>
    </row>
    <row r="843" spans="1:29" ht="30" customHeight="1" x14ac:dyDescent="0.3">
      <c r="A843" s="8" t="s">
        <v>862</v>
      </c>
      <c r="B843" s="8" t="s">
        <v>1081</v>
      </c>
      <c r="C843" s="8" t="s">
        <v>1082</v>
      </c>
      <c r="D843" s="8" t="s">
        <v>346</v>
      </c>
      <c r="E843" s="8" t="s">
        <v>185</v>
      </c>
      <c r="F843" s="9">
        <v>80</v>
      </c>
      <c r="G843" s="5">
        <f>TRUNC([1]단가대비표!O649,0)</f>
        <v>15689</v>
      </c>
      <c r="H843" s="5">
        <f t="shared" si="71"/>
        <v>1255120</v>
      </c>
      <c r="I843" s="5">
        <v>0</v>
      </c>
      <c r="J843" s="5">
        <f t="shared" si="72"/>
        <v>0</v>
      </c>
      <c r="K843" s="5">
        <v>0</v>
      </c>
      <c r="L843" s="5">
        <f t="shared" si="73"/>
        <v>0</v>
      </c>
      <c r="M843" s="5">
        <f t="shared" si="74"/>
        <v>15689</v>
      </c>
      <c r="N843" s="5">
        <f t="shared" si="74"/>
        <v>1255120</v>
      </c>
      <c r="O843" s="8" t="s">
        <v>20</v>
      </c>
      <c r="T843">
        <v>0</v>
      </c>
      <c r="AC843">
        <v>1</v>
      </c>
    </row>
    <row r="844" spans="1:29" ht="30" customHeight="1" x14ac:dyDescent="0.3">
      <c r="A844" s="8" t="s">
        <v>862</v>
      </c>
      <c r="B844" s="8" t="s">
        <v>1083</v>
      </c>
      <c r="C844" s="8" t="s">
        <v>1082</v>
      </c>
      <c r="D844" s="8" t="s">
        <v>187</v>
      </c>
      <c r="E844" s="8" t="s">
        <v>185</v>
      </c>
      <c r="F844" s="9">
        <v>4</v>
      </c>
      <c r="G844" s="5">
        <f>TRUNC([1]단가대비표!O650,0)</f>
        <v>28614</v>
      </c>
      <c r="H844" s="5">
        <f t="shared" si="71"/>
        <v>114456</v>
      </c>
      <c r="I844" s="5">
        <v>0</v>
      </c>
      <c r="J844" s="5">
        <f t="shared" si="72"/>
        <v>0</v>
      </c>
      <c r="K844" s="5">
        <v>0</v>
      </c>
      <c r="L844" s="5">
        <f t="shared" si="73"/>
        <v>0</v>
      </c>
      <c r="M844" s="5">
        <f t="shared" si="74"/>
        <v>28614</v>
      </c>
      <c r="N844" s="5">
        <f t="shared" si="74"/>
        <v>114456</v>
      </c>
      <c r="O844" s="8" t="s">
        <v>20</v>
      </c>
      <c r="T844">
        <v>0</v>
      </c>
      <c r="AC844">
        <v>1</v>
      </c>
    </row>
    <row r="845" spans="1:29" ht="30" customHeight="1" x14ac:dyDescent="0.3">
      <c r="A845" s="8" t="s">
        <v>862</v>
      </c>
      <c r="B845" s="8" t="s">
        <v>1084</v>
      </c>
      <c r="C845" s="8" t="s">
        <v>1082</v>
      </c>
      <c r="D845" s="8" t="s">
        <v>348</v>
      </c>
      <c r="E845" s="8" t="s">
        <v>185</v>
      </c>
      <c r="F845" s="9">
        <v>83</v>
      </c>
      <c r="G845" s="5">
        <f>TRUNC([1]단가대비표!O651,0)</f>
        <v>32530</v>
      </c>
      <c r="H845" s="5">
        <f t="shared" si="71"/>
        <v>2699990</v>
      </c>
      <c r="I845" s="5">
        <v>0</v>
      </c>
      <c r="J845" s="5">
        <f t="shared" si="72"/>
        <v>0</v>
      </c>
      <c r="K845" s="5">
        <v>0</v>
      </c>
      <c r="L845" s="5">
        <f t="shared" si="73"/>
        <v>0</v>
      </c>
      <c r="M845" s="5">
        <f t="shared" si="74"/>
        <v>32530</v>
      </c>
      <c r="N845" s="5">
        <f t="shared" si="74"/>
        <v>2699990</v>
      </c>
      <c r="O845" s="8" t="s">
        <v>20</v>
      </c>
      <c r="T845">
        <v>0</v>
      </c>
      <c r="AC845">
        <v>1</v>
      </c>
    </row>
    <row r="846" spans="1:29" ht="30" customHeight="1" x14ac:dyDescent="0.3">
      <c r="A846" s="8" t="s">
        <v>862</v>
      </c>
      <c r="B846" s="8" t="s">
        <v>1085</v>
      </c>
      <c r="C846" s="8" t="s">
        <v>1082</v>
      </c>
      <c r="D846" s="8" t="s">
        <v>352</v>
      </c>
      <c r="E846" s="8" t="s">
        <v>185</v>
      </c>
      <c r="F846" s="9">
        <v>4</v>
      </c>
      <c r="G846" s="5">
        <f>TRUNC([1]단가대비표!O653,0)</f>
        <v>58837</v>
      </c>
      <c r="H846" s="5">
        <f t="shared" si="71"/>
        <v>235348</v>
      </c>
      <c r="I846" s="5">
        <v>0</v>
      </c>
      <c r="J846" s="5">
        <f t="shared" si="72"/>
        <v>0</v>
      </c>
      <c r="K846" s="5">
        <v>0</v>
      </c>
      <c r="L846" s="5">
        <f t="shared" si="73"/>
        <v>0</v>
      </c>
      <c r="M846" s="5">
        <f t="shared" si="74"/>
        <v>58837</v>
      </c>
      <c r="N846" s="5">
        <f t="shared" si="74"/>
        <v>235348</v>
      </c>
      <c r="O846" s="8" t="s">
        <v>20</v>
      </c>
      <c r="T846">
        <v>0</v>
      </c>
      <c r="AC846">
        <v>1</v>
      </c>
    </row>
    <row r="847" spans="1:29" ht="30" customHeight="1" x14ac:dyDescent="0.3">
      <c r="A847" s="8" t="s">
        <v>862</v>
      </c>
      <c r="B847" s="8" t="s">
        <v>1086</v>
      </c>
      <c r="C847" s="8" t="s">
        <v>1082</v>
      </c>
      <c r="D847" s="8" t="s">
        <v>608</v>
      </c>
      <c r="E847" s="8" t="s">
        <v>185</v>
      </c>
      <c r="F847" s="9">
        <v>5</v>
      </c>
      <c r="G847" s="5">
        <f>TRUNC([1]단가대비표!O654,0)</f>
        <v>114687</v>
      </c>
      <c r="H847" s="5">
        <f t="shared" si="71"/>
        <v>573435</v>
      </c>
      <c r="I847" s="5">
        <v>0</v>
      </c>
      <c r="J847" s="5">
        <f t="shared" si="72"/>
        <v>0</v>
      </c>
      <c r="K847" s="5">
        <v>0</v>
      </c>
      <c r="L847" s="5">
        <f t="shared" si="73"/>
        <v>0</v>
      </c>
      <c r="M847" s="5">
        <f t="shared" si="74"/>
        <v>114687</v>
      </c>
      <c r="N847" s="5">
        <f t="shared" si="74"/>
        <v>573435</v>
      </c>
      <c r="O847" s="8" t="s">
        <v>20</v>
      </c>
      <c r="T847">
        <v>0</v>
      </c>
      <c r="AC847">
        <v>1</v>
      </c>
    </row>
    <row r="848" spans="1:29" ht="30" customHeight="1" x14ac:dyDescent="0.3">
      <c r="A848" s="8" t="s">
        <v>862</v>
      </c>
      <c r="B848" s="8" t="s">
        <v>1087</v>
      </c>
      <c r="C848" s="8" t="s">
        <v>1088</v>
      </c>
      <c r="D848" s="8" t="s">
        <v>346</v>
      </c>
      <c r="E848" s="8" t="s">
        <v>185</v>
      </c>
      <c r="F848" s="9">
        <v>11</v>
      </c>
      <c r="G848" s="5">
        <f>TRUNC([1]단가대비표!O656,0)</f>
        <v>11862</v>
      </c>
      <c r="H848" s="5">
        <f t="shared" si="71"/>
        <v>130482</v>
      </c>
      <c r="I848" s="5">
        <v>0</v>
      </c>
      <c r="J848" s="5">
        <f t="shared" si="72"/>
        <v>0</v>
      </c>
      <c r="K848" s="5">
        <v>0</v>
      </c>
      <c r="L848" s="5">
        <f t="shared" si="73"/>
        <v>0</v>
      </c>
      <c r="M848" s="5">
        <f t="shared" si="74"/>
        <v>11862</v>
      </c>
      <c r="N848" s="5">
        <f t="shared" si="74"/>
        <v>130482</v>
      </c>
      <c r="O848" s="8" t="s">
        <v>20</v>
      </c>
      <c r="T848">
        <v>0</v>
      </c>
      <c r="AC848">
        <v>1</v>
      </c>
    </row>
    <row r="849" spans="1:29" ht="30" customHeight="1" x14ac:dyDescent="0.3">
      <c r="A849" s="8" t="s">
        <v>862</v>
      </c>
      <c r="B849" s="8" t="s">
        <v>1089</v>
      </c>
      <c r="C849" s="8" t="s">
        <v>1088</v>
      </c>
      <c r="D849" s="8" t="s">
        <v>348</v>
      </c>
      <c r="E849" s="8" t="s">
        <v>185</v>
      </c>
      <c r="F849" s="9">
        <v>5</v>
      </c>
      <c r="G849" s="5">
        <f>TRUNC([1]단가대비표!O657,0)</f>
        <v>22131</v>
      </c>
      <c r="H849" s="5">
        <f t="shared" si="71"/>
        <v>110655</v>
      </c>
      <c r="I849" s="5">
        <v>0</v>
      </c>
      <c r="J849" s="5">
        <f t="shared" si="72"/>
        <v>0</v>
      </c>
      <c r="K849" s="5">
        <v>0</v>
      </c>
      <c r="L849" s="5">
        <f t="shared" si="73"/>
        <v>0</v>
      </c>
      <c r="M849" s="5">
        <f t="shared" si="74"/>
        <v>22131</v>
      </c>
      <c r="N849" s="5">
        <f t="shared" si="74"/>
        <v>110655</v>
      </c>
      <c r="O849" s="8" t="s">
        <v>20</v>
      </c>
      <c r="T849">
        <v>0</v>
      </c>
      <c r="AC849">
        <v>1</v>
      </c>
    </row>
    <row r="850" spans="1:29" ht="30" customHeight="1" x14ac:dyDescent="0.3">
      <c r="A850" s="8" t="s">
        <v>862</v>
      </c>
      <c r="B850" s="8" t="s">
        <v>1090</v>
      </c>
      <c r="C850" s="8" t="s">
        <v>1088</v>
      </c>
      <c r="D850" s="8" t="s">
        <v>350</v>
      </c>
      <c r="E850" s="8" t="s">
        <v>185</v>
      </c>
      <c r="F850" s="9">
        <v>12</v>
      </c>
      <c r="G850" s="5">
        <f>TRUNC([1]단가대비표!O658,0)</f>
        <v>32619</v>
      </c>
      <c r="H850" s="5">
        <f t="shared" si="71"/>
        <v>391428</v>
      </c>
      <c r="I850" s="5">
        <v>0</v>
      </c>
      <c r="J850" s="5">
        <f t="shared" si="72"/>
        <v>0</v>
      </c>
      <c r="K850" s="5">
        <v>0</v>
      </c>
      <c r="L850" s="5">
        <f t="shared" si="73"/>
        <v>0</v>
      </c>
      <c r="M850" s="5">
        <f t="shared" si="74"/>
        <v>32619</v>
      </c>
      <c r="N850" s="5">
        <f t="shared" si="74"/>
        <v>391428</v>
      </c>
      <c r="O850" s="8" t="s">
        <v>20</v>
      </c>
      <c r="T850">
        <v>0</v>
      </c>
      <c r="AC850">
        <v>1</v>
      </c>
    </row>
    <row r="851" spans="1:29" ht="30" customHeight="1" x14ac:dyDescent="0.3">
      <c r="A851" s="8" t="s">
        <v>862</v>
      </c>
      <c r="B851" s="8" t="s">
        <v>1091</v>
      </c>
      <c r="C851" s="8" t="s">
        <v>1088</v>
      </c>
      <c r="D851" s="8" t="s">
        <v>352</v>
      </c>
      <c r="E851" s="8" t="s">
        <v>185</v>
      </c>
      <c r="F851" s="9">
        <v>11</v>
      </c>
      <c r="G851" s="5">
        <f>TRUNC([1]단가대비표!O659,0)</f>
        <v>36399</v>
      </c>
      <c r="H851" s="5">
        <f t="shared" si="71"/>
        <v>400389</v>
      </c>
      <c r="I851" s="5">
        <v>0</v>
      </c>
      <c r="J851" s="5">
        <f t="shared" si="72"/>
        <v>0</v>
      </c>
      <c r="K851" s="5">
        <v>0</v>
      </c>
      <c r="L851" s="5">
        <f t="shared" si="73"/>
        <v>0</v>
      </c>
      <c r="M851" s="5">
        <f t="shared" si="74"/>
        <v>36399</v>
      </c>
      <c r="N851" s="5">
        <f t="shared" si="74"/>
        <v>400389</v>
      </c>
      <c r="O851" s="8" t="s">
        <v>20</v>
      </c>
      <c r="T851">
        <v>0</v>
      </c>
      <c r="AC851">
        <v>1</v>
      </c>
    </row>
    <row r="852" spans="1:29" ht="30" customHeight="1" x14ac:dyDescent="0.3">
      <c r="A852" s="8" t="s">
        <v>862</v>
      </c>
      <c r="B852" s="8" t="s">
        <v>1092</v>
      </c>
      <c r="C852" s="8" t="s">
        <v>1088</v>
      </c>
      <c r="D852" s="8" t="s">
        <v>608</v>
      </c>
      <c r="E852" s="8" t="s">
        <v>185</v>
      </c>
      <c r="F852" s="9">
        <v>2</v>
      </c>
      <c r="G852" s="5">
        <f>TRUNC([1]단가대비표!O660,0)</f>
        <v>70649</v>
      </c>
      <c r="H852" s="5">
        <f t="shared" si="71"/>
        <v>141298</v>
      </c>
      <c r="I852" s="5">
        <v>0</v>
      </c>
      <c r="J852" s="5">
        <f t="shared" si="72"/>
        <v>0</v>
      </c>
      <c r="K852" s="5">
        <v>0</v>
      </c>
      <c r="L852" s="5">
        <f t="shared" si="73"/>
        <v>0</v>
      </c>
      <c r="M852" s="5">
        <f t="shared" si="74"/>
        <v>70649</v>
      </c>
      <c r="N852" s="5">
        <f t="shared" si="74"/>
        <v>141298</v>
      </c>
      <c r="O852" s="8" t="s">
        <v>20</v>
      </c>
      <c r="T852">
        <v>0</v>
      </c>
      <c r="AC852">
        <v>1</v>
      </c>
    </row>
    <row r="853" spans="1:29" ht="30" customHeight="1" x14ac:dyDescent="0.3">
      <c r="A853" s="8" t="s">
        <v>862</v>
      </c>
      <c r="B853" s="8" t="s">
        <v>698</v>
      </c>
      <c r="C853" s="8" t="s">
        <v>694</v>
      </c>
      <c r="D853" s="8" t="s">
        <v>699</v>
      </c>
      <c r="E853" s="8" t="s">
        <v>179</v>
      </c>
      <c r="F853" s="9">
        <v>80</v>
      </c>
      <c r="G853" s="5">
        <f>TRUNC([1]단가대비표!O393,0)</f>
        <v>840</v>
      </c>
      <c r="H853" s="5">
        <f t="shared" si="71"/>
        <v>67200</v>
      </c>
      <c r="I853" s="5">
        <v>0</v>
      </c>
      <c r="J853" s="5">
        <f t="shared" si="72"/>
        <v>0</v>
      </c>
      <c r="K853" s="5">
        <v>0</v>
      </c>
      <c r="L853" s="5">
        <f t="shared" si="73"/>
        <v>0</v>
      </c>
      <c r="M853" s="5">
        <f t="shared" si="74"/>
        <v>840</v>
      </c>
      <c r="N853" s="5">
        <f t="shared" si="74"/>
        <v>67200</v>
      </c>
      <c r="O853" s="8" t="s">
        <v>20</v>
      </c>
      <c r="T853">
        <v>0</v>
      </c>
      <c r="AC853">
        <v>1</v>
      </c>
    </row>
    <row r="854" spans="1:29" ht="30" customHeight="1" x14ac:dyDescent="0.3">
      <c r="A854" s="8" t="s">
        <v>862</v>
      </c>
      <c r="B854" s="8" t="s">
        <v>700</v>
      </c>
      <c r="C854" s="8" t="s">
        <v>694</v>
      </c>
      <c r="D854" s="8" t="s">
        <v>701</v>
      </c>
      <c r="E854" s="8" t="s">
        <v>179</v>
      </c>
      <c r="F854" s="9">
        <v>4</v>
      </c>
      <c r="G854" s="5">
        <f>TRUNC([1]단가대비표!O394,0)</f>
        <v>1400</v>
      </c>
      <c r="H854" s="5">
        <f t="shared" si="71"/>
        <v>5600</v>
      </c>
      <c r="I854" s="5">
        <v>0</v>
      </c>
      <c r="J854" s="5">
        <f t="shared" si="72"/>
        <v>0</v>
      </c>
      <c r="K854" s="5">
        <v>0</v>
      </c>
      <c r="L854" s="5">
        <f t="shared" si="73"/>
        <v>0</v>
      </c>
      <c r="M854" s="5">
        <f t="shared" si="74"/>
        <v>1400</v>
      </c>
      <c r="N854" s="5">
        <f t="shared" si="74"/>
        <v>5600</v>
      </c>
      <c r="O854" s="8" t="s">
        <v>20</v>
      </c>
      <c r="T854">
        <v>0</v>
      </c>
      <c r="AC854">
        <v>1</v>
      </c>
    </row>
    <row r="855" spans="1:29" ht="30" customHeight="1" x14ac:dyDescent="0.3">
      <c r="A855" s="8" t="s">
        <v>862</v>
      </c>
      <c r="B855" s="8" t="s">
        <v>702</v>
      </c>
      <c r="C855" s="8" t="s">
        <v>694</v>
      </c>
      <c r="D855" s="8" t="s">
        <v>703</v>
      </c>
      <c r="E855" s="8" t="s">
        <v>179</v>
      </c>
      <c r="F855" s="9">
        <v>83</v>
      </c>
      <c r="G855" s="5">
        <f>TRUNC([1]단가대비표!O395,0)</f>
        <v>1400</v>
      </c>
      <c r="H855" s="5">
        <f t="shared" si="71"/>
        <v>116200</v>
      </c>
      <c r="I855" s="5">
        <v>0</v>
      </c>
      <c r="J855" s="5">
        <f t="shared" si="72"/>
        <v>0</v>
      </c>
      <c r="K855" s="5">
        <v>0</v>
      </c>
      <c r="L855" s="5">
        <f t="shared" si="73"/>
        <v>0</v>
      </c>
      <c r="M855" s="5">
        <f t="shared" si="74"/>
        <v>1400</v>
      </c>
      <c r="N855" s="5">
        <f t="shared" si="74"/>
        <v>116200</v>
      </c>
      <c r="O855" s="8" t="s">
        <v>20</v>
      </c>
      <c r="T855">
        <v>0</v>
      </c>
      <c r="AC855">
        <v>1</v>
      </c>
    </row>
    <row r="856" spans="1:29" ht="30" customHeight="1" x14ac:dyDescent="0.3">
      <c r="A856" s="8" t="s">
        <v>862</v>
      </c>
      <c r="B856" s="8" t="s">
        <v>848</v>
      </c>
      <c r="C856" s="8" t="s">
        <v>694</v>
      </c>
      <c r="D856" s="8" t="s">
        <v>849</v>
      </c>
      <c r="E856" s="8" t="s">
        <v>179</v>
      </c>
      <c r="F856" s="9">
        <v>4</v>
      </c>
      <c r="G856" s="5">
        <f>TRUNC([1]단가대비표!O396,0)</f>
        <v>2000</v>
      </c>
      <c r="H856" s="5">
        <f t="shared" si="71"/>
        <v>8000</v>
      </c>
      <c r="I856" s="5">
        <v>0</v>
      </c>
      <c r="J856" s="5">
        <f t="shared" si="72"/>
        <v>0</v>
      </c>
      <c r="K856" s="5">
        <v>0</v>
      </c>
      <c r="L856" s="5">
        <f t="shared" si="73"/>
        <v>0</v>
      </c>
      <c r="M856" s="5">
        <f t="shared" si="74"/>
        <v>2000</v>
      </c>
      <c r="N856" s="5">
        <f t="shared" si="74"/>
        <v>8000</v>
      </c>
      <c r="O856" s="8" t="s">
        <v>20</v>
      </c>
      <c r="T856">
        <v>0</v>
      </c>
      <c r="AC856">
        <v>1</v>
      </c>
    </row>
    <row r="857" spans="1:29" ht="30" customHeight="1" x14ac:dyDescent="0.3">
      <c r="A857" s="8" t="s">
        <v>862</v>
      </c>
      <c r="B857" s="8" t="s">
        <v>1093</v>
      </c>
      <c r="C857" s="8" t="s">
        <v>694</v>
      </c>
      <c r="D857" s="8" t="s">
        <v>1094</v>
      </c>
      <c r="E857" s="8" t="s">
        <v>179</v>
      </c>
      <c r="F857" s="9">
        <v>4</v>
      </c>
      <c r="G857" s="5">
        <f>TRUNC([1]단가대비표!O397,0)</f>
        <v>2500</v>
      </c>
      <c r="H857" s="5">
        <f t="shared" si="71"/>
        <v>10000</v>
      </c>
      <c r="I857" s="5">
        <v>0</v>
      </c>
      <c r="J857" s="5">
        <f t="shared" si="72"/>
        <v>0</v>
      </c>
      <c r="K857" s="5">
        <v>0</v>
      </c>
      <c r="L857" s="5">
        <f t="shared" si="73"/>
        <v>0</v>
      </c>
      <c r="M857" s="5">
        <f t="shared" si="74"/>
        <v>2500</v>
      </c>
      <c r="N857" s="5">
        <f t="shared" si="74"/>
        <v>10000</v>
      </c>
      <c r="O857" s="8" t="s">
        <v>20</v>
      </c>
      <c r="T857">
        <v>0</v>
      </c>
      <c r="AC857">
        <v>1</v>
      </c>
    </row>
    <row r="858" spans="1:29" ht="30" customHeight="1" x14ac:dyDescent="0.3">
      <c r="A858" s="8" t="s">
        <v>862</v>
      </c>
      <c r="B858" s="8" t="s">
        <v>704</v>
      </c>
      <c r="C858" s="8" t="s">
        <v>694</v>
      </c>
      <c r="D858" s="8" t="s">
        <v>705</v>
      </c>
      <c r="E858" s="8" t="s">
        <v>179</v>
      </c>
      <c r="F858" s="9">
        <v>5</v>
      </c>
      <c r="G858" s="5">
        <f>TRUNC([1]단가대비표!O400,0)</f>
        <v>2500</v>
      </c>
      <c r="H858" s="5">
        <f t="shared" si="71"/>
        <v>12500</v>
      </c>
      <c r="I858" s="5">
        <v>0</v>
      </c>
      <c r="J858" s="5">
        <f t="shared" si="72"/>
        <v>0</v>
      </c>
      <c r="K858" s="5">
        <v>0</v>
      </c>
      <c r="L858" s="5">
        <f t="shared" si="73"/>
        <v>0</v>
      </c>
      <c r="M858" s="5">
        <f t="shared" si="74"/>
        <v>2500</v>
      </c>
      <c r="N858" s="5">
        <f t="shared" si="74"/>
        <v>12500</v>
      </c>
      <c r="O858" s="8" t="s">
        <v>20</v>
      </c>
      <c r="T858">
        <v>0</v>
      </c>
      <c r="AC858">
        <v>1</v>
      </c>
    </row>
    <row r="859" spans="1:29" ht="30" customHeight="1" x14ac:dyDescent="0.3">
      <c r="A859" s="8" t="s">
        <v>862</v>
      </c>
      <c r="B859" s="8" t="s">
        <v>706</v>
      </c>
      <c r="C859" s="8" t="s">
        <v>694</v>
      </c>
      <c r="D859" s="8" t="s">
        <v>707</v>
      </c>
      <c r="E859" s="8" t="s">
        <v>179</v>
      </c>
      <c r="F859" s="9">
        <v>16</v>
      </c>
      <c r="G859" s="5">
        <f>TRUNC([1]단가대비표!O412,0)</f>
        <v>840</v>
      </c>
      <c r="H859" s="5">
        <f t="shared" si="71"/>
        <v>13440</v>
      </c>
      <c r="I859" s="5">
        <v>0</v>
      </c>
      <c r="J859" s="5">
        <f t="shared" si="72"/>
        <v>0</v>
      </c>
      <c r="K859" s="5">
        <v>0</v>
      </c>
      <c r="L859" s="5">
        <f t="shared" si="73"/>
        <v>0</v>
      </c>
      <c r="M859" s="5">
        <f t="shared" si="74"/>
        <v>840</v>
      </c>
      <c r="N859" s="5">
        <f t="shared" si="74"/>
        <v>13440</v>
      </c>
      <c r="O859" s="8" t="s">
        <v>20</v>
      </c>
      <c r="T859">
        <v>0</v>
      </c>
      <c r="AC859">
        <v>1</v>
      </c>
    </row>
    <row r="860" spans="1:29" ht="30" customHeight="1" x14ac:dyDescent="0.3">
      <c r="A860" s="8" t="s">
        <v>862</v>
      </c>
      <c r="B860" s="8" t="s">
        <v>710</v>
      </c>
      <c r="C860" s="8" t="s">
        <v>694</v>
      </c>
      <c r="D860" s="8" t="s">
        <v>711</v>
      </c>
      <c r="E860" s="8" t="s">
        <v>179</v>
      </c>
      <c r="F860" s="9">
        <v>11</v>
      </c>
      <c r="G860" s="5">
        <f>TRUNC([1]단가대비표!O414,0)</f>
        <v>920</v>
      </c>
      <c r="H860" s="5">
        <f t="shared" si="71"/>
        <v>10120</v>
      </c>
      <c r="I860" s="5">
        <v>0</v>
      </c>
      <c r="J860" s="5">
        <f t="shared" si="72"/>
        <v>0</v>
      </c>
      <c r="K860" s="5">
        <v>0</v>
      </c>
      <c r="L860" s="5">
        <f t="shared" si="73"/>
        <v>0</v>
      </c>
      <c r="M860" s="5">
        <f t="shared" si="74"/>
        <v>920</v>
      </c>
      <c r="N860" s="5">
        <f t="shared" si="74"/>
        <v>10120</v>
      </c>
      <c r="O860" s="8" t="s">
        <v>20</v>
      </c>
      <c r="T860">
        <v>0</v>
      </c>
      <c r="AC860">
        <v>1</v>
      </c>
    </row>
    <row r="861" spans="1:29" ht="30" customHeight="1" x14ac:dyDescent="0.3">
      <c r="A861" s="8" t="s">
        <v>862</v>
      </c>
      <c r="B861" s="8" t="s">
        <v>712</v>
      </c>
      <c r="C861" s="8" t="s">
        <v>694</v>
      </c>
      <c r="D861" s="8" t="s">
        <v>713</v>
      </c>
      <c r="E861" s="8" t="s">
        <v>179</v>
      </c>
      <c r="F861" s="9">
        <v>8</v>
      </c>
      <c r="G861" s="5">
        <f>TRUNC([1]단가대비표!O415,0)</f>
        <v>1880</v>
      </c>
      <c r="H861" s="5">
        <f t="shared" si="71"/>
        <v>15040</v>
      </c>
      <c r="I861" s="5">
        <v>0</v>
      </c>
      <c r="J861" s="5">
        <f t="shared" si="72"/>
        <v>0</v>
      </c>
      <c r="K861" s="5">
        <v>0</v>
      </c>
      <c r="L861" s="5">
        <f t="shared" si="73"/>
        <v>0</v>
      </c>
      <c r="M861" s="5">
        <f t="shared" si="74"/>
        <v>1880</v>
      </c>
      <c r="N861" s="5">
        <f t="shared" si="74"/>
        <v>15040</v>
      </c>
      <c r="O861" s="8" t="s">
        <v>20</v>
      </c>
      <c r="T861">
        <v>0</v>
      </c>
      <c r="AC861">
        <v>1</v>
      </c>
    </row>
    <row r="862" spans="1:29" ht="30" customHeight="1" x14ac:dyDescent="0.3">
      <c r="A862" s="8" t="s">
        <v>862</v>
      </c>
      <c r="B862" s="8" t="s">
        <v>1095</v>
      </c>
      <c r="C862" s="8" t="s">
        <v>694</v>
      </c>
      <c r="D862" s="8" t="s">
        <v>1096</v>
      </c>
      <c r="E862" s="8" t="s">
        <v>179</v>
      </c>
      <c r="F862" s="9">
        <v>11</v>
      </c>
      <c r="G862" s="5">
        <f>TRUNC([1]단가대비표!O416,0)</f>
        <v>2820</v>
      </c>
      <c r="H862" s="5">
        <f t="shared" si="71"/>
        <v>31020</v>
      </c>
      <c r="I862" s="5">
        <v>0</v>
      </c>
      <c r="J862" s="5">
        <f t="shared" si="72"/>
        <v>0</v>
      </c>
      <c r="K862" s="5">
        <v>0</v>
      </c>
      <c r="L862" s="5">
        <f t="shared" si="73"/>
        <v>0</v>
      </c>
      <c r="M862" s="5">
        <f t="shared" si="74"/>
        <v>2820</v>
      </c>
      <c r="N862" s="5">
        <f t="shared" si="74"/>
        <v>31020</v>
      </c>
      <c r="O862" s="8" t="s">
        <v>20</v>
      </c>
      <c r="T862">
        <v>0</v>
      </c>
      <c r="AC862">
        <v>1</v>
      </c>
    </row>
    <row r="863" spans="1:29" ht="30" customHeight="1" x14ac:dyDescent="0.3">
      <c r="A863" s="8" t="s">
        <v>862</v>
      </c>
      <c r="B863" s="8" t="s">
        <v>714</v>
      </c>
      <c r="C863" s="8" t="s">
        <v>694</v>
      </c>
      <c r="D863" s="8" t="s">
        <v>715</v>
      </c>
      <c r="E863" s="8" t="s">
        <v>179</v>
      </c>
      <c r="F863" s="9">
        <v>2</v>
      </c>
      <c r="G863" s="5">
        <f>TRUNC([1]단가대비표!O417,0)</f>
        <v>3600</v>
      </c>
      <c r="H863" s="5">
        <f t="shared" si="71"/>
        <v>7200</v>
      </c>
      <c r="I863" s="5">
        <v>0</v>
      </c>
      <c r="J863" s="5">
        <f t="shared" si="72"/>
        <v>0</v>
      </c>
      <c r="K863" s="5">
        <v>0</v>
      </c>
      <c r="L863" s="5">
        <f t="shared" si="73"/>
        <v>0</v>
      </c>
      <c r="M863" s="5">
        <f t="shared" si="74"/>
        <v>3600</v>
      </c>
      <c r="N863" s="5">
        <f t="shared" si="74"/>
        <v>7200</v>
      </c>
      <c r="O863" s="8" t="s">
        <v>20</v>
      </c>
      <c r="T863">
        <v>0</v>
      </c>
      <c r="AC863">
        <v>1</v>
      </c>
    </row>
    <row r="864" spans="1:29" ht="30" customHeight="1" x14ac:dyDescent="0.3">
      <c r="A864" s="8" t="s">
        <v>862</v>
      </c>
      <c r="B864" s="8" t="s">
        <v>1097</v>
      </c>
      <c r="C864" s="8" t="s">
        <v>694</v>
      </c>
      <c r="D864" s="8" t="s">
        <v>1098</v>
      </c>
      <c r="E864" s="8" t="s">
        <v>179</v>
      </c>
      <c r="F864" s="9">
        <v>12</v>
      </c>
      <c r="G864" s="5">
        <f>TRUNC([1]단가대비표!O405,0)</f>
        <v>840</v>
      </c>
      <c r="H864" s="5">
        <f t="shared" si="71"/>
        <v>10080</v>
      </c>
      <c r="I864" s="5">
        <v>0</v>
      </c>
      <c r="J864" s="5">
        <f t="shared" si="72"/>
        <v>0</v>
      </c>
      <c r="K864" s="5">
        <v>0</v>
      </c>
      <c r="L864" s="5">
        <f t="shared" si="73"/>
        <v>0</v>
      </c>
      <c r="M864" s="5">
        <f t="shared" si="74"/>
        <v>840</v>
      </c>
      <c r="N864" s="5">
        <f t="shared" si="74"/>
        <v>10080</v>
      </c>
      <c r="O864" s="8" t="s">
        <v>20</v>
      </c>
      <c r="T864">
        <v>0</v>
      </c>
      <c r="AC864">
        <v>1</v>
      </c>
    </row>
    <row r="865" spans="1:29" ht="30" customHeight="1" x14ac:dyDescent="0.3">
      <c r="A865" s="8" t="s">
        <v>862</v>
      </c>
      <c r="B865" s="8" t="s">
        <v>1099</v>
      </c>
      <c r="C865" s="8" t="s">
        <v>694</v>
      </c>
      <c r="D865" s="8" t="s">
        <v>1100</v>
      </c>
      <c r="E865" s="8" t="s">
        <v>179</v>
      </c>
      <c r="F865" s="9">
        <v>104</v>
      </c>
      <c r="G865" s="5">
        <f>TRUNC([1]단가대비표!O406,0)</f>
        <v>700</v>
      </c>
      <c r="H865" s="5">
        <f t="shared" si="71"/>
        <v>72800</v>
      </c>
      <c r="I865" s="5">
        <v>0</v>
      </c>
      <c r="J865" s="5">
        <f t="shared" si="72"/>
        <v>0</v>
      </c>
      <c r="K865" s="5">
        <v>0</v>
      </c>
      <c r="L865" s="5">
        <f t="shared" si="73"/>
        <v>0</v>
      </c>
      <c r="M865" s="5">
        <f t="shared" si="74"/>
        <v>700</v>
      </c>
      <c r="N865" s="5">
        <f t="shared" si="74"/>
        <v>72800</v>
      </c>
      <c r="O865" s="8" t="s">
        <v>20</v>
      </c>
      <c r="T865">
        <v>0</v>
      </c>
      <c r="AC865">
        <v>1</v>
      </c>
    </row>
    <row r="866" spans="1:29" ht="30" customHeight="1" x14ac:dyDescent="0.3">
      <c r="A866" s="8" t="s">
        <v>862</v>
      </c>
      <c r="B866" s="8" t="s">
        <v>1101</v>
      </c>
      <c r="C866" s="8" t="s">
        <v>694</v>
      </c>
      <c r="D866" s="8" t="s">
        <v>1102</v>
      </c>
      <c r="E866" s="8" t="s">
        <v>179</v>
      </c>
      <c r="F866" s="9">
        <v>21</v>
      </c>
      <c r="G866" s="5">
        <f>TRUNC([1]단가대비표!O407,0)</f>
        <v>770</v>
      </c>
      <c r="H866" s="5">
        <f t="shared" si="71"/>
        <v>16170</v>
      </c>
      <c r="I866" s="5">
        <v>0</v>
      </c>
      <c r="J866" s="5">
        <f t="shared" si="72"/>
        <v>0</v>
      </c>
      <c r="K866" s="5">
        <v>0</v>
      </c>
      <c r="L866" s="5">
        <f t="shared" si="73"/>
        <v>0</v>
      </c>
      <c r="M866" s="5">
        <f t="shared" si="74"/>
        <v>770</v>
      </c>
      <c r="N866" s="5">
        <f t="shared" si="74"/>
        <v>16170</v>
      </c>
      <c r="O866" s="8" t="s">
        <v>20</v>
      </c>
      <c r="T866">
        <v>0</v>
      </c>
      <c r="AC866">
        <v>1</v>
      </c>
    </row>
    <row r="867" spans="1:29" ht="30" customHeight="1" x14ac:dyDescent="0.3">
      <c r="A867" s="8" t="s">
        <v>862</v>
      </c>
      <c r="B867" s="8" t="s">
        <v>1103</v>
      </c>
      <c r="C867" s="8" t="s">
        <v>694</v>
      </c>
      <c r="D867" s="8" t="s">
        <v>1104</v>
      </c>
      <c r="E867" s="8" t="s">
        <v>179</v>
      </c>
      <c r="F867" s="9">
        <v>117</v>
      </c>
      <c r="G867" s="5">
        <f>TRUNC([1]단가대비표!O408,0)</f>
        <v>1400</v>
      </c>
      <c r="H867" s="5">
        <f t="shared" si="71"/>
        <v>163800</v>
      </c>
      <c r="I867" s="5">
        <v>0</v>
      </c>
      <c r="J867" s="5">
        <f t="shared" si="72"/>
        <v>0</v>
      </c>
      <c r="K867" s="5">
        <v>0</v>
      </c>
      <c r="L867" s="5">
        <f t="shared" si="73"/>
        <v>0</v>
      </c>
      <c r="M867" s="5">
        <f t="shared" ref="M867:N872" si="75">G867+I867+K867</f>
        <v>1400</v>
      </c>
      <c r="N867" s="5">
        <f t="shared" si="75"/>
        <v>163800</v>
      </c>
      <c r="O867" s="8" t="s">
        <v>20</v>
      </c>
      <c r="T867">
        <v>0</v>
      </c>
      <c r="AC867">
        <v>1</v>
      </c>
    </row>
    <row r="868" spans="1:29" ht="30" customHeight="1" x14ac:dyDescent="0.3">
      <c r="A868" s="8" t="s">
        <v>862</v>
      </c>
      <c r="B868" s="8" t="s">
        <v>539</v>
      </c>
      <c r="C868" s="8" t="s">
        <v>540</v>
      </c>
      <c r="D868" s="8" t="s">
        <v>541</v>
      </c>
      <c r="E868" s="8" t="s">
        <v>185</v>
      </c>
      <c r="F868" s="9">
        <v>2</v>
      </c>
      <c r="G868" s="5" t="e">
        <f>'[2].xls].xls].xls].xls].xls].xls].xls].'!E134</f>
        <v>#REF!</v>
      </c>
      <c r="H868" s="5" t="e">
        <f t="shared" si="71"/>
        <v>#REF!</v>
      </c>
      <c r="I868" s="5" t="e">
        <f>'[2].xls].xls].xls].xls].xls].xls].xls].'!F134</f>
        <v>#REF!</v>
      </c>
      <c r="J868" s="5" t="e">
        <f t="shared" si="72"/>
        <v>#REF!</v>
      </c>
      <c r="K868" s="5" t="e">
        <f>'[2].xls].xls].xls].xls].xls].xls].xls].'!G134</f>
        <v>#REF!</v>
      </c>
      <c r="L868" s="5" t="e">
        <f t="shared" si="73"/>
        <v>#REF!</v>
      </c>
      <c r="M868" s="5" t="e">
        <f t="shared" si="75"/>
        <v>#REF!</v>
      </c>
      <c r="N868" s="5" t="e">
        <f t="shared" si="75"/>
        <v>#REF!</v>
      </c>
      <c r="O868" s="8" t="s">
        <v>539</v>
      </c>
      <c r="T868">
        <v>0</v>
      </c>
      <c r="AC868">
        <v>1</v>
      </c>
    </row>
    <row r="869" spans="1:29" ht="30" customHeight="1" x14ac:dyDescent="0.3">
      <c r="A869" s="8" t="s">
        <v>862</v>
      </c>
      <c r="B869" s="8" t="s">
        <v>1105</v>
      </c>
      <c r="C869" s="8" t="s">
        <v>540</v>
      </c>
      <c r="D869" s="8" t="s">
        <v>1106</v>
      </c>
      <c r="E869" s="8" t="s">
        <v>185</v>
      </c>
      <c r="F869" s="9">
        <v>3</v>
      </c>
      <c r="G869" s="5" t="e">
        <f>'[2].xls].xls].xls].xls].xls].xls].xls].'!E135</f>
        <v>#REF!</v>
      </c>
      <c r="H869" s="5" t="e">
        <f t="shared" si="71"/>
        <v>#REF!</v>
      </c>
      <c r="I869" s="5" t="e">
        <f>'[2].xls].xls].xls].xls].xls].xls].xls].'!F135</f>
        <v>#REF!</v>
      </c>
      <c r="J869" s="5" t="e">
        <f t="shared" si="72"/>
        <v>#REF!</v>
      </c>
      <c r="K869" s="5" t="e">
        <f>'[2].xls].xls].xls].xls].xls].xls].xls].'!G135</f>
        <v>#REF!</v>
      </c>
      <c r="L869" s="5" t="e">
        <f t="shared" si="73"/>
        <v>#REF!</v>
      </c>
      <c r="M869" s="5" t="e">
        <f t="shared" si="75"/>
        <v>#REF!</v>
      </c>
      <c r="N869" s="5" t="e">
        <f t="shared" si="75"/>
        <v>#REF!</v>
      </c>
      <c r="O869" s="8" t="s">
        <v>1105</v>
      </c>
      <c r="T869">
        <v>0</v>
      </c>
      <c r="AC869">
        <v>1</v>
      </c>
    </row>
    <row r="870" spans="1:29" ht="30" customHeight="1" x14ac:dyDescent="0.3">
      <c r="A870" s="8" t="s">
        <v>862</v>
      </c>
      <c r="B870" s="8" t="s">
        <v>152</v>
      </c>
      <c r="C870" s="8" t="s">
        <v>153</v>
      </c>
      <c r="D870" s="8" t="s">
        <v>154</v>
      </c>
      <c r="E870" s="8" t="s">
        <v>155</v>
      </c>
      <c r="F870" s="9">
        <v>18</v>
      </c>
      <c r="G870" s="5">
        <v>0</v>
      </c>
      <c r="H870" s="5">
        <f t="shared" si="71"/>
        <v>0</v>
      </c>
      <c r="I870" s="5">
        <f>TRUNC([1]단가대비표!O671,0)</f>
        <v>157068</v>
      </c>
      <c r="J870" s="5">
        <f t="shared" si="72"/>
        <v>2827224</v>
      </c>
      <c r="K870" s="5">
        <v>0</v>
      </c>
      <c r="L870" s="5">
        <f t="shared" si="73"/>
        <v>0</v>
      </c>
      <c r="M870" s="5">
        <f t="shared" si="75"/>
        <v>157068</v>
      </c>
      <c r="N870" s="5">
        <f t="shared" si="75"/>
        <v>2827224</v>
      </c>
      <c r="O870" s="8" t="s">
        <v>20</v>
      </c>
      <c r="T870">
        <v>0</v>
      </c>
      <c r="W870">
        <v>3</v>
      </c>
      <c r="AC870">
        <v>1</v>
      </c>
    </row>
    <row r="871" spans="1:29" ht="30" customHeight="1" x14ac:dyDescent="0.3">
      <c r="A871" s="8" t="s">
        <v>862</v>
      </c>
      <c r="B871" s="8" t="s">
        <v>553</v>
      </c>
      <c r="C871" s="8" t="s">
        <v>153</v>
      </c>
      <c r="D871" s="8" t="s">
        <v>554</v>
      </c>
      <c r="E871" s="8" t="s">
        <v>155</v>
      </c>
      <c r="F871" s="9">
        <v>53</v>
      </c>
      <c r="G871" s="5">
        <v>0</v>
      </c>
      <c r="H871" s="5">
        <f t="shared" si="71"/>
        <v>0</v>
      </c>
      <c r="I871" s="5">
        <f>TRUNC([1]단가대비표!O668,0)</f>
        <v>214118</v>
      </c>
      <c r="J871" s="5">
        <f t="shared" si="72"/>
        <v>11348254</v>
      </c>
      <c r="K871" s="5">
        <v>0</v>
      </c>
      <c r="L871" s="5">
        <f t="shared" si="73"/>
        <v>0</v>
      </c>
      <c r="M871" s="5">
        <f t="shared" si="75"/>
        <v>214118</v>
      </c>
      <c r="N871" s="5">
        <f t="shared" si="75"/>
        <v>11348254</v>
      </c>
      <c r="O871" s="8" t="s">
        <v>20</v>
      </c>
      <c r="T871">
        <v>0</v>
      </c>
      <c r="W871">
        <v>3</v>
      </c>
      <c r="AC871">
        <v>1</v>
      </c>
    </row>
    <row r="872" spans="1:29" ht="30" customHeight="1" x14ac:dyDescent="0.3">
      <c r="A872" s="8" t="s">
        <v>862</v>
      </c>
      <c r="B872" s="8" t="s">
        <v>158</v>
      </c>
      <c r="C872" s="8" t="s">
        <v>159</v>
      </c>
      <c r="D872" s="8" t="s">
        <v>160</v>
      </c>
      <c r="E872" s="8" t="s">
        <v>161</v>
      </c>
      <c r="F872" s="9">
        <v>1</v>
      </c>
      <c r="G872" s="5">
        <f>ROUNDDOWN(SUMIF(W707:W872, RIGHTB(B872, 1), J707:J872)*T872, 0)</f>
        <v>283509</v>
      </c>
      <c r="H872" s="5">
        <f t="shared" si="71"/>
        <v>283509</v>
      </c>
      <c r="I872" s="5">
        <v>0</v>
      </c>
      <c r="J872" s="5">
        <f t="shared" si="72"/>
        <v>0</v>
      </c>
      <c r="K872" s="5">
        <v>0</v>
      </c>
      <c r="L872" s="5">
        <f t="shared" si="73"/>
        <v>0</v>
      </c>
      <c r="M872" s="5">
        <f t="shared" si="75"/>
        <v>283509</v>
      </c>
      <c r="N872" s="5">
        <f t="shared" si="75"/>
        <v>283509</v>
      </c>
      <c r="O872" s="8" t="s">
        <v>20</v>
      </c>
      <c r="P872">
        <v>872</v>
      </c>
      <c r="R872">
        <v>1</v>
      </c>
      <c r="S872">
        <v>0</v>
      </c>
      <c r="T872">
        <v>0.02</v>
      </c>
      <c r="AC872">
        <v>1</v>
      </c>
    </row>
    <row r="873" spans="1:29" ht="30" customHeight="1" x14ac:dyDescent="0.3">
      <c r="A873" s="5"/>
      <c r="B873" s="5"/>
      <c r="C873" s="5"/>
      <c r="D873" s="5"/>
      <c r="E873" s="5"/>
      <c r="F873" s="9"/>
      <c r="G873" s="5"/>
      <c r="H873" s="5"/>
      <c r="I873" s="5"/>
      <c r="J873" s="5"/>
      <c r="K873" s="5"/>
      <c r="L873" s="5"/>
      <c r="M873" s="5"/>
      <c r="N873" s="5"/>
      <c r="O873" s="5"/>
    </row>
    <row r="874" spans="1:29" ht="30" customHeight="1" x14ac:dyDescent="0.3">
      <c r="A874" s="5"/>
      <c r="B874" s="5"/>
      <c r="C874" s="5"/>
      <c r="D874" s="5"/>
      <c r="E874" s="5"/>
      <c r="F874" s="9"/>
      <c r="G874" s="5"/>
      <c r="H874" s="5"/>
      <c r="I874" s="5"/>
      <c r="J874" s="5"/>
      <c r="K874" s="5"/>
      <c r="L874" s="5"/>
      <c r="M874" s="5"/>
      <c r="N874" s="5"/>
      <c r="O874" s="5"/>
    </row>
    <row r="875" spans="1:29" ht="30" customHeight="1" x14ac:dyDescent="0.3">
      <c r="A875" s="5"/>
      <c r="B875" s="5"/>
      <c r="C875" s="5"/>
      <c r="D875" s="5"/>
      <c r="E875" s="5"/>
      <c r="F875" s="9"/>
      <c r="G875" s="5"/>
      <c r="H875" s="5"/>
      <c r="I875" s="5"/>
      <c r="J875" s="5"/>
      <c r="K875" s="5"/>
      <c r="L875" s="5"/>
      <c r="M875" s="5"/>
      <c r="N875" s="5"/>
      <c r="O875" s="5"/>
    </row>
    <row r="876" spans="1:29" ht="30" customHeight="1" x14ac:dyDescent="0.3">
      <c r="A876" s="5"/>
      <c r="B876" s="5"/>
      <c r="C876" s="5"/>
      <c r="D876" s="5"/>
      <c r="E876" s="5"/>
      <c r="F876" s="9"/>
      <c r="G876" s="5"/>
      <c r="H876" s="5"/>
      <c r="I876" s="5"/>
      <c r="J876" s="5"/>
      <c r="K876" s="5"/>
      <c r="L876" s="5"/>
      <c r="M876" s="5"/>
      <c r="N876" s="5"/>
      <c r="O876" s="5"/>
    </row>
    <row r="877" spans="1:29" ht="30" customHeight="1" x14ac:dyDescent="0.3">
      <c r="A877" s="5"/>
      <c r="B877" s="5"/>
      <c r="C877" s="5"/>
      <c r="D877" s="5"/>
      <c r="E877" s="5"/>
      <c r="F877" s="9"/>
      <c r="G877" s="5"/>
      <c r="H877" s="5"/>
      <c r="I877" s="5"/>
      <c r="J877" s="5"/>
      <c r="K877" s="5"/>
      <c r="L877" s="5"/>
      <c r="M877" s="5"/>
      <c r="N877" s="5"/>
      <c r="O877" s="5"/>
    </row>
    <row r="878" spans="1:29" ht="30" customHeight="1" x14ac:dyDescent="0.3">
      <c r="A878" s="5"/>
      <c r="B878" s="5"/>
      <c r="C878" s="5"/>
      <c r="D878" s="5"/>
      <c r="E878" s="5"/>
      <c r="F878" s="9"/>
      <c r="G878" s="5"/>
      <c r="H878" s="5"/>
      <c r="I878" s="5"/>
      <c r="J878" s="5"/>
      <c r="K878" s="5"/>
      <c r="L878" s="5"/>
      <c r="M878" s="5"/>
      <c r="N878" s="5"/>
      <c r="O878" s="5"/>
    </row>
    <row r="879" spans="1:29" ht="30" customHeight="1" x14ac:dyDescent="0.3">
      <c r="A879" s="5"/>
      <c r="B879" s="5"/>
      <c r="C879" s="5"/>
      <c r="D879" s="5"/>
      <c r="E879" s="5"/>
      <c r="F879" s="9"/>
      <c r="G879" s="5"/>
      <c r="H879" s="5"/>
      <c r="I879" s="5"/>
      <c r="J879" s="5"/>
      <c r="K879" s="5"/>
      <c r="L879" s="5"/>
      <c r="M879" s="5"/>
      <c r="N879" s="5"/>
      <c r="O879" s="5"/>
    </row>
    <row r="880" spans="1:29" ht="30" customHeight="1" x14ac:dyDescent="0.3">
      <c r="A880" s="5"/>
      <c r="B880" s="5"/>
      <c r="C880" s="5"/>
      <c r="D880" s="5"/>
      <c r="E880" s="5"/>
      <c r="F880" s="9"/>
      <c r="G880" s="5"/>
      <c r="H880" s="5"/>
      <c r="I880" s="5"/>
      <c r="J880" s="5"/>
      <c r="K880" s="5"/>
      <c r="L880" s="5"/>
      <c r="M880" s="5"/>
      <c r="N880" s="5"/>
      <c r="O880" s="5"/>
    </row>
    <row r="881" spans="1:29" ht="30" customHeight="1" x14ac:dyDescent="0.3">
      <c r="A881" s="5"/>
      <c r="B881" s="5"/>
      <c r="C881" s="5"/>
      <c r="D881" s="5"/>
      <c r="E881" s="5"/>
      <c r="F881" s="9"/>
      <c r="G881" s="5"/>
      <c r="H881" s="5"/>
      <c r="I881" s="5"/>
      <c r="J881" s="5"/>
      <c r="K881" s="5"/>
      <c r="L881" s="5"/>
      <c r="M881" s="5"/>
      <c r="N881" s="5"/>
      <c r="O881" s="5"/>
    </row>
    <row r="882" spans="1:29" ht="30" customHeight="1" x14ac:dyDescent="0.3">
      <c r="A882" s="5"/>
      <c r="B882" s="5"/>
      <c r="C882" s="5"/>
      <c r="D882" s="5"/>
      <c r="E882" s="5"/>
      <c r="F882" s="9"/>
      <c r="G882" s="5"/>
      <c r="H882" s="5"/>
      <c r="I882" s="5"/>
      <c r="J882" s="5"/>
      <c r="K882" s="5"/>
      <c r="L882" s="5"/>
      <c r="M882" s="5"/>
      <c r="N882" s="5"/>
      <c r="O882" s="5"/>
    </row>
    <row r="883" spans="1:29" ht="30" customHeight="1" x14ac:dyDescent="0.3">
      <c r="A883" s="5"/>
      <c r="B883" s="5"/>
      <c r="C883" s="5"/>
      <c r="D883" s="5"/>
      <c r="E883" s="5"/>
      <c r="F883" s="9"/>
      <c r="G883" s="5"/>
      <c r="H883" s="5"/>
      <c r="I883" s="5"/>
      <c r="J883" s="5"/>
      <c r="K883" s="5"/>
      <c r="L883" s="5"/>
      <c r="M883" s="5"/>
      <c r="N883" s="5"/>
      <c r="O883" s="5"/>
    </row>
    <row r="884" spans="1:29" ht="30" customHeight="1" x14ac:dyDescent="0.3">
      <c r="A884" s="5"/>
      <c r="B884" s="5"/>
      <c r="C884" s="5"/>
      <c r="D884" s="5"/>
      <c r="E884" s="5"/>
      <c r="F884" s="9"/>
      <c r="G884" s="5"/>
      <c r="H884" s="5"/>
      <c r="I884" s="5"/>
      <c r="J884" s="5"/>
      <c r="K884" s="5"/>
      <c r="L884" s="5"/>
      <c r="M884" s="5"/>
      <c r="N884" s="5"/>
      <c r="O884" s="5"/>
    </row>
    <row r="885" spans="1:29" ht="30" customHeight="1" x14ac:dyDescent="0.3">
      <c r="A885" s="5"/>
      <c r="B885" s="5"/>
      <c r="C885" s="5"/>
      <c r="D885" s="5"/>
      <c r="E885" s="5"/>
      <c r="F885" s="9"/>
      <c r="G885" s="5"/>
      <c r="H885" s="5"/>
      <c r="I885" s="5"/>
      <c r="J885" s="5"/>
      <c r="K885" s="5"/>
      <c r="L885" s="5"/>
      <c r="M885" s="5"/>
      <c r="N885" s="5"/>
      <c r="O885" s="5"/>
    </row>
    <row r="886" spans="1:29" ht="30" customHeight="1" x14ac:dyDescent="0.3">
      <c r="A886" s="5"/>
      <c r="B886" s="5"/>
      <c r="C886" s="5"/>
      <c r="D886" s="5"/>
      <c r="E886" s="5"/>
      <c r="F886" s="9"/>
      <c r="G886" s="5"/>
      <c r="H886" s="5"/>
      <c r="I886" s="5"/>
      <c r="J886" s="5"/>
      <c r="K886" s="5"/>
      <c r="L886" s="5"/>
      <c r="M886" s="5"/>
      <c r="N886" s="5"/>
      <c r="O886" s="5"/>
    </row>
    <row r="887" spans="1:29" ht="30" customHeight="1" x14ac:dyDescent="0.3">
      <c r="A887" s="5"/>
      <c r="B887" s="5"/>
      <c r="C887" s="5" t="s">
        <v>162</v>
      </c>
      <c r="D887" s="5"/>
      <c r="E887" s="5"/>
      <c r="F887" s="9"/>
      <c r="G887" s="5"/>
      <c r="H887" s="5" t="e">
        <f>SUMIF(AC707:AC886, 1, H707:H886)</f>
        <v>#REF!</v>
      </c>
      <c r="I887" s="5"/>
      <c r="J887" s="5" t="e">
        <f>SUMIF(AC707:AC886, 1, J707:J886)</f>
        <v>#REF!</v>
      </c>
      <c r="K887" s="5"/>
      <c r="L887" s="5" t="e">
        <f>SUMIF(AC707:AC886, 1, L707:L886)</f>
        <v>#REF!</v>
      </c>
      <c r="M887" s="5"/>
      <c r="N887" s="5" t="e">
        <f>H887+J887+L887</f>
        <v>#REF!</v>
      </c>
      <c r="O887" s="5"/>
    </row>
    <row r="888" spans="1:29" ht="30" customHeight="1" x14ac:dyDescent="0.3">
      <c r="A888" s="5"/>
      <c r="B888" s="5"/>
      <c r="C888" s="10" t="s">
        <v>1107</v>
      </c>
      <c r="D888" s="10"/>
      <c r="E888" s="10"/>
      <c r="F888" s="11"/>
      <c r="G888" s="10"/>
      <c r="H888" s="10"/>
      <c r="I888" s="10"/>
      <c r="J888" s="10"/>
      <c r="K888" s="10"/>
      <c r="L888" s="10"/>
      <c r="M888" s="10"/>
      <c r="N888" s="10"/>
      <c r="O888" s="10"/>
    </row>
    <row r="889" spans="1:29" ht="30" customHeight="1" x14ac:dyDescent="0.3">
      <c r="A889" s="8" t="s">
        <v>1108</v>
      </c>
      <c r="B889" s="8" t="s">
        <v>1109</v>
      </c>
      <c r="C889" s="8" t="s">
        <v>1110</v>
      </c>
      <c r="D889" s="8" t="s">
        <v>348</v>
      </c>
      <c r="E889" s="8" t="s">
        <v>168</v>
      </c>
      <c r="F889" s="9">
        <v>125</v>
      </c>
      <c r="G889" s="5">
        <f>TRUNC([1]단가대비표!O131,0)</f>
        <v>9360</v>
      </c>
      <c r="H889" s="5">
        <f t="shared" ref="H889:H952" si="76">TRUNC(F889*G889,0)</f>
        <v>1170000</v>
      </c>
      <c r="I889" s="5">
        <v>0</v>
      </c>
      <c r="J889" s="5">
        <f t="shared" ref="J889:J952" si="77">TRUNC(F889*I889,0)</f>
        <v>0</v>
      </c>
      <c r="K889" s="5">
        <v>0</v>
      </c>
      <c r="L889" s="5">
        <f t="shared" ref="L889:L952" si="78">TRUNC(F889*K889,0)</f>
        <v>0</v>
      </c>
      <c r="M889" s="5">
        <f t="shared" ref="M889:N920" si="79">G889+I889+K889</f>
        <v>9360</v>
      </c>
      <c r="N889" s="5">
        <f t="shared" si="79"/>
        <v>1170000</v>
      </c>
      <c r="O889" s="8" t="s">
        <v>20</v>
      </c>
      <c r="T889">
        <v>0</v>
      </c>
      <c r="U889">
        <v>1</v>
      </c>
      <c r="AC889">
        <v>1</v>
      </c>
    </row>
    <row r="890" spans="1:29" ht="30" customHeight="1" x14ac:dyDescent="0.3">
      <c r="A890" s="8" t="s">
        <v>1108</v>
      </c>
      <c r="B890" s="8" t="s">
        <v>1111</v>
      </c>
      <c r="C890" s="8" t="s">
        <v>1110</v>
      </c>
      <c r="D890" s="8" t="s">
        <v>350</v>
      </c>
      <c r="E890" s="8" t="s">
        <v>168</v>
      </c>
      <c r="F890" s="9">
        <v>130</v>
      </c>
      <c r="G890" s="5">
        <f>TRUNC([1]단가대비표!O132,0)</f>
        <v>13370</v>
      </c>
      <c r="H890" s="5">
        <f t="shared" si="76"/>
        <v>1738100</v>
      </c>
      <c r="I890" s="5">
        <v>0</v>
      </c>
      <c r="J890" s="5">
        <f t="shared" si="77"/>
        <v>0</v>
      </c>
      <c r="K890" s="5">
        <v>0</v>
      </c>
      <c r="L890" s="5">
        <f t="shared" si="78"/>
        <v>0</v>
      </c>
      <c r="M890" s="5">
        <f t="shared" si="79"/>
        <v>13370</v>
      </c>
      <c r="N890" s="5">
        <f t="shared" si="79"/>
        <v>1738100</v>
      </c>
      <c r="O890" s="8" t="s">
        <v>20</v>
      </c>
      <c r="T890">
        <v>0</v>
      </c>
      <c r="U890">
        <v>1</v>
      </c>
      <c r="AC890">
        <v>1</v>
      </c>
    </row>
    <row r="891" spans="1:29" ht="30" customHeight="1" x14ac:dyDescent="0.3">
      <c r="A891" s="8" t="s">
        <v>1108</v>
      </c>
      <c r="B891" s="8" t="s">
        <v>1112</v>
      </c>
      <c r="C891" s="8" t="s">
        <v>1110</v>
      </c>
      <c r="D891" s="8" t="s">
        <v>352</v>
      </c>
      <c r="E891" s="8" t="s">
        <v>168</v>
      </c>
      <c r="F891" s="9">
        <v>93</v>
      </c>
      <c r="G891" s="5">
        <f>TRUNC([1]단가대비표!O133,0)</f>
        <v>23140</v>
      </c>
      <c r="H891" s="5">
        <f t="shared" si="76"/>
        <v>2152020</v>
      </c>
      <c r="I891" s="5">
        <v>0</v>
      </c>
      <c r="J891" s="5">
        <f t="shared" si="77"/>
        <v>0</v>
      </c>
      <c r="K891" s="5">
        <v>0</v>
      </c>
      <c r="L891" s="5">
        <f t="shared" si="78"/>
        <v>0</v>
      </c>
      <c r="M891" s="5">
        <f t="shared" si="79"/>
        <v>23140</v>
      </c>
      <c r="N891" s="5">
        <f t="shared" si="79"/>
        <v>2152020</v>
      </c>
      <c r="O891" s="8" t="s">
        <v>20</v>
      </c>
      <c r="T891">
        <v>0</v>
      </c>
      <c r="U891">
        <v>1</v>
      </c>
      <c r="AC891">
        <v>1</v>
      </c>
    </row>
    <row r="892" spans="1:29" ht="30" customHeight="1" x14ac:dyDescent="0.3">
      <c r="A892" s="8" t="s">
        <v>1108</v>
      </c>
      <c r="B892" s="8" t="s">
        <v>1113</v>
      </c>
      <c r="C892" s="8" t="s">
        <v>1110</v>
      </c>
      <c r="D892" s="8" t="s">
        <v>608</v>
      </c>
      <c r="E892" s="8" t="s">
        <v>168</v>
      </c>
      <c r="F892" s="9">
        <v>156</v>
      </c>
      <c r="G892" s="5">
        <f>TRUNC([1]단가대비표!O134,0)</f>
        <v>32150</v>
      </c>
      <c r="H892" s="5">
        <f t="shared" si="76"/>
        <v>5015400</v>
      </c>
      <c r="I892" s="5">
        <v>0</v>
      </c>
      <c r="J892" s="5">
        <f t="shared" si="77"/>
        <v>0</v>
      </c>
      <c r="K892" s="5">
        <v>0</v>
      </c>
      <c r="L892" s="5">
        <f t="shared" si="78"/>
        <v>0</v>
      </c>
      <c r="M892" s="5">
        <f t="shared" si="79"/>
        <v>32150</v>
      </c>
      <c r="N892" s="5">
        <f t="shared" si="79"/>
        <v>5015400</v>
      </c>
      <c r="O892" s="8" t="s">
        <v>20</v>
      </c>
      <c r="T892">
        <v>0</v>
      </c>
      <c r="U892">
        <v>1</v>
      </c>
      <c r="AC892">
        <v>1</v>
      </c>
    </row>
    <row r="893" spans="1:29" ht="30" customHeight="1" x14ac:dyDescent="0.3">
      <c r="A893" s="8" t="s">
        <v>1108</v>
      </c>
      <c r="B893" s="8" t="s">
        <v>1114</v>
      </c>
      <c r="C893" s="8" t="s">
        <v>1110</v>
      </c>
      <c r="D893" s="8" t="s">
        <v>1115</v>
      </c>
      <c r="E893" s="8" t="s">
        <v>168</v>
      </c>
      <c r="F893" s="9">
        <v>197</v>
      </c>
      <c r="G893" s="5">
        <f>TRUNC([1]단가대비표!O135,0)</f>
        <v>84150</v>
      </c>
      <c r="H893" s="5">
        <f t="shared" si="76"/>
        <v>16577550</v>
      </c>
      <c r="I893" s="5">
        <v>0</v>
      </c>
      <c r="J893" s="5">
        <f t="shared" si="77"/>
        <v>0</v>
      </c>
      <c r="K893" s="5">
        <v>0</v>
      </c>
      <c r="L893" s="5">
        <f t="shared" si="78"/>
        <v>0</v>
      </c>
      <c r="M893" s="5">
        <f t="shared" si="79"/>
        <v>84150</v>
      </c>
      <c r="N893" s="5">
        <f t="shared" si="79"/>
        <v>16577550</v>
      </c>
      <c r="O893" s="8" t="s">
        <v>20</v>
      </c>
      <c r="T893">
        <v>0</v>
      </c>
      <c r="U893">
        <v>1</v>
      </c>
      <c r="AC893">
        <v>1</v>
      </c>
    </row>
    <row r="894" spans="1:29" ht="30" customHeight="1" x14ac:dyDescent="0.3">
      <c r="A894" s="8" t="s">
        <v>1108</v>
      </c>
      <c r="B894" s="8" t="s">
        <v>1116</v>
      </c>
      <c r="C894" s="8" t="s">
        <v>1110</v>
      </c>
      <c r="D894" s="8" t="s">
        <v>1117</v>
      </c>
      <c r="E894" s="8" t="s">
        <v>168</v>
      </c>
      <c r="F894" s="9">
        <v>26</v>
      </c>
      <c r="G894" s="5">
        <f>TRUNC([1]단가대비표!O136,0)</f>
        <v>117810</v>
      </c>
      <c r="H894" s="5">
        <f t="shared" si="76"/>
        <v>3063060</v>
      </c>
      <c r="I894" s="5">
        <v>0</v>
      </c>
      <c r="J894" s="5">
        <f t="shared" si="77"/>
        <v>0</v>
      </c>
      <c r="K894" s="5">
        <v>0</v>
      </c>
      <c r="L894" s="5">
        <f t="shared" si="78"/>
        <v>0</v>
      </c>
      <c r="M894" s="5">
        <f t="shared" si="79"/>
        <v>117810</v>
      </c>
      <c r="N894" s="5">
        <f t="shared" si="79"/>
        <v>3063060</v>
      </c>
      <c r="O894" s="8" t="s">
        <v>20</v>
      </c>
      <c r="T894">
        <v>0</v>
      </c>
      <c r="U894">
        <v>1</v>
      </c>
      <c r="AC894">
        <v>1</v>
      </c>
    </row>
    <row r="895" spans="1:29" ht="30" customHeight="1" x14ac:dyDescent="0.3">
      <c r="A895" s="8" t="s">
        <v>1108</v>
      </c>
      <c r="B895" s="8" t="s">
        <v>173</v>
      </c>
      <c r="C895" s="8" t="s">
        <v>174</v>
      </c>
      <c r="D895" s="8" t="s">
        <v>175</v>
      </c>
      <c r="E895" s="8" t="s">
        <v>161</v>
      </c>
      <c r="F895" s="9">
        <v>1</v>
      </c>
      <c r="G895" s="5">
        <f>ROUNDDOWN(SUMIF(U889:U965, RIGHTB(B895, 1), H889:H965)*T895, 0)</f>
        <v>891483</v>
      </c>
      <c r="H895" s="5">
        <f t="shared" si="76"/>
        <v>891483</v>
      </c>
      <c r="I895" s="5">
        <v>0</v>
      </c>
      <c r="J895" s="5">
        <f t="shared" si="77"/>
        <v>0</v>
      </c>
      <c r="K895" s="5">
        <v>0</v>
      </c>
      <c r="L895" s="5">
        <f t="shared" si="78"/>
        <v>0</v>
      </c>
      <c r="M895" s="5">
        <f t="shared" si="79"/>
        <v>891483</v>
      </c>
      <c r="N895" s="5">
        <f t="shared" si="79"/>
        <v>891483</v>
      </c>
      <c r="O895" s="8" t="s">
        <v>20</v>
      </c>
      <c r="P895">
        <v>895</v>
      </c>
      <c r="R895">
        <v>0</v>
      </c>
      <c r="S895">
        <v>0</v>
      </c>
      <c r="T895">
        <v>0.03</v>
      </c>
      <c r="AC895">
        <v>1</v>
      </c>
    </row>
    <row r="896" spans="1:29" ht="30" customHeight="1" x14ac:dyDescent="0.3">
      <c r="A896" s="8" t="s">
        <v>1108</v>
      </c>
      <c r="B896" s="8" t="s">
        <v>233</v>
      </c>
      <c r="C896" s="8" t="s">
        <v>219</v>
      </c>
      <c r="D896" s="8" t="s">
        <v>234</v>
      </c>
      <c r="E896" s="8" t="s">
        <v>168</v>
      </c>
      <c r="F896" s="9">
        <v>104</v>
      </c>
      <c r="G896" s="5" t="e">
        <f>'[2].xls].xls].xls].xls].xls].xls].xls].'!E96</f>
        <v>#REF!</v>
      </c>
      <c r="H896" s="5" t="e">
        <f t="shared" si="76"/>
        <v>#REF!</v>
      </c>
      <c r="I896" s="5" t="e">
        <f>'[2].xls].xls].xls].xls].xls].xls].xls].'!F96</f>
        <v>#REF!</v>
      </c>
      <c r="J896" s="5" t="e">
        <f t="shared" si="77"/>
        <v>#REF!</v>
      </c>
      <c r="K896" s="5" t="e">
        <f>'[2].xls].xls].xls].xls].xls].xls].xls].'!G96</f>
        <v>#REF!</v>
      </c>
      <c r="L896" s="5" t="e">
        <f t="shared" si="78"/>
        <v>#REF!</v>
      </c>
      <c r="M896" s="5" t="e">
        <f t="shared" si="79"/>
        <v>#REF!</v>
      </c>
      <c r="N896" s="5" t="e">
        <f t="shared" si="79"/>
        <v>#REF!</v>
      </c>
      <c r="O896" s="8" t="s">
        <v>233</v>
      </c>
      <c r="T896">
        <v>0</v>
      </c>
      <c r="AC896">
        <v>1</v>
      </c>
    </row>
    <row r="897" spans="1:29" ht="30" customHeight="1" x14ac:dyDescent="0.3">
      <c r="A897" s="8" t="s">
        <v>1108</v>
      </c>
      <c r="B897" s="8" t="s">
        <v>774</v>
      </c>
      <c r="C897" s="8" t="s">
        <v>219</v>
      </c>
      <c r="D897" s="8" t="s">
        <v>775</v>
      </c>
      <c r="E897" s="8" t="s">
        <v>168</v>
      </c>
      <c r="F897" s="9">
        <v>96</v>
      </c>
      <c r="G897" s="5" t="e">
        <f>'[2].xls].xls].xls].xls].xls].xls].xls].'!E97</f>
        <v>#REF!</v>
      </c>
      <c r="H897" s="5" t="e">
        <f t="shared" si="76"/>
        <v>#REF!</v>
      </c>
      <c r="I897" s="5" t="e">
        <f>'[2].xls].xls].xls].xls].xls].xls].xls].'!F97</f>
        <v>#REF!</v>
      </c>
      <c r="J897" s="5" t="e">
        <f t="shared" si="77"/>
        <v>#REF!</v>
      </c>
      <c r="K897" s="5" t="e">
        <f>'[2].xls].xls].xls].xls].xls].xls].xls].'!G97</f>
        <v>#REF!</v>
      </c>
      <c r="L897" s="5" t="e">
        <f t="shared" si="78"/>
        <v>#REF!</v>
      </c>
      <c r="M897" s="5" t="e">
        <f t="shared" si="79"/>
        <v>#REF!</v>
      </c>
      <c r="N897" s="5" t="e">
        <f t="shared" si="79"/>
        <v>#REF!</v>
      </c>
      <c r="O897" s="8" t="s">
        <v>774</v>
      </c>
      <c r="T897">
        <v>0</v>
      </c>
      <c r="AC897">
        <v>1</v>
      </c>
    </row>
    <row r="898" spans="1:29" ht="30" customHeight="1" x14ac:dyDescent="0.3">
      <c r="A898" s="8" t="s">
        <v>1108</v>
      </c>
      <c r="B898" s="8" t="s">
        <v>235</v>
      </c>
      <c r="C898" s="8" t="s">
        <v>219</v>
      </c>
      <c r="D898" s="8" t="s">
        <v>236</v>
      </c>
      <c r="E898" s="8" t="s">
        <v>168</v>
      </c>
      <c r="F898" s="9">
        <v>88</v>
      </c>
      <c r="G898" s="5" t="e">
        <f>'[2].xls].xls].xls].xls].xls].xls].xls].'!E98</f>
        <v>#REF!</v>
      </c>
      <c r="H898" s="5" t="e">
        <f t="shared" si="76"/>
        <v>#REF!</v>
      </c>
      <c r="I898" s="5" t="e">
        <f>'[2].xls].xls].xls].xls].xls].xls].xls].'!F98</f>
        <v>#REF!</v>
      </c>
      <c r="J898" s="5" t="e">
        <f t="shared" si="77"/>
        <v>#REF!</v>
      </c>
      <c r="K898" s="5" t="e">
        <f>'[2].xls].xls].xls].xls].xls].xls].xls].'!G98</f>
        <v>#REF!</v>
      </c>
      <c r="L898" s="5" t="e">
        <f t="shared" si="78"/>
        <v>#REF!</v>
      </c>
      <c r="M898" s="5" t="e">
        <f t="shared" si="79"/>
        <v>#REF!</v>
      </c>
      <c r="N898" s="5" t="e">
        <f t="shared" si="79"/>
        <v>#REF!</v>
      </c>
      <c r="O898" s="8" t="s">
        <v>235</v>
      </c>
      <c r="T898">
        <v>0</v>
      </c>
      <c r="AC898">
        <v>1</v>
      </c>
    </row>
    <row r="899" spans="1:29" ht="30" customHeight="1" x14ac:dyDescent="0.3">
      <c r="A899" s="8" t="s">
        <v>1108</v>
      </c>
      <c r="B899" s="8" t="s">
        <v>1118</v>
      </c>
      <c r="C899" s="8" t="s">
        <v>219</v>
      </c>
      <c r="D899" s="8" t="s">
        <v>1119</v>
      </c>
      <c r="E899" s="8" t="s">
        <v>168</v>
      </c>
      <c r="F899" s="9">
        <v>108</v>
      </c>
      <c r="G899" s="5" t="e">
        <f>'[2].xls].xls].xls].xls].xls].xls].xls].'!E99</f>
        <v>#REF!</v>
      </c>
      <c r="H899" s="5" t="e">
        <f t="shared" si="76"/>
        <v>#REF!</v>
      </c>
      <c r="I899" s="5" t="e">
        <f>'[2].xls].xls].xls].xls].xls].xls].xls].'!F99</f>
        <v>#REF!</v>
      </c>
      <c r="J899" s="5" t="e">
        <f t="shared" si="77"/>
        <v>#REF!</v>
      </c>
      <c r="K899" s="5" t="e">
        <f>'[2].xls].xls].xls].xls].xls].xls].xls].'!G99</f>
        <v>#REF!</v>
      </c>
      <c r="L899" s="5" t="e">
        <f t="shared" si="78"/>
        <v>#REF!</v>
      </c>
      <c r="M899" s="5" t="e">
        <f t="shared" si="79"/>
        <v>#REF!</v>
      </c>
      <c r="N899" s="5" t="e">
        <f t="shared" si="79"/>
        <v>#REF!</v>
      </c>
      <c r="O899" s="8" t="s">
        <v>1118</v>
      </c>
      <c r="T899">
        <v>0</v>
      </c>
      <c r="AC899">
        <v>1</v>
      </c>
    </row>
    <row r="900" spans="1:29" ht="30" customHeight="1" x14ac:dyDescent="0.3">
      <c r="A900" s="8" t="s">
        <v>1108</v>
      </c>
      <c r="B900" s="8" t="s">
        <v>1120</v>
      </c>
      <c r="C900" s="8" t="s">
        <v>219</v>
      </c>
      <c r="D900" s="8" t="s">
        <v>1121</v>
      </c>
      <c r="E900" s="8" t="s">
        <v>168</v>
      </c>
      <c r="F900" s="9">
        <v>58</v>
      </c>
      <c r="G900" s="5" t="e">
        <f>'[2].xls].xls].xls].xls].xls].xls].xls].'!E100</f>
        <v>#REF!</v>
      </c>
      <c r="H900" s="5" t="e">
        <f t="shared" si="76"/>
        <v>#REF!</v>
      </c>
      <c r="I900" s="5" t="e">
        <f>'[2].xls].xls].xls].xls].xls].xls].xls].'!F100</f>
        <v>#REF!</v>
      </c>
      <c r="J900" s="5" t="e">
        <f t="shared" si="77"/>
        <v>#REF!</v>
      </c>
      <c r="K900" s="5" t="e">
        <f>'[2].xls].xls].xls].xls].xls].xls].xls].'!G100</f>
        <v>#REF!</v>
      </c>
      <c r="L900" s="5" t="e">
        <f t="shared" si="78"/>
        <v>#REF!</v>
      </c>
      <c r="M900" s="5" t="e">
        <f t="shared" si="79"/>
        <v>#REF!</v>
      </c>
      <c r="N900" s="5" t="e">
        <f t="shared" si="79"/>
        <v>#REF!</v>
      </c>
      <c r="O900" s="8" t="s">
        <v>1120</v>
      </c>
      <c r="T900">
        <v>0</v>
      </c>
      <c r="AC900">
        <v>1</v>
      </c>
    </row>
    <row r="901" spans="1:29" ht="30" customHeight="1" x14ac:dyDescent="0.3">
      <c r="A901" s="8" t="s">
        <v>1108</v>
      </c>
      <c r="B901" s="8" t="s">
        <v>1122</v>
      </c>
      <c r="C901" s="8" t="s">
        <v>1123</v>
      </c>
      <c r="D901" s="8" t="s">
        <v>1124</v>
      </c>
      <c r="E901" s="8" t="s">
        <v>179</v>
      </c>
      <c r="F901" s="9">
        <v>49</v>
      </c>
      <c r="G901" s="5">
        <f>TRUNC([1]단가대비표!O420,0)</f>
        <v>11110</v>
      </c>
      <c r="H901" s="5">
        <f t="shared" si="76"/>
        <v>544390</v>
      </c>
      <c r="I901" s="5">
        <v>0</v>
      </c>
      <c r="J901" s="5">
        <f t="shared" si="77"/>
        <v>0</v>
      </c>
      <c r="K901" s="5">
        <v>0</v>
      </c>
      <c r="L901" s="5">
        <f t="shared" si="78"/>
        <v>0</v>
      </c>
      <c r="M901" s="5">
        <f t="shared" si="79"/>
        <v>11110</v>
      </c>
      <c r="N901" s="5">
        <f t="shared" si="79"/>
        <v>544390</v>
      </c>
      <c r="O901" s="8" t="s">
        <v>20</v>
      </c>
      <c r="T901">
        <v>0</v>
      </c>
      <c r="AC901">
        <v>1</v>
      </c>
    </row>
    <row r="902" spans="1:29" ht="30" customHeight="1" x14ac:dyDescent="0.3">
      <c r="A902" s="8" t="s">
        <v>1108</v>
      </c>
      <c r="B902" s="8" t="s">
        <v>1125</v>
      </c>
      <c r="C902" s="8" t="s">
        <v>1123</v>
      </c>
      <c r="D902" s="8" t="s">
        <v>1126</v>
      </c>
      <c r="E902" s="8" t="s">
        <v>179</v>
      </c>
      <c r="F902" s="9">
        <v>65</v>
      </c>
      <c r="G902" s="5">
        <f>TRUNC([1]단가대비표!O421,0)</f>
        <v>13880</v>
      </c>
      <c r="H902" s="5">
        <f t="shared" si="76"/>
        <v>902200</v>
      </c>
      <c r="I902" s="5">
        <v>0</v>
      </c>
      <c r="J902" s="5">
        <f t="shared" si="77"/>
        <v>0</v>
      </c>
      <c r="K902" s="5">
        <v>0</v>
      </c>
      <c r="L902" s="5">
        <f t="shared" si="78"/>
        <v>0</v>
      </c>
      <c r="M902" s="5">
        <f t="shared" si="79"/>
        <v>13880</v>
      </c>
      <c r="N902" s="5">
        <f t="shared" si="79"/>
        <v>902200</v>
      </c>
      <c r="O902" s="8" t="s">
        <v>20</v>
      </c>
      <c r="T902">
        <v>0</v>
      </c>
      <c r="AC902">
        <v>1</v>
      </c>
    </row>
    <row r="903" spans="1:29" ht="30" customHeight="1" x14ac:dyDescent="0.3">
      <c r="A903" s="8" t="s">
        <v>1108</v>
      </c>
      <c r="B903" s="8" t="s">
        <v>1127</v>
      </c>
      <c r="C903" s="8" t="s">
        <v>1123</v>
      </c>
      <c r="D903" s="8" t="s">
        <v>1128</v>
      </c>
      <c r="E903" s="8" t="s">
        <v>179</v>
      </c>
      <c r="F903" s="9">
        <v>26</v>
      </c>
      <c r="G903" s="5">
        <f>TRUNC([1]단가대비표!O422,0)</f>
        <v>29170</v>
      </c>
      <c r="H903" s="5">
        <f t="shared" si="76"/>
        <v>758420</v>
      </c>
      <c r="I903" s="5">
        <v>0</v>
      </c>
      <c r="J903" s="5">
        <f t="shared" si="77"/>
        <v>0</v>
      </c>
      <c r="K903" s="5">
        <v>0</v>
      </c>
      <c r="L903" s="5">
        <f t="shared" si="78"/>
        <v>0</v>
      </c>
      <c r="M903" s="5">
        <f t="shared" si="79"/>
        <v>29170</v>
      </c>
      <c r="N903" s="5">
        <f t="shared" si="79"/>
        <v>758420</v>
      </c>
      <c r="O903" s="8" t="s">
        <v>20</v>
      </c>
      <c r="T903">
        <v>0</v>
      </c>
      <c r="AC903">
        <v>1</v>
      </c>
    </row>
    <row r="904" spans="1:29" ht="30" customHeight="1" x14ac:dyDescent="0.3">
      <c r="A904" s="8" t="s">
        <v>1108</v>
      </c>
      <c r="B904" s="8" t="s">
        <v>1129</v>
      </c>
      <c r="C904" s="8" t="s">
        <v>1123</v>
      </c>
      <c r="D904" s="8" t="s">
        <v>1130</v>
      </c>
      <c r="E904" s="8" t="s">
        <v>179</v>
      </c>
      <c r="F904" s="9">
        <v>22</v>
      </c>
      <c r="G904" s="5">
        <f>TRUNC([1]단가대비표!O423,0)</f>
        <v>40370</v>
      </c>
      <c r="H904" s="5">
        <f t="shared" si="76"/>
        <v>888140</v>
      </c>
      <c r="I904" s="5">
        <v>0</v>
      </c>
      <c r="J904" s="5">
        <f t="shared" si="77"/>
        <v>0</v>
      </c>
      <c r="K904" s="5">
        <v>0</v>
      </c>
      <c r="L904" s="5">
        <f t="shared" si="78"/>
        <v>0</v>
      </c>
      <c r="M904" s="5">
        <f t="shared" si="79"/>
        <v>40370</v>
      </c>
      <c r="N904" s="5">
        <f t="shared" si="79"/>
        <v>888140</v>
      </c>
      <c r="O904" s="8" t="s">
        <v>20</v>
      </c>
      <c r="T904">
        <v>0</v>
      </c>
      <c r="AC904">
        <v>1</v>
      </c>
    </row>
    <row r="905" spans="1:29" ht="30" customHeight="1" x14ac:dyDescent="0.3">
      <c r="A905" s="8" t="s">
        <v>1108</v>
      </c>
      <c r="B905" s="8" t="s">
        <v>1131</v>
      </c>
      <c r="C905" s="8" t="s">
        <v>1123</v>
      </c>
      <c r="D905" s="8" t="s">
        <v>1132</v>
      </c>
      <c r="E905" s="8" t="s">
        <v>179</v>
      </c>
      <c r="F905" s="9">
        <v>23</v>
      </c>
      <c r="G905" s="5">
        <f>TRUNC([1]단가대비표!O424,0)</f>
        <v>91720</v>
      </c>
      <c r="H905" s="5">
        <f t="shared" si="76"/>
        <v>2109560</v>
      </c>
      <c r="I905" s="5">
        <v>0</v>
      </c>
      <c r="J905" s="5">
        <f t="shared" si="77"/>
        <v>0</v>
      </c>
      <c r="K905" s="5">
        <v>0</v>
      </c>
      <c r="L905" s="5">
        <f t="shared" si="78"/>
        <v>0</v>
      </c>
      <c r="M905" s="5">
        <f t="shared" si="79"/>
        <v>91720</v>
      </c>
      <c r="N905" s="5">
        <f t="shared" si="79"/>
        <v>2109560</v>
      </c>
      <c r="O905" s="8" t="s">
        <v>20</v>
      </c>
      <c r="T905">
        <v>0</v>
      </c>
      <c r="AC905">
        <v>1</v>
      </c>
    </row>
    <row r="906" spans="1:29" ht="30" customHeight="1" x14ac:dyDescent="0.3">
      <c r="A906" s="8" t="s">
        <v>1108</v>
      </c>
      <c r="B906" s="8" t="s">
        <v>1133</v>
      </c>
      <c r="C906" s="8" t="s">
        <v>1123</v>
      </c>
      <c r="D906" s="8" t="s">
        <v>1134</v>
      </c>
      <c r="E906" s="8" t="s">
        <v>179</v>
      </c>
      <c r="F906" s="9">
        <v>2</v>
      </c>
      <c r="G906" s="5">
        <f>TRUNC([1]단가대비표!O425,0)</f>
        <v>126950</v>
      </c>
      <c r="H906" s="5">
        <f t="shared" si="76"/>
        <v>253900</v>
      </c>
      <c r="I906" s="5">
        <v>0</v>
      </c>
      <c r="J906" s="5">
        <f t="shared" si="77"/>
        <v>0</v>
      </c>
      <c r="K906" s="5">
        <v>0</v>
      </c>
      <c r="L906" s="5">
        <f t="shared" si="78"/>
        <v>0</v>
      </c>
      <c r="M906" s="5">
        <f t="shared" si="79"/>
        <v>126950</v>
      </c>
      <c r="N906" s="5">
        <f t="shared" si="79"/>
        <v>253900</v>
      </c>
      <c r="O906" s="8" t="s">
        <v>20</v>
      </c>
      <c r="T906">
        <v>0</v>
      </c>
      <c r="AC906">
        <v>1</v>
      </c>
    </row>
    <row r="907" spans="1:29" ht="30" customHeight="1" x14ac:dyDescent="0.3">
      <c r="A907" s="8" t="s">
        <v>1108</v>
      </c>
      <c r="B907" s="8" t="s">
        <v>1135</v>
      </c>
      <c r="C907" s="8" t="s">
        <v>1123</v>
      </c>
      <c r="D907" s="8" t="s">
        <v>1136</v>
      </c>
      <c r="E907" s="8" t="s">
        <v>179</v>
      </c>
      <c r="F907" s="9">
        <v>9</v>
      </c>
      <c r="G907" s="5">
        <f>TRUNC([1]단가대비표!O426,0)</f>
        <v>16560</v>
      </c>
      <c r="H907" s="5">
        <f t="shared" si="76"/>
        <v>149040</v>
      </c>
      <c r="I907" s="5">
        <v>0</v>
      </c>
      <c r="J907" s="5">
        <f t="shared" si="77"/>
        <v>0</v>
      </c>
      <c r="K907" s="5">
        <v>0</v>
      </c>
      <c r="L907" s="5">
        <f t="shared" si="78"/>
        <v>0</v>
      </c>
      <c r="M907" s="5">
        <f t="shared" si="79"/>
        <v>16560</v>
      </c>
      <c r="N907" s="5">
        <f t="shared" si="79"/>
        <v>149040</v>
      </c>
      <c r="O907" s="8" t="s">
        <v>20</v>
      </c>
      <c r="T907">
        <v>0</v>
      </c>
      <c r="AC907">
        <v>1</v>
      </c>
    </row>
    <row r="908" spans="1:29" ht="30" customHeight="1" x14ac:dyDescent="0.3">
      <c r="A908" s="8" t="s">
        <v>1108</v>
      </c>
      <c r="B908" s="8" t="s">
        <v>1137</v>
      </c>
      <c r="C908" s="8" t="s">
        <v>1123</v>
      </c>
      <c r="D908" s="8" t="s">
        <v>1138</v>
      </c>
      <c r="E908" s="8" t="s">
        <v>179</v>
      </c>
      <c r="F908" s="9">
        <v>4</v>
      </c>
      <c r="G908" s="5">
        <f>TRUNC([1]단가대비표!O427,0)</f>
        <v>18920</v>
      </c>
      <c r="H908" s="5">
        <f t="shared" si="76"/>
        <v>75680</v>
      </c>
      <c r="I908" s="5">
        <v>0</v>
      </c>
      <c r="J908" s="5">
        <f t="shared" si="77"/>
        <v>0</v>
      </c>
      <c r="K908" s="5">
        <v>0</v>
      </c>
      <c r="L908" s="5">
        <f t="shared" si="78"/>
        <v>0</v>
      </c>
      <c r="M908" s="5">
        <f t="shared" si="79"/>
        <v>18920</v>
      </c>
      <c r="N908" s="5">
        <f t="shared" si="79"/>
        <v>75680</v>
      </c>
      <c r="O908" s="8" t="s">
        <v>20</v>
      </c>
      <c r="T908">
        <v>0</v>
      </c>
      <c r="AC908">
        <v>1</v>
      </c>
    </row>
    <row r="909" spans="1:29" ht="30" customHeight="1" x14ac:dyDescent="0.3">
      <c r="A909" s="8" t="s">
        <v>1108</v>
      </c>
      <c r="B909" s="8" t="s">
        <v>1139</v>
      </c>
      <c r="C909" s="8" t="s">
        <v>1123</v>
      </c>
      <c r="D909" s="8" t="s">
        <v>1140</v>
      </c>
      <c r="E909" s="8" t="s">
        <v>179</v>
      </c>
      <c r="F909" s="9">
        <v>4</v>
      </c>
      <c r="G909" s="5">
        <f>TRUNC([1]단가대비표!O428,0)</f>
        <v>21500</v>
      </c>
      <c r="H909" s="5">
        <f t="shared" si="76"/>
        <v>86000</v>
      </c>
      <c r="I909" s="5">
        <v>0</v>
      </c>
      <c r="J909" s="5">
        <f t="shared" si="77"/>
        <v>0</v>
      </c>
      <c r="K909" s="5">
        <v>0</v>
      </c>
      <c r="L909" s="5">
        <f t="shared" si="78"/>
        <v>0</v>
      </c>
      <c r="M909" s="5">
        <f t="shared" si="79"/>
        <v>21500</v>
      </c>
      <c r="N909" s="5">
        <f t="shared" si="79"/>
        <v>86000</v>
      </c>
      <c r="O909" s="8" t="s">
        <v>20</v>
      </c>
      <c r="T909">
        <v>0</v>
      </c>
      <c r="AC909">
        <v>1</v>
      </c>
    </row>
    <row r="910" spans="1:29" ht="30" customHeight="1" x14ac:dyDescent="0.3">
      <c r="A910" s="8" t="s">
        <v>1108</v>
      </c>
      <c r="B910" s="8" t="s">
        <v>1141</v>
      </c>
      <c r="C910" s="8" t="s">
        <v>1123</v>
      </c>
      <c r="D910" s="8" t="s">
        <v>1142</v>
      </c>
      <c r="E910" s="8" t="s">
        <v>179</v>
      </c>
      <c r="F910" s="9">
        <v>5</v>
      </c>
      <c r="G910" s="5">
        <f>TRUNC([1]단가대비표!O429,0)</f>
        <v>38520</v>
      </c>
      <c r="H910" s="5">
        <f t="shared" si="76"/>
        <v>192600</v>
      </c>
      <c r="I910" s="5">
        <v>0</v>
      </c>
      <c r="J910" s="5">
        <f t="shared" si="77"/>
        <v>0</v>
      </c>
      <c r="K910" s="5">
        <v>0</v>
      </c>
      <c r="L910" s="5">
        <f t="shared" si="78"/>
        <v>0</v>
      </c>
      <c r="M910" s="5">
        <f t="shared" si="79"/>
        <v>38520</v>
      </c>
      <c r="N910" s="5">
        <f t="shared" si="79"/>
        <v>192600</v>
      </c>
      <c r="O910" s="8" t="s">
        <v>20</v>
      </c>
      <c r="T910">
        <v>0</v>
      </c>
      <c r="AC910">
        <v>1</v>
      </c>
    </row>
    <row r="911" spans="1:29" ht="30" customHeight="1" x14ac:dyDescent="0.3">
      <c r="A911" s="8" t="s">
        <v>1108</v>
      </c>
      <c r="B911" s="8" t="s">
        <v>1143</v>
      </c>
      <c r="C911" s="8" t="s">
        <v>1123</v>
      </c>
      <c r="D911" s="8" t="s">
        <v>1144</v>
      </c>
      <c r="E911" s="8" t="s">
        <v>179</v>
      </c>
      <c r="F911" s="9">
        <v>2</v>
      </c>
      <c r="G911" s="5">
        <f>TRUNC([1]단가대비표!O430,0)</f>
        <v>40020</v>
      </c>
      <c r="H911" s="5">
        <f t="shared" si="76"/>
        <v>80040</v>
      </c>
      <c r="I911" s="5">
        <v>0</v>
      </c>
      <c r="J911" s="5">
        <f t="shared" si="77"/>
        <v>0</v>
      </c>
      <c r="K911" s="5">
        <v>0</v>
      </c>
      <c r="L911" s="5">
        <f t="shared" si="78"/>
        <v>0</v>
      </c>
      <c r="M911" s="5">
        <f t="shared" si="79"/>
        <v>40020</v>
      </c>
      <c r="N911" s="5">
        <f t="shared" si="79"/>
        <v>80040</v>
      </c>
      <c r="O911" s="8" t="s">
        <v>20</v>
      </c>
      <c r="T911">
        <v>0</v>
      </c>
      <c r="AC911">
        <v>1</v>
      </c>
    </row>
    <row r="912" spans="1:29" ht="30" customHeight="1" x14ac:dyDescent="0.3">
      <c r="A912" s="8" t="s">
        <v>1108</v>
      </c>
      <c r="B912" s="8" t="s">
        <v>1145</v>
      </c>
      <c r="C912" s="8" t="s">
        <v>1123</v>
      </c>
      <c r="D912" s="8" t="s">
        <v>1146</v>
      </c>
      <c r="E912" s="8" t="s">
        <v>179</v>
      </c>
      <c r="F912" s="9">
        <v>3</v>
      </c>
      <c r="G912" s="5">
        <f>TRUNC([1]단가대비표!O431,0)</f>
        <v>41330</v>
      </c>
      <c r="H912" s="5">
        <f t="shared" si="76"/>
        <v>123990</v>
      </c>
      <c r="I912" s="5">
        <v>0</v>
      </c>
      <c r="J912" s="5">
        <f t="shared" si="77"/>
        <v>0</v>
      </c>
      <c r="K912" s="5">
        <v>0</v>
      </c>
      <c r="L912" s="5">
        <f t="shared" si="78"/>
        <v>0</v>
      </c>
      <c r="M912" s="5">
        <f t="shared" si="79"/>
        <v>41330</v>
      </c>
      <c r="N912" s="5">
        <f t="shared" si="79"/>
        <v>123990</v>
      </c>
      <c r="O912" s="8" t="s">
        <v>20</v>
      </c>
      <c r="T912">
        <v>0</v>
      </c>
      <c r="AC912">
        <v>1</v>
      </c>
    </row>
    <row r="913" spans="1:29" ht="30" customHeight="1" x14ac:dyDescent="0.3">
      <c r="A913" s="8" t="s">
        <v>1108</v>
      </c>
      <c r="B913" s="8" t="s">
        <v>1147</v>
      </c>
      <c r="C913" s="8" t="s">
        <v>1123</v>
      </c>
      <c r="D913" s="8" t="s">
        <v>1148</v>
      </c>
      <c r="E913" s="8" t="s">
        <v>179</v>
      </c>
      <c r="F913" s="9">
        <v>13</v>
      </c>
      <c r="G913" s="5">
        <f>TRUNC([1]단가대비표!O432,0)</f>
        <v>50120</v>
      </c>
      <c r="H913" s="5">
        <f t="shared" si="76"/>
        <v>651560</v>
      </c>
      <c r="I913" s="5">
        <v>0</v>
      </c>
      <c r="J913" s="5">
        <f t="shared" si="77"/>
        <v>0</v>
      </c>
      <c r="K913" s="5">
        <v>0</v>
      </c>
      <c r="L913" s="5">
        <f t="shared" si="78"/>
        <v>0</v>
      </c>
      <c r="M913" s="5">
        <f t="shared" si="79"/>
        <v>50120</v>
      </c>
      <c r="N913" s="5">
        <f t="shared" si="79"/>
        <v>651560</v>
      </c>
      <c r="O913" s="8" t="s">
        <v>20</v>
      </c>
      <c r="T913">
        <v>0</v>
      </c>
      <c r="AC913">
        <v>1</v>
      </c>
    </row>
    <row r="914" spans="1:29" ht="30" customHeight="1" x14ac:dyDescent="0.3">
      <c r="A914" s="8" t="s">
        <v>1108</v>
      </c>
      <c r="B914" s="8" t="s">
        <v>1149</v>
      </c>
      <c r="C914" s="8" t="s">
        <v>1123</v>
      </c>
      <c r="D914" s="8" t="s">
        <v>1150</v>
      </c>
      <c r="E914" s="8" t="s">
        <v>179</v>
      </c>
      <c r="F914" s="9">
        <v>2</v>
      </c>
      <c r="G914" s="5">
        <f>TRUNC([1]단가대비표!O433,0)</f>
        <v>52960</v>
      </c>
      <c r="H914" s="5">
        <f t="shared" si="76"/>
        <v>105920</v>
      </c>
      <c r="I914" s="5">
        <v>0</v>
      </c>
      <c r="J914" s="5">
        <f t="shared" si="77"/>
        <v>0</v>
      </c>
      <c r="K914" s="5">
        <v>0</v>
      </c>
      <c r="L914" s="5">
        <f t="shared" si="78"/>
        <v>0</v>
      </c>
      <c r="M914" s="5">
        <f t="shared" si="79"/>
        <v>52960</v>
      </c>
      <c r="N914" s="5">
        <f t="shared" si="79"/>
        <v>105920</v>
      </c>
      <c r="O914" s="8" t="s">
        <v>20</v>
      </c>
      <c r="T914">
        <v>0</v>
      </c>
      <c r="AC914">
        <v>1</v>
      </c>
    </row>
    <row r="915" spans="1:29" ht="30" customHeight="1" x14ac:dyDescent="0.3">
      <c r="A915" s="8" t="s">
        <v>1108</v>
      </c>
      <c r="B915" s="8" t="s">
        <v>1151</v>
      </c>
      <c r="C915" s="8" t="s">
        <v>1123</v>
      </c>
      <c r="D915" s="8" t="s">
        <v>1152</v>
      </c>
      <c r="E915" s="8" t="s">
        <v>179</v>
      </c>
      <c r="F915" s="9">
        <v>9</v>
      </c>
      <c r="G915" s="5">
        <f>TRUNC([1]단가대비표!O434,0)</f>
        <v>59000</v>
      </c>
      <c r="H915" s="5">
        <f t="shared" si="76"/>
        <v>531000</v>
      </c>
      <c r="I915" s="5">
        <v>0</v>
      </c>
      <c r="J915" s="5">
        <f t="shared" si="77"/>
        <v>0</v>
      </c>
      <c r="K915" s="5">
        <v>0</v>
      </c>
      <c r="L915" s="5">
        <f t="shared" si="78"/>
        <v>0</v>
      </c>
      <c r="M915" s="5">
        <f t="shared" si="79"/>
        <v>59000</v>
      </c>
      <c r="N915" s="5">
        <f t="shared" si="79"/>
        <v>531000</v>
      </c>
      <c r="O915" s="8" t="s">
        <v>20</v>
      </c>
      <c r="T915">
        <v>0</v>
      </c>
      <c r="AC915">
        <v>1</v>
      </c>
    </row>
    <row r="916" spans="1:29" ht="30" customHeight="1" x14ac:dyDescent="0.3">
      <c r="A916" s="8" t="s">
        <v>1108</v>
      </c>
      <c r="B916" s="8" t="s">
        <v>1153</v>
      </c>
      <c r="C916" s="8" t="s">
        <v>1123</v>
      </c>
      <c r="D916" s="8" t="s">
        <v>1154</v>
      </c>
      <c r="E916" s="8" t="s">
        <v>179</v>
      </c>
      <c r="F916" s="9">
        <v>8</v>
      </c>
      <c r="G916" s="5">
        <f>TRUNC([1]단가대비표!O435,0)</f>
        <v>159890</v>
      </c>
      <c r="H916" s="5">
        <f t="shared" si="76"/>
        <v>1279120</v>
      </c>
      <c r="I916" s="5">
        <v>0</v>
      </c>
      <c r="J916" s="5">
        <f t="shared" si="77"/>
        <v>0</v>
      </c>
      <c r="K916" s="5">
        <v>0</v>
      </c>
      <c r="L916" s="5">
        <f t="shared" si="78"/>
        <v>0</v>
      </c>
      <c r="M916" s="5">
        <f t="shared" si="79"/>
        <v>159890</v>
      </c>
      <c r="N916" s="5">
        <f t="shared" si="79"/>
        <v>1279120</v>
      </c>
      <c r="O916" s="8" t="s">
        <v>20</v>
      </c>
      <c r="T916">
        <v>0</v>
      </c>
      <c r="AC916">
        <v>1</v>
      </c>
    </row>
    <row r="917" spans="1:29" ht="30" customHeight="1" x14ac:dyDescent="0.3">
      <c r="A917" s="8" t="s">
        <v>1108</v>
      </c>
      <c r="B917" s="8" t="s">
        <v>1155</v>
      </c>
      <c r="C917" s="8" t="s">
        <v>1123</v>
      </c>
      <c r="D917" s="8" t="s">
        <v>1156</v>
      </c>
      <c r="E917" s="8" t="s">
        <v>179</v>
      </c>
      <c r="F917" s="9">
        <v>2</v>
      </c>
      <c r="G917" s="5">
        <f>TRUNC([1]단가대비표!O436,0)</f>
        <v>164560</v>
      </c>
      <c r="H917" s="5">
        <f t="shared" si="76"/>
        <v>329120</v>
      </c>
      <c r="I917" s="5">
        <v>0</v>
      </c>
      <c r="J917" s="5">
        <f t="shared" si="77"/>
        <v>0</v>
      </c>
      <c r="K917" s="5">
        <v>0</v>
      </c>
      <c r="L917" s="5">
        <f t="shared" si="78"/>
        <v>0</v>
      </c>
      <c r="M917" s="5">
        <f t="shared" si="79"/>
        <v>164560</v>
      </c>
      <c r="N917" s="5">
        <f t="shared" si="79"/>
        <v>329120</v>
      </c>
      <c r="O917" s="8" t="s">
        <v>20</v>
      </c>
      <c r="T917">
        <v>0</v>
      </c>
      <c r="AC917">
        <v>1</v>
      </c>
    </row>
    <row r="918" spans="1:29" ht="30" customHeight="1" x14ac:dyDescent="0.3">
      <c r="A918" s="8" t="s">
        <v>1108</v>
      </c>
      <c r="B918" s="8" t="s">
        <v>1157</v>
      </c>
      <c r="C918" s="8" t="s">
        <v>1123</v>
      </c>
      <c r="D918" s="8" t="s">
        <v>1158</v>
      </c>
      <c r="E918" s="8" t="s">
        <v>179</v>
      </c>
      <c r="F918" s="9">
        <v>9</v>
      </c>
      <c r="G918" s="5">
        <f>TRUNC([1]단가대비표!O437,0)</f>
        <v>173910</v>
      </c>
      <c r="H918" s="5">
        <f t="shared" si="76"/>
        <v>1565190</v>
      </c>
      <c r="I918" s="5">
        <v>0</v>
      </c>
      <c r="J918" s="5">
        <f t="shared" si="77"/>
        <v>0</v>
      </c>
      <c r="K918" s="5">
        <v>0</v>
      </c>
      <c r="L918" s="5">
        <f t="shared" si="78"/>
        <v>0</v>
      </c>
      <c r="M918" s="5">
        <f t="shared" si="79"/>
        <v>173910</v>
      </c>
      <c r="N918" s="5">
        <f t="shared" si="79"/>
        <v>1565190</v>
      </c>
      <c r="O918" s="8" t="s">
        <v>20</v>
      </c>
      <c r="T918">
        <v>0</v>
      </c>
      <c r="AC918">
        <v>1</v>
      </c>
    </row>
    <row r="919" spans="1:29" ht="30" customHeight="1" x14ac:dyDescent="0.3">
      <c r="A919" s="8" t="s">
        <v>1108</v>
      </c>
      <c r="B919" s="8" t="s">
        <v>1159</v>
      </c>
      <c r="C919" s="8" t="s">
        <v>1123</v>
      </c>
      <c r="D919" s="8" t="s">
        <v>1160</v>
      </c>
      <c r="E919" s="8" t="s">
        <v>179</v>
      </c>
      <c r="F919" s="9">
        <v>1</v>
      </c>
      <c r="G919" s="5">
        <f>TRUNC([1]단가대비표!O439,0)</f>
        <v>59770</v>
      </c>
      <c r="H919" s="5">
        <f t="shared" si="76"/>
        <v>59770</v>
      </c>
      <c r="I919" s="5">
        <v>0</v>
      </c>
      <c r="J919" s="5">
        <f t="shared" si="77"/>
        <v>0</v>
      </c>
      <c r="K919" s="5">
        <v>0</v>
      </c>
      <c r="L919" s="5">
        <f t="shared" si="78"/>
        <v>0</v>
      </c>
      <c r="M919" s="5">
        <f t="shared" si="79"/>
        <v>59770</v>
      </c>
      <c r="N919" s="5">
        <f t="shared" si="79"/>
        <v>59770</v>
      </c>
      <c r="O919" s="8" t="s">
        <v>20</v>
      </c>
      <c r="T919">
        <v>0</v>
      </c>
      <c r="AC919">
        <v>1</v>
      </c>
    </row>
    <row r="920" spans="1:29" ht="30" customHeight="1" x14ac:dyDescent="0.3">
      <c r="A920" s="8" t="s">
        <v>1108</v>
      </c>
      <c r="B920" s="8" t="s">
        <v>1161</v>
      </c>
      <c r="C920" s="8" t="s">
        <v>1123</v>
      </c>
      <c r="D920" s="8" t="s">
        <v>1162</v>
      </c>
      <c r="E920" s="8" t="s">
        <v>179</v>
      </c>
      <c r="F920" s="9">
        <v>5</v>
      </c>
      <c r="G920" s="5">
        <f>TRUNC([1]단가대비표!O440,0)</f>
        <v>178590</v>
      </c>
      <c r="H920" s="5">
        <f t="shared" si="76"/>
        <v>892950</v>
      </c>
      <c r="I920" s="5">
        <v>0</v>
      </c>
      <c r="J920" s="5">
        <f t="shared" si="77"/>
        <v>0</v>
      </c>
      <c r="K920" s="5">
        <v>0</v>
      </c>
      <c r="L920" s="5">
        <f t="shared" si="78"/>
        <v>0</v>
      </c>
      <c r="M920" s="5">
        <f t="shared" si="79"/>
        <v>178590</v>
      </c>
      <c r="N920" s="5">
        <f t="shared" si="79"/>
        <v>892950</v>
      </c>
      <c r="O920" s="8" t="s">
        <v>20</v>
      </c>
      <c r="T920">
        <v>0</v>
      </c>
      <c r="AC920">
        <v>1</v>
      </c>
    </row>
    <row r="921" spans="1:29" ht="30" customHeight="1" x14ac:dyDescent="0.3">
      <c r="A921" s="8" t="s">
        <v>1108</v>
      </c>
      <c r="B921" s="8" t="s">
        <v>1163</v>
      </c>
      <c r="C921" s="8" t="s">
        <v>1123</v>
      </c>
      <c r="D921" s="8" t="s">
        <v>1164</v>
      </c>
      <c r="E921" s="8" t="s">
        <v>179</v>
      </c>
      <c r="F921" s="9">
        <v>18</v>
      </c>
      <c r="G921" s="5">
        <f>TRUNC([1]단가대비표!O441,0)</f>
        <v>10180</v>
      </c>
      <c r="H921" s="5">
        <f t="shared" si="76"/>
        <v>183240</v>
      </c>
      <c r="I921" s="5">
        <v>0</v>
      </c>
      <c r="J921" s="5">
        <f t="shared" si="77"/>
        <v>0</v>
      </c>
      <c r="K921" s="5">
        <v>0</v>
      </c>
      <c r="L921" s="5">
        <f t="shared" si="78"/>
        <v>0</v>
      </c>
      <c r="M921" s="5">
        <f t="shared" ref="M921:N952" si="80">G921+I921+K921</f>
        <v>10180</v>
      </c>
      <c r="N921" s="5">
        <f t="shared" si="80"/>
        <v>183240</v>
      </c>
      <c r="O921" s="8" t="s">
        <v>20</v>
      </c>
      <c r="T921">
        <v>0</v>
      </c>
      <c r="AC921">
        <v>1</v>
      </c>
    </row>
    <row r="922" spans="1:29" ht="30" customHeight="1" x14ac:dyDescent="0.3">
      <c r="A922" s="8" t="s">
        <v>1108</v>
      </c>
      <c r="B922" s="8" t="s">
        <v>1165</v>
      </c>
      <c r="C922" s="8" t="s">
        <v>1123</v>
      </c>
      <c r="D922" s="8" t="s">
        <v>1166</v>
      </c>
      <c r="E922" s="8" t="s">
        <v>179</v>
      </c>
      <c r="F922" s="9">
        <v>19</v>
      </c>
      <c r="G922" s="5">
        <f>TRUNC([1]단가대비표!O442,0)</f>
        <v>13780</v>
      </c>
      <c r="H922" s="5">
        <f t="shared" si="76"/>
        <v>261820</v>
      </c>
      <c r="I922" s="5">
        <v>0</v>
      </c>
      <c r="J922" s="5">
        <f t="shared" si="77"/>
        <v>0</v>
      </c>
      <c r="K922" s="5">
        <v>0</v>
      </c>
      <c r="L922" s="5">
        <f t="shared" si="78"/>
        <v>0</v>
      </c>
      <c r="M922" s="5">
        <f t="shared" si="80"/>
        <v>13780</v>
      </c>
      <c r="N922" s="5">
        <f t="shared" si="80"/>
        <v>261820</v>
      </c>
      <c r="O922" s="8" t="s">
        <v>20</v>
      </c>
      <c r="T922">
        <v>0</v>
      </c>
      <c r="AC922">
        <v>1</v>
      </c>
    </row>
    <row r="923" spans="1:29" ht="30" customHeight="1" x14ac:dyDescent="0.3">
      <c r="A923" s="8" t="s">
        <v>1108</v>
      </c>
      <c r="B923" s="8" t="s">
        <v>1167</v>
      </c>
      <c r="C923" s="8" t="s">
        <v>1123</v>
      </c>
      <c r="D923" s="8" t="s">
        <v>1168</v>
      </c>
      <c r="E923" s="8" t="s">
        <v>179</v>
      </c>
      <c r="F923" s="9">
        <v>15</v>
      </c>
      <c r="G923" s="5">
        <f>TRUNC([1]단가대비표!O443,0)</f>
        <v>29520</v>
      </c>
      <c r="H923" s="5">
        <f t="shared" si="76"/>
        <v>442800</v>
      </c>
      <c r="I923" s="5">
        <v>0</v>
      </c>
      <c r="J923" s="5">
        <f t="shared" si="77"/>
        <v>0</v>
      </c>
      <c r="K923" s="5">
        <v>0</v>
      </c>
      <c r="L923" s="5">
        <f t="shared" si="78"/>
        <v>0</v>
      </c>
      <c r="M923" s="5">
        <f t="shared" si="80"/>
        <v>29520</v>
      </c>
      <c r="N923" s="5">
        <f t="shared" si="80"/>
        <v>442800</v>
      </c>
      <c r="O923" s="8" t="s">
        <v>20</v>
      </c>
      <c r="T923">
        <v>0</v>
      </c>
      <c r="AC923">
        <v>1</v>
      </c>
    </row>
    <row r="924" spans="1:29" ht="30" customHeight="1" x14ac:dyDescent="0.3">
      <c r="A924" s="8" t="s">
        <v>1108</v>
      </c>
      <c r="B924" s="8" t="s">
        <v>1169</v>
      </c>
      <c r="C924" s="8" t="s">
        <v>1123</v>
      </c>
      <c r="D924" s="8" t="s">
        <v>1170</v>
      </c>
      <c r="E924" s="8" t="s">
        <v>179</v>
      </c>
      <c r="F924" s="9">
        <v>21</v>
      </c>
      <c r="G924" s="5">
        <f>TRUNC([1]단가대비표!O444,0)</f>
        <v>36920</v>
      </c>
      <c r="H924" s="5">
        <f t="shared" si="76"/>
        <v>775320</v>
      </c>
      <c r="I924" s="5">
        <v>0</v>
      </c>
      <c r="J924" s="5">
        <f t="shared" si="77"/>
        <v>0</v>
      </c>
      <c r="K924" s="5">
        <v>0</v>
      </c>
      <c r="L924" s="5">
        <f t="shared" si="78"/>
        <v>0</v>
      </c>
      <c r="M924" s="5">
        <f t="shared" si="80"/>
        <v>36920</v>
      </c>
      <c r="N924" s="5">
        <f t="shared" si="80"/>
        <v>775320</v>
      </c>
      <c r="O924" s="8" t="s">
        <v>20</v>
      </c>
      <c r="T924">
        <v>0</v>
      </c>
      <c r="AC924">
        <v>1</v>
      </c>
    </row>
    <row r="925" spans="1:29" ht="30" customHeight="1" x14ac:dyDescent="0.3">
      <c r="A925" s="8" t="s">
        <v>1108</v>
      </c>
      <c r="B925" s="8" t="s">
        <v>1171</v>
      </c>
      <c r="C925" s="8" t="s">
        <v>1123</v>
      </c>
      <c r="D925" s="8" t="s">
        <v>1172</v>
      </c>
      <c r="E925" s="8" t="s">
        <v>179</v>
      </c>
      <c r="F925" s="9">
        <v>40</v>
      </c>
      <c r="G925" s="5">
        <f>TRUNC([1]단가대비표!O445,0)</f>
        <v>91720</v>
      </c>
      <c r="H925" s="5">
        <f t="shared" si="76"/>
        <v>3668800</v>
      </c>
      <c r="I925" s="5">
        <v>0</v>
      </c>
      <c r="J925" s="5">
        <f t="shared" si="77"/>
        <v>0</v>
      </c>
      <c r="K925" s="5">
        <v>0</v>
      </c>
      <c r="L925" s="5">
        <f t="shared" si="78"/>
        <v>0</v>
      </c>
      <c r="M925" s="5">
        <f t="shared" si="80"/>
        <v>91720</v>
      </c>
      <c r="N925" s="5">
        <f t="shared" si="80"/>
        <v>3668800</v>
      </c>
      <c r="O925" s="8" t="s">
        <v>20</v>
      </c>
      <c r="T925">
        <v>0</v>
      </c>
      <c r="AC925">
        <v>1</v>
      </c>
    </row>
    <row r="926" spans="1:29" ht="30" customHeight="1" x14ac:dyDescent="0.3">
      <c r="A926" s="8" t="s">
        <v>1108</v>
      </c>
      <c r="B926" s="8" t="s">
        <v>1173</v>
      </c>
      <c r="C926" s="8" t="s">
        <v>1123</v>
      </c>
      <c r="D926" s="8" t="s">
        <v>1174</v>
      </c>
      <c r="E926" s="8" t="s">
        <v>179</v>
      </c>
      <c r="F926" s="9">
        <v>4</v>
      </c>
      <c r="G926" s="5">
        <f>TRUNC([1]단가대비표!O446,0)</f>
        <v>114740</v>
      </c>
      <c r="H926" s="5">
        <f t="shared" si="76"/>
        <v>458960</v>
      </c>
      <c r="I926" s="5">
        <v>0</v>
      </c>
      <c r="J926" s="5">
        <f t="shared" si="77"/>
        <v>0</v>
      </c>
      <c r="K926" s="5">
        <v>0</v>
      </c>
      <c r="L926" s="5">
        <f t="shared" si="78"/>
        <v>0</v>
      </c>
      <c r="M926" s="5">
        <f t="shared" si="80"/>
        <v>114740</v>
      </c>
      <c r="N926" s="5">
        <f t="shared" si="80"/>
        <v>458960</v>
      </c>
      <c r="O926" s="8" t="s">
        <v>20</v>
      </c>
      <c r="T926">
        <v>0</v>
      </c>
      <c r="AC926">
        <v>1</v>
      </c>
    </row>
    <row r="927" spans="1:29" ht="30" customHeight="1" x14ac:dyDescent="0.3">
      <c r="A927" s="8" t="s">
        <v>1108</v>
      </c>
      <c r="B927" s="8" t="s">
        <v>1175</v>
      </c>
      <c r="C927" s="8" t="s">
        <v>1123</v>
      </c>
      <c r="D927" s="8" t="s">
        <v>1176</v>
      </c>
      <c r="E927" s="8" t="s">
        <v>179</v>
      </c>
      <c r="F927" s="9">
        <v>9</v>
      </c>
      <c r="G927" s="5">
        <f>TRUNC([1]단가대비표!O447,0)</f>
        <v>2670</v>
      </c>
      <c r="H927" s="5">
        <f t="shared" si="76"/>
        <v>24030</v>
      </c>
      <c r="I927" s="5">
        <v>0</v>
      </c>
      <c r="J927" s="5">
        <f t="shared" si="77"/>
        <v>0</v>
      </c>
      <c r="K927" s="5">
        <v>0</v>
      </c>
      <c r="L927" s="5">
        <f t="shared" si="78"/>
        <v>0</v>
      </c>
      <c r="M927" s="5">
        <f t="shared" si="80"/>
        <v>2670</v>
      </c>
      <c r="N927" s="5">
        <f t="shared" si="80"/>
        <v>24030</v>
      </c>
      <c r="O927" s="8" t="s">
        <v>20</v>
      </c>
      <c r="T927">
        <v>0</v>
      </c>
      <c r="AC927">
        <v>1</v>
      </c>
    </row>
    <row r="928" spans="1:29" ht="30" customHeight="1" x14ac:dyDescent="0.3">
      <c r="A928" s="8" t="s">
        <v>1108</v>
      </c>
      <c r="B928" s="8" t="s">
        <v>1177</v>
      </c>
      <c r="C928" s="8" t="s">
        <v>1123</v>
      </c>
      <c r="D928" s="8" t="s">
        <v>1178</v>
      </c>
      <c r="E928" s="8" t="s">
        <v>179</v>
      </c>
      <c r="F928" s="9">
        <v>6</v>
      </c>
      <c r="G928" s="5">
        <f>TRUNC([1]단가대비표!O448,0)</f>
        <v>3290</v>
      </c>
      <c r="H928" s="5">
        <f t="shared" si="76"/>
        <v>19740</v>
      </c>
      <c r="I928" s="5">
        <v>0</v>
      </c>
      <c r="J928" s="5">
        <f t="shared" si="77"/>
        <v>0</v>
      </c>
      <c r="K928" s="5">
        <v>0</v>
      </c>
      <c r="L928" s="5">
        <f t="shared" si="78"/>
        <v>0</v>
      </c>
      <c r="M928" s="5">
        <f t="shared" si="80"/>
        <v>3290</v>
      </c>
      <c r="N928" s="5">
        <f t="shared" si="80"/>
        <v>19740</v>
      </c>
      <c r="O928" s="8" t="s">
        <v>20</v>
      </c>
      <c r="T928">
        <v>0</v>
      </c>
      <c r="AC928">
        <v>1</v>
      </c>
    </row>
    <row r="929" spans="1:29" ht="30" customHeight="1" x14ac:dyDescent="0.3">
      <c r="A929" s="8" t="s">
        <v>1108</v>
      </c>
      <c r="B929" s="8" t="s">
        <v>1179</v>
      </c>
      <c r="C929" s="8" t="s">
        <v>1123</v>
      </c>
      <c r="D929" s="8" t="s">
        <v>1180</v>
      </c>
      <c r="E929" s="8" t="s">
        <v>179</v>
      </c>
      <c r="F929" s="9">
        <v>5</v>
      </c>
      <c r="G929" s="5">
        <f>TRUNC([1]단가대비표!O449,0)</f>
        <v>3910</v>
      </c>
      <c r="H929" s="5">
        <f t="shared" si="76"/>
        <v>19550</v>
      </c>
      <c r="I929" s="5">
        <v>0</v>
      </c>
      <c r="J929" s="5">
        <f t="shared" si="77"/>
        <v>0</v>
      </c>
      <c r="K929" s="5">
        <v>0</v>
      </c>
      <c r="L929" s="5">
        <f t="shared" si="78"/>
        <v>0</v>
      </c>
      <c r="M929" s="5">
        <f t="shared" si="80"/>
        <v>3910</v>
      </c>
      <c r="N929" s="5">
        <f t="shared" si="80"/>
        <v>19550</v>
      </c>
      <c r="O929" s="8" t="s">
        <v>20</v>
      </c>
      <c r="T929">
        <v>0</v>
      </c>
      <c r="AC929">
        <v>1</v>
      </c>
    </row>
    <row r="930" spans="1:29" ht="30" customHeight="1" x14ac:dyDescent="0.3">
      <c r="A930" s="8" t="s">
        <v>1108</v>
      </c>
      <c r="B930" s="8" t="s">
        <v>1181</v>
      </c>
      <c r="C930" s="8" t="s">
        <v>1123</v>
      </c>
      <c r="D930" s="8" t="s">
        <v>1182</v>
      </c>
      <c r="E930" s="8" t="s">
        <v>179</v>
      </c>
      <c r="F930" s="9">
        <v>13</v>
      </c>
      <c r="G930" s="5">
        <f>TRUNC([1]단가대비표!O450,0)</f>
        <v>10240</v>
      </c>
      <c r="H930" s="5">
        <f t="shared" si="76"/>
        <v>133120</v>
      </c>
      <c r="I930" s="5">
        <v>0</v>
      </c>
      <c r="J930" s="5">
        <f t="shared" si="77"/>
        <v>0</v>
      </c>
      <c r="K930" s="5">
        <v>0</v>
      </c>
      <c r="L930" s="5">
        <f t="shared" si="78"/>
        <v>0</v>
      </c>
      <c r="M930" s="5">
        <f t="shared" si="80"/>
        <v>10240</v>
      </c>
      <c r="N930" s="5">
        <f t="shared" si="80"/>
        <v>133120</v>
      </c>
      <c r="O930" s="8" t="s">
        <v>20</v>
      </c>
      <c r="T930">
        <v>0</v>
      </c>
      <c r="AC930">
        <v>1</v>
      </c>
    </row>
    <row r="931" spans="1:29" ht="30" customHeight="1" x14ac:dyDescent="0.3">
      <c r="A931" s="8" t="s">
        <v>1108</v>
      </c>
      <c r="B931" s="8" t="s">
        <v>1183</v>
      </c>
      <c r="C931" s="8" t="s">
        <v>1123</v>
      </c>
      <c r="D931" s="8" t="s">
        <v>1184</v>
      </c>
      <c r="E931" s="8" t="s">
        <v>179</v>
      </c>
      <c r="F931" s="9">
        <v>13</v>
      </c>
      <c r="G931" s="5">
        <f>TRUNC([1]단가대비표!O451,0)</f>
        <v>12340</v>
      </c>
      <c r="H931" s="5">
        <f t="shared" si="76"/>
        <v>160420</v>
      </c>
      <c r="I931" s="5">
        <v>0</v>
      </c>
      <c r="J931" s="5">
        <f t="shared" si="77"/>
        <v>0</v>
      </c>
      <c r="K931" s="5">
        <v>0</v>
      </c>
      <c r="L931" s="5">
        <f t="shared" si="78"/>
        <v>0</v>
      </c>
      <c r="M931" s="5">
        <f t="shared" si="80"/>
        <v>12340</v>
      </c>
      <c r="N931" s="5">
        <f t="shared" si="80"/>
        <v>160420</v>
      </c>
      <c r="O931" s="8" t="s">
        <v>20</v>
      </c>
      <c r="T931">
        <v>0</v>
      </c>
      <c r="AC931">
        <v>1</v>
      </c>
    </row>
    <row r="932" spans="1:29" ht="30" customHeight="1" x14ac:dyDescent="0.3">
      <c r="A932" s="8" t="s">
        <v>1108</v>
      </c>
      <c r="B932" s="8" t="s">
        <v>1185</v>
      </c>
      <c r="C932" s="8" t="s">
        <v>1123</v>
      </c>
      <c r="D932" s="8" t="s">
        <v>1186</v>
      </c>
      <c r="E932" s="8" t="s">
        <v>179</v>
      </c>
      <c r="F932" s="9">
        <v>2</v>
      </c>
      <c r="G932" s="5">
        <f>TRUNC([1]단가대비표!O452,0)</f>
        <v>14880</v>
      </c>
      <c r="H932" s="5">
        <f t="shared" si="76"/>
        <v>29760</v>
      </c>
      <c r="I932" s="5">
        <v>0</v>
      </c>
      <c r="J932" s="5">
        <f t="shared" si="77"/>
        <v>0</v>
      </c>
      <c r="K932" s="5">
        <v>0</v>
      </c>
      <c r="L932" s="5">
        <f t="shared" si="78"/>
        <v>0</v>
      </c>
      <c r="M932" s="5">
        <f t="shared" si="80"/>
        <v>14880</v>
      </c>
      <c r="N932" s="5">
        <f t="shared" si="80"/>
        <v>29760</v>
      </c>
      <c r="O932" s="8" t="s">
        <v>20</v>
      </c>
      <c r="T932">
        <v>0</v>
      </c>
      <c r="AC932">
        <v>1</v>
      </c>
    </row>
    <row r="933" spans="1:29" ht="30" customHeight="1" x14ac:dyDescent="0.3">
      <c r="A933" s="8" t="s">
        <v>1108</v>
      </c>
      <c r="B933" s="8" t="s">
        <v>1059</v>
      </c>
      <c r="C933" s="8" t="s">
        <v>1057</v>
      </c>
      <c r="D933" s="8" t="s">
        <v>348</v>
      </c>
      <c r="E933" s="8" t="s">
        <v>185</v>
      </c>
      <c r="F933" s="9">
        <v>40</v>
      </c>
      <c r="G933" s="5" t="e">
        <f>'[2].xls].xls].xls].xls].xls].xls].xls].'!E41</f>
        <v>#REF!</v>
      </c>
      <c r="H933" s="5" t="e">
        <f t="shared" si="76"/>
        <v>#REF!</v>
      </c>
      <c r="I933" s="5" t="e">
        <f>'[2].xls].xls].xls].xls].xls].xls].xls].'!F41</f>
        <v>#REF!</v>
      </c>
      <c r="J933" s="5" t="e">
        <f t="shared" si="77"/>
        <v>#REF!</v>
      </c>
      <c r="K933" s="5" t="e">
        <f>'[2].xls].xls].xls].xls].xls].xls].xls].'!G41</f>
        <v>#REF!</v>
      </c>
      <c r="L933" s="5" t="e">
        <f t="shared" si="78"/>
        <v>#REF!</v>
      </c>
      <c r="M933" s="5" t="e">
        <f t="shared" si="80"/>
        <v>#REF!</v>
      </c>
      <c r="N933" s="5" t="e">
        <f t="shared" si="80"/>
        <v>#REF!</v>
      </c>
      <c r="O933" s="8" t="s">
        <v>1059</v>
      </c>
      <c r="T933">
        <v>0</v>
      </c>
      <c r="AC933">
        <v>1</v>
      </c>
    </row>
    <row r="934" spans="1:29" ht="30" customHeight="1" x14ac:dyDescent="0.3">
      <c r="A934" s="8" t="s">
        <v>1108</v>
      </c>
      <c r="B934" s="8" t="s">
        <v>1060</v>
      </c>
      <c r="C934" s="8" t="s">
        <v>1057</v>
      </c>
      <c r="D934" s="8" t="s">
        <v>350</v>
      </c>
      <c r="E934" s="8" t="s">
        <v>185</v>
      </c>
      <c r="F934" s="9">
        <v>38</v>
      </c>
      <c r="G934" s="5" t="e">
        <f>'[2].xls].xls].xls].xls].xls].xls].xls].'!E42</f>
        <v>#REF!</v>
      </c>
      <c r="H934" s="5" t="e">
        <f t="shared" si="76"/>
        <v>#REF!</v>
      </c>
      <c r="I934" s="5" t="e">
        <f>'[2].xls].xls].xls].xls].xls].xls].xls].'!F42</f>
        <v>#REF!</v>
      </c>
      <c r="J934" s="5" t="e">
        <f t="shared" si="77"/>
        <v>#REF!</v>
      </c>
      <c r="K934" s="5" t="e">
        <f>'[2].xls].xls].xls].xls].xls].xls].xls].'!G42</f>
        <v>#REF!</v>
      </c>
      <c r="L934" s="5" t="e">
        <f t="shared" si="78"/>
        <v>#REF!</v>
      </c>
      <c r="M934" s="5" t="e">
        <f t="shared" si="80"/>
        <v>#REF!</v>
      </c>
      <c r="N934" s="5" t="e">
        <f t="shared" si="80"/>
        <v>#REF!</v>
      </c>
      <c r="O934" s="8" t="s">
        <v>1060</v>
      </c>
      <c r="T934">
        <v>0</v>
      </c>
      <c r="AC934">
        <v>1</v>
      </c>
    </row>
    <row r="935" spans="1:29" ht="30" customHeight="1" x14ac:dyDescent="0.3">
      <c r="A935" s="8" t="s">
        <v>1108</v>
      </c>
      <c r="B935" s="8" t="s">
        <v>1061</v>
      </c>
      <c r="C935" s="8" t="s">
        <v>1057</v>
      </c>
      <c r="D935" s="8" t="s">
        <v>352</v>
      </c>
      <c r="E935" s="8" t="s">
        <v>185</v>
      </c>
      <c r="F935" s="9">
        <v>30</v>
      </c>
      <c r="G935" s="5" t="e">
        <f>'[2].xls].xls].xls].xls].xls].xls].xls].'!E43</f>
        <v>#REF!</v>
      </c>
      <c r="H935" s="5" t="e">
        <f t="shared" si="76"/>
        <v>#REF!</v>
      </c>
      <c r="I935" s="5" t="e">
        <f>'[2].xls].xls].xls].xls].xls].xls].xls].'!F43</f>
        <v>#REF!</v>
      </c>
      <c r="J935" s="5" t="e">
        <f t="shared" si="77"/>
        <v>#REF!</v>
      </c>
      <c r="K935" s="5" t="e">
        <f>'[2].xls].xls].xls].xls].xls].xls].xls].'!G43</f>
        <v>#REF!</v>
      </c>
      <c r="L935" s="5" t="e">
        <f t="shared" si="78"/>
        <v>#REF!</v>
      </c>
      <c r="M935" s="5" t="e">
        <f t="shared" si="80"/>
        <v>#REF!</v>
      </c>
      <c r="N935" s="5" t="e">
        <f t="shared" si="80"/>
        <v>#REF!</v>
      </c>
      <c r="O935" s="8" t="s">
        <v>1061</v>
      </c>
      <c r="T935">
        <v>0</v>
      </c>
      <c r="AC935">
        <v>1</v>
      </c>
    </row>
    <row r="936" spans="1:29" ht="30" customHeight="1" x14ac:dyDescent="0.3">
      <c r="A936" s="8" t="s">
        <v>1108</v>
      </c>
      <c r="B936" s="8" t="s">
        <v>1062</v>
      </c>
      <c r="C936" s="8" t="s">
        <v>1057</v>
      </c>
      <c r="D936" s="8" t="s">
        <v>608</v>
      </c>
      <c r="E936" s="8" t="s">
        <v>185</v>
      </c>
      <c r="F936" s="9">
        <v>51</v>
      </c>
      <c r="G936" s="5" t="e">
        <f>'[2].xls].xls].xls].xls].xls].xls].xls].'!E44</f>
        <v>#REF!</v>
      </c>
      <c r="H936" s="5" t="e">
        <f t="shared" si="76"/>
        <v>#REF!</v>
      </c>
      <c r="I936" s="5" t="e">
        <f>'[2].xls].xls].xls].xls].xls].xls].xls].'!F44</f>
        <v>#REF!</v>
      </c>
      <c r="J936" s="5" t="e">
        <f t="shared" si="77"/>
        <v>#REF!</v>
      </c>
      <c r="K936" s="5" t="e">
        <f>'[2].xls].xls].xls].xls].xls].xls].xls].'!G44</f>
        <v>#REF!</v>
      </c>
      <c r="L936" s="5" t="e">
        <f t="shared" si="78"/>
        <v>#REF!</v>
      </c>
      <c r="M936" s="5" t="e">
        <f t="shared" si="80"/>
        <v>#REF!</v>
      </c>
      <c r="N936" s="5" t="e">
        <f t="shared" si="80"/>
        <v>#REF!</v>
      </c>
      <c r="O936" s="8" t="s">
        <v>1062</v>
      </c>
      <c r="T936">
        <v>0</v>
      </c>
      <c r="AC936">
        <v>1</v>
      </c>
    </row>
    <row r="937" spans="1:29" ht="30" customHeight="1" x14ac:dyDescent="0.3">
      <c r="A937" s="8" t="s">
        <v>1108</v>
      </c>
      <c r="B937" s="8" t="s">
        <v>1187</v>
      </c>
      <c r="C937" s="8" t="s">
        <v>1057</v>
      </c>
      <c r="D937" s="8" t="s">
        <v>1115</v>
      </c>
      <c r="E937" s="8" t="s">
        <v>185</v>
      </c>
      <c r="F937" s="9">
        <v>60</v>
      </c>
      <c r="G937" s="5" t="e">
        <f>'[2].xls].xls].xls].xls].xls].xls].xls].'!E45</f>
        <v>#REF!</v>
      </c>
      <c r="H937" s="5" t="e">
        <f t="shared" si="76"/>
        <v>#REF!</v>
      </c>
      <c r="I937" s="5" t="e">
        <f>'[2].xls].xls].xls].xls].xls].xls].xls].'!F45</f>
        <v>#REF!</v>
      </c>
      <c r="J937" s="5" t="e">
        <f t="shared" si="77"/>
        <v>#REF!</v>
      </c>
      <c r="K937" s="5" t="e">
        <f>'[2].xls].xls].xls].xls].xls].xls].xls].'!G45</f>
        <v>#REF!</v>
      </c>
      <c r="L937" s="5" t="e">
        <f t="shared" si="78"/>
        <v>#REF!</v>
      </c>
      <c r="M937" s="5" t="e">
        <f t="shared" si="80"/>
        <v>#REF!</v>
      </c>
      <c r="N937" s="5" t="e">
        <f t="shared" si="80"/>
        <v>#REF!</v>
      </c>
      <c r="O937" s="8" t="s">
        <v>1187</v>
      </c>
      <c r="T937">
        <v>0</v>
      </c>
      <c r="AC937">
        <v>1</v>
      </c>
    </row>
    <row r="938" spans="1:29" ht="30" customHeight="1" x14ac:dyDescent="0.3">
      <c r="A938" s="8" t="s">
        <v>1108</v>
      </c>
      <c r="B938" s="8" t="s">
        <v>1188</v>
      </c>
      <c r="C938" s="8" t="s">
        <v>1057</v>
      </c>
      <c r="D938" s="8" t="s">
        <v>1117</v>
      </c>
      <c r="E938" s="8" t="s">
        <v>185</v>
      </c>
      <c r="F938" s="9">
        <v>7</v>
      </c>
      <c r="G938" s="5" t="e">
        <f>'[2].xls].xls].xls].xls].xls].xls].xls].'!E46</f>
        <v>#REF!</v>
      </c>
      <c r="H938" s="5" t="e">
        <f t="shared" si="76"/>
        <v>#REF!</v>
      </c>
      <c r="I938" s="5" t="e">
        <f>'[2].xls].xls].xls].xls].xls].xls].xls].'!F46</f>
        <v>#REF!</v>
      </c>
      <c r="J938" s="5" t="e">
        <f t="shared" si="77"/>
        <v>#REF!</v>
      </c>
      <c r="K938" s="5" t="e">
        <f>'[2].xls].xls].xls].xls].xls].xls].xls].'!G46</f>
        <v>#REF!</v>
      </c>
      <c r="L938" s="5" t="e">
        <f t="shared" si="78"/>
        <v>#REF!</v>
      </c>
      <c r="M938" s="5" t="e">
        <f t="shared" si="80"/>
        <v>#REF!</v>
      </c>
      <c r="N938" s="5" t="e">
        <f t="shared" si="80"/>
        <v>#REF!</v>
      </c>
      <c r="O938" s="8" t="s">
        <v>1188</v>
      </c>
      <c r="T938">
        <v>0</v>
      </c>
      <c r="AC938">
        <v>1</v>
      </c>
    </row>
    <row r="939" spans="1:29" ht="30" customHeight="1" x14ac:dyDescent="0.3">
      <c r="A939" s="8" t="s">
        <v>1108</v>
      </c>
      <c r="B939" s="8" t="s">
        <v>1071</v>
      </c>
      <c r="C939" s="8" t="s">
        <v>494</v>
      </c>
      <c r="D939" s="8" t="s">
        <v>1072</v>
      </c>
      <c r="E939" s="8" t="s">
        <v>179</v>
      </c>
      <c r="F939" s="9">
        <v>4</v>
      </c>
      <c r="G939" s="5">
        <f>TRUNC([1]단가대비표!O575,0)</f>
        <v>840</v>
      </c>
      <c r="H939" s="5">
        <f t="shared" si="76"/>
        <v>3360</v>
      </c>
      <c r="I939" s="5">
        <v>0</v>
      </c>
      <c r="J939" s="5">
        <f t="shared" si="77"/>
        <v>0</v>
      </c>
      <c r="K939" s="5">
        <v>0</v>
      </c>
      <c r="L939" s="5">
        <f t="shared" si="78"/>
        <v>0</v>
      </c>
      <c r="M939" s="5">
        <f t="shared" si="80"/>
        <v>840</v>
      </c>
      <c r="N939" s="5">
        <f t="shared" si="80"/>
        <v>3360</v>
      </c>
      <c r="O939" s="8" t="s">
        <v>20</v>
      </c>
      <c r="T939">
        <v>0</v>
      </c>
      <c r="AC939">
        <v>1</v>
      </c>
    </row>
    <row r="940" spans="1:29" ht="30" customHeight="1" x14ac:dyDescent="0.3">
      <c r="A940" s="8" t="s">
        <v>1108</v>
      </c>
      <c r="B940" s="8" t="s">
        <v>1189</v>
      </c>
      <c r="C940" s="8" t="s">
        <v>494</v>
      </c>
      <c r="D940" s="8" t="s">
        <v>1190</v>
      </c>
      <c r="E940" s="8" t="s">
        <v>179</v>
      </c>
      <c r="F940" s="9">
        <v>8</v>
      </c>
      <c r="G940" s="5">
        <f>TRUNC([1]단가대비표!O576,0)</f>
        <v>2344</v>
      </c>
      <c r="H940" s="5">
        <f t="shared" si="76"/>
        <v>18752</v>
      </c>
      <c r="I940" s="5">
        <v>0</v>
      </c>
      <c r="J940" s="5">
        <f t="shared" si="77"/>
        <v>0</v>
      </c>
      <c r="K940" s="5">
        <v>0</v>
      </c>
      <c r="L940" s="5">
        <f t="shared" si="78"/>
        <v>0</v>
      </c>
      <c r="M940" s="5">
        <f t="shared" si="80"/>
        <v>2344</v>
      </c>
      <c r="N940" s="5">
        <f t="shared" si="80"/>
        <v>18752</v>
      </c>
      <c r="O940" s="8" t="s">
        <v>20</v>
      </c>
      <c r="T940">
        <v>0</v>
      </c>
      <c r="AC940">
        <v>1</v>
      </c>
    </row>
    <row r="941" spans="1:29" ht="30" customHeight="1" x14ac:dyDescent="0.3">
      <c r="A941" s="8" t="s">
        <v>1108</v>
      </c>
      <c r="B941" s="8" t="s">
        <v>1191</v>
      </c>
      <c r="C941" s="8" t="s">
        <v>494</v>
      </c>
      <c r="D941" s="8" t="s">
        <v>1192</v>
      </c>
      <c r="E941" s="8" t="s">
        <v>179</v>
      </c>
      <c r="F941" s="9">
        <v>1</v>
      </c>
      <c r="G941" s="5">
        <f>TRUNC([1]단가대비표!O577,0)</f>
        <v>3902</v>
      </c>
      <c r="H941" s="5">
        <f t="shared" si="76"/>
        <v>3902</v>
      </c>
      <c r="I941" s="5">
        <v>0</v>
      </c>
      <c r="J941" s="5">
        <f t="shared" si="77"/>
        <v>0</v>
      </c>
      <c r="K941" s="5">
        <v>0</v>
      </c>
      <c r="L941" s="5">
        <f t="shared" si="78"/>
        <v>0</v>
      </c>
      <c r="M941" s="5">
        <f t="shared" si="80"/>
        <v>3902</v>
      </c>
      <c r="N941" s="5">
        <f t="shared" si="80"/>
        <v>3902</v>
      </c>
      <c r="O941" s="8" t="s">
        <v>20</v>
      </c>
      <c r="T941">
        <v>0</v>
      </c>
      <c r="AC941">
        <v>1</v>
      </c>
    </row>
    <row r="942" spans="1:29" ht="30" customHeight="1" x14ac:dyDescent="0.3">
      <c r="A942" s="8" t="s">
        <v>1108</v>
      </c>
      <c r="B942" s="8" t="s">
        <v>1077</v>
      </c>
      <c r="C942" s="8" t="s">
        <v>528</v>
      </c>
      <c r="D942" s="8" t="s">
        <v>608</v>
      </c>
      <c r="E942" s="8" t="s">
        <v>185</v>
      </c>
      <c r="F942" s="9">
        <v>1</v>
      </c>
      <c r="G942" s="5" t="e">
        <f>'[2].xls].xls].xls].xls].xls].xls].xls].'!E64</f>
        <v>#REF!</v>
      </c>
      <c r="H942" s="5" t="e">
        <f t="shared" si="76"/>
        <v>#REF!</v>
      </c>
      <c r="I942" s="5" t="e">
        <f>'[2].xls].xls].xls].xls].xls].xls].xls].'!F64</f>
        <v>#REF!</v>
      </c>
      <c r="J942" s="5" t="e">
        <f t="shared" si="77"/>
        <v>#REF!</v>
      </c>
      <c r="K942" s="5" t="e">
        <f>'[2].xls].xls].xls].xls].xls].xls].xls].'!G64</f>
        <v>#REF!</v>
      </c>
      <c r="L942" s="5" t="e">
        <f t="shared" si="78"/>
        <v>#REF!</v>
      </c>
      <c r="M942" s="5" t="e">
        <f t="shared" si="80"/>
        <v>#REF!</v>
      </c>
      <c r="N942" s="5" t="e">
        <f t="shared" si="80"/>
        <v>#REF!</v>
      </c>
      <c r="O942" s="8" t="s">
        <v>1077</v>
      </c>
      <c r="T942">
        <v>0</v>
      </c>
      <c r="AC942">
        <v>1</v>
      </c>
    </row>
    <row r="943" spans="1:29" ht="30" customHeight="1" x14ac:dyDescent="0.3">
      <c r="A943" s="8" t="s">
        <v>1108</v>
      </c>
      <c r="B943" s="8" t="s">
        <v>1193</v>
      </c>
      <c r="C943" s="8" t="s">
        <v>528</v>
      </c>
      <c r="D943" s="8" t="s">
        <v>1117</v>
      </c>
      <c r="E943" s="8" t="s">
        <v>185</v>
      </c>
      <c r="F943" s="9">
        <v>1</v>
      </c>
      <c r="G943" s="5" t="e">
        <f>'[2].xls].xls].xls].xls].xls].xls].xls].'!E65</f>
        <v>#REF!</v>
      </c>
      <c r="H943" s="5" t="e">
        <f t="shared" si="76"/>
        <v>#REF!</v>
      </c>
      <c r="I943" s="5" t="e">
        <f>'[2].xls].xls].xls].xls].xls].xls].xls].'!F65</f>
        <v>#REF!</v>
      </c>
      <c r="J943" s="5" t="e">
        <f t="shared" si="77"/>
        <v>#REF!</v>
      </c>
      <c r="K943" s="5" t="e">
        <f>'[2].xls].xls].xls].xls].xls].xls].xls].'!G65</f>
        <v>#REF!</v>
      </c>
      <c r="L943" s="5" t="e">
        <f t="shared" si="78"/>
        <v>#REF!</v>
      </c>
      <c r="M943" s="5" t="e">
        <f t="shared" si="80"/>
        <v>#REF!</v>
      </c>
      <c r="N943" s="5" t="e">
        <f t="shared" si="80"/>
        <v>#REF!</v>
      </c>
      <c r="O943" s="8" t="s">
        <v>1193</v>
      </c>
      <c r="T943">
        <v>0</v>
      </c>
      <c r="AC943">
        <v>1</v>
      </c>
    </row>
    <row r="944" spans="1:29" ht="30" customHeight="1" x14ac:dyDescent="0.3">
      <c r="A944" s="8" t="s">
        <v>1108</v>
      </c>
      <c r="B944" s="8" t="s">
        <v>1194</v>
      </c>
      <c r="C944" s="8" t="s">
        <v>1079</v>
      </c>
      <c r="D944" s="8" t="s">
        <v>348</v>
      </c>
      <c r="E944" s="8" t="s">
        <v>185</v>
      </c>
      <c r="F944" s="9">
        <v>11</v>
      </c>
      <c r="G944" s="5" t="e">
        <f>'[2].xls].xls].xls].xls].xls].xls].xls].'!E66</f>
        <v>#REF!</v>
      </c>
      <c r="H944" s="5" t="e">
        <f t="shared" si="76"/>
        <v>#REF!</v>
      </c>
      <c r="I944" s="5" t="e">
        <f>'[2].xls].xls].xls].xls].xls].xls].xls].'!F66</f>
        <v>#REF!</v>
      </c>
      <c r="J944" s="5" t="e">
        <f t="shared" si="77"/>
        <v>#REF!</v>
      </c>
      <c r="K944" s="5" t="e">
        <f>'[2].xls].xls].xls].xls].xls].xls].xls].'!G66</f>
        <v>#REF!</v>
      </c>
      <c r="L944" s="5" t="e">
        <f t="shared" si="78"/>
        <v>#REF!</v>
      </c>
      <c r="M944" s="5" t="e">
        <f t="shared" si="80"/>
        <v>#REF!</v>
      </c>
      <c r="N944" s="5" t="e">
        <f t="shared" si="80"/>
        <v>#REF!</v>
      </c>
      <c r="O944" s="8" t="s">
        <v>1194</v>
      </c>
      <c r="T944">
        <v>0</v>
      </c>
      <c r="AC944">
        <v>1</v>
      </c>
    </row>
    <row r="945" spans="1:29" ht="30" customHeight="1" x14ac:dyDescent="0.3">
      <c r="A945" s="8" t="s">
        <v>1108</v>
      </c>
      <c r="B945" s="8" t="s">
        <v>1078</v>
      </c>
      <c r="C945" s="8" t="s">
        <v>1079</v>
      </c>
      <c r="D945" s="8" t="s">
        <v>350</v>
      </c>
      <c r="E945" s="8" t="s">
        <v>185</v>
      </c>
      <c r="F945" s="9">
        <v>16</v>
      </c>
      <c r="G945" s="5" t="e">
        <f>'[2].xls].xls].xls].xls].xls].xls].xls].'!E67</f>
        <v>#REF!</v>
      </c>
      <c r="H945" s="5" t="e">
        <f t="shared" si="76"/>
        <v>#REF!</v>
      </c>
      <c r="I945" s="5" t="e">
        <f>'[2].xls].xls].xls].xls].xls].xls].xls].'!F67</f>
        <v>#REF!</v>
      </c>
      <c r="J945" s="5" t="e">
        <f t="shared" si="77"/>
        <v>#REF!</v>
      </c>
      <c r="K945" s="5" t="e">
        <f>'[2].xls].xls].xls].xls].xls].xls].xls].'!G67</f>
        <v>#REF!</v>
      </c>
      <c r="L945" s="5" t="e">
        <f t="shared" si="78"/>
        <v>#REF!</v>
      </c>
      <c r="M945" s="5" t="e">
        <f t="shared" si="80"/>
        <v>#REF!</v>
      </c>
      <c r="N945" s="5" t="e">
        <f t="shared" si="80"/>
        <v>#REF!</v>
      </c>
      <c r="O945" s="8" t="s">
        <v>1078</v>
      </c>
      <c r="T945">
        <v>0</v>
      </c>
      <c r="AC945">
        <v>1</v>
      </c>
    </row>
    <row r="946" spans="1:29" ht="30" customHeight="1" x14ac:dyDescent="0.3">
      <c r="A946" s="8" t="s">
        <v>1108</v>
      </c>
      <c r="B946" s="8" t="s">
        <v>1080</v>
      </c>
      <c r="C946" s="8" t="s">
        <v>1079</v>
      </c>
      <c r="D946" s="8" t="s">
        <v>352</v>
      </c>
      <c r="E946" s="8" t="s">
        <v>185</v>
      </c>
      <c r="F946" s="9">
        <v>7</v>
      </c>
      <c r="G946" s="5" t="e">
        <f>'[2].xls].xls].xls].xls].xls].xls].xls].'!E68</f>
        <v>#REF!</v>
      </c>
      <c r="H946" s="5" t="e">
        <f t="shared" si="76"/>
        <v>#REF!</v>
      </c>
      <c r="I946" s="5" t="e">
        <f>'[2].xls].xls].xls].xls].xls].xls].xls].'!F68</f>
        <v>#REF!</v>
      </c>
      <c r="J946" s="5" t="e">
        <f t="shared" si="77"/>
        <v>#REF!</v>
      </c>
      <c r="K946" s="5" t="e">
        <f>'[2].xls].xls].xls].xls].xls].xls].xls].'!G68</f>
        <v>#REF!</v>
      </c>
      <c r="L946" s="5" t="e">
        <f t="shared" si="78"/>
        <v>#REF!</v>
      </c>
      <c r="M946" s="5" t="e">
        <f t="shared" si="80"/>
        <v>#REF!</v>
      </c>
      <c r="N946" s="5" t="e">
        <f t="shared" si="80"/>
        <v>#REF!</v>
      </c>
      <c r="O946" s="8" t="s">
        <v>1080</v>
      </c>
      <c r="T946">
        <v>0</v>
      </c>
      <c r="AC946">
        <v>1</v>
      </c>
    </row>
    <row r="947" spans="1:29" ht="30" customHeight="1" x14ac:dyDescent="0.3">
      <c r="A947" s="8" t="s">
        <v>1108</v>
      </c>
      <c r="B947" s="8" t="s">
        <v>1084</v>
      </c>
      <c r="C947" s="8" t="s">
        <v>1082</v>
      </c>
      <c r="D947" s="8" t="s">
        <v>348</v>
      </c>
      <c r="E947" s="8" t="s">
        <v>185</v>
      </c>
      <c r="F947" s="9">
        <v>2</v>
      </c>
      <c r="G947" s="5">
        <f>TRUNC([1]단가대비표!O651,0)</f>
        <v>32530</v>
      </c>
      <c r="H947" s="5">
        <f t="shared" si="76"/>
        <v>65060</v>
      </c>
      <c r="I947" s="5">
        <v>0</v>
      </c>
      <c r="J947" s="5">
        <f t="shared" si="77"/>
        <v>0</v>
      </c>
      <c r="K947" s="5">
        <v>0</v>
      </c>
      <c r="L947" s="5">
        <f t="shared" si="78"/>
        <v>0</v>
      </c>
      <c r="M947" s="5">
        <f t="shared" si="80"/>
        <v>32530</v>
      </c>
      <c r="N947" s="5">
        <f t="shared" si="80"/>
        <v>65060</v>
      </c>
      <c r="O947" s="8" t="s">
        <v>20</v>
      </c>
      <c r="T947">
        <v>0</v>
      </c>
      <c r="AC947">
        <v>1</v>
      </c>
    </row>
    <row r="948" spans="1:29" ht="30" customHeight="1" x14ac:dyDescent="0.3">
      <c r="A948" s="8" t="s">
        <v>1108</v>
      </c>
      <c r="B948" s="8" t="s">
        <v>1195</v>
      </c>
      <c r="C948" s="8" t="s">
        <v>1082</v>
      </c>
      <c r="D948" s="8" t="s">
        <v>350</v>
      </c>
      <c r="E948" s="8" t="s">
        <v>185</v>
      </c>
      <c r="F948" s="9">
        <v>1</v>
      </c>
      <c r="G948" s="5">
        <f>TRUNC([1]단가대비표!O652,0)</f>
        <v>52383</v>
      </c>
      <c r="H948" s="5">
        <f t="shared" si="76"/>
        <v>52383</v>
      </c>
      <c r="I948" s="5">
        <v>0</v>
      </c>
      <c r="J948" s="5">
        <f t="shared" si="77"/>
        <v>0</v>
      </c>
      <c r="K948" s="5">
        <v>0</v>
      </c>
      <c r="L948" s="5">
        <f t="shared" si="78"/>
        <v>0</v>
      </c>
      <c r="M948" s="5">
        <f t="shared" si="80"/>
        <v>52383</v>
      </c>
      <c r="N948" s="5">
        <f t="shared" si="80"/>
        <v>52383</v>
      </c>
      <c r="O948" s="8" t="s">
        <v>20</v>
      </c>
      <c r="T948">
        <v>0</v>
      </c>
      <c r="AC948">
        <v>1</v>
      </c>
    </row>
    <row r="949" spans="1:29" ht="30" customHeight="1" x14ac:dyDescent="0.3">
      <c r="A949" s="8" t="s">
        <v>1108</v>
      </c>
      <c r="B949" s="8" t="s">
        <v>1086</v>
      </c>
      <c r="C949" s="8" t="s">
        <v>1082</v>
      </c>
      <c r="D949" s="8" t="s">
        <v>608</v>
      </c>
      <c r="E949" s="8" t="s">
        <v>185</v>
      </c>
      <c r="F949" s="9">
        <v>4</v>
      </c>
      <c r="G949" s="5">
        <f>TRUNC([1]단가대비표!O654,0)</f>
        <v>114687</v>
      </c>
      <c r="H949" s="5">
        <f t="shared" si="76"/>
        <v>458748</v>
      </c>
      <c r="I949" s="5">
        <v>0</v>
      </c>
      <c r="J949" s="5">
        <f t="shared" si="77"/>
        <v>0</v>
      </c>
      <c r="K949" s="5">
        <v>0</v>
      </c>
      <c r="L949" s="5">
        <f t="shared" si="78"/>
        <v>0</v>
      </c>
      <c r="M949" s="5">
        <f t="shared" si="80"/>
        <v>114687</v>
      </c>
      <c r="N949" s="5">
        <f t="shared" si="80"/>
        <v>458748</v>
      </c>
      <c r="O949" s="8" t="s">
        <v>20</v>
      </c>
      <c r="T949">
        <v>0</v>
      </c>
      <c r="AC949">
        <v>1</v>
      </c>
    </row>
    <row r="950" spans="1:29" ht="30" customHeight="1" x14ac:dyDescent="0.3">
      <c r="A950" s="8" t="s">
        <v>1108</v>
      </c>
      <c r="B950" s="8" t="s">
        <v>1196</v>
      </c>
      <c r="C950" s="8" t="s">
        <v>1082</v>
      </c>
      <c r="D950" s="8" t="s">
        <v>1115</v>
      </c>
      <c r="E950" s="8" t="s">
        <v>185</v>
      </c>
      <c r="F950" s="9">
        <v>3</v>
      </c>
      <c r="G950" s="5">
        <f>TRUNC([1]단가대비표!O655,0)</f>
        <v>140958</v>
      </c>
      <c r="H950" s="5">
        <f t="shared" si="76"/>
        <v>422874</v>
      </c>
      <c r="I950" s="5">
        <v>0</v>
      </c>
      <c r="J950" s="5">
        <f t="shared" si="77"/>
        <v>0</v>
      </c>
      <c r="K950" s="5">
        <v>0</v>
      </c>
      <c r="L950" s="5">
        <f t="shared" si="78"/>
        <v>0</v>
      </c>
      <c r="M950" s="5">
        <f t="shared" si="80"/>
        <v>140958</v>
      </c>
      <c r="N950" s="5">
        <f t="shared" si="80"/>
        <v>422874</v>
      </c>
      <c r="O950" s="8" t="s">
        <v>20</v>
      </c>
      <c r="T950">
        <v>0</v>
      </c>
      <c r="AC950">
        <v>1</v>
      </c>
    </row>
    <row r="951" spans="1:29" ht="30" customHeight="1" x14ac:dyDescent="0.3">
      <c r="A951" s="8" t="s">
        <v>1108</v>
      </c>
      <c r="B951" s="8" t="s">
        <v>1092</v>
      </c>
      <c r="C951" s="8" t="s">
        <v>1088</v>
      </c>
      <c r="D951" s="8" t="s">
        <v>608</v>
      </c>
      <c r="E951" s="8" t="s">
        <v>185</v>
      </c>
      <c r="F951" s="9">
        <v>4</v>
      </c>
      <c r="G951" s="5">
        <f>TRUNC([1]단가대비표!O660,0)</f>
        <v>70649</v>
      </c>
      <c r="H951" s="5">
        <f t="shared" si="76"/>
        <v>282596</v>
      </c>
      <c r="I951" s="5">
        <v>0</v>
      </c>
      <c r="J951" s="5">
        <f t="shared" si="77"/>
        <v>0</v>
      </c>
      <c r="K951" s="5">
        <v>0</v>
      </c>
      <c r="L951" s="5">
        <f t="shared" si="78"/>
        <v>0</v>
      </c>
      <c r="M951" s="5">
        <f t="shared" si="80"/>
        <v>70649</v>
      </c>
      <c r="N951" s="5">
        <f t="shared" si="80"/>
        <v>282596</v>
      </c>
      <c r="O951" s="8" t="s">
        <v>20</v>
      </c>
      <c r="T951">
        <v>0</v>
      </c>
      <c r="AC951">
        <v>1</v>
      </c>
    </row>
    <row r="952" spans="1:29" ht="30" customHeight="1" x14ac:dyDescent="0.3">
      <c r="A952" s="8" t="s">
        <v>1108</v>
      </c>
      <c r="B952" s="8" t="s">
        <v>1197</v>
      </c>
      <c r="C952" s="8" t="s">
        <v>1088</v>
      </c>
      <c r="D952" s="8" t="s">
        <v>1115</v>
      </c>
      <c r="E952" s="8" t="s">
        <v>185</v>
      </c>
      <c r="F952" s="9">
        <v>8</v>
      </c>
      <c r="G952" s="5">
        <f>TRUNC([1]단가대비표!O661,0)</f>
        <v>85008</v>
      </c>
      <c r="H952" s="5">
        <f t="shared" si="76"/>
        <v>680064</v>
      </c>
      <c r="I952" s="5">
        <v>0</v>
      </c>
      <c r="J952" s="5">
        <f t="shared" si="77"/>
        <v>0</v>
      </c>
      <c r="K952" s="5">
        <v>0</v>
      </c>
      <c r="L952" s="5">
        <f t="shared" si="78"/>
        <v>0</v>
      </c>
      <c r="M952" s="5">
        <f t="shared" si="80"/>
        <v>85008</v>
      </c>
      <c r="N952" s="5">
        <f t="shared" si="80"/>
        <v>680064</v>
      </c>
      <c r="O952" s="8" t="s">
        <v>20</v>
      </c>
      <c r="T952">
        <v>0</v>
      </c>
      <c r="AC952">
        <v>1</v>
      </c>
    </row>
    <row r="953" spans="1:29" ht="30" customHeight="1" x14ac:dyDescent="0.3">
      <c r="A953" s="8" t="s">
        <v>1108</v>
      </c>
      <c r="B953" s="8" t="s">
        <v>702</v>
      </c>
      <c r="C953" s="8" t="s">
        <v>694</v>
      </c>
      <c r="D953" s="8" t="s">
        <v>703</v>
      </c>
      <c r="E953" s="8" t="s">
        <v>179</v>
      </c>
      <c r="F953" s="9">
        <v>2</v>
      </c>
      <c r="G953" s="5">
        <f>TRUNC([1]단가대비표!O395,0)</f>
        <v>1400</v>
      </c>
      <c r="H953" s="5">
        <f t="shared" ref="H953:H965" si="81">TRUNC(F953*G953,0)</f>
        <v>2800</v>
      </c>
      <c r="I953" s="5">
        <v>0</v>
      </c>
      <c r="J953" s="5">
        <f t="shared" ref="J953:J965" si="82">TRUNC(F953*I953,0)</f>
        <v>0</v>
      </c>
      <c r="K953" s="5">
        <v>0</v>
      </c>
      <c r="L953" s="5">
        <f t="shared" ref="L953:L965" si="83">TRUNC(F953*K953,0)</f>
        <v>0</v>
      </c>
      <c r="M953" s="5">
        <f t="shared" ref="M953:N965" si="84">G953+I953+K953</f>
        <v>1400</v>
      </c>
      <c r="N953" s="5">
        <f t="shared" si="84"/>
        <v>2800</v>
      </c>
      <c r="O953" s="8" t="s">
        <v>20</v>
      </c>
      <c r="T953">
        <v>0</v>
      </c>
      <c r="AC953">
        <v>1</v>
      </c>
    </row>
    <row r="954" spans="1:29" ht="30" customHeight="1" x14ac:dyDescent="0.3">
      <c r="A954" s="8" t="s">
        <v>1108</v>
      </c>
      <c r="B954" s="8" t="s">
        <v>848</v>
      </c>
      <c r="C954" s="8" t="s">
        <v>694</v>
      </c>
      <c r="D954" s="8" t="s">
        <v>849</v>
      </c>
      <c r="E954" s="8" t="s">
        <v>179</v>
      </c>
      <c r="F954" s="9">
        <v>1</v>
      </c>
      <c r="G954" s="5">
        <f>TRUNC([1]단가대비표!O396,0)</f>
        <v>2000</v>
      </c>
      <c r="H954" s="5">
        <f t="shared" si="81"/>
        <v>2000</v>
      </c>
      <c r="I954" s="5">
        <v>0</v>
      </c>
      <c r="J954" s="5">
        <f t="shared" si="82"/>
        <v>0</v>
      </c>
      <c r="K954" s="5">
        <v>0</v>
      </c>
      <c r="L954" s="5">
        <f t="shared" si="83"/>
        <v>0</v>
      </c>
      <c r="M954" s="5">
        <f t="shared" si="84"/>
        <v>2000</v>
      </c>
      <c r="N954" s="5">
        <f t="shared" si="84"/>
        <v>2000</v>
      </c>
      <c r="O954" s="8" t="s">
        <v>20</v>
      </c>
      <c r="T954">
        <v>0</v>
      </c>
      <c r="AC954">
        <v>1</v>
      </c>
    </row>
    <row r="955" spans="1:29" ht="30" customHeight="1" x14ac:dyDescent="0.3">
      <c r="A955" s="8" t="s">
        <v>1108</v>
      </c>
      <c r="B955" s="8" t="s">
        <v>704</v>
      </c>
      <c r="C955" s="8" t="s">
        <v>694</v>
      </c>
      <c r="D955" s="8" t="s">
        <v>705</v>
      </c>
      <c r="E955" s="8" t="s">
        <v>179</v>
      </c>
      <c r="F955" s="9">
        <v>4</v>
      </c>
      <c r="G955" s="5">
        <f>TRUNC([1]단가대비표!O400,0)</f>
        <v>2500</v>
      </c>
      <c r="H955" s="5">
        <f t="shared" si="81"/>
        <v>10000</v>
      </c>
      <c r="I955" s="5">
        <v>0</v>
      </c>
      <c r="J955" s="5">
        <f t="shared" si="82"/>
        <v>0</v>
      </c>
      <c r="K955" s="5">
        <v>0</v>
      </c>
      <c r="L955" s="5">
        <f t="shared" si="83"/>
        <v>0</v>
      </c>
      <c r="M955" s="5">
        <f t="shared" si="84"/>
        <v>2500</v>
      </c>
      <c r="N955" s="5">
        <f t="shared" si="84"/>
        <v>10000</v>
      </c>
      <c r="O955" s="8" t="s">
        <v>20</v>
      </c>
      <c r="T955">
        <v>0</v>
      </c>
      <c r="AC955">
        <v>1</v>
      </c>
    </row>
    <row r="956" spans="1:29" ht="30" customHeight="1" x14ac:dyDescent="0.3">
      <c r="A956" s="8" t="s">
        <v>1108</v>
      </c>
      <c r="B956" s="8" t="s">
        <v>1198</v>
      </c>
      <c r="C956" s="8" t="s">
        <v>694</v>
      </c>
      <c r="D956" s="8" t="s">
        <v>1199</v>
      </c>
      <c r="E956" s="8" t="s">
        <v>179</v>
      </c>
      <c r="F956" s="9">
        <v>3</v>
      </c>
      <c r="G956" s="5">
        <f>TRUNC([1]단가대비표!O401,0)</f>
        <v>3000</v>
      </c>
      <c r="H956" s="5">
        <f t="shared" si="81"/>
        <v>9000</v>
      </c>
      <c r="I956" s="5">
        <v>0</v>
      </c>
      <c r="J956" s="5">
        <f t="shared" si="82"/>
        <v>0</v>
      </c>
      <c r="K956" s="5">
        <v>0</v>
      </c>
      <c r="L956" s="5">
        <f t="shared" si="83"/>
        <v>0</v>
      </c>
      <c r="M956" s="5">
        <f t="shared" si="84"/>
        <v>3000</v>
      </c>
      <c r="N956" s="5">
        <f t="shared" si="84"/>
        <v>9000</v>
      </c>
      <c r="O956" s="8" t="s">
        <v>20</v>
      </c>
      <c r="T956">
        <v>0</v>
      </c>
      <c r="AC956">
        <v>1</v>
      </c>
    </row>
    <row r="957" spans="1:29" ht="30" customHeight="1" x14ac:dyDescent="0.3">
      <c r="A957" s="8" t="s">
        <v>1108</v>
      </c>
      <c r="B957" s="8" t="s">
        <v>714</v>
      </c>
      <c r="C957" s="8" t="s">
        <v>694</v>
      </c>
      <c r="D957" s="8" t="s">
        <v>715</v>
      </c>
      <c r="E957" s="8" t="s">
        <v>179</v>
      </c>
      <c r="F957" s="9">
        <v>4</v>
      </c>
      <c r="G957" s="5">
        <f>TRUNC([1]단가대비표!O417,0)</f>
        <v>3600</v>
      </c>
      <c r="H957" s="5">
        <f t="shared" si="81"/>
        <v>14400</v>
      </c>
      <c r="I957" s="5">
        <v>0</v>
      </c>
      <c r="J957" s="5">
        <f t="shared" si="82"/>
        <v>0</v>
      </c>
      <c r="K957" s="5">
        <v>0</v>
      </c>
      <c r="L957" s="5">
        <f t="shared" si="83"/>
        <v>0</v>
      </c>
      <c r="M957" s="5">
        <f t="shared" si="84"/>
        <v>3600</v>
      </c>
      <c r="N957" s="5">
        <f t="shared" si="84"/>
        <v>14400</v>
      </c>
      <c r="O957" s="8" t="s">
        <v>20</v>
      </c>
      <c r="T957">
        <v>0</v>
      </c>
      <c r="AC957">
        <v>1</v>
      </c>
    </row>
    <row r="958" spans="1:29" ht="30" customHeight="1" x14ac:dyDescent="0.3">
      <c r="A958" s="8" t="s">
        <v>1108</v>
      </c>
      <c r="B958" s="8" t="s">
        <v>1200</v>
      </c>
      <c r="C958" s="8" t="s">
        <v>694</v>
      </c>
      <c r="D958" s="8" t="s">
        <v>1201</v>
      </c>
      <c r="E958" s="8" t="s">
        <v>179</v>
      </c>
      <c r="F958" s="9">
        <v>8</v>
      </c>
      <c r="G958" s="5">
        <f>TRUNC([1]단가대비표!O418,0)</f>
        <v>4500</v>
      </c>
      <c r="H958" s="5">
        <f t="shared" si="81"/>
        <v>36000</v>
      </c>
      <c r="I958" s="5">
        <v>0</v>
      </c>
      <c r="J958" s="5">
        <f t="shared" si="82"/>
        <v>0</v>
      </c>
      <c r="K958" s="5">
        <v>0</v>
      </c>
      <c r="L958" s="5">
        <f t="shared" si="83"/>
        <v>0</v>
      </c>
      <c r="M958" s="5">
        <f t="shared" si="84"/>
        <v>4500</v>
      </c>
      <c r="N958" s="5">
        <f t="shared" si="84"/>
        <v>36000</v>
      </c>
      <c r="O958" s="8" t="s">
        <v>20</v>
      </c>
      <c r="T958">
        <v>0</v>
      </c>
      <c r="AC958">
        <v>1</v>
      </c>
    </row>
    <row r="959" spans="1:29" ht="30" customHeight="1" x14ac:dyDescent="0.3">
      <c r="A959" s="8" t="s">
        <v>1108</v>
      </c>
      <c r="B959" s="8" t="s">
        <v>1202</v>
      </c>
      <c r="C959" s="8" t="s">
        <v>694</v>
      </c>
      <c r="D959" s="8" t="s">
        <v>1203</v>
      </c>
      <c r="E959" s="8" t="s">
        <v>179</v>
      </c>
      <c r="F959" s="9">
        <v>1</v>
      </c>
      <c r="G959" s="5">
        <f>TRUNC([1]단가대비표!O419,0)</f>
        <v>5400</v>
      </c>
      <c r="H959" s="5">
        <f t="shared" si="81"/>
        <v>5400</v>
      </c>
      <c r="I959" s="5">
        <v>0</v>
      </c>
      <c r="J959" s="5">
        <f t="shared" si="82"/>
        <v>0</v>
      </c>
      <c r="K959" s="5">
        <v>0</v>
      </c>
      <c r="L959" s="5">
        <f t="shared" si="83"/>
        <v>0</v>
      </c>
      <c r="M959" s="5">
        <f t="shared" si="84"/>
        <v>5400</v>
      </c>
      <c r="N959" s="5">
        <f t="shared" si="84"/>
        <v>5400</v>
      </c>
      <c r="O959" s="8" t="s">
        <v>20</v>
      </c>
      <c r="T959">
        <v>0</v>
      </c>
      <c r="AC959">
        <v>1</v>
      </c>
    </row>
    <row r="960" spans="1:29" ht="30" customHeight="1" x14ac:dyDescent="0.3">
      <c r="A960" s="8" t="s">
        <v>1108</v>
      </c>
      <c r="B960" s="8" t="s">
        <v>1204</v>
      </c>
      <c r="C960" s="8" t="s">
        <v>1123</v>
      </c>
      <c r="D960" s="8" t="s">
        <v>1205</v>
      </c>
      <c r="E960" s="8" t="s">
        <v>179</v>
      </c>
      <c r="F960" s="9">
        <v>3</v>
      </c>
      <c r="G960" s="5">
        <f>TRUNC([1]단가대비표!O1068,0)</f>
        <v>214300</v>
      </c>
      <c r="H960" s="5">
        <f t="shared" si="81"/>
        <v>642900</v>
      </c>
      <c r="I960" s="5">
        <v>0</v>
      </c>
      <c r="J960" s="5">
        <f t="shared" si="82"/>
        <v>0</v>
      </c>
      <c r="K960" s="5">
        <v>0</v>
      </c>
      <c r="L960" s="5">
        <f t="shared" si="83"/>
        <v>0</v>
      </c>
      <c r="M960" s="5">
        <f t="shared" si="84"/>
        <v>214300</v>
      </c>
      <c r="N960" s="5">
        <f t="shared" si="84"/>
        <v>642900</v>
      </c>
      <c r="O960" s="8" t="s">
        <v>20</v>
      </c>
      <c r="T960">
        <v>0</v>
      </c>
      <c r="AC960">
        <v>1</v>
      </c>
    </row>
    <row r="961" spans="1:29" ht="30" customHeight="1" x14ac:dyDescent="0.3">
      <c r="A961" s="8" t="s">
        <v>1108</v>
      </c>
      <c r="B961" s="8" t="s">
        <v>1206</v>
      </c>
      <c r="C961" s="8" t="s">
        <v>1123</v>
      </c>
      <c r="D961" s="8" t="s">
        <v>1207</v>
      </c>
      <c r="E961" s="8" t="s">
        <v>179</v>
      </c>
      <c r="F961" s="9">
        <v>1</v>
      </c>
      <c r="G961" s="5">
        <f>TRUNC([1]단가대비표!O1067,0)</f>
        <v>208700</v>
      </c>
      <c r="H961" s="5">
        <f t="shared" si="81"/>
        <v>208700</v>
      </c>
      <c r="I961" s="5">
        <v>0</v>
      </c>
      <c r="J961" s="5">
        <f t="shared" si="82"/>
        <v>0</v>
      </c>
      <c r="K961" s="5">
        <v>0</v>
      </c>
      <c r="L961" s="5">
        <f t="shared" si="83"/>
        <v>0</v>
      </c>
      <c r="M961" s="5">
        <f t="shared" si="84"/>
        <v>208700</v>
      </c>
      <c r="N961" s="5">
        <f t="shared" si="84"/>
        <v>208700</v>
      </c>
      <c r="O961" s="8" t="s">
        <v>20</v>
      </c>
      <c r="T961">
        <v>0</v>
      </c>
      <c r="AC961">
        <v>1</v>
      </c>
    </row>
    <row r="962" spans="1:29" ht="30" customHeight="1" x14ac:dyDescent="0.3">
      <c r="A962" s="8" t="s">
        <v>1108</v>
      </c>
      <c r="B962" s="8" t="s">
        <v>1208</v>
      </c>
      <c r="C962" s="8" t="s">
        <v>1088</v>
      </c>
      <c r="D962" s="8" t="s">
        <v>1117</v>
      </c>
      <c r="E962" s="8" t="s">
        <v>185</v>
      </c>
      <c r="F962" s="9">
        <v>1</v>
      </c>
      <c r="G962" s="5">
        <f>TRUNC([1]단가대비표!O1069,0)</f>
        <v>102285</v>
      </c>
      <c r="H962" s="5">
        <f t="shared" si="81"/>
        <v>102285</v>
      </c>
      <c r="I962" s="5">
        <v>0</v>
      </c>
      <c r="J962" s="5">
        <f t="shared" si="82"/>
        <v>0</v>
      </c>
      <c r="K962" s="5">
        <v>0</v>
      </c>
      <c r="L962" s="5">
        <f t="shared" si="83"/>
        <v>0</v>
      </c>
      <c r="M962" s="5">
        <f t="shared" si="84"/>
        <v>102285</v>
      </c>
      <c r="N962" s="5">
        <f t="shared" si="84"/>
        <v>102285</v>
      </c>
      <c r="O962" s="8" t="s">
        <v>20</v>
      </c>
      <c r="T962">
        <v>0</v>
      </c>
      <c r="AC962">
        <v>1</v>
      </c>
    </row>
    <row r="963" spans="1:29" ht="30" customHeight="1" x14ac:dyDescent="0.3">
      <c r="A963" s="8" t="s">
        <v>1108</v>
      </c>
      <c r="B963" s="8" t="s">
        <v>152</v>
      </c>
      <c r="C963" s="8" t="s">
        <v>153</v>
      </c>
      <c r="D963" s="8" t="s">
        <v>154</v>
      </c>
      <c r="E963" s="8" t="s">
        <v>155</v>
      </c>
      <c r="F963" s="9">
        <v>40</v>
      </c>
      <c r="G963" s="5">
        <v>0</v>
      </c>
      <c r="H963" s="5">
        <f t="shared" si="81"/>
        <v>0</v>
      </c>
      <c r="I963" s="5">
        <f>TRUNC([1]단가대비표!O671,0)</f>
        <v>157068</v>
      </c>
      <c r="J963" s="5">
        <f t="shared" si="82"/>
        <v>6282720</v>
      </c>
      <c r="K963" s="5">
        <v>0</v>
      </c>
      <c r="L963" s="5">
        <f t="shared" si="83"/>
        <v>0</v>
      </c>
      <c r="M963" s="5">
        <f t="shared" si="84"/>
        <v>157068</v>
      </c>
      <c r="N963" s="5">
        <f t="shared" si="84"/>
        <v>6282720</v>
      </c>
      <c r="O963" s="8" t="s">
        <v>20</v>
      </c>
      <c r="T963">
        <v>0</v>
      </c>
      <c r="W963">
        <v>3</v>
      </c>
      <c r="AC963">
        <v>1</v>
      </c>
    </row>
    <row r="964" spans="1:29" ht="30" customHeight="1" x14ac:dyDescent="0.3">
      <c r="A964" s="8" t="s">
        <v>1108</v>
      </c>
      <c r="B964" s="8" t="s">
        <v>553</v>
      </c>
      <c r="C964" s="8" t="s">
        <v>153</v>
      </c>
      <c r="D964" s="8" t="s">
        <v>554</v>
      </c>
      <c r="E964" s="8" t="s">
        <v>155</v>
      </c>
      <c r="F964" s="9">
        <v>75</v>
      </c>
      <c r="G964" s="5">
        <v>0</v>
      </c>
      <c r="H964" s="5">
        <f t="shared" si="81"/>
        <v>0</v>
      </c>
      <c r="I964" s="5">
        <f>TRUNC([1]단가대비표!O668,0)</f>
        <v>214118</v>
      </c>
      <c r="J964" s="5">
        <f t="shared" si="82"/>
        <v>16058850</v>
      </c>
      <c r="K964" s="5">
        <v>0</v>
      </c>
      <c r="L964" s="5">
        <f t="shared" si="83"/>
        <v>0</v>
      </c>
      <c r="M964" s="5">
        <f t="shared" si="84"/>
        <v>214118</v>
      </c>
      <c r="N964" s="5">
        <f t="shared" si="84"/>
        <v>16058850</v>
      </c>
      <c r="O964" s="8" t="s">
        <v>20</v>
      </c>
      <c r="T964">
        <v>0</v>
      </c>
      <c r="W964">
        <v>3</v>
      </c>
      <c r="AC964">
        <v>1</v>
      </c>
    </row>
    <row r="965" spans="1:29" ht="30" customHeight="1" x14ac:dyDescent="0.3">
      <c r="A965" s="8" t="s">
        <v>1108</v>
      </c>
      <c r="B965" s="8" t="s">
        <v>158</v>
      </c>
      <c r="C965" s="8" t="s">
        <v>159</v>
      </c>
      <c r="D965" s="8" t="s">
        <v>160</v>
      </c>
      <c r="E965" s="8" t="s">
        <v>161</v>
      </c>
      <c r="F965" s="9">
        <v>1</v>
      </c>
      <c r="G965" s="5">
        <f>ROUNDDOWN(SUMIF(W889:W965, RIGHTB(B965, 1), J889:J965)*T965, 0)</f>
        <v>446831</v>
      </c>
      <c r="H965" s="5">
        <f t="shared" si="81"/>
        <v>446831</v>
      </c>
      <c r="I965" s="5">
        <v>0</v>
      </c>
      <c r="J965" s="5">
        <f t="shared" si="82"/>
        <v>0</v>
      </c>
      <c r="K965" s="5">
        <v>0</v>
      </c>
      <c r="L965" s="5">
        <f t="shared" si="83"/>
        <v>0</v>
      </c>
      <c r="M965" s="5">
        <f t="shared" si="84"/>
        <v>446831</v>
      </c>
      <c r="N965" s="5">
        <f t="shared" si="84"/>
        <v>446831</v>
      </c>
      <c r="O965" s="8" t="s">
        <v>20</v>
      </c>
      <c r="P965">
        <v>965</v>
      </c>
      <c r="R965">
        <v>1</v>
      </c>
      <c r="S965">
        <v>0</v>
      </c>
      <c r="T965">
        <v>0.02</v>
      </c>
      <c r="AC965">
        <v>1</v>
      </c>
    </row>
    <row r="966" spans="1:29" ht="30" customHeight="1" x14ac:dyDescent="0.3">
      <c r="A966" s="5"/>
      <c r="B966" s="5"/>
      <c r="C966" s="5"/>
      <c r="D966" s="5"/>
      <c r="E966" s="5"/>
      <c r="F966" s="9"/>
      <c r="G966" s="5"/>
      <c r="H966" s="5"/>
      <c r="I966" s="5"/>
      <c r="J966" s="5"/>
      <c r="K966" s="5"/>
      <c r="L966" s="5"/>
      <c r="M966" s="5"/>
      <c r="N966" s="5"/>
      <c r="O966" s="5"/>
    </row>
    <row r="967" spans="1:29" ht="30" customHeight="1" x14ac:dyDescent="0.3">
      <c r="A967" s="5"/>
      <c r="B967" s="5"/>
      <c r="C967" s="5"/>
      <c r="D967" s="5"/>
      <c r="E967" s="5"/>
      <c r="F967" s="9"/>
      <c r="G967" s="5"/>
      <c r="H967" s="5"/>
      <c r="I967" s="5"/>
      <c r="J967" s="5"/>
      <c r="K967" s="5"/>
      <c r="L967" s="5"/>
      <c r="M967" s="5"/>
      <c r="N967" s="5"/>
      <c r="O967" s="5"/>
    </row>
    <row r="968" spans="1:29" ht="30" customHeight="1" x14ac:dyDescent="0.3">
      <c r="A968" s="5"/>
      <c r="B968" s="5"/>
      <c r="C968" s="5"/>
      <c r="D968" s="5"/>
      <c r="E968" s="5"/>
      <c r="F968" s="9"/>
      <c r="G968" s="5"/>
      <c r="H968" s="5"/>
      <c r="I968" s="5"/>
      <c r="J968" s="5"/>
      <c r="K968" s="5"/>
      <c r="L968" s="5"/>
      <c r="M968" s="5"/>
      <c r="N968" s="5"/>
      <c r="O968" s="5"/>
    </row>
    <row r="969" spans="1:29" ht="30" customHeight="1" x14ac:dyDescent="0.3">
      <c r="A969" s="5"/>
      <c r="B969" s="5"/>
      <c r="C969" s="5"/>
      <c r="D969" s="5"/>
      <c r="E969" s="5"/>
      <c r="F969" s="9"/>
      <c r="G969" s="5"/>
      <c r="H969" s="5"/>
      <c r="I969" s="5"/>
      <c r="J969" s="5"/>
      <c r="K969" s="5"/>
      <c r="L969" s="5"/>
      <c r="M969" s="5"/>
      <c r="N969" s="5"/>
      <c r="O969" s="5"/>
    </row>
    <row r="970" spans="1:29" ht="30" customHeight="1" x14ac:dyDescent="0.3">
      <c r="A970" s="5"/>
      <c r="B970" s="5"/>
      <c r="C970" s="5"/>
      <c r="D970" s="5"/>
      <c r="E970" s="5"/>
      <c r="F970" s="9"/>
      <c r="G970" s="5"/>
      <c r="H970" s="5"/>
      <c r="I970" s="5"/>
      <c r="J970" s="5"/>
      <c r="K970" s="5"/>
      <c r="L970" s="5"/>
      <c r="M970" s="5"/>
      <c r="N970" s="5"/>
      <c r="O970" s="5"/>
    </row>
    <row r="971" spans="1:29" ht="30" customHeight="1" x14ac:dyDescent="0.3">
      <c r="A971" s="5"/>
      <c r="B971" s="5"/>
      <c r="C971" s="5"/>
      <c r="D971" s="5"/>
      <c r="E971" s="5"/>
      <c r="F971" s="9"/>
      <c r="G971" s="5"/>
      <c r="H971" s="5"/>
      <c r="I971" s="5"/>
      <c r="J971" s="5"/>
      <c r="K971" s="5"/>
      <c r="L971" s="5"/>
      <c r="M971" s="5"/>
      <c r="N971" s="5"/>
      <c r="O971" s="5"/>
    </row>
    <row r="972" spans="1:29" ht="30" customHeight="1" x14ac:dyDescent="0.3">
      <c r="A972" s="5"/>
      <c r="B972" s="5"/>
      <c r="C972" s="5"/>
      <c r="D972" s="5"/>
      <c r="E972" s="5"/>
      <c r="F972" s="9"/>
      <c r="G972" s="5"/>
      <c r="H972" s="5"/>
      <c r="I972" s="5"/>
      <c r="J972" s="5"/>
      <c r="K972" s="5"/>
      <c r="L972" s="5"/>
      <c r="M972" s="5"/>
      <c r="N972" s="5"/>
      <c r="O972" s="5"/>
    </row>
    <row r="973" spans="1:29" ht="30" customHeight="1" x14ac:dyDescent="0.3">
      <c r="A973" s="5"/>
      <c r="B973" s="5"/>
      <c r="C973" s="5"/>
      <c r="D973" s="5"/>
      <c r="E973" s="5"/>
      <c r="F973" s="9"/>
      <c r="G973" s="5"/>
      <c r="H973" s="5"/>
      <c r="I973" s="5"/>
      <c r="J973" s="5"/>
      <c r="K973" s="5"/>
      <c r="L973" s="5"/>
      <c r="M973" s="5"/>
      <c r="N973" s="5"/>
      <c r="O973" s="5"/>
    </row>
    <row r="974" spans="1:29" ht="30" customHeight="1" x14ac:dyDescent="0.3">
      <c r="A974" s="5"/>
      <c r="B974" s="5"/>
      <c r="C974" s="5"/>
      <c r="D974" s="5"/>
      <c r="E974" s="5"/>
      <c r="F974" s="9"/>
      <c r="G974" s="5"/>
      <c r="H974" s="5"/>
      <c r="I974" s="5"/>
      <c r="J974" s="5"/>
      <c r="K974" s="5"/>
      <c r="L974" s="5"/>
      <c r="M974" s="5"/>
      <c r="N974" s="5"/>
      <c r="O974" s="5"/>
    </row>
    <row r="975" spans="1:29" ht="30" customHeight="1" x14ac:dyDescent="0.3">
      <c r="A975" s="5"/>
      <c r="B975" s="5"/>
      <c r="C975" s="5"/>
      <c r="D975" s="5"/>
      <c r="E975" s="5"/>
      <c r="F975" s="9"/>
      <c r="G975" s="5"/>
      <c r="H975" s="5"/>
      <c r="I975" s="5"/>
      <c r="J975" s="5"/>
      <c r="K975" s="5"/>
      <c r="L975" s="5"/>
      <c r="M975" s="5"/>
      <c r="N975" s="5"/>
      <c r="O975" s="5"/>
    </row>
    <row r="976" spans="1:29" ht="30" customHeight="1" x14ac:dyDescent="0.3">
      <c r="A976" s="5"/>
      <c r="B976" s="5"/>
      <c r="C976" s="5"/>
      <c r="D976" s="5"/>
      <c r="E976" s="5"/>
      <c r="F976" s="9"/>
      <c r="G976" s="5"/>
      <c r="H976" s="5"/>
      <c r="I976" s="5"/>
      <c r="J976" s="5"/>
      <c r="K976" s="5"/>
      <c r="L976" s="5"/>
      <c r="M976" s="5"/>
      <c r="N976" s="5"/>
      <c r="O976" s="5"/>
    </row>
    <row r="977" spans="1:15" ht="30" customHeight="1" x14ac:dyDescent="0.3">
      <c r="A977" s="5"/>
      <c r="B977" s="5"/>
      <c r="C977" s="5"/>
      <c r="D977" s="5"/>
      <c r="E977" s="5"/>
      <c r="F977" s="9"/>
      <c r="G977" s="5"/>
      <c r="H977" s="5"/>
      <c r="I977" s="5"/>
      <c r="J977" s="5"/>
      <c r="K977" s="5"/>
      <c r="L977" s="5"/>
      <c r="M977" s="5"/>
      <c r="N977" s="5"/>
      <c r="O977" s="5"/>
    </row>
    <row r="978" spans="1:15" ht="30" customHeight="1" x14ac:dyDescent="0.3">
      <c r="A978" s="5"/>
      <c r="B978" s="5"/>
      <c r="C978" s="5"/>
      <c r="D978" s="5"/>
      <c r="E978" s="5"/>
      <c r="F978" s="9"/>
      <c r="G978" s="5"/>
      <c r="H978" s="5"/>
      <c r="I978" s="5"/>
      <c r="J978" s="5"/>
      <c r="K978" s="5"/>
      <c r="L978" s="5"/>
      <c r="M978" s="5"/>
      <c r="N978" s="5"/>
      <c r="O978" s="5"/>
    </row>
    <row r="979" spans="1:15" ht="30" customHeight="1" x14ac:dyDescent="0.3">
      <c r="A979" s="5"/>
      <c r="B979" s="5"/>
      <c r="C979" s="5"/>
      <c r="D979" s="5"/>
      <c r="E979" s="5"/>
      <c r="F979" s="9"/>
      <c r="G979" s="5"/>
      <c r="H979" s="5"/>
      <c r="I979" s="5"/>
      <c r="J979" s="5"/>
      <c r="K979" s="5"/>
      <c r="L979" s="5"/>
      <c r="M979" s="5"/>
      <c r="N979" s="5"/>
      <c r="O979" s="5"/>
    </row>
    <row r="980" spans="1:15" ht="30" customHeight="1" x14ac:dyDescent="0.3">
      <c r="A980" s="5"/>
      <c r="B980" s="5"/>
      <c r="C980" s="5"/>
      <c r="D980" s="5"/>
      <c r="E980" s="5"/>
      <c r="F980" s="9"/>
      <c r="G980" s="5"/>
      <c r="H980" s="5"/>
      <c r="I980" s="5"/>
      <c r="J980" s="5"/>
      <c r="K980" s="5"/>
      <c r="L980" s="5"/>
      <c r="M980" s="5"/>
      <c r="N980" s="5"/>
      <c r="O980" s="5"/>
    </row>
    <row r="981" spans="1:15" ht="30" customHeight="1" x14ac:dyDescent="0.3">
      <c r="A981" s="5"/>
      <c r="B981" s="5"/>
      <c r="C981" s="5"/>
      <c r="D981" s="5"/>
      <c r="E981" s="5"/>
      <c r="F981" s="9"/>
      <c r="G981" s="5"/>
      <c r="H981" s="5"/>
      <c r="I981" s="5"/>
      <c r="J981" s="5"/>
      <c r="K981" s="5"/>
      <c r="L981" s="5"/>
      <c r="M981" s="5"/>
      <c r="N981" s="5"/>
      <c r="O981" s="5"/>
    </row>
    <row r="982" spans="1:15" ht="30" customHeight="1" x14ac:dyDescent="0.3">
      <c r="A982" s="5"/>
      <c r="B982" s="5"/>
      <c r="C982" s="5"/>
      <c r="D982" s="5"/>
      <c r="E982" s="5"/>
      <c r="F982" s="9"/>
      <c r="G982" s="5"/>
      <c r="H982" s="5"/>
      <c r="I982" s="5"/>
      <c r="J982" s="5"/>
      <c r="K982" s="5"/>
      <c r="L982" s="5"/>
      <c r="M982" s="5"/>
      <c r="N982" s="5"/>
      <c r="O982" s="5"/>
    </row>
    <row r="983" spans="1:15" ht="30" customHeight="1" x14ac:dyDescent="0.3">
      <c r="A983" s="5"/>
      <c r="B983" s="5"/>
      <c r="C983" s="5"/>
      <c r="D983" s="5"/>
      <c r="E983" s="5"/>
      <c r="F983" s="9"/>
      <c r="G983" s="5"/>
      <c r="H983" s="5"/>
      <c r="I983" s="5"/>
      <c r="J983" s="5"/>
      <c r="K983" s="5"/>
      <c r="L983" s="5"/>
      <c r="M983" s="5"/>
      <c r="N983" s="5"/>
      <c r="O983" s="5"/>
    </row>
    <row r="984" spans="1:15" ht="30" customHeight="1" x14ac:dyDescent="0.3">
      <c r="A984" s="5"/>
      <c r="B984" s="5"/>
      <c r="C984" s="5"/>
      <c r="D984" s="5"/>
      <c r="E984" s="5"/>
      <c r="F984" s="9"/>
      <c r="G984" s="5"/>
      <c r="H984" s="5"/>
      <c r="I984" s="5"/>
      <c r="J984" s="5"/>
      <c r="K984" s="5"/>
      <c r="L984" s="5"/>
      <c r="M984" s="5"/>
      <c r="N984" s="5"/>
      <c r="O984" s="5"/>
    </row>
    <row r="985" spans="1:15" ht="30" customHeight="1" x14ac:dyDescent="0.3">
      <c r="A985" s="5"/>
      <c r="B985" s="5"/>
      <c r="C985" s="5"/>
      <c r="D985" s="5"/>
      <c r="E985" s="5"/>
      <c r="F985" s="9"/>
      <c r="G985" s="5"/>
      <c r="H985" s="5"/>
      <c r="I985" s="5"/>
      <c r="J985" s="5"/>
      <c r="K985" s="5"/>
      <c r="L985" s="5"/>
      <c r="M985" s="5"/>
      <c r="N985" s="5"/>
      <c r="O985" s="5"/>
    </row>
    <row r="986" spans="1:15" ht="30" customHeight="1" x14ac:dyDescent="0.3">
      <c r="A986" s="5"/>
      <c r="B986" s="5"/>
      <c r="C986" s="5"/>
      <c r="D986" s="5"/>
      <c r="E986" s="5"/>
      <c r="F986" s="9"/>
      <c r="G986" s="5"/>
      <c r="H986" s="5"/>
      <c r="I986" s="5"/>
      <c r="J986" s="5"/>
      <c r="K986" s="5"/>
      <c r="L986" s="5"/>
      <c r="M986" s="5"/>
      <c r="N986" s="5"/>
      <c r="O986" s="5"/>
    </row>
    <row r="987" spans="1:15" ht="30" customHeight="1" x14ac:dyDescent="0.3">
      <c r="A987" s="5"/>
      <c r="B987" s="5"/>
      <c r="C987" s="5"/>
      <c r="D987" s="5"/>
      <c r="E987" s="5"/>
      <c r="F987" s="9"/>
      <c r="G987" s="5"/>
      <c r="H987" s="5"/>
      <c r="I987" s="5"/>
      <c r="J987" s="5"/>
      <c r="K987" s="5"/>
      <c r="L987" s="5"/>
      <c r="M987" s="5"/>
      <c r="N987" s="5"/>
      <c r="O987" s="5"/>
    </row>
    <row r="988" spans="1:15" ht="30" customHeight="1" x14ac:dyDescent="0.3">
      <c r="A988" s="5"/>
      <c r="B988" s="5"/>
      <c r="C988" s="5"/>
      <c r="D988" s="5"/>
      <c r="E988" s="5"/>
      <c r="F988" s="9"/>
      <c r="G988" s="5"/>
      <c r="H988" s="5"/>
      <c r="I988" s="5"/>
      <c r="J988" s="5"/>
      <c r="K988" s="5"/>
      <c r="L988" s="5"/>
      <c r="M988" s="5"/>
      <c r="N988" s="5"/>
      <c r="O988" s="5"/>
    </row>
    <row r="989" spans="1:15" ht="30" customHeight="1" x14ac:dyDescent="0.3">
      <c r="A989" s="5"/>
      <c r="B989" s="5"/>
      <c r="C989" s="5"/>
      <c r="D989" s="5"/>
      <c r="E989" s="5"/>
      <c r="F989" s="9"/>
      <c r="G989" s="5"/>
      <c r="H989" s="5"/>
      <c r="I989" s="5"/>
      <c r="J989" s="5"/>
      <c r="K989" s="5"/>
      <c r="L989" s="5"/>
      <c r="M989" s="5"/>
      <c r="N989" s="5"/>
      <c r="O989" s="5"/>
    </row>
    <row r="990" spans="1:15" ht="30" customHeight="1" x14ac:dyDescent="0.3">
      <c r="A990" s="5"/>
      <c r="B990" s="5"/>
      <c r="C990" s="5"/>
      <c r="D990" s="5"/>
      <c r="E990" s="5"/>
      <c r="F990" s="9"/>
      <c r="G990" s="5"/>
      <c r="H990" s="5"/>
      <c r="I990" s="5"/>
      <c r="J990" s="5"/>
      <c r="K990" s="5"/>
      <c r="L990" s="5"/>
      <c r="M990" s="5"/>
      <c r="N990" s="5"/>
      <c r="O990" s="5"/>
    </row>
    <row r="991" spans="1:15" ht="30" customHeight="1" x14ac:dyDescent="0.3">
      <c r="A991" s="5"/>
      <c r="B991" s="5"/>
      <c r="C991" s="5" t="s">
        <v>162</v>
      </c>
      <c r="D991" s="5"/>
      <c r="E991" s="5"/>
      <c r="F991" s="9"/>
      <c r="G991" s="5"/>
      <c r="H991" s="5" t="e">
        <f>SUMIF(AC889:AC990, 1, H889:H990)</f>
        <v>#REF!</v>
      </c>
      <c r="I991" s="5"/>
      <c r="J991" s="5" t="e">
        <f>SUMIF(AC889:AC990, 1, J889:J990)</f>
        <v>#REF!</v>
      </c>
      <c r="K991" s="5"/>
      <c r="L991" s="5" t="e">
        <f>SUMIF(AC889:AC990, 1, L889:L990)</f>
        <v>#REF!</v>
      </c>
      <c r="M991" s="5"/>
      <c r="N991" s="5" t="e">
        <f>H991+J991+L991</f>
        <v>#REF!</v>
      </c>
      <c r="O991" s="5"/>
    </row>
    <row r="992" spans="1:15" ht="30" customHeight="1" x14ac:dyDescent="0.3">
      <c r="A992" s="5"/>
      <c r="B992" s="5"/>
      <c r="C992" s="10" t="s">
        <v>1209</v>
      </c>
      <c r="D992" s="10"/>
      <c r="E992" s="10"/>
      <c r="F992" s="11"/>
      <c r="G992" s="10"/>
      <c r="H992" s="10"/>
      <c r="I992" s="10"/>
      <c r="J992" s="10"/>
      <c r="K992" s="10"/>
      <c r="L992" s="10"/>
      <c r="M992" s="10"/>
      <c r="N992" s="10"/>
      <c r="O992" s="10"/>
    </row>
    <row r="993" spans="1:29" ht="30" customHeight="1" x14ac:dyDescent="0.3">
      <c r="A993" s="8" t="s">
        <v>1210</v>
      </c>
      <c r="B993" s="8" t="s">
        <v>1211</v>
      </c>
      <c r="C993" s="8" t="s">
        <v>864</v>
      </c>
      <c r="D993" s="8" t="s">
        <v>1212</v>
      </c>
      <c r="E993" s="8" t="s">
        <v>168</v>
      </c>
      <c r="F993" s="9">
        <v>690</v>
      </c>
      <c r="G993" s="5">
        <f>TRUNC([1]단가대비표!O125,0)</f>
        <v>4152</v>
      </c>
      <c r="H993" s="5">
        <f t="shared" ref="H993:H1056" si="85">TRUNC(F993*G993,0)</f>
        <v>2864880</v>
      </c>
      <c r="I993" s="5">
        <v>0</v>
      </c>
      <c r="J993" s="5">
        <f t="shared" ref="J993:J1056" si="86">TRUNC(F993*I993,0)</f>
        <v>0</v>
      </c>
      <c r="K993" s="5">
        <v>0</v>
      </c>
      <c r="L993" s="5">
        <f t="shared" ref="L993:L1056" si="87">TRUNC(F993*K993,0)</f>
        <v>0</v>
      </c>
      <c r="M993" s="5">
        <f t="shared" ref="M993:N1024" si="88">G993+I993+K993</f>
        <v>4152</v>
      </c>
      <c r="N993" s="5">
        <f t="shared" si="88"/>
        <v>2864880</v>
      </c>
      <c r="O993" s="8" t="s">
        <v>20</v>
      </c>
      <c r="T993">
        <v>0</v>
      </c>
      <c r="U993">
        <v>1</v>
      </c>
      <c r="AC993">
        <v>1</v>
      </c>
    </row>
    <row r="994" spans="1:29" ht="30" customHeight="1" x14ac:dyDescent="0.3">
      <c r="A994" s="8" t="s">
        <v>1210</v>
      </c>
      <c r="B994" s="8" t="s">
        <v>1213</v>
      </c>
      <c r="C994" s="8" t="s">
        <v>864</v>
      </c>
      <c r="D994" s="8" t="s">
        <v>1214</v>
      </c>
      <c r="E994" s="8" t="s">
        <v>168</v>
      </c>
      <c r="F994" s="9">
        <v>37</v>
      </c>
      <c r="G994" s="5">
        <f>TRUNC([1]단가대비표!O126,0)</f>
        <v>6560</v>
      </c>
      <c r="H994" s="5">
        <f t="shared" si="85"/>
        <v>242720</v>
      </c>
      <c r="I994" s="5">
        <v>0</v>
      </c>
      <c r="J994" s="5">
        <f t="shared" si="86"/>
        <v>0</v>
      </c>
      <c r="K994" s="5">
        <v>0</v>
      </c>
      <c r="L994" s="5">
        <f t="shared" si="87"/>
        <v>0</v>
      </c>
      <c r="M994" s="5">
        <f t="shared" si="88"/>
        <v>6560</v>
      </c>
      <c r="N994" s="5">
        <f t="shared" si="88"/>
        <v>242720</v>
      </c>
      <c r="O994" s="8" t="s">
        <v>20</v>
      </c>
      <c r="T994">
        <v>0</v>
      </c>
      <c r="U994">
        <v>1</v>
      </c>
      <c r="AC994">
        <v>1</v>
      </c>
    </row>
    <row r="995" spans="1:29" ht="30" customHeight="1" x14ac:dyDescent="0.3">
      <c r="A995" s="8" t="s">
        <v>1210</v>
      </c>
      <c r="B995" s="8" t="s">
        <v>874</v>
      </c>
      <c r="C995" s="8" t="s">
        <v>864</v>
      </c>
      <c r="D995" s="8" t="s">
        <v>875</v>
      </c>
      <c r="E995" s="8" t="s">
        <v>168</v>
      </c>
      <c r="F995" s="9">
        <v>24</v>
      </c>
      <c r="G995" s="5">
        <f>TRUNC([1]단가대비표!O127,0)</f>
        <v>9506</v>
      </c>
      <c r="H995" s="5">
        <f t="shared" si="85"/>
        <v>228144</v>
      </c>
      <c r="I995" s="5">
        <v>0</v>
      </c>
      <c r="J995" s="5">
        <f t="shared" si="86"/>
        <v>0</v>
      </c>
      <c r="K995" s="5">
        <v>0</v>
      </c>
      <c r="L995" s="5">
        <f t="shared" si="87"/>
        <v>0</v>
      </c>
      <c r="M995" s="5">
        <f t="shared" si="88"/>
        <v>9506</v>
      </c>
      <c r="N995" s="5">
        <f t="shared" si="88"/>
        <v>228144</v>
      </c>
      <c r="O995" s="8" t="s">
        <v>20</v>
      </c>
      <c r="T995">
        <v>0</v>
      </c>
      <c r="U995">
        <v>1</v>
      </c>
      <c r="AC995">
        <v>1</v>
      </c>
    </row>
    <row r="996" spans="1:29" ht="30" customHeight="1" x14ac:dyDescent="0.3">
      <c r="A996" s="8" t="s">
        <v>1210</v>
      </c>
      <c r="B996" s="8" t="s">
        <v>173</v>
      </c>
      <c r="C996" s="8" t="s">
        <v>174</v>
      </c>
      <c r="D996" s="8" t="s">
        <v>175</v>
      </c>
      <c r="E996" s="8" t="s">
        <v>161</v>
      </c>
      <c r="F996" s="9">
        <v>1</v>
      </c>
      <c r="G996" s="5">
        <f>ROUNDDOWN(SUMIF(U993:U1132, RIGHTB(B996, 1), H993:H1132)*T996, 0)</f>
        <v>100072</v>
      </c>
      <c r="H996" s="5">
        <f t="shared" si="85"/>
        <v>100072</v>
      </c>
      <c r="I996" s="5">
        <v>0</v>
      </c>
      <c r="J996" s="5">
        <f t="shared" si="86"/>
        <v>0</v>
      </c>
      <c r="K996" s="5">
        <v>0</v>
      </c>
      <c r="L996" s="5">
        <f t="shared" si="87"/>
        <v>0</v>
      </c>
      <c r="M996" s="5">
        <f t="shared" si="88"/>
        <v>100072</v>
      </c>
      <c r="N996" s="5">
        <f t="shared" si="88"/>
        <v>100072</v>
      </c>
      <c r="O996" s="8" t="s">
        <v>20</v>
      </c>
      <c r="P996">
        <v>996</v>
      </c>
      <c r="R996">
        <v>0</v>
      </c>
      <c r="S996">
        <v>0</v>
      </c>
      <c r="T996">
        <v>0.03</v>
      </c>
      <c r="AC996">
        <v>1</v>
      </c>
    </row>
    <row r="997" spans="1:29" ht="30" customHeight="1" x14ac:dyDescent="0.3">
      <c r="A997" s="8" t="s">
        <v>1210</v>
      </c>
      <c r="B997" s="8" t="s">
        <v>902</v>
      </c>
      <c r="C997" s="8" t="s">
        <v>893</v>
      </c>
      <c r="D997" s="8" t="s">
        <v>903</v>
      </c>
      <c r="E997" s="8" t="s">
        <v>895</v>
      </c>
      <c r="F997" s="9">
        <v>690</v>
      </c>
      <c r="G997" s="5">
        <f>TRUNC([1]단가대비표!O697,0)</f>
        <v>1083</v>
      </c>
      <c r="H997" s="5">
        <f t="shared" si="85"/>
        <v>747270</v>
      </c>
      <c r="I997" s="5">
        <v>14376</v>
      </c>
      <c r="J997" s="5">
        <f t="shared" si="86"/>
        <v>9919440</v>
      </c>
      <c r="K997" s="5">
        <v>0</v>
      </c>
      <c r="L997" s="5">
        <f t="shared" si="87"/>
        <v>0</v>
      </c>
      <c r="M997" s="5">
        <f t="shared" si="88"/>
        <v>15459</v>
      </c>
      <c r="N997" s="5">
        <f t="shared" si="88"/>
        <v>10666710</v>
      </c>
      <c r="O997" s="8" t="s">
        <v>429</v>
      </c>
      <c r="T997">
        <v>0</v>
      </c>
      <c r="AC997">
        <v>1</v>
      </c>
    </row>
    <row r="998" spans="1:29" ht="30" customHeight="1" x14ac:dyDescent="0.3">
      <c r="A998" s="8" t="s">
        <v>1210</v>
      </c>
      <c r="B998" s="8" t="s">
        <v>904</v>
      </c>
      <c r="C998" s="8" t="s">
        <v>893</v>
      </c>
      <c r="D998" s="8" t="s">
        <v>905</v>
      </c>
      <c r="E998" s="8" t="s">
        <v>895</v>
      </c>
      <c r="F998" s="9">
        <v>37</v>
      </c>
      <c r="G998" s="5">
        <f>TRUNC([1]단가대비표!O698,0)</f>
        <v>1279</v>
      </c>
      <c r="H998" s="5">
        <f t="shared" si="85"/>
        <v>47323</v>
      </c>
      <c r="I998" s="5">
        <v>16982</v>
      </c>
      <c r="J998" s="5">
        <f t="shared" si="86"/>
        <v>628334</v>
      </c>
      <c r="K998" s="5">
        <v>0</v>
      </c>
      <c r="L998" s="5">
        <f t="shared" si="87"/>
        <v>0</v>
      </c>
      <c r="M998" s="5">
        <f t="shared" si="88"/>
        <v>18261</v>
      </c>
      <c r="N998" s="5">
        <f t="shared" si="88"/>
        <v>675657</v>
      </c>
      <c r="O998" s="8" t="s">
        <v>429</v>
      </c>
      <c r="T998">
        <v>0</v>
      </c>
      <c r="AC998">
        <v>1</v>
      </c>
    </row>
    <row r="999" spans="1:29" ht="30" customHeight="1" x14ac:dyDescent="0.3">
      <c r="A999" s="8" t="s">
        <v>1210</v>
      </c>
      <c r="B999" s="8" t="s">
        <v>906</v>
      </c>
      <c r="C999" s="8" t="s">
        <v>893</v>
      </c>
      <c r="D999" s="8" t="s">
        <v>907</v>
      </c>
      <c r="E999" s="8" t="s">
        <v>895</v>
      </c>
      <c r="F999" s="9">
        <v>24</v>
      </c>
      <c r="G999" s="5">
        <f>TRUNC([1]단가대비표!O699,0)</f>
        <v>1599</v>
      </c>
      <c r="H999" s="5">
        <f t="shared" si="85"/>
        <v>38376</v>
      </c>
      <c r="I999" s="5">
        <v>21241</v>
      </c>
      <c r="J999" s="5">
        <f t="shared" si="86"/>
        <v>509784</v>
      </c>
      <c r="K999" s="5">
        <v>0</v>
      </c>
      <c r="L999" s="5">
        <f t="shared" si="87"/>
        <v>0</v>
      </c>
      <c r="M999" s="5">
        <f t="shared" si="88"/>
        <v>22840</v>
      </c>
      <c r="N999" s="5">
        <f t="shared" si="88"/>
        <v>548160</v>
      </c>
      <c r="O999" s="8" t="s">
        <v>429</v>
      </c>
      <c r="T999">
        <v>0</v>
      </c>
      <c r="AC999">
        <v>1</v>
      </c>
    </row>
    <row r="1000" spans="1:29" ht="30" customHeight="1" x14ac:dyDescent="0.3">
      <c r="A1000" s="8" t="s">
        <v>1210</v>
      </c>
      <c r="B1000" s="8" t="s">
        <v>1215</v>
      </c>
      <c r="C1000" s="8" t="s">
        <v>694</v>
      </c>
      <c r="D1000" s="8" t="s">
        <v>1216</v>
      </c>
      <c r="E1000" s="8" t="s">
        <v>179</v>
      </c>
      <c r="F1000" s="9">
        <v>153</v>
      </c>
      <c r="G1000" s="5">
        <f>TRUNC([1]단가대비표!O304,0)</f>
        <v>2090</v>
      </c>
      <c r="H1000" s="5">
        <f t="shared" si="85"/>
        <v>319770</v>
      </c>
      <c r="I1000" s="5">
        <v>0</v>
      </c>
      <c r="J1000" s="5">
        <f t="shared" si="86"/>
        <v>0</v>
      </c>
      <c r="K1000" s="5">
        <v>0</v>
      </c>
      <c r="L1000" s="5">
        <f t="shared" si="87"/>
        <v>0</v>
      </c>
      <c r="M1000" s="5">
        <f t="shared" si="88"/>
        <v>2090</v>
      </c>
      <c r="N1000" s="5">
        <f t="shared" si="88"/>
        <v>319770</v>
      </c>
      <c r="O1000" s="8" t="s">
        <v>20</v>
      </c>
      <c r="T1000">
        <v>0</v>
      </c>
      <c r="AC1000">
        <v>1</v>
      </c>
    </row>
    <row r="1001" spans="1:29" ht="30" customHeight="1" x14ac:dyDescent="0.3">
      <c r="A1001" s="8" t="s">
        <v>1210</v>
      </c>
      <c r="B1001" s="8" t="s">
        <v>927</v>
      </c>
      <c r="C1001" s="8" t="s">
        <v>694</v>
      </c>
      <c r="D1001" s="8" t="s">
        <v>928</v>
      </c>
      <c r="E1001" s="8" t="s">
        <v>179</v>
      </c>
      <c r="F1001" s="9">
        <v>109</v>
      </c>
      <c r="G1001" s="5">
        <f>TRUNC([1]단가대비표!O312,0)</f>
        <v>1110</v>
      </c>
      <c r="H1001" s="5">
        <f t="shared" si="85"/>
        <v>120990</v>
      </c>
      <c r="I1001" s="5">
        <v>0</v>
      </c>
      <c r="J1001" s="5">
        <f t="shared" si="86"/>
        <v>0</v>
      </c>
      <c r="K1001" s="5">
        <v>0</v>
      </c>
      <c r="L1001" s="5">
        <f t="shared" si="87"/>
        <v>0</v>
      </c>
      <c r="M1001" s="5">
        <f t="shared" si="88"/>
        <v>1110</v>
      </c>
      <c r="N1001" s="5">
        <f t="shared" si="88"/>
        <v>120990</v>
      </c>
      <c r="O1001" s="8" t="s">
        <v>20</v>
      </c>
      <c r="T1001">
        <v>0</v>
      </c>
      <c r="AC1001">
        <v>1</v>
      </c>
    </row>
    <row r="1002" spans="1:29" ht="30" customHeight="1" x14ac:dyDescent="0.3">
      <c r="A1002" s="8" t="s">
        <v>1210</v>
      </c>
      <c r="B1002" s="8" t="s">
        <v>929</v>
      </c>
      <c r="C1002" s="8" t="s">
        <v>694</v>
      </c>
      <c r="D1002" s="8" t="s">
        <v>930</v>
      </c>
      <c r="E1002" s="8" t="s">
        <v>179</v>
      </c>
      <c r="F1002" s="9">
        <v>4</v>
      </c>
      <c r="G1002" s="5">
        <f>TRUNC([1]단가대비표!O314,0)</f>
        <v>3170</v>
      </c>
      <c r="H1002" s="5">
        <f t="shared" si="85"/>
        <v>12680</v>
      </c>
      <c r="I1002" s="5">
        <v>0</v>
      </c>
      <c r="J1002" s="5">
        <f t="shared" si="86"/>
        <v>0</v>
      </c>
      <c r="K1002" s="5">
        <v>0</v>
      </c>
      <c r="L1002" s="5">
        <f t="shared" si="87"/>
        <v>0</v>
      </c>
      <c r="M1002" s="5">
        <f t="shared" si="88"/>
        <v>3170</v>
      </c>
      <c r="N1002" s="5">
        <f t="shared" si="88"/>
        <v>12680</v>
      </c>
      <c r="O1002" s="8" t="s">
        <v>20</v>
      </c>
      <c r="T1002">
        <v>0</v>
      </c>
      <c r="AC1002">
        <v>1</v>
      </c>
    </row>
    <row r="1003" spans="1:29" ht="30" customHeight="1" x14ac:dyDescent="0.3">
      <c r="A1003" s="8" t="s">
        <v>1210</v>
      </c>
      <c r="B1003" s="8" t="s">
        <v>1217</v>
      </c>
      <c r="C1003" s="8" t="s">
        <v>694</v>
      </c>
      <c r="D1003" s="8" t="s">
        <v>1218</v>
      </c>
      <c r="E1003" s="8" t="s">
        <v>179</v>
      </c>
      <c r="F1003" s="9">
        <v>12</v>
      </c>
      <c r="G1003" s="5">
        <f>TRUNC([1]단가대비표!O335,0)</f>
        <v>4650</v>
      </c>
      <c r="H1003" s="5">
        <f t="shared" si="85"/>
        <v>55800</v>
      </c>
      <c r="I1003" s="5">
        <v>0</v>
      </c>
      <c r="J1003" s="5">
        <f t="shared" si="86"/>
        <v>0</v>
      </c>
      <c r="K1003" s="5">
        <v>0</v>
      </c>
      <c r="L1003" s="5">
        <f t="shared" si="87"/>
        <v>0</v>
      </c>
      <c r="M1003" s="5">
        <f t="shared" si="88"/>
        <v>4650</v>
      </c>
      <c r="N1003" s="5">
        <f t="shared" si="88"/>
        <v>55800</v>
      </c>
      <c r="O1003" s="8" t="s">
        <v>20</v>
      </c>
      <c r="T1003">
        <v>0</v>
      </c>
      <c r="AC1003">
        <v>1</v>
      </c>
    </row>
    <row r="1004" spans="1:29" ht="30" customHeight="1" x14ac:dyDescent="0.3">
      <c r="A1004" s="8" t="s">
        <v>1210</v>
      </c>
      <c r="B1004" s="8" t="s">
        <v>957</v>
      </c>
      <c r="C1004" s="8" t="s">
        <v>694</v>
      </c>
      <c r="D1004" s="8" t="s">
        <v>958</v>
      </c>
      <c r="E1004" s="8" t="s">
        <v>179</v>
      </c>
      <c r="F1004" s="9">
        <v>12</v>
      </c>
      <c r="G1004" s="5">
        <f>TRUNC([1]단가대비표!O338,0)</f>
        <v>6780</v>
      </c>
      <c r="H1004" s="5">
        <f t="shared" si="85"/>
        <v>81360</v>
      </c>
      <c r="I1004" s="5">
        <v>0</v>
      </c>
      <c r="J1004" s="5">
        <f t="shared" si="86"/>
        <v>0</v>
      </c>
      <c r="K1004" s="5">
        <v>0</v>
      </c>
      <c r="L1004" s="5">
        <f t="shared" si="87"/>
        <v>0</v>
      </c>
      <c r="M1004" s="5">
        <f t="shared" si="88"/>
        <v>6780</v>
      </c>
      <c r="N1004" s="5">
        <f t="shared" si="88"/>
        <v>81360</v>
      </c>
      <c r="O1004" s="8" t="s">
        <v>20</v>
      </c>
      <c r="T1004">
        <v>0</v>
      </c>
      <c r="AC1004">
        <v>1</v>
      </c>
    </row>
    <row r="1005" spans="1:29" ht="30" customHeight="1" x14ac:dyDescent="0.3">
      <c r="A1005" s="8" t="s">
        <v>1210</v>
      </c>
      <c r="B1005" s="8" t="s">
        <v>1219</v>
      </c>
      <c r="C1005" s="8" t="s">
        <v>694</v>
      </c>
      <c r="D1005" s="8" t="s">
        <v>1220</v>
      </c>
      <c r="E1005" s="8" t="s">
        <v>179</v>
      </c>
      <c r="F1005" s="9">
        <v>6</v>
      </c>
      <c r="G1005" s="5">
        <f>TRUNC([1]단가대비표!O382,0)</f>
        <v>2460</v>
      </c>
      <c r="H1005" s="5">
        <f t="shared" si="85"/>
        <v>14760</v>
      </c>
      <c r="I1005" s="5">
        <v>0</v>
      </c>
      <c r="J1005" s="5">
        <f t="shared" si="86"/>
        <v>0</v>
      </c>
      <c r="K1005" s="5">
        <v>0</v>
      </c>
      <c r="L1005" s="5">
        <f t="shared" si="87"/>
        <v>0</v>
      </c>
      <c r="M1005" s="5">
        <f t="shared" si="88"/>
        <v>2460</v>
      </c>
      <c r="N1005" s="5">
        <f t="shared" si="88"/>
        <v>14760</v>
      </c>
      <c r="O1005" s="8" t="s">
        <v>20</v>
      </c>
      <c r="T1005">
        <v>0</v>
      </c>
      <c r="AC1005">
        <v>1</v>
      </c>
    </row>
    <row r="1006" spans="1:29" ht="30" customHeight="1" x14ac:dyDescent="0.3">
      <c r="A1006" s="8" t="s">
        <v>1210</v>
      </c>
      <c r="B1006" s="8" t="s">
        <v>961</v>
      </c>
      <c r="C1006" s="8" t="s">
        <v>694</v>
      </c>
      <c r="D1006" s="8" t="s">
        <v>962</v>
      </c>
      <c r="E1006" s="8" t="s">
        <v>179</v>
      </c>
      <c r="F1006" s="9">
        <v>4</v>
      </c>
      <c r="G1006" s="5">
        <f>TRUNC([1]단가대비표!O383,0)</f>
        <v>4080</v>
      </c>
      <c r="H1006" s="5">
        <f t="shared" si="85"/>
        <v>16320</v>
      </c>
      <c r="I1006" s="5">
        <v>0</v>
      </c>
      <c r="J1006" s="5">
        <f t="shared" si="86"/>
        <v>0</v>
      </c>
      <c r="K1006" s="5">
        <v>0</v>
      </c>
      <c r="L1006" s="5">
        <f t="shared" si="87"/>
        <v>0</v>
      </c>
      <c r="M1006" s="5">
        <f t="shared" si="88"/>
        <v>4080</v>
      </c>
      <c r="N1006" s="5">
        <f t="shared" si="88"/>
        <v>16320</v>
      </c>
      <c r="O1006" s="8" t="s">
        <v>20</v>
      </c>
      <c r="T1006">
        <v>0</v>
      </c>
      <c r="AC1006">
        <v>1</v>
      </c>
    </row>
    <row r="1007" spans="1:29" ht="30" customHeight="1" x14ac:dyDescent="0.3">
      <c r="A1007" s="8" t="s">
        <v>1210</v>
      </c>
      <c r="B1007" s="8" t="s">
        <v>1221</v>
      </c>
      <c r="C1007" s="8" t="s">
        <v>1222</v>
      </c>
      <c r="D1007" s="8" t="s">
        <v>1223</v>
      </c>
      <c r="E1007" s="8" t="s">
        <v>545</v>
      </c>
      <c r="F1007" s="9">
        <v>864</v>
      </c>
      <c r="G1007" s="5" t="e">
        <f>'[2].xls].xls].xls].xls].xls].xls].xls].'!E116</f>
        <v>#REF!</v>
      </c>
      <c r="H1007" s="5" t="e">
        <f t="shared" si="85"/>
        <v>#REF!</v>
      </c>
      <c r="I1007" s="5" t="e">
        <f>'[2].xls].xls].xls].xls].xls].xls].xls].'!F116</f>
        <v>#REF!</v>
      </c>
      <c r="J1007" s="5" t="e">
        <f t="shared" si="86"/>
        <v>#REF!</v>
      </c>
      <c r="K1007" s="5" t="e">
        <f>'[2].xls].xls].xls].xls].xls].xls].xls].'!G116</f>
        <v>#REF!</v>
      </c>
      <c r="L1007" s="5" t="e">
        <f t="shared" si="87"/>
        <v>#REF!</v>
      </c>
      <c r="M1007" s="5" t="e">
        <f t="shared" si="88"/>
        <v>#REF!</v>
      </c>
      <c r="N1007" s="5" t="e">
        <f t="shared" si="88"/>
        <v>#REF!</v>
      </c>
      <c r="O1007" s="8" t="s">
        <v>1221</v>
      </c>
      <c r="T1007">
        <v>0</v>
      </c>
      <c r="AC1007">
        <v>1</v>
      </c>
    </row>
    <row r="1008" spans="1:29" ht="30" customHeight="1" x14ac:dyDescent="0.3">
      <c r="A1008" s="8" t="s">
        <v>1210</v>
      </c>
      <c r="B1008" s="8" t="s">
        <v>1224</v>
      </c>
      <c r="C1008" s="8" t="s">
        <v>1222</v>
      </c>
      <c r="D1008" s="8" t="s">
        <v>1225</v>
      </c>
      <c r="E1008" s="8" t="s">
        <v>545</v>
      </c>
      <c r="F1008" s="9">
        <v>857</v>
      </c>
      <c r="G1008" s="5" t="e">
        <f>'[2].xls].xls].xls].xls].xls].xls].xls].'!E117</f>
        <v>#REF!</v>
      </c>
      <c r="H1008" s="5" t="e">
        <f t="shared" si="85"/>
        <v>#REF!</v>
      </c>
      <c r="I1008" s="5" t="e">
        <f>'[2].xls].xls].xls].xls].xls].xls].xls].'!F117</f>
        <v>#REF!</v>
      </c>
      <c r="J1008" s="5" t="e">
        <f t="shared" si="86"/>
        <v>#REF!</v>
      </c>
      <c r="K1008" s="5" t="e">
        <f>'[2].xls].xls].xls].xls].xls].xls].xls].'!G117</f>
        <v>#REF!</v>
      </c>
      <c r="L1008" s="5" t="e">
        <f t="shared" si="87"/>
        <v>#REF!</v>
      </c>
      <c r="M1008" s="5" t="e">
        <f t="shared" si="88"/>
        <v>#REF!</v>
      </c>
      <c r="N1008" s="5" t="e">
        <f t="shared" si="88"/>
        <v>#REF!</v>
      </c>
      <c r="O1008" s="8" t="s">
        <v>1224</v>
      </c>
      <c r="T1008">
        <v>0</v>
      </c>
      <c r="AC1008">
        <v>1</v>
      </c>
    </row>
    <row r="1009" spans="1:29" ht="30" customHeight="1" x14ac:dyDescent="0.3">
      <c r="A1009" s="8" t="s">
        <v>1210</v>
      </c>
      <c r="B1009" s="8" t="s">
        <v>1226</v>
      </c>
      <c r="C1009" s="8" t="s">
        <v>1222</v>
      </c>
      <c r="D1009" s="8" t="s">
        <v>1227</v>
      </c>
      <c r="E1009" s="8" t="s">
        <v>545</v>
      </c>
      <c r="F1009" s="9">
        <v>961</v>
      </c>
      <c r="G1009" s="5" t="e">
        <f>'[2].xls].xls].xls].xls].xls].xls].xls].'!E118</f>
        <v>#REF!</v>
      </c>
      <c r="H1009" s="5" t="e">
        <f t="shared" si="85"/>
        <v>#REF!</v>
      </c>
      <c r="I1009" s="5" t="e">
        <f>'[2].xls].xls].xls].xls].xls].xls].xls].'!F118</f>
        <v>#REF!</v>
      </c>
      <c r="J1009" s="5" t="e">
        <f t="shared" si="86"/>
        <v>#REF!</v>
      </c>
      <c r="K1009" s="5" t="e">
        <f>'[2].xls].xls].xls].xls].xls].xls].xls].'!G118</f>
        <v>#REF!</v>
      </c>
      <c r="L1009" s="5" t="e">
        <f t="shared" si="87"/>
        <v>#REF!</v>
      </c>
      <c r="M1009" s="5" t="e">
        <f t="shared" si="88"/>
        <v>#REF!</v>
      </c>
      <c r="N1009" s="5" t="e">
        <f t="shared" si="88"/>
        <v>#REF!</v>
      </c>
      <c r="O1009" s="8" t="s">
        <v>1226</v>
      </c>
      <c r="T1009">
        <v>0</v>
      </c>
      <c r="AC1009">
        <v>1</v>
      </c>
    </row>
    <row r="1010" spans="1:29" ht="30" customHeight="1" x14ac:dyDescent="0.3">
      <c r="A1010" s="8" t="s">
        <v>1210</v>
      </c>
      <c r="B1010" s="8" t="s">
        <v>1228</v>
      </c>
      <c r="C1010" s="8" t="s">
        <v>1222</v>
      </c>
      <c r="D1010" s="8" t="s">
        <v>1229</v>
      </c>
      <c r="E1010" s="8" t="s">
        <v>545</v>
      </c>
      <c r="F1010" s="9">
        <v>18</v>
      </c>
      <c r="G1010" s="5" t="e">
        <f>'[2].xls].xls].xls].xls].xls].xls].xls].'!E119</f>
        <v>#REF!</v>
      </c>
      <c r="H1010" s="5" t="e">
        <f t="shared" si="85"/>
        <v>#REF!</v>
      </c>
      <c r="I1010" s="5" t="e">
        <f>'[2].xls].xls].xls].xls].xls].xls].xls].'!F119</f>
        <v>#REF!</v>
      </c>
      <c r="J1010" s="5" t="e">
        <f t="shared" si="86"/>
        <v>#REF!</v>
      </c>
      <c r="K1010" s="5" t="e">
        <f>'[2].xls].xls].xls].xls].xls].xls].xls].'!G119</f>
        <v>#REF!</v>
      </c>
      <c r="L1010" s="5" t="e">
        <f t="shared" si="87"/>
        <v>#REF!</v>
      </c>
      <c r="M1010" s="5" t="e">
        <f t="shared" si="88"/>
        <v>#REF!</v>
      </c>
      <c r="N1010" s="5" t="e">
        <f t="shared" si="88"/>
        <v>#REF!</v>
      </c>
      <c r="O1010" s="8" t="s">
        <v>1228</v>
      </c>
      <c r="T1010">
        <v>0</v>
      </c>
      <c r="AC1010">
        <v>1</v>
      </c>
    </row>
    <row r="1011" spans="1:29" ht="30" customHeight="1" x14ac:dyDescent="0.3">
      <c r="A1011" s="8" t="s">
        <v>1210</v>
      </c>
      <c r="B1011" s="8" t="s">
        <v>1230</v>
      </c>
      <c r="C1011" s="8" t="s">
        <v>1222</v>
      </c>
      <c r="D1011" s="8" t="s">
        <v>1231</v>
      </c>
      <c r="E1011" s="8" t="s">
        <v>545</v>
      </c>
      <c r="F1011" s="9">
        <v>18</v>
      </c>
      <c r="G1011" s="5" t="e">
        <f>'[2].xls].xls].xls].xls].xls].xls].xls].'!E120</f>
        <v>#REF!</v>
      </c>
      <c r="H1011" s="5" t="e">
        <f t="shared" si="85"/>
        <v>#REF!</v>
      </c>
      <c r="I1011" s="5" t="e">
        <f>'[2].xls].xls].xls].xls].xls].xls].xls].'!F120</f>
        <v>#REF!</v>
      </c>
      <c r="J1011" s="5" t="e">
        <f t="shared" si="86"/>
        <v>#REF!</v>
      </c>
      <c r="K1011" s="5" t="e">
        <f>'[2].xls].xls].xls].xls].xls].xls].xls].'!G120</f>
        <v>#REF!</v>
      </c>
      <c r="L1011" s="5" t="e">
        <f t="shared" si="87"/>
        <v>#REF!</v>
      </c>
      <c r="M1011" s="5" t="e">
        <f t="shared" si="88"/>
        <v>#REF!</v>
      </c>
      <c r="N1011" s="5" t="e">
        <f t="shared" si="88"/>
        <v>#REF!</v>
      </c>
      <c r="O1011" s="8" t="s">
        <v>1230</v>
      </c>
      <c r="T1011">
        <v>0</v>
      </c>
      <c r="AC1011">
        <v>1</v>
      </c>
    </row>
    <row r="1012" spans="1:29" ht="30" customHeight="1" x14ac:dyDescent="0.3">
      <c r="A1012" s="8" t="s">
        <v>1210</v>
      </c>
      <c r="B1012" s="8" t="s">
        <v>1232</v>
      </c>
      <c r="C1012" s="8" t="s">
        <v>1233</v>
      </c>
      <c r="D1012" s="8" t="s">
        <v>1234</v>
      </c>
      <c r="E1012" s="8" t="s">
        <v>545</v>
      </c>
      <c r="F1012" s="9">
        <v>3</v>
      </c>
      <c r="G1012" s="5" t="e">
        <f>'[2].xls].xls].xls].xls].xls].xls].xls].'!E121</f>
        <v>#REF!</v>
      </c>
      <c r="H1012" s="5" t="e">
        <f t="shared" si="85"/>
        <v>#REF!</v>
      </c>
      <c r="I1012" s="5" t="e">
        <f>'[2].xls].xls].xls].xls].xls].xls].xls].'!F121</f>
        <v>#REF!</v>
      </c>
      <c r="J1012" s="5" t="e">
        <f t="shared" si="86"/>
        <v>#REF!</v>
      </c>
      <c r="K1012" s="5" t="e">
        <f>'[2].xls].xls].xls].xls].xls].xls].xls].'!G121</f>
        <v>#REF!</v>
      </c>
      <c r="L1012" s="5" t="e">
        <f t="shared" si="87"/>
        <v>#REF!</v>
      </c>
      <c r="M1012" s="5" t="e">
        <f t="shared" si="88"/>
        <v>#REF!</v>
      </c>
      <c r="N1012" s="5" t="e">
        <f t="shared" si="88"/>
        <v>#REF!</v>
      </c>
      <c r="O1012" s="8" t="s">
        <v>1232</v>
      </c>
      <c r="T1012">
        <v>0</v>
      </c>
      <c r="AC1012">
        <v>1</v>
      </c>
    </row>
    <row r="1013" spans="1:29" ht="30" customHeight="1" x14ac:dyDescent="0.3">
      <c r="A1013" s="8" t="s">
        <v>1210</v>
      </c>
      <c r="B1013" s="8" t="s">
        <v>1235</v>
      </c>
      <c r="C1013" s="8" t="s">
        <v>1233</v>
      </c>
      <c r="D1013" s="8" t="s">
        <v>1225</v>
      </c>
      <c r="E1013" s="8" t="s">
        <v>545</v>
      </c>
      <c r="F1013" s="9">
        <v>14</v>
      </c>
      <c r="G1013" s="5" t="e">
        <f>'[2].xls].xls].xls].xls].xls].xls].xls].'!E122</f>
        <v>#REF!</v>
      </c>
      <c r="H1013" s="5" t="e">
        <f t="shared" si="85"/>
        <v>#REF!</v>
      </c>
      <c r="I1013" s="5" t="e">
        <f>'[2].xls].xls].xls].xls].xls].xls].xls].'!F122</f>
        <v>#REF!</v>
      </c>
      <c r="J1013" s="5" t="e">
        <f t="shared" si="86"/>
        <v>#REF!</v>
      </c>
      <c r="K1013" s="5" t="e">
        <f>'[2].xls].xls].xls].xls].xls].xls].xls].'!G122</f>
        <v>#REF!</v>
      </c>
      <c r="L1013" s="5" t="e">
        <f t="shared" si="87"/>
        <v>#REF!</v>
      </c>
      <c r="M1013" s="5" t="e">
        <f t="shared" si="88"/>
        <v>#REF!</v>
      </c>
      <c r="N1013" s="5" t="e">
        <f t="shared" si="88"/>
        <v>#REF!</v>
      </c>
      <c r="O1013" s="8" t="s">
        <v>1235</v>
      </c>
      <c r="T1013">
        <v>0</v>
      </c>
      <c r="AC1013">
        <v>1</v>
      </c>
    </row>
    <row r="1014" spans="1:29" ht="30" customHeight="1" x14ac:dyDescent="0.3">
      <c r="A1014" s="8" t="s">
        <v>1210</v>
      </c>
      <c r="B1014" s="8" t="s">
        <v>1236</v>
      </c>
      <c r="C1014" s="8" t="s">
        <v>1233</v>
      </c>
      <c r="D1014" s="8" t="s">
        <v>1227</v>
      </c>
      <c r="E1014" s="8" t="s">
        <v>545</v>
      </c>
      <c r="F1014" s="9">
        <v>338</v>
      </c>
      <c r="G1014" s="5" t="e">
        <f>'[2].xls].xls].xls].xls].xls].xls].xls].'!E123</f>
        <v>#REF!</v>
      </c>
      <c r="H1014" s="5" t="e">
        <f t="shared" si="85"/>
        <v>#REF!</v>
      </c>
      <c r="I1014" s="5" t="e">
        <f>'[2].xls].xls].xls].xls].xls].xls].xls].'!F123</f>
        <v>#REF!</v>
      </c>
      <c r="J1014" s="5" t="e">
        <f t="shared" si="86"/>
        <v>#REF!</v>
      </c>
      <c r="K1014" s="5" t="e">
        <f>'[2].xls].xls].xls].xls].xls].xls].xls].'!G123</f>
        <v>#REF!</v>
      </c>
      <c r="L1014" s="5" t="e">
        <f t="shared" si="87"/>
        <v>#REF!</v>
      </c>
      <c r="M1014" s="5" t="e">
        <f t="shared" si="88"/>
        <v>#REF!</v>
      </c>
      <c r="N1014" s="5" t="e">
        <f t="shared" si="88"/>
        <v>#REF!</v>
      </c>
      <c r="O1014" s="8" t="s">
        <v>1236</v>
      </c>
      <c r="T1014">
        <v>0</v>
      </c>
      <c r="AC1014">
        <v>1</v>
      </c>
    </row>
    <row r="1015" spans="1:29" ht="30" customHeight="1" x14ac:dyDescent="0.3">
      <c r="A1015" s="8" t="s">
        <v>1210</v>
      </c>
      <c r="B1015" s="8" t="s">
        <v>1237</v>
      </c>
      <c r="C1015" s="8" t="s">
        <v>1238</v>
      </c>
      <c r="D1015" s="8" t="s">
        <v>1239</v>
      </c>
      <c r="E1015" s="8" t="s">
        <v>545</v>
      </c>
      <c r="F1015" s="9">
        <v>54</v>
      </c>
      <c r="G1015" s="5" t="e">
        <f>'[2].xls].xls].xls].xls].xls].xls].xls].'!E124</f>
        <v>#REF!</v>
      </c>
      <c r="H1015" s="5" t="e">
        <f t="shared" si="85"/>
        <v>#REF!</v>
      </c>
      <c r="I1015" s="5" t="e">
        <f>'[2].xls].xls].xls].xls].xls].xls].xls].'!F124</f>
        <v>#REF!</v>
      </c>
      <c r="J1015" s="5" t="e">
        <f t="shared" si="86"/>
        <v>#REF!</v>
      </c>
      <c r="K1015" s="5" t="e">
        <f>'[2].xls].xls].xls].xls].xls].xls].xls].'!G124</f>
        <v>#REF!</v>
      </c>
      <c r="L1015" s="5" t="e">
        <f t="shared" si="87"/>
        <v>#REF!</v>
      </c>
      <c r="M1015" s="5" t="e">
        <f t="shared" si="88"/>
        <v>#REF!</v>
      </c>
      <c r="N1015" s="5" t="e">
        <f t="shared" si="88"/>
        <v>#REF!</v>
      </c>
      <c r="O1015" s="8" t="s">
        <v>1237</v>
      </c>
      <c r="T1015">
        <v>0</v>
      </c>
      <c r="AC1015">
        <v>1</v>
      </c>
    </row>
    <row r="1016" spans="1:29" ht="30" customHeight="1" x14ac:dyDescent="0.3">
      <c r="A1016" s="8" t="s">
        <v>1210</v>
      </c>
      <c r="B1016" s="8" t="s">
        <v>1240</v>
      </c>
      <c r="C1016" s="8" t="s">
        <v>1241</v>
      </c>
      <c r="D1016" s="8" t="s">
        <v>1242</v>
      </c>
      <c r="E1016" s="8" t="s">
        <v>168</v>
      </c>
      <c r="F1016" s="9">
        <v>24</v>
      </c>
      <c r="G1016" s="5">
        <f>TRUNC([1]단가대비표!O21,0)</f>
        <v>9400</v>
      </c>
      <c r="H1016" s="5">
        <f t="shared" si="85"/>
        <v>225600</v>
      </c>
      <c r="I1016" s="5">
        <v>0</v>
      </c>
      <c r="J1016" s="5">
        <f t="shared" si="86"/>
        <v>0</v>
      </c>
      <c r="K1016" s="5">
        <v>0</v>
      </c>
      <c r="L1016" s="5">
        <f t="shared" si="87"/>
        <v>0</v>
      </c>
      <c r="M1016" s="5">
        <f t="shared" si="88"/>
        <v>9400</v>
      </c>
      <c r="N1016" s="5">
        <f t="shared" si="88"/>
        <v>225600</v>
      </c>
      <c r="O1016" s="8" t="s">
        <v>20</v>
      </c>
      <c r="T1016">
        <v>0</v>
      </c>
      <c r="AC1016">
        <v>1</v>
      </c>
    </row>
    <row r="1017" spans="1:29" ht="30" customHeight="1" x14ac:dyDescent="0.3">
      <c r="A1017" s="8" t="s">
        <v>1210</v>
      </c>
      <c r="B1017" s="8" t="s">
        <v>1243</v>
      </c>
      <c r="C1017" s="8" t="s">
        <v>1244</v>
      </c>
      <c r="D1017" s="8" t="s">
        <v>1245</v>
      </c>
      <c r="E1017" s="8" t="s">
        <v>179</v>
      </c>
      <c r="F1017" s="9">
        <v>9</v>
      </c>
      <c r="G1017" s="5">
        <f>TRUNC([1]단가대비표!O22,0)</f>
        <v>9350</v>
      </c>
      <c r="H1017" s="5">
        <f t="shared" si="85"/>
        <v>84150</v>
      </c>
      <c r="I1017" s="5">
        <v>0</v>
      </c>
      <c r="J1017" s="5">
        <f t="shared" si="86"/>
        <v>0</v>
      </c>
      <c r="K1017" s="5">
        <v>0</v>
      </c>
      <c r="L1017" s="5">
        <f t="shared" si="87"/>
        <v>0</v>
      </c>
      <c r="M1017" s="5">
        <f t="shared" si="88"/>
        <v>9350</v>
      </c>
      <c r="N1017" s="5">
        <f t="shared" si="88"/>
        <v>84150</v>
      </c>
      <c r="O1017" s="8" t="s">
        <v>20</v>
      </c>
      <c r="T1017">
        <v>0</v>
      </c>
      <c r="AC1017">
        <v>1</v>
      </c>
    </row>
    <row r="1018" spans="1:29" ht="30" customHeight="1" x14ac:dyDescent="0.3">
      <c r="A1018" s="8" t="s">
        <v>1210</v>
      </c>
      <c r="B1018" s="8" t="s">
        <v>1246</v>
      </c>
      <c r="C1018" s="8" t="s">
        <v>1244</v>
      </c>
      <c r="D1018" s="8" t="s">
        <v>1247</v>
      </c>
      <c r="E1018" s="8" t="s">
        <v>179</v>
      </c>
      <c r="F1018" s="9">
        <v>32</v>
      </c>
      <c r="G1018" s="5">
        <f>TRUNC([1]단가대비표!O23,0)</f>
        <v>2380</v>
      </c>
      <c r="H1018" s="5">
        <f t="shared" si="85"/>
        <v>76160</v>
      </c>
      <c r="I1018" s="5">
        <v>0</v>
      </c>
      <c r="J1018" s="5">
        <f t="shared" si="86"/>
        <v>0</v>
      </c>
      <c r="K1018" s="5">
        <v>0</v>
      </c>
      <c r="L1018" s="5">
        <f t="shared" si="87"/>
        <v>0</v>
      </c>
      <c r="M1018" s="5">
        <f t="shared" si="88"/>
        <v>2380</v>
      </c>
      <c r="N1018" s="5">
        <f t="shared" si="88"/>
        <v>76160</v>
      </c>
      <c r="O1018" s="8" t="s">
        <v>20</v>
      </c>
      <c r="T1018">
        <v>0</v>
      </c>
      <c r="AC1018">
        <v>1</v>
      </c>
    </row>
    <row r="1019" spans="1:29" ht="30" customHeight="1" x14ac:dyDescent="0.3">
      <c r="A1019" s="8" t="s">
        <v>1210</v>
      </c>
      <c r="B1019" s="8" t="s">
        <v>1248</v>
      </c>
      <c r="C1019" s="8" t="s">
        <v>1244</v>
      </c>
      <c r="D1019" s="8" t="s">
        <v>1249</v>
      </c>
      <c r="E1019" s="8" t="s">
        <v>179</v>
      </c>
      <c r="F1019" s="9">
        <v>16</v>
      </c>
      <c r="G1019" s="5">
        <f>TRUNC([1]단가대비표!O24,0)</f>
        <v>6120</v>
      </c>
      <c r="H1019" s="5">
        <f t="shared" si="85"/>
        <v>97920</v>
      </c>
      <c r="I1019" s="5">
        <v>0</v>
      </c>
      <c r="J1019" s="5">
        <f t="shared" si="86"/>
        <v>0</v>
      </c>
      <c r="K1019" s="5">
        <v>0</v>
      </c>
      <c r="L1019" s="5">
        <f t="shared" si="87"/>
        <v>0</v>
      </c>
      <c r="M1019" s="5">
        <f t="shared" si="88"/>
        <v>6120</v>
      </c>
      <c r="N1019" s="5">
        <f t="shared" si="88"/>
        <v>97920</v>
      </c>
      <c r="O1019" s="8" t="s">
        <v>20</v>
      </c>
      <c r="T1019">
        <v>0</v>
      </c>
      <c r="AC1019">
        <v>1</v>
      </c>
    </row>
    <row r="1020" spans="1:29" ht="30" customHeight="1" x14ac:dyDescent="0.3">
      <c r="A1020" s="8" t="s">
        <v>1210</v>
      </c>
      <c r="B1020" s="8" t="s">
        <v>1250</v>
      </c>
      <c r="C1020" s="8" t="s">
        <v>1244</v>
      </c>
      <c r="D1020" s="8" t="s">
        <v>1251</v>
      </c>
      <c r="E1020" s="8" t="s">
        <v>179</v>
      </c>
      <c r="F1020" s="9">
        <v>6</v>
      </c>
      <c r="G1020" s="5">
        <f>TRUNC([1]단가대비표!O25,0)</f>
        <v>2640</v>
      </c>
      <c r="H1020" s="5">
        <f t="shared" si="85"/>
        <v>15840</v>
      </c>
      <c r="I1020" s="5">
        <v>0</v>
      </c>
      <c r="J1020" s="5">
        <f t="shared" si="86"/>
        <v>0</v>
      </c>
      <c r="K1020" s="5">
        <v>0</v>
      </c>
      <c r="L1020" s="5">
        <f t="shared" si="87"/>
        <v>0</v>
      </c>
      <c r="M1020" s="5">
        <f t="shared" si="88"/>
        <v>2640</v>
      </c>
      <c r="N1020" s="5">
        <f t="shared" si="88"/>
        <v>15840</v>
      </c>
      <c r="O1020" s="8" t="s">
        <v>20</v>
      </c>
      <c r="T1020">
        <v>0</v>
      </c>
      <c r="AC1020">
        <v>1</v>
      </c>
    </row>
    <row r="1021" spans="1:29" ht="30" customHeight="1" x14ac:dyDescent="0.3">
      <c r="A1021" s="8" t="s">
        <v>1210</v>
      </c>
      <c r="B1021" s="8" t="s">
        <v>1252</v>
      </c>
      <c r="C1021" s="8" t="s">
        <v>1253</v>
      </c>
      <c r="D1021" s="8" t="s">
        <v>1254</v>
      </c>
      <c r="E1021" s="8" t="s">
        <v>179</v>
      </c>
      <c r="F1021" s="9">
        <v>78</v>
      </c>
      <c r="G1021" s="5">
        <f>TRUNC([1]단가대비표!O12,0)</f>
        <v>11514</v>
      </c>
      <c r="H1021" s="5">
        <f t="shared" si="85"/>
        <v>898092</v>
      </c>
      <c r="I1021" s="5">
        <v>0</v>
      </c>
      <c r="J1021" s="5">
        <f t="shared" si="86"/>
        <v>0</v>
      </c>
      <c r="K1021" s="5">
        <v>0</v>
      </c>
      <c r="L1021" s="5">
        <f t="shared" si="87"/>
        <v>0</v>
      </c>
      <c r="M1021" s="5">
        <f t="shared" si="88"/>
        <v>11514</v>
      </c>
      <c r="N1021" s="5">
        <f t="shared" si="88"/>
        <v>898092</v>
      </c>
      <c r="O1021" s="8" t="s">
        <v>20</v>
      </c>
      <c r="T1021">
        <v>0</v>
      </c>
      <c r="AC1021">
        <v>1</v>
      </c>
    </row>
    <row r="1022" spans="1:29" ht="30" customHeight="1" x14ac:dyDescent="0.3">
      <c r="A1022" s="8" t="s">
        <v>1210</v>
      </c>
      <c r="B1022" s="8" t="s">
        <v>1255</v>
      </c>
      <c r="C1022" s="8" t="s">
        <v>1253</v>
      </c>
      <c r="D1022" s="8" t="s">
        <v>1256</v>
      </c>
      <c r="E1022" s="8" t="s">
        <v>179</v>
      </c>
      <c r="F1022" s="9">
        <v>9</v>
      </c>
      <c r="G1022" s="5">
        <f>TRUNC([1]단가대비표!O13,0)</f>
        <v>11514</v>
      </c>
      <c r="H1022" s="5">
        <f t="shared" si="85"/>
        <v>103626</v>
      </c>
      <c r="I1022" s="5">
        <v>0</v>
      </c>
      <c r="J1022" s="5">
        <f t="shared" si="86"/>
        <v>0</v>
      </c>
      <c r="K1022" s="5">
        <v>0</v>
      </c>
      <c r="L1022" s="5">
        <f t="shared" si="87"/>
        <v>0</v>
      </c>
      <c r="M1022" s="5">
        <f t="shared" si="88"/>
        <v>11514</v>
      </c>
      <c r="N1022" s="5">
        <f t="shared" si="88"/>
        <v>103626</v>
      </c>
      <c r="O1022" s="8" t="s">
        <v>20</v>
      </c>
      <c r="T1022">
        <v>0</v>
      </c>
      <c r="AC1022">
        <v>1</v>
      </c>
    </row>
    <row r="1023" spans="1:29" ht="30" customHeight="1" x14ac:dyDescent="0.3">
      <c r="A1023" s="8" t="s">
        <v>1210</v>
      </c>
      <c r="B1023" s="8" t="s">
        <v>1257</v>
      </c>
      <c r="C1023" s="8" t="s">
        <v>1253</v>
      </c>
      <c r="D1023" s="8" t="s">
        <v>1258</v>
      </c>
      <c r="E1023" s="8" t="s">
        <v>179</v>
      </c>
      <c r="F1023" s="9">
        <v>4</v>
      </c>
      <c r="G1023" s="5">
        <f>TRUNC([1]단가대비표!O14,0)</f>
        <v>19667</v>
      </c>
      <c r="H1023" s="5">
        <f t="shared" si="85"/>
        <v>78668</v>
      </c>
      <c r="I1023" s="5">
        <v>0</v>
      </c>
      <c r="J1023" s="5">
        <f t="shared" si="86"/>
        <v>0</v>
      </c>
      <c r="K1023" s="5">
        <v>0</v>
      </c>
      <c r="L1023" s="5">
        <f t="shared" si="87"/>
        <v>0</v>
      </c>
      <c r="M1023" s="5">
        <f t="shared" si="88"/>
        <v>19667</v>
      </c>
      <c r="N1023" s="5">
        <f t="shared" si="88"/>
        <v>78668</v>
      </c>
      <c r="O1023" s="8" t="s">
        <v>20</v>
      </c>
      <c r="T1023">
        <v>0</v>
      </c>
      <c r="AC1023">
        <v>1</v>
      </c>
    </row>
    <row r="1024" spans="1:29" ht="30" customHeight="1" x14ac:dyDescent="0.3">
      <c r="A1024" s="8" t="s">
        <v>1210</v>
      </c>
      <c r="B1024" s="8" t="s">
        <v>1259</v>
      </c>
      <c r="C1024" s="8" t="s">
        <v>1253</v>
      </c>
      <c r="D1024" s="8" t="s">
        <v>1260</v>
      </c>
      <c r="E1024" s="8" t="s">
        <v>179</v>
      </c>
      <c r="F1024" s="9">
        <v>8</v>
      </c>
      <c r="G1024" s="5">
        <f>TRUNC([1]단가대비표!O15,0)</f>
        <v>63110</v>
      </c>
      <c r="H1024" s="5">
        <f t="shared" si="85"/>
        <v>504880</v>
      </c>
      <c r="I1024" s="5">
        <v>0</v>
      </c>
      <c r="J1024" s="5">
        <f t="shared" si="86"/>
        <v>0</v>
      </c>
      <c r="K1024" s="5">
        <v>0</v>
      </c>
      <c r="L1024" s="5">
        <f t="shared" si="87"/>
        <v>0</v>
      </c>
      <c r="M1024" s="5">
        <f t="shared" si="88"/>
        <v>63110</v>
      </c>
      <c r="N1024" s="5">
        <f t="shared" si="88"/>
        <v>504880</v>
      </c>
      <c r="O1024" s="8" t="s">
        <v>20</v>
      </c>
      <c r="T1024">
        <v>0</v>
      </c>
      <c r="AC1024">
        <v>1</v>
      </c>
    </row>
    <row r="1025" spans="1:29" ht="30" customHeight="1" x14ac:dyDescent="0.3">
      <c r="A1025" s="8" t="s">
        <v>1210</v>
      </c>
      <c r="B1025" s="8" t="s">
        <v>1261</v>
      </c>
      <c r="C1025" s="8" t="s">
        <v>1262</v>
      </c>
      <c r="D1025" s="8" t="s">
        <v>1263</v>
      </c>
      <c r="E1025" s="8" t="s">
        <v>168</v>
      </c>
      <c r="F1025" s="9">
        <v>67</v>
      </c>
      <c r="G1025" s="5">
        <f>TRUNC([1]단가대비표!O16,0)</f>
        <v>2720</v>
      </c>
      <c r="H1025" s="5">
        <f t="shared" si="85"/>
        <v>182240</v>
      </c>
      <c r="I1025" s="5">
        <v>0</v>
      </c>
      <c r="J1025" s="5">
        <f t="shared" si="86"/>
        <v>0</v>
      </c>
      <c r="K1025" s="5">
        <v>0</v>
      </c>
      <c r="L1025" s="5">
        <f t="shared" si="87"/>
        <v>0</v>
      </c>
      <c r="M1025" s="5">
        <f t="shared" ref="M1025:N1056" si="89">G1025+I1025+K1025</f>
        <v>2720</v>
      </c>
      <c r="N1025" s="5">
        <f t="shared" si="89"/>
        <v>182240</v>
      </c>
      <c r="O1025" s="8" t="s">
        <v>20</v>
      </c>
      <c r="T1025">
        <v>0</v>
      </c>
      <c r="AC1025">
        <v>1</v>
      </c>
    </row>
    <row r="1026" spans="1:29" ht="30" customHeight="1" x14ac:dyDescent="0.3">
      <c r="A1026" s="8" t="s">
        <v>1210</v>
      </c>
      <c r="B1026" s="8" t="s">
        <v>1264</v>
      </c>
      <c r="C1026" s="8" t="s">
        <v>1262</v>
      </c>
      <c r="D1026" s="8" t="s">
        <v>1265</v>
      </c>
      <c r="E1026" s="8" t="s">
        <v>168</v>
      </c>
      <c r="F1026" s="9">
        <v>117</v>
      </c>
      <c r="G1026" s="5">
        <f>TRUNC([1]단가대비표!O17,0)</f>
        <v>4080</v>
      </c>
      <c r="H1026" s="5">
        <f t="shared" si="85"/>
        <v>477360</v>
      </c>
      <c r="I1026" s="5">
        <v>0</v>
      </c>
      <c r="J1026" s="5">
        <f t="shared" si="86"/>
        <v>0</v>
      </c>
      <c r="K1026" s="5">
        <v>0</v>
      </c>
      <c r="L1026" s="5">
        <f t="shared" si="87"/>
        <v>0</v>
      </c>
      <c r="M1026" s="5">
        <f t="shared" si="89"/>
        <v>4080</v>
      </c>
      <c r="N1026" s="5">
        <f t="shared" si="89"/>
        <v>477360</v>
      </c>
      <c r="O1026" s="8" t="s">
        <v>20</v>
      </c>
      <c r="T1026">
        <v>0</v>
      </c>
      <c r="AC1026">
        <v>1</v>
      </c>
    </row>
    <row r="1027" spans="1:29" ht="30" customHeight="1" x14ac:dyDescent="0.3">
      <c r="A1027" s="8" t="s">
        <v>1210</v>
      </c>
      <c r="B1027" s="8" t="s">
        <v>1266</v>
      </c>
      <c r="C1027" s="8" t="s">
        <v>1262</v>
      </c>
      <c r="D1027" s="8" t="s">
        <v>1267</v>
      </c>
      <c r="E1027" s="8" t="s">
        <v>168</v>
      </c>
      <c r="F1027" s="9">
        <v>14</v>
      </c>
      <c r="G1027" s="5">
        <f>TRUNC([1]단가대비표!O18,0)</f>
        <v>5440</v>
      </c>
      <c r="H1027" s="5">
        <f t="shared" si="85"/>
        <v>76160</v>
      </c>
      <c r="I1027" s="5">
        <v>0</v>
      </c>
      <c r="J1027" s="5">
        <f t="shared" si="86"/>
        <v>0</v>
      </c>
      <c r="K1027" s="5">
        <v>0</v>
      </c>
      <c r="L1027" s="5">
        <f t="shared" si="87"/>
        <v>0</v>
      </c>
      <c r="M1027" s="5">
        <f t="shared" si="89"/>
        <v>5440</v>
      </c>
      <c r="N1027" s="5">
        <f t="shared" si="89"/>
        <v>76160</v>
      </c>
      <c r="O1027" s="8" t="s">
        <v>20</v>
      </c>
      <c r="T1027">
        <v>0</v>
      </c>
      <c r="AC1027">
        <v>1</v>
      </c>
    </row>
    <row r="1028" spans="1:29" ht="30" customHeight="1" x14ac:dyDescent="0.3">
      <c r="A1028" s="8" t="s">
        <v>1210</v>
      </c>
      <c r="B1028" s="8" t="s">
        <v>1268</v>
      </c>
      <c r="C1028" s="8" t="s">
        <v>1262</v>
      </c>
      <c r="D1028" s="8" t="s">
        <v>1269</v>
      </c>
      <c r="E1028" s="8" t="s">
        <v>168</v>
      </c>
      <c r="F1028" s="9">
        <v>6</v>
      </c>
      <c r="G1028" s="5">
        <f>TRUNC([1]단가대비표!O19,0)</f>
        <v>14240</v>
      </c>
      <c r="H1028" s="5">
        <f t="shared" si="85"/>
        <v>85440</v>
      </c>
      <c r="I1028" s="5">
        <v>0</v>
      </c>
      <c r="J1028" s="5">
        <f t="shared" si="86"/>
        <v>0</v>
      </c>
      <c r="K1028" s="5">
        <v>0</v>
      </c>
      <c r="L1028" s="5">
        <f t="shared" si="87"/>
        <v>0</v>
      </c>
      <c r="M1028" s="5">
        <f t="shared" si="89"/>
        <v>14240</v>
      </c>
      <c r="N1028" s="5">
        <f t="shared" si="89"/>
        <v>85440</v>
      </c>
      <c r="O1028" s="8" t="s">
        <v>20</v>
      </c>
      <c r="T1028">
        <v>0</v>
      </c>
      <c r="AC1028">
        <v>1</v>
      </c>
    </row>
    <row r="1029" spans="1:29" ht="30" customHeight="1" x14ac:dyDescent="0.3">
      <c r="A1029" s="8" t="s">
        <v>1210</v>
      </c>
      <c r="B1029" s="8" t="s">
        <v>1270</v>
      </c>
      <c r="C1029" s="8" t="s">
        <v>1262</v>
      </c>
      <c r="D1029" s="8" t="s">
        <v>1271</v>
      </c>
      <c r="E1029" s="8" t="s">
        <v>168</v>
      </c>
      <c r="F1029" s="9">
        <v>12</v>
      </c>
      <c r="G1029" s="5">
        <f>TRUNC([1]단가대비표!O20,0)</f>
        <v>29800</v>
      </c>
      <c r="H1029" s="5">
        <f t="shared" si="85"/>
        <v>357600</v>
      </c>
      <c r="I1029" s="5">
        <v>0</v>
      </c>
      <c r="J1029" s="5">
        <f t="shared" si="86"/>
        <v>0</v>
      </c>
      <c r="K1029" s="5">
        <v>0</v>
      </c>
      <c r="L1029" s="5">
        <f t="shared" si="87"/>
        <v>0</v>
      </c>
      <c r="M1029" s="5">
        <f t="shared" si="89"/>
        <v>29800</v>
      </c>
      <c r="N1029" s="5">
        <f t="shared" si="89"/>
        <v>357600</v>
      </c>
      <c r="O1029" s="8" t="s">
        <v>20</v>
      </c>
      <c r="T1029">
        <v>0</v>
      </c>
      <c r="AC1029">
        <v>1</v>
      </c>
    </row>
    <row r="1030" spans="1:29" ht="30" customHeight="1" x14ac:dyDescent="0.3">
      <c r="A1030" s="8" t="s">
        <v>1210</v>
      </c>
      <c r="B1030" s="8" t="s">
        <v>1272</v>
      </c>
      <c r="C1030" s="8" t="s">
        <v>1273</v>
      </c>
      <c r="D1030" s="8" t="s">
        <v>1274</v>
      </c>
      <c r="E1030" s="8" t="s">
        <v>179</v>
      </c>
      <c r="F1030" s="9">
        <v>29</v>
      </c>
      <c r="G1030" s="5">
        <f>TRUNC([1]단가대비표!O8,0)</f>
        <v>6000</v>
      </c>
      <c r="H1030" s="5">
        <f t="shared" si="85"/>
        <v>174000</v>
      </c>
      <c r="I1030" s="5">
        <v>0</v>
      </c>
      <c r="J1030" s="5">
        <f t="shared" si="86"/>
        <v>0</v>
      </c>
      <c r="K1030" s="5">
        <v>0</v>
      </c>
      <c r="L1030" s="5">
        <f t="shared" si="87"/>
        <v>0</v>
      </c>
      <c r="M1030" s="5">
        <f t="shared" si="89"/>
        <v>6000</v>
      </c>
      <c r="N1030" s="5">
        <f t="shared" si="89"/>
        <v>174000</v>
      </c>
      <c r="O1030" s="8" t="s">
        <v>20</v>
      </c>
      <c r="T1030">
        <v>0</v>
      </c>
      <c r="AC1030">
        <v>1</v>
      </c>
    </row>
    <row r="1031" spans="1:29" ht="30" customHeight="1" x14ac:dyDescent="0.3">
      <c r="A1031" s="8" t="s">
        <v>1210</v>
      </c>
      <c r="B1031" s="8" t="s">
        <v>1275</v>
      </c>
      <c r="C1031" s="8" t="s">
        <v>1273</v>
      </c>
      <c r="D1031" s="8" t="s">
        <v>1276</v>
      </c>
      <c r="E1031" s="8" t="s">
        <v>179</v>
      </c>
      <c r="F1031" s="9">
        <v>17</v>
      </c>
      <c r="G1031" s="5">
        <f>TRUNC([1]단가대비표!O9,0)</f>
        <v>9000</v>
      </c>
      <c r="H1031" s="5">
        <f t="shared" si="85"/>
        <v>153000</v>
      </c>
      <c r="I1031" s="5">
        <v>0</v>
      </c>
      <c r="J1031" s="5">
        <f t="shared" si="86"/>
        <v>0</v>
      </c>
      <c r="K1031" s="5">
        <v>0</v>
      </c>
      <c r="L1031" s="5">
        <f t="shared" si="87"/>
        <v>0</v>
      </c>
      <c r="M1031" s="5">
        <f t="shared" si="89"/>
        <v>9000</v>
      </c>
      <c r="N1031" s="5">
        <f t="shared" si="89"/>
        <v>153000</v>
      </c>
      <c r="O1031" s="8" t="s">
        <v>20</v>
      </c>
      <c r="T1031">
        <v>0</v>
      </c>
      <c r="AC1031">
        <v>1</v>
      </c>
    </row>
    <row r="1032" spans="1:29" ht="30" customHeight="1" x14ac:dyDescent="0.3">
      <c r="A1032" s="8" t="s">
        <v>1210</v>
      </c>
      <c r="B1032" s="8" t="s">
        <v>1277</v>
      </c>
      <c r="C1032" s="8" t="s">
        <v>1278</v>
      </c>
      <c r="D1032" s="8" t="s">
        <v>20</v>
      </c>
      <c r="E1032" s="8" t="s">
        <v>179</v>
      </c>
      <c r="F1032" s="9">
        <v>4</v>
      </c>
      <c r="G1032" s="5">
        <f>TRUNC([1]단가대비표!O10,0)</f>
        <v>900</v>
      </c>
      <c r="H1032" s="5">
        <f t="shared" si="85"/>
        <v>3600</v>
      </c>
      <c r="I1032" s="5">
        <v>0</v>
      </c>
      <c r="J1032" s="5">
        <f t="shared" si="86"/>
        <v>0</v>
      </c>
      <c r="K1032" s="5">
        <v>0</v>
      </c>
      <c r="L1032" s="5">
        <f t="shared" si="87"/>
        <v>0</v>
      </c>
      <c r="M1032" s="5">
        <f t="shared" si="89"/>
        <v>900</v>
      </c>
      <c r="N1032" s="5">
        <f t="shared" si="89"/>
        <v>3600</v>
      </c>
      <c r="O1032" s="8" t="s">
        <v>20</v>
      </c>
      <c r="T1032">
        <v>0</v>
      </c>
      <c r="AC1032">
        <v>1</v>
      </c>
    </row>
    <row r="1033" spans="1:29" ht="30" customHeight="1" x14ac:dyDescent="0.3">
      <c r="A1033" s="8" t="s">
        <v>1210</v>
      </c>
      <c r="B1033" s="8" t="s">
        <v>1279</v>
      </c>
      <c r="C1033" s="8" t="s">
        <v>1280</v>
      </c>
      <c r="D1033" s="8" t="s">
        <v>20</v>
      </c>
      <c r="E1033" s="8" t="s">
        <v>179</v>
      </c>
      <c r="F1033" s="9">
        <v>42</v>
      </c>
      <c r="G1033" s="5">
        <f>TRUNC([1]단가대비표!O11,0)</f>
        <v>58000</v>
      </c>
      <c r="H1033" s="5">
        <f t="shared" si="85"/>
        <v>2436000</v>
      </c>
      <c r="I1033" s="5">
        <v>0</v>
      </c>
      <c r="J1033" s="5">
        <f t="shared" si="86"/>
        <v>0</v>
      </c>
      <c r="K1033" s="5">
        <v>0</v>
      </c>
      <c r="L1033" s="5">
        <f t="shared" si="87"/>
        <v>0</v>
      </c>
      <c r="M1033" s="5">
        <f t="shared" si="89"/>
        <v>58000</v>
      </c>
      <c r="N1033" s="5">
        <f t="shared" si="89"/>
        <v>2436000</v>
      </c>
      <c r="O1033" s="8" t="s">
        <v>20</v>
      </c>
      <c r="T1033">
        <v>0</v>
      </c>
      <c r="AC1033">
        <v>1</v>
      </c>
    </row>
    <row r="1034" spans="1:29" ht="30" customHeight="1" x14ac:dyDescent="0.3">
      <c r="A1034" s="8" t="s">
        <v>1210</v>
      </c>
      <c r="B1034" s="8" t="s">
        <v>1281</v>
      </c>
      <c r="C1034" s="8" t="s">
        <v>1282</v>
      </c>
      <c r="D1034" s="8" t="s">
        <v>348</v>
      </c>
      <c r="E1034" s="8" t="s">
        <v>179</v>
      </c>
      <c r="F1034" s="9">
        <v>266</v>
      </c>
      <c r="G1034" s="5">
        <f>TRUNC([1]단가대비표!O600,0)</f>
        <v>714</v>
      </c>
      <c r="H1034" s="5">
        <f t="shared" si="85"/>
        <v>189924</v>
      </c>
      <c r="I1034" s="5">
        <v>0</v>
      </c>
      <c r="J1034" s="5">
        <f t="shared" si="86"/>
        <v>0</v>
      </c>
      <c r="K1034" s="5">
        <v>0</v>
      </c>
      <c r="L1034" s="5">
        <f t="shared" si="87"/>
        <v>0</v>
      </c>
      <c r="M1034" s="5">
        <f t="shared" si="89"/>
        <v>714</v>
      </c>
      <c r="N1034" s="5">
        <f t="shared" si="89"/>
        <v>189924</v>
      </c>
      <c r="O1034" s="8" t="s">
        <v>20</v>
      </c>
      <c r="T1034">
        <v>0</v>
      </c>
      <c r="AC1034">
        <v>1</v>
      </c>
    </row>
    <row r="1035" spans="1:29" ht="30" customHeight="1" x14ac:dyDescent="0.3">
      <c r="A1035" s="8" t="s">
        <v>1210</v>
      </c>
      <c r="B1035" s="8" t="s">
        <v>1283</v>
      </c>
      <c r="C1035" s="8" t="s">
        <v>1282</v>
      </c>
      <c r="D1035" s="8" t="s">
        <v>352</v>
      </c>
      <c r="E1035" s="8" t="s">
        <v>179</v>
      </c>
      <c r="F1035" s="9">
        <v>156</v>
      </c>
      <c r="G1035" s="5">
        <f>TRUNC([1]단가대비표!O601,0)</f>
        <v>842</v>
      </c>
      <c r="H1035" s="5">
        <f t="shared" si="85"/>
        <v>131352</v>
      </c>
      <c r="I1035" s="5">
        <v>0</v>
      </c>
      <c r="J1035" s="5">
        <f t="shared" si="86"/>
        <v>0</v>
      </c>
      <c r="K1035" s="5">
        <v>0</v>
      </c>
      <c r="L1035" s="5">
        <f t="shared" si="87"/>
        <v>0</v>
      </c>
      <c r="M1035" s="5">
        <f t="shared" si="89"/>
        <v>842</v>
      </c>
      <c r="N1035" s="5">
        <f t="shared" si="89"/>
        <v>131352</v>
      </c>
      <c r="O1035" s="8" t="s">
        <v>20</v>
      </c>
      <c r="T1035">
        <v>0</v>
      </c>
      <c r="AC1035">
        <v>1</v>
      </c>
    </row>
    <row r="1036" spans="1:29" ht="30" customHeight="1" x14ac:dyDescent="0.3">
      <c r="A1036" s="8" t="s">
        <v>1210</v>
      </c>
      <c r="B1036" s="8" t="s">
        <v>1284</v>
      </c>
      <c r="C1036" s="8" t="s">
        <v>1282</v>
      </c>
      <c r="D1036" s="8" t="s">
        <v>608</v>
      </c>
      <c r="E1036" s="8" t="s">
        <v>179</v>
      </c>
      <c r="F1036" s="9">
        <v>18</v>
      </c>
      <c r="G1036" s="5">
        <f>TRUNC([1]단가대비표!O602,0)</f>
        <v>995</v>
      </c>
      <c r="H1036" s="5">
        <f t="shared" si="85"/>
        <v>17910</v>
      </c>
      <c r="I1036" s="5">
        <v>0</v>
      </c>
      <c r="J1036" s="5">
        <f t="shared" si="86"/>
        <v>0</v>
      </c>
      <c r="K1036" s="5">
        <v>0</v>
      </c>
      <c r="L1036" s="5">
        <f t="shared" si="87"/>
        <v>0</v>
      </c>
      <c r="M1036" s="5">
        <f t="shared" si="89"/>
        <v>995</v>
      </c>
      <c r="N1036" s="5">
        <f t="shared" si="89"/>
        <v>17910</v>
      </c>
      <c r="O1036" s="8" t="s">
        <v>20</v>
      </c>
      <c r="T1036">
        <v>0</v>
      </c>
      <c r="AC1036">
        <v>1</v>
      </c>
    </row>
    <row r="1037" spans="1:29" ht="30" customHeight="1" x14ac:dyDescent="0.3">
      <c r="A1037" s="8" t="s">
        <v>1210</v>
      </c>
      <c r="B1037" s="8" t="s">
        <v>1285</v>
      </c>
      <c r="C1037" s="8" t="s">
        <v>1286</v>
      </c>
      <c r="D1037" s="8" t="s">
        <v>1287</v>
      </c>
      <c r="E1037" s="8" t="s">
        <v>545</v>
      </c>
      <c r="F1037" s="9">
        <v>14</v>
      </c>
      <c r="G1037" s="5">
        <f>TRUNC([1]단가대비표!O603,0)</f>
        <v>10000</v>
      </c>
      <c r="H1037" s="5">
        <f t="shared" si="85"/>
        <v>140000</v>
      </c>
      <c r="I1037" s="5">
        <v>0</v>
      </c>
      <c r="J1037" s="5">
        <f t="shared" si="86"/>
        <v>0</v>
      </c>
      <c r="K1037" s="5">
        <v>0</v>
      </c>
      <c r="L1037" s="5">
        <f t="shared" si="87"/>
        <v>0</v>
      </c>
      <c r="M1037" s="5">
        <f t="shared" si="89"/>
        <v>10000</v>
      </c>
      <c r="N1037" s="5">
        <f t="shared" si="89"/>
        <v>140000</v>
      </c>
      <c r="O1037" s="8" t="s">
        <v>20</v>
      </c>
      <c r="T1037">
        <v>0</v>
      </c>
      <c r="AC1037">
        <v>1</v>
      </c>
    </row>
    <row r="1038" spans="1:29" ht="30" customHeight="1" x14ac:dyDescent="0.3">
      <c r="A1038" s="8" t="s">
        <v>1210</v>
      </c>
      <c r="B1038" s="8" t="s">
        <v>1288</v>
      </c>
      <c r="C1038" s="8" t="s">
        <v>1289</v>
      </c>
      <c r="D1038" s="8" t="s">
        <v>1290</v>
      </c>
      <c r="E1038" s="8" t="s">
        <v>545</v>
      </c>
      <c r="F1038" s="9">
        <v>11</v>
      </c>
      <c r="G1038" s="5">
        <f>TRUNC([1]단가대비표!O607,0)</f>
        <v>7640</v>
      </c>
      <c r="H1038" s="5">
        <f t="shared" si="85"/>
        <v>84040</v>
      </c>
      <c r="I1038" s="5">
        <v>0</v>
      </c>
      <c r="J1038" s="5">
        <f t="shared" si="86"/>
        <v>0</v>
      </c>
      <c r="K1038" s="5">
        <v>0</v>
      </c>
      <c r="L1038" s="5">
        <f t="shared" si="87"/>
        <v>0</v>
      </c>
      <c r="M1038" s="5">
        <f t="shared" si="89"/>
        <v>7640</v>
      </c>
      <c r="N1038" s="5">
        <f t="shared" si="89"/>
        <v>84040</v>
      </c>
      <c r="O1038" s="8" t="s">
        <v>20</v>
      </c>
      <c r="T1038">
        <v>0</v>
      </c>
      <c r="AC1038">
        <v>1</v>
      </c>
    </row>
    <row r="1039" spans="1:29" ht="30" customHeight="1" x14ac:dyDescent="0.3">
      <c r="A1039" s="8" t="s">
        <v>1210</v>
      </c>
      <c r="B1039" s="8" t="s">
        <v>1291</v>
      </c>
      <c r="C1039" s="8" t="s">
        <v>1292</v>
      </c>
      <c r="D1039" s="8" t="s">
        <v>348</v>
      </c>
      <c r="E1039" s="8" t="s">
        <v>179</v>
      </c>
      <c r="F1039" s="9">
        <v>109</v>
      </c>
      <c r="G1039" s="5">
        <f>TRUNC([1]단가대비표!O604,0)</f>
        <v>5100</v>
      </c>
      <c r="H1039" s="5">
        <f t="shared" si="85"/>
        <v>555900</v>
      </c>
      <c r="I1039" s="5">
        <v>0</v>
      </c>
      <c r="J1039" s="5">
        <f t="shared" si="86"/>
        <v>0</v>
      </c>
      <c r="K1039" s="5">
        <v>0</v>
      </c>
      <c r="L1039" s="5">
        <f t="shared" si="87"/>
        <v>0</v>
      </c>
      <c r="M1039" s="5">
        <f t="shared" si="89"/>
        <v>5100</v>
      </c>
      <c r="N1039" s="5">
        <f t="shared" si="89"/>
        <v>555900</v>
      </c>
      <c r="O1039" s="8" t="s">
        <v>20</v>
      </c>
      <c r="T1039">
        <v>0</v>
      </c>
      <c r="AC1039">
        <v>1</v>
      </c>
    </row>
    <row r="1040" spans="1:29" ht="30" customHeight="1" x14ac:dyDescent="0.3">
      <c r="A1040" s="8" t="s">
        <v>1210</v>
      </c>
      <c r="B1040" s="8" t="s">
        <v>1293</v>
      </c>
      <c r="C1040" s="8" t="s">
        <v>1292</v>
      </c>
      <c r="D1040" s="8" t="s">
        <v>350</v>
      </c>
      <c r="E1040" s="8" t="s">
        <v>179</v>
      </c>
      <c r="F1040" s="9">
        <v>6</v>
      </c>
      <c r="G1040" s="5">
        <f>TRUNC([1]단가대비표!O605,0)</f>
        <v>12750</v>
      </c>
      <c r="H1040" s="5">
        <f t="shared" si="85"/>
        <v>76500</v>
      </c>
      <c r="I1040" s="5">
        <v>0</v>
      </c>
      <c r="J1040" s="5">
        <f t="shared" si="86"/>
        <v>0</v>
      </c>
      <c r="K1040" s="5">
        <v>0</v>
      </c>
      <c r="L1040" s="5">
        <f t="shared" si="87"/>
        <v>0</v>
      </c>
      <c r="M1040" s="5">
        <f t="shared" si="89"/>
        <v>12750</v>
      </c>
      <c r="N1040" s="5">
        <f t="shared" si="89"/>
        <v>76500</v>
      </c>
      <c r="O1040" s="8" t="s">
        <v>20</v>
      </c>
      <c r="T1040">
        <v>0</v>
      </c>
      <c r="AC1040">
        <v>1</v>
      </c>
    </row>
    <row r="1041" spans="1:29" ht="30" customHeight="1" x14ac:dyDescent="0.3">
      <c r="A1041" s="8" t="s">
        <v>1210</v>
      </c>
      <c r="B1041" s="8" t="s">
        <v>1294</v>
      </c>
      <c r="C1041" s="8" t="s">
        <v>1292</v>
      </c>
      <c r="D1041" s="8" t="s">
        <v>352</v>
      </c>
      <c r="E1041" s="8" t="s">
        <v>179</v>
      </c>
      <c r="F1041" s="9">
        <v>4</v>
      </c>
      <c r="G1041" s="5">
        <f>TRUNC([1]단가대비표!O606,0)</f>
        <v>12750</v>
      </c>
      <c r="H1041" s="5">
        <f t="shared" si="85"/>
        <v>51000</v>
      </c>
      <c r="I1041" s="5">
        <v>0</v>
      </c>
      <c r="J1041" s="5">
        <f t="shared" si="86"/>
        <v>0</v>
      </c>
      <c r="K1041" s="5">
        <v>0</v>
      </c>
      <c r="L1041" s="5">
        <f t="shared" si="87"/>
        <v>0</v>
      </c>
      <c r="M1041" s="5">
        <f t="shared" si="89"/>
        <v>12750</v>
      </c>
      <c r="N1041" s="5">
        <f t="shared" si="89"/>
        <v>51000</v>
      </c>
      <c r="O1041" s="8" t="s">
        <v>20</v>
      </c>
      <c r="T1041">
        <v>0</v>
      </c>
      <c r="AC1041">
        <v>1</v>
      </c>
    </row>
    <row r="1042" spans="1:29" ht="30" customHeight="1" x14ac:dyDescent="0.3">
      <c r="A1042" s="8" t="s">
        <v>1210</v>
      </c>
      <c r="B1042" s="8" t="s">
        <v>1059</v>
      </c>
      <c r="C1042" s="8" t="s">
        <v>1057</v>
      </c>
      <c r="D1042" s="8" t="s">
        <v>348</v>
      </c>
      <c r="E1042" s="8" t="s">
        <v>185</v>
      </c>
      <c r="F1042" s="9">
        <v>258</v>
      </c>
      <c r="G1042" s="5" t="e">
        <f>'[2].xls].xls].xls].xls].xls].xls].xls].'!E41</f>
        <v>#REF!</v>
      </c>
      <c r="H1042" s="5" t="e">
        <f t="shared" si="85"/>
        <v>#REF!</v>
      </c>
      <c r="I1042" s="5" t="e">
        <f>'[2].xls].xls].xls].xls].xls].xls].xls].'!F41</f>
        <v>#REF!</v>
      </c>
      <c r="J1042" s="5" t="e">
        <f t="shared" si="86"/>
        <v>#REF!</v>
      </c>
      <c r="K1042" s="5" t="e">
        <f>'[2].xls].xls].xls].xls].xls].xls].xls].'!G41</f>
        <v>#REF!</v>
      </c>
      <c r="L1042" s="5" t="e">
        <f t="shared" si="87"/>
        <v>#REF!</v>
      </c>
      <c r="M1042" s="5" t="e">
        <f t="shared" si="89"/>
        <v>#REF!</v>
      </c>
      <c r="N1042" s="5" t="e">
        <f t="shared" si="89"/>
        <v>#REF!</v>
      </c>
      <c r="O1042" s="8" t="s">
        <v>1059</v>
      </c>
      <c r="T1042">
        <v>0</v>
      </c>
      <c r="AC1042">
        <v>1</v>
      </c>
    </row>
    <row r="1043" spans="1:29" ht="30" customHeight="1" x14ac:dyDescent="0.3">
      <c r="A1043" s="8" t="s">
        <v>1210</v>
      </c>
      <c r="B1043" s="8" t="s">
        <v>1060</v>
      </c>
      <c r="C1043" s="8" t="s">
        <v>1057</v>
      </c>
      <c r="D1043" s="8" t="s">
        <v>350</v>
      </c>
      <c r="E1043" s="8" t="s">
        <v>185</v>
      </c>
      <c r="F1043" s="9">
        <v>12</v>
      </c>
      <c r="G1043" s="5" t="e">
        <f>'[2].xls].xls].xls].xls].xls].xls].xls].'!E42</f>
        <v>#REF!</v>
      </c>
      <c r="H1043" s="5" t="e">
        <f t="shared" si="85"/>
        <v>#REF!</v>
      </c>
      <c r="I1043" s="5" t="e">
        <f>'[2].xls].xls].xls].xls].xls].xls].xls].'!F42</f>
        <v>#REF!</v>
      </c>
      <c r="J1043" s="5" t="e">
        <f t="shared" si="86"/>
        <v>#REF!</v>
      </c>
      <c r="K1043" s="5" t="e">
        <f>'[2].xls].xls].xls].xls].xls].xls].xls].'!G42</f>
        <v>#REF!</v>
      </c>
      <c r="L1043" s="5" t="e">
        <f t="shared" si="87"/>
        <v>#REF!</v>
      </c>
      <c r="M1043" s="5" t="e">
        <f t="shared" si="89"/>
        <v>#REF!</v>
      </c>
      <c r="N1043" s="5" t="e">
        <f t="shared" si="89"/>
        <v>#REF!</v>
      </c>
      <c r="O1043" s="8" t="s">
        <v>1060</v>
      </c>
      <c r="T1043">
        <v>0</v>
      </c>
      <c r="AC1043">
        <v>1</v>
      </c>
    </row>
    <row r="1044" spans="1:29" ht="30" customHeight="1" x14ac:dyDescent="0.3">
      <c r="A1044" s="8" t="s">
        <v>1210</v>
      </c>
      <c r="B1044" s="8" t="s">
        <v>1061</v>
      </c>
      <c r="C1044" s="8" t="s">
        <v>1057</v>
      </c>
      <c r="D1044" s="8" t="s">
        <v>352</v>
      </c>
      <c r="E1044" s="8" t="s">
        <v>185</v>
      </c>
      <c r="F1044" s="9">
        <v>8</v>
      </c>
      <c r="G1044" s="5" t="e">
        <f>'[2].xls].xls].xls].xls].xls].xls].xls].'!E43</f>
        <v>#REF!</v>
      </c>
      <c r="H1044" s="5" t="e">
        <f t="shared" si="85"/>
        <v>#REF!</v>
      </c>
      <c r="I1044" s="5" t="e">
        <f>'[2].xls].xls].xls].xls].xls].xls].xls].'!F43</f>
        <v>#REF!</v>
      </c>
      <c r="J1044" s="5" t="e">
        <f t="shared" si="86"/>
        <v>#REF!</v>
      </c>
      <c r="K1044" s="5" t="e">
        <f>'[2].xls].xls].xls].xls].xls].xls].xls].'!G43</f>
        <v>#REF!</v>
      </c>
      <c r="L1044" s="5" t="e">
        <f t="shared" si="87"/>
        <v>#REF!</v>
      </c>
      <c r="M1044" s="5" t="e">
        <f t="shared" si="89"/>
        <v>#REF!</v>
      </c>
      <c r="N1044" s="5" t="e">
        <f t="shared" si="89"/>
        <v>#REF!</v>
      </c>
      <c r="O1044" s="8" t="s">
        <v>1061</v>
      </c>
      <c r="T1044">
        <v>0</v>
      </c>
      <c r="AC1044">
        <v>1</v>
      </c>
    </row>
    <row r="1045" spans="1:29" ht="30" customHeight="1" x14ac:dyDescent="0.3">
      <c r="A1045" s="8" t="s">
        <v>1210</v>
      </c>
      <c r="B1045" s="8" t="s">
        <v>1074</v>
      </c>
      <c r="C1045" s="8" t="s">
        <v>528</v>
      </c>
      <c r="D1045" s="8" t="s">
        <v>348</v>
      </c>
      <c r="E1045" s="8" t="s">
        <v>185</v>
      </c>
      <c r="F1045" s="9">
        <v>109</v>
      </c>
      <c r="G1045" s="5" t="e">
        <f>'[2].xls].xls].xls].xls].xls].xls].xls].'!E61</f>
        <v>#REF!</v>
      </c>
      <c r="H1045" s="5" t="e">
        <f t="shared" si="85"/>
        <v>#REF!</v>
      </c>
      <c r="I1045" s="5" t="e">
        <f>'[2].xls].xls].xls].xls].xls].xls].xls].'!F61</f>
        <v>#REF!</v>
      </c>
      <c r="J1045" s="5" t="e">
        <f t="shared" si="86"/>
        <v>#REF!</v>
      </c>
      <c r="K1045" s="5" t="e">
        <f>'[2].xls].xls].xls].xls].xls].xls].xls].'!G61</f>
        <v>#REF!</v>
      </c>
      <c r="L1045" s="5" t="e">
        <f t="shared" si="87"/>
        <v>#REF!</v>
      </c>
      <c r="M1045" s="5" t="e">
        <f t="shared" si="89"/>
        <v>#REF!</v>
      </c>
      <c r="N1045" s="5" t="e">
        <f t="shared" si="89"/>
        <v>#REF!</v>
      </c>
      <c r="O1045" s="8" t="s">
        <v>1074</v>
      </c>
      <c r="T1045">
        <v>0</v>
      </c>
      <c r="AC1045">
        <v>1</v>
      </c>
    </row>
    <row r="1046" spans="1:29" ht="30" customHeight="1" x14ac:dyDescent="0.3">
      <c r="A1046" s="8" t="s">
        <v>1210</v>
      </c>
      <c r="B1046" s="8" t="s">
        <v>1075</v>
      </c>
      <c r="C1046" s="8" t="s">
        <v>528</v>
      </c>
      <c r="D1046" s="8" t="s">
        <v>350</v>
      </c>
      <c r="E1046" s="8" t="s">
        <v>185</v>
      </c>
      <c r="F1046" s="9">
        <v>6</v>
      </c>
      <c r="G1046" s="5" t="e">
        <f>'[2].xls].xls].xls].xls].xls].xls].xls].'!E62</f>
        <v>#REF!</v>
      </c>
      <c r="H1046" s="5" t="e">
        <f t="shared" si="85"/>
        <v>#REF!</v>
      </c>
      <c r="I1046" s="5" t="e">
        <f>'[2].xls].xls].xls].xls].xls].xls].xls].'!F62</f>
        <v>#REF!</v>
      </c>
      <c r="J1046" s="5" t="e">
        <f t="shared" si="86"/>
        <v>#REF!</v>
      </c>
      <c r="K1046" s="5" t="e">
        <f>'[2].xls].xls].xls].xls].xls].xls].xls].'!G62</f>
        <v>#REF!</v>
      </c>
      <c r="L1046" s="5" t="e">
        <f t="shared" si="87"/>
        <v>#REF!</v>
      </c>
      <c r="M1046" s="5" t="e">
        <f t="shared" si="89"/>
        <v>#REF!</v>
      </c>
      <c r="N1046" s="5" t="e">
        <f t="shared" si="89"/>
        <v>#REF!</v>
      </c>
      <c r="O1046" s="8" t="s">
        <v>1075</v>
      </c>
      <c r="T1046">
        <v>0</v>
      </c>
      <c r="AC1046">
        <v>1</v>
      </c>
    </row>
    <row r="1047" spans="1:29" ht="30" customHeight="1" x14ac:dyDescent="0.3">
      <c r="A1047" s="8" t="s">
        <v>1210</v>
      </c>
      <c r="B1047" s="8" t="s">
        <v>1076</v>
      </c>
      <c r="C1047" s="8" t="s">
        <v>528</v>
      </c>
      <c r="D1047" s="8" t="s">
        <v>352</v>
      </c>
      <c r="E1047" s="8" t="s">
        <v>185</v>
      </c>
      <c r="F1047" s="9">
        <v>4</v>
      </c>
      <c r="G1047" s="5" t="e">
        <f>'[2].xls].xls].xls].xls].xls].xls].xls].'!E63</f>
        <v>#REF!</v>
      </c>
      <c r="H1047" s="5" t="e">
        <f t="shared" si="85"/>
        <v>#REF!</v>
      </c>
      <c r="I1047" s="5" t="e">
        <f>'[2].xls].xls].xls].xls].xls].xls].xls].'!F63</f>
        <v>#REF!</v>
      </c>
      <c r="J1047" s="5" t="e">
        <f t="shared" si="86"/>
        <v>#REF!</v>
      </c>
      <c r="K1047" s="5" t="e">
        <f>'[2].xls].xls].xls].xls].xls].xls].xls].'!G63</f>
        <v>#REF!</v>
      </c>
      <c r="L1047" s="5" t="e">
        <f t="shared" si="87"/>
        <v>#REF!</v>
      </c>
      <c r="M1047" s="5" t="e">
        <f t="shared" si="89"/>
        <v>#REF!</v>
      </c>
      <c r="N1047" s="5" t="e">
        <f t="shared" si="89"/>
        <v>#REF!</v>
      </c>
      <c r="O1047" s="8" t="s">
        <v>1076</v>
      </c>
      <c r="T1047">
        <v>0</v>
      </c>
      <c r="AC1047">
        <v>1</v>
      </c>
    </row>
    <row r="1048" spans="1:29" ht="30" customHeight="1" x14ac:dyDescent="0.3">
      <c r="A1048" s="8" t="s">
        <v>1210</v>
      </c>
      <c r="B1048" s="8" t="s">
        <v>1295</v>
      </c>
      <c r="C1048" s="8" t="s">
        <v>1296</v>
      </c>
      <c r="D1048" s="8" t="s">
        <v>20</v>
      </c>
      <c r="E1048" s="8" t="s">
        <v>168</v>
      </c>
      <c r="F1048" s="9">
        <v>111</v>
      </c>
      <c r="G1048" s="5">
        <f>TRUNC([1]단가대비표!O662,0)</f>
        <v>81000</v>
      </c>
      <c r="H1048" s="5">
        <f t="shared" si="85"/>
        <v>8991000</v>
      </c>
      <c r="I1048" s="5">
        <v>0</v>
      </c>
      <c r="J1048" s="5">
        <f t="shared" si="86"/>
        <v>0</v>
      </c>
      <c r="K1048" s="5">
        <v>0</v>
      </c>
      <c r="L1048" s="5">
        <f t="shared" si="87"/>
        <v>0</v>
      </c>
      <c r="M1048" s="5">
        <f t="shared" si="89"/>
        <v>81000</v>
      </c>
      <c r="N1048" s="5">
        <f t="shared" si="89"/>
        <v>8991000</v>
      </c>
      <c r="O1048" s="8" t="s">
        <v>20</v>
      </c>
      <c r="T1048">
        <v>0</v>
      </c>
      <c r="AC1048">
        <v>1</v>
      </c>
    </row>
    <row r="1049" spans="1:29" ht="30" customHeight="1" x14ac:dyDescent="0.3">
      <c r="A1049" s="8" t="s">
        <v>1210</v>
      </c>
      <c r="B1049" s="8" t="s">
        <v>1297</v>
      </c>
      <c r="C1049" s="8" t="s">
        <v>543</v>
      </c>
      <c r="D1049" s="8" t="s">
        <v>1298</v>
      </c>
      <c r="E1049" s="8" t="s">
        <v>545</v>
      </c>
      <c r="F1049" s="9">
        <v>2282</v>
      </c>
      <c r="G1049" s="5" t="e">
        <f>'[2].xls].xls].xls].xls].xls].xls].xls].'!E131</f>
        <v>#REF!</v>
      </c>
      <c r="H1049" s="5" t="e">
        <f t="shared" si="85"/>
        <v>#REF!</v>
      </c>
      <c r="I1049" s="5" t="e">
        <f>'[2].xls].xls].xls].xls].xls].xls].xls].'!F131</f>
        <v>#REF!</v>
      </c>
      <c r="J1049" s="5" t="e">
        <f t="shared" si="86"/>
        <v>#REF!</v>
      </c>
      <c r="K1049" s="5" t="e">
        <f>'[2].xls].xls].xls].xls].xls].xls].xls].'!G131</f>
        <v>#REF!</v>
      </c>
      <c r="L1049" s="5" t="e">
        <f t="shared" si="87"/>
        <v>#REF!</v>
      </c>
      <c r="M1049" s="5" t="e">
        <f t="shared" si="89"/>
        <v>#REF!</v>
      </c>
      <c r="N1049" s="5" t="e">
        <f t="shared" si="89"/>
        <v>#REF!</v>
      </c>
      <c r="O1049" s="8" t="s">
        <v>1297</v>
      </c>
      <c r="T1049">
        <v>0</v>
      </c>
      <c r="AC1049">
        <v>1</v>
      </c>
    </row>
    <row r="1050" spans="1:29" ht="30" customHeight="1" x14ac:dyDescent="0.3">
      <c r="A1050" s="8" t="s">
        <v>1210</v>
      </c>
      <c r="B1050" s="8" t="s">
        <v>1299</v>
      </c>
      <c r="C1050" s="8" t="s">
        <v>1300</v>
      </c>
      <c r="D1050" s="8" t="s">
        <v>1301</v>
      </c>
      <c r="E1050" s="8" t="s">
        <v>179</v>
      </c>
      <c r="F1050" s="9">
        <v>1</v>
      </c>
      <c r="G1050" s="5">
        <f>TRUNC([1]단가대비표!O1923,0)</f>
        <v>115752</v>
      </c>
      <c r="H1050" s="5">
        <f t="shared" si="85"/>
        <v>115752</v>
      </c>
      <c r="I1050" s="5">
        <v>0</v>
      </c>
      <c r="J1050" s="5">
        <f t="shared" si="86"/>
        <v>0</v>
      </c>
      <c r="K1050" s="5">
        <v>0</v>
      </c>
      <c r="L1050" s="5">
        <f t="shared" si="87"/>
        <v>0</v>
      </c>
      <c r="M1050" s="5">
        <f t="shared" si="89"/>
        <v>115752</v>
      </c>
      <c r="N1050" s="5">
        <f t="shared" si="89"/>
        <v>115752</v>
      </c>
      <c r="O1050" s="8" t="s">
        <v>20</v>
      </c>
      <c r="T1050">
        <v>0</v>
      </c>
      <c r="AC1050">
        <v>1</v>
      </c>
    </row>
    <row r="1051" spans="1:29" ht="30" customHeight="1" x14ac:dyDescent="0.3">
      <c r="A1051" s="8" t="s">
        <v>1210</v>
      </c>
      <c r="B1051" s="8" t="s">
        <v>1302</v>
      </c>
      <c r="C1051" s="8" t="s">
        <v>1300</v>
      </c>
      <c r="D1051" s="8" t="s">
        <v>1303</v>
      </c>
      <c r="E1051" s="8" t="s">
        <v>179</v>
      </c>
      <c r="F1051" s="9">
        <v>1</v>
      </c>
      <c r="G1051" s="5">
        <f>TRUNC([1]단가대비표!O1924,0)</f>
        <v>133392</v>
      </c>
      <c r="H1051" s="5">
        <f t="shared" si="85"/>
        <v>133392</v>
      </c>
      <c r="I1051" s="5">
        <v>0</v>
      </c>
      <c r="J1051" s="5">
        <f t="shared" si="86"/>
        <v>0</v>
      </c>
      <c r="K1051" s="5">
        <v>0</v>
      </c>
      <c r="L1051" s="5">
        <f t="shared" si="87"/>
        <v>0</v>
      </c>
      <c r="M1051" s="5">
        <f t="shared" si="89"/>
        <v>133392</v>
      </c>
      <c r="N1051" s="5">
        <f t="shared" si="89"/>
        <v>133392</v>
      </c>
      <c r="O1051" s="8" t="s">
        <v>20</v>
      </c>
      <c r="T1051">
        <v>0</v>
      </c>
      <c r="AC1051">
        <v>1</v>
      </c>
    </row>
    <row r="1052" spans="1:29" ht="30" customHeight="1" x14ac:dyDescent="0.3">
      <c r="A1052" s="8" t="s">
        <v>1210</v>
      </c>
      <c r="B1052" s="8" t="s">
        <v>1304</v>
      </c>
      <c r="C1052" s="8" t="s">
        <v>1305</v>
      </c>
      <c r="D1052" s="8" t="s">
        <v>1306</v>
      </c>
      <c r="E1052" s="8" t="s">
        <v>179</v>
      </c>
      <c r="F1052" s="9">
        <v>2</v>
      </c>
      <c r="G1052" s="5">
        <f>TRUNC([1]단가대비표!O1027,0)</f>
        <v>84000</v>
      </c>
      <c r="H1052" s="5">
        <f t="shared" si="85"/>
        <v>168000</v>
      </c>
      <c r="I1052" s="5">
        <v>0</v>
      </c>
      <c r="J1052" s="5">
        <f t="shared" si="86"/>
        <v>0</v>
      </c>
      <c r="K1052" s="5">
        <v>0</v>
      </c>
      <c r="L1052" s="5">
        <f t="shared" si="87"/>
        <v>0</v>
      </c>
      <c r="M1052" s="5">
        <f t="shared" si="89"/>
        <v>84000</v>
      </c>
      <c r="N1052" s="5">
        <f t="shared" si="89"/>
        <v>168000</v>
      </c>
      <c r="O1052" s="8" t="s">
        <v>20</v>
      </c>
      <c r="T1052">
        <v>0</v>
      </c>
      <c r="AC1052">
        <v>1</v>
      </c>
    </row>
    <row r="1053" spans="1:29" ht="30" customHeight="1" x14ac:dyDescent="0.3">
      <c r="A1053" s="8" t="s">
        <v>1210</v>
      </c>
      <c r="B1053" s="8" t="s">
        <v>1307</v>
      </c>
      <c r="C1053" s="8" t="s">
        <v>1305</v>
      </c>
      <c r="D1053" s="8" t="s">
        <v>1308</v>
      </c>
      <c r="E1053" s="8" t="s">
        <v>179</v>
      </c>
      <c r="F1053" s="9">
        <v>2</v>
      </c>
      <c r="G1053" s="5">
        <f>TRUNC([1]단가대비표!O1028,0)</f>
        <v>115500</v>
      </c>
      <c r="H1053" s="5">
        <f t="shared" si="85"/>
        <v>231000</v>
      </c>
      <c r="I1053" s="5">
        <v>0</v>
      </c>
      <c r="J1053" s="5">
        <f t="shared" si="86"/>
        <v>0</v>
      </c>
      <c r="K1053" s="5">
        <v>0</v>
      </c>
      <c r="L1053" s="5">
        <f t="shared" si="87"/>
        <v>0</v>
      </c>
      <c r="M1053" s="5">
        <f t="shared" si="89"/>
        <v>115500</v>
      </c>
      <c r="N1053" s="5">
        <f t="shared" si="89"/>
        <v>231000</v>
      </c>
      <c r="O1053" s="8" t="s">
        <v>20</v>
      </c>
      <c r="T1053">
        <v>0</v>
      </c>
      <c r="AC1053">
        <v>1</v>
      </c>
    </row>
    <row r="1054" spans="1:29" ht="30" customHeight="1" x14ac:dyDescent="0.3">
      <c r="A1054" s="8" t="s">
        <v>1210</v>
      </c>
      <c r="B1054" s="8" t="s">
        <v>1309</v>
      </c>
      <c r="C1054" s="8" t="s">
        <v>1310</v>
      </c>
      <c r="D1054" s="8" t="s">
        <v>1311</v>
      </c>
      <c r="E1054" s="8" t="s">
        <v>179</v>
      </c>
      <c r="F1054" s="9">
        <v>1</v>
      </c>
      <c r="G1054" s="5">
        <f>TRUNC([1]단가대비표!O1062,0)</f>
        <v>55200</v>
      </c>
      <c r="H1054" s="5">
        <f t="shared" si="85"/>
        <v>55200</v>
      </c>
      <c r="I1054" s="5">
        <v>0</v>
      </c>
      <c r="J1054" s="5">
        <f t="shared" si="86"/>
        <v>0</v>
      </c>
      <c r="K1054" s="5">
        <v>0</v>
      </c>
      <c r="L1054" s="5">
        <f t="shared" si="87"/>
        <v>0</v>
      </c>
      <c r="M1054" s="5">
        <f t="shared" si="89"/>
        <v>55200</v>
      </c>
      <c r="N1054" s="5">
        <f t="shared" si="89"/>
        <v>55200</v>
      </c>
      <c r="O1054" s="8" t="s">
        <v>20</v>
      </c>
      <c r="T1054">
        <v>0</v>
      </c>
      <c r="AC1054">
        <v>1</v>
      </c>
    </row>
    <row r="1055" spans="1:29" ht="30" customHeight="1" x14ac:dyDescent="0.3">
      <c r="A1055" s="8" t="s">
        <v>1210</v>
      </c>
      <c r="B1055" s="8" t="s">
        <v>1312</v>
      </c>
      <c r="C1055" s="8" t="s">
        <v>1310</v>
      </c>
      <c r="D1055" s="8" t="s">
        <v>1313</v>
      </c>
      <c r="E1055" s="8" t="s">
        <v>179</v>
      </c>
      <c r="F1055" s="9">
        <v>1</v>
      </c>
      <c r="G1055" s="5">
        <f>TRUNC([1]단가대비표!O1063,0)</f>
        <v>92000</v>
      </c>
      <c r="H1055" s="5">
        <f t="shared" si="85"/>
        <v>92000</v>
      </c>
      <c r="I1055" s="5">
        <v>0</v>
      </c>
      <c r="J1055" s="5">
        <f t="shared" si="86"/>
        <v>0</v>
      </c>
      <c r="K1055" s="5">
        <v>0</v>
      </c>
      <c r="L1055" s="5">
        <f t="shared" si="87"/>
        <v>0</v>
      </c>
      <c r="M1055" s="5">
        <f t="shared" si="89"/>
        <v>92000</v>
      </c>
      <c r="N1055" s="5">
        <f t="shared" si="89"/>
        <v>92000</v>
      </c>
      <c r="O1055" s="8" t="s">
        <v>20</v>
      </c>
      <c r="T1055">
        <v>0</v>
      </c>
      <c r="AC1055">
        <v>1</v>
      </c>
    </row>
    <row r="1056" spans="1:29" ht="30" customHeight="1" x14ac:dyDescent="0.3">
      <c r="A1056" s="8" t="s">
        <v>1210</v>
      </c>
      <c r="B1056" s="8" t="s">
        <v>1314</v>
      </c>
      <c r="C1056" s="8" t="s">
        <v>1310</v>
      </c>
      <c r="D1056" s="8" t="s">
        <v>1315</v>
      </c>
      <c r="E1056" s="8" t="s">
        <v>179</v>
      </c>
      <c r="F1056" s="9">
        <v>1</v>
      </c>
      <c r="G1056" s="5">
        <f>TRUNC([1]단가대비표!O1064,0)</f>
        <v>101200</v>
      </c>
      <c r="H1056" s="5">
        <f t="shared" si="85"/>
        <v>101200</v>
      </c>
      <c r="I1056" s="5">
        <v>0</v>
      </c>
      <c r="J1056" s="5">
        <f t="shared" si="86"/>
        <v>0</v>
      </c>
      <c r="K1056" s="5">
        <v>0</v>
      </c>
      <c r="L1056" s="5">
        <f t="shared" si="87"/>
        <v>0</v>
      </c>
      <c r="M1056" s="5">
        <f t="shared" si="89"/>
        <v>101200</v>
      </c>
      <c r="N1056" s="5">
        <f t="shared" si="89"/>
        <v>101200</v>
      </c>
      <c r="O1056" s="8" t="s">
        <v>20</v>
      </c>
      <c r="T1056">
        <v>0</v>
      </c>
      <c r="AC1056">
        <v>1</v>
      </c>
    </row>
    <row r="1057" spans="1:29" ht="30" customHeight="1" x14ac:dyDescent="0.3">
      <c r="A1057" s="8" t="s">
        <v>1210</v>
      </c>
      <c r="B1057" s="8" t="s">
        <v>1316</v>
      </c>
      <c r="C1057" s="8" t="s">
        <v>1310</v>
      </c>
      <c r="D1057" s="8" t="s">
        <v>1317</v>
      </c>
      <c r="E1057" s="8" t="s">
        <v>179</v>
      </c>
      <c r="F1057" s="9">
        <v>1</v>
      </c>
      <c r="G1057" s="5">
        <f>TRUNC([1]단가대비표!O1065,0)</f>
        <v>110400</v>
      </c>
      <c r="H1057" s="5">
        <f t="shared" ref="H1057:H1120" si="90">TRUNC(F1057*G1057,0)</f>
        <v>110400</v>
      </c>
      <c r="I1057" s="5">
        <v>0</v>
      </c>
      <c r="J1057" s="5">
        <f t="shared" ref="J1057:J1120" si="91">TRUNC(F1057*I1057,0)</f>
        <v>0</v>
      </c>
      <c r="K1057" s="5">
        <v>0</v>
      </c>
      <c r="L1057" s="5">
        <f t="shared" ref="L1057:L1120" si="92">TRUNC(F1057*K1057,0)</f>
        <v>0</v>
      </c>
      <c r="M1057" s="5">
        <f t="shared" ref="M1057:N1088" si="93">G1057+I1057+K1057</f>
        <v>110400</v>
      </c>
      <c r="N1057" s="5">
        <f t="shared" si="93"/>
        <v>110400</v>
      </c>
      <c r="O1057" s="8" t="s">
        <v>20</v>
      </c>
      <c r="T1057">
        <v>0</v>
      </c>
      <c r="AC1057">
        <v>1</v>
      </c>
    </row>
    <row r="1058" spans="1:29" ht="30" customHeight="1" x14ac:dyDescent="0.3">
      <c r="A1058" s="8" t="s">
        <v>1210</v>
      </c>
      <c r="B1058" s="8" t="s">
        <v>1318</v>
      </c>
      <c r="C1058" s="8" t="s">
        <v>1319</v>
      </c>
      <c r="D1058" s="8" t="s">
        <v>1320</v>
      </c>
      <c r="E1058" s="8" t="s">
        <v>179</v>
      </c>
      <c r="F1058" s="9">
        <v>18</v>
      </c>
      <c r="G1058" s="5">
        <f>TRUNC([1]단가대비표!O1029,0)</f>
        <v>7500</v>
      </c>
      <c r="H1058" s="5">
        <f t="shared" si="90"/>
        <v>135000</v>
      </c>
      <c r="I1058" s="5">
        <v>0</v>
      </c>
      <c r="J1058" s="5">
        <f t="shared" si="91"/>
        <v>0</v>
      </c>
      <c r="K1058" s="5">
        <v>0</v>
      </c>
      <c r="L1058" s="5">
        <f t="shared" si="92"/>
        <v>0</v>
      </c>
      <c r="M1058" s="5">
        <f t="shared" si="93"/>
        <v>7500</v>
      </c>
      <c r="N1058" s="5">
        <f t="shared" si="93"/>
        <v>135000</v>
      </c>
      <c r="O1058" s="8" t="s">
        <v>20</v>
      </c>
      <c r="T1058">
        <v>0</v>
      </c>
      <c r="AC1058">
        <v>1</v>
      </c>
    </row>
    <row r="1059" spans="1:29" ht="30" customHeight="1" x14ac:dyDescent="0.3">
      <c r="A1059" s="8" t="s">
        <v>1210</v>
      </c>
      <c r="B1059" s="8" t="s">
        <v>1321</v>
      </c>
      <c r="C1059" s="8" t="s">
        <v>1319</v>
      </c>
      <c r="D1059" s="8" t="s">
        <v>1322</v>
      </c>
      <c r="E1059" s="8" t="s">
        <v>179</v>
      </c>
      <c r="F1059" s="9">
        <v>8</v>
      </c>
      <c r="G1059" s="5">
        <f>TRUNC([1]단가대비표!O1030,0)</f>
        <v>14700</v>
      </c>
      <c r="H1059" s="5">
        <f t="shared" si="90"/>
        <v>117600</v>
      </c>
      <c r="I1059" s="5">
        <v>0</v>
      </c>
      <c r="J1059" s="5">
        <f t="shared" si="91"/>
        <v>0</v>
      </c>
      <c r="K1059" s="5">
        <v>0</v>
      </c>
      <c r="L1059" s="5">
        <f t="shared" si="92"/>
        <v>0</v>
      </c>
      <c r="M1059" s="5">
        <f t="shared" si="93"/>
        <v>14700</v>
      </c>
      <c r="N1059" s="5">
        <f t="shared" si="93"/>
        <v>117600</v>
      </c>
      <c r="O1059" s="8" t="s">
        <v>20</v>
      </c>
      <c r="T1059">
        <v>0</v>
      </c>
      <c r="AC1059">
        <v>1</v>
      </c>
    </row>
    <row r="1060" spans="1:29" ht="30" customHeight="1" x14ac:dyDescent="0.3">
      <c r="A1060" s="8" t="s">
        <v>1210</v>
      </c>
      <c r="B1060" s="8" t="s">
        <v>1323</v>
      </c>
      <c r="C1060" s="8" t="s">
        <v>1319</v>
      </c>
      <c r="D1060" s="8" t="s">
        <v>1324</v>
      </c>
      <c r="E1060" s="8" t="s">
        <v>179</v>
      </c>
      <c r="F1060" s="9">
        <v>3</v>
      </c>
      <c r="G1060" s="5">
        <f>TRUNC([1]단가대비표!O1889,0)</f>
        <v>16200</v>
      </c>
      <c r="H1060" s="5">
        <f t="shared" si="90"/>
        <v>48600</v>
      </c>
      <c r="I1060" s="5">
        <v>0</v>
      </c>
      <c r="J1060" s="5">
        <f t="shared" si="91"/>
        <v>0</v>
      </c>
      <c r="K1060" s="5">
        <v>0</v>
      </c>
      <c r="L1060" s="5">
        <f t="shared" si="92"/>
        <v>0</v>
      </c>
      <c r="M1060" s="5">
        <f t="shared" si="93"/>
        <v>16200</v>
      </c>
      <c r="N1060" s="5">
        <f t="shared" si="93"/>
        <v>48600</v>
      </c>
      <c r="O1060" s="8" t="s">
        <v>20</v>
      </c>
      <c r="T1060">
        <v>0</v>
      </c>
      <c r="AC1060">
        <v>1</v>
      </c>
    </row>
    <row r="1061" spans="1:29" ht="30" customHeight="1" x14ac:dyDescent="0.3">
      <c r="A1061" s="8" t="s">
        <v>1210</v>
      </c>
      <c r="B1061" s="8" t="s">
        <v>1325</v>
      </c>
      <c r="C1061" s="8" t="s">
        <v>1319</v>
      </c>
      <c r="D1061" s="8" t="s">
        <v>1326</v>
      </c>
      <c r="E1061" s="8" t="s">
        <v>179</v>
      </c>
      <c r="F1061" s="9">
        <v>4</v>
      </c>
      <c r="G1061" s="5">
        <f>TRUNC([1]단가대비표!O914,0)</f>
        <v>15000</v>
      </c>
      <c r="H1061" s="5">
        <f t="shared" si="90"/>
        <v>60000</v>
      </c>
      <c r="I1061" s="5">
        <v>0</v>
      </c>
      <c r="J1061" s="5">
        <f t="shared" si="91"/>
        <v>0</v>
      </c>
      <c r="K1061" s="5">
        <v>0</v>
      </c>
      <c r="L1061" s="5">
        <f t="shared" si="92"/>
        <v>0</v>
      </c>
      <c r="M1061" s="5">
        <f t="shared" si="93"/>
        <v>15000</v>
      </c>
      <c r="N1061" s="5">
        <f t="shared" si="93"/>
        <v>60000</v>
      </c>
      <c r="O1061" s="8" t="s">
        <v>20</v>
      </c>
      <c r="T1061">
        <v>0</v>
      </c>
      <c r="AC1061">
        <v>1</v>
      </c>
    </row>
    <row r="1062" spans="1:29" ht="30" customHeight="1" x14ac:dyDescent="0.3">
      <c r="A1062" s="8" t="s">
        <v>1210</v>
      </c>
      <c r="B1062" s="8" t="s">
        <v>1327</v>
      </c>
      <c r="C1062" s="8" t="s">
        <v>1319</v>
      </c>
      <c r="D1062" s="8" t="s">
        <v>1313</v>
      </c>
      <c r="E1062" s="8" t="s">
        <v>179</v>
      </c>
      <c r="F1062" s="9">
        <v>3</v>
      </c>
      <c r="G1062" s="5">
        <f>TRUNC([1]단가대비표!O1031,0)</f>
        <v>18000</v>
      </c>
      <c r="H1062" s="5">
        <f t="shared" si="90"/>
        <v>54000</v>
      </c>
      <c r="I1062" s="5">
        <v>0</v>
      </c>
      <c r="J1062" s="5">
        <f t="shared" si="91"/>
        <v>0</v>
      </c>
      <c r="K1062" s="5">
        <v>0</v>
      </c>
      <c r="L1062" s="5">
        <f t="shared" si="92"/>
        <v>0</v>
      </c>
      <c r="M1062" s="5">
        <f t="shared" si="93"/>
        <v>18000</v>
      </c>
      <c r="N1062" s="5">
        <f t="shared" si="93"/>
        <v>54000</v>
      </c>
      <c r="O1062" s="8" t="s">
        <v>20</v>
      </c>
      <c r="T1062">
        <v>0</v>
      </c>
      <c r="AC1062">
        <v>1</v>
      </c>
    </row>
    <row r="1063" spans="1:29" ht="30" customHeight="1" x14ac:dyDescent="0.3">
      <c r="A1063" s="8" t="s">
        <v>1210</v>
      </c>
      <c r="B1063" s="8" t="s">
        <v>1328</v>
      </c>
      <c r="C1063" s="8" t="s">
        <v>1319</v>
      </c>
      <c r="D1063" s="8" t="s">
        <v>1329</v>
      </c>
      <c r="E1063" s="8" t="s">
        <v>179</v>
      </c>
      <c r="F1063" s="9">
        <v>4</v>
      </c>
      <c r="G1063" s="5">
        <f>TRUNC([1]단가대비표!O1032,0)</f>
        <v>18000</v>
      </c>
      <c r="H1063" s="5">
        <f t="shared" si="90"/>
        <v>72000</v>
      </c>
      <c r="I1063" s="5">
        <v>0</v>
      </c>
      <c r="J1063" s="5">
        <f t="shared" si="91"/>
        <v>0</v>
      </c>
      <c r="K1063" s="5">
        <v>0</v>
      </c>
      <c r="L1063" s="5">
        <f t="shared" si="92"/>
        <v>0</v>
      </c>
      <c r="M1063" s="5">
        <f t="shared" si="93"/>
        <v>18000</v>
      </c>
      <c r="N1063" s="5">
        <f t="shared" si="93"/>
        <v>72000</v>
      </c>
      <c r="O1063" s="8" t="s">
        <v>20</v>
      </c>
      <c r="T1063">
        <v>0</v>
      </c>
      <c r="AC1063">
        <v>1</v>
      </c>
    </row>
    <row r="1064" spans="1:29" ht="30" customHeight="1" x14ac:dyDescent="0.3">
      <c r="A1064" s="8" t="s">
        <v>1210</v>
      </c>
      <c r="B1064" s="8" t="s">
        <v>1330</v>
      </c>
      <c r="C1064" s="8" t="s">
        <v>1319</v>
      </c>
      <c r="D1064" s="8" t="s">
        <v>1331</v>
      </c>
      <c r="E1064" s="8" t="s">
        <v>179</v>
      </c>
      <c r="F1064" s="9">
        <v>2</v>
      </c>
      <c r="G1064" s="5">
        <f>TRUNC([1]단가대비표!O915,0)</f>
        <v>25200</v>
      </c>
      <c r="H1064" s="5">
        <f t="shared" si="90"/>
        <v>50400</v>
      </c>
      <c r="I1064" s="5">
        <v>0</v>
      </c>
      <c r="J1064" s="5">
        <f t="shared" si="91"/>
        <v>0</v>
      </c>
      <c r="K1064" s="5">
        <v>0</v>
      </c>
      <c r="L1064" s="5">
        <f t="shared" si="92"/>
        <v>0</v>
      </c>
      <c r="M1064" s="5">
        <f t="shared" si="93"/>
        <v>25200</v>
      </c>
      <c r="N1064" s="5">
        <f t="shared" si="93"/>
        <v>50400</v>
      </c>
      <c r="O1064" s="8" t="s">
        <v>20</v>
      </c>
      <c r="T1064">
        <v>0</v>
      </c>
      <c r="AC1064">
        <v>1</v>
      </c>
    </row>
    <row r="1065" spans="1:29" ht="30" customHeight="1" x14ac:dyDescent="0.3">
      <c r="A1065" s="8" t="s">
        <v>1210</v>
      </c>
      <c r="B1065" s="8" t="s">
        <v>1332</v>
      </c>
      <c r="C1065" s="8" t="s">
        <v>1319</v>
      </c>
      <c r="D1065" s="8" t="s">
        <v>1333</v>
      </c>
      <c r="E1065" s="8" t="s">
        <v>179</v>
      </c>
      <c r="F1065" s="9">
        <v>5</v>
      </c>
      <c r="G1065" s="5">
        <f>TRUNC([1]단가대비표!O916,0)</f>
        <v>33600</v>
      </c>
      <c r="H1065" s="5">
        <f t="shared" si="90"/>
        <v>168000</v>
      </c>
      <c r="I1065" s="5">
        <v>0</v>
      </c>
      <c r="J1065" s="5">
        <f t="shared" si="91"/>
        <v>0</v>
      </c>
      <c r="K1065" s="5">
        <v>0</v>
      </c>
      <c r="L1065" s="5">
        <f t="shared" si="92"/>
        <v>0</v>
      </c>
      <c r="M1065" s="5">
        <f t="shared" si="93"/>
        <v>33600</v>
      </c>
      <c r="N1065" s="5">
        <f t="shared" si="93"/>
        <v>168000</v>
      </c>
      <c r="O1065" s="8" t="s">
        <v>20</v>
      </c>
      <c r="T1065">
        <v>0</v>
      </c>
      <c r="AC1065">
        <v>1</v>
      </c>
    </row>
    <row r="1066" spans="1:29" ht="30" customHeight="1" x14ac:dyDescent="0.3">
      <c r="A1066" s="8" t="s">
        <v>1210</v>
      </c>
      <c r="B1066" s="8" t="s">
        <v>1334</v>
      </c>
      <c r="C1066" s="8" t="s">
        <v>1319</v>
      </c>
      <c r="D1066" s="8" t="s">
        <v>1335</v>
      </c>
      <c r="E1066" s="8" t="s">
        <v>179</v>
      </c>
      <c r="F1066" s="9">
        <v>3</v>
      </c>
      <c r="G1066" s="5">
        <f>TRUNC([1]단가대비표!O1033,0)</f>
        <v>33600</v>
      </c>
      <c r="H1066" s="5">
        <f t="shared" si="90"/>
        <v>100800</v>
      </c>
      <c r="I1066" s="5">
        <v>0</v>
      </c>
      <c r="J1066" s="5">
        <f t="shared" si="91"/>
        <v>0</v>
      </c>
      <c r="K1066" s="5">
        <v>0</v>
      </c>
      <c r="L1066" s="5">
        <f t="shared" si="92"/>
        <v>0</v>
      </c>
      <c r="M1066" s="5">
        <f t="shared" si="93"/>
        <v>33600</v>
      </c>
      <c r="N1066" s="5">
        <f t="shared" si="93"/>
        <v>100800</v>
      </c>
      <c r="O1066" s="8" t="s">
        <v>20</v>
      </c>
      <c r="T1066">
        <v>0</v>
      </c>
      <c r="AC1066">
        <v>1</v>
      </c>
    </row>
    <row r="1067" spans="1:29" ht="30" customHeight="1" x14ac:dyDescent="0.3">
      <c r="A1067" s="8" t="s">
        <v>1210</v>
      </c>
      <c r="B1067" s="8" t="s">
        <v>1336</v>
      </c>
      <c r="C1067" s="8" t="s">
        <v>1319</v>
      </c>
      <c r="D1067" s="8" t="s">
        <v>1337</v>
      </c>
      <c r="E1067" s="8" t="s">
        <v>179</v>
      </c>
      <c r="F1067" s="9">
        <v>4</v>
      </c>
      <c r="G1067" s="5">
        <f>TRUNC([1]단가대비표!O1034,0)</f>
        <v>43200</v>
      </c>
      <c r="H1067" s="5">
        <f t="shared" si="90"/>
        <v>172800</v>
      </c>
      <c r="I1067" s="5">
        <v>0</v>
      </c>
      <c r="J1067" s="5">
        <f t="shared" si="91"/>
        <v>0</v>
      </c>
      <c r="K1067" s="5">
        <v>0</v>
      </c>
      <c r="L1067" s="5">
        <f t="shared" si="92"/>
        <v>0</v>
      </c>
      <c r="M1067" s="5">
        <f t="shared" si="93"/>
        <v>43200</v>
      </c>
      <c r="N1067" s="5">
        <f t="shared" si="93"/>
        <v>172800</v>
      </c>
      <c r="O1067" s="8" t="s">
        <v>20</v>
      </c>
      <c r="T1067">
        <v>0</v>
      </c>
      <c r="AC1067">
        <v>1</v>
      </c>
    </row>
    <row r="1068" spans="1:29" ht="30" customHeight="1" x14ac:dyDescent="0.3">
      <c r="A1068" s="8" t="s">
        <v>1210</v>
      </c>
      <c r="B1068" s="8" t="s">
        <v>1338</v>
      </c>
      <c r="C1068" s="8" t="s">
        <v>1339</v>
      </c>
      <c r="D1068" s="8" t="s">
        <v>1306</v>
      </c>
      <c r="E1068" s="8" t="s">
        <v>179</v>
      </c>
      <c r="F1068" s="9">
        <v>5</v>
      </c>
      <c r="G1068" s="5">
        <f>TRUNC([1]단가대비표!O1035,0)</f>
        <v>40000</v>
      </c>
      <c r="H1068" s="5">
        <f t="shared" si="90"/>
        <v>200000</v>
      </c>
      <c r="I1068" s="5">
        <v>0</v>
      </c>
      <c r="J1068" s="5">
        <f t="shared" si="91"/>
        <v>0</v>
      </c>
      <c r="K1068" s="5">
        <v>0</v>
      </c>
      <c r="L1068" s="5">
        <f t="shared" si="92"/>
        <v>0</v>
      </c>
      <c r="M1068" s="5">
        <f t="shared" si="93"/>
        <v>40000</v>
      </c>
      <c r="N1068" s="5">
        <f t="shared" si="93"/>
        <v>200000</v>
      </c>
      <c r="O1068" s="8" t="s">
        <v>20</v>
      </c>
      <c r="T1068">
        <v>0</v>
      </c>
      <c r="AC1068">
        <v>1</v>
      </c>
    </row>
    <row r="1069" spans="1:29" ht="30" customHeight="1" x14ac:dyDescent="0.3">
      <c r="A1069" s="8" t="s">
        <v>1210</v>
      </c>
      <c r="B1069" s="8" t="s">
        <v>1340</v>
      </c>
      <c r="C1069" s="8" t="s">
        <v>1339</v>
      </c>
      <c r="D1069" s="8" t="s">
        <v>1308</v>
      </c>
      <c r="E1069" s="8" t="s">
        <v>179</v>
      </c>
      <c r="F1069" s="9">
        <v>2</v>
      </c>
      <c r="G1069" s="5">
        <f>TRUNC([1]단가대비표!O1036,0)</f>
        <v>55000</v>
      </c>
      <c r="H1069" s="5">
        <f t="shared" si="90"/>
        <v>110000</v>
      </c>
      <c r="I1069" s="5">
        <v>0</v>
      </c>
      <c r="J1069" s="5">
        <f t="shared" si="91"/>
        <v>0</v>
      </c>
      <c r="K1069" s="5">
        <v>0</v>
      </c>
      <c r="L1069" s="5">
        <f t="shared" si="92"/>
        <v>0</v>
      </c>
      <c r="M1069" s="5">
        <f t="shared" si="93"/>
        <v>55000</v>
      </c>
      <c r="N1069" s="5">
        <f t="shared" si="93"/>
        <v>110000</v>
      </c>
      <c r="O1069" s="8" t="s">
        <v>20</v>
      </c>
      <c r="T1069">
        <v>0</v>
      </c>
      <c r="AC1069">
        <v>1</v>
      </c>
    </row>
    <row r="1070" spans="1:29" ht="30" customHeight="1" x14ac:dyDescent="0.3">
      <c r="A1070" s="8" t="s">
        <v>1210</v>
      </c>
      <c r="B1070" s="8" t="s">
        <v>1341</v>
      </c>
      <c r="C1070" s="8" t="s">
        <v>1339</v>
      </c>
      <c r="D1070" s="8" t="s">
        <v>1342</v>
      </c>
      <c r="E1070" s="8" t="s">
        <v>179</v>
      </c>
      <c r="F1070" s="9">
        <v>7</v>
      </c>
      <c r="G1070" s="5">
        <f>TRUNC([1]단가대비표!O917,0)</f>
        <v>66000</v>
      </c>
      <c r="H1070" s="5">
        <f t="shared" si="90"/>
        <v>462000</v>
      </c>
      <c r="I1070" s="5">
        <v>0</v>
      </c>
      <c r="J1070" s="5">
        <f t="shared" si="91"/>
        <v>0</v>
      </c>
      <c r="K1070" s="5">
        <v>0</v>
      </c>
      <c r="L1070" s="5">
        <f t="shared" si="92"/>
        <v>0</v>
      </c>
      <c r="M1070" s="5">
        <f t="shared" si="93"/>
        <v>66000</v>
      </c>
      <c r="N1070" s="5">
        <f t="shared" si="93"/>
        <v>462000</v>
      </c>
      <c r="O1070" s="8" t="s">
        <v>20</v>
      </c>
      <c r="T1070">
        <v>0</v>
      </c>
      <c r="AC1070">
        <v>1</v>
      </c>
    </row>
    <row r="1071" spans="1:29" ht="30" customHeight="1" x14ac:dyDescent="0.3">
      <c r="A1071" s="8" t="s">
        <v>1210</v>
      </c>
      <c r="B1071" s="8" t="s">
        <v>1343</v>
      </c>
      <c r="C1071" s="8" t="s">
        <v>1344</v>
      </c>
      <c r="D1071" s="8" t="s">
        <v>1345</v>
      </c>
      <c r="E1071" s="8" t="s">
        <v>179</v>
      </c>
      <c r="F1071" s="9">
        <v>2</v>
      </c>
      <c r="G1071" s="5">
        <f>TRUNC([1]단가대비표!O918,0)</f>
        <v>317400</v>
      </c>
      <c r="H1071" s="5">
        <f t="shared" si="90"/>
        <v>634800</v>
      </c>
      <c r="I1071" s="5">
        <v>0</v>
      </c>
      <c r="J1071" s="5">
        <f t="shared" si="91"/>
        <v>0</v>
      </c>
      <c r="K1071" s="5">
        <v>0</v>
      </c>
      <c r="L1071" s="5">
        <f t="shared" si="92"/>
        <v>0</v>
      </c>
      <c r="M1071" s="5">
        <f t="shared" si="93"/>
        <v>317400</v>
      </c>
      <c r="N1071" s="5">
        <f t="shared" si="93"/>
        <v>634800</v>
      </c>
      <c r="O1071" s="8" t="s">
        <v>20</v>
      </c>
      <c r="T1071">
        <v>0</v>
      </c>
      <c r="AC1071">
        <v>1</v>
      </c>
    </row>
    <row r="1072" spans="1:29" ht="30" customHeight="1" x14ac:dyDescent="0.3">
      <c r="A1072" s="8" t="s">
        <v>1210</v>
      </c>
      <c r="B1072" s="8" t="s">
        <v>1346</v>
      </c>
      <c r="C1072" s="8" t="s">
        <v>1339</v>
      </c>
      <c r="D1072" s="8" t="s">
        <v>1347</v>
      </c>
      <c r="E1072" s="8" t="s">
        <v>179</v>
      </c>
      <c r="F1072" s="9">
        <v>1</v>
      </c>
      <c r="G1072" s="5">
        <f>TRUNC([1]단가대비표!O919,0)</f>
        <v>10500</v>
      </c>
      <c r="H1072" s="5">
        <f t="shared" si="90"/>
        <v>10500</v>
      </c>
      <c r="I1072" s="5">
        <v>0</v>
      </c>
      <c r="J1072" s="5">
        <f t="shared" si="91"/>
        <v>0</v>
      </c>
      <c r="K1072" s="5">
        <v>0</v>
      </c>
      <c r="L1072" s="5">
        <f t="shared" si="92"/>
        <v>0</v>
      </c>
      <c r="M1072" s="5">
        <f t="shared" si="93"/>
        <v>10500</v>
      </c>
      <c r="N1072" s="5">
        <f t="shared" si="93"/>
        <v>10500</v>
      </c>
      <c r="O1072" s="8" t="s">
        <v>20</v>
      </c>
      <c r="T1072">
        <v>0</v>
      </c>
      <c r="AC1072">
        <v>1</v>
      </c>
    </row>
    <row r="1073" spans="1:29" ht="30" customHeight="1" x14ac:dyDescent="0.3">
      <c r="A1073" s="8" t="s">
        <v>1210</v>
      </c>
      <c r="B1073" s="8" t="s">
        <v>1348</v>
      </c>
      <c r="C1073" s="8" t="s">
        <v>1339</v>
      </c>
      <c r="D1073" s="8" t="s">
        <v>1349</v>
      </c>
      <c r="E1073" s="8" t="s">
        <v>179</v>
      </c>
      <c r="F1073" s="9">
        <v>1</v>
      </c>
      <c r="G1073" s="5">
        <f>TRUNC([1]단가대비표!O1890,0)</f>
        <v>10000</v>
      </c>
      <c r="H1073" s="5">
        <f t="shared" si="90"/>
        <v>10000</v>
      </c>
      <c r="I1073" s="5">
        <v>0</v>
      </c>
      <c r="J1073" s="5">
        <f t="shared" si="91"/>
        <v>0</v>
      </c>
      <c r="K1073" s="5">
        <v>0</v>
      </c>
      <c r="L1073" s="5">
        <f t="shared" si="92"/>
        <v>0</v>
      </c>
      <c r="M1073" s="5">
        <f t="shared" si="93"/>
        <v>10000</v>
      </c>
      <c r="N1073" s="5">
        <f t="shared" si="93"/>
        <v>10000</v>
      </c>
      <c r="O1073" s="8" t="s">
        <v>20</v>
      </c>
      <c r="T1073">
        <v>0</v>
      </c>
      <c r="AC1073">
        <v>1</v>
      </c>
    </row>
    <row r="1074" spans="1:29" ht="30" customHeight="1" x14ac:dyDescent="0.3">
      <c r="A1074" s="8" t="s">
        <v>1210</v>
      </c>
      <c r="B1074" s="8" t="s">
        <v>1350</v>
      </c>
      <c r="C1074" s="8" t="s">
        <v>1339</v>
      </c>
      <c r="D1074" s="8" t="s">
        <v>1311</v>
      </c>
      <c r="E1074" s="8" t="s">
        <v>179</v>
      </c>
      <c r="F1074" s="9">
        <v>5</v>
      </c>
      <c r="G1074" s="5">
        <f>TRUNC([1]단가대비표!O1037,0)</f>
        <v>12000</v>
      </c>
      <c r="H1074" s="5">
        <f t="shared" si="90"/>
        <v>60000</v>
      </c>
      <c r="I1074" s="5">
        <v>0</v>
      </c>
      <c r="J1074" s="5">
        <f t="shared" si="91"/>
        <v>0</v>
      </c>
      <c r="K1074" s="5">
        <v>0</v>
      </c>
      <c r="L1074" s="5">
        <f t="shared" si="92"/>
        <v>0</v>
      </c>
      <c r="M1074" s="5">
        <f t="shared" si="93"/>
        <v>12000</v>
      </c>
      <c r="N1074" s="5">
        <f t="shared" si="93"/>
        <v>60000</v>
      </c>
      <c r="O1074" s="8" t="s">
        <v>20</v>
      </c>
      <c r="T1074">
        <v>0</v>
      </c>
      <c r="AC1074">
        <v>1</v>
      </c>
    </row>
    <row r="1075" spans="1:29" ht="30" customHeight="1" x14ac:dyDescent="0.3">
      <c r="A1075" s="8" t="s">
        <v>1210</v>
      </c>
      <c r="B1075" s="8" t="s">
        <v>1351</v>
      </c>
      <c r="C1075" s="8" t="s">
        <v>1339</v>
      </c>
      <c r="D1075" s="8" t="s">
        <v>1324</v>
      </c>
      <c r="E1075" s="8" t="s">
        <v>179</v>
      </c>
      <c r="F1075" s="9">
        <v>1</v>
      </c>
      <c r="G1075" s="5">
        <f>TRUNC([1]단가대비표!O920,0)</f>
        <v>13500</v>
      </c>
      <c r="H1075" s="5">
        <f t="shared" si="90"/>
        <v>13500</v>
      </c>
      <c r="I1075" s="5">
        <v>0</v>
      </c>
      <c r="J1075" s="5">
        <f t="shared" si="91"/>
        <v>0</v>
      </c>
      <c r="K1075" s="5">
        <v>0</v>
      </c>
      <c r="L1075" s="5">
        <f t="shared" si="92"/>
        <v>0</v>
      </c>
      <c r="M1075" s="5">
        <f t="shared" si="93"/>
        <v>13500</v>
      </c>
      <c r="N1075" s="5">
        <f t="shared" si="93"/>
        <v>13500</v>
      </c>
      <c r="O1075" s="8" t="s">
        <v>20</v>
      </c>
      <c r="T1075">
        <v>0</v>
      </c>
      <c r="AC1075">
        <v>1</v>
      </c>
    </row>
    <row r="1076" spans="1:29" ht="30" customHeight="1" x14ac:dyDescent="0.3">
      <c r="A1076" s="8" t="s">
        <v>1210</v>
      </c>
      <c r="B1076" s="8" t="s">
        <v>1352</v>
      </c>
      <c r="C1076" s="8" t="s">
        <v>1339</v>
      </c>
      <c r="D1076" s="8" t="s">
        <v>1313</v>
      </c>
      <c r="E1076" s="8" t="s">
        <v>179</v>
      </c>
      <c r="F1076" s="9">
        <v>4</v>
      </c>
      <c r="G1076" s="5">
        <f>TRUNC([1]단가대비표!O921,0)</f>
        <v>15000</v>
      </c>
      <c r="H1076" s="5">
        <f t="shared" si="90"/>
        <v>60000</v>
      </c>
      <c r="I1076" s="5">
        <v>0</v>
      </c>
      <c r="J1076" s="5">
        <f t="shared" si="91"/>
        <v>0</v>
      </c>
      <c r="K1076" s="5">
        <v>0</v>
      </c>
      <c r="L1076" s="5">
        <f t="shared" si="92"/>
        <v>0</v>
      </c>
      <c r="M1076" s="5">
        <f t="shared" si="93"/>
        <v>15000</v>
      </c>
      <c r="N1076" s="5">
        <f t="shared" si="93"/>
        <v>60000</v>
      </c>
      <c r="O1076" s="8" t="s">
        <v>20</v>
      </c>
      <c r="T1076">
        <v>0</v>
      </c>
      <c r="AC1076">
        <v>1</v>
      </c>
    </row>
    <row r="1077" spans="1:29" ht="30" customHeight="1" x14ac:dyDescent="0.3">
      <c r="A1077" s="8" t="s">
        <v>1210</v>
      </c>
      <c r="B1077" s="8" t="s">
        <v>1353</v>
      </c>
      <c r="C1077" s="8" t="s">
        <v>1339</v>
      </c>
      <c r="D1077" s="8" t="s">
        <v>1329</v>
      </c>
      <c r="E1077" s="8" t="s">
        <v>179</v>
      </c>
      <c r="F1077" s="9">
        <v>1</v>
      </c>
      <c r="G1077" s="5">
        <f>TRUNC([1]단가대비표!O1039,0)</f>
        <v>15000</v>
      </c>
      <c r="H1077" s="5">
        <f t="shared" si="90"/>
        <v>15000</v>
      </c>
      <c r="I1077" s="5">
        <v>0</v>
      </c>
      <c r="J1077" s="5">
        <f t="shared" si="91"/>
        <v>0</v>
      </c>
      <c r="K1077" s="5">
        <v>0</v>
      </c>
      <c r="L1077" s="5">
        <f t="shared" si="92"/>
        <v>0</v>
      </c>
      <c r="M1077" s="5">
        <f t="shared" si="93"/>
        <v>15000</v>
      </c>
      <c r="N1077" s="5">
        <f t="shared" si="93"/>
        <v>15000</v>
      </c>
      <c r="O1077" s="8" t="s">
        <v>20</v>
      </c>
      <c r="T1077">
        <v>0</v>
      </c>
      <c r="AC1077">
        <v>1</v>
      </c>
    </row>
    <row r="1078" spans="1:29" ht="30" customHeight="1" x14ac:dyDescent="0.3">
      <c r="A1078" s="8" t="s">
        <v>1210</v>
      </c>
      <c r="B1078" s="8" t="s">
        <v>1354</v>
      </c>
      <c r="C1078" s="8" t="s">
        <v>1339</v>
      </c>
      <c r="D1078" s="8" t="s">
        <v>1355</v>
      </c>
      <c r="E1078" s="8" t="s">
        <v>179</v>
      </c>
      <c r="F1078" s="9">
        <v>2</v>
      </c>
      <c r="G1078" s="5">
        <f>TRUNC([1]단가대비표!O1038,0)</f>
        <v>18000</v>
      </c>
      <c r="H1078" s="5">
        <f t="shared" si="90"/>
        <v>36000</v>
      </c>
      <c r="I1078" s="5">
        <v>0</v>
      </c>
      <c r="J1078" s="5">
        <f t="shared" si="91"/>
        <v>0</v>
      </c>
      <c r="K1078" s="5">
        <v>0</v>
      </c>
      <c r="L1078" s="5">
        <f t="shared" si="92"/>
        <v>0</v>
      </c>
      <c r="M1078" s="5">
        <f t="shared" si="93"/>
        <v>18000</v>
      </c>
      <c r="N1078" s="5">
        <f t="shared" si="93"/>
        <v>36000</v>
      </c>
      <c r="O1078" s="8" t="s">
        <v>20</v>
      </c>
      <c r="T1078">
        <v>0</v>
      </c>
      <c r="AC1078">
        <v>1</v>
      </c>
    </row>
    <row r="1079" spans="1:29" ht="30" customHeight="1" x14ac:dyDescent="0.3">
      <c r="A1079" s="8" t="s">
        <v>1210</v>
      </c>
      <c r="B1079" s="8" t="s">
        <v>1356</v>
      </c>
      <c r="C1079" s="8" t="s">
        <v>1339</v>
      </c>
      <c r="D1079" s="8" t="s">
        <v>1333</v>
      </c>
      <c r="E1079" s="8" t="s">
        <v>179</v>
      </c>
      <c r="F1079" s="9">
        <v>4</v>
      </c>
      <c r="G1079" s="5">
        <f>TRUNC([1]단가대비표!O922,0)</f>
        <v>28000</v>
      </c>
      <c r="H1079" s="5">
        <f t="shared" si="90"/>
        <v>112000</v>
      </c>
      <c r="I1079" s="5">
        <v>0</v>
      </c>
      <c r="J1079" s="5">
        <f t="shared" si="91"/>
        <v>0</v>
      </c>
      <c r="K1079" s="5">
        <v>0</v>
      </c>
      <c r="L1079" s="5">
        <f t="shared" si="92"/>
        <v>0</v>
      </c>
      <c r="M1079" s="5">
        <f t="shared" si="93"/>
        <v>28000</v>
      </c>
      <c r="N1079" s="5">
        <f t="shared" si="93"/>
        <v>112000</v>
      </c>
      <c r="O1079" s="8" t="s">
        <v>20</v>
      </c>
      <c r="T1079">
        <v>0</v>
      </c>
      <c r="AC1079">
        <v>1</v>
      </c>
    </row>
    <row r="1080" spans="1:29" ht="30" customHeight="1" x14ac:dyDescent="0.3">
      <c r="A1080" s="8" t="s">
        <v>1210</v>
      </c>
      <c r="B1080" s="8" t="s">
        <v>1357</v>
      </c>
      <c r="C1080" s="8" t="s">
        <v>1339</v>
      </c>
      <c r="D1080" s="8" t="s">
        <v>1337</v>
      </c>
      <c r="E1080" s="8" t="s">
        <v>179</v>
      </c>
      <c r="F1080" s="9">
        <v>2</v>
      </c>
      <c r="G1080" s="5">
        <f>TRUNC([1]단가대비표!O1040,0)</f>
        <v>36000</v>
      </c>
      <c r="H1080" s="5">
        <f t="shared" si="90"/>
        <v>72000</v>
      </c>
      <c r="I1080" s="5">
        <v>0</v>
      </c>
      <c r="J1080" s="5">
        <f t="shared" si="91"/>
        <v>0</v>
      </c>
      <c r="K1080" s="5">
        <v>0</v>
      </c>
      <c r="L1080" s="5">
        <f t="shared" si="92"/>
        <v>0</v>
      </c>
      <c r="M1080" s="5">
        <f t="shared" si="93"/>
        <v>36000</v>
      </c>
      <c r="N1080" s="5">
        <f t="shared" si="93"/>
        <v>72000</v>
      </c>
      <c r="O1080" s="8" t="s">
        <v>20</v>
      </c>
      <c r="T1080">
        <v>0</v>
      </c>
      <c r="AC1080">
        <v>1</v>
      </c>
    </row>
    <row r="1081" spans="1:29" ht="30" customHeight="1" x14ac:dyDescent="0.3">
      <c r="A1081" s="8" t="s">
        <v>1210</v>
      </c>
      <c r="B1081" s="8" t="s">
        <v>1358</v>
      </c>
      <c r="C1081" s="8" t="s">
        <v>1339</v>
      </c>
      <c r="D1081" s="8" t="s">
        <v>1359</v>
      </c>
      <c r="E1081" s="8" t="s">
        <v>179</v>
      </c>
      <c r="F1081" s="9">
        <v>1</v>
      </c>
      <c r="G1081" s="5">
        <f>TRUNC([1]단가대비표!O1041,0)</f>
        <v>45000</v>
      </c>
      <c r="H1081" s="5">
        <f t="shared" si="90"/>
        <v>45000</v>
      </c>
      <c r="I1081" s="5">
        <v>0</v>
      </c>
      <c r="J1081" s="5">
        <f t="shared" si="91"/>
        <v>0</v>
      </c>
      <c r="K1081" s="5">
        <v>0</v>
      </c>
      <c r="L1081" s="5">
        <f t="shared" si="92"/>
        <v>0</v>
      </c>
      <c r="M1081" s="5">
        <f t="shared" si="93"/>
        <v>45000</v>
      </c>
      <c r="N1081" s="5">
        <f t="shared" si="93"/>
        <v>45000</v>
      </c>
      <c r="O1081" s="8" t="s">
        <v>20</v>
      </c>
      <c r="T1081">
        <v>0</v>
      </c>
      <c r="AC1081">
        <v>1</v>
      </c>
    </row>
    <row r="1082" spans="1:29" ht="30" customHeight="1" x14ac:dyDescent="0.3">
      <c r="A1082" s="8" t="s">
        <v>1210</v>
      </c>
      <c r="B1082" s="8" t="s">
        <v>1360</v>
      </c>
      <c r="C1082" s="8" t="s">
        <v>1344</v>
      </c>
      <c r="D1082" s="8" t="s">
        <v>1361</v>
      </c>
      <c r="E1082" s="8" t="s">
        <v>179</v>
      </c>
      <c r="F1082" s="9">
        <v>2</v>
      </c>
      <c r="G1082" s="5">
        <f>TRUNC([1]단가대비표!O923,0)</f>
        <v>248400</v>
      </c>
      <c r="H1082" s="5">
        <f t="shared" si="90"/>
        <v>496800</v>
      </c>
      <c r="I1082" s="5">
        <v>0</v>
      </c>
      <c r="J1082" s="5">
        <f t="shared" si="91"/>
        <v>0</v>
      </c>
      <c r="K1082" s="5">
        <v>0</v>
      </c>
      <c r="L1082" s="5">
        <f t="shared" si="92"/>
        <v>0</v>
      </c>
      <c r="M1082" s="5">
        <f t="shared" si="93"/>
        <v>248400</v>
      </c>
      <c r="N1082" s="5">
        <f t="shared" si="93"/>
        <v>496800</v>
      </c>
      <c r="O1082" s="8" t="s">
        <v>20</v>
      </c>
      <c r="T1082">
        <v>0</v>
      </c>
      <c r="AC1082">
        <v>1</v>
      </c>
    </row>
    <row r="1083" spans="1:29" ht="30" customHeight="1" x14ac:dyDescent="0.3">
      <c r="A1083" s="8" t="s">
        <v>1210</v>
      </c>
      <c r="B1083" s="8" t="s">
        <v>1362</v>
      </c>
      <c r="C1083" s="8" t="s">
        <v>1344</v>
      </c>
      <c r="D1083" s="8" t="s">
        <v>1345</v>
      </c>
      <c r="E1083" s="8" t="s">
        <v>179</v>
      </c>
      <c r="F1083" s="9">
        <v>1</v>
      </c>
      <c r="G1083" s="5">
        <f>TRUNC([1]단가대비표!O1891,0)</f>
        <v>317400</v>
      </c>
      <c r="H1083" s="5">
        <f t="shared" si="90"/>
        <v>317400</v>
      </c>
      <c r="I1083" s="5">
        <v>0</v>
      </c>
      <c r="J1083" s="5">
        <f t="shared" si="91"/>
        <v>0</v>
      </c>
      <c r="K1083" s="5">
        <v>0</v>
      </c>
      <c r="L1083" s="5">
        <f t="shared" si="92"/>
        <v>0</v>
      </c>
      <c r="M1083" s="5">
        <f t="shared" si="93"/>
        <v>317400</v>
      </c>
      <c r="N1083" s="5">
        <f t="shared" si="93"/>
        <v>317400</v>
      </c>
      <c r="O1083" s="8" t="s">
        <v>20</v>
      </c>
      <c r="T1083">
        <v>0</v>
      </c>
      <c r="AC1083">
        <v>1</v>
      </c>
    </row>
    <row r="1084" spans="1:29" ht="30" customHeight="1" x14ac:dyDescent="0.3">
      <c r="A1084" s="8" t="s">
        <v>1210</v>
      </c>
      <c r="B1084" s="8" t="s">
        <v>1363</v>
      </c>
      <c r="C1084" s="8" t="s">
        <v>1344</v>
      </c>
      <c r="D1084" s="8" t="s">
        <v>1361</v>
      </c>
      <c r="E1084" s="8" t="s">
        <v>179</v>
      </c>
      <c r="F1084" s="9">
        <v>1</v>
      </c>
      <c r="G1084" s="5">
        <f>TRUNC([1]단가대비표!O1892,0)</f>
        <v>248400</v>
      </c>
      <c r="H1084" s="5">
        <f t="shared" si="90"/>
        <v>248400</v>
      </c>
      <c r="I1084" s="5">
        <v>0</v>
      </c>
      <c r="J1084" s="5">
        <f t="shared" si="91"/>
        <v>0</v>
      </c>
      <c r="K1084" s="5">
        <v>0</v>
      </c>
      <c r="L1084" s="5">
        <f t="shared" si="92"/>
        <v>0</v>
      </c>
      <c r="M1084" s="5">
        <f t="shared" si="93"/>
        <v>248400</v>
      </c>
      <c r="N1084" s="5">
        <f t="shared" si="93"/>
        <v>248400</v>
      </c>
      <c r="O1084" s="8" t="s">
        <v>20</v>
      </c>
      <c r="T1084">
        <v>0</v>
      </c>
      <c r="AC1084">
        <v>1</v>
      </c>
    </row>
    <row r="1085" spans="1:29" ht="30" customHeight="1" x14ac:dyDescent="0.3">
      <c r="A1085" s="8" t="s">
        <v>1210</v>
      </c>
      <c r="B1085" s="8" t="s">
        <v>1364</v>
      </c>
      <c r="C1085" s="8" t="s">
        <v>1365</v>
      </c>
      <c r="D1085" s="8" t="s">
        <v>1320</v>
      </c>
      <c r="E1085" s="8" t="s">
        <v>179</v>
      </c>
      <c r="F1085" s="9">
        <v>6</v>
      </c>
      <c r="G1085" s="5">
        <f>TRUNC([1]단가대비표!O1042,0)</f>
        <v>10625</v>
      </c>
      <c r="H1085" s="5">
        <f t="shared" si="90"/>
        <v>63750</v>
      </c>
      <c r="I1085" s="5">
        <v>0</v>
      </c>
      <c r="J1085" s="5">
        <f t="shared" si="91"/>
        <v>0</v>
      </c>
      <c r="K1085" s="5">
        <v>0</v>
      </c>
      <c r="L1085" s="5">
        <f t="shared" si="92"/>
        <v>0</v>
      </c>
      <c r="M1085" s="5">
        <f t="shared" si="93"/>
        <v>10625</v>
      </c>
      <c r="N1085" s="5">
        <f t="shared" si="93"/>
        <v>63750</v>
      </c>
      <c r="O1085" s="8" t="s">
        <v>20</v>
      </c>
      <c r="T1085">
        <v>0</v>
      </c>
      <c r="AC1085">
        <v>1</v>
      </c>
    </row>
    <row r="1086" spans="1:29" ht="30" customHeight="1" x14ac:dyDescent="0.3">
      <c r="A1086" s="8" t="s">
        <v>1210</v>
      </c>
      <c r="B1086" s="8" t="s">
        <v>1366</v>
      </c>
      <c r="C1086" s="8" t="s">
        <v>1365</v>
      </c>
      <c r="D1086" s="8" t="s">
        <v>1322</v>
      </c>
      <c r="E1086" s="8" t="s">
        <v>179</v>
      </c>
      <c r="F1086" s="9">
        <v>22</v>
      </c>
      <c r="G1086" s="5">
        <f>TRUNC([1]단가대비표!O1043,0)</f>
        <v>20825</v>
      </c>
      <c r="H1086" s="5">
        <f t="shared" si="90"/>
        <v>458150</v>
      </c>
      <c r="I1086" s="5">
        <v>0</v>
      </c>
      <c r="J1086" s="5">
        <f t="shared" si="91"/>
        <v>0</v>
      </c>
      <c r="K1086" s="5">
        <v>0</v>
      </c>
      <c r="L1086" s="5">
        <f t="shared" si="92"/>
        <v>0</v>
      </c>
      <c r="M1086" s="5">
        <f t="shared" si="93"/>
        <v>20825</v>
      </c>
      <c r="N1086" s="5">
        <f t="shared" si="93"/>
        <v>458150</v>
      </c>
      <c r="O1086" s="8" t="s">
        <v>20</v>
      </c>
      <c r="T1086">
        <v>0</v>
      </c>
      <c r="AC1086">
        <v>1</v>
      </c>
    </row>
    <row r="1087" spans="1:29" ht="30" customHeight="1" x14ac:dyDescent="0.3">
      <c r="A1087" s="8" t="s">
        <v>1210</v>
      </c>
      <c r="B1087" s="8" t="s">
        <v>1367</v>
      </c>
      <c r="C1087" s="8" t="s">
        <v>1365</v>
      </c>
      <c r="D1087" s="8" t="s">
        <v>1368</v>
      </c>
      <c r="E1087" s="8" t="s">
        <v>179</v>
      </c>
      <c r="F1087" s="9">
        <v>1</v>
      </c>
      <c r="G1087" s="5">
        <f>TRUNC([1]단가대비표!O924,0)</f>
        <v>17000</v>
      </c>
      <c r="H1087" s="5">
        <f t="shared" si="90"/>
        <v>17000</v>
      </c>
      <c r="I1087" s="5">
        <v>0</v>
      </c>
      <c r="J1087" s="5">
        <f t="shared" si="91"/>
        <v>0</v>
      </c>
      <c r="K1087" s="5">
        <v>0</v>
      </c>
      <c r="L1087" s="5">
        <f t="shared" si="92"/>
        <v>0</v>
      </c>
      <c r="M1087" s="5">
        <f t="shared" si="93"/>
        <v>17000</v>
      </c>
      <c r="N1087" s="5">
        <f t="shared" si="93"/>
        <v>17000</v>
      </c>
      <c r="O1087" s="8" t="s">
        <v>20</v>
      </c>
      <c r="T1087">
        <v>0</v>
      </c>
      <c r="AC1087">
        <v>1</v>
      </c>
    </row>
    <row r="1088" spans="1:29" ht="30" customHeight="1" x14ac:dyDescent="0.3">
      <c r="A1088" s="8" t="s">
        <v>1210</v>
      </c>
      <c r="B1088" s="8" t="s">
        <v>1369</v>
      </c>
      <c r="C1088" s="8" t="s">
        <v>1365</v>
      </c>
      <c r="D1088" s="8" t="s">
        <v>1326</v>
      </c>
      <c r="E1088" s="8" t="s">
        <v>179</v>
      </c>
      <c r="F1088" s="9">
        <v>4</v>
      </c>
      <c r="G1088" s="5">
        <f>TRUNC([1]단가대비표!O1044,0)</f>
        <v>21250</v>
      </c>
      <c r="H1088" s="5">
        <f t="shared" si="90"/>
        <v>85000</v>
      </c>
      <c r="I1088" s="5">
        <v>0</v>
      </c>
      <c r="J1088" s="5">
        <f t="shared" si="91"/>
        <v>0</v>
      </c>
      <c r="K1088" s="5">
        <v>0</v>
      </c>
      <c r="L1088" s="5">
        <f t="shared" si="92"/>
        <v>0</v>
      </c>
      <c r="M1088" s="5">
        <f t="shared" si="93"/>
        <v>21250</v>
      </c>
      <c r="N1088" s="5">
        <f t="shared" si="93"/>
        <v>85000</v>
      </c>
      <c r="O1088" s="8" t="s">
        <v>20</v>
      </c>
      <c r="T1088">
        <v>0</v>
      </c>
      <c r="AC1088">
        <v>1</v>
      </c>
    </row>
    <row r="1089" spans="1:29" ht="30" customHeight="1" x14ac:dyDescent="0.3">
      <c r="A1089" s="8" t="s">
        <v>1210</v>
      </c>
      <c r="B1089" s="8" t="s">
        <v>1370</v>
      </c>
      <c r="C1089" s="8" t="s">
        <v>1365</v>
      </c>
      <c r="D1089" s="8" t="s">
        <v>1313</v>
      </c>
      <c r="E1089" s="8" t="s">
        <v>179</v>
      </c>
      <c r="F1089" s="9">
        <v>3</v>
      </c>
      <c r="G1089" s="5">
        <f>TRUNC([1]단가대비표!O1045,0)</f>
        <v>25500</v>
      </c>
      <c r="H1089" s="5">
        <f t="shared" si="90"/>
        <v>76500</v>
      </c>
      <c r="I1089" s="5">
        <v>0</v>
      </c>
      <c r="J1089" s="5">
        <f t="shared" si="91"/>
        <v>0</v>
      </c>
      <c r="K1089" s="5">
        <v>0</v>
      </c>
      <c r="L1089" s="5">
        <f t="shared" si="92"/>
        <v>0</v>
      </c>
      <c r="M1089" s="5">
        <f t="shared" ref="M1089:N1120" si="94">G1089+I1089+K1089</f>
        <v>25500</v>
      </c>
      <c r="N1089" s="5">
        <f t="shared" si="94"/>
        <v>76500</v>
      </c>
      <c r="O1089" s="8" t="s">
        <v>20</v>
      </c>
      <c r="T1089">
        <v>0</v>
      </c>
      <c r="AC1089">
        <v>1</v>
      </c>
    </row>
    <row r="1090" spans="1:29" ht="30" customHeight="1" x14ac:dyDescent="0.3">
      <c r="A1090" s="8" t="s">
        <v>1210</v>
      </c>
      <c r="B1090" s="8" t="s">
        <v>1371</v>
      </c>
      <c r="C1090" s="8" t="s">
        <v>1365</v>
      </c>
      <c r="D1090" s="8" t="s">
        <v>1329</v>
      </c>
      <c r="E1090" s="8" t="s">
        <v>179</v>
      </c>
      <c r="F1090" s="9">
        <v>1</v>
      </c>
      <c r="G1090" s="5">
        <f>TRUNC([1]단가대비표!O1046,0)</f>
        <v>25500</v>
      </c>
      <c r="H1090" s="5">
        <f t="shared" si="90"/>
        <v>25500</v>
      </c>
      <c r="I1090" s="5">
        <v>0</v>
      </c>
      <c r="J1090" s="5">
        <f t="shared" si="91"/>
        <v>0</v>
      </c>
      <c r="K1090" s="5">
        <v>0</v>
      </c>
      <c r="L1090" s="5">
        <f t="shared" si="92"/>
        <v>0</v>
      </c>
      <c r="M1090" s="5">
        <f t="shared" si="94"/>
        <v>25500</v>
      </c>
      <c r="N1090" s="5">
        <f t="shared" si="94"/>
        <v>25500</v>
      </c>
      <c r="O1090" s="8" t="s">
        <v>20</v>
      </c>
      <c r="T1090">
        <v>0</v>
      </c>
      <c r="AC1090">
        <v>1</v>
      </c>
    </row>
    <row r="1091" spans="1:29" ht="30" customHeight="1" x14ac:dyDescent="0.3">
      <c r="A1091" s="8" t="s">
        <v>1210</v>
      </c>
      <c r="B1091" s="8" t="s">
        <v>1372</v>
      </c>
      <c r="C1091" s="8" t="s">
        <v>1365</v>
      </c>
      <c r="D1091" s="8" t="s">
        <v>1355</v>
      </c>
      <c r="E1091" s="8" t="s">
        <v>179</v>
      </c>
      <c r="F1091" s="9">
        <v>14</v>
      </c>
      <c r="G1091" s="5">
        <f>TRUNC([1]단가대비표!O1893,0)</f>
        <v>30600</v>
      </c>
      <c r="H1091" s="5">
        <f t="shared" si="90"/>
        <v>428400</v>
      </c>
      <c r="I1091" s="5">
        <v>0</v>
      </c>
      <c r="J1091" s="5">
        <f t="shared" si="91"/>
        <v>0</v>
      </c>
      <c r="K1091" s="5">
        <v>0</v>
      </c>
      <c r="L1091" s="5">
        <f t="shared" si="92"/>
        <v>0</v>
      </c>
      <c r="M1091" s="5">
        <f t="shared" si="94"/>
        <v>30600</v>
      </c>
      <c r="N1091" s="5">
        <f t="shared" si="94"/>
        <v>428400</v>
      </c>
      <c r="O1091" s="8" t="s">
        <v>20</v>
      </c>
      <c r="T1091">
        <v>0</v>
      </c>
      <c r="AC1091">
        <v>1</v>
      </c>
    </row>
    <row r="1092" spans="1:29" ht="30" customHeight="1" x14ac:dyDescent="0.3">
      <c r="A1092" s="8" t="s">
        <v>1210</v>
      </c>
      <c r="B1092" s="8" t="s">
        <v>1373</v>
      </c>
      <c r="C1092" s="8" t="s">
        <v>1365</v>
      </c>
      <c r="D1092" s="8" t="s">
        <v>1331</v>
      </c>
      <c r="E1092" s="8" t="s">
        <v>179</v>
      </c>
      <c r="F1092" s="9">
        <v>2</v>
      </c>
      <c r="G1092" s="5">
        <f>TRUNC([1]단가대비표!O925,0)</f>
        <v>35700</v>
      </c>
      <c r="H1092" s="5">
        <f t="shared" si="90"/>
        <v>71400</v>
      </c>
      <c r="I1092" s="5">
        <v>0</v>
      </c>
      <c r="J1092" s="5">
        <f t="shared" si="91"/>
        <v>0</v>
      </c>
      <c r="K1092" s="5">
        <v>0</v>
      </c>
      <c r="L1092" s="5">
        <f t="shared" si="92"/>
        <v>0</v>
      </c>
      <c r="M1092" s="5">
        <f t="shared" si="94"/>
        <v>35700</v>
      </c>
      <c r="N1092" s="5">
        <f t="shared" si="94"/>
        <v>71400</v>
      </c>
      <c r="O1092" s="8" t="s">
        <v>20</v>
      </c>
      <c r="T1092">
        <v>0</v>
      </c>
      <c r="AC1092">
        <v>1</v>
      </c>
    </row>
    <row r="1093" spans="1:29" ht="30" customHeight="1" x14ac:dyDescent="0.3">
      <c r="A1093" s="8" t="s">
        <v>1210</v>
      </c>
      <c r="B1093" s="8" t="s">
        <v>1374</v>
      </c>
      <c r="C1093" s="8" t="s">
        <v>1365</v>
      </c>
      <c r="D1093" s="8" t="s">
        <v>1333</v>
      </c>
      <c r="E1093" s="8" t="s">
        <v>179</v>
      </c>
      <c r="F1093" s="9">
        <v>5</v>
      </c>
      <c r="G1093" s="5">
        <f>TRUNC([1]단가대비표!O926,0)</f>
        <v>47600</v>
      </c>
      <c r="H1093" s="5">
        <f t="shared" si="90"/>
        <v>238000</v>
      </c>
      <c r="I1093" s="5">
        <v>0</v>
      </c>
      <c r="J1093" s="5">
        <f t="shared" si="91"/>
        <v>0</v>
      </c>
      <c r="K1093" s="5">
        <v>0</v>
      </c>
      <c r="L1093" s="5">
        <f t="shared" si="92"/>
        <v>0</v>
      </c>
      <c r="M1093" s="5">
        <f t="shared" si="94"/>
        <v>47600</v>
      </c>
      <c r="N1093" s="5">
        <f t="shared" si="94"/>
        <v>238000</v>
      </c>
      <c r="O1093" s="8" t="s">
        <v>20</v>
      </c>
      <c r="T1093">
        <v>0</v>
      </c>
      <c r="AC1093">
        <v>1</v>
      </c>
    </row>
    <row r="1094" spans="1:29" ht="30" customHeight="1" x14ac:dyDescent="0.3">
      <c r="A1094" s="8" t="s">
        <v>1210</v>
      </c>
      <c r="B1094" s="8" t="s">
        <v>1375</v>
      </c>
      <c r="C1094" s="8" t="s">
        <v>1365</v>
      </c>
      <c r="D1094" s="8" t="s">
        <v>1335</v>
      </c>
      <c r="E1094" s="8" t="s">
        <v>179</v>
      </c>
      <c r="F1094" s="9">
        <v>3</v>
      </c>
      <c r="G1094" s="5">
        <f>TRUNC([1]단가대비표!O1047,0)</f>
        <v>47600</v>
      </c>
      <c r="H1094" s="5">
        <f t="shared" si="90"/>
        <v>142800</v>
      </c>
      <c r="I1094" s="5">
        <v>0</v>
      </c>
      <c r="J1094" s="5">
        <f t="shared" si="91"/>
        <v>0</v>
      </c>
      <c r="K1094" s="5">
        <v>0</v>
      </c>
      <c r="L1094" s="5">
        <f t="shared" si="92"/>
        <v>0</v>
      </c>
      <c r="M1094" s="5">
        <f t="shared" si="94"/>
        <v>47600</v>
      </c>
      <c r="N1094" s="5">
        <f t="shared" si="94"/>
        <v>142800</v>
      </c>
      <c r="O1094" s="8" t="s">
        <v>20</v>
      </c>
      <c r="T1094">
        <v>0</v>
      </c>
      <c r="AC1094">
        <v>1</v>
      </c>
    </row>
    <row r="1095" spans="1:29" ht="30" customHeight="1" x14ac:dyDescent="0.3">
      <c r="A1095" s="8" t="s">
        <v>1210</v>
      </c>
      <c r="B1095" s="8" t="s">
        <v>1376</v>
      </c>
      <c r="C1095" s="8" t="s">
        <v>1365</v>
      </c>
      <c r="D1095" s="8" t="s">
        <v>1377</v>
      </c>
      <c r="E1095" s="8" t="s">
        <v>179</v>
      </c>
      <c r="F1095" s="9">
        <v>8</v>
      </c>
      <c r="G1095" s="5">
        <f>TRUNC([1]단가대비표!O1894,0)</f>
        <v>54400</v>
      </c>
      <c r="H1095" s="5">
        <f t="shared" si="90"/>
        <v>435200</v>
      </c>
      <c r="I1095" s="5">
        <v>0</v>
      </c>
      <c r="J1095" s="5">
        <f t="shared" si="91"/>
        <v>0</v>
      </c>
      <c r="K1095" s="5">
        <v>0</v>
      </c>
      <c r="L1095" s="5">
        <f t="shared" si="92"/>
        <v>0</v>
      </c>
      <c r="M1095" s="5">
        <f t="shared" si="94"/>
        <v>54400</v>
      </c>
      <c r="N1095" s="5">
        <f t="shared" si="94"/>
        <v>435200</v>
      </c>
      <c r="O1095" s="8" t="s">
        <v>20</v>
      </c>
      <c r="T1095">
        <v>0</v>
      </c>
      <c r="AC1095">
        <v>1</v>
      </c>
    </row>
    <row r="1096" spans="1:29" ht="30" customHeight="1" x14ac:dyDescent="0.3">
      <c r="A1096" s="8" t="s">
        <v>1210</v>
      </c>
      <c r="B1096" s="8" t="s">
        <v>1378</v>
      </c>
      <c r="C1096" s="8" t="s">
        <v>1365</v>
      </c>
      <c r="D1096" s="8" t="s">
        <v>1337</v>
      </c>
      <c r="E1096" s="8" t="s">
        <v>179</v>
      </c>
      <c r="F1096" s="9">
        <v>4</v>
      </c>
      <c r="G1096" s="5">
        <f>TRUNC([1]단가대비표!O1048,0)</f>
        <v>61200</v>
      </c>
      <c r="H1096" s="5">
        <f t="shared" si="90"/>
        <v>244800</v>
      </c>
      <c r="I1096" s="5">
        <v>0</v>
      </c>
      <c r="J1096" s="5">
        <f t="shared" si="91"/>
        <v>0</v>
      </c>
      <c r="K1096" s="5">
        <v>0</v>
      </c>
      <c r="L1096" s="5">
        <f t="shared" si="92"/>
        <v>0</v>
      </c>
      <c r="M1096" s="5">
        <f t="shared" si="94"/>
        <v>61200</v>
      </c>
      <c r="N1096" s="5">
        <f t="shared" si="94"/>
        <v>244800</v>
      </c>
      <c r="O1096" s="8" t="s">
        <v>20</v>
      </c>
      <c r="T1096">
        <v>0</v>
      </c>
      <c r="AC1096">
        <v>1</v>
      </c>
    </row>
    <row r="1097" spans="1:29" ht="30" customHeight="1" x14ac:dyDescent="0.3">
      <c r="A1097" s="8" t="s">
        <v>1210</v>
      </c>
      <c r="B1097" s="8" t="s">
        <v>1379</v>
      </c>
      <c r="C1097" s="8" t="s">
        <v>1380</v>
      </c>
      <c r="D1097" s="8" t="s">
        <v>1381</v>
      </c>
      <c r="E1097" s="8" t="s">
        <v>179</v>
      </c>
      <c r="F1097" s="9">
        <v>4</v>
      </c>
      <c r="G1097" s="5">
        <f>TRUNC([1]단가대비표!O1066,0)</f>
        <v>260000</v>
      </c>
      <c r="H1097" s="5">
        <f t="shared" si="90"/>
        <v>1040000</v>
      </c>
      <c r="I1097" s="5">
        <v>0</v>
      </c>
      <c r="J1097" s="5">
        <f t="shared" si="91"/>
        <v>0</v>
      </c>
      <c r="K1097" s="5">
        <v>0</v>
      </c>
      <c r="L1097" s="5">
        <f t="shared" si="92"/>
        <v>0</v>
      </c>
      <c r="M1097" s="5">
        <f t="shared" si="94"/>
        <v>260000</v>
      </c>
      <c r="N1097" s="5">
        <f t="shared" si="94"/>
        <v>1040000</v>
      </c>
      <c r="O1097" s="8" t="s">
        <v>20</v>
      </c>
      <c r="T1097">
        <v>0</v>
      </c>
      <c r="AC1097">
        <v>1</v>
      </c>
    </row>
    <row r="1098" spans="1:29" ht="30" customHeight="1" x14ac:dyDescent="0.3">
      <c r="A1098" s="8" t="s">
        <v>1210</v>
      </c>
      <c r="B1098" s="8" t="s">
        <v>1382</v>
      </c>
      <c r="C1098" s="8" t="s">
        <v>1383</v>
      </c>
      <c r="D1098" s="8" t="s">
        <v>1359</v>
      </c>
      <c r="E1098" s="8" t="s">
        <v>179</v>
      </c>
      <c r="F1098" s="9">
        <v>3</v>
      </c>
      <c r="G1098" s="5">
        <f>TRUNC([1]단가대비표!O1925,0)</f>
        <v>54000</v>
      </c>
      <c r="H1098" s="5">
        <f t="shared" si="90"/>
        <v>162000</v>
      </c>
      <c r="I1098" s="5">
        <v>0</v>
      </c>
      <c r="J1098" s="5">
        <f t="shared" si="91"/>
        <v>0</v>
      </c>
      <c r="K1098" s="5">
        <v>0</v>
      </c>
      <c r="L1098" s="5">
        <f t="shared" si="92"/>
        <v>0</v>
      </c>
      <c r="M1098" s="5">
        <f t="shared" si="94"/>
        <v>54000</v>
      </c>
      <c r="N1098" s="5">
        <f t="shared" si="94"/>
        <v>162000</v>
      </c>
      <c r="O1098" s="8" t="s">
        <v>20</v>
      </c>
      <c r="T1098">
        <v>0</v>
      </c>
      <c r="AC1098">
        <v>1</v>
      </c>
    </row>
    <row r="1099" spans="1:29" ht="30" customHeight="1" x14ac:dyDescent="0.3">
      <c r="A1099" s="8" t="s">
        <v>1210</v>
      </c>
      <c r="B1099" s="8" t="s">
        <v>1384</v>
      </c>
      <c r="C1099" s="8" t="s">
        <v>1385</v>
      </c>
      <c r="D1099" s="8" t="s">
        <v>1386</v>
      </c>
      <c r="E1099" s="8" t="s">
        <v>179</v>
      </c>
      <c r="F1099" s="9">
        <v>25</v>
      </c>
      <c r="G1099" s="5">
        <f>TRUNC([1]단가대비표!O927,0)</f>
        <v>5000</v>
      </c>
      <c r="H1099" s="5">
        <f t="shared" si="90"/>
        <v>125000</v>
      </c>
      <c r="I1099" s="5">
        <v>0</v>
      </c>
      <c r="J1099" s="5">
        <f t="shared" si="91"/>
        <v>0</v>
      </c>
      <c r="K1099" s="5">
        <v>0</v>
      </c>
      <c r="L1099" s="5">
        <f t="shared" si="92"/>
        <v>0</v>
      </c>
      <c r="M1099" s="5">
        <f t="shared" si="94"/>
        <v>5000</v>
      </c>
      <c r="N1099" s="5">
        <f t="shared" si="94"/>
        <v>125000</v>
      </c>
      <c r="O1099" s="8" t="s">
        <v>20</v>
      </c>
      <c r="T1099">
        <v>0</v>
      </c>
      <c r="AC1099">
        <v>1</v>
      </c>
    </row>
    <row r="1100" spans="1:29" ht="30" customHeight="1" x14ac:dyDescent="0.3">
      <c r="A1100" s="8" t="s">
        <v>1210</v>
      </c>
      <c r="B1100" s="8" t="s">
        <v>1387</v>
      </c>
      <c r="C1100" s="8" t="s">
        <v>1385</v>
      </c>
      <c r="D1100" s="8" t="s">
        <v>1388</v>
      </c>
      <c r="E1100" s="8" t="s">
        <v>179</v>
      </c>
      <c r="F1100" s="9">
        <v>3</v>
      </c>
      <c r="G1100" s="5">
        <f>TRUNC([1]단가대비표!O928,0)</f>
        <v>5000</v>
      </c>
      <c r="H1100" s="5">
        <f t="shared" si="90"/>
        <v>15000</v>
      </c>
      <c r="I1100" s="5">
        <v>0</v>
      </c>
      <c r="J1100" s="5">
        <f t="shared" si="91"/>
        <v>0</v>
      </c>
      <c r="K1100" s="5">
        <v>0</v>
      </c>
      <c r="L1100" s="5">
        <f t="shared" si="92"/>
        <v>0</v>
      </c>
      <c r="M1100" s="5">
        <f t="shared" si="94"/>
        <v>5000</v>
      </c>
      <c r="N1100" s="5">
        <f t="shared" si="94"/>
        <v>15000</v>
      </c>
      <c r="O1100" s="8" t="s">
        <v>20</v>
      </c>
      <c r="T1100">
        <v>0</v>
      </c>
      <c r="AC1100">
        <v>1</v>
      </c>
    </row>
    <row r="1101" spans="1:29" ht="30" customHeight="1" x14ac:dyDescent="0.3">
      <c r="A1101" s="8" t="s">
        <v>1210</v>
      </c>
      <c r="B1101" s="8" t="s">
        <v>1389</v>
      </c>
      <c r="C1101" s="8" t="s">
        <v>1385</v>
      </c>
      <c r="D1101" s="8" t="s">
        <v>1390</v>
      </c>
      <c r="E1101" s="8" t="s">
        <v>179</v>
      </c>
      <c r="F1101" s="9">
        <v>3</v>
      </c>
      <c r="G1101" s="5">
        <f>TRUNC([1]단가대비표!O929,0)</f>
        <v>5000</v>
      </c>
      <c r="H1101" s="5">
        <f t="shared" si="90"/>
        <v>15000</v>
      </c>
      <c r="I1101" s="5">
        <v>0</v>
      </c>
      <c r="J1101" s="5">
        <f t="shared" si="91"/>
        <v>0</v>
      </c>
      <c r="K1101" s="5">
        <v>0</v>
      </c>
      <c r="L1101" s="5">
        <f t="shared" si="92"/>
        <v>0</v>
      </c>
      <c r="M1101" s="5">
        <f t="shared" si="94"/>
        <v>5000</v>
      </c>
      <c r="N1101" s="5">
        <f t="shared" si="94"/>
        <v>15000</v>
      </c>
      <c r="O1101" s="8" t="s">
        <v>20</v>
      </c>
      <c r="T1101">
        <v>0</v>
      </c>
      <c r="AC1101">
        <v>1</v>
      </c>
    </row>
    <row r="1102" spans="1:29" ht="30" customHeight="1" x14ac:dyDescent="0.3">
      <c r="A1102" s="8" t="s">
        <v>1210</v>
      </c>
      <c r="B1102" s="8" t="s">
        <v>1391</v>
      </c>
      <c r="C1102" s="8" t="s">
        <v>1385</v>
      </c>
      <c r="D1102" s="8" t="s">
        <v>1392</v>
      </c>
      <c r="E1102" s="8" t="s">
        <v>179</v>
      </c>
      <c r="F1102" s="9">
        <v>8</v>
      </c>
      <c r="G1102" s="5">
        <f>TRUNC([1]단가대비표!O930,0)</f>
        <v>5500</v>
      </c>
      <c r="H1102" s="5">
        <f t="shared" si="90"/>
        <v>44000</v>
      </c>
      <c r="I1102" s="5">
        <v>0</v>
      </c>
      <c r="J1102" s="5">
        <f t="shared" si="91"/>
        <v>0</v>
      </c>
      <c r="K1102" s="5">
        <v>0</v>
      </c>
      <c r="L1102" s="5">
        <f t="shared" si="92"/>
        <v>0</v>
      </c>
      <c r="M1102" s="5">
        <f t="shared" si="94"/>
        <v>5500</v>
      </c>
      <c r="N1102" s="5">
        <f t="shared" si="94"/>
        <v>44000</v>
      </c>
      <c r="O1102" s="8" t="s">
        <v>20</v>
      </c>
      <c r="T1102">
        <v>0</v>
      </c>
      <c r="AC1102">
        <v>1</v>
      </c>
    </row>
    <row r="1103" spans="1:29" ht="30" customHeight="1" x14ac:dyDescent="0.3">
      <c r="A1103" s="8" t="s">
        <v>1210</v>
      </c>
      <c r="B1103" s="8" t="s">
        <v>1393</v>
      </c>
      <c r="C1103" s="8" t="s">
        <v>1385</v>
      </c>
      <c r="D1103" s="8" t="s">
        <v>1320</v>
      </c>
      <c r="E1103" s="8" t="s">
        <v>179</v>
      </c>
      <c r="F1103" s="9">
        <v>7</v>
      </c>
      <c r="G1103" s="5">
        <f>TRUNC([1]단가대비표!O931,0)</f>
        <v>6875</v>
      </c>
      <c r="H1103" s="5">
        <f t="shared" si="90"/>
        <v>48125</v>
      </c>
      <c r="I1103" s="5">
        <v>0</v>
      </c>
      <c r="J1103" s="5">
        <f t="shared" si="91"/>
        <v>0</v>
      </c>
      <c r="K1103" s="5">
        <v>0</v>
      </c>
      <c r="L1103" s="5">
        <f t="shared" si="92"/>
        <v>0</v>
      </c>
      <c r="M1103" s="5">
        <f t="shared" si="94"/>
        <v>6875</v>
      </c>
      <c r="N1103" s="5">
        <f t="shared" si="94"/>
        <v>48125</v>
      </c>
      <c r="O1103" s="8" t="s">
        <v>20</v>
      </c>
      <c r="T1103">
        <v>0</v>
      </c>
      <c r="AC1103">
        <v>1</v>
      </c>
    </row>
    <row r="1104" spans="1:29" ht="30" customHeight="1" x14ac:dyDescent="0.3">
      <c r="A1104" s="8" t="s">
        <v>1210</v>
      </c>
      <c r="B1104" s="8" t="s">
        <v>1394</v>
      </c>
      <c r="C1104" s="8" t="s">
        <v>1385</v>
      </c>
      <c r="D1104" s="8" t="s">
        <v>1395</v>
      </c>
      <c r="E1104" s="8" t="s">
        <v>179</v>
      </c>
      <c r="F1104" s="9">
        <v>2</v>
      </c>
      <c r="G1104" s="5">
        <f>TRUNC([1]단가대비표!O932,0)</f>
        <v>6600</v>
      </c>
      <c r="H1104" s="5">
        <f t="shared" si="90"/>
        <v>13200</v>
      </c>
      <c r="I1104" s="5">
        <v>0</v>
      </c>
      <c r="J1104" s="5">
        <f t="shared" si="91"/>
        <v>0</v>
      </c>
      <c r="K1104" s="5">
        <v>0</v>
      </c>
      <c r="L1104" s="5">
        <f t="shared" si="92"/>
        <v>0</v>
      </c>
      <c r="M1104" s="5">
        <f t="shared" si="94"/>
        <v>6600</v>
      </c>
      <c r="N1104" s="5">
        <f t="shared" si="94"/>
        <v>13200</v>
      </c>
      <c r="O1104" s="8" t="s">
        <v>20</v>
      </c>
      <c r="T1104">
        <v>0</v>
      </c>
      <c r="AC1104">
        <v>1</v>
      </c>
    </row>
    <row r="1105" spans="1:29" ht="30" customHeight="1" x14ac:dyDescent="0.3">
      <c r="A1105" s="8" t="s">
        <v>1210</v>
      </c>
      <c r="B1105" s="8" t="s">
        <v>1396</v>
      </c>
      <c r="C1105" s="8" t="s">
        <v>1385</v>
      </c>
      <c r="D1105" s="8" t="s">
        <v>1397</v>
      </c>
      <c r="E1105" s="8" t="s">
        <v>179</v>
      </c>
      <c r="F1105" s="9">
        <v>1</v>
      </c>
      <c r="G1105" s="5">
        <f>TRUNC([1]단가대비표!O933,0)</f>
        <v>8250</v>
      </c>
      <c r="H1105" s="5">
        <f t="shared" si="90"/>
        <v>8250</v>
      </c>
      <c r="I1105" s="5">
        <v>0</v>
      </c>
      <c r="J1105" s="5">
        <f t="shared" si="91"/>
        <v>0</v>
      </c>
      <c r="K1105" s="5">
        <v>0</v>
      </c>
      <c r="L1105" s="5">
        <f t="shared" si="92"/>
        <v>0</v>
      </c>
      <c r="M1105" s="5">
        <f t="shared" si="94"/>
        <v>8250</v>
      </c>
      <c r="N1105" s="5">
        <f t="shared" si="94"/>
        <v>8250</v>
      </c>
      <c r="O1105" s="8" t="s">
        <v>20</v>
      </c>
      <c r="T1105">
        <v>0</v>
      </c>
      <c r="AC1105">
        <v>1</v>
      </c>
    </row>
    <row r="1106" spans="1:29" ht="30" customHeight="1" x14ac:dyDescent="0.3">
      <c r="A1106" s="8" t="s">
        <v>1210</v>
      </c>
      <c r="B1106" s="8" t="s">
        <v>1398</v>
      </c>
      <c r="C1106" s="8" t="s">
        <v>1385</v>
      </c>
      <c r="D1106" s="8" t="s">
        <v>1399</v>
      </c>
      <c r="E1106" s="8" t="s">
        <v>179</v>
      </c>
      <c r="F1106" s="9">
        <v>1</v>
      </c>
      <c r="G1106" s="5">
        <f>TRUNC([1]단가대비표!O1049,0)</f>
        <v>5000</v>
      </c>
      <c r="H1106" s="5">
        <f t="shared" si="90"/>
        <v>5000</v>
      </c>
      <c r="I1106" s="5">
        <v>0</v>
      </c>
      <c r="J1106" s="5">
        <f t="shared" si="91"/>
        <v>0</v>
      </c>
      <c r="K1106" s="5">
        <v>0</v>
      </c>
      <c r="L1106" s="5">
        <f t="shared" si="92"/>
        <v>0</v>
      </c>
      <c r="M1106" s="5">
        <f t="shared" si="94"/>
        <v>5000</v>
      </c>
      <c r="N1106" s="5">
        <f t="shared" si="94"/>
        <v>5000</v>
      </c>
      <c r="O1106" s="8" t="s">
        <v>20</v>
      </c>
      <c r="T1106">
        <v>0</v>
      </c>
      <c r="AC1106">
        <v>1</v>
      </c>
    </row>
    <row r="1107" spans="1:29" ht="30" customHeight="1" x14ac:dyDescent="0.3">
      <c r="A1107" s="8" t="s">
        <v>1210</v>
      </c>
      <c r="B1107" s="8" t="s">
        <v>1400</v>
      </c>
      <c r="C1107" s="8" t="s">
        <v>1385</v>
      </c>
      <c r="D1107" s="8" t="s">
        <v>1401</v>
      </c>
      <c r="E1107" s="8" t="s">
        <v>179</v>
      </c>
      <c r="F1107" s="9">
        <v>13</v>
      </c>
      <c r="G1107" s="5">
        <f>TRUNC([1]단가대비표!O1050,0)</f>
        <v>7700</v>
      </c>
      <c r="H1107" s="5">
        <f t="shared" si="90"/>
        <v>100100</v>
      </c>
      <c r="I1107" s="5">
        <v>0</v>
      </c>
      <c r="J1107" s="5">
        <f t="shared" si="91"/>
        <v>0</v>
      </c>
      <c r="K1107" s="5">
        <v>0</v>
      </c>
      <c r="L1107" s="5">
        <f t="shared" si="92"/>
        <v>0</v>
      </c>
      <c r="M1107" s="5">
        <f t="shared" si="94"/>
        <v>7700</v>
      </c>
      <c r="N1107" s="5">
        <f t="shared" si="94"/>
        <v>100100</v>
      </c>
      <c r="O1107" s="8" t="s">
        <v>20</v>
      </c>
      <c r="T1107">
        <v>0</v>
      </c>
      <c r="AC1107">
        <v>1</v>
      </c>
    </row>
    <row r="1108" spans="1:29" ht="30" customHeight="1" x14ac:dyDescent="0.3">
      <c r="A1108" s="8" t="s">
        <v>1210</v>
      </c>
      <c r="B1108" s="8" t="s">
        <v>1402</v>
      </c>
      <c r="C1108" s="8" t="s">
        <v>1385</v>
      </c>
      <c r="D1108" s="8" t="s">
        <v>1347</v>
      </c>
      <c r="E1108" s="8" t="s">
        <v>179</v>
      </c>
      <c r="F1108" s="9">
        <v>1</v>
      </c>
      <c r="G1108" s="5">
        <f>TRUNC([1]단가대비표!O934,0)</f>
        <v>11550</v>
      </c>
      <c r="H1108" s="5">
        <f t="shared" si="90"/>
        <v>11550</v>
      </c>
      <c r="I1108" s="5">
        <v>0</v>
      </c>
      <c r="J1108" s="5">
        <f t="shared" si="91"/>
        <v>0</v>
      </c>
      <c r="K1108" s="5">
        <v>0</v>
      </c>
      <c r="L1108" s="5">
        <f t="shared" si="92"/>
        <v>0</v>
      </c>
      <c r="M1108" s="5">
        <f t="shared" si="94"/>
        <v>11550</v>
      </c>
      <c r="N1108" s="5">
        <f t="shared" si="94"/>
        <v>11550</v>
      </c>
      <c r="O1108" s="8" t="s">
        <v>20</v>
      </c>
      <c r="T1108">
        <v>0</v>
      </c>
      <c r="AC1108">
        <v>1</v>
      </c>
    </row>
    <row r="1109" spans="1:29" ht="30" customHeight="1" x14ac:dyDescent="0.3">
      <c r="A1109" s="8" t="s">
        <v>1210</v>
      </c>
      <c r="B1109" s="8" t="s">
        <v>1403</v>
      </c>
      <c r="C1109" s="8" t="s">
        <v>1385</v>
      </c>
      <c r="D1109" s="8" t="s">
        <v>1349</v>
      </c>
      <c r="E1109" s="8" t="s">
        <v>179</v>
      </c>
      <c r="F1109" s="9">
        <v>2</v>
      </c>
      <c r="G1109" s="5">
        <f>TRUNC([1]단가대비표!O1051,0)</f>
        <v>11000</v>
      </c>
      <c r="H1109" s="5">
        <f t="shared" si="90"/>
        <v>22000</v>
      </c>
      <c r="I1109" s="5">
        <v>0</v>
      </c>
      <c r="J1109" s="5">
        <f t="shared" si="91"/>
        <v>0</v>
      </c>
      <c r="K1109" s="5">
        <v>0</v>
      </c>
      <c r="L1109" s="5">
        <f t="shared" si="92"/>
        <v>0</v>
      </c>
      <c r="M1109" s="5">
        <f t="shared" si="94"/>
        <v>11000</v>
      </c>
      <c r="N1109" s="5">
        <f t="shared" si="94"/>
        <v>22000</v>
      </c>
      <c r="O1109" s="8" t="s">
        <v>20</v>
      </c>
      <c r="T1109">
        <v>0</v>
      </c>
      <c r="AC1109">
        <v>1</v>
      </c>
    </row>
    <row r="1110" spans="1:29" ht="30" customHeight="1" x14ac:dyDescent="0.3">
      <c r="A1110" s="8" t="s">
        <v>1210</v>
      </c>
      <c r="B1110" s="8" t="s">
        <v>1404</v>
      </c>
      <c r="C1110" s="8" t="s">
        <v>1385</v>
      </c>
      <c r="D1110" s="8" t="s">
        <v>1311</v>
      </c>
      <c r="E1110" s="8" t="s">
        <v>179</v>
      </c>
      <c r="F1110" s="9">
        <v>4</v>
      </c>
      <c r="G1110" s="5">
        <f>TRUNC([1]단가대비표!O935,0)</f>
        <v>13200</v>
      </c>
      <c r="H1110" s="5">
        <f t="shared" si="90"/>
        <v>52800</v>
      </c>
      <c r="I1110" s="5">
        <v>0</v>
      </c>
      <c r="J1110" s="5">
        <f t="shared" si="91"/>
        <v>0</v>
      </c>
      <c r="K1110" s="5">
        <v>0</v>
      </c>
      <c r="L1110" s="5">
        <f t="shared" si="92"/>
        <v>0</v>
      </c>
      <c r="M1110" s="5">
        <f t="shared" si="94"/>
        <v>13200</v>
      </c>
      <c r="N1110" s="5">
        <f t="shared" si="94"/>
        <v>52800</v>
      </c>
      <c r="O1110" s="8" t="s">
        <v>20</v>
      </c>
      <c r="T1110">
        <v>0</v>
      </c>
      <c r="AC1110">
        <v>1</v>
      </c>
    </row>
    <row r="1111" spans="1:29" ht="30" customHeight="1" x14ac:dyDescent="0.3">
      <c r="A1111" s="8" t="s">
        <v>1210</v>
      </c>
      <c r="B1111" s="8" t="s">
        <v>1405</v>
      </c>
      <c r="C1111" s="8" t="s">
        <v>1385</v>
      </c>
      <c r="D1111" s="8" t="s">
        <v>1406</v>
      </c>
      <c r="E1111" s="8" t="s">
        <v>179</v>
      </c>
      <c r="F1111" s="9">
        <v>4</v>
      </c>
      <c r="G1111" s="5">
        <f>TRUNC([1]단가대비표!O1926,0)</f>
        <v>6600</v>
      </c>
      <c r="H1111" s="5">
        <f t="shared" si="90"/>
        <v>26400</v>
      </c>
      <c r="I1111" s="5">
        <v>0</v>
      </c>
      <c r="J1111" s="5">
        <f t="shared" si="91"/>
        <v>0</v>
      </c>
      <c r="K1111" s="5">
        <v>0</v>
      </c>
      <c r="L1111" s="5">
        <f t="shared" si="92"/>
        <v>0</v>
      </c>
      <c r="M1111" s="5">
        <f t="shared" si="94"/>
        <v>6600</v>
      </c>
      <c r="N1111" s="5">
        <f t="shared" si="94"/>
        <v>26400</v>
      </c>
      <c r="O1111" s="8" t="s">
        <v>20</v>
      </c>
      <c r="T1111">
        <v>0</v>
      </c>
      <c r="AC1111">
        <v>1</v>
      </c>
    </row>
    <row r="1112" spans="1:29" ht="30" customHeight="1" x14ac:dyDescent="0.3">
      <c r="A1112" s="8" t="s">
        <v>1210</v>
      </c>
      <c r="B1112" s="8" t="s">
        <v>1407</v>
      </c>
      <c r="C1112" s="8" t="s">
        <v>1385</v>
      </c>
      <c r="D1112" s="8" t="s">
        <v>1408</v>
      </c>
      <c r="E1112" s="8" t="s">
        <v>179</v>
      </c>
      <c r="F1112" s="9">
        <v>2</v>
      </c>
      <c r="G1112" s="5">
        <f>TRUNC([1]단가대비표!O1052,0)</f>
        <v>9900</v>
      </c>
      <c r="H1112" s="5">
        <f t="shared" si="90"/>
        <v>19800</v>
      </c>
      <c r="I1112" s="5">
        <v>0</v>
      </c>
      <c r="J1112" s="5">
        <f t="shared" si="91"/>
        <v>0</v>
      </c>
      <c r="K1112" s="5">
        <v>0</v>
      </c>
      <c r="L1112" s="5">
        <f t="shared" si="92"/>
        <v>0</v>
      </c>
      <c r="M1112" s="5">
        <f t="shared" si="94"/>
        <v>9900</v>
      </c>
      <c r="N1112" s="5">
        <f t="shared" si="94"/>
        <v>19800</v>
      </c>
      <c r="O1112" s="8" t="s">
        <v>20</v>
      </c>
      <c r="T1112">
        <v>0</v>
      </c>
      <c r="AC1112">
        <v>1</v>
      </c>
    </row>
    <row r="1113" spans="1:29" ht="30" customHeight="1" x14ac:dyDescent="0.3">
      <c r="A1113" s="8" t="s">
        <v>1210</v>
      </c>
      <c r="B1113" s="8" t="s">
        <v>1409</v>
      </c>
      <c r="C1113" s="8" t="s">
        <v>1385</v>
      </c>
      <c r="D1113" s="8" t="s">
        <v>1410</v>
      </c>
      <c r="E1113" s="8" t="s">
        <v>179</v>
      </c>
      <c r="F1113" s="9">
        <v>5</v>
      </c>
      <c r="G1113" s="5">
        <f>TRUNC([1]단가대비표!O1053,0)</f>
        <v>12375</v>
      </c>
      <c r="H1113" s="5">
        <f t="shared" si="90"/>
        <v>61875</v>
      </c>
      <c r="I1113" s="5">
        <v>0</v>
      </c>
      <c r="J1113" s="5">
        <f t="shared" si="91"/>
        <v>0</v>
      </c>
      <c r="K1113" s="5">
        <v>0</v>
      </c>
      <c r="L1113" s="5">
        <f t="shared" si="92"/>
        <v>0</v>
      </c>
      <c r="M1113" s="5">
        <f t="shared" si="94"/>
        <v>12375</v>
      </c>
      <c r="N1113" s="5">
        <f t="shared" si="94"/>
        <v>61875</v>
      </c>
      <c r="O1113" s="8" t="s">
        <v>20</v>
      </c>
      <c r="T1113">
        <v>0</v>
      </c>
      <c r="AC1113">
        <v>1</v>
      </c>
    </row>
    <row r="1114" spans="1:29" ht="30" customHeight="1" x14ac:dyDescent="0.3">
      <c r="A1114" s="8" t="s">
        <v>1210</v>
      </c>
      <c r="B1114" s="8" t="s">
        <v>1411</v>
      </c>
      <c r="C1114" s="8" t="s">
        <v>1385</v>
      </c>
      <c r="D1114" s="8" t="s">
        <v>1324</v>
      </c>
      <c r="E1114" s="8" t="s">
        <v>179</v>
      </c>
      <c r="F1114" s="9">
        <v>7</v>
      </c>
      <c r="G1114" s="5">
        <f>TRUNC([1]단가대비표!O936,0)</f>
        <v>14850</v>
      </c>
      <c r="H1114" s="5">
        <f t="shared" si="90"/>
        <v>103950</v>
      </c>
      <c r="I1114" s="5">
        <v>0</v>
      </c>
      <c r="J1114" s="5">
        <f t="shared" si="91"/>
        <v>0</v>
      </c>
      <c r="K1114" s="5">
        <v>0</v>
      </c>
      <c r="L1114" s="5">
        <f t="shared" si="92"/>
        <v>0</v>
      </c>
      <c r="M1114" s="5">
        <f t="shared" si="94"/>
        <v>14850</v>
      </c>
      <c r="N1114" s="5">
        <f t="shared" si="94"/>
        <v>103950</v>
      </c>
      <c r="O1114" s="8" t="s">
        <v>20</v>
      </c>
      <c r="T1114">
        <v>0</v>
      </c>
      <c r="AC1114">
        <v>1</v>
      </c>
    </row>
    <row r="1115" spans="1:29" ht="30" customHeight="1" x14ac:dyDescent="0.3">
      <c r="A1115" s="8" t="s">
        <v>1210</v>
      </c>
      <c r="B1115" s="8" t="s">
        <v>1412</v>
      </c>
      <c r="C1115" s="8" t="s">
        <v>1385</v>
      </c>
      <c r="D1115" s="8" t="s">
        <v>1326</v>
      </c>
      <c r="E1115" s="8" t="s">
        <v>179</v>
      </c>
      <c r="F1115" s="9">
        <v>4</v>
      </c>
      <c r="G1115" s="5">
        <f>TRUNC([1]단가대비표!O937,0)</f>
        <v>13750</v>
      </c>
      <c r="H1115" s="5">
        <f t="shared" si="90"/>
        <v>55000</v>
      </c>
      <c r="I1115" s="5">
        <v>0</v>
      </c>
      <c r="J1115" s="5">
        <f t="shared" si="91"/>
        <v>0</v>
      </c>
      <c r="K1115" s="5">
        <v>0</v>
      </c>
      <c r="L1115" s="5">
        <f t="shared" si="92"/>
        <v>0</v>
      </c>
      <c r="M1115" s="5">
        <f t="shared" si="94"/>
        <v>13750</v>
      </c>
      <c r="N1115" s="5">
        <f t="shared" si="94"/>
        <v>55000</v>
      </c>
      <c r="O1115" s="8" t="s">
        <v>20</v>
      </c>
      <c r="T1115">
        <v>0</v>
      </c>
      <c r="AC1115">
        <v>1</v>
      </c>
    </row>
    <row r="1116" spans="1:29" ht="30" customHeight="1" x14ac:dyDescent="0.3">
      <c r="A1116" s="8" t="s">
        <v>1210</v>
      </c>
      <c r="B1116" s="8" t="s">
        <v>1413</v>
      </c>
      <c r="C1116" s="8" t="s">
        <v>1385</v>
      </c>
      <c r="D1116" s="8" t="s">
        <v>1313</v>
      </c>
      <c r="E1116" s="8" t="s">
        <v>179</v>
      </c>
      <c r="F1116" s="9">
        <v>2</v>
      </c>
      <c r="G1116" s="5">
        <f>TRUNC([1]단가대비표!O938,0)</f>
        <v>16500</v>
      </c>
      <c r="H1116" s="5">
        <f t="shared" si="90"/>
        <v>33000</v>
      </c>
      <c r="I1116" s="5">
        <v>0</v>
      </c>
      <c r="J1116" s="5">
        <f t="shared" si="91"/>
        <v>0</v>
      </c>
      <c r="K1116" s="5">
        <v>0</v>
      </c>
      <c r="L1116" s="5">
        <f t="shared" si="92"/>
        <v>0</v>
      </c>
      <c r="M1116" s="5">
        <f t="shared" si="94"/>
        <v>16500</v>
      </c>
      <c r="N1116" s="5">
        <f t="shared" si="94"/>
        <v>33000</v>
      </c>
      <c r="O1116" s="8" t="s">
        <v>20</v>
      </c>
      <c r="T1116">
        <v>0</v>
      </c>
      <c r="AC1116">
        <v>1</v>
      </c>
    </row>
    <row r="1117" spans="1:29" ht="30" customHeight="1" x14ac:dyDescent="0.3">
      <c r="A1117" s="8" t="s">
        <v>1210</v>
      </c>
      <c r="B1117" s="8" t="s">
        <v>1414</v>
      </c>
      <c r="C1117" s="8" t="s">
        <v>1385</v>
      </c>
      <c r="D1117" s="8" t="s">
        <v>1329</v>
      </c>
      <c r="E1117" s="8" t="s">
        <v>179</v>
      </c>
      <c r="F1117" s="9">
        <v>1</v>
      </c>
      <c r="G1117" s="5">
        <f>TRUNC([1]단가대비표!O1054,0)</f>
        <v>16500</v>
      </c>
      <c r="H1117" s="5">
        <f t="shared" si="90"/>
        <v>16500</v>
      </c>
      <c r="I1117" s="5">
        <v>0</v>
      </c>
      <c r="J1117" s="5">
        <f t="shared" si="91"/>
        <v>0</v>
      </c>
      <c r="K1117" s="5">
        <v>0</v>
      </c>
      <c r="L1117" s="5">
        <f t="shared" si="92"/>
        <v>0</v>
      </c>
      <c r="M1117" s="5">
        <f t="shared" si="94"/>
        <v>16500</v>
      </c>
      <c r="N1117" s="5">
        <f t="shared" si="94"/>
        <v>16500</v>
      </c>
      <c r="O1117" s="8" t="s">
        <v>20</v>
      </c>
      <c r="T1117">
        <v>0</v>
      </c>
      <c r="AC1117">
        <v>1</v>
      </c>
    </row>
    <row r="1118" spans="1:29" ht="30" customHeight="1" x14ac:dyDescent="0.3">
      <c r="A1118" s="8" t="s">
        <v>1210</v>
      </c>
      <c r="B1118" s="8" t="s">
        <v>1415</v>
      </c>
      <c r="C1118" s="8" t="s">
        <v>1385</v>
      </c>
      <c r="D1118" s="8" t="s">
        <v>1355</v>
      </c>
      <c r="E1118" s="8" t="s">
        <v>179</v>
      </c>
      <c r="F1118" s="9">
        <v>2</v>
      </c>
      <c r="G1118" s="5">
        <f>TRUNC([1]단가대비표!O1055,0)</f>
        <v>19800</v>
      </c>
      <c r="H1118" s="5">
        <f t="shared" si="90"/>
        <v>39600</v>
      </c>
      <c r="I1118" s="5">
        <v>0</v>
      </c>
      <c r="J1118" s="5">
        <f t="shared" si="91"/>
        <v>0</v>
      </c>
      <c r="K1118" s="5">
        <v>0</v>
      </c>
      <c r="L1118" s="5">
        <f t="shared" si="92"/>
        <v>0</v>
      </c>
      <c r="M1118" s="5">
        <f t="shared" si="94"/>
        <v>19800</v>
      </c>
      <c r="N1118" s="5">
        <f t="shared" si="94"/>
        <v>39600</v>
      </c>
      <c r="O1118" s="8" t="s">
        <v>20</v>
      </c>
      <c r="T1118">
        <v>0</v>
      </c>
      <c r="AC1118">
        <v>1</v>
      </c>
    </row>
    <row r="1119" spans="1:29" ht="30" customHeight="1" x14ac:dyDescent="0.3">
      <c r="A1119" s="8" t="s">
        <v>1210</v>
      </c>
      <c r="B1119" s="8" t="s">
        <v>1416</v>
      </c>
      <c r="C1119" s="8" t="s">
        <v>1385</v>
      </c>
      <c r="D1119" s="8" t="s">
        <v>1417</v>
      </c>
      <c r="E1119" s="8" t="s">
        <v>179</v>
      </c>
      <c r="F1119" s="9">
        <v>2</v>
      </c>
      <c r="G1119" s="5">
        <f>TRUNC([1]단가대비표!O1056,0)</f>
        <v>28600</v>
      </c>
      <c r="H1119" s="5">
        <f t="shared" si="90"/>
        <v>57200</v>
      </c>
      <c r="I1119" s="5">
        <v>0</v>
      </c>
      <c r="J1119" s="5">
        <f t="shared" si="91"/>
        <v>0</v>
      </c>
      <c r="K1119" s="5">
        <v>0</v>
      </c>
      <c r="L1119" s="5">
        <f t="shared" si="92"/>
        <v>0</v>
      </c>
      <c r="M1119" s="5">
        <f t="shared" si="94"/>
        <v>28600</v>
      </c>
      <c r="N1119" s="5">
        <f t="shared" si="94"/>
        <v>57200</v>
      </c>
      <c r="O1119" s="8" t="s">
        <v>20</v>
      </c>
      <c r="T1119">
        <v>0</v>
      </c>
      <c r="AC1119">
        <v>1</v>
      </c>
    </row>
    <row r="1120" spans="1:29" ht="30" customHeight="1" x14ac:dyDescent="0.3">
      <c r="A1120" s="8" t="s">
        <v>1210</v>
      </c>
      <c r="B1120" s="8" t="s">
        <v>1418</v>
      </c>
      <c r="C1120" s="8" t="s">
        <v>1385</v>
      </c>
      <c r="D1120" s="8" t="s">
        <v>1419</v>
      </c>
      <c r="E1120" s="8" t="s">
        <v>179</v>
      </c>
      <c r="F1120" s="9">
        <v>1</v>
      </c>
      <c r="G1120" s="5">
        <f>TRUNC([1]단가대비표!O1057,0)</f>
        <v>28875</v>
      </c>
      <c r="H1120" s="5">
        <f t="shared" si="90"/>
        <v>28875</v>
      </c>
      <c r="I1120" s="5">
        <v>0</v>
      </c>
      <c r="J1120" s="5">
        <f t="shared" si="91"/>
        <v>0</v>
      </c>
      <c r="K1120" s="5">
        <v>0</v>
      </c>
      <c r="L1120" s="5">
        <f t="shared" si="92"/>
        <v>0</v>
      </c>
      <c r="M1120" s="5">
        <f t="shared" si="94"/>
        <v>28875</v>
      </c>
      <c r="N1120" s="5">
        <f t="shared" si="94"/>
        <v>28875</v>
      </c>
      <c r="O1120" s="8" t="s">
        <v>20</v>
      </c>
      <c r="T1120">
        <v>0</v>
      </c>
      <c r="AC1120">
        <v>1</v>
      </c>
    </row>
    <row r="1121" spans="1:29" ht="30" customHeight="1" x14ac:dyDescent="0.3">
      <c r="A1121" s="8" t="s">
        <v>1210</v>
      </c>
      <c r="B1121" s="8" t="s">
        <v>1420</v>
      </c>
      <c r="C1121" s="8" t="s">
        <v>1385</v>
      </c>
      <c r="D1121" s="8" t="s">
        <v>1421</v>
      </c>
      <c r="E1121" s="8" t="s">
        <v>179</v>
      </c>
      <c r="F1121" s="9">
        <v>2</v>
      </c>
      <c r="G1121" s="5">
        <f>TRUNC([1]단가대비표!O1895,0)</f>
        <v>33000</v>
      </c>
      <c r="H1121" s="5">
        <f t="shared" ref="H1121:H1132" si="95">TRUNC(F1121*G1121,0)</f>
        <v>66000</v>
      </c>
      <c r="I1121" s="5">
        <v>0</v>
      </c>
      <c r="J1121" s="5">
        <f t="shared" ref="J1121:J1132" si="96">TRUNC(F1121*I1121,0)</f>
        <v>0</v>
      </c>
      <c r="K1121" s="5">
        <v>0</v>
      </c>
      <c r="L1121" s="5">
        <f t="shared" ref="L1121:L1132" si="97">TRUNC(F1121*K1121,0)</f>
        <v>0</v>
      </c>
      <c r="M1121" s="5">
        <f t="shared" ref="M1121:N1132" si="98">G1121+I1121+K1121</f>
        <v>33000</v>
      </c>
      <c r="N1121" s="5">
        <f t="shared" si="98"/>
        <v>66000</v>
      </c>
      <c r="O1121" s="8" t="s">
        <v>20</v>
      </c>
      <c r="T1121">
        <v>0</v>
      </c>
      <c r="AC1121">
        <v>1</v>
      </c>
    </row>
    <row r="1122" spans="1:29" ht="30" customHeight="1" x14ac:dyDescent="0.3">
      <c r="A1122" s="8" t="s">
        <v>1210</v>
      </c>
      <c r="B1122" s="8" t="s">
        <v>1422</v>
      </c>
      <c r="C1122" s="8" t="s">
        <v>1385</v>
      </c>
      <c r="D1122" s="8" t="s">
        <v>1423</v>
      </c>
      <c r="E1122" s="8" t="s">
        <v>179</v>
      </c>
      <c r="F1122" s="9">
        <v>2</v>
      </c>
      <c r="G1122" s="5">
        <f>TRUNC([1]단가대비표!O1058,0)</f>
        <v>46750</v>
      </c>
      <c r="H1122" s="5">
        <f t="shared" si="95"/>
        <v>93500</v>
      </c>
      <c r="I1122" s="5">
        <v>0</v>
      </c>
      <c r="J1122" s="5">
        <f t="shared" si="96"/>
        <v>0</v>
      </c>
      <c r="K1122" s="5">
        <v>0</v>
      </c>
      <c r="L1122" s="5">
        <f t="shared" si="97"/>
        <v>0</v>
      </c>
      <c r="M1122" s="5">
        <f t="shared" si="98"/>
        <v>46750</v>
      </c>
      <c r="N1122" s="5">
        <f t="shared" si="98"/>
        <v>93500</v>
      </c>
      <c r="O1122" s="8" t="s">
        <v>20</v>
      </c>
      <c r="T1122">
        <v>0</v>
      </c>
      <c r="AC1122">
        <v>1</v>
      </c>
    </row>
    <row r="1123" spans="1:29" ht="30" customHeight="1" x14ac:dyDescent="0.3">
      <c r="A1123" s="8" t="s">
        <v>1210</v>
      </c>
      <c r="B1123" s="8" t="s">
        <v>1424</v>
      </c>
      <c r="C1123" s="8" t="s">
        <v>1385</v>
      </c>
      <c r="D1123" s="8" t="s">
        <v>1425</v>
      </c>
      <c r="E1123" s="8" t="s">
        <v>179</v>
      </c>
      <c r="F1123" s="9">
        <v>2</v>
      </c>
      <c r="G1123" s="5">
        <f>TRUNC([1]단가대비표!O1059,0)</f>
        <v>44550</v>
      </c>
      <c r="H1123" s="5">
        <f t="shared" si="95"/>
        <v>89100</v>
      </c>
      <c r="I1123" s="5">
        <v>0</v>
      </c>
      <c r="J1123" s="5">
        <f t="shared" si="96"/>
        <v>0</v>
      </c>
      <c r="K1123" s="5">
        <v>0</v>
      </c>
      <c r="L1123" s="5">
        <f t="shared" si="97"/>
        <v>0</v>
      </c>
      <c r="M1123" s="5">
        <f t="shared" si="98"/>
        <v>44550</v>
      </c>
      <c r="N1123" s="5">
        <f t="shared" si="98"/>
        <v>89100</v>
      </c>
      <c r="O1123" s="8" t="s">
        <v>20</v>
      </c>
      <c r="T1123">
        <v>0</v>
      </c>
      <c r="AC1123">
        <v>1</v>
      </c>
    </row>
    <row r="1124" spans="1:29" ht="30" customHeight="1" x14ac:dyDescent="0.3">
      <c r="A1124" s="8" t="s">
        <v>1210</v>
      </c>
      <c r="B1124" s="8" t="s">
        <v>1426</v>
      </c>
      <c r="C1124" s="8" t="s">
        <v>1385</v>
      </c>
      <c r="D1124" s="8" t="s">
        <v>1359</v>
      </c>
      <c r="E1124" s="8" t="s">
        <v>179</v>
      </c>
      <c r="F1124" s="9">
        <v>1</v>
      </c>
      <c r="G1124" s="5">
        <f>TRUNC([1]단가대비표!O939,0)</f>
        <v>49500</v>
      </c>
      <c r="H1124" s="5">
        <f t="shared" si="95"/>
        <v>49500</v>
      </c>
      <c r="I1124" s="5">
        <v>0</v>
      </c>
      <c r="J1124" s="5">
        <f t="shared" si="96"/>
        <v>0</v>
      </c>
      <c r="K1124" s="5">
        <v>0</v>
      </c>
      <c r="L1124" s="5">
        <f t="shared" si="97"/>
        <v>0</v>
      </c>
      <c r="M1124" s="5">
        <f t="shared" si="98"/>
        <v>49500</v>
      </c>
      <c r="N1124" s="5">
        <f t="shared" si="98"/>
        <v>49500</v>
      </c>
      <c r="O1124" s="8" t="s">
        <v>20</v>
      </c>
      <c r="T1124">
        <v>0</v>
      </c>
      <c r="AC1124">
        <v>1</v>
      </c>
    </row>
    <row r="1125" spans="1:29" ht="30" customHeight="1" x14ac:dyDescent="0.3">
      <c r="A1125" s="8" t="s">
        <v>1210</v>
      </c>
      <c r="B1125" s="8" t="s">
        <v>1427</v>
      </c>
      <c r="C1125" s="8" t="s">
        <v>1428</v>
      </c>
      <c r="D1125" s="8" t="s">
        <v>1429</v>
      </c>
      <c r="E1125" s="8" t="s">
        <v>179</v>
      </c>
      <c r="F1125" s="9">
        <v>1</v>
      </c>
      <c r="G1125" s="5">
        <f>TRUNC([1]단가대비표!O1070,0)</f>
        <v>730000</v>
      </c>
      <c r="H1125" s="5">
        <f t="shared" si="95"/>
        <v>730000</v>
      </c>
      <c r="I1125" s="5">
        <v>0</v>
      </c>
      <c r="J1125" s="5">
        <f t="shared" si="96"/>
        <v>0</v>
      </c>
      <c r="K1125" s="5">
        <v>0</v>
      </c>
      <c r="L1125" s="5">
        <f t="shared" si="97"/>
        <v>0</v>
      </c>
      <c r="M1125" s="5">
        <f t="shared" si="98"/>
        <v>730000</v>
      </c>
      <c r="N1125" s="5">
        <f t="shared" si="98"/>
        <v>730000</v>
      </c>
      <c r="O1125" s="8" t="s">
        <v>20</v>
      </c>
      <c r="T1125">
        <v>0</v>
      </c>
      <c r="AC1125">
        <v>1</v>
      </c>
    </row>
    <row r="1126" spans="1:29" ht="30" customHeight="1" x14ac:dyDescent="0.3">
      <c r="A1126" s="8" t="s">
        <v>1210</v>
      </c>
      <c r="B1126" s="8" t="s">
        <v>1430</v>
      </c>
      <c r="C1126" s="8" t="s">
        <v>1428</v>
      </c>
      <c r="D1126" s="8" t="s">
        <v>1431</v>
      </c>
      <c r="E1126" s="8" t="s">
        <v>179</v>
      </c>
      <c r="F1126" s="9">
        <v>1</v>
      </c>
      <c r="G1126" s="5">
        <f>TRUNC([1]단가대비표!O1071,0)</f>
        <v>748000</v>
      </c>
      <c r="H1126" s="5">
        <f t="shared" si="95"/>
        <v>748000</v>
      </c>
      <c r="I1126" s="5">
        <v>0</v>
      </c>
      <c r="J1126" s="5">
        <f t="shared" si="96"/>
        <v>0</v>
      </c>
      <c r="K1126" s="5">
        <v>0</v>
      </c>
      <c r="L1126" s="5">
        <f t="shared" si="97"/>
        <v>0</v>
      </c>
      <c r="M1126" s="5">
        <f t="shared" si="98"/>
        <v>748000</v>
      </c>
      <c r="N1126" s="5">
        <f t="shared" si="98"/>
        <v>748000</v>
      </c>
      <c r="O1126" s="8" t="s">
        <v>20</v>
      </c>
      <c r="T1126">
        <v>0</v>
      </c>
      <c r="AC1126">
        <v>1</v>
      </c>
    </row>
    <row r="1127" spans="1:29" ht="30" customHeight="1" x14ac:dyDescent="0.3">
      <c r="A1127" s="8" t="s">
        <v>1210</v>
      </c>
      <c r="B1127" s="8" t="s">
        <v>1432</v>
      </c>
      <c r="C1127" s="8" t="s">
        <v>1428</v>
      </c>
      <c r="D1127" s="8" t="s">
        <v>1433</v>
      </c>
      <c r="E1127" s="8" t="s">
        <v>179</v>
      </c>
      <c r="F1127" s="9">
        <v>1</v>
      </c>
      <c r="G1127" s="5">
        <f>TRUNC([1]단가대비표!O1072,0)</f>
        <v>1010000</v>
      </c>
      <c r="H1127" s="5">
        <f t="shared" si="95"/>
        <v>1010000</v>
      </c>
      <c r="I1127" s="5">
        <v>0</v>
      </c>
      <c r="J1127" s="5">
        <f t="shared" si="96"/>
        <v>0</v>
      </c>
      <c r="K1127" s="5">
        <v>0</v>
      </c>
      <c r="L1127" s="5">
        <f t="shared" si="97"/>
        <v>0</v>
      </c>
      <c r="M1127" s="5">
        <f t="shared" si="98"/>
        <v>1010000</v>
      </c>
      <c r="N1127" s="5">
        <f t="shared" si="98"/>
        <v>1010000</v>
      </c>
      <c r="O1127" s="8" t="s">
        <v>20</v>
      </c>
      <c r="T1127">
        <v>0</v>
      </c>
      <c r="AC1127">
        <v>1</v>
      </c>
    </row>
    <row r="1128" spans="1:29" ht="30" customHeight="1" x14ac:dyDescent="0.3">
      <c r="A1128" s="8" t="s">
        <v>1210</v>
      </c>
      <c r="B1128" s="8" t="s">
        <v>1434</v>
      </c>
      <c r="C1128" s="8" t="s">
        <v>1428</v>
      </c>
      <c r="D1128" s="8" t="s">
        <v>1435</v>
      </c>
      <c r="E1128" s="8" t="s">
        <v>179</v>
      </c>
      <c r="F1128" s="9">
        <v>1</v>
      </c>
      <c r="G1128" s="5">
        <f>TRUNC([1]단가대비표!O1073,0)</f>
        <v>1263000</v>
      </c>
      <c r="H1128" s="5">
        <f t="shared" si="95"/>
        <v>1263000</v>
      </c>
      <c r="I1128" s="5">
        <v>0</v>
      </c>
      <c r="J1128" s="5">
        <f t="shared" si="96"/>
        <v>0</v>
      </c>
      <c r="K1128" s="5">
        <v>0</v>
      </c>
      <c r="L1128" s="5">
        <f t="shared" si="97"/>
        <v>0</v>
      </c>
      <c r="M1128" s="5">
        <f t="shared" si="98"/>
        <v>1263000</v>
      </c>
      <c r="N1128" s="5">
        <f t="shared" si="98"/>
        <v>1263000</v>
      </c>
      <c r="O1128" s="8" t="s">
        <v>20</v>
      </c>
      <c r="T1128">
        <v>0</v>
      </c>
      <c r="AC1128">
        <v>1</v>
      </c>
    </row>
    <row r="1129" spans="1:29" ht="30" customHeight="1" x14ac:dyDescent="0.3">
      <c r="A1129" s="8" t="s">
        <v>1210</v>
      </c>
      <c r="B1129" s="8" t="s">
        <v>1436</v>
      </c>
      <c r="C1129" s="8" t="s">
        <v>1428</v>
      </c>
      <c r="D1129" s="8" t="s">
        <v>1437</v>
      </c>
      <c r="E1129" s="8" t="s">
        <v>179</v>
      </c>
      <c r="F1129" s="9">
        <v>1</v>
      </c>
      <c r="G1129" s="5">
        <f>TRUNC([1]단가대비표!O1074,0)</f>
        <v>1665000</v>
      </c>
      <c r="H1129" s="5">
        <f t="shared" si="95"/>
        <v>1665000</v>
      </c>
      <c r="I1129" s="5">
        <v>0</v>
      </c>
      <c r="J1129" s="5">
        <f t="shared" si="96"/>
        <v>0</v>
      </c>
      <c r="K1129" s="5">
        <v>0</v>
      </c>
      <c r="L1129" s="5">
        <f t="shared" si="97"/>
        <v>0</v>
      </c>
      <c r="M1129" s="5">
        <f t="shared" si="98"/>
        <v>1665000</v>
      </c>
      <c r="N1129" s="5">
        <f t="shared" si="98"/>
        <v>1665000</v>
      </c>
      <c r="O1129" s="8" t="s">
        <v>20</v>
      </c>
      <c r="T1129">
        <v>0</v>
      </c>
      <c r="AC1129">
        <v>1</v>
      </c>
    </row>
    <row r="1130" spans="1:29" ht="30" customHeight="1" x14ac:dyDescent="0.3">
      <c r="A1130" s="8" t="s">
        <v>1210</v>
      </c>
      <c r="B1130" s="8" t="s">
        <v>152</v>
      </c>
      <c r="C1130" s="8" t="s">
        <v>153</v>
      </c>
      <c r="D1130" s="8" t="s">
        <v>154</v>
      </c>
      <c r="E1130" s="8" t="s">
        <v>155</v>
      </c>
      <c r="F1130" s="9">
        <v>2</v>
      </c>
      <c r="G1130" s="5">
        <v>0</v>
      </c>
      <c r="H1130" s="5">
        <f t="shared" si="95"/>
        <v>0</v>
      </c>
      <c r="I1130" s="5">
        <f>TRUNC([1]단가대비표!O671,0)</f>
        <v>157068</v>
      </c>
      <c r="J1130" s="5">
        <f t="shared" si="96"/>
        <v>314136</v>
      </c>
      <c r="K1130" s="5">
        <v>0</v>
      </c>
      <c r="L1130" s="5">
        <f t="shared" si="97"/>
        <v>0</v>
      </c>
      <c r="M1130" s="5">
        <f t="shared" si="98"/>
        <v>157068</v>
      </c>
      <c r="N1130" s="5">
        <f t="shared" si="98"/>
        <v>314136</v>
      </c>
      <c r="O1130" s="8" t="s">
        <v>20</v>
      </c>
      <c r="T1130">
        <v>0</v>
      </c>
      <c r="W1130">
        <v>3</v>
      </c>
      <c r="AC1130">
        <v>1</v>
      </c>
    </row>
    <row r="1131" spans="1:29" ht="30" customHeight="1" x14ac:dyDescent="0.3">
      <c r="A1131" s="8" t="s">
        <v>1210</v>
      </c>
      <c r="B1131" s="8" t="s">
        <v>1438</v>
      </c>
      <c r="C1131" s="8" t="s">
        <v>153</v>
      </c>
      <c r="D1131" s="8" t="s">
        <v>1439</v>
      </c>
      <c r="E1131" s="8" t="s">
        <v>155</v>
      </c>
      <c r="F1131" s="9">
        <v>240</v>
      </c>
      <c r="G1131" s="5">
        <v>0</v>
      </c>
      <c r="H1131" s="5">
        <f t="shared" si="95"/>
        <v>0</v>
      </c>
      <c r="I1131" s="5">
        <f>TRUNC([1]단가대비표!O666,0)</f>
        <v>198718</v>
      </c>
      <c r="J1131" s="5">
        <f t="shared" si="96"/>
        <v>47692320</v>
      </c>
      <c r="K1131" s="5">
        <v>0</v>
      </c>
      <c r="L1131" s="5">
        <f t="shared" si="97"/>
        <v>0</v>
      </c>
      <c r="M1131" s="5">
        <f t="shared" si="98"/>
        <v>198718</v>
      </c>
      <c r="N1131" s="5">
        <f t="shared" si="98"/>
        <v>47692320</v>
      </c>
      <c r="O1131" s="8" t="s">
        <v>20</v>
      </c>
      <c r="T1131">
        <v>0</v>
      </c>
      <c r="W1131">
        <v>3</v>
      </c>
      <c r="AC1131">
        <v>1</v>
      </c>
    </row>
    <row r="1132" spans="1:29" ht="30" customHeight="1" x14ac:dyDescent="0.3">
      <c r="A1132" s="8" t="s">
        <v>1210</v>
      </c>
      <c r="B1132" s="8" t="s">
        <v>158</v>
      </c>
      <c r="C1132" s="8" t="s">
        <v>159</v>
      </c>
      <c r="D1132" s="8" t="s">
        <v>160</v>
      </c>
      <c r="E1132" s="8" t="s">
        <v>161</v>
      </c>
      <c r="F1132" s="9">
        <v>1</v>
      </c>
      <c r="G1132" s="5">
        <f>ROUNDDOWN(SUMIF(W993:W1132, RIGHTB(B1132, 1), J993:J1132)*T1132, 0)</f>
        <v>960129</v>
      </c>
      <c r="H1132" s="5">
        <f t="shared" si="95"/>
        <v>960129</v>
      </c>
      <c r="I1132" s="5">
        <v>0</v>
      </c>
      <c r="J1132" s="5">
        <f t="shared" si="96"/>
        <v>0</v>
      </c>
      <c r="K1132" s="5">
        <v>0</v>
      </c>
      <c r="L1132" s="5">
        <f t="shared" si="97"/>
        <v>0</v>
      </c>
      <c r="M1132" s="5">
        <f t="shared" si="98"/>
        <v>960129</v>
      </c>
      <c r="N1132" s="5">
        <f t="shared" si="98"/>
        <v>960129</v>
      </c>
      <c r="O1132" s="8" t="s">
        <v>20</v>
      </c>
      <c r="P1132">
        <v>1132</v>
      </c>
      <c r="R1132">
        <v>1</v>
      </c>
      <c r="S1132">
        <v>0</v>
      </c>
      <c r="T1132">
        <v>0.02</v>
      </c>
      <c r="AC1132">
        <v>1</v>
      </c>
    </row>
    <row r="1133" spans="1:29" ht="30" customHeight="1" x14ac:dyDescent="0.3">
      <c r="A1133" s="5"/>
      <c r="B1133" s="5"/>
      <c r="C1133" s="5"/>
      <c r="D1133" s="5"/>
      <c r="E1133" s="5"/>
      <c r="F1133" s="9"/>
      <c r="G1133" s="5"/>
      <c r="H1133" s="5"/>
      <c r="I1133" s="5"/>
      <c r="J1133" s="5"/>
      <c r="K1133" s="5"/>
      <c r="L1133" s="5"/>
      <c r="M1133" s="5"/>
      <c r="N1133" s="5"/>
      <c r="O1133" s="5"/>
    </row>
    <row r="1134" spans="1:29" ht="30" customHeight="1" x14ac:dyDescent="0.3">
      <c r="A1134" s="5"/>
      <c r="B1134" s="5"/>
      <c r="C1134" s="5"/>
      <c r="D1134" s="5"/>
      <c r="E1134" s="5"/>
      <c r="F1134" s="9"/>
      <c r="G1134" s="5"/>
      <c r="H1134" s="5"/>
      <c r="I1134" s="5"/>
      <c r="J1134" s="5"/>
      <c r="K1134" s="5"/>
      <c r="L1134" s="5"/>
      <c r="M1134" s="5"/>
      <c r="N1134" s="5"/>
      <c r="O1134" s="5"/>
    </row>
    <row r="1135" spans="1:29" ht="30" customHeight="1" x14ac:dyDescent="0.3">
      <c r="A1135" s="5"/>
      <c r="B1135" s="5"/>
      <c r="C1135" s="5"/>
      <c r="D1135" s="5"/>
      <c r="E1135" s="5"/>
      <c r="F1135" s="9"/>
      <c r="G1135" s="5"/>
      <c r="H1135" s="5"/>
      <c r="I1135" s="5"/>
      <c r="J1135" s="5"/>
      <c r="K1135" s="5"/>
      <c r="L1135" s="5"/>
      <c r="M1135" s="5"/>
      <c r="N1135" s="5"/>
      <c r="O1135" s="5"/>
    </row>
    <row r="1136" spans="1:29" ht="30" customHeight="1" x14ac:dyDescent="0.3">
      <c r="A1136" s="5"/>
      <c r="B1136" s="5"/>
      <c r="C1136" s="5"/>
      <c r="D1136" s="5"/>
      <c r="E1136" s="5"/>
      <c r="F1136" s="9"/>
      <c r="G1136" s="5"/>
      <c r="H1136" s="5"/>
      <c r="I1136" s="5"/>
      <c r="J1136" s="5"/>
      <c r="K1136" s="5"/>
      <c r="L1136" s="5"/>
      <c r="M1136" s="5"/>
      <c r="N1136" s="5"/>
      <c r="O1136" s="5"/>
    </row>
    <row r="1137" spans="1:29" ht="30" customHeight="1" x14ac:dyDescent="0.3">
      <c r="A1137" s="5"/>
      <c r="B1137" s="5"/>
      <c r="C1137" s="5"/>
      <c r="D1137" s="5"/>
      <c r="E1137" s="5"/>
      <c r="F1137" s="9"/>
      <c r="G1137" s="5"/>
      <c r="H1137" s="5"/>
      <c r="I1137" s="5"/>
      <c r="J1137" s="5"/>
      <c r="K1137" s="5"/>
      <c r="L1137" s="5"/>
      <c r="M1137" s="5"/>
      <c r="N1137" s="5"/>
      <c r="O1137" s="5"/>
    </row>
    <row r="1138" spans="1:29" ht="30" customHeight="1" x14ac:dyDescent="0.3">
      <c r="A1138" s="5"/>
      <c r="B1138" s="5"/>
      <c r="C1138" s="5"/>
      <c r="D1138" s="5"/>
      <c r="E1138" s="5"/>
      <c r="F1138" s="9"/>
      <c r="G1138" s="5"/>
      <c r="H1138" s="5"/>
      <c r="I1138" s="5"/>
      <c r="J1138" s="5"/>
      <c r="K1138" s="5"/>
      <c r="L1138" s="5"/>
      <c r="M1138" s="5"/>
      <c r="N1138" s="5"/>
      <c r="O1138" s="5"/>
    </row>
    <row r="1139" spans="1:29" ht="30" customHeight="1" x14ac:dyDescent="0.3">
      <c r="A1139" s="5"/>
      <c r="B1139" s="5"/>
      <c r="C1139" s="5"/>
      <c r="D1139" s="5"/>
      <c r="E1139" s="5"/>
      <c r="F1139" s="9"/>
      <c r="G1139" s="5"/>
      <c r="H1139" s="5"/>
      <c r="I1139" s="5"/>
      <c r="J1139" s="5"/>
      <c r="K1139" s="5"/>
      <c r="L1139" s="5"/>
      <c r="M1139" s="5"/>
      <c r="N1139" s="5"/>
      <c r="O1139" s="5"/>
    </row>
    <row r="1140" spans="1:29" ht="30" customHeight="1" x14ac:dyDescent="0.3">
      <c r="A1140" s="5"/>
      <c r="B1140" s="5"/>
      <c r="C1140" s="5"/>
      <c r="D1140" s="5"/>
      <c r="E1140" s="5"/>
      <c r="F1140" s="9"/>
      <c r="G1140" s="5"/>
      <c r="H1140" s="5"/>
      <c r="I1140" s="5"/>
      <c r="J1140" s="5"/>
      <c r="K1140" s="5"/>
      <c r="L1140" s="5"/>
      <c r="M1140" s="5"/>
      <c r="N1140" s="5"/>
      <c r="O1140" s="5"/>
    </row>
    <row r="1141" spans="1:29" ht="30" customHeight="1" x14ac:dyDescent="0.3">
      <c r="A1141" s="5"/>
      <c r="B1141" s="5"/>
      <c r="C1141" s="5"/>
      <c r="D1141" s="5"/>
      <c r="E1141" s="5"/>
      <c r="F1141" s="9"/>
      <c r="G1141" s="5"/>
      <c r="H1141" s="5"/>
      <c r="I1141" s="5"/>
      <c r="J1141" s="5"/>
      <c r="K1141" s="5"/>
      <c r="L1141" s="5"/>
      <c r="M1141" s="5"/>
      <c r="N1141" s="5"/>
      <c r="O1141" s="5"/>
    </row>
    <row r="1142" spans="1:29" ht="30" customHeight="1" x14ac:dyDescent="0.3">
      <c r="A1142" s="5"/>
      <c r="B1142" s="5"/>
      <c r="C1142" s="5"/>
      <c r="D1142" s="5"/>
      <c r="E1142" s="5"/>
      <c r="F1142" s="9"/>
      <c r="G1142" s="5"/>
      <c r="H1142" s="5"/>
      <c r="I1142" s="5"/>
      <c r="J1142" s="5"/>
      <c r="K1142" s="5"/>
      <c r="L1142" s="5"/>
      <c r="M1142" s="5"/>
      <c r="N1142" s="5"/>
      <c r="O1142" s="5"/>
    </row>
    <row r="1143" spans="1:29" ht="30" customHeight="1" x14ac:dyDescent="0.3">
      <c r="A1143" s="5"/>
      <c r="B1143" s="5"/>
      <c r="C1143" s="5"/>
      <c r="D1143" s="5"/>
      <c r="E1143" s="5"/>
      <c r="F1143" s="9"/>
      <c r="G1143" s="5"/>
      <c r="H1143" s="5"/>
      <c r="I1143" s="5"/>
      <c r="J1143" s="5"/>
      <c r="K1143" s="5"/>
      <c r="L1143" s="5"/>
      <c r="M1143" s="5"/>
      <c r="N1143" s="5"/>
      <c r="O1143" s="5"/>
    </row>
    <row r="1144" spans="1:29" ht="30" customHeight="1" x14ac:dyDescent="0.3">
      <c r="A1144" s="5"/>
      <c r="B1144" s="5"/>
      <c r="C1144" s="5"/>
      <c r="D1144" s="5"/>
      <c r="E1144" s="5"/>
      <c r="F1144" s="9"/>
      <c r="G1144" s="5"/>
      <c r="H1144" s="5"/>
      <c r="I1144" s="5"/>
      <c r="J1144" s="5"/>
      <c r="K1144" s="5"/>
      <c r="L1144" s="5"/>
      <c r="M1144" s="5"/>
      <c r="N1144" s="5"/>
      <c r="O1144" s="5"/>
    </row>
    <row r="1145" spans="1:29" ht="30" customHeight="1" x14ac:dyDescent="0.3">
      <c r="A1145" s="5"/>
      <c r="B1145" s="5"/>
      <c r="C1145" s="5"/>
      <c r="D1145" s="5"/>
      <c r="E1145" s="5"/>
      <c r="F1145" s="9"/>
      <c r="G1145" s="5"/>
      <c r="H1145" s="5"/>
      <c r="I1145" s="5"/>
      <c r="J1145" s="5"/>
      <c r="K1145" s="5"/>
      <c r="L1145" s="5"/>
      <c r="M1145" s="5"/>
      <c r="N1145" s="5"/>
      <c r="O1145" s="5"/>
    </row>
    <row r="1146" spans="1:29" ht="30" customHeight="1" x14ac:dyDescent="0.3">
      <c r="A1146" s="5"/>
      <c r="B1146" s="5"/>
      <c r="C1146" s="5"/>
      <c r="D1146" s="5"/>
      <c r="E1146" s="5"/>
      <c r="F1146" s="9"/>
      <c r="G1146" s="5"/>
      <c r="H1146" s="5"/>
      <c r="I1146" s="5"/>
      <c r="J1146" s="5"/>
      <c r="K1146" s="5"/>
      <c r="L1146" s="5"/>
      <c r="M1146" s="5"/>
      <c r="N1146" s="5"/>
      <c r="O1146" s="5"/>
    </row>
    <row r="1147" spans="1:29" ht="30" customHeight="1" x14ac:dyDescent="0.3">
      <c r="A1147" s="5"/>
      <c r="B1147" s="5"/>
      <c r="C1147" s="5" t="s">
        <v>162</v>
      </c>
      <c r="D1147" s="5"/>
      <c r="E1147" s="5"/>
      <c r="F1147" s="9"/>
      <c r="G1147" s="5"/>
      <c r="H1147" s="5" t="e">
        <f>SUMIF(AC993:AC1146, 1, H993:H1146)</f>
        <v>#REF!</v>
      </c>
      <c r="I1147" s="5"/>
      <c r="J1147" s="5" t="e">
        <f>SUMIF(AC993:AC1146, 1, J993:J1146)</f>
        <v>#REF!</v>
      </c>
      <c r="K1147" s="5"/>
      <c r="L1147" s="5" t="e">
        <f>SUMIF(AC993:AC1146, 1, L993:L1146)</f>
        <v>#REF!</v>
      </c>
      <c r="M1147" s="5"/>
      <c r="N1147" s="5" t="e">
        <f>H1147+J1147+L1147</f>
        <v>#REF!</v>
      </c>
      <c r="O1147" s="5"/>
    </row>
    <row r="1148" spans="1:29" ht="30" customHeight="1" x14ac:dyDescent="0.3">
      <c r="A1148" s="5"/>
      <c r="B1148" s="5"/>
      <c r="C1148" s="10" t="s">
        <v>1440</v>
      </c>
      <c r="D1148" s="10"/>
      <c r="E1148" s="10"/>
      <c r="F1148" s="11"/>
      <c r="G1148" s="10"/>
      <c r="H1148" s="10"/>
      <c r="I1148" s="10"/>
      <c r="J1148" s="10"/>
      <c r="K1148" s="10"/>
      <c r="L1148" s="10"/>
      <c r="M1148" s="10"/>
      <c r="N1148" s="10"/>
      <c r="O1148" s="10"/>
    </row>
    <row r="1149" spans="1:29" ht="30" customHeight="1" x14ac:dyDescent="0.3">
      <c r="A1149" s="8" t="s">
        <v>1441</v>
      </c>
      <c r="B1149" s="8" t="s">
        <v>1442</v>
      </c>
      <c r="C1149" s="8" t="s">
        <v>1443</v>
      </c>
      <c r="D1149" s="8" t="s">
        <v>1444</v>
      </c>
      <c r="E1149" s="8" t="s">
        <v>168</v>
      </c>
      <c r="F1149" s="9">
        <v>11</v>
      </c>
      <c r="G1149" s="5">
        <f>TRUNC([1]단가대비표!O137,0)</f>
        <v>1670</v>
      </c>
      <c r="H1149" s="5">
        <f t="shared" ref="H1149:H1163" si="99">TRUNC(F1149*G1149,0)</f>
        <v>18370</v>
      </c>
      <c r="I1149" s="5">
        <v>0</v>
      </c>
      <c r="J1149" s="5">
        <f t="shared" ref="J1149:J1163" si="100">TRUNC(F1149*I1149,0)</f>
        <v>0</v>
      </c>
      <c r="K1149" s="5">
        <v>0</v>
      </c>
      <c r="L1149" s="5">
        <f t="shared" ref="L1149:L1163" si="101">TRUNC(F1149*K1149,0)</f>
        <v>0</v>
      </c>
      <c r="M1149" s="5">
        <f t="shared" ref="M1149:N1163" si="102">G1149+I1149+K1149</f>
        <v>1670</v>
      </c>
      <c r="N1149" s="5">
        <f t="shared" si="102"/>
        <v>18370</v>
      </c>
      <c r="O1149" s="8" t="s">
        <v>20</v>
      </c>
      <c r="T1149">
        <v>0</v>
      </c>
      <c r="U1149">
        <v>1</v>
      </c>
      <c r="AC1149">
        <v>1</v>
      </c>
    </row>
    <row r="1150" spans="1:29" ht="30" customHeight="1" x14ac:dyDescent="0.3">
      <c r="A1150" s="8" t="s">
        <v>1441</v>
      </c>
      <c r="B1150" s="8" t="s">
        <v>173</v>
      </c>
      <c r="C1150" s="8" t="s">
        <v>174</v>
      </c>
      <c r="D1150" s="8" t="s">
        <v>175</v>
      </c>
      <c r="E1150" s="8" t="s">
        <v>161</v>
      </c>
      <c r="F1150" s="9">
        <v>1</v>
      </c>
      <c r="G1150" s="5">
        <f>ROUNDDOWN(SUMIF(U1149:U1163, RIGHTB(B1150, 1), H1149:H1163)*T1150, 0)</f>
        <v>551</v>
      </c>
      <c r="H1150" s="5">
        <f t="shared" si="99"/>
        <v>551</v>
      </c>
      <c r="I1150" s="5">
        <v>0</v>
      </c>
      <c r="J1150" s="5">
        <f t="shared" si="100"/>
        <v>0</v>
      </c>
      <c r="K1150" s="5">
        <v>0</v>
      </c>
      <c r="L1150" s="5">
        <f t="shared" si="101"/>
        <v>0</v>
      </c>
      <c r="M1150" s="5">
        <f t="shared" si="102"/>
        <v>551</v>
      </c>
      <c r="N1150" s="5">
        <f t="shared" si="102"/>
        <v>551</v>
      </c>
      <c r="O1150" s="8" t="s">
        <v>20</v>
      </c>
      <c r="P1150">
        <v>1150</v>
      </c>
      <c r="R1150">
        <v>0</v>
      </c>
      <c r="S1150">
        <v>0</v>
      </c>
      <c r="T1150">
        <v>0.03</v>
      </c>
      <c r="AC1150">
        <v>1</v>
      </c>
    </row>
    <row r="1151" spans="1:29" ht="30" customHeight="1" x14ac:dyDescent="0.3">
      <c r="A1151" s="8" t="s">
        <v>1441</v>
      </c>
      <c r="B1151" s="8" t="s">
        <v>1445</v>
      </c>
      <c r="C1151" s="8" t="s">
        <v>1446</v>
      </c>
      <c r="D1151" s="8" t="s">
        <v>1447</v>
      </c>
      <c r="E1151" s="8" t="s">
        <v>179</v>
      </c>
      <c r="F1151" s="9">
        <v>4</v>
      </c>
      <c r="G1151" s="5">
        <f>TRUNC([1]단가대비표!O468,0)</f>
        <v>12920</v>
      </c>
      <c r="H1151" s="5">
        <f t="shared" si="99"/>
        <v>51680</v>
      </c>
      <c r="I1151" s="5">
        <v>0</v>
      </c>
      <c r="J1151" s="5">
        <f t="shared" si="100"/>
        <v>0</v>
      </c>
      <c r="K1151" s="5">
        <v>0</v>
      </c>
      <c r="L1151" s="5">
        <f t="shared" si="101"/>
        <v>0</v>
      </c>
      <c r="M1151" s="5">
        <f t="shared" si="102"/>
        <v>12920</v>
      </c>
      <c r="N1151" s="5">
        <f t="shared" si="102"/>
        <v>51680</v>
      </c>
      <c r="O1151" s="8" t="s">
        <v>20</v>
      </c>
      <c r="T1151">
        <v>0</v>
      </c>
      <c r="AC1151">
        <v>1</v>
      </c>
    </row>
    <row r="1152" spans="1:29" ht="30" customHeight="1" x14ac:dyDescent="0.3">
      <c r="A1152" s="8" t="s">
        <v>1441</v>
      </c>
      <c r="B1152" s="8" t="s">
        <v>1448</v>
      </c>
      <c r="C1152" s="8" t="s">
        <v>1446</v>
      </c>
      <c r="D1152" s="8" t="s">
        <v>1449</v>
      </c>
      <c r="E1152" s="8" t="s">
        <v>179</v>
      </c>
      <c r="F1152" s="9">
        <v>2</v>
      </c>
      <c r="G1152" s="5">
        <f>TRUNC([1]단가대비표!O469,0)</f>
        <v>15830</v>
      </c>
      <c r="H1152" s="5">
        <f t="shared" si="99"/>
        <v>31660</v>
      </c>
      <c r="I1152" s="5">
        <v>0</v>
      </c>
      <c r="J1152" s="5">
        <f t="shared" si="100"/>
        <v>0</v>
      </c>
      <c r="K1152" s="5">
        <v>0</v>
      </c>
      <c r="L1152" s="5">
        <f t="shared" si="101"/>
        <v>0</v>
      </c>
      <c r="M1152" s="5">
        <f t="shared" si="102"/>
        <v>15830</v>
      </c>
      <c r="N1152" s="5">
        <f t="shared" si="102"/>
        <v>31660</v>
      </c>
      <c r="O1152" s="8" t="s">
        <v>20</v>
      </c>
      <c r="T1152">
        <v>0</v>
      </c>
      <c r="AC1152">
        <v>1</v>
      </c>
    </row>
    <row r="1153" spans="1:29" ht="30" customHeight="1" x14ac:dyDescent="0.3">
      <c r="A1153" s="8" t="s">
        <v>1441</v>
      </c>
      <c r="B1153" s="8" t="s">
        <v>1450</v>
      </c>
      <c r="C1153" s="8" t="s">
        <v>1451</v>
      </c>
      <c r="D1153" s="8" t="s">
        <v>444</v>
      </c>
      <c r="E1153" s="8" t="s">
        <v>185</v>
      </c>
      <c r="F1153" s="9">
        <v>4</v>
      </c>
      <c r="G1153" s="5" t="e">
        <f>'[2].xls].xls].xls].xls].xls].xls].xls].'!E141</f>
        <v>#REF!</v>
      </c>
      <c r="H1153" s="5" t="e">
        <f t="shared" si="99"/>
        <v>#REF!</v>
      </c>
      <c r="I1153" s="5" t="e">
        <f>'[2].xls].xls].xls].xls].xls].xls].xls].'!F141</f>
        <v>#REF!</v>
      </c>
      <c r="J1153" s="5" t="e">
        <f t="shared" si="100"/>
        <v>#REF!</v>
      </c>
      <c r="K1153" s="5" t="e">
        <f>'[2].xls].xls].xls].xls].xls].xls].xls].'!G141</f>
        <v>#REF!</v>
      </c>
      <c r="L1153" s="5" t="e">
        <f t="shared" si="101"/>
        <v>#REF!</v>
      </c>
      <c r="M1153" s="5" t="e">
        <f t="shared" si="102"/>
        <v>#REF!</v>
      </c>
      <c r="N1153" s="5" t="e">
        <f t="shared" si="102"/>
        <v>#REF!</v>
      </c>
      <c r="O1153" s="8" t="s">
        <v>1450</v>
      </c>
      <c r="T1153">
        <v>0</v>
      </c>
      <c r="AC1153">
        <v>1</v>
      </c>
    </row>
    <row r="1154" spans="1:29" ht="30" customHeight="1" x14ac:dyDescent="0.3">
      <c r="A1154" s="8" t="s">
        <v>1441</v>
      </c>
      <c r="B1154" s="8" t="s">
        <v>1452</v>
      </c>
      <c r="C1154" s="8" t="s">
        <v>1453</v>
      </c>
      <c r="D1154" s="8" t="s">
        <v>20</v>
      </c>
      <c r="E1154" s="8" t="s">
        <v>168</v>
      </c>
      <c r="F1154" s="9">
        <v>10</v>
      </c>
      <c r="G1154" s="5" t="e">
        <f>'[2].xls].xls].xls].xls].xls].xls].xls].'!E136</f>
        <v>#REF!</v>
      </c>
      <c r="H1154" s="5" t="e">
        <f t="shared" si="99"/>
        <v>#REF!</v>
      </c>
      <c r="I1154" s="5" t="e">
        <f>'[2].xls].xls].xls].xls].xls].xls].xls].'!F136</f>
        <v>#REF!</v>
      </c>
      <c r="J1154" s="5" t="e">
        <f t="shared" si="100"/>
        <v>#REF!</v>
      </c>
      <c r="K1154" s="5" t="e">
        <f>'[2].xls].xls].xls].xls].xls].xls].xls].'!G136</f>
        <v>#REF!</v>
      </c>
      <c r="L1154" s="5" t="e">
        <f t="shared" si="101"/>
        <v>#REF!</v>
      </c>
      <c r="M1154" s="5" t="e">
        <f t="shared" si="102"/>
        <v>#REF!</v>
      </c>
      <c r="N1154" s="5" t="e">
        <f t="shared" si="102"/>
        <v>#REF!</v>
      </c>
      <c r="O1154" s="8" t="s">
        <v>1452</v>
      </c>
      <c r="T1154">
        <v>0</v>
      </c>
      <c r="AC1154">
        <v>1</v>
      </c>
    </row>
    <row r="1155" spans="1:29" ht="30" customHeight="1" x14ac:dyDescent="0.3">
      <c r="A1155" s="8" t="s">
        <v>1441</v>
      </c>
      <c r="B1155" s="8" t="s">
        <v>1454</v>
      </c>
      <c r="C1155" s="8" t="s">
        <v>1455</v>
      </c>
      <c r="D1155" s="8" t="s">
        <v>20</v>
      </c>
      <c r="E1155" s="8" t="s">
        <v>168</v>
      </c>
      <c r="F1155" s="9">
        <v>20</v>
      </c>
      <c r="G1155" s="5" t="e">
        <f>'[2].xls].xls].xls].xls].xls].xls].xls].'!E137</f>
        <v>#REF!</v>
      </c>
      <c r="H1155" s="5" t="e">
        <f t="shared" si="99"/>
        <v>#REF!</v>
      </c>
      <c r="I1155" s="5" t="e">
        <f>'[2].xls].xls].xls].xls].xls].xls].xls].'!F137</f>
        <v>#REF!</v>
      </c>
      <c r="J1155" s="5" t="e">
        <f t="shared" si="100"/>
        <v>#REF!</v>
      </c>
      <c r="K1155" s="5" t="e">
        <f>'[2].xls].xls].xls].xls].xls].xls].xls].'!G137</f>
        <v>#REF!</v>
      </c>
      <c r="L1155" s="5" t="e">
        <f t="shared" si="101"/>
        <v>#REF!</v>
      </c>
      <c r="M1155" s="5" t="e">
        <f t="shared" si="102"/>
        <v>#REF!</v>
      </c>
      <c r="N1155" s="5" t="e">
        <f t="shared" si="102"/>
        <v>#REF!</v>
      </c>
      <c r="O1155" s="8" t="s">
        <v>1454</v>
      </c>
      <c r="T1155">
        <v>0</v>
      </c>
      <c r="AC1155">
        <v>1</v>
      </c>
    </row>
    <row r="1156" spans="1:29" ht="30" customHeight="1" x14ac:dyDescent="0.3">
      <c r="A1156" s="8" t="s">
        <v>1441</v>
      </c>
      <c r="B1156" s="8" t="s">
        <v>1456</v>
      </c>
      <c r="C1156" s="8" t="s">
        <v>1457</v>
      </c>
      <c r="D1156" s="8" t="s">
        <v>1458</v>
      </c>
      <c r="E1156" s="8" t="s">
        <v>1459</v>
      </c>
      <c r="F1156" s="9">
        <v>1</v>
      </c>
      <c r="G1156" s="5" t="e">
        <f>'[2].xls].xls].xls].xls].xls].xls].xls].'!E138</f>
        <v>#REF!</v>
      </c>
      <c r="H1156" s="5" t="e">
        <f t="shared" si="99"/>
        <v>#REF!</v>
      </c>
      <c r="I1156" s="5" t="e">
        <f>'[2].xls].xls].xls].xls].xls].xls].xls].'!F138</f>
        <v>#REF!</v>
      </c>
      <c r="J1156" s="5" t="e">
        <f t="shared" si="100"/>
        <v>#REF!</v>
      </c>
      <c r="K1156" s="5" t="e">
        <f>'[2].xls].xls].xls].xls].xls].xls].xls].'!G138</f>
        <v>#REF!</v>
      </c>
      <c r="L1156" s="5" t="e">
        <f t="shared" si="101"/>
        <v>#REF!</v>
      </c>
      <c r="M1156" s="5" t="e">
        <f t="shared" si="102"/>
        <v>#REF!</v>
      </c>
      <c r="N1156" s="5" t="e">
        <f t="shared" si="102"/>
        <v>#REF!</v>
      </c>
      <c r="O1156" s="8" t="s">
        <v>1456</v>
      </c>
      <c r="T1156">
        <v>0</v>
      </c>
      <c r="AC1156">
        <v>1</v>
      </c>
    </row>
    <row r="1157" spans="1:29" ht="30" customHeight="1" x14ac:dyDescent="0.3">
      <c r="A1157" s="8" t="s">
        <v>1441</v>
      </c>
      <c r="B1157" s="8" t="s">
        <v>1460</v>
      </c>
      <c r="C1157" s="8" t="s">
        <v>1461</v>
      </c>
      <c r="D1157" s="8" t="s">
        <v>1458</v>
      </c>
      <c r="E1157" s="8" t="s">
        <v>1459</v>
      </c>
      <c r="F1157" s="9">
        <v>1</v>
      </c>
      <c r="G1157" s="5" t="e">
        <f>'[2].xls].xls].xls].xls].xls].xls].xls].'!E139</f>
        <v>#REF!</v>
      </c>
      <c r="H1157" s="5" t="e">
        <f t="shared" si="99"/>
        <v>#REF!</v>
      </c>
      <c r="I1157" s="5" t="e">
        <f>'[2].xls].xls].xls].xls].xls].xls].xls].'!F139</f>
        <v>#REF!</v>
      </c>
      <c r="J1157" s="5" t="e">
        <f t="shared" si="100"/>
        <v>#REF!</v>
      </c>
      <c r="K1157" s="5" t="e">
        <f>'[2].xls].xls].xls].xls].xls].xls].xls].'!G139</f>
        <v>#REF!</v>
      </c>
      <c r="L1157" s="5" t="e">
        <f t="shared" si="101"/>
        <v>#REF!</v>
      </c>
      <c r="M1157" s="5" t="e">
        <f t="shared" si="102"/>
        <v>#REF!</v>
      </c>
      <c r="N1157" s="5" t="e">
        <f t="shared" si="102"/>
        <v>#REF!</v>
      </c>
      <c r="O1157" s="8" t="s">
        <v>1460</v>
      </c>
      <c r="T1157">
        <v>0</v>
      </c>
      <c r="AC1157">
        <v>1</v>
      </c>
    </row>
    <row r="1158" spans="1:29" ht="30" customHeight="1" x14ac:dyDescent="0.3">
      <c r="A1158" s="8" t="s">
        <v>1441</v>
      </c>
      <c r="B1158" s="8" t="s">
        <v>1462</v>
      </c>
      <c r="C1158" s="8" t="s">
        <v>1463</v>
      </c>
      <c r="D1158" s="8" t="s">
        <v>20</v>
      </c>
      <c r="E1158" s="8" t="s">
        <v>1464</v>
      </c>
      <c r="F1158" s="9">
        <v>12</v>
      </c>
      <c r="G1158" s="5" t="e">
        <f>'[2].xls].xls].xls].xls].xls].xls].xls].'!E143</f>
        <v>#REF!</v>
      </c>
      <c r="H1158" s="5" t="e">
        <f t="shared" si="99"/>
        <v>#REF!</v>
      </c>
      <c r="I1158" s="5" t="e">
        <f>'[2].xls].xls].xls].xls].xls].xls].xls].'!F143</f>
        <v>#REF!</v>
      </c>
      <c r="J1158" s="5" t="e">
        <f t="shared" si="100"/>
        <v>#REF!</v>
      </c>
      <c r="K1158" s="5" t="e">
        <f>'[2].xls].xls].xls].xls].xls].xls].xls].'!G143</f>
        <v>#REF!</v>
      </c>
      <c r="L1158" s="5" t="e">
        <f t="shared" si="101"/>
        <v>#REF!</v>
      </c>
      <c r="M1158" s="5" t="e">
        <f t="shared" si="102"/>
        <v>#REF!</v>
      </c>
      <c r="N1158" s="5" t="e">
        <f t="shared" si="102"/>
        <v>#REF!</v>
      </c>
      <c r="O1158" s="8" t="s">
        <v>1462</v>
      </c>
      <c r="T1158">
        <v>0</v>
      </c>
      <c r="AC1158">
        <v>1</v>
      </c>
    </row>
    <row r="1159" spans="1:29" ht="30" customHeight="1" x14ac:dyDescent="0.3">
      <c r="A1159" s="8" t="s">
        <v>1441</v>
      </c>
      <c r="B1159" s="8" t="s">
        <v>1465</v>
      </c>
      <c r="C1159" s="8" t="s">
        <v>1466</v>
      </c>
      <c r="D1159" s="8" t="s">
        <v>20</v>
      </c>
      <c r="E1159" s="8" t="s">
        <v>1464</v>
      </c>
      <c r="F1159" s="9">
        <v>8</v>
      </c>
      <c r="G1159" s="5" t="e">
        <f>'[2].xls].xls].xls].xls].xls].xls].xls].'!E144</f>
        <v>#REF!</v>
      </c>
      <c r="H1159" s="5" t="e">
        <f t="shared" si="99"/>
        <v>#REF!</v>
      </c>
      <c r="I1159" s="5" t="e">
        <f>'[2].xls].xls].xls].xls].xls].xls].xls].'!F144</f>
        <v>#REF!</v>
      </c>
      <c r="J1159" s="5" t="e">
        <f t="shared" si="100"/>
        <v>#REF!</v>
      </c>
      <c r="K1159" s="5" t="e">
        <f>'[2].xls].xls].xls].xls].xls].xls].xls].'!G144</f>
        <v>#REF!</v>
      </c>
      <c r="L1159" s="5" t="e">
        <f t="shared" si="101"/>
        <v>#REF!</v>
      </c>
      <c r="M1159" s="5" t="e">
        <f t="shared" si="102"/>
        <v>#REF!</v>
      </c>
      <c r="N1159" s="5" t="e">
        <f t="shared" si="102"/>
        <v>#REF!</v>
      </c>
      <c r="O1159" s="8" t="s">
        <v>1465</v>
      </c>
      <c r="T1159">
        <v>0</v>
      </c>
      <c r="AC1159">
        <v>1</v>
      </c>
    </row>
    <row r="1160" spans="1:29" ht="30" customHeight="1" x14ac:dyDescent="0.3">
      <c r="A1160" s="8" t="s">
        <v>1441</v>
      </c>
      <c r="B1160" s="8" t="s">
        <v>1467</v>
      </c>
      <c r="C1160" s="8" t="s">
        <v>1468</v>
      </c>
      <c r="D1160" s="8" t="s">
        <v>20</v>
      </c>
      <c r="E1160" s="8" t="s">
        <v>1464</v>
      </c>
      <c r="F1160" s="9">
        <v>4</v>
      </c>
      <c r="G1160" s="5" t="e">
        <f>'[2].xls].xls].xls].xls].xls].xls].xls].'!E145</f>
        <v>#REF!</v>
      </c>
      <c r="H1160" s="5" t="e">
        <f t="shared" si="99"/>
        <v>#REF!</v>
      </c>
      <c r="I1160" s="5" t="e">
        <f>'[2].xls].xls].xls].xls].xls].xls].xls].'!F145</f>
        <v>#REF!</v>
      </c>
      <c r="J1160" s="5" t="e">
        <f t="shared" si="100"/>
        <v>#REF!</v>
      </c>
      <c r="K1160" s="5" t="e">
        <f>'[2].xls].xls].xls].xls].xls].xls].xls].'!G145</f>
        <v>#REF!</v>
      </c>
      <c r="L1160" s="5" t="e">
        <f t="shared" si="101"/>
        <v>#REF!</v>
      </c>
      <c r="M1160" s="5" t="e">
        <f t="shared" si="102"/>
        <v>#REF!</v>
      </c>
      <c r="N1160" s="5" t="e">
        <f t="shared" si="102"/>
        <v>#REF!</v>
      </c>
      <c r="O1160" s="8" t="s">
        <v>1467</v>
      </c>
      <c r="T1160">
        <v>0</v>
      </c>
      <c r="AC1160">
        <v>1</v>
      </c>
    </row>
    <row r="1161" spans="1:29" ht="30" customHeight="1" x14ac:dyDescent="0.3">
      <c r="A1161" s="8" t="s">
        <v>1441</v>
      </c>
      <c r="B1161" s="8" t="s">
        <v>1469</v>
      </c>
      <c r="C1161" s="8" t="s">
        <v>1470</v>
      </c>
      <c r="D1161" s="8" t="s">
        <v>20</v>
      </c>
      <c r="E1161" s="8" t="s">
        <v>1464</v>
      </c>
      <c r="F1161" s="9">
        <v>4</v>
      </c>
      <c r="G1161" s="5" t="e">
        <f>'[2].xls].xls].xls].xls].xls].xls].xls].'!E146</f>
        <v>#REF!</v>
      </c>
      <c r="H1161" s="5" t="e">
        <f t="shared" si="99"/>
        <v>#REF!</v>
      </c>
      <c r="I1161" s="5" t="e">
        <f>'[2].xls].xls].xls].xls].xls].xls].xls].'!F146</f>
        <v>#REF!</v>
      </c>
      <c r="J1161" s="5" t="e">
        <f t="shared" si="100"/>
        <v>#REF!</v>
      </c>
      <c r="K1161" s="5" t="e">
        <f>'[2].xls].xls].xls].xls].xls].xls].xls].'!G146</f>
        <v>#REF!</v>
      </c>
      <c r="L1161" s="5" t="e">
        <f t="shared" si="101"/>
        <v>#REF!</v>
      </c>
      <c r="M1161" s="5" t="e">
        <f t="shared" si="102"/>
        <v>#REF!</v>
      </c>
      <c r="N1161" s="5" t="e">
        <f t="shared" si="102"/>
        <v>#REF!</v>
      </c>
      <c r="O1161" s="8" t="s">
        <v>1469</v>
      </c>
      <c r="T1161">
        <v>0</v>
      </c>
      <c r="AC1161">
        <v>1</v>
      </c>
    </row>
    <row r="1162" spans="1:29" ht="30" customHeight="1" x14ac:dyDescent="0.3">
      <c r="A1162" s="8" t="s">
        <v>1441</v>
      </c>
      <c r="B1162" s="8" t="s">
        <v>1471</v>
      </c>
      <c r="C1162" s="8" t="s">
        <v>1472</v>
      </c>
      <c r="D1162" s="8" t="s">
        <v>20</v>
      </c>
      <c r="E1162" s="8" t="s">
        <v>179</v>
      </c>
      <c r="F1162" s="9">
        <v>3</v>
      </c>
      <c r="G1162" s="5">
        <f>TRUNC([1]단가대비표!O740,0)</f>
        <v>2000</v>
      </c>
      <c r="H1162" s="5">
        <f t="shared" si="99"/>
        <v>6000</v>
      </c>
      <c r="I1162" s="5">
        <v>0</v>
      </c>
      <c r="J1162" s="5">
        <f t="shared" si="100"/>
        <v>0</v>
      </c>
      <c r="K1162" s="5">
        <v>0</v>
      </c>
      <c r="L1162" s="5">
        <f t="shared" si="101"/>
        <v>0</v>
      </c>
      <c r="M1162" s="5">
        <f t="shared" si="102"/>
        <v>2000</v>
      </c>
      <c r="N1162" s="5">
        <f t="shared" si="102"/>
        <v>6000</v>
      </c>
      <c r="O1162" s="8" t="s">
        <v>20</v>
      </c>
      <c r="T1162">
        <v>0</v>
      </c>
      <c r="AC1162">
        <v>1</v>
      </c>
    </row>
    <row r="1163" spans="1:29" ht="30" customHeight="1" x14ac:dyDescent="0.3">
      <c r="A1163" s="8" t="s">
        <v>1441</v>
      </c>
      <c r="B1163" s="8" t="s">
        <v>1473</v>
      </c>
      <c r="C1163" s="8" t="s">
        <v>1474</v>
      </c>
      <c r="D1163" s="8" t="s">
        <v>20</v>
      </c>
      <c r="E1163" s="8" t="s">
        <v>721</v>
      </c>
      <c r="F1163" s="9">
        <v>1</v>
      </c>
      <c r="G1163" s="5">
        <f>TRUNC([1]단가대비표!O1060,0)</f>
        <v>9180000</v>
      </c>
      <c r="H1163" s="5">
        <f t="shared" si="99"/>
        <v>9180000</v>
      </c>
      <c r="I1163" s="5">
        <v>0</v>
      </c>
      <c r="J1163" s="5">
        <f t="shared" si="100"/>
        <v>0</v>
      </c>
      <c r="K1163" s="5">
        <v>0</v>
      </c>
      <c r="L1163" s="5">
        <f t="shared" si="101"/>
        <v>0</v>
      </c>
      <c r="M1163" s="5">
        <f t="shared" si="102"/>
        <v>9180000</v>
      </c>
      <c r="N1163" s="5">
        <f t="shared" si="102"/>
        <v>9180000</v>
      </c>
      <c r="O1163" s="8" t="s">
        <v>20</v>
      </c>
      <c r="T1163">
        <v>0</v>
      </c>
      <c r="AC1163">
        <v>1</v>
      </c>
    </row>
    <row r="1164" spans="1:29" ht="30" customHeight="1" x14ac:dyDescent="0.3">
      <c r="A1164" s="5"/>
      <c r="B1164" s="5"/>
      <c r="C1164" s="5"/>
      <c r="D1164" s="5"/>
      <c r="E1164" s="5"/>
      <c r="F1164" s="9"/>
      <c r="G1164" s="5"/>
      <c r="H1164" s="5"/>
      <c r="I1164" s="5"/>
      <c r="J1164" s="5"/>
      <c r="K1164" s="5"/>
      <c r="L1164" s="5"/>
      <c r="M1164" s="5"/>
      <c r="N1164" s="5"/>
      <c r="O1164" s="5"/>
    </row>
    <row r="1165" spans="1:29" ht="30" customHeight="1" x14ac:dyDescent="0.3">
      <c r="A1165" s="5"/>
      <c r="B1165" s="5"/>
      <c r="C1165" s="5"/>
      <c r="D1165" s="5"/>
      <c r="E1165" s="5"/>
      <c r="F1165" s="9"/>
      <c r="G1165" s="5"/>
      <c r="H1165" s="5"/>
      <c r="I1165" s="5"/>
      <c r="J1165" s="5"/>
      <c r="K1165" s="5"/>
      <c r="L1165" s="5"/>
      <c r="M1165" s="5"/>
      <c r="N1165" s="5"/>
      <c r="O1165" s="5"/>
    </row>
    <row r="1166" spans="1:29" ht="30" customHeight="1" x14ac:dyDescent="0.3">
      <c r="A1166" s="5"/>
      <c r="B1166" s="5"/>
      <c r="C1166" s="5"/>
      <c r="D1166" s="5"/>
      <c r="E1166" s="5"/>
      <c r="F1166" s="9"/>
      <c r="G1166" s="5"/>
      <c r="H1166" s="5"/>
      <c r="I1166" s="5"/>
      <c r="J1166" s="5"/>
      <c r="K1166" s="5"/>
      <c r="L1166" s="5"/>
      <c r="M1166" s="5"/>
      <c r="N1166" s="5"/>
      <c r="O1166" s="5"/>
    </row>
    <row r="1167" spans="1:29" ht="30" customHeight="1" x14ac:dyDescent="0.3">
      <c r="A1167" s="5"/>
      <c r="B1167" s="5"/>
      <c r="C1167" s="5"/>
      <c r="D1167" s="5"/>
      <c r="E1167" s="5"/>
      <c r="F1167" s="9"/>
      <c r="G1167" s="5"/>
      <c r="H1167" s="5"/>
      <c r="I1167" s="5"/>
      <c r="J1167" s="5"/>
      <c r="K1167" s="5"/>
      <c r="L1167" s="5"/>
      <c r="M1167" s="5"/>
      <c r="N1167" s="5"/>
      <c r="O1167" s="5"/>
    </row>
    <row r="1168" spans="1:29" ht="30" customHeight="1" x14ac:dyDescent="0.3">
      <c r="A1168" s="5"/>
      <c r="B1168" s="5"/>
      <c r="C1168" s="5"/>
      <c r="D1168" s="5"/>
      <c r="E1168" s="5"/>
      <c r="F1168" s="9"/>
      <c r="G1168" s="5"/>
      <c r="H1168" s="5"/>
      <c r="I1168" s="5"/>
      <c r="J1168" s="5"/>
      <c r="K1168" s="5"/>
      <c r="L1168" s="5"/>
      <c r="M1168" s="5"/>
      <c r="N1168" s="5"/>
      <c r="O1168" s="5"/>
    </row>
    <row r="1169" spans="1:29" ht="30" customHeight="1" x14ac:dyDescent="0.3">
      <c r="A1169" s="5"/>
      <c r="B1169" s="5"/>
      <c r="C1169" s="5"/>
      <c r="D1169" s="5"/>
      <c r="E1169" s="5"/>
      <c r="F1169" s="9"/>
      <c r="G1169" s="5"/>
      <c r="H1169" s="5"/>
      <c r="I1169" s="5"/>
      <c r="J1169" s="5"/>
      <c r="K1169" s="5"/>
      <c r="L1169" s="5"/>
      <c r="M1169" s="5"/>
      <c r="N1169" s="5"/>
      <c r="O1169" s="5"/>
    </row>
    <row r="1170" spans="1:29" ht="30" customHeight="1" x14ac:dyDescent="0.3">
      <c r="A1170" s="5"/>
      <c r="B1170" s="5"/>
      <c r="C1170" s="5"/>
      <c r="D1170" s="5"/>
      <c r="E1170" s="5"/>
      <c r="F1170" s="9"/>
      <c r="G1170" s="5"/>
      <c r="H1170" s="5"/>
      <c r="I1170" s="5"/>
      <c r="J1170" s="5"/>
      <c r="K1170" s="5"/>
      <c r="L1170" s="5"/>
      <c r="M1170" s="5"/>
      <c r="N1170" s="5"/>
      <c r="O1170" s="5"/>
    </row>
    <row r="1171" spans="1:29" ht="30" customHeight="1" x14ac:dyDescent="0.3">
      <c r="A1171" s="5"/>
      <c r="B1171" s="5"/>
      <c r="C1171" s="5"/>
      <c r="D1171" s="5"/>
      <c r="E1171" s="5"/>
      <c r="F1171" s="9"/>
      <c r="G1171" s="5"/>
      <c r="H1171" s="5"/>
      <c r="I1171" s="5"/>
      <c r="J1171" s="5"/>
      <c r="K1171" s="5"/>
      <c r="L1171" s="5"/>
      <c r="M1171" s="5"/>
      <c r="N1171" s="5"/>
      <c r="O1171" s="5"/>
    </row>
    <row r="1172" spans="1:29" ht="30" customHeight="1" x14ac:dyDescent="0.3">
      <c r="A1172" s="5"/>
      <c r="B1172" s="5"/>
      <c r="C1172" s="5"/>
      <c r="D1172" s="5"/>
      <c r="E1172" s="5"/>
      <c r="F1172" s="9"/>
      <c r="G1172" s="5"/>
      <c r="H1172" s="5"/>
      <c r="I1172" s="5"/>
      <c r="J1172" s="5"/>
      <c r="K1172" s="5"/>
      <c r="L1172" s="5"/>
      <c r="M1172" s="5"/>
      <c r="N1172" s="5"/>
      <c r="O1172" s="5"/>
    </row>
    <row r="1173" spans="1:29" ht="30" customHeight="1" x14ac:dyDescent="0.3">
      <c r="A1173" s="5"/>
      <c r="B1173" s="5"/>
      <c r="C1173" s="5" t="s">
        <v>162</v>
      </c>
      <c r="D1173" s="5"/>
      <c r="E1173" s="5"/>
      <c r="F1173" s="9"/>
      <c r="G1173" s="5"/>
      <c r="H1173" s="5" t="e">
        <f>SUMIF(AC1149:AC1172, 1, H1149:H1172)</f>
        <v>#REF!</v>
      </c>
      <c r="I1173" s="5"/>
      <c r="J1173" s="5" t="e">
        <f>SUMIF(AC1149:AC1172, 1, J1149:J1172)</f>
        <v>#REF!</v>
      </c>
      <c r="K1173" s="5"/>
      <c r="L1173" s="5" t="e">
        <f>SUMIF(AC1149:AC1172, 1, L1149:L1172)</f>
        <v>#REF!</v>
      </c>
      <c r="M1173" s="5"/>
      <c r="N1173" s="5" t="e">
        <f>H1173+J1173+L1173</f>
        <v>#REF!</v>
      </c>
      <c r="O1173" s="5"/>
    </row>
    <row r="1174" spans="1:29" ht="30" customHeight="1" x14ac:dyDescent="0.3">
      <c r="A1174" s="5"/>
      <c r="B1174" s="5"/>
      <c r="C1174" s="10" t="s">
        <v>1475</v>
      </c>
      <c r="D1174" s="10"/>
      <c r="E1174" s="10"/>
      <c r="F1174" s="11"/>
      <c r="G1174" s="10"/>
      <c r="H1174" s="10"/>
      <c r="I1174" s="10"/>
      <c r="J1174" s="10"/>
      <c r="K1174" s="10"/>
      <c r="L1174" s="10"/>
      <c r="M1174" s="10"/>
      <c r="N1174" s="10"/>
      <c r="O1174" s="10"/>
    </row>
    <row r="1175" spans="1:29" ht="30" customHeight="1" x14ac:dyDescent="0.3">
      <c r="A1175" s="8" t="s">
        <v>1476</v>
      </c>
      <c r="B1175" s="8" t="s">
        <v>1477</v>
      </c>
      <c r="C1175" s="8" t="s">
        <v>1478</v>
      </c>
      <c r="D1175" s="8" t="s">
        <v>1479</v>
      </c>
      <c r="E1175" s="8" t="s">
        <v>168</v>
      </c>
      <c r="F1175" s="9">
        <v>27</v>
      </c>
      <c r="G1175" s="5">
        <f>TRUNC([1]단가대비표!O109,0)</f>
        <v>2770</v>
      </c>
      <c r="H1175" s="5">
        <f t="shared" ref="H1175:H1208" si="103">TRUNC(F1175*G1175,0)</f>
        <v>74790</v>
      </c>
      <c r="I1175" s="5">
        <v>0</v>
      </c>
      <c r="J1175" s="5">
        <f t="shared" ref="J1175:J1208" si="104">TRUNC(F1175*I1175,0)</f>
        <v>0</v>
      </c>
      <c r="K1175" s="5">
        <v>0</v>
      </c>
      <c r="L1175" s="5">
        <f t="shared" ref="L1175:L1208" si="105">TRUNC(F1175*K1175,0)</f>
        <v>0</v>
      </c>
      <c r="M1175" s="5">
        <f t="shared" ref="M1175:N1208" si="106">G1175+I1175+K1175</f>
        <v>2770</v>
      </c>
      <c r="N1175" s="5">
        <f t="shared" si="106"/>
        <v>74790</v>
      </c>
      <c r="O1175" s="8" t="s">
        <v>20</v>
      </c>
      <c r="T1175">
        <v>0</v>
      </c>
      <c r="U1175">
        <v>1</v>
      </c>
      <c r="AC1175">
        <v>1</v>
      </c>
    </row>
    <row r="1176" spans="1:29" ht="30" customHeight="1" x14ac:dyDescent="0.3">
      <c r="A1176" s="8" t="s">
        <v>1476</v>
      </c>
      <c r="B1176" s="8" t="s">
        <v>1480</v>
      </c>
      <c r="C1176" s="8" t="s">
        <v>1478</v>
      </c>
      <c r="D1176" s="8" t="s">
        <v>1481</v>
      </c>
      <c r="E1176" s="8" t="s">
        <v>168</v>
      </c>
      <c r="F1176" s="9">
        <v>51</v>
      </c>
      <c r="G1176" s="5">
        <f>TRUNC([1]단가대비표!O110,0)</f>
        <v>4060</v>
      </c>
      <c r="H1176" s="5">
        <f t="shared" si="103"/>
        <v>207060</v>
      </c>
      <c r="I1176" s="5">
        <v>0</v>
      </c>
      <c r="J1176" s="5">
        <f t="shared" si="104"/>
        <v>0</v>
      </c>
      <c r="K1176" s="5">
        <v>0</v>
      </c>
      <c r="L1176" s="5">
        <f t="shared" si="105"/>
        <v>0</v>
      </c>
      <c r="M1176" s="5">
        <f t="shared" si="106"/>
        <v>4060</v>
      </c>
      <c r="N1176" s="5">
        <f t="shared" si="106"/>
        <v>207060</v>
      </c>
      <c r="O1176" s="8" t="s">
        <v>20</v>
      </c>
      <c r="T1176">
        <v>0</v>
      </c>
      <c r="U1176">
        <v>1</v>
      </c>
      <c r="AC1176">
        <v>1</v>
      </c>
    </row>
    <row r="1177" spans="1:29" ht="30" customHeight="1" x14ac:dyDescent="0.3">
      <c r="A1177" s="8" t="s">
        <v>1476</v>
      </c>
      <c r="B1177" s="8" t="s">
        <v>173</v>
      </c>
      <c r="C1177" s="8" t="s">
        <v>174</v>
      </c>
      <c r="D1177" s="8" t="s">
        <v>175</v>
      </c>
      <c r="E1177" s="8" t="s">
        <v>161</v>
      </c>
      <c r="F1177" s="9">
        <v>1</v>
      </c>
      <c r="G1177" s="5">
        <f>ROUNDDOWN(SUMIF(U1175:U1208, RIGHTB(B1177, 1), H1175:H1208)*T1177, 0)</f>
        <v>8455</v>
      </c>
      <c r="H1177" s="5">
        <f t="shared" si="103"/>
        <v>8455</v>
      </c>
      <c r="I1177" s="5">
        <v>0</v>
      </c>
      <c r="J1177" s="5">
        <f t="shared" si="104"/>
        <v>0</v>
      </c>
      <c r="K1177" s="5">
        <v>0</v>
      </c>
      <c r="L1177" s="5">
        <f t="shared" si="105"/>
        <v>0</v>
      </c>
      <c r="M1177" s="5">
        <f t="shared" si="106"/>
        <v>8455</v>
      </c>
      <c r="N1177" s="5">
        <f t="shared" si="106"/>
        <v>8455</v>
      </c>
      <c r="O1177" s="8" t="s">
        <v>20</v>
      </c>
      <c r="P1177">
        <v>1177</v>
      </c>
      <c r="R1177">
        <v>0</v>
      </c>
      <c r="S1177">
        <v>0</v>
      </c>
      <c r="T1177">
        <v>0.03</v>
      </c>
      <c r="AC1177">
        <v>1</v>
      </c>
    </row>
    <row r="1178" spans="1:29" ht="30" customHeight="1" x14ac:dyDescent="0.3">
      <c r="A1178" s="8" t="s">
        <v>1476</v>
      </c>
      <c r="B1178" s="8" t="s">
        <v>1482</v>
      </c>
      <c r="C1178" s="8" t="s">
        <v>1483</v>
      </c>
      <c r="D1178" s="8" t="s">
        <v>1484</v>
      </c>
      <c r="E1178" s="8" t="s">
        <v>179</v>
      </c>
      <c r="F1178" s="9">
        <v>15</v>
      </c>
      <c r="G1178" s="5">
        <f>TRUNC([1]단가대비표!O460,0)</f>
        <v>880</v>
      </c>
      <c r="H1178" s="5">
        <f t="shared" si="103"/>
        <v>13200</v>
      </c>
      <c r="I1178" s="5">
        <v>0</v>
      </c>
      <c r="J1178" s="5">
        <f t="shared" si="104"/>
        <v>0</v>
      </c>
      <c r="K1178" s="5">
        <v>0</v>
      </c>
      <c r="L1178" s="5">
        <f t="shared" si="105"/>
        <v>0</v>
      </c>
      <c r="M1178" s="5">
        <f t="shared" si="106"/>
        <v>880</v>
      </c>
      <c r="N1178" s="5">
        <f t="shared" si="106"/>
        <v>13200</v>
      </c>
      <c r="O1178" s="8" t="s">
        <v>20</v>
      </c>
      <c r="T1178">
        <v>0</v>
      </c>
      <c r="AC1178">
        <v>1</v>
      </c>
    </row>
    <row r="1179" spans="1:29" ht="30" customHeight="1" x14ac:dyDescent="0.3">
      <c r="A1179" s="8" t="s">
        <v>1476</v>
      </c>
      <c r="B1179" s="8" t="s">
        <v>1485</v>
      </c>
      <c r="C1179" s="8" t="s">
        <v>1483</v>
      </c>
      <c r="D1179" s="8" t="s">
        <v>1486</v>
      </c>
      <c r="E1179" s="8" t="s">
        <v>179</v>
      </c>
      <c r="F1179" s="9">
        <v>9</v>
      </c>
      <c r="G1179" s="5">
        <f>TRUNC([1]단가대비표!O461,0)</f>
        <v>1420</v>
      </c>
      <c r="H1179" s="5">
        <f t="shared" si="103"/>
        <v>12780</v>
      </c>
      <c r="I1179" s="5">
        <v>0</v>
      </c>
      <c r="J1179" s="5">
        <f t="shared" si="104"/>
        <v>0</v>
      </c>
      <c r="K1179" s="5">
        <v>0</v>
      </c>
      <c r="L1179" s="5">
        <f t="shared" si="105"/>
        <v>0</v>
      </c>
      <c r="M1179" s="5">
        <f t="shared" si="106"/>
        <v>1420</v>
      </c>
      <c r="N1179" s="5">
        <f t="shared" si="106"/>
        <v>12780</v>
      </c>
      <c r="O1179" s="8" t="s">
        <v>20</v>
      </c>
      <c r="T1179">
        <v>0</v>
      </c>
      <c r="AC1179">
        <v>1</v>
      </c>
    </row>
    <row r="1180" spans="1:29" ht="30" customHeight="1" x14ac:dyDescent="0.3">
      <c r="A1180" s="8" t="s">
        <v>1476</v>
      </c>
      <c r="B1180" s="8" t="s">
        <v>1487</v>
      </c>
      <c r="C1180" s="8" t="s">
        <v>1483</v>
      </c>
      <c r="D1180" s="8" t="s">
        <v>1488</v>
      </c>
      <c r="E1180" s="8" t="s">
        <v>179</v>
      </c>
      <c r="F1180" s="9">
        <v>8</v>
      </c>
      <c r="G1180" s="5">
        <f>TRUNC([1]단가대비표!O462,0)</f>
        <v>1950</v>
      </c>
      <c r="H1180" s="5">
        <f t="shared" si="103"/>
        <v>15600</v>
      </c>
      <c r="I1180" s="5">
        <v>0</v>
      </c>
      <c r="J1180" s="5">
        <f t="shared" si="104"/>
        <v>0</v>
      </c>
      <c r="K1180" s="5">
        <v>0</v>
      </c>
      <c r="L1180" s="5">
        <f t="shared" si="105"/>
        <v>0</v>
      </c>
      <c r="M1180" s="5">
        <f t="shared" si="106"/>
        <v>1950</v>
      </c>
      <c r="N1180" s="5">
        <f t="shared" si="106"/>
        <v>15600</v>
      </c>
      <c r="O1180" s="8" t="s">
        <v>20</v>
      </c>
      <c r="T1180">
        <v>0</v>
      </c>
      <c r="AC1180">
        <v>1</v>
      </c>
    </row>
    <row r="1181" spans="1:29" ht="30" customHeight="1" x14ac:dyDescent="0.3">
      <c r="A1181" s="8" t="s">
        <v>1476</v>
      </c>
      <c r="B1181" s="8" t="s">
        <v>1489</v>
      </c>
      <c r="C1181" s="8" t="s">
        <v>1483</v>
      </c>
      <c r="D1181" s="8" t="s">
        <v>1490</v>
      </c>
      <c r="E1181" s="8" t="s">
        <v>179</v>
      </c>
      <c r="F1181" s="9">
        <v>2</v>
      </c>
      <c r="G1181" s="5">
        <f>TRUNC([1]단가대비표!O467,0)</f>
        <v>940</v>
      </c>
      <c r="H1181" s="5">
        <f t="shared" si="103"/>
        <v>1880</v>
      </c>
      <c r="I1181" s="5">
        <v>0</v>
      </c>
      <c r="J1181" s="5">
        <f t="shared" si="104"/>
        <v>0</v>
      </c>
      <c r="K1181" s="5">
        <v>0</v>
      </c>
      <c r="L1181" s="5">
        <f t="shared" si="105"/>
        <v>0</v>
      </c>
      <c r="M1181" s="5">
        <f t="shared" si="106"/>
        <v>940</v>
      </c>
      <c r="N1181" s="5">
        <f t="shared" si="106"/>
        <v>1880</v>
      </c>
      <c r="O1181" s="8" t="s">
        <v>20</v>
      </c>
      <c r="T1181">
        <v>0</v>
      </c>
      <c r="AC1181">
        <v>1</v>
      </c>
    </row>
    <row r="1182" spans="1:29" ht="30" customHeight="1" x14ac:dyDescent="0.3">
      <c r="A1182" s="8" t="s">
        <v>1476</v>
      </c>
      <c r="B1182" s="8" t="s">
        <v>1491</v>
      </c>
      <c r="C1182" s="8" t="s">
        <v>1483</v>
      </c>
      <c r="D1182" s="8" t="s">
        <v>1492</v>
      </c>
      <c r="E1182" s="8" t="s">
        <v>179</v>
      </c>
      <c r="F1182" s="9">
        <v>7</v>
      </c>
      <c r="G1182" s="5">
        <f>TRUNC([1]단가대비표!O463,0)</f>
        <v>930</v>
      </c>
      <c r="H1182" s="5">
        <f t="shared" si="103"/>
        <v>6510</v>
      </c>
      <c r="I1182" s="5">
        <v>0</v>
      </c>
      <c r="J1182" s="5">
        <f t="shared" si="104"/>
        <v>0</v>
      </c>
      <c r="K1182" s="5">
        <v>0</v>
      </c>
      <c r="L1182" s="5">
        <f t="shared" si="105"/>
        <v>0</v>
      </c>
      <c r="M1182" s="5">
        <f t="shared" si="106"/>
        <v>930</v>
      </c>
      <c r="N1182" s="5">
        <f t="shared" si="106"/>
        <v>6510</v>
      </c>
      <c r="O1182" s="8" t="s">
        <v>20</v>
      </c>
      <c r="T1182">
        <v>0</v>
      </c>
      <c r="AC1182">
        <v>1</v>
      </c>
    </row>
    <row r="1183" spans="1:29" ht="30" customHeight="1" x14ac:dyDescent="0.3">
      <c r="A1183" s="8" t="s">
        <v>1476</v>
      </c>
      <c r="B1183" s="8" t="s">
        <v>1493</v>
      </c>
      <c r="C1183" s="8" t="s">
        <v>1483</v>
      </c>
      <c r="D1183" s="8" t="s">
        <v>1494</v>
      </c>
      <c r="E1183" s="8" t="s">
        <v>179</v>
      </c>
      <c r="F1183" s="9">
        <v>1</v>
      </c>
      <c r="G1183" s="5">
        <f>TRUNC([1]단가대비표!O464,0)</f>
        <v>1310</v>
      </c>
      <c r="H1183" s="5">
        <f t="shared" si="103"/>
        <v>1310</v>
      </c>
      <c r="I1183" s="5">
        <v>0</v>
      </c>
      <c r="J1183" s="5">
        <f t="shared" si="104"/>
        <v>0</v>
      </c>
      <c r="K1183" s="5">
        <v>0</v>
      </c>
      <c r="L1183" s="5">
        <f t="shared" si="105"/>
        <v>0</v>
      </c>
      <c r="M1183" s="5">
        <f t="shared" si="106"/>
        <v>1310</v>
      </c>
      <c r="N1183" s="5">
        <f t="shared" si="106"/>
        <v>1310</v>
      </c>
      <c r="O1183" s="8" t="s">
        <v>20</v>
      </c>
      <c r="T1183">
        <v>0</v>
      </c>
      <c r="AC1183">
        <v>1</v>
      </c>
    </row>
    <row r="1184" spans="1:29" ht="30" customHeight="1" x14ac:dyDescent="0.3">
      <c r="A1184" s="8" t="s">
        <v>1476</v>
      </c>
      <c r="B1184" s="8" t="s">
        <v>1495</v>
      </c>
      <c r="C1184" s="8" t="s">
        <v>1483</v>
      </c>
      <c r="D1184" s="8" t="s">
        <v>1496</v>
      </c>
      <c r="E1184" s="8" t="s">
        <v>179</v>
      </c>
      <c r="F1184" s="9">
        <v>7</v>
      </c>
      <c r="G1184" s="5">
        <f>TRUNC([1]단가대비표!O465,0)</f>
        <v>3220</v>
      </c>
      <c r="H1184" s="5">
        <f t="shared" si="103"/>
        <v>22540</v>
      </c>
      <c r="I1184" s="5">
        <v>0</v>
      </c>
      <c r="J1184" s="5">
        <f t="shared" si="104"/>
        <v>0</v>
      </c>
      <c r="K1184" s="5">
        <v>0</v>
      </c>
      <c r="L1184" s="5">
        <f t="shared" si="105"/>
        <v>0</v>
      </c>
      <c r="M1184" s="5">
        <f t="shared" si="106"/>
        <v>3220</v>
      </c>
      <c r="N1184" s="5">
        <f t="shared" si="106"/>
        <v>22540</v>
      </c>
      <c r="O1184" s="8" t="s">
        <v>20</v>
      </c>
      <c r="T1184">
        <v>0</v>
      </c>
      <c r="AC1184">
        <v>1</v>
      </c>
    </row>
    <row r="1185" spans="1:29" ht="30" customHeight="1" x14ac:dyDescent="0.3">
      <c r="A1185" s="8" t="s">
        <v>1476</v>
      </c>
      <c r="B1185" s="8" t="s">
        <v>1497</v>
      </c>
      <c r="C1185" s="8" t="s">
        <v>1483</v>
      </c>
      <c r="D1185" s="8" t="s">
        <v>1498</v>
      </c>
      <c r="E1185" s="8" t="s">
        <v>179</v>
      </c>
      <c r="F1185" s="9">
        <v>1</v>
      </c>
      <c r="G1185" s="5">
        <f>TRUNC([1]단가대비표!O466,0)</f>
        <v>4550</v>
      </c>
      <c r="H1185" s="5">
        <f t="shared" si="103"/>
        <v>4550</v>
      </c>
      <c r="I1185" s="5">
        <v>0</v>
      </c>
      <c r="J1185" s="5">
        <f t="shared" si="104"/>
        <v>0</v>
      </c>
      <c r="K1185" s="5">
        <v>0</v>
      </c>
      <c r="L1185" s="5">
        <f t="shared" si="105"/>
        <v>0</v>
      </c>
      <c r="M1185" s="5">
        <f t="shared" si="106"/>
        <v>4550</v>
      </c>
      <c r="N1185" s="5">
        <f t="shared" si="106"/>
        <v>4550</v>
      </c>
      <c r="O1185" s="8" t="s">
        <v>20</v>
      </c>
      <c r="T1185">
        <v>0</v>
      </c>
      <c r="AC1185">
        <v>1</v>
      </c>
    </row>
    <row r="1186" spans="1:29" ht="30" customHeight="1" x14ac:dyDescent="0.3">
      <c r="A1186" s="8" t="s">
        <v>1476</v>
      </c>
      <c r="B1186" s="8" t="s">
        <v>1499</v>
      </c>
      <c r="C1186" s="8" t="s">
        <v>1500</v>
      </c>
      <c r="D1186" s="8" t="s">
        <v>484</v>
      </c>
      <c r="E1186" s="8" t="s">
        <v>185</v>
      </c>
      <c r="F1186" s="9">
        <v>58</v>
      </c>
      <c r="G1186" s="5" t="e">
        <f>'[2].xls].xls].xls].xls].xls].xls].xls].'!E23</f>
        <v>#REF!</v>
      </c>
      <c r="H1186" s="5" t="e">
        <f t="shared" si="103"/>
        <v>#REF!</v>
      </c>
      <c r="I1186" s="5" t="e">
        <f>'[2].xls].xls].xls].xls].xls].xls].xls].'!F23</f>
        <v>#REF!</v>
      </c>
      <c r="J1186" s="5" t="e">
        <f t="shared" si="104"/>
        <v>#REF!</v>
      </c>
      <c r="K1186" s="5" t="e">
        <f>'[2].xls].xls].xls].xls].xls].xls].xls].'!G23</f>
        <v>#REF!</v>
      </c>
      <c r="L1186" s="5" t="e">
        <f t="shared" si="105"/>
        <v>#REF!</v>
      </c>
      <c r="M1186" s="5" t="e">
        <f t="shared" si="106"/>
        <v>#REF!</v>
      </c>
      <c r="N1186" s="5" t="e">
        <f t="shared" si="106"/>
        <v>#REF!</v>
      </c>
      <c r="O1186" s="8" t="s">
        <v>1499</v>
      </c>
      <c r="T1186">
        <v>0</v>
      </c>
      <c r="AC1186">
        <v>1</v>
      </c>
    </row>
    <row r="1187" spans="1:29" ht="30" customHeight="1" x14ac:dyDescent="0.3">
      <c r="A1187" s="8" t="s">
        <v>1476</v>
      </c>
      <c r="B1187" s="8" t="s">
        <v>1501</v>
      </c>
      <c r="C1187" s="8" t="s">
        <v>1500</v>
      </c>
      <c r="D1187" s="8" t="s">
        <v>444</v>
      </c>
      <c r="E1187" s="8" t="s">
        <v>185</v>
      </c>
      <c r="F1187" s="9">
        <v>48</v>
      </c>
      <c r="G1187" s="5" t="e">
        <f>'[2].xls].xls].xls].xls].xls].xls].xls].'!E24</f>
        <v>#REF!</v>
      </c>
      <c r="H1187" s="5" t="e">
        <f t="shared" si="103"/>
        <v>#REF!</v>
      </c>
      <c r="I1187" s="5" t="e">
        <f>'[2].xls].xls].xls].xls].xls].xls].xls].'!F24</f>
        <v>#REF!</v>
      </c>
      <c r="J1187" s="5" t="e">
        <f t="shared" si="104"/>
        <v>#REF!</v>
      </c>
      <c r="K1187" s="5" t="e">
        <f>'[2].xls].xls].xls].xls].xls].xls].xls].'!G24</f>
        <v>#REF!</v>
      </c>
      <c r="L1187" s="5" t="e">
        <f t="shared" si="105"/>
        <v>#REF!</v>
      </c>
      <c r="M1187" s="5" t="e">
        <f t="shared" si="106"/>
        <v>#REF!</v>
      </c>
      <c r="N1187" s="5" t="e">
        <f t="shared" si="106"/>
        <v>#REF!</v>
      </c>
      <c r="O1187" s="8" t="s">
        <v>1501</v>
      </c>
      <c r="T1187">
        <v>0</v>
      </c>
      <c r="AC1187">
        <v>1</v>
      </c>
    </row>
    <row r="1188" spans="1:29" ht="30" customHeight="1" x14ac:dyDescent="0.3">
      <c r="A1188" s="8" t="s">
        <v>1476</v>
      </c>
      <c r="B1188" s="8" t="s">
        <v>1502</v>
      </c>
      <c r="C1188" s="8" t="s">
        <v>615</v>
      </c>
      <c r="D1188" s="8" t="s">
        <v>1503</v>
      </c>
      <c r="E1188" s="8" t="s">
        <v>179</v>
      </c>
      <c r="F1188" s="9">
        <v>7</v>
      </c>
      <c r="G1188" s="5">
        <f>TRUNC([1]단가대비표!O531,0)</f>
        <v>5550</v>
      </c>
      <c r="H1188" s="5">
        <f t="shared" si="103"/>
        <v>38850</v>
      </c>
      <c r="I1188" s="5">
        <v>0</v>
      </c>
      <c r="J1188" s="5">
        <f t="shared" si="104"/>
        <v>0</v>
      </c>
      <c r="K1188" s="5">
        <v>0</v>
      </c>
      <c r="L1188" s="5">
        <f t="shared" si="105"/>
        <v>0</v>
      </c>
      <c r="M1188" s="5">
        <f t="shared" si="106"/>
        <v>5550</v>
      </c>
      <c r="N1188" s="5">
        <f t="shared" si="106"/>
        <v>38850</v>
      </c>
      <c r="O1188" s="8" t="s">
        <v>20</v>
      </c>
      <c r="T1188">
        <v>0</v>
      </c>
      <c r="AC1188">
        <v>1</v>
      </c>
    </row>
    <row r="1189" spans="1:29" ht="30" customHeight="1" x14ac:dyDescent="0.3">
      <c r="A1189" s="8" t="s">
        <v>1476</v>
      </c>
      <c r="B1189" s="8" t="s">
        <v>451</v>
      </c>
      <c r="C1189" s="8" t="s">
        <v>452</v>
      </c>
      <c r="D1189" s="8" t="s">
        <v>453</v>
      </c>
      <c r="E1189" s="8" t="s">
        <v>428</v>
      </c>
      <c r="F1189" s="9">
        <v>7</v>
      </c>
      <c r="G1189" s="5">
        <f>TRUNC([1]단가대비표!O723,0)</f>
        <v>220</v>
      </c>
      <c r="H1189" s="5">
        <f t="shared" si="103"/>
        <v>1540</v>
      </c>
      <c r="I1189" s="5">
        <v>10733</v>
      </c>
      <c r="J1189" s="5">
        <f t="shared" si="104"/>
        <v>75131</v>
      </c>
      <c r="K1189" s="5">
        <v>0</v>
      </c>
      <c r="L1189" s="5">
        <f t="shared" si="105"/>
        <v>0</v>
      </c>
      <c r="M1189" s="5">
        <f t="shared" si="106"/>
        <v>10953</v>
      </c>
      <c r="N1189" s="5">
        <f t="shared" si="106"/>
        <v>76671</v>
      </c>
      <c r="O1189" s="8" t="s">
        <v>429</v>
      </c>
      <c r="T1189">
        <v>0</v>
      </c>
      <c r="AC1189">
        <v>1</v>
      </c>
    </row>
    <row r="1190" spans="1:29" ht="30" customHeight="1" x14ac:dyDescent="0.3">
      <c r="A1190" s="8" t="s">
        <v>1476</v>
      </c>
      <c r="B1190" s="8" t="s">
        <v>1504</v>
      </c>
      <c r="C1190" s="8" t="s">
        <v>1505</v>
      </c>
      <c r="D1190" s="8" t="s">
        <v>1506</v>
      </c>
      <c r="E1190" s="8" t="s">
        <v>179</v>
      </c>
      <c r="F1190" s="9">
        <v>1</v>
      </c>
      <c r="G1190" s="5">
        <f>TRUNC([1]단가대비표!O680,0)</f>
        <v>70000</v>
      </c>
      <c r="H1190" s="5">
        <f t="shared" si="103"/>
        <v>70000</v>
      </c>
      <c r="I1190" s="5">
        <v>0</v>
      </c>
      <c r="J1190" s="5">
        <f t="shared" si="104"/>
        <v>0</v>
      </c>
      <c r="K1190" s="5">
        <v>0</v>
      </c>
      <c r="L1190" s="5">
        <f t="shared" si="105"/>
        <v>0</v>
      </c>
      <c r="M1190" s="5">
        <f t="shared" si="106"/>
        <v>70000</v>
      </c>
      <c r="N1190" s="5">
        <f t="shared" si="106"/>
        <v>70000</v>
      </c>
      <c r="O1190" s="8" t="s">
        <v>20</v>
      </c>
      <c r="T1190">
        <v>0</v>
      </c>
      <c r="AC1190">
        <v>1</v>
      </c>
    </row>
    <row r="1191" spans="1:29" ht="30" customHeight="1" x14ac:dyDescent="0.3">
      <c r="A1191" s="8" t="s">
        <v>1476</v>
      </c>
      <c r="B1191" s="8" t="s">
        <v>1507</v>
      </c>
      <c r="C1191" s="8" t="s">
        <v>1508</v>
      </c>
      <c r="D1191" s="8" t="s">
        <v>1509</v>
      </c>
      <c r="E1191" s="8" t="s">
        <v>179</v>
      </c>
      <c r="F1191" s="9">
        <v>10</v>
      </c>
      <c r="G1191" s="5">
        <f>TRUNC([1]단가대비표!O587,0)</f>
        <v>1800</v>
      </c>
      <c r="H1191" s="5">
        <f t="shared" si="103"/>
        <v>18000</v>
      </c>
      <c r="I1191" s="5">
        <v>0</v>
      </c>
      <c r="J1191" s="5">
        <f t="shared" si="104"/>
        <v>0</v>
      </c>
      <c r="K1191" s="5">
        <v>0</v>
      </c>
      <c r="L1191" s="5">
        <f t="shared" si="105"/>
        <v>0</v>
      </c>
      <c r="M1191" s="5">
        <f t="shared" si="106"/>
        <v>1800</v>
      </c>
      <c r="N1191" s="5">
        <f t="shared" si="106"/>
        <v>18000</v>
      </c>
      <c r="O1191" s="8" t="s">
        <v>20</v>
      </c>
      <c r="T1191">
        <v>0</v>
      </c>
      <c r="AC1191">
        <v>1</v>
      </c>
    </row>
    <row r="1192" spans="1:29" ht="30" customHeight="1" x14ac:dyDescent="0.3">
      <c r="A1192" s="8" t="s">
        <v>1476</v>
      </c>
      <c r="B1192" s="8" t="s">
        <v>1510</v>
      </c>
      <c r="C1192" s="8" t="s">
        <v>1508</v>
      </c>
      <c r="D1192" s="8" t="s">
        <v>1511</v>
      </c>
      <c r="E1192" s="8" t="s">
        <v>179</v>
      </c>
      <c r="F1192" s="9">
        <v>11</v>
      </c>
      <c r="G1192" s="5">
        <f>TRUNC([1]단가대비표!O588,0)</f>
        <v>2800</v>
      </c>
      <c r="H1192" s="5">
        <f t="shared" si="103"/>
        <v>30800</v>
      </c>
      <c r="I1192" s="5">
        <v>0</v>
      </c>
      <c r="J1192" s="5">
        <f t="shared" si="104"/>
        <v>0</v>
      </c>
      <c r="K1192" s="5">
        <v>0</v>
      </c>
      <c r="L1192" s="5">
        <f t="shared" si="105"/>
        <v>0</v>
      </c>
      <c r="M1192" s="5">
        <f t="shared" si="106"/>
        <v>2800</v>
      </c>
      <c r="N1192" s="5">
        <f t="shared" si="106"/>
        <v>30800</v>
      </c>
      <c r="O1192" s="8" t="s">
        <v>20</v>
      </c>
      <c r="T1192">
        <v>0</v>
      </c>
      <c r="AC1192">
        <v>1</v>
      </c>
    </row>
    <row r="1193" spans="1:29" ht="30" customHeight="1" x14ac:dyDescent="0.3">
      <c r="A1193" s="8" t="s">
        <v>1476</v>
      </c>
      <c r="B1193" s="8" t="s">
        <v>1512</v>
      </c>
      <c r="C1193" s="8" t="s">
        <v>1513</v>
      </c>
      <c r="D1193" s="8" t="s">
        <v>1514</v>
      </c>
      <c r="E1193" s="8" t="s">
        <v>721</v>
      </c>
      <c r="F1193" s="9">
        <v>4</v>
      </c>
      <c r="G1193" s="5">
        <f>TRUNC([1]단가대비표!O682,0)</f>
        <v>30000</v>
      </c>
      <c r="H1193" s="5">
        <f t="shared" si="103"/>
        <v>120000</v>
      </c>
      <c r="I1193" s="5">
        <v>0</v>
      </c>
      <c r="J1193" s="5">
        <f t="shared" si="104"/>
        <v>0</v>
      </c>
      <c r="K1193" s="5">
        <v>0</v>
      </c>
      <c r="L1193" s="5">
        <f t="shared" si="105"/>
        <v>0</v>
      </c>
      <c r="M1193" s="5">
        <f t="shared" si="106"/>
        <v>30000</v>
      </c>
      <c r="N1193" s="5">
        <f t="shared" si="106"/>
        <v>120000</v>
      </c>
      <c r="O1193" s="8" t="s">
        <v>20</v>
      </c>
      <c r="T1193">
        <v>0</v>
      </c>
      <c r="AC1193">
        <v>1</v>
      </c>
    </row>
    <row r="1194" spans="1:29" ht="30" customHeight="1" x14ac:dyDescent="0.3">
      <c r="A1194" s="8" t="s">
        <v>1476</v>
      </c>
      <c r="B1194" s="8" t="s">
        <v>1515</v>
      </c>
      <c r="C1194" s="8" t="s">
        <v>1516</v>
      </c>
      <c r="D1194" s="8" t="s">
        <v>1517</v>
      </c>
      <c r="E1194" s="8" t="s">
        <v>721</v>
      </c>
      <c r="F1194" s="9">
        <v>1</v>
      </c>
      <c r="G1194" s="5">
        <f>TRUNC([1]단가대비표!O683,0)</f>
        <v>600000</v>
      </c>
      <c r="H1194" s="5">
        <f t="shared" si="103"/>
        <v>600000</v>
      </c>
      <c r="I1194" s="5">
        <v>0</v>
      </c>
      <c r="J1194" s="5">
        <f t="shared" si="104"/>
        <v>0</v>
      </c>
      <c r="K1194" s="5">
        <v>0</v>
      </c>
      <c r="L1194" s="5">
        <f t="shared" si="105"/>
        <v>0</v>
      </c>
      <c r="M1194" s="5">
        <f t="shared" si="106"/>
        <v>600000</v>
      </c>
      <c r="N1194" s="5">
        <f t="shared" si="106"/>
        <v>600000</v>
      </c>
      <c r="O1194" s="8" t="s">
        <v>20</v>
      </c>
      <c r="T1194">
        <v>0</v>
      </c>
      <c r="AC1194">
        <v>1</v>
      </c>
    </row>
    <row r="1195" spans="1:29" ht="30" customHeight="1" x14ac:dyDescent="0.3">
      <c r="A1195" s="8" t="s">
        <v>1476</v>
      </c>
      <c r="B1195" s="8" t="s">
        <v>1456</v>
      </c>
      <c r="C1195" s="8" t="s">
        <v>1457</v>
      </c>
      <c r="D1195" s="8" t="s">
        <v>1458</v>
      </c>
      <c r="E1195" s="8" t="s">
        <v>1459</v>
      </c>
      <c r="F1195" s="9">
        <v>1</v>
      </c>
      <c r="G1195" s="5" t="e">
        <f>'[2].xls].xls].xls].xls].xls].xls].xls].'!E138</f>
        <v>#REF!</v>
      </c>
      <c r="H1195" s="5" t="e">
        <f t="shared" si="103"/>
        <v>#REF!</v>
      </c>
      <c r="I1195" s="5" t="e">
        <f>'[2].xls].xls].xls].xls].xls].xls].xls].'!F138</f>
        <v>#REF!</v>
      </c>
      <c r="J1195" s="5" t="e">
        <f t="shared" si="104"/>
        <v>#REF!</v>
      </c>
      <c r="K1195" s="5" t="e">
        <f>'[2].xls].xls].xls].xls].xls].xls].xls].'!G138</f>
        <v>#REF!</v>
      </c>
      <c r="L1195" s="5" t="e">
        <f t="shared" si="105"/>
        <v>#REF!</v>
      </c>
      <c r="M1195" s="5" t="e">
        <f t="shared" si="106"/>
        <v>#REF!</v>
      </c>
      <c r="N1195" s="5" t="e">
        <f t="shared" si="106"/>
        <v>#REF!</v>
      </c>
      <c r="O1195" s="8" t="s">
        <v>1456</v>
      </c>
      <c r="T1195">
        <v>0</v>
      </c>
      <c r="AC1195">
        <v>1</v>
      </c>
    </row>
    <row r="1196" spans="1:29" ht="30" customHeight="1" x14ac:dyDescent="0.3">
      <c r="A1196" s="8" t="s">
        <v>1476</v>
      </c>
      <c r="B1196" s="8" t="s">
        <v>1518</v>
      </c>
      <c r="C1196" s="8" t="s">
        <v>1519</v>
      </c>
      <c r="D1196" s="8" t="s">
        <v>1520</v>
      </c>
      <c r="E1196" s="8" t="s">
        <v>1459</v>
      </c>
      <c r="F1196" s="9">
        <v>1</v>
      </c>
      <c r="G1196" s="5" t="e">
        <f>'[2].xls].xls].xls].xls].xls].xls].xls].'!E140</f>
        <v>#REF!</v>
      </c>
      <c r="H1196" s="5" t="e">
        <f t="shared" si="103"/>
        <v>#REF!</v>
      </c>
      <c r="I1196" s="5" t="e">
        <f>'[2].xls].xls].xls].xls].xls].xls].xls].'!F140</f>
        <v>#REF!</v>
      </c>
      <c r="J1196" s="5" t="e">
        <f t="shared" si="104"/>
        <v>#REF!</v>
      </c>
      <c r="K1196" s="5" t="e">
        <f>'[2].xls].xls].xls].xls].xls].xls].xls].'!G140</f>
        <v>#REF!</v>
      </c>
      <c r="L1196" s="5" t="e">
        <f t="shared" si="105"/>
        <v>#REF!</v>
      </c>
      <c r="M1196" s="5" t="e">
        <f t="shared" si="106"/>
        <v>#REF!</v>
      </c>
      <c r="N1196" s="5" t="e">
        <f t="shared" si="106"/>
        <v>#REF!</v>
      </c>
      <c r="O1196" s="8" t="s">
        <v>1518</v>
      </c>
      <c r="T1196">
        <v>0</v>
      </c>
      <c r="AC1196">
        <v>1</v>
      </c>
    </row>
    <row r="1197" spans="1:29" ht="30" customHeight="1" x14ac:dyDescent="0.3">
      <c r="A1197" s="8" t="s">
        <v>1476</v>
      </c>
      <c r="B1197" s="8" t="s">
        <v>1521</v>
      </c>
      <c r="C1197" s="8" t="s">
        <v>494</v>
      </c>
      <c r="D1197" s="8" t="s">
        <v>1522</v>
      </c>
      <c r="E1197" s="8" t="s">
        <v>179</v>
      </c>
      <c r="F1197" s="9">
        <v>10</v>
      </c>
      <c r="G1197" s="5">
        <f>TRUNC([1]단가대비표!O569,0)</f>
        <v>160</v>
      </c>
      <c r="H1197" s="5">
        <f t="shared" si="103"/>
        <v>1600</v>
      </c>
      <c r="I1197" s="5">
        <v>0</v>
      </c>
      <c r="J1197" s="5">
        <f t="shared" si="104"/>
        <v>0</v>
      </c>
      <c r="K1197" s="5">
        <v>0</v>
      </c>
      <c r="L1197" s="5">
        <f t="shared" si="105"/>
        <v>0</v>
      </c>
      <c r="M1197" s="5">
        <f t="shared" si="106"/>
        <v>160</v>
      </c>
      <c r="N1197" s="5">
        <f t="shared" si="106"/>
        <v>1600</v>
      </c>
      <c r="O1197" s="8" t="s">
        <v>20</v>
      </c>
      <c r="T1197">
        <v>0</v>
      </c>
      <c r="AC1197">
        <v>1</v>
      </c>
    </row>
    <row r="1198" spans="1:29" ht="30" customHeight="1" x14ac:dyDescent="0.3">
      <c r="A1198" s="8" t="s">
        <v>1476</v>
      </c>
      <c r="B1198" s="8" t="s">
        <v>1523</v>
      </c>
      <c r="C1198" s="8" t="s">
        <v>494</v>
      </c>
      <c r="D1198" s="8" t="s">
        <v>1524</v>
      </c>
      <c r="E1198" s="8" t="s">
        <v>179</v>
      </c>
      <c r="F1198" s="9">
        <v>11</v>
      </c>
      <c r="G1198" s="5">
        <f>TRUNC([1]단가대비표!O570,0)</f>
        <v>190</v>
      </c>
      <c r="H1198" s="5">
        <f t="shared" si="103"/>
        <v>2090</v>
      </c>
      <c r="I1198" s="5">
        <v>0</v>
      </c>
      <c r="J1198" s="5">
        <f t="shared" si="104"/>
        <v>0</v>
      </c>
      <c r="K1198" s="5">
        <v>0</v>
      </c>
      <c r="L1198" s="5">
        <f t="shared" si="105"/>
        <v>0</v>
      </c>
      <c r="M1198" s="5">
        <f t="shared" si="106"/>
        <v>190</v>
      </c>
      <c r="N1198" s="5">
        <f t="shared" si="106"/>
        <v>2090</v>
      </c>
      <c r="O1198" s="8" t="s">
        <v>20</v>
      </c>
      <c r="T1198">
        <v>0</v>
      </c>
      <c r="AC1198">
        <v>1</v>
      </c>
    </row>
    <row r="1199" spans="1:29" ht="30" customHeight="1" x14ac:dyDescent="0.3">
      <c r="A1199" s="8" t="s">
        <v>1476</v>
      </c>
      <c r="B1199" s="8" t="s">
        <v>1525</v>
      </c>
      <c r="C1199" s="8" t="s">
        <v>528</v>
      </c>
      <c r="D1199" s="8" t="s">
        <v>444</v>
      </c>
      <c r="E1199" s="8" t="s">
        <v>185</v>
      </c>
      <c r="F1199" s="9">
        <v>1</v>
      </c>
      <c r="G1199" s="5" t="e">
        <f>'[2].xls].xls].xls].xls].xls].xls].xls].'!E57</f>
        <v>#REF!</v>
      </c>
      <c r="H1199" s="5" t="e">
        <f t="shared" si="103"/>
        <v>#REF!</v>
      </c>
      <c r="I1199" s="5" t="e">
        <f>'[2].xls].xls].xls].xls].xls].xls].xls].'!F57</f>
        <v>#REF!</v>
      </c>
      <c r="J1199" s="5" t="e">
        <f t="shared" si="104"/>
        <v>#REF!</v>
      </c>
      <c r="K1199" s="5" t="e">
        <f>'[2].xls].xls].xls].xls].xls].xls].xls].'!G57</f>
        <v>#REF!</v>
      </c>
      <c r="L1199" s="5" t="e">
        <f t="shared" si="105"/>
        <v>#REF!</v>
      </c>
      <c r="M1199" s="5" t="e">
        <f t="shared" si="106"/>
        <v>#REF!</v>
      </c>
      <c r="N1199" s="5" t="e">
        <f t="shared" si="106"/>
        <v>#REF!</v>
      </c>
      <c r="O1199" s="8" t="s">
        <v>1525</v>
      </c>
      <c r="T1199">
        <v>0</v>
      </c>
      <c r="AC1199">
        <v>1</v>
      </c>
    </row>
    <row r="1200" spans="1:29" ht="30" customHeight="1" x14ac:dyDescent="0.3">
      <c r="A1200" s="8" t="s">
        <v>1476</v>
      </c>
      <c r="B1200" s="8" t="s">
        <v>856</v>
      </c>
      <c r="C1200" s="8" t="s">
        <v>857</v>
      </c>
      <c r="D1200" s="8" t="s">
        <v>858</v>
      </c>
      <c r="E1200" s="8" t="s">
        <v>179</v>
      </c>
      <c r="F1200" s="9">
        <v>42</v>
      </c>
      <c r="G1200" s="5">
        <f>TRUNC([1]단가대비표!O581,0)</f>
        <v>120</v>
      </c>
      <c r="H1200" s="5">
        <f t="shared" si="103"/>
        <v>5040</v>
      </c>
      <c r="I1200" s="5">
        <v>0</v>
      </c>
      <c r="J1200" s="5">
        <f t="shared" si="104"/>
        <v>0</v>
      </c>
      <c r="K1200" s="5">
        <v>0</v>
      </c>
      <c r="L1200" s="5">
        <f t="shared" si="105"/>
        <v>0</v>
      </c>
      <c r="M1200" s="5">
        <f t="shared" si="106"/>
        <v>120</v>
      </c>
      <c r="N1200" s="5">
        <f t="shared" si="106"/>
        <v>5040</v>
      </c>
      <c r="O1200" s="8" t="s">
        <v>20</v>
      </c>
      <c r="T1200">
        <v>0</v>
      </c>
      <c r="AC1200">
        <v>1</v>
      </c>
    </row>
    <row r="1201" spans="1:29" ht="30" customHeight="1" x14ac:dyDescent="0.3">
      <c r="A1201" s="8" t="s">
        <v>1476</v>
      </c>
      <c r="B1201" s="8" t="s">
        <v>542</v>
      </c>
      <c r="C1201" s="8" t="s">
        <v>543</v>
      </c>
      <c r="D1201" s="8" t="s">
        <v>544</v>
      </c>
      <c r="E1201" s="8" t="s">
        <v>545</v>
      </c>
      <c r="F1201" s="9">
        <v>7</v>
      </c>
      <c r="G1201" s="5" t="e">
        <f>'[2].xls].xls].xls].xls].xls].xls].xls].'!E130</f>
        <v>#REF!</v>
      </c>
      <c r="H1201" s="5" t="e">
        <f t="shared" si="103"/>
        <v>#REF!</v>
      </c>
      <c r="I1201" s="5" t="e">
        <f>'[2].xls].xls].xls].xls].xls].xls].xls].'!F130</f>
        <v>#REF!</v>
      </c>
      <c r="J1201" s="5" t="e">
        <f t="shared" si="104"/>
        <v>#REF!</v>
      </c>
      <c r="K1201" s="5" t="e">
        <f>'[2].xls].xls].xls].xls].xls].xls].xls].'!G130</f>
        <v>#REF!</v>
      </c>
      <c r="L1201" s="5" t="e">
        <f t="shared" si="105"/>
        <v>#REF!</v>
      </c>
      <c r="M1201" s="5" t="e">
        <f t="shared" si="106"/>
        <v>#REF!</v>
      </c>
      <c r="N1201" s="5" t="e">
        <f t="shared" si="106"/>
        <v>#REF!</v>
      </c>
      <c r="O1201" s="8" t="s">
        <v>542</v>
      </c>
      <c r="T1201">
        <v>0</v>
      </c>
      <c r="AC1201">
        <v>1</v>
      </c>
    </row>
    <row r="1202" spans="1:29" ht="30" customHeight="1" x14ac:dyDescent="0.3">
      <c r="A1202" s="8" t="s">
        <v>1476</v>
      </c>
      <c r="B1202" s="8" t="s">
        <v>1526</v>
      </c>
      <c r="C1202" s="8" t="s">
        <v>547</v>
      </c>
      <c r="D1202" s="8" t="s">
        <v>1527</v>
      </c>
      <c r="E1202" s="8" t="s">
        <v>545</v>
      </c>
      <c r="F1202" s="9">
        <v>7</v>
      </c>
      <c r="G1202" s="5" t="e">
        <f>'[2].xls].xls].xls].xls].xls].xls].xls].'!E132</f>
        <v>#REF!</v>
      </c>
      <c r="H1202" s="5" t="e">
        <f t="shared" si="103"/>
        <v>#REF!</v>
      </c>
      <c r="I1202" s="5" t="e">
        <f>'[2].xls].xls].xls].xls].xls].xls].xls].'!F132</f>
        <v>#REF!</v>
      </c>
      <c r="J1202" s="5" t="e">
        <f t="shared" si="104"/>
        <v>#REF!</v>
      </c>
      <c r="K1202" s="5" t="e">
        <f>'[2].xls].xls].xls].xls].xls].xls].xls].'!G132</f>
        <v>#REF!</v>
      </c>
      <c r="L1202" s="5" t="e">
        <f t="shared" si="105"/>
        <v>#REF!</v>
      </c>
      <c r="M1202" s="5" t="e">
        <f t="shared" si="106"/>
        <v>#REF!</v>
      </c>
      <c r="N1202" s="5" t="e">
        <f t="shared" si="106"/>
        <v>#REF!</v>
      </c>
      <c r="O1202" s="8" t="s">
        <v>1526</v>
      </c>
      <c r="T1202">
        <v>0</v>
      </c>
      <c r="AC1202">
        <v>1</v>
      </c>
    </row>
    <row r="1203" spans="1:29" ht="30" customHeight="1" x14ac:dyDescent="0.3">
      <c r="A1203" s="8" t="s">
        <v>1476</v>
      </c>
      <c r="B1203" s="8" t="s">
        <v>1528</v>
      </c>
      <c r="C1203" s="8" t="s">
        <v>1529</v>
      </c>
      <c r="D1203" s="8" t="s">
        <v>1530</v>
      </c>
      <c r="E1203" s="8" t="s">
        <v>168</v>
      </c>
      <c r="F1203" s="9">
        <v>32</v>
      </c>
      <c r="G1203" s="5">
        <f>TRUNC([1]단가대비표!O678,0)</f>
        <v>3274</v>
      </c>
      <c r="H1203" s="5">
        <f t="shared" si="103"/>
        <v>104768</v>
      </c>
      <c r="I1203" s="5">
        <v>0</v>
      </c>
      <c r="J1203" s="5">
        <f t="shared" si="104"/>
        <v>0</v>
      </c>
      <c r="K1203" s="5">
        <v>0</v>
      </c>
      <c r="L1203" s="5">
        <f t="shared" si="105"/>
        <v>0</v>
      </c>
      <c r="M1203" s="5">
        <f t="shared" si="106"/>
        <v>3274</v>
      </c>
      <c r="N1203" s="5">
        <f t="shared" si="106"/>
        <v>104768</v>
      </c>
      <c r="O1203" s="8" t="s">
        <v>20</v>
      </c>
      <c r="T1203">
        <v>0</v>
      </c>
      <c r="AC1203">
        <v>1</v>
      </c>
    </row>
    <row r="1204" spans="1:29" ht="30" customHeight="1" x14ac:dyDescent="0.3">
      <c r="A1204" s="8" t="s">
        <v>1476</v>
      </c>
      <c r="B1204" s="8" t="s">
        <v>1531</v>
      </c>
      <c r="C1204" s="8" t="s">
        <v>1532</v>
      </c>
      <c r="D1204" s="8" t="s">
        <v>1533</v>
      </c>
      <c r="E1204" s="8" t="s">
        <v>168</v>
      </c>
      <c r="F1204" s="9">
        <v>31</v>
      </c>
      <c r="G1204" s="5">
        <f>TRUNC([1]단가대비표!O679,0)</f>
        <v>2025</v>
      </c>
      <c r="H1204" s="5">
        <f t="shared" si="103"/>
        <v>62775</v>
      </c>
      <c r="I1204" s="5">
        <v>0</v>
      </c>
      <c r="J1204" s="5">
        <f t="shared" si="104"/>
        <v>0</v>
      </c>
      <c r="K1204" s="5">
        <v>0</v>
      </c>
      <c r="L1204" s="5">
        <f t="shared" si="105"/>
        <v>0</v>
      </c>
      <c r="M1204" s="5">
        <f t="shared" si="106"/>
        <v>2025</v>
      </c>
      <c r="N1204" s="5">
        <f t="shared" si="106"/>
        <v>62775</v>
      </c>
      <c r="O1204" s="8" t="s">
        <v>20</v>
      </c>
      <c r="T1204">
        <v>0</v>
      </c>
      <c r="AC1204">
        <v>1</v>
      </c>
    </row>
    <row r="1205" spans="1:29" ht="30" customHeight="1" x14ac:dyDescent="0.3">
      <c r="A1205" s="8" t="s">
        <v>1476</v>
      </c>
      <c r="B1205" s="8" t="s">
        <v>1534</v>
      </c>
      <c r="C1205" s="8" t="s">
        <v>153</v>
      </c>
      <c r="D1205" s="8" t="s">
        <v>1535</v>
      </c>
      <c r="E1205" s="8" t="s">
        <v>155</v>
      </c>
      <c r="F1205" s="9">
        <v>2</v>
      </c>
      <c r="G1205" s="5">
        <v>0</v>
      </c>
      <c r="H1205" s="5">
        <f t="shared" si="103"/>
        <v>0</v>
      </c>
      <c r="I1205" s="5">
        <f>TRUNC([1]단가대비표!O665,0)</f>
        <v>265406</v>
      </c>
      <c r="J1205" s="5">
        <f t="shared" si="104"/>
        <v>530812</v>
      </c>
      <c r="K1205" s="5">
        <v>0</v>
      </c>
      <c r="L1205" s="5">
        <f t="shared" si="105"/>
        <v>0</v>
      </c>
      <c r="M1205" s="5">
        <f t="shared" si="106"/>
        <v>265406</v>
      </c>
      <c r="N1205" s="5">
        <f t="shared" si="106"/>
        <v>530812</v>
      </c>
      <c r="O1205" s="8" t="s">
        <v>20</v>
      </c>
      <c r="T1205">
        <v>0</v>
      </c>
      <c r="W1205">
        <v>3</v>
      </c>
      <c r="AC1205">
        <v>1</v>
      </c>
    </row>
    <row r="1206" spans="1:29" ht="30" customHeight="1" x14ac:dyDescent="0.3">
      <c r="A1206" s="8" t="s">
        <v>1476</v>
      </c>
      <c r="B1206" s="8" t="s">
        <v>1536</v>
      </c>
      <c r="C1206" s="8" t="s">
        <v>153</v>
      </c>
      <c r="D1206" s="8" t="s">
        <v>1537</v>
      </c>
      <c r="E1206" s="8" t="s">
        <v>155</v>
      </c>
      <c r="F1206" s="9">
        <v>1</v>
      </c>
      <c r="G1206" s="5">
        <v>0</v>
      </c>
      <c r="H1206" s="5">
        <f t="shared" si="103"/>
        <v>0</v>
      </c>
      <c r="I1206" s="5">
        <f>TRUNC([1]단가대비표!O674,0)</f>
        <v>288442</v>
      </c>
      <c r="J1206" s="5">
        <f t="shared" si="104"/>
        <v>288442</v>
      </c>
      <c r="K1206" s="5">
        <v>0</v>
      </c>
      <c r="L1206" s="5">
        <f t="shared" si="105"/>
        <v>0</v>
      </c>
      <c r="M1206" s="5">
        <f t="shared" si="106"/>
        <v>288442</v>
      </c>
      <c r="N1206" s="5">
        <f t="shared" si="106"/>
        <v>288442</v>
      </c>
      <c r="O1206" s="8" t="s">
        <v>20</v>
      </c>
      <c r="T1206">
        <v>0</v>
      </c>
      <c r="W1206">
        <v>3</v>
      </c>
      <c r="AC1206">
        <v>1</v>
      </c>
    </row>
    <row r="1207" spans="1:29" ht="30" customHeight="1" x14ac:dyDescent="0.3">
      <c r="A1207" s="8" t="s">
        <v>1476</v>
      </c>
      <c r="B1207" s="8" t="s">
        <v>1538</v>
      </c>
      <c r="C1207" s="8" t="s">
        <v>153</v>
      </c>
      <c r="D1207" s="8" t="s">
        <v>1539</v>
      </c>
      <c r="E1207" s="8" t="s">
        <v>155</v>
      </c>
      <c r="F1207" s="9">
        <v>2</v>
      </c>
      <c r="G1207" s="5">
        <v>0</v>
      </c>
      <c r="H1207" s="5">
        <f t="shared" si="103"/>
        <v>0</v>
      </c>
      <c r="I1207" s="5">
        <f>TRUNC([1]단가대비표!O663,0)</f>
        <v>283405</v>
      </c>
      <c r="J1207" s="5">
        <f t="shared" si="104"/>
        <v>566810</v>
      </c>
      <c r="K1207" s="5">
        <v>0</v>
      </c>
      <c r="L1207" s="5">
        <f t="shared" si="105"/>
        <v>0</v>
      </c>
      <c r="M1207" s="5">
        <f t="shared" si="106"/>
        <v>283405</v>
      </c>
      <c r="N1207" s="5">
        <f t="shared" si="106"/>
        <v>566810</v>
      </c>
      <c r="O1207" s="8" t="s">
        <v>20</v>
      </c>
      <c r="T1207">
        <v>0</v>
      </c>
      <c r="W1207">
        <v>3</v>
      </c>
      <c r="AC1207">
        <v>1</v>
      </c>
    </row>
    <row r="1208" spans="1:29" ht="30" customHeight="1" x14ac:dyDescent="0.3">
      <c r="A1208" s="8" t="s">
        <v>1476</v>
      </c>
      <c r="B1208" s="8" t="s">
        <v>158</v>
      </c>
      <c r="C1208" s="8" t="s">
        <v>159</v>
      </c>
      <c r="D1208" s="8" t="s">
        <v>160</v>
      </c>
      <c r="E1208" s="8" t="s">
        <v>161</v>
      </c>
      <c r="F1208" s="9">
        <v>1</v>
      </c>
      <c r="G1208" s="5">
        <f>ROUNDDOWN(SUMIF(W1175:W1208, RIGHTB(B1208, 1), J1175:J1208)*T1208, 0)</f>
        <v>27721</v>
      </c>
      <c r="H1208" s="5">
        <f t="shared" si="103"/>
        <v>27721</v>
      </c>
      <c r="I1208" s="5">
        <v>0</v>
      </c>
      <c r="J1208" s="5">
        <f t="shared" si="104"/>
        <v>0</v>
      </c>
      <c r="K1208" s="5">
        <v>0</v>
      </c>
      <c r="L1208" s="5">
        <f t="shared" si="105"/>
        <v>0</v>
      </c>
      <c r="M1208" s="5">
        <f t="shared" si="106"/>
        <v>27721</v>
      </c>
      <c r="N1208" s="5">
        <f t="shared" si="106"/>
        <v>27721</v>
      </c>
      <c r="O1208" s="8" t="s">
        <v>20</v>
      </c>
      <c r="P1208">
        <v>1208</v>
      </c>
      <c r="R1208">
        <v>1</v>
      </c>
      <c r="S1208">
        <v>0</v>
      </c>
      <c r="T1208">
        <v>0.02</v>
      </c>
      <c r="AC1208">
        <v>1</v>
      </c>
    </row>
    <row r="1209" spans="1:29" ht="30" customHeight="1" x14ac:dyDescent="0.3">
      <c r="A1209" s="5"/>
      <c r="B1209" s="5"/>
      <c r="C1209" s="5"/>
      <c r="D1209" s="5"/>
      <c r="E1209" s="5"/>
      <c r="F1209" s="9"/>
      <c r="G1209" s="5"/>
      <c r="H1209" s="5"/>
      <c r="I1209" s="5"/>
      <c r="J1209" s="5"/>
      <c r="K1209" s="5"/>
      <c r="L1209" s="5"/>
      <c r="M1209" s="5"/>
      <c r="N1209" s="5"/>
      <c r="O1209" s="5"/>
    </row>
    <row r="1210" spans="1:29" ht="30" customHeight="1" x14ac:dyDescent="0.3">
      <c r="A1210" s="5"/>
      <c r="B1210" s="5"/>
      <c r="C1210" s="5"/>
      <c r="D1210" s="5"/>
      <c r="E1210" s="5"/>
      <c r="F1210" s="9"/>
      <c r="G1210" s="5"/>
      <c r="H1210" s="5"/>
      <c r="I1210" s="5"/>
      <c r="J1210" s="5"/>
      <c r="K1210" s="5"/>
      <c r="L1210" s="5"/>
      <c r="M1210" s="5"/>
      <c r="N1210" s="5"/>
      <c r="O1210" s="5"/>
    </row>
    <row r="1211" spans="1:29" ht="30" customHeight="1" x14ac:dyDescent="0.3">
      <c r="A1211" s="5"/>
      <c r="B1211" s="5"/>
      <c r="C1211" s="5"/>
      <c r="D1211" s="5"/>
      <c r="E1211" s="5"/>
      <c r="F1211" s="9"/>
      <c r="G1211" s="5"/>
      <c r="H1211" s="5"/>
      <c r="I1211" s="5"/>
      <c r="J1211" s="5"/>
      <c r="K1211" s="5"/>
      <c r="L1211" s="5"/>
      <c r="M1211" s="5"/>
      <c r="N1211" s="5"/>
      <c r="O1211" s="5"/>
    </row>
    <row r="1212" spans="1:29" ht="30" customHeight="1" x14ac:dyDescent="0.3">
      <c r="A1212" s="5"/>
      <c r="B1212" s="5"/>
      <c r="C1212" s="5"/>
      <c r="D1212" s="5"/>
      <c r="E1212" s="5"/>
      <c r="F1212" s="9"/>
      <c r="G1212" s="5"/>
      <c r="H1212" s="5"/>
      <c r="I1212" s="5"/>
      <c r="J1212" s="5"/>
      <c r="K1212" s="5"/>
      <c r="L1212" s="5"/>
      <c r="M1212" s="5"/>
      <c r="N1212" s="5"/>
      <c r="O1212" s="5"/>
    </row>
    <row r="1213" spans="1:29" ht="30" customHeight="1" x14ac:dyDescent="0.3">
      <c r="A1213" s="5"/>
      <c r="B1213" s="5"/>
      <c r="C1213" s="5"/>
      <c r="D1213" s="5"/>
      <c r="E1213" s="5"/>
      <c r="F1213" s="9"/>
      <c r="G1213" s="5"/>
      <c r="H1213" s="5"/>
      <c r="I1213" s="5"/>
      <c r="J1213" s="5"/>
      <c r="K1213" s="5"/>
      <c r="L1213" s="5"/>
      <c r="M1213" s="5"/>
      <c r="N1213" s="5"/>
      <c r="O1213" s="5"/>
    </row>
    <row r="1214" spans="1:29" ht="30" customHeight="1" x14ac:dyDescent="0.3">
      <c r="A1214" s="5"/>
      <c r="B1214" s="5"/>
      <c r="C1214" s="5"/>
      <c r="D1214" s="5"/>
      <c r="E1214" s="5"/>
      <c r="F1214" s="9"/>
      <c r="G1214" s="5"/>
      <c r="H1214" s="5"/>
      <c r="I1214" s="5"/>
      <c r="J1214" s="5"/>
      <c r="K1214" s="5"/>
      <c r="L1214" s="5"/>
      <c r="M1214" s="5"/>
      <c r="N1214" s="5"/>
      <c r="O1214" s="5"/>
    </row>
    <row r="1215" spans="1:29" ht="30" customHeight="1" x14ac:dyDescent="0.3">
      <c r="A1215" s="5"/>
      <c r="B1215" s="5"/>
      <c r="C1215" s="5"/>
      <c r="D1215" s="5"/>
      <c r="E1215" s="5"/>
      <c r="F1215" s="9"/>
      <c r="G1215" s="5"/>
      <c r="H1215" s="5"/>
      <c r="I1215" s="5"/>
      <c r="J1215" s="5"/>
      <c r="K1215" s="5"/>
      <c r="L1215" s="5"/>
      <c r="M1215" s="5"/>
      <c r="N1215" s="5"/>
      <c r="O1215" s="5"/>
    </row>
    <row r="1216" spans="1:29" ht="30" customHeight="1" x14ac:dyDescent="0.3">
      <c r="A1216" s="5"/>
      <c r="B1216" s="5"/>
      <c r="C1216" s="5"/>
      <c r="D1216" s="5"/>
      <c r="E1216" s="5"/>
      <c r="F1216" s="9"/>
      <c r="G1216" s="5"/>
      <c r="H1216" s="5"/>
      <c r="I1216" s="5"/>
      <c r="J1216" s="5"/>
      <c r="K1216" s="5"/>
      <c r="L1216" s="5"/>
      <c r="M1216" s="5"/>
      <c r="N1216" s="5"/>
      <c r="O1216" s="5"/>
    </row>
    <row r="1217" spans="1:29" ht="30" customHeight="1" x14ac:dyDescent="0.3">
      <c r="A1217" s="5"/>
      <c r="B1217" s="5"/>
      <c r="C1217" s="5"/>
      <c r="D1217" s="5"/>
      <c r="E1217" s="5"/>
      <c r="F1217" s="9"/>
      <c r="G1217" s="5"/>
      <c r="H1217" s="5"/>
      <c r="I1217" s="5"/>
      <c r="J1217" s="5"/>
      <c r="K1217" s="5"/>
      <c r="L1217" s="5"/>
      <c r="M1217" s="5"/>
      <c r="N1217" s="5"/>
      <c r="O1217" s="5"/>
    </row>
    <row r="1218" spans="1:29" ht="30" customHeight="1" x14ac:dyDescent="0.3">
      <c r="A1218" s="5"/>
      <c r="B1218" s="5"/>
      <c r="C1218" s="5"/>
      <c r="D1218" s="5"/>
      <c r="E1218" s="5"/>
      <c r="F1218" s="9"/>
      <c r="G1218" s="5"/>
      <c r="H1218" s="5"/>
      <c r="I1218" s="5"/>
      <c r="J1218" s="5"/>
      <c r="K1218" s="5"/>
      <c r="L1218" s="5"/>
      <c r="M1218" s="5"/>
      <c r="N1218" s="5"/>
      <c r="O1218" s="5"/>
    </row>
    <row r="1219" spans="1:29" ht="30" customHeight="1" x14ac:dyDescent="0.3">
      <c r="A1219" s="5"/>
      <c r="B1219" s="5"/>
      <c r="C1219" s="5"/>
      <c r="D1219" s="5"/>
      <c r="E1219" s="5"/>
      <c r="F1219" s="9"/>
      <c r="G1219" s="5"/>
      <c r="H1219" s="5"/>
      <c r="I1219" s="5"/>
      <c r="J1219" s="5"/>
      <c r="K1219" s="5"/>
      <c r="L1219" s="5"/>
      <c r="M1219" s="5"/>
      <c r="N1219" s="5"/>
      <c r="O1219" s="5"/>
    </row>
    <row r="1220" spans="1:29" ht="30" customHeight="1" x14ac:dyDescent="0.3">
      <c r="A1220" s="5"/>
      <c r="B1220" s="5"/>
      <c r="C1220" s="5"/>
      <c r="D1220" s="5"/>
      <c r="E1220" s="5"/>
      <c r="F1220" s="9"/>
      <c r="G1220" s="5"/>
      <c r="H1220" s="5"/>
      <c r="I1220" s="5"/>
      <c r="J1220" s="5"/>
      <c r="K1220" s="5"/>
      <c r="L1220" s="5"/>
      <c r="M1220" s="5"/>
      <c r="N1220" s="5"/>
      <c r="O1220" s="5"/>
    </row>
    <row r="1221" spans="1:29" ht="30" customHeight="1" x14ac:dyDescent="0.3">
      <c r="A1221" s="5"/>
      <c r="B1221" s="5"/>
      <c r="C1221" s="5"/>
      <c r="D1221" s="5"/>
      <c r="E1221" s="5"/>
      <c r="F1221" s="9"/>
      <c r="G1221" s="5"/>
      <c r="H1221" s="5"/>
      <c r="I1221" s="5"/>
      <c r="J1221" s="5"/>
      <c r="K1221" s="5"/>
      <c r="L1221" s="5"/>
      <c r="M1221" s="5"/>
      <c r="N1221" s="5"/>
      <c r="O1221" s="5"/>
    </row>
    <row r="1222" spans="1:29" ht="30" customHeight="1" x14ac:dyDescent="0.3">
      <c r="A1222" s="5"/>
      <c r="B1222" s="5"/>
      <c r="C1222" s="5"/>
      <c r="D1222" s="5"/>
      <c r="E1222" s="5"/>
      <c r="F1222" s="9"/>
      <c r="G1222" s="5"/>
      <c r="H1222" s="5"/>
      <c r="I1222" s="5"/>
      <c r="J1222" s="5"/>
      <c r="K1222" s="5"/>
      <c r="L1222" s="5"/>
      <c r="M1222" s="5"/>
      <c r="N1222" s="5"/>
      <c r="O1222" s="5"/>
    </row>
    <row r="1223" spans="1:29" ht="30" customHeight="1" x14ac:dyDescent="0.3">
      <c r="A1223" s="5"/>
      <c r="B1223" s="5"/>
      <c r="C1223" s="5"/>
      <c r="D1223" s="5"/>
      <c r="E1223" s="5"/>
      <c r="F1223" s="9"/>
      <c r="G1223" s="5"/>
      <c r="H1223" s="5"/>
      <c r="I1223" s="5"/>
      <c r="J1223" s="5"/>
      <c r="K1223" s="5"/>
      <c r="L1223" s="5"/>
      <c r="M1223" s="5"/>
      <c r="N1223" s="5"/>
      <c r="O1223" s="5"/>
    </row>
    <row r="1224" spans="1:29" ht="30" customHeight="1" x14ac:dyDescent="0.3">
      <c r="A1224" s="5"/>
      <c r="B1224" s="5"/>
      <c r="C1224" s="5"/>
      <c r="D1224" s="5"/>
      <c r="E1224" s="5"/>
      <c r="F1224" s="9"/>
      <c r="G1224" s="5"/>
      <c r="H1224" s="5"/>
      <c r="I1224" s="5"/>
      <c r="J1224" s="5"/>
      <c r="K1224" s="5"/>
      <c r="L1224" s="5"/>
      <c r="M1224" s="5"/>
      <c r="N1224" s="5"/>
      <c r="O1224" s="5"/>
    </row>
    <row r="1225" spans="1:29" ht="30" customHeight="1" x14ac:dyDescent="0.3">
      <c r="A1225" s="5"/>
      <c r="B1225" s="5"/>
      <c r="C1225" s="5" t="s">
        <v>162</v>
      </c>
      <c r="D1225" s="5"/>
      <c r="E1225" s="5"/>
      <c r="F1225" s="9"/>
      <c r="G1225" s="5"/>
      <c r="H1225" s="5" t="e">
        <f>SUMIF(AC1175:AC1224, 1, H1175:H1224)</f>
        <v>#REF!</v>
      </c>
      <c r="I1225" s="5"/>
      <c r="J1225" s="5" t="e">
        <f>SUMIF(AC1175:AC1224, 1, J1175:J1224)</f>
        <v>#REF!</v>
      </c>
      <c r="K1225" s="5"/>
      <c r="L1225" s="5" t="e">
        <f>SUMIF(AC1175:AC1224, 1, L1175:L1224)</f>
        <v>#REF!</v>
      </c>
      <c r="M1225" s="5"/>
      <c r="N1225" s="5" t="e">
        <f>H1225+J1225+L1225</f>
        <v>#REF!</v>
      </c>
      <c r="O1225" s="5"/>
    </row>
    <row r="1226" spans="1:29" ht="30" customHeight="1" x14ac:dyDescent="0.3">
      <c r="A1226" s="5"/>
      <c r="B1226" s="5"/>
      <c r="C1226" s="10" t="s">
        <v>1540</v>
      </c>
      <c r="D1226" s="10"/>
      <c r="E1226" s="10"/>
      <c r="F1226" s="11"/>
      <c r="G1226" s="10"/>
      <c r="H1226" s="10"/>
      <c r="I1226" s="10"/>
      <c r="J1226" s="10"/>
      <c r="K1226" s="10"/>
      <c r="L1226" s="10"/>
      <c r="M1226" s="10"/>
      <c r="N1226" s="10"/>
      <c r="O1226" s="10"/>
    </row>
    <row r="1227" spans="1:29" ht="30" customHeight="1" x14ac:dyDescent="0.3">
      <c r="A1227" s="8" t="s">
        <v>1541</v>
      </c>
      <c r="B1227" s="8" t="s">
        <v>1542</v>
      </c>
      <c r="C1227" s="8" t="s">
        <v>1543</v>
      </c>
      <c r="D1227" s="8" t="s">
        <v>1544</v>
      </c>
      <c r="E1227" s="8" t="s">
        <v>721</v>
      </c>
      <c r="F1227" s="9">
        <v>1</v>
      </c>
      <c r="G1227" s="5">
        <f>TRUNC([1]단가대비표!O1076,0)</f>
        <v>10800000</v>
      </c>
      <c r="H1227" s="5">
        <f t="shared" ref="H1227:H1236" si="107">TRUNC(F1227*G1227,0)</f>
        <v>10800000</v>
      </c>
      <c r="I1227" s="5">
        <v>0</v>
      </c>
      <c r="J1227" s="5">
        <f t="shared" ref="J1227:J1236" si="108">TRUNC(F1227*I1227,0)</f>
        <v>0</v>
      </c>
      <c r="K1227" s="5">
        <v>0</v>
      </c>
      <c r="L1227" s="5">
        <f t="shared" ref="L1227:L1236" si="109">TRUNC(F1227*K1227,0)</f>
        <v>0</v>
      </c>
      <c r="M1227" s="5">
        <f t="shared" ref="M1227:N1236" si="110">G1227+I1227+K1227</f>
        <v>10800000</v>
      </c>
      <c r="N1227" s="5">
        <f t="shared" si="110"/>
        <v>10800000</v>
      </c>
      <c r="O1227" s="8" t="s">
        <v>20</v>
      </c>
      <c r="T1227">
        <v>0</v>
      </c>
      <c r="AC1227">
        <v>1</v>
      </c>
    </row>
    <row r="1228" spans="1:29" ht="30" customHeight="1" x14ac:dyDescent="0.3">
      <c r="A1228" s="8" t="s">
        <v>1541</v>
      </c>
      <c r="B1228" s="8" t="s">
        <v>1545</v>
      </c>
      <c r="C1228" s="8" t="s">
        <v>1546</v>
      </c>
      <c r="D1228" s="8" t="s">
        <v>1547</v>
      </c>
      <c r="E1228" s="8" t="s">
        <v>721</v>
      </c>
      <c r="F1228" s="9">
        <v>2</v>
      </c>
      <c r="G1228" s="5">
        <f>TRUNC([1]단가대비표!O1077,0)</f>
        <v>2000000</v>
      </c>
      <c r="H1228" s="5">
        <f t="shared" si="107"/>
        <v>4000000</v>
      </c>
      <c r="I1228" s="5">
        <v>428210</v>
      </c>
      <c r="J1228" s="5">
        <f t="shared" si="108"/>
        <v>856420</v>
      </c>
      <c r="K1228" s="5">
        <v>0</v>
      </c>
      <c r="L1228" s="5">
        <f t="shared" si="109"/>
        <v>0</v>
      </c>
      <c r="M1228" s="5">
        <f t="shared" si="110"/>
        <v>2428210</v>
      </c>
      <c r="N1228" s="5">
        <f t="shared" si="110"/>
        <v>4856420</v>
      </c>
      <c r="O1228" s="8" t="s">
        <v>20</v>
      </c>
      <c r="T1228">
        <v>0</v>
      </c>
      <c r="AC1228">
        <v>1</v>
      </c>
    </row>
    <row r="1229" spans="1:29" ht="30" customHeight="1" x14ac:dyDescent="0.3">
      <c r="A1229" s="8" t="s">
        <v>1541</v>
      </c>
      <c r="B1229" s="8" t="s">
        <v>1548</v>
      </c>
      <c r="C1229" s="8" t="s">
        <v>1549</v>
      </c>
      <c r="D1229" s="8" t="s">
        <v>20</v>
      </c>
      <c r="E1229" s="8" t="s">
        <v>721</v>
      </c>
      <c r="F1229" s="9">
        <v>2</v>
      </c>
      <c r="G1229" s="5">
        <v>0</v>
      </c>
      <c r="H1229" s="5">
        <f t="shared" si="107"/>
        <v>0</v>
      </c>
      <c r="I1229" s="5">
        <f>TRUNC([1]단가대비표!O1078,0)</f>
        <v>0</v>
      </c>
      <c r="J1229" s="5">
        <f t="shared" si="108"/>
        <v>0</v>
      </c>
      <c r="K1229" s="5">
        <v>0</v>
      </c>
      <c r="L1229" s="5">
        <f t="shared" si="109"/>
        <v>0</v>
      </c>
      <c r="M1229" s="5">
        <f t="shared" si="110"/>
        <v>0</v>
      </c>
      <c r="N1229" s="5">
        <f t="shared" si="110"/>
        <v>0</v>
      </c>
      <c r="O1229" s="8" t="s">
        <v>20</v>
      </c>
      <c r="T1229">
        <v>0</v>
      </c>
      <c r="AC1229">
        <v>1</v>
      </c>
    </row>
    <row r="1230" spans="1:29" ht="30" customHeight="1" x14ac:dyDescent="0.3">
      <c r="A1230" s="8" t="s">
        <v>1541</v>
      </c>
      <c r="B1230" s="8" t="s">
        <v>1550</v>
      </c>
      <c r="C1230" s="8" t="s">
        <v>1551</v>
      </c>
      <c r="D1230" s="8" t="s">
        <v>1552</v>
      </c>
      <c r="E1230" s="8" t="s">
        <v>721</v>
      </c>
      <c r="F1230" s="9">
        <v>2</v>
      </c>
      <c r="G1230" s="5">
        <f>TRUNC([1]단가대비표!O1079,0)</f>
        <v>4263000</v>
      </c>
      <c r="H1230" s="5">
        <f t="shared" si="107"/>
        <v>8526000</v>
      </c>
      <c r="I1230" s="5">
        <v>0</v>
      </c>
      <c r="J1230" s="5">
        <f t="shared" si="108"/>
        <v>0</v>
      </c>
      <c r="K1230" s="5">
        <v>0</v>
      </c>
      <c r="L1230" s="5">
        <f t="shared" si="109"/>
        <v>0</v>
      </c>
      <c r="M1230" s="5">
        <f t="shared" si="110"/>
        <v>4263000</v>
      </c>
      <c r="N1230" s="5">
        <f t="shared" si="110"/>
        <v>8526000</v>
      </c>
      <c r="O1230" s="8" t="s">
        <v>20</v>
      </c>
      <c r="T1230">
        <v>0</v>
      </c>
      <c r="AC1230">
        <v>1</v>
      </c>
    </row>
    <row r="1231" spans="1:29" ht="30" customHeight="1" x14ac:dyDescent="0.3">
      <c r="A1231" s="8" t="s">
        <v>1541</v>
      </c>
      <c r="B1231" s="8" t="s">
        <v>1553</v>
      </c>
      <c r="C1231" s="8" t="s">
        <v>1554</v>
      </c>
      <c r="D1231" s="8" t="s">
        <v>20</v>
      </c>
      <c r="E1231" s="8" t="s">
        <v>721</v>
      </c>
      <c r="F1231" s="9">
        <v>2</v>
      </c>
      <c r="G1231" s="5">
        <f>TRUNC([1]단가대비표!O1080,0)</f>
        <v>16980</v>
      </c>
      <c r="H1231" s="5">
        <f t="shared" si="107"/>
        <v>33960</v>
      </c>
      <c r="I1231" s="5">
        <v>566013</v>
      </c>
      <c r="J1231" s="5">
        <f t="shared" si="108"/>
        <v>1132026</v>
      </c>
      <c r="K1231" s="5">
        <v>0</v>
      </c>
      <c r="L1231" s="5">
        <f t="shared" si="109"/>
        <v>0</v>
      </c>
      <c r="M1231" s="5">
        <f t="shared" si="110"/>
        <v>582993</v>
      </c>
      <c r="N1231" s="5">
        <f t="shared" si="110"/>
        <v>1165986</v>
      </c>
      <c r="O1231" s="8" t="s">
        <v>20</v>
      </c>
      <c r="T1231">
        <v>0</v>
      </c>
      <c r="AC1231">
        <v>1</v>
      </c>
    </row>
    <row r="1232" spans="1:29" ht="30" customHeight="1" x14ac:dyDescent="0.3">
      <c r="A1232" s="8" t="s">
        <v>1541</v>
      </c>
      <c r="B1232" s="8" t="s">
        <v>1555</v>
      </c>
      <c r="C1232" s="8" t="s">
        <v>1556</v>
      </c>
      <c r="D1232" s="8" t="s">
        <v>1557</v>
      </c>
      <c r="E1232" s="8" t="s">
        <v>721</v>
      </c>
      <c r="F1232" s="9">
        <v>1</v>
      </c>
      <c r="G1232" s="5">
        <f>TRUNC([1]단가대비표!O1081,0)</f>
        <v>1020000</v>
      </c>
      <c r="H1232" s="5">
        <f t="shared" si="107"/>
        <v>1020000</v>
      </c>
      <c r="I1232" s="5">
        <v>0</v>
      </c>
      <c r="J1232" s="5">
        <f t="shared" si="108"/>
        <v>0</v>
      </c>
      <c r="K1232" s="5">
        <v>0</v>
      </c>
      <c r="L1232" s="5">
        <f t="shared" si="109"/>
        <v>0</v>
      </c>
      <c r="M1232" s="5">
        <f t="shared" si="110"/>
        <v>1020000</v>
      </c>
      <c r="N1232" s="5">
        <f t="shared" si="110"/>
        <v>1020000</v>
      </c>
      <c r="O1232" s="8" t="s">
        <v>20</v>
      </c>
      <c r="T1232">
        <v>0</v>
      </c>
      <c r="AC1232">
        <v>1</v>
      </c>
    </row>
    <row r="1233" spans="1:29" ht="30" customHeight="1" x14ac:dyDescent="0.3">
      <c r="A1233" s="8" t="s">
        <v>1541</v>
      </c>
      <c r="B1233" s="8" t="s">
        <v>1558</v>
      </c>
      <c r="C1233" s="8" t="s">
        <v>1559</v>
      </c>
      <c r="D1233" s="8" t="s">
        <v>1557</v>
      </c>
      <c r="E1233" s="8" t="s">
        <v>721</v>
      </c>
      <c r="F1233" s="9">
        <v>1</v>
      </c>
      <c r="G1233" s="5">
        <f>TRUNC([1]단가대비표!O1082,0)</f>
        <v>1020000</v>
      </c>
      <c r="H1233" s="5">
        <f t="shared" si="107"/>
        <v>1020000</v>
      </c>
      <c r="I1233" s="5">
        <v>0</v>
      </c>
      <c r="J1233" s="5">
        <f t="shared" si="108"/>
        <v>0</v>
      </c>
      <c r="K1233" s="5">
        <v>0</v>
      </c>
      <c r="L1233" s="5">
        <f t="shared" si="109"/>
        <v>0</v>
      </c>
      <c r="M1233" s="5">
        <f t="shared" si="110"/>
        <v>1020000</v>
      </c>
      <c r="N1233" s="5">
        <f t="shared" si="110"/>
        <v>1020000</v>
      </c>
      <c r="O1233" s="8" t="s">
        <v>20</v>
      </c>
      <c r="T1233">
        <v>0</v>
      </c>
      <c r="AC1233">
        <v>1</v>
      </c>
    </row>
    <row r="1234" spans="1:29" ht="30" customHeight="1" x14ac:dyDescent="0.3">
      <c r="A1234" s="8" t="s">
        <v>1541</v>
      </c>
      <c r="B1234" s="8" t="s">
        <v>1560</v>
      </c>
      <c r="C1234" s="8" t="s">
        <v>1561</v>
      </c>
      <c r="D1234" s="8" t="s">
        <v>1557</v>
      </c>
      <c r="E1234" s="8" t="s">
        <v>721</v>
      </c>
      <c r="F1234" s="9">
        <v>1</v>
      </c>
      <c r="G1234" s="5">
        <f>TRUNC([1]단가대비표!O1083,0)</f>
        <v>1020000</v>
      </c>
      <c r="H1234" s="5">
        <f t="shared" si="107"/>
        <v>1020000</v>
      </c>
      <c r="I1234" s="5">
        <v>0</v>
      </c>
      <c r="J1234" s="5">
        <f t="shared" si="108"/>
        <v>0</v>
      </c>
      <c r="K1234" s="5">
        <v>0</v>
      </c>
      <c r="L1234" s="5">
        <f t="shared" si="109"/>
        <v>0</v>
      </c>
      <c r="M1234" s="5">
        <f t="shared" si="110"/>
        <v>1020000</v>
      </c>
      <c r="N1234" s="5">
        <f t="shared" si="110"/>
        <v>1020000</v>
      </c>
      <c r="O1234" s="8" t="s">
        <v>20</v>
      </c>
      <c r="T1234">
        <v>0</v>
      </c>
      <c r="AC1234">
        <v>1</v>
      </c>
    </row>
    <row r="1235" spans="1:29" ht="30" customHeight="1" x14ac:dyDescent="0.3">
      <c r="A1235" s="8" t="s">
        <v>1541</v>
      </c>
      <c r="B1235" s="8" t="s">
        <v>1562</v>
      </c>
      <c r="C1235" s="8" t="s">
        <v>1563</v>
      </c>
      <c r="D1235" s="8" t="s">
        <v>1564</v>
      </c>
      <c r="E1235" s="8" t="s">
        <v>721</v>
      </c>
      <c r="F1235" s="9">
        <v>1</v>
      </c>
      <c r="G1235" s="5">
        <f>TRUNC([1]단가대비표!O1084,0)</f>
        <v>2745000</v>
      </c>
      <c r="H1235" s="5">
        <f t="shared" si="107"/>
        <v>2745000</v>
      </c>
      <c r="I1235" s="5">
        <v>1284631</v>
      </c>
      <c r="J1235" s="5">
        <f t="shared" si="108"/>
        <v>1284631</v>
      </c>
      <c r="K1235" s="5">
        <v>0</v>
      </c>
      <c r="L1235" s="5">
        <f t="shared" si="109"/>
        <v>0</v>
      </c>
      <c r="M1235" s="5">
        <f t="shared" si="110"/>
        <v>4029631</v>
      </c>
      <c r="N1235" s="5">
        <f t="shared" si="110"/>
        <v>4029631</v>
      </c>
      <c r="O1235" s="8" t="s">
        <v>20</v>
      </c>
      <c r="T1235">
        <v>0</v>
      </c>
      <c r="AC1235">
        <v>1</v>
      </c>
    </row>
    <row r="1236" spans="1:29" ht="30" customHeight="1" x14ac:dyDescent="0.3">
      <c r="A1236" s="8" t="s">
        <v>1541</v>
      </c>
      <c r="B1236" s="8" t="s">
        <v>1565</v>
      </c>
      <c r="C1236" s="8" t="s">
        <v>1566</v>
      </c>
      <c r="D1236" s="8" t="s">
        <v>20</v>
      </c>
      <c r="E1236" s="8" t="s">
        <v>721</v>
      </c>
      <c r="F1236" s="9">
        <v>1</v>
      </c>
      <c r="G1236" s="5">
        <v>0</v>
      </c>
      <c r="H1236" s="5">
        <f t="shared" si="107"/>
        <v>0</v>
      </c>
      <c r="I1236" s="5">
        <f>TRUNC([1]단가대비표!O1085,0)</f>
        <v>0</v>
      </c>
      <c r="J1236" s="5">
        <f t="shared" si="108"/>
        <v>0</v>
      </c>
      <c r="K1236" s="5">
        <v>0</v>
      </c>
      <c r="L1236" s="5">
        <f t="shared" si="109"/>
        <v>0</v>
      </c>
      <c r="M1236" s="5">
        <f t="shared" si="110"/>
        <v>0</v>
      </c>
      <c r="N1236" s="5">
        <f t="shared" si="110"/>
        <v>0</v>
      </c>
      <c r="O1236" s="8" t="s">
        <v>20</v>
      </c>
      <c r="T1236">
        <v>0</v>
      </c>
      <c r="AC1236">
        <v>1</v>
      </c>
    </row>
    <row r="1237" spans="1:29" ht="30" customHeight="1" x14ac:dyDescent="0.3">
      <c r="A1237" s="5"/>
      <c r="B1237" s="5"/>
      <c r="C1237" s="5"/>
      <c r="D1237" s="5"/>
      <c r="E1237" s="5"/>
      <c r="F1237" s="9"/>
      <c r="G1237" s="5"/>
      <c r="H1237" s="5"/>
      <c r="I1237" s="5"/>
      <c r="J1237" s="5"/>
      <c r="K1237" s="5"/>
      <c r="L1237" s="5"/>
      <c r="M1237" s="5"/>
      <c r="N1237" s="5"/>
      <c r="O1237" s="5"/>
    </row>
    <row r="1238" spans="1:29" ht="30" customHeight="1" x14ac:dyDescent="0.3">
      <c r="A1238" s="5"/>
      <c r="B1238" s="5"/>
      <c r="C1238" s="5"/>
      <c r="D1238" s="5"/>
      <c r="E1238" s="5"/>
      <c r="F1238" s="9"/>
      <c r="G1238" s="5"/>
      <c r="H1238" s="5"/>
      <c r="I1238" s="5"/>
      <c r="J1238" s="5"/>
      <c r="K1238" s="5"/>
      <c r="L1238" s="5"/>
      <c r="M1238" s="5"/>
      <c r="N1238" s="5"/>
      <c r="O1238" s="5"/>
    </row>
    <row r="1239" spans="1:29" ht="30" customHeight="1" x14ac:dyDescent="0.3">
      <c r="A1239" s="5"/>
      <c r="B1239" s="5"/>
      <c r="C1239" s="5"/>
      <c r="D1239" s="5"/>
      <c r="E1239" s="5"/>
      <c r="F1239" s="9"/>
      <c r="G1239" s="5"/>
      <c r="H1239" s="5"/>
      <c r="I1239" s="5"/>
      <c r="J1239" s="5"/>
      <c r="K1239" s="5"/>
      <c r="L1239" s="5"/>
      <c r="M1239" s="5"/>
      <c r="N1239" s="5"/>
      <c r="O1239" s="5"/>
    </row>
    <row r="1240" spans="1:29" ht="30" customHeight="1" x14ac:dyDescent="0.3">
      <c r="A1240" s="5"/>
      <c r="B1240" s="5"/>
      <c r="C1240" s="5"/>
      <c r="D1240" s="5"/>
      <c r="E1240" s="5"/>
      <c r="F1240" s="9"/>
      <c r="G1240" s="5"/>
      <c r="H1240" s="5"/>
      <c r="I1240" s="5"/>
      <c r="J1240" s="5"/>
      <c r="K1240" s="5"/>
      <c r="L1240" s="5"/>
      <c r="M1240" s="5"/>
      <c r="N1240" s="5"/>
      <c r="O1240" s="5"/>
    </row>
    <row r="1241" spans="1:29" ht="30" customHeight="1" x14ac:dyDescent="0.3">
      <c r="A1241" s="5"/>
      <c r="B1241" s="5"/>
      <c r="C1241" s="5"/>
      <c r="D1241" s="5"/>
      <c r="E1241" s="5"/>
      <c r="F1241" s="9"/>
      <c r="G1241" s="5"/>
      <c r="H1241" s="5"/>
      <c r="I1241" s="5"/>
      <c r="J1241" s="5"/>
      <c r="K1241" s="5"/>
      <c r="L1241" s="5"/>
      <c r="M1241" s="5"/>
      <c r="N1241" s="5"/>
      <c r="O1241" s="5"/>
    </row>
    <row r="1242" spans="1:29" ht="30" customHeight="1" x14ac:dyDescent="0.3">
      <c r="A1242" s="5"/>
      <c r="B1242" s="5"/>
      <c r="C1242" s="5"/>
      <c r="D1242" s="5"/>
      <c r="E1242" s="5"/>
      <c r="F1242" s="9"/>
      <c r="G1242" s="5"/>
      <c r="H1242" s="5"/>
      <c r="I1242" s="5"/>
      <c r="J1242" s="5"/>
      <c r="K1242" s="5"/>
      <c r="L1242" s="5"/>
      <c r="M1242" s="5"/>
      <c r="N1242" s="5"/>
      <c r="O1242" s="5"/>
    </row>
    <row r="1243" spans="1:29" ht="30" customHeight="1" x14ac:dyDescent="0.3">
      <c r="A1243" s="5"/>
      <c r="B1243" s="5"/>
      <c r="C1243" s="5"/>
      <c r="D1243" s="5"/>
      <c r="E1243" s="5"/>
      <c r="F1243" s="9"/>
      <c r="G1243" s="5"/>
      <c r="H1243" s="5"/>
      <c r="I1243" s="5"/>
      <c r="J1243" s="5"/>
      <c r="K1243" s="5"/>
      <c r="L1243" s="5"/>
      <c r="M1243" s="5"/>
      <c r="N1243" s="5"/>
      <c r="O1243" s="5"/>
    </row>
    <row r="1244" spans="1:29" ht="30" customHeight="1" x14ac:dyDescent="0.3">
      <c r="A1244" s="5"/>
      <c r="B1244" s="5"/>
      <c r="C1244" s="5"/>
      <c r="D1244" s="5"/>
      <c r="E1244" s="5"/>
      <c r="F1244" s="9"/>
      <c r="G1244" s="5"/>
      <c r="H1244" s="5"/>
      <c r="I1244" s="5"/>
      <c r="J1244" s="5"/>
      <c r="K1244" s="5"/>
      <c r="L1244" s="5"/>
      <c r="M1244" s="5"/>
      <c r="N1244" s="5"/>
      <c r="O1244" s="5"/>
    </row>
    <row r="1245" spans="1:29" ht="30" customHeight="1" x14ac:dyDescent="0.3">
      <c r="A1245" s="5"/>
      <c r="B1245" s="5"/>
      <c r="C1245" s="5"/>
      <c r="D1245" s="5"/>
      <c r="E1245" s="5"/>
      <c r="F1245" s="9"/>
      <c r="G1245" s="5"/>
      <c r="H1245" s="5"/>
      <c r="I1245" s="5"/>
      <c r="J1245" s="5"/>
      <c r="K1245" s="5"/>
      <c r="L1245" s="5"/>
      <c r="M1245" s="5"/>
      <c r="N1245" s="5"/>
      <c r="O1245" s="5"/>
    </row>
    <row r="1246" spans="1:29" ht="30" customHeight="1" x14ac:dyDescent="0.3">
      <c r="A1246" s="5"/>
      <c r="B1246" s="5"/>
      <c r="C1246" s="5"/>
      <c r="D1246" s="5"/>
      <c r="E1246" s="5"/>
      <c r="F1246" s="9"/>
      <c r="G1246" s="5"/>
      <c r="H1246" s="5"/>
      <c r="I1246" s="5"/>
      <c r="J1246" s="5"/>
      <c r="K1246" s="5"/>
      <c r="L1246" s="5"/>
      <c r="M1246" s="5"/>
      <c r="N1246" s="5"/>
      <c r="O1246" s="5"/>
    </row>
    <row r="1247" spans="1:29" ht="30" customHeight="1" x14ac:dyDescent="0.3">
      <c r="A1247" s="5"/>
      <c r="B1247" s="5"/>
      <c r="C1247" s="5"/>
      <c r="D1247" s="5"/>
      <c r="E1247" s="5"/>
      <c r="F1247" s="9"/>
      <c r="G1247" s="5"/>
      <c r="H1247" s="5"/>
      <c r="I1247" s="5"/>
      <c r="J1247" s="5"/>
      <c r="K1247" s="5"/>
      <c r="L1247" s="5"/>
      <c r="M1247" s="5"/>
      <c r="N1247" s="5"/>
      <c r="O1247" s="5"/>
    </row>
    <row r="1248" spans="1:29" ht="30" customHeight="1" x14ac:dyDescent="0.3">
      <c r="A1248" s="5"/>
      <c r="B1248" s="5"/>
      <c r="C1248" s="5"/>
      <c r="D1248" s="5"/>
      <c r="E1248" s="5"/>
      <c r="F1248" s="9"/>
      <c r="G1248" s="5"/>
      <c r="H1248" s="5"/>
      <c r="I1248" s="5"/>
      <c r="J1248" s="5"/>
      <c r="K1248" s="5"/>
      <c r="L1248" s="5"/>
      <c r="M1248" s="5"/>
      <c r="N1248" s="5"/>
      <c r="O1248" s="5"/>
    </row>
    <row r="1249" spans="1:29" ht="30" customHeight="1" x14ac:dyDescent="0.3">
      <c r="A1249" s="5"/>
      <c r="B1249" s="5"/>
      <c r="C1249" s="5"/>
      <c r="D1249" s="5"/>
      <c r="E1249" s="5"/>
      <c r="F1249" s="9"/>
      <c r="G1249" s="5"/>
      <c r="H1249" s="5"/>
      <c r="I1249" s="5"/>
      <c r="J1249" s="5"/>
      <c r="K1249" s="5"/>
      <c r="L1249" s="5"/>
      <c r="M1249" s="5"/>
      <c r="N1249" s="5"/>
      <c r="O1249" s="5"/>
    </row>
    <row r="1250" spans="1:29" ht="30" customHeight="1" x14ac:dyDescent="0.3">
      <c r="A1250" s="5"/>
      <c r="B1250" s="5"/>
      <c r="C1250" s="5"/>
      <c r="D1250" s="5"/>
      <c r="E1250" s="5"/>
      <c r="F1250" s="9"/>
      <c r="G1250" s="5"/>
      <c r="H1250" s="5"/>
      <c r="I1250" s="5"/>
      <c r="J1250" s="5"/>
      <c r="K1250" s="5"/>
      <c r="L1250" s="5"/>
      <c r="M1250" s="5"/>
      <c r="N1250" s="5"/>
      <c r="O1250" s="5"/>
    </row>
    <row r="1251" spans="1:29" ht="30" customHeight="1" x14ac:dyDescent="0.3">
      <c r="A1251" s="5"/>
      <c r="B1251" s="5"/>
      <c r="C1251" s="5" t="s">
        <v>162</v>
      </c>
      <c r="D1251" s="5"/>
      <c r="E1251" s="5"/>
      <c r="F1251" s="9"/>
      <c r="G1251" s="5"/>
      <c r="H1251" s="5">
        <f>SUMIF(AC1227:AC1250, 1, H1227:H1250)</f>
        <v>29164960</v>
      </c>
      <c r="I1251" s="5"/>
      <c r="J1251" s="5">
        <f>SUMIF(AC1227:AC1250, 1, J1227:J1250)</f>
        <v>3273077</v>
      </c>
      <c r="K1251" s="5"/>
      <c r="L1251" s="5">
        <f>SUMIF(AC1227:AC1250, 1, L1227:L1250)</f>
        <v>0</v>
      </c>
      <c r="M1251" s="5"/>
      <c r="N1251" s="5">
        <f>H1251+J1251+L1251</f>
        <v>32438037</v>
      </c>
      <c r="O1251" s="5"/>
    </row>
    <row r="1252" spans="1:29" ht="30" customHeight="1" x14ac:dyDescent="0.3">
      <c r="A1252" s="5"/>
      <c r="B1252" s="5"/>
      <c r="C1252" s="10" t="s">
        <v>1567</v>
      </c>
      <c r="D1252" s="10"/>
      <c r="E1252" s="10"/>
      <c r="F1252" s="11"/>
      <c r="G1252" s="10"/>
      <c r="H1252" s="10"/>
      <c r="I1252" s="10"/>
      <c r="J1252" s="10"/>
      <c r="K1252" s="10"/>
      <c r="L1252" s="10"/>
      <c r="M1252" s="10"/>
      <c r="N1252" s="10"/>
      <c r="O1252" s="10"/>
    </row>
    <row r="1253" spans="1:29" ht="30" customHeight="1" x14ac:dyDescent="0.3">
      <c r="A1253" s="8" t="s">
        <v>1568</v>
      </c>
      <c r="B1253" s="8" t="s">
        <v>1569</v>
      </c>
      <c r="C1253" s="8" t="s">
        <v>1570</v>
      </c>
      <c r="D1253" s="8" t="s">
        <v>1571</v>
      </c>
      <c r="E1253" s="8" t="s">
        <v>168</v>
      </c>
      <c r="F1253" s="9">
        <v>48</v>
      </c>
      <c r="G1253" s="5">
        <f>TRUNC([1]단가대비표!O1086,0)</f>
        <v>22580</v>
      </c>
      <c r="H1253" s="5">
        <f t="shared" ref="H1253:H1316" si="111">TRUNC(F1253*G1253,0)</f>
        <v>1083840</v>
      </c>
      <c r="I1253" s="5">
        <v>20764</v>
      </c>
      <c r="J1253" s="5">
        <f t="shared" ref="J1253:J1316" si="112">TRUNC(F1253*I1253,0)</f>
        <v>996672</v>
      </c>
      <c r="K1253" s="5">
        <v>0</v>
      </c>
      <c r="L1253" s="5">
        <f t="shared" ref="L1253:L1316" si="113">TRUNC(F1253*K1253,0)</f>
        <v>0</v>
      </c>
      <c r="M1253" s="5">
        <f t="shared" ref="M1253:N1284" si="114">G1253+I1253+K1253</f>
        <v>43344</v>
      </c>
      <c r="N1253" s="5">
        <f t="shared" si="114"/>
        <v>2080512</v>
      </c>
      <c r="O1253" s="8" t="s">
        <v>20</v>
      </c>
      <c r="T1253">
        <v>0</v>
      </c>
      <c r="AC1253">
        <v>1</v>
      </c>
    </row>
    <row r="1254" spans="1:29" ht="30" customHeight="1" x14ac:dyDescent="0.3">
      <c r="A1254" s="8" t="s">
        <v>1568</v>
      </c>
      <c r="B1254" s="8" t="s">
        <v>1572</v>
      </c>
      <c r="C1254" s="8" t="s">
        <v>1570</v>
      </c>
      <c r="D1254" s="8" t="s">
        <v>1573</v>
      </c>
      <c r="E1254" s="8" t="s">
        <v>168</v>
      </c>
      <c r="F1254" s="9">
        <v>36</v>
      </c>
      <c r="G1254" s="5">
        <f>TRUNC([1]단가대비표!O1087,0)</f>
        <v>27390</v>
      </c>
      <c r="H1254" s="5">
        <f t="shared" si="111"/>
        <v>986040</v>
      </c>
      <c r="I1254" s="5">
        <v>25601</v>
      </c>
      <c r="J1254" s="5">
        <f t="shared" si="112"/>
        <v>921636</v>
      </c>
      <c r="K1254" s="5">
        <v>0</v>
      </c>
      <c r="L1254" s="5">
        <f t="shared" si="113"/>
        <v>0</v>
      </c>
      <c r="M1254" s="5">
        <f t="shared" si="114"/>
        <v>52991</v>
      </c>
      <c r="N1254" s="5">
        <f t="shared" si="114"/>
        <v>1907676</v>
      </c>
      <c r="O1254" s="8" t="s">
        <v>20</v>
      </c>
      <c r="T1254">
        <v>0</v>
      </c>
      <c r="AC1254">
        <v>1</v>
      </c>
    </row>
    <row r="1255" spans="1:29" ht="30" customHeight="1" x14ac:dyDescent="0.3">
      <c r="A1255" s="8" t="s">
        <v>1568</v>
      </c>
      <c r="B1255" s="8" t="s">
        <v>1574</v>
      </c>
      <c r="C1255" s="8" t="s">
        <v>1570</v>
      </c>
      <c r="D1255" s="8" t="s">
        <v>1575</v>
      </c>
      <c r="E1255" s="8" t="s">
        <v>168</v>
      </c>
      <c r="F1255" s="9">
        <v>48</v>
      </c>
      <c r="G1255" s="5">
        <f>TRUNC([1]단가대비표!O1088,0)</f>
        <v>33740</v>
      </c>
      <c r="H1255" s="5">
        <f t="shared" si="111"/>
        <v>1619520</v>
      </c>
      <c r="I1255" s="5">
        <v>28978</v>
      </c>
      <c r="J1255" s="5">
        <f t="shared" si="112"/>
        <v>1390944</v>
      </c>
      <c r="K1255" s="5">
        <v>0</v>
      </c>
      <c r="L1255" s="5">
        <f t="shared" si="113"/>
        <v>0</v>
      </c>
      <c r="M1255" s="5">
        <f t="shared" si="114"/>
        <v>62718</v>
      </c>
      <c r="N1255" s="5">
        <f t="shared" si="114"/>
        <v>3010464</v>
      </c>
      <c r="O1255" s="8" t="s">
        <v>20</v>
      </c>
      <c r="T1255">
        <v>0</v>
      </c>
      <c r="AC1255">
        <v>1</v>
      </c>
    </row>
    <row r="1256" spans="1:29" ht="30" customHeight="1" x14ac:dyDescent="0.3">
      <c r="A1256" s="8" t="s">
        <v>1568</v>
      </c>
      <c r="B1256" s="8" t="s">
        <v>1576</v>
      </c>
      <c r="C1256" s="8" t="s">
        <v>1570</v>
      </c>
      <c r="D1256" s="8" t="s">
        <v>1577</v>
      </c>
      <c r="E1256" s="8" t="s">
        <v>168</v>
      </c>
      <c r="F1256" s="9">
        <v>144</v>
      </c>
      <c r="G1256" s="5">
        <f>TRUNC([1]단가대비표!O1089,0)</f>
        <v>43650</v>
      </c>
      <c r="H1256" s="5">
        <f t="shared" si="111"/>
        <v>6285600</v>
      </c>
      <c r="I1256" s="5">
        <v>41826</v>
      </c>
      <c r="J1256" s="5">
        <f t="shared" si="112"/>
        <v>6022944</v>
      </c>
      <c r="K1256" s="5">
        <v>0</v>
      </c>
      <c r="L1256" s="5">
        <f t="shared" si="113"/>
        <v>0</v>
      </c>
      <c r="M1256" s="5">
        <f t="shared" si="114"/>
        <v>85476</v>
      </c>
      <c r="N1256" s="5">
        <f t="shared" si="114"/>
        <v>12308544</v>
      </c>
      <c r="O1256" s="8" t="s">
        <v>20</v>
      </c>
      <c r="T1256">
        <v>0</v>
      </c>
      <c r="AC1256">
        <v>1</v>
      </c>
    </row>
    <row r="1257" spans="1:29" ht="30" customHeight="1" x14ac:dyDescent="0.3">
      <c r="A1257" s="8" t="s">
        <v>1568</v>
      </c>
      <c r="B1257" s="8" t="s">
        <v>1578</v>
      </c>
      <c r="C1257" s="8" t="s">
        <v>1570</v>
      </c>
      <c r="D1257" s="8" t="s">
        <v>1579</v>
      </c>
      <c r="E1257" s="8" t="s">
        <v>168</v>
      </c>
      <c r="F1257" s="9">
        <v>6</v>
      </c>
      <c r="G1257" s="5">
        <f>TRUNC([1]단가대비표!O1090,0)</f>
        <v>53450</v>
      </c>
      <c r="H1257" s="5">
        <f t="shared" si="111"/>
        <v>320700</v>
      </c>
      <c r="I1257" s="5">
        <v>55836</v>
      </c>
      <c r="J1257" s="5">
        <f t="shared" si="112"/>
        <v>335016</v>
      </c>
      <c r="K1257" s="5">
        <v>0</v>
      </c>
      <c r="L1257" s="5">
        <f t="shared" si="113"/>
        <v>0</v>
      </c>
      <c r="M1257" s="5">
        <f t="shared" si="114"/>
        <v>109286</v>
      </c>
      <c r="N1257" s="5">
        <f t="shared" si="114"/>
        <v>655716</v>
      </c>
      <c r="O1257" s="8" t="s">
        <v>20</v>
      </c>
      <c r="T1257">
        <v>0</v>
      </c>
      <c r="AC1257">
        <v>1</v>
      </c>
    </row>
    <row r="1258" spans="1:29" ht="30" customHeight="1" x14ac:dyDescent="0.3">
      <c r="A1258" s="8" t="s">
        <v>1568</v>
      </c>
      <c r="B1258" s="8" t="s">
        <v>1580</v>
      </c>
      <c r="C1258" s="8" t="s">
        <v>1570</v>
      </c>
      <c r="D1258" s="8" t="s">
        <v>1581</v>
      </c>
      <c r="E1258" s="8" t="s">
        <v>168</v>
      </c>
      <c r="F1258" s="9">
        <v>30</v>
      </c>
      <c r="G1258" s="5">
        <f>TRUNC([1]단가대비표!O1091,0)</f>
        <v>63410</v>
      </c>
      <c r="H1258" s="5">
        <f t="shared" si="111"/>
        <v>1902300</v>
      </c>
      <c r="I1258" s="5">
        <v>63644</v>
      </c>
      <c r="J1258" s="5">
        <f t="shared" si="112"/>
        <v>1909320</v>
      </c>
      <c r="K1258" s="5">
        <v>0</v>
      </c>
      <c r="L1258" s="5">
        <f t="shared" si="113"/>
        <v>0</v>
      </c>
      <c r="M1258" s="5">
        <f t="shared" si="114"/>
        <v>127054</v>
      </c>
      <c r="N1258" s="5">
        <f t="shared" si="114"/>
        <v>3811620</v>
      </c>
      <c r="O1258" s="8" t="s">
        <v>20</v>
      </c>
      <c r="T1258">
        <v>0</v>
      </c>
      <c r="AC1258">
        <v>1</v>
      </c>
    </row>
    <row r="1259" spans="1:29" ht="30" customHeight="1" x14ac:dyDescent="0.3">
      <c r="A1259" s="8" t="s">
        <v>1568</v>
      </c>
      <c r="B1259" s="8" t="s">
        <v>1582</v>
      </c>
      <c r="C1259" s="8" t="s">
        <v>1583</v>
      </c>
      <c r="D1259" s="8" t="s">
        <v>348</v>
      </c>
      <c r="E1259" s="8" t="s">
        <v>168</v>
      </c>
      <c r="F1259" s="9">
        <v>56</v>
      </c>
      <c r="G1259" s="5">
        <f>TRUNC([1]단가대비표!O1092,0)</f>
        <v>8068</v>
      </c>
      <c r="H1259" s="5">
        <f t="shared" si="111"/>
        <v>451808</v>
      </c>
      <c r="I1259" s="5">
        <v>40784</v>
      </c>
      <c r="J1259" s="5">
        <f t="shared" si="112"/>
        <v>2283904</v>
      </c>
      <c r="K1259" s="5">
        <v>0</v>
      </c>
      <c r="L1259" s="5">
        <f t="shared" si="113"/>
        <v>0</v>
      </c>
      <c r="M1259" s="5">
        <f t="shared" si="114"/>
        <v>48852</v>
      </c>
      <c r="N1259" s="5">
        <f t="shared" si="114"/>
        <v>2735712</v>
      </c>
      <c r="O1259" s="8" t="s">
        <v>20</v>
      </c>
      <c r="T1259">
        <v>0</v>
      </c>
      <c r="AC1259">
        <v>1</v>
      </c>
    </row>
    <row r="1260" spans="1:29" ht="30" customHeight="1" x14ac:dyDescent="0.3">
      <c r="A1260" s="8" t="s">
        <v>1568</v>
      </c>
      <c r="B1260" s="8" t="s">
        <v>1584</v>
      </c>
      <c r="C1260" s="8" t="s">
        <v>1583</v>
      </c>
      <c r="D1260" s="8" t="s">
        <v>352</v>
      </c>
      <c r="E1260" s="8" t="s">
        <v>168</v>
      </c>
      <c r="F1260" s="9">
        <v>44</v>
      </c>
      <c r="G1260" s="5">
        <f>TRUNC([1]단가대비표!O1093,0)</f>
        <v>16108</v>
      </c>
      <c r="H1260" s="5">
        <f t="shared" si="111"/>
        <v>708752</v>
      </c>
      <c r="I1260" s="5">
        <v>55768</v>
      </c>
      <c r="J1260" s="5">
        <f t="shared" si="112"/>
        <v>2453792</v>
      </c>
      <c r="K1260" s="5">
        <v>0</v>
      </c>
      <c r="L1260" s="5">
        <f t="shared" si="113"/>
        <v>0</v>
      </c>
      <c r="M1260" s="5">
        <f t="shared" si="114"/>
        <v>71876</v>
      </c>
      <c r="N1260" s="5">
        <f t="shared" si="114"/>
        <v>3162544</v>
      </c>
      <c r="O1260" s="8" t="s">
        <v>20</v>
      </c>
      <c r="T1260">
        <v>0</v>
      </c>
      <c r="AC1260">
        <v>1</v>
      </c>
    </row>
    <row r="1261" spans="1:29" ht="30" customHeight="1" x14ac:dyDescent="0.3">
      <c r="A1261" s="8" t="s">
        <v>1568</v>
      </c>
      <c r="B1261" s="8" t="s">
        <v>1585</v>
      </c>
      <c r="C1261" s="8" t="s">
        <v>1583</v>
      </c>
      <c r="D1261" s="8" t="s">
        <v>608</v>
      </c>
      <c r="E1261" s="8" t="s">
        <v>168</v>
      </c>
      <c r="F1261" s="9">
        <v>36</v>
      </c>
      <c r="G1261" s="5">
        <f>TRUNC([1]단가대비표!O1094,0)</f>
        <v>24414</v>
      </c>
      <c r="H1261" s="5">
        <f t="shared" si="111"/>
        <v>878904</v>
      </c>
      <c r="I1261" s="5">
        <v>70548</v>
      </c>
      <c r="J1261" s="5">
        <f t="shared" si="112"/>
        <v>2539728</v>
      </c>
      <c r="K1261" s="5">
        <v>0</v>
      </c>
      <c r="L1261" s="5">
        <f t="shared" si="113"/>
        <v>0</v>
      </c>
      <c r="M1261" s="5">
        <f t="shared" si="114"/>
        <v>94962</v>
      </c>
      <c r="N1261" s="5">
        <f t="shared" si="114"/>
        <v>3418632</v>
      </c>
      <c r="O1261" s="8" t="s">
        <v>20</v>
      </c>
      <c r="T1261">
        <v>0</v>
      </c>
      <c r="AC1261">
        <v>1</v>
      </c>
    </row>
    <row r="1262" spans="1:29" ht="30" customHeight="1" x14ac:dyDescent="0.3">
      <c r="A1262" s="8" t="s">
        <v>1568</v>
      </c>
      <c r="B1262" s="8" t="s">
        <v>1586</v>
      </c>
      <c r="C1262" s="8" t="s">
        <v>1583</v>
      </c>
      <c r="D1262" s="8" t="s">
        <v>1115</v>
      </c>
      <c r="E1262" s="8" t="s">
        <v>168</v>
      </c>
      <c r="F1262" s="9">
        <v>12</v>
      </c>
      <c r="G1262" s="5">
        <f>TRUNC([1]단가대비표!O1095,0)</f>
        <v>37336</v>
      </c>
      <c r="H1262" s="5">
        <f t="shared" si="111"/>
        <v>448032</v>
      </c>
      <c r="I1262" s="5">
        <v>70548</v>
      </c>
      <c r="J1262" s="5">
        <f t="shared" si="112"/>
        <v>846576</v>
      </c>
      <c r="K1262" s="5">
        <v>0</v>
      </c>
      <c r="L1262" s="5">
        <f t="shared" si="113"/>
        <v>0</v>
      </c>
      <c r="M1262" s="5">
        <f t="shared" si="114"/>
        <v>107884</v>
      </c>
      <c r="N1262" s="5">
        <f t="shared" si="114"/>
        <v>1294608</v>
      </c>
      <c r="O1262" s="8" t="s">
        <v>20</v>
      </c>
      <c r="T1262">
        <v>0</v>
      </c>
      <c r="AC1262">
        <v>1</v>
      </c>
    </row>
    <row r="1263" spans="1:29" ht="30" customHeight="1" x14ac:dyDescent="0.3">
      <c r="A1263" s="8" t="s">
        <v>1568</v>
      </c>
      <c r="B1263" s="8" t="s">
        <v>1587</v>
      </c>
      <c r="C1263" s="8" t="s">
        <v>252</v>
      </c>
      <c r="D1263" s="8" t="s">
        <v>1588</v>
      </c>
      <c r="E1263" s="8" t="s">
        <v>179</v>
      </c>
      <c r="F1263" s="9">
        <v>6</v>
      </c>
      <c r="G1263" s="5">
        <f>TRUNC([1]단가대비표!O1096,0)</f>
        <v>10630</v>
      </c>
      <c r="H1263" s="5">
        <f t="shared" si="111"/>
        <v>63780</v>
      </c>
      <c r="I1263" s="5">
        <v>0</v>
      </c>
      <c r="J1263" s="5">
        <f t="shared" si="112"/>
        <v>0</v>
      </c>
      <c r="K1263" s="5">
        <v>0</v>
      </c>
      <c r="L1263" s="5">
        <f t="shared" si="113"/>
        <v>0</v>
      </c>
      <c r="M1263" s="5">
        <f t="shared" si="114"/>
        <v>10630</v>
      </c>
      <c r="N1263" s="5">
        <f t="shared" si="114"/>
        <v>63780</v>
      </c>
      <c r="O1263" s="8" t="s">
        <v>20</v>
      </c>
      <c r="T1263">
        <v>0</v>
      </c>
      <c r="AC1263">
        <v>1</v>
      </c>
    </row>
    <row r="1264" spans="1:29" ht="30" customHeight="1" x14ac:dyDescent="0.3">
      <c r="A1264" s="8" t="s">
        <v>1568</v>
      </c>
      <c r="B1264" s="8" t="s">
        <v>1589</v>
      </c>
      <c r="C1264" s="8" t="s">
        <v>252</v>
      </c>
      <c r="D1264" s="8" t="s">
        <v>1590</v>
      </c>
      <c r="E1264" s="8" t="s">
        <v>179</v>
      </c>
      <c r="F1264" s="9">
        <v>10</v>
      </c>
      <c r="G1264" s="5">
        <f>TRUNC([1]단가대비표!O1097,0)</f>
        <v>22000</v>
      </c>
      <c r="H1264" s="5">
        <f t="shared" si="111"/>
        <v>220000</v>
      </c>
      <c r="I1264" s="5">
        <v>0</v>
      </c>
      <c r="J1264" s="5">
        <f t="shared" si="112"/>
        <v>0</v>
      </c>
      <c r="K1264" s="5">
        <v>0</v>
      </c>
      <c r="L1264" s="5">
        <f t="shared" si="113"/>
        <v>0</v>
      </c>
      <c r="M1264" s="5">
        <f t="shared" si="114"/>
        <v>22000</v>
      </c>
      <c r="N1264" s="5">
        <f t="shared" si="114"/>
        <v>220000</v>
      </c>
      <c r="O1264" s="8" t="s">
        <v>20</v>
      </c>
      <c r="T1264">
        <v>0</v>
      </c>
      <c r="AC1264">
        <v>1</v>
      </c>
    </row>
    <row r="1265" spans="1:29" ht="30" customHeight="1" x14ac:dyDescent="0.3">
      <c r="A1265" s="8" t="s">
        <v>1568</v>
      </c>
      <c r="B1265" s="8" t="s">
        <v>1591</v>
      </c>
      <c r="C1265" s="8" t="s">
        <v>252</v>
      </c>
      <c r="D1265" s="8" t="s">
        <v>1592</v>
      </c>
      <c r="E1265" s="8" t="s">
        <v>179</v>
      </c>
      <c r="F1265" s="9">
        <v>24</v>
      </c>
      <c r="G1265" s="5">
        <f>TRUNC([1]단가대비표!O1098,0)</f>
        <v>36630</v>
      </c>
      <c r="H1265" s="5">
        <f t="shared" si="111"/>
        <v>879120</v>
      </c>
      <c r="I1265" s="5">
        <v>0</v>
      </c>
      <c r="J1265" s="5">
        <f t="shared" si="112"/>
        <v>0</v>
      </c>
      <c r="K1265" s="5">
        <v>0</v>
      </c>
      <c r="L1265" s="5">
        <f t="shared" si="113"/>
        <v>0</v>
      </c>
      <c r="M1265" s="5">
        <f t="shared" si="114"/>
        <v>36630</v>
      </c>
      <c r="N1265" s="5">
        <f t="shared" si="114"/>
        <v>879120</v>
      </c>
      <c r="O1265" s="8" t="s">
        <v>20</v>
      </c>
      <c r="T1265">
        <v>0</v>
      </c>
      <c r="AC1265">
        <v>1</v>
      </c>
    </row>
    <row r="1266" spans="1:29" ht="30" customHeight="1" x14ac:dyDescent="0.3">
      <c r="A1266" s="8" t="s">
        <v>1568</v>
      </c>
      <c r="B1266" s="8" t="s">
        <v>1593</v>
      </c>
      <c r="C1266" s="8" t="s">
        <v>252</v>
      </c>
      <c r="D1266" s="8" t="s">
        <v>1594</v>
      </c>
      <c r="E1266" s="8" t="s">
        <v>179</v>
      </c>
      <c r="F1266" s="9">
        <v>10</v>
      </c>
      <c r="G1266" s="5">
        <f>TRUNC([1]단가대비표!O1099,0)</f>
        <v>88870</v>
      </c>
      <c r="H1266" s="5">
        <f t="shared" si="111"/>
        <v>888700</v>
      </c>
      <c r="I1266" s="5">
        <v>0</v>
      </c>
      <c r="J1266" s="5">
        <f t="shared" si="112"/>
        <v>0</v>
      </c>
      <c r="K1266" s="5">
        <v>0</v>
      </c>
      <c r="L1266" s="5">
        <f t="shared" si="113"/>
        <v>0</v>
      </c>
      <c r="M1266" s="5">
        <f t="shared" si="114"/>
        <v>88870</v>
      </c>
      <c r="N1266" s="5">
        <f t="shared" si="114"/>
        <v>888700</v>
      </c>
      <c r="O1266" s="8" t="s">
        <v>20</v>
      </c>
      <c r="T1266">
        <v>0</v>
      </c>
      <c r="AC1266">
        <v>1</v>
      </c>
    </row>
    <row r="1267" spans="1:29" ht="30" customHeight="1" x14ac:dyDescent="0.3">
      <c r="A1267" s="8" t="s">
        <v>1568</v>
      </c>
      <c r="B1267" s="8" t="s">
        <v>1595</v>
      </c>
      <c r="C1267" s="8" t="s">
        <v>252</v>
      </c>
      <c r="D1267" s="8" t="s">
        <v>1596</v>
      </c>
      <c r="E1267" s="8" t="s">
        <v>179</v>
      </c>
      <c r="F1267" s="9">
        <v>6</v>
      </c>
      <c r="G1267" s="5">
        <f>TRUNC([1]단가대비표!O1100,0)</f>
        <v>19140</v>
      </c>
      <c r="H1267" s="5">
        <f t="shared" si="111"/>
        <v>114840</v>
      </c>
      <c r="I1267" s="5">
        <v>0</v>
      </c>
      <c r="J1267" s="5">
        <f t="shared" si="112"/>
        <v>0</v>
      </c>
      <c r="K1267" s="5">
        <v>0</v>
      </c>
      <c r="L1267" s="5">
        <f t="shared" si="113"/>
        <v>0</v>
      </c>
      <c r="M1267" s="5">
        <f t="shared" si="114"/>
        <v>19140</v>
      </c>
      <c r="N1267" s="5">
        <f t="shared" si="114"/>
        <v>114840</v>
      </c>
      <c r="O1267" s="8" t="s">
        <v>20</v>
      </c>
      <c r="T1267">
        <v>0</v>
      </c>
      <c r="AC1267">
        <v>1</v>
      </c>
    </row>
    <row r="1268" spans="1:29" ht="30" customHeight="1" x14ac:dyDescent="0.3">
      <c r="A1268" s="8" t="s">
        <v>1568</v>
      </c>
      <c r="B1268" s="8" t="s">
        <v>1597</v>
      </c>
      <c r="C1268" s="8" t="s">
        <v>252</v>
      </c>
      <c r="D1268" s="8" t="s">
        <v>1598</v>
      </c>
      <c r="E1268" s="8" t="s">
        <v>179</v>
      </c>
      <c r="F1268" s="9">
        <v>6</v>
      </c>
      <c r="G1268" s="5">
        <f>TRUNC([1]단가대비표!O1101,0)</f>
        <v>29330</v>
      </c>
      <c r="H1268" s="5">
        <f t="shared" si="111"/>
        <v>175980</v>
      </c>
      <c r="I1268" s="5">
        <v>0</v>
      </c>
      <c r="J1268" s="5">
        <f t="shared" si="112"/>
        <v>0</v>
      </c>
      <c r="K1268" s="5">
        <v>0</v>
      </c>
      <c r="L1268" s="5">
        <f t="shared" si="113"/>
        <v>0</v>
      </c>
      <c r="M1268" s="5">
        <f t="shared" si="114"/>
        <v>29330</v>
      </c>
      <c r="N1268" s="5">
        <f t="shared" si="114"/>
        <v>175980</v>
      </c>
      <c r="O1268" s="8" t="s">
        <v>20</v>
      </c>
      <c r="T1268">
        <v>0</v>
      </c>
      <c r="AC1268">
        <v>1</v>
      </c>
    </row>
    <row r="1269" spans="1:29" ht="30" customHeight="1" x14ac:dyDescent="0.3">
      <c r="A1269" s="8" t="s">
        <v>1568</v>
      </c>
      <c r="B1269" s="8" t="s">
        <v>1599</v>
      </c>
      <c r="C1269" s="8" t="s">
        <v>252</v>
      </c>
      <c r="D1269" s="8" t="s">
        <v>1600</v>
      </c>
      <c r="E1269" s="8" t="s">
        <v>179</v>
      </c>
      <c r="F1269" s="9">
        <v>10</v>
      </c>
      <c r="G1269" s="5">
        <f>TRUNC([1]단가대비표!O1102,0)</f>
        <v>34510</v>
      </c>
      <c r="H1269" s="5">
        <f t="shared" si="111"/>
        <v>345100</v>
      </c>
      <c r="I1269" s="5">
        <v>0</v>
      </c>
      <c r="J1269" s="5">
        <f t="shared" si="112"/>
        <v>0</v>
      </c>
      <c r="K1269" s="5">
        <v>0</v>
      </c>
      <c r="L1269" s="5">
        <f t="shared" si="113"/>
        <v>0</v>
      </c>
      <c r="M1269" s="5">
        <f t="shared" si="114"/>
        <v>34510</v>
      </c>
      <c r="N1269" s="5">
        <f t="shared" si="114"/>
        <v>345100</v>
      </c>
      <c r="O1269" s="8" t="s">
        <v>20</v>
      </c>
      <c r="T1269">
        <v>0</v>
      </c>
      <c r="AC1269">
        <v>1</v>
      </c>
    </row>
    <row r="1270" spans="1:29" ht="30" customHeight="1" x14ac:dyDescent="0.3">
      <c r="A1270" s="8" t="s">
        <v>1568</v>
      </c>
      <c r="B1270" s="8" t="s">
        <v>1601</v>
      </c>
      <c r="C1270" s="8" t="s">
        <v>252</v>
      </c>
      <c r="D1270" s="8" t="s">
        <v>1602</v>
      </c>
      <c r="E1270" s="8" t="s">
        <v>179</v>
      </c>
      <c r="F1270" s="9">
        <v>4</v>
      </c>
      <c r="G1270" s="5">
        <f>TRUNC([1]단가대비표!O1103,0)</f>
        <v>52310</v>
      </c>
      <c r="H1270" s="5">
        <f t="shared" si="111"/>
        <v>209240</v>
      </c>
      <c r="I1270" s="5">
        <v>0</v>
      </c>
      <c r="J1270" s="5">
        <f t="shared" si="112"/>
        <v>0</v>
      </c>
      <c r="K1270" s="5">
        <v>0</v>
      </c>
      <c r="L1270" s="5">
        <f t="shared" si="113"/>
        <v>0</v>
      </c>
      <c r="M1270" s="5">
        <f t="shared" si="114"/>
        <v>52310</v>
      </c>
      <c r="N1270" s="5">
        <f t="shared" si="114"/>
        <v>209240</v>
      </c>
      <c r="O1270" s="8" t="s">
        <v>20</v>
      </c>
      <c r="T1270">
        <v>0</v>
      </c>
      <c r="AC1270">
        <v>1</v>
      </c>
    </row>
    <row r="1271" spans="1:29" ht="30" customHeight="1" x14ac:dyDescent="0.3">
      <c r="A1271" s="8" t="s">
        <v>1568</v>
      </c>
      <c r="B1271" s="8" t="s">
        <v>1603</v>
      </c>
      <c r="C1271" s="8" t="s">
        <v>252</v>
      </c>
      <c r="D1271" s="8" t="s">
        <v>1604</v>
      </c>
      <c r="E1271" s="8" t="s">
        <v>179</v>
      </c>
      <c r="F1271" s="9">
        <v>1</v>
      </c>
      <c r="G1271" s="5">
        <f>TRUNC([1]단가대비표!O1104,0)</f>
        <v>79980</v>
      </c>
      <c r="H1271" s="5">
        <f t="shared" si="111"/>
        <v>79980</v>
      </c>
      <c r="I1271" s="5">
        <v>0</v>
      </c>
      <c r="J1271" s="5">
        <f t="shared" si="112"/>
        <v>0</v>
      </c>
      <c r="K1271" s="5">
        <v>0</v>
      </c>
      <c r="L1271" s="5">
        <f t="shared" si="113"/>
        <v>0</v>
      </c>
      <c r="M1271" s="5">
        <f t="shared" si="114"/>
        <v>79980</v>
      </c>
      <c r="N1271" s="5">
        <f t="shared" si="114"/>
        <v>79980</v>
      </c>
      <c r="O1271" s="8" t="s">
        <v>20</v>
      </c>
      <c r="T1271">
        <v>0</v>
      </c>
      <c r="AC1271">
        <v>1</v>
      </c>
    </row>
    <row r="1272" spans="1:29" ht="30" customHeight="1" x14ac:dyDescent="0.3">
      <c r="A1272" s="8" t="s">
        <v>1568</v>
      </c>
      <c r="B1272" s="8" t="s">
        <v>1605</v>
      </c>
      <c r="C1272" s="8" t="s">
        <v>252</v>
      </c>
      <c r="D1272" s="8" t="s">
        <v>1606</v>
      </c>
      <c r="E1272" s="8" t="s">
        <v>179</v>
      </c>
      <c r="F1272" s="9">
        <v>12</v>
      </c>
      <c r="G1272" s="5">
        <f>TRUNC([1]단가대비표!O1105,0)</f>
        <v>110100</v>
      </c>
      <c r="H1272" s="5">
        <f t="shared" si="111"/>
        <v>1321200</v>
      </c>
      <c r="I1272" s="5">
        <v>0</v>
      </c>
      <c r="J1272" s="5">
        <f t="shared" si="112"/>
        <v>0</v>
      </c>
      <c r="K1272" s="5">
        <v>0</v>
      </c>
      <c r="L1272" s="5">
        <f t="shared" si="113"/>
        <v>0</v>
      </c>
      <c r="M1272" s="5">
        <f t="shared" si="114"/>
        <v>110100</v>
      </c>
      <c r="N1272" s="5">
        <f t="shared" si="114"/>
        <v>1321200</v>
      </c>
      <c r="O1272" s="8" t="s">
        <v>20</v>
      </c>
      <c r="T1272">
        <v>0</v>
      </c>
      <c r="AC1272">
        <v>1</v>
      </c>
    </row>
    <row r="1273" spans="1:29" ht="30" customHeight="1" x14ac:dyDescent="0.3">
      <c r="A1273" s="8" t="s">
        <v>1568</v>
      </c>
      <c r="B1273" s="8" t="s">
        <v>1607</v>
      </c>
      <c r="C1273" s="8" t="s">
        <v>252</v>
      </c>
      <c r="D1273" s="8" t="s">
        <v>1608</v>
      </c>
      <c r="E1273" s="8" t="s">
        <v>179</v>
      </c>
      <c r="F1273" s="9">
        <v>6</v>
      </c>
      <c r="G1273" s="5">
        <f>TRUNC([1]단가대비표!O1106,0)</f>
        <v>8900</v>
      </c>
      <c r="H1273" s="5">
        <f t="shared" si="111"/>
        <v>53400</v>
      </c>
      <c r="I1273" s="5">
        <v>0</v>
      </c>
      <c r="J1273" s="5">
        <f t="shared" si="112"/>
        <v>0</v>
      </c>
      <c r="K1273" s="5">
        <v>0</v>
      </c>
      <c r="L1273" s="5">
        <f t="shared" si="113"/>
        <v>0</v>
      </c>
      <c r="M1273" s="5">
        <f t="shared" si="114"/>
        <v>8900</v>
      </c>
      <c r="N1273" s="5">
        <f t="shared" si="114"/>
        <v>53400</v>
      </c>
      <c r="O1273" s="8" t="s">
        <v>20</v>
      </c>
      <c r="T1273">
        <v>0</v>
      </c>
      <c r="AC1273">
        <v>1</v>
      </c>
    </row>
    <row r="1274" spans="1:29" ht="30" customHeight="1" x14ac:dyDescent="0.3">
      <c r="A1274" s="8" t="s">
        <v>1568</v>
      </c>
      <c r="B1274" s="8" t="s">
        <v>1609</v>
      </c>
      <c r="C1274" s="8" t="s">
        <v>252</v>
      </c>
      <c r="D1274" s="8" t="s">
        <v>1610</v>
      </c>
      <c r="E1274" s="8" t="s">
        <v>179</v>
      </c>
      <c r="F1274" s="9">
        <v>6</v>
      </c>
      <c r="G1274" s="5">
        <f>TRUNC([1]단가대비표!O1107,0)</f>
        <v>10610</v>
      </c>
      <c r="H1274" s="5">
        <f t="shared" si="111"/>
        <v>63660</v>
      </c>
      <c r="I1274" s="5">
        <v>0</v>
      </c>
      <c r="J1274" s="5">
        <f t="shared" si="112"/>
        <v>0</v>
      </c>
      <c r="K1274" s="5">
        <v>0</v>
      </c>
      <c r="L1274" s="5">
        <f t="shared" si="113"/>
        <v>0</v>
      </c>
      <c r="M1274" s="5">
        <f t="shared" si="114"/>
        <v>10610</v>
      </c>
      <c r="N1274" s="5">
        <f t="shared" si="114"/>
        <v>63660</v>
      </c>
      <c r="O1274" s="8" t="s">
        <v>20</v>
      </c>
      <c r="T1274">
        <v>0</v>
      </c>
      <c r="AC1274">
        <v>1</v>
      </c>
    </row>
    <row r="1275" spans="1:29" ht="30" customHeight="1" x14ac:dyDescent="0.3">
      <c r="A1275" s="8" t="s">
        <v>1568</v>
      </c>
      <c r="B1275" s="8" t="s">
        <v>1611</v>
      </c>
      <c r="C1275" s="8" t="s">
        <v>252</v>
      </c>
      <c r="D1275" s="8" t="s">
        <v>1612</v>
      </c>
      <c r="E1275" s="8" t="s">
        <v>179</v>
      </c>
      <c r="F1275" s="9">
        <v>2</v>
      </c>
      <c r="G1275" s="5">
        <f>TRUNC([1]단가대비표!O1108,0)</f>
        <v>14930</v>
      </c>
      <c r="H1275" s="5">
        <f t="shared" si="111"/>
        <v>29860</v>
      </c>
      <c r="I1275" s="5">
        <v>0</v>
      </c>
      <c r="J1275" s="5">
        <f t="shared" si="112"/>
        <v>0</v>
      </c>
      <c r="K1275" s="5">
        <v>0</v>
      </c>
      <c r="L1275" s="5">
        <f t="shared" si="113"/>
        <v>0</v>
      </c>
      <c r="M1275" s="5">
        <f t="shared" si="114"/>
        <v>14930</v>
      </c>
      <c r="N1275" s="5">
        <f t="shared" si="114"/>
        <v>29860</v>
      </c>
      <c r="O1275" s="8" t="s">
        <v>20</v>
      </c>
      <c r="T1275">
        <v>0</v>
      </c>
      <c r="AC1275">
        <v>1</v>
      </c>
    </row>
    <row r="1276" spans="1:29" ht="30" customHeight="1" x14ac:dyDescent="0.3">
      <c r="A1276" s="8" t="s">
        <v>1568</v>
      </c>
      <c r="B1276" s="8" t="s">
        <v>1613</v>
      </c>
      <c r="C1276" s="8" t="s">
        <v>252</v>
      </c>
      <c r="D1276" s="8" t="s">
        <v>1614</v>
      </c>
      <c r="E1276" s="8" t="s">
        <v>179</v>
      </c>
      <c r="F1276" s="9">
        <v>2</v>
      </c>
      <c r="G1276" s="5">
        <f>TRUNC([1]단가대비표!O1109,0)</f>
        <v>35920</v>
      </c>
      <c r="H1276" s="5">
        <f t="shared" si="111"/>
        <v>71840</v>
      </c>
      <c r="I1276" s="5">
        <v>0</v>
      </c>
      <c r="J1276" s="5">
        <f t="shared" si="112"/>
        <v>0</v>
      </c>
      <c r="K1276" s="5">
        <v>0</v>
      </c>
      <c r="L1276" s="5">
        <f t="shared" si="113"/>
        <v>0</v>
      </c>
      <c r="M1276" s="5">
        <f t="shared" si="114"/>
        <v>35920</v>
      </c>
      <c r="N1276" s="5">
        <f t="shared" si="114"/>
        <v>71840</v>
      </c>
      <c r="O1276" s="8" t="s">
        <v>20</v>
      </c>
      <c r="T1276">
        <v>0</v>
      </c>
      <c r="AC1276">
        <v>1</v>
      </c>
    </row>
    <row r="1277" spans="1:29" ht="30" customHeight="1" x14ac:dyDescent="0.3">
      <c r="A1277" s="8" t="s">
        <v>1568</v>
      </c>
      <c r="B1277" s="8" t="s">
        <v>1615</v>
      </c>
      <c r="C1277" s="8" t="s">
        <v>1616</v>
      </c>
      <c r="D1277" s="8" t="s">
        <v>447</v>
      </c>
      <c r="E1277" s="8" t="s">
        <v>185</v>
      </c>
      <c r="F1277" s="9">
        <v>4</v>
      </c>
      <c r="G1277" s="5">
        <f>TRUNC([1]단가대비표!O1110,0)</f>
        <v>18891</v>
      </c>
      <c r="H1277" s="5">
        <f t="shared" si="111"/>
        <v>75564</v>
      </c>
      <c r="I1277" s="5">
        <v>33715</v>
      </c>
      <c r="J1277" s="5">
        <f t="shared" si="112"/>
        <v>134860</v>
      </c>
      <c r="K1277" s="5">
        <v>0</v>
      </c>
      <c r="L1277" s="5">
        <f t="shared" si="113"/>
        <v>0</v>
      </c>
      <c r="M1277" s="5">
        <f t="shared" si="114"/>
        <v>52606</v>
      </c>
      <c r="N1277" s="5">
        <f t="shared" si="114"/>
        <v>210424</v>
      </c>
      <c r="O1277" s="8" t="s">
        <v>20</v>
      </c>
      <c r="T1277">
        <v>0</v>
      </c>
      <c r="AC1277">
        <v>1</v>
      </c>
    </row>
    <row r="1278" spans="1:29" ht="30" customHeight="1" x14ac:dyDescent="0.3">
      <c r="A1278" s="8" t="s">
        <v>1568</v>
      </c>
      <c r="B1278" s="8" t="s">
        <v>1617</v>
      </c>
      <c r="C1278" s="8" t="s">
        <v>1616</v>
      </c>
      <c r="D1278" s="8" t="s">
        <v>352</v>
      </c>
      <c r="E1278" s="8" t="s">
        <v>185</v>
      </c>
      <c r="F1278" s="9">
        <v>16</v>
      </c>
      <c r="G1278" s="5">
        <f>TRUNC([1]단가대비표!O1111,0)</f>
        <v>42050</v>
      </c>
      <c r="H1278" s="5">
        <f t="shared" si="111"/>
        <v>672800</v>
      </c>
      <c r="I1278" s="5">
        <v>57691</v>
      </c>
      <c r="J1278" s="5">
        <f t="shared" si="112"/>
        <v>923056</v>
      </c>
      <c r="K1278" s="5">
        <v>0</v>
      </c>
      <c r="L1278" s="5">
        <f t="shared" si="113"/>
        <v>0</v>
      </c>
      <c r="M1278" s="5">
        <f t="shared" si="114"/>
        <v>99741</v>
      </c>
      <c r="N1278" s="5">
        <f t="shared" si="114"/>
        <v>1595856</v>
      </c>
      <c r="O1278" s="8" t="s">
        <v>20</v>
      </c>
      <c r="T1278">
        <v>0</v>
      </c>
      <c r="AC1278">
        <v>1</v>
      </c>
    </row>
    <row r="1279" spans="1:29" ht="30" customHeight="1" x14ac:dyDescent="0.3">
      <c r="A1279" s="8" t="s">
        <v>1568</v>
      </c>
      <c r="B1279" s="8" t="s">
        <v>1618</v>
      </c>
      <c r="C1279" s="8" t="s">
        <v>252</v>
      </c>
      <c r="D1279" s="8" t="s">
        <v>1619</v>
      </c>
      <c r="E1279" s="8" t="s">
        <v>179</v>
      </c>
      <c r="F1279" s="9">
        <v>10</v>
      </c>
      <c r="G1279" s="5">
        <f>TRUNC([1]단가대비표!O1112,0)</f>
        <v>2940</v>
      </c>
      <c r="H1279" s="5">
        <f t="shared" si="111"/>
        <v>29400</v>
      </c>
      <c r="I1279" s="5">
        <v>0</v>
      </c>
      <c r="J1279" s="5">
        <f t="shared" si="112"/>
        <v>0</v>
      </c>
      <c r="K1279" s="5">
        <v>0</v>
      </c>
      <c r="L1279" s="5">
        <f t="shared" si="113"/>
        <v>0</v>
      </c>
      <c r="M1279" s="5">
        <f t="shared" si="114"/>
        <v>2940</v>
      </c>
      <c r="N1279" s="5">
        <f t="shared" si="114"/>
        <v>29400</v>
      </c>
      <c r="O1279" s="8" t="s">
        <v>20</v>
      </c>
      <c r="T1279">
        <v>0</v>
      </c>
      <c r="AC1279">
        <v>1</v>
      </c>
    </row>
    <row r="1280" spans="1:29" ht="30" customHeight="1" x14ac:dyDescent="0.3">
      <c r="A1280" s="8" t="s">
        <v>1568</v>
      </c>
      <c r="B1280" s="8" t="s">
        <v>1620</v>
      </c>
      <c r="C1280" s="8" t="s">
        <v>252</v>
      </c>
      <c r="D1280" s="8" t="s">
        <v>1621</v>
      </c>
      <c r="E1280" s="8" t="s">
        <v>179</v>
      </c>
      <c r="F1280" s="9">
        <v>10</v>
      </c>
      <c r="G1280" s="5">
        <f>TRUNC([1]단가대비표!O1113,0)</f>
        <v>3750</v>
      </c>
      <c r="H1280" s="5">
        <f t="shared" si="111"/>
        <v>37500</v>
      </c>
      <c r="I1280" s="5">
        <v>0</v>
      </c>
      <c r="J1280" s="5">
        <f t="shared" si="112"/>
        <v>0</v>
      </c>
      <c r="K1280" s="5">
        <v>0</v>
      </c>
      <c r="L1280" s="5">
        <f t="shared" si="113"/>
        <v>0</v>
      </c>
      <c r="M1280" s="5">
        <f t="shared" si="114"/>
        <v>3750</v>
      </c>
      <c r="N1280" s="5">
        <f t="shared" si="114"/>
        <v>37500</v>
      </c>
      <c r="O1280" s="8" t="s">
        <v>20</v>
      </c>
      <c r="T1280">
        <v>0</v>
      </c>
      <c r="AC1280">
        <v>1</v>
      </c>
    </row>
    <row r="1281" spans="1:29" ht="30" customHeight="1" x14ac:dyDescent="0.3">
      <c r="A1281" s="8" t="s">
        <v>1568</v>
      </c>
      <c r="B1281" s="8" t="s">
        <v>1622</v>
      </c>
      <c r="C1281" s="8" t="s">
        <v>694</v>
      </c>
      <c r="D1281" s="8" t="s">
        <v>1623</v>
      </c>
      <c r="E1281" s="8" t="s">
        <v>179</v>
      </c>
      <c r="F1281" s="9">
        <v>37</v>
      </c>
      <c r="G1281" s="5">
        <f>TRUNC([1]단가대비표!O1114,0)</f>
        <v>2090</v>
      </c>
      <c r="H1281" s="5">
        <f t="shared" si="111"/>
        <v>77330</v>
      </c>
      <c r="I1281" s="5">
        <v>0</v>
      </c>
      <c r="J1281" s="5">
        <f t="shared" si="112"/>
        <v>0</v>
      </c>
      <c r="K1281" s="5">
        <v>0</v>
      </c>
      <c r="L1281" s="5">
        <f t="shared" si="113"/>
        <v>0</v>
      </c>
      <c r="M1281" s="5">
        <f t="shared" si="114"/>
        <v>2090</v>
      </c>
      <c r="N1281" s="5">
        <f t="shared" si="114"/>
        <v>77330</v>
      </c>
      <c r="O1281" s="8" t="s">
        <v>20</v>
      </c>
      <c r="T1281">
        <v>0</v>
      </c>
      <c r="AC1281">
        <v>1</v>
      </c>
    </row>
    <row r="1282" spans="1:29" ht="30" customHeight="1" x14ac:dyDescent="0.3">
      <c r="A1282" s="8" t="s">
        <v>1568</v>
      </c>
      <c r="B1282" s="8" t="s">
        <v>1624</v>
      </c>
      <c r="C1282" s="8" t="s">
        <v>694</v>
      </c>
      <c r="D1282" s="8" t="s">
        <v>1625</v>
      </c>
      <c r="E1282" s="8" t="s">
        <v>179</v>
      </c>
      <c r="F1282" s="9">
        <v>1</v>
      </c>
      <c r="G1282" s="5">
        <f>TRUNC([1]단가대비표!O1115,0)</f>
        <v>6030</v>
      </c>
      <c r="H1282" s="5">
        <f t="shared" si="111"/>
        <v>6030</v>
      </c>
      <c r="I1282" s="5">
        <v>0</v>
      </c>
      <c r="J1282" s="5">
        <f t="shared" si="112"/>
        <v>0</v>
      </c>
      <c r="K1282" s="5">
        <v>0</v>
      </c>
      <c r="L1282" s="5">
        <f t="shared" si="113"/>
        <v>0</v>
      </c>
      <c r="M1282" s="5">
        <f t="shared" si="114"/>
        <v>6030</v>
      </c>
      <c r="N1282" s="5">
        <f t="shared" si="114"/>
        <v>6030</v>
      </c>
      <c r="O1282" s="8" t="s">
        <v>20</v>
      </c>
      <c r="T1282">
        <v>0</v>
      </c>
      <c r="AC1282">
        <v>1</v>
      </c>
    </row>
    <row r="1283" spans="1:29" ht="30" customHeight="1" x14ac:dyDescent="0.3">
      <c r="A1283" s="8" t="s">
        <v>1568</v>
      </c>
      <c r="B1283" s="8" t="s">
        <v>1626</v>
      </c>
      <c r="C1283" s="8" t="s">
        <v>694</v>
      </c>
      <c r="D1283" s="8" t="s">
        <v>1627</v>
      </c>
      <c r="E1283" s="8" t="s">
        <v>179</v>
      </c>
      <c r="F1283" s="9">
        <v>1</v>
      </c>
      <c r="G1283" s="5">
        <f>TRUNC([1]단가대비표!O1116,0)</f>
        <v>9700</v>
      </c>
      <c r="H1283" s="5">
        <f t="shared" si="111"/>
        <v>9700</v>
      </c>
      <c r="I1283" s="5">
        <v>0</v>
      </c>
      <c r="J1283" s="5">
        <f t="shared" si="112"/>
        <v>0</v>
      </c>
      <c r="K1283" s="5">
        <v>0</v>
      </c>
      <c r="L1283" s="5">
        <f t="shared" si="113"/>
        <v>0</v>
      </c>
      <c r="M1283" s="5">
        <f t="shared" si="114"/>
        <v>9700</v>
      </c>
      <c r="N1283" s="5">
        <f t="shared" si="114"/>
        <v>9700</v>
      </c>
      <c r="O1283" s="8" t="s">
        <v>20</v>
      </c>
      <c r="T1283">
        <v>0</v>
      </c>
      <c r="AC1283">
        <v>1</v>
      </c>
    </row>
    <row r="1284" spans="1:29" ht="30" customHeight="1" x14ac:dyDescent="0.3">
      <c r="A1284" s="8" t="s">
        <v>1568</v>
      </c>
      <c r="B1284" s="8" t="s">
        <v>1628</v>
      </c>
      <c r="C1284" s="8" t="s">
        <v>694</v>
      </c>
      <c r="D1284" s="8" t="s">
        <v>1629</v>
      </c>
      <c r="E1284" s="8" t="s">
        <v>179</v>
      </c>
      <c r="F1284" s="9">
        <v>3</v>
      </c>
      <c r="G1284" s="5">
        <f>TRUNC([1]단가대비표!O1117,0)</f>
        <v>20000</v>
      </c>
      <c r="H1284" s="5">
        <f t="shared" si="111"/>
        <v>60000</v>
      </c>
      <c r="I1284" s="5">
        <v>0</v>
      </c>
      <c r="J1284" s="5">
        <f t="shared" si="112"/>
        <v>0</v>
      </c>
      <c r="K1284" s="5">
        <v>0</v>
      </c>
      <c r="L1284" s="5">
        <f t="shared" si="113"/>
        <v>0</v>
      </c>
      <c r="M1284" s="5">
        <f t="shared" si="114"/>
        <v>20000</v>
      </c>
      <c r="N1284" s="5">
        <f t="shared" si="114"/>
        <v>60000</v>
      </c>
      <c r="O1284" s="8" t="s">
        <v>20</v>
      </c>
      <c r="T1284">
        <v>0</v>
      </c>
      <c r="AC1284">
        <v>1</v>
      </c>
    </row>
    <row r="1285" spans="1:29" ht="30" customHeight="1" x14ac:dyDescent="0.3">
      <c r="A1285" s="8" t="s">
        <v>1568</v>
      </c>
      <c r="B1285" s="8" t="s">
        <v>1630</v>
      </c>
      <c r="C1285" s="8" t="s">
        <v>694</v>
      </c>
      <c r="D1285" s="8" t="s">
        <v>1631</v>
      </c>
      <c r="E1285" s="8" t="s">
        <v>179</v>
      </c>
      <c r="F1285" s="9">
        <v>6</v>
      </c>
      <c r="G1285" s="5">
        <f>TRUNC([1]단가대비표!O1118,0)</f>
        <v>2350</v>
      </c>
      <c r="H1285" s="5">
        <f t="shared" si="111"/>
        <v>14100</v>
      </c>
      <c r="I1285" s="5">
        <v>0</v>
      </c>
      <c r="J1285" s="5">
        <f t="shared" si="112"/>
        <v>0</v>
      </c>
      <c r="K1285" s="5">
        <v>0</v>
      </c>
      <c r="L1285" s="5">
        <f t="shared" si="113"/>
        <v>0</v>
      </c>
      <c r="M1285" s="5">
        <f t="shared" ref="M1285:N1316" si="115">G1285+I1285+K1285</f>
        <v>2350</v>
      </c>
      <c r="N1285" s="5">
        <f t="shared" si="115"/>
        <v>14100</v>
      </c>
      <c r="O1285" s="8" t="s">
        <v>20</v>
      </c>
      <c r="T1285">
        <v>0</v>
      </c>
      <c r="AC1285">
        <v>1</v>
      </c>
    </row>
    <row r="1286" spans="1:29" ht="30" customHeight="1" x14ac:dyDescent="0.3">
      <c r="A1286" s="8" t="s">
        <v>1568</v>
      </c>
      <c r="B1286" s="8" t="s">
        <v>1632</v>
      </c>
      <c r="C1286" s="8" t="s">
        <v>694</v>
      </c>
      <c r="D1286" s="8" t="s">
        <v>1633</v>
      </c>
      <c r="E1286" s="8" t="s">
        <v>179</v>
      </c>
      <c r="F1286" s="9">
        <v>6</v>
      </c>
      <c r="G1286" s="5">
        <f>TRUNC([1]단가대비표!O1119,0)</f>
        <v>7190</v>
      </c>
      <c r="H1286" s="5">
        <f t="shared" si="111"/>
        <v>43140</v>
      </c>
      <c r="I1286" s="5">
        <v>0</v>
      </c>
      <c r="J1286" s="5">
        <f t="shared" si="112"/>
        <v>0</v>
      </c>
      <c r="K1286" s="5">
        <v>0</v>
      </c>
      <c r="L1286" s="5">
        <f t="shared" si="113"/>
        <v>0</v>
      </c>
      <c r="M1286" s="5">
        <f t="shared" si="115"/>
        <v>7190</v>
      </c>
      <c r="N1286" s="5">
        <f t="shared" si="115"/>
        <v>43140</v>
      </c>
      <c r="O1286" s="8" t="s">
        <v>20</v>
      </c>
      <c r="T1286">
        <v>0</v>
      </c>
      <c r="AC1286">
        <v>1</v>
      </c>
    </row>
    <row r="1287" spans="1:29" ht="30" customHeight="1" x14ac:dyDescent="0.3">
      <c r="A1287" s="8" t="s">
        <v>1568</v>
      </c>
      <c r="B1287" s="8" t="s">
        <v>1634</v>
      </c>
      <c r="C1287" s="8" t="s">
        <v>694</v>
      </c>
      <c r="D1287" s="8" t="s">
        <v>1635</v>
      </c>
      <c r="E1287" s="8" t="s">
        <v>179</v>
      </c>
      <c r="F1287" s="9">
        <v>4</v>
      </c>
      <c r="G1287" s="5">
        <f>TRUNC([1]단가대비표!O1120,0)</f>
        <v>13100</v>
      </c>
      <c r="H1287" s="5">
        <f t="shared" si="111"/>
        <v>52400</v>
      </c>
      <c r="I1287" s="5">
        <v>0</v>
      </c>
      <c r="J1287" s="5">
        <f t="shared" si="112"/>
        <v>0</v>
      </c>
      <c r="K1287" s="5">
        <v>0</v>
      </c>
      <c r="L1287" s="5">
        <f t="shared" si="113"/>
        <v>0</v>
      </c>
      <c r="M1287" s="5">
        <f t="shared" si="115"/>
        <v>13100</v>
      </c>
      <c r="N1287" s="5">
        <f t="shared" si="115"/>
        <v>52400</v>
      </c>
      <c r="O1287" s="8" t="s">
        <v>20</v>
      </c>
      <c r="T1287">
        <v>0</v>
      </c>
      <c r="AC1287">
        <v>1</v>
      </c>
    </row>
    <row r="1288" spans="1:29" ht="30" customHeight="1" x14ac:dyDescent="0.3">
      <c r="A1288" s="8" t="s">
        <v>1568</v>
      </c>
      <c r="B1288" s="8" t="s">
        <v>1636</v>
      </c>
      <c r="C1288" s="8" t="s">
        <v>694</v>
      </c>
      <c r="D1288" s="8" t="s">
        <v>1637</v>
      </c>
      <c r="E1288" s="8" t="s">
        <v>179</v>
      </c>
      <c r="F1288" s="9">
        <v>1</v>
      </c>
      <c r="G1288" s="5">
        <f>TRUNC([1]단가대비표!O1121,0)</f>
        <v>40000</v>
      </c>
      <c r="H1288" s="5">
        <f t="shared" si="111"/>
        <v>40000</v>
      </c>
      <c r="I1288" s="5">
        <v>0</v>
      </c>
      <c r="J1288" s="5">
        <f t="shared" si="112"/>
        <v>0</v>
      </c>
      <c r="K1288" s="5">
        <v>0</v>
      </c>
      <c r="L1288" s="5">
        <f t="shared" si="113"/>
        <v>0</v>
      </c>
      <c r="M1288" s="5">
        <f t="shared" si="115"/>
        <v>40000</v>
      </c>
      <c r="N1288" s="5">
        <f t="shared" si="115"/>
        <v>40000</v>
      </c>
      <c r="O1288" s="8" t="s">
        <v>20</v>
      </c>
      <c r="T1288">
        <v>0</v>
      </c>
      <c r="AC1288">
        <v>1</v>
      </c>
    </row>
    <row r="1289" spans="1:29" ht="30" customHeight="1" x14ac:dyDescent="0.3">
      <c r="A1289" s="8" t="s">
        <v>1568</v>
      </c>
      <c r="B1289" s="8" t="s">
        <v>1638</v>
      </c>
      <c r="C1289" s="8" t="s">
        <v>694</v>
      </c>
      <c r="D1289" s="8" t="s">
        <v>1639</v>
      </c>
      <c r="E1289" s="8" t="s">
        <v>179</v>
      </c>
      <c r="F1289" s="9">
        <v>2</v>
      </c>
      <c r="G1289" s="5">
        <f>TRUNC([1]단가대비표!O1122,0)</f>
        <v>3020</v>
      </c>
      <c r="H1289" s="5">
        <f t="shared" si="111"/>
        <v>6040</v>
      </c>
      <c r="I1289" s="5">
        <v>0</v>
      </c>
      <c r="J1289" s="5">
        <f t="shared" si="112"/>
        <v>0</v>
      </c>
      <c r="K1289" s="5">
        <v>0</v>
      </c>
      <c r="L1289" s="5">
        <f t="shared" si="113"/>
        <v>0</v>
      </c>
      <c r="M1289" s="5">
        <f t="shared" si="115"/>
        <v>3020</v>
      </c>
      <c r="N1289" s="5">
        <f t="shared" si="115"/>
        <v>6040</v>
      </c>
      <c r="O1289" s="8" t="s">
        <v>20</v>
      </c>
      <c r="T1289">
        <v>0</v>
      </c>
      <c r="AC1289">
        <v>1</v>
      </c>
    </row>
    <row r="1290" spans="1:29" ht="30" customHeight="1" x14ac:dyDescent="0.3">
      <c r="A1290" s="8" t="s">
        <v>1568</v>
      </c>
      <c r="B1290" s="8" t="s">
        <v>1640</v>
      </c>
      <c r="C1290" s="8" t="s">
        <v>694</v>
      </c>
      <c r="D1290" s="8" t="s">
        <v>1641</v>
      </c>
      <c r="E1290" s="8" t="s">
        <v>179</v>
      </c>
      <c r="F1290" s="9">
        <v>2</v>
      </c>
      <c r="G1290" s="5">
        <f>TRUNC([1]단가대비표!O1123,0)</f>
        <v>6780</v>
      </c>
      <c r="H1290" s="5">
        <f t="shared" si="111"/>
        <v>13560</v>
      </c>
      <c r="I1290" s="5">
        <v>0</v>
      </c>
      <c r="J1290" s="5">
        <f t="shared" si="112"/>
        <v>0</v>
      </c>
      <c r="K1290" s="5">
        <v>0</v>
      </c>
      <c r="L1290" s="5">
        <f t="shared" si="113"/>
        <v>0</v>
      </c>
      <c r="M1290" s="5">
        <f t="shared" si="115"/>
        <v>6780</v>
      </c>
      <c r="N1290" s="5">
        <f t="shared" si="115"/>
        <v>13560</v>
      </c>
      <c r="O1290" s="8" t="s">
        <v>20</v>
      </c>
      <c r="T1290">
        <v>0</v>
      </c>
      <c r="AC1290">
        <v>1</v>
      </c>
    </row>
    <row r="1291" spans="1:29" ht="30" customHeight="1" x14ac:dyDescent="0.3">
      <c r="A1291" s="8" t="s">
        <v>1568</v>
      </c>
      <c r="B1291" s="8" t="s">
        <v>1642</v>
      </c>
      <c r="C1291" s="8" t="s">
        <v>694</v>
      </c>
      <c r="D1291" s="8" t="s">
        <v>1643</v>
      </c>
      <c r="E1291" s="8" t="s">
        <v>179</v>
      </c>
      <c r="F1291" s="9">
        <v>2</v>
      </c>
      <c r="G1291" s="5">
        <f>TRUNC([1]단가대비표!O1124,0)</f>
        <v>13000</v>
      </c>
      <c r="H1291" s="5">
        <f t="shared" si="111"/>
        <v>26000</v>
      </c>
      <c r="I1291" s="5">
        <v>0</v>
      </c>
      <c r="J1291" s="5">
        <f t="shared" si="112"/>
        <v>0</v>
      </c>
      <c r="K1291" s="5">
        <v>0</v>
      </c>
      <c r="L1291" s="5">
        <f t="shared" si="113"/>
        <v>0</v>
      </c>
      <c r="M1291" s="5">
        <f t="shared" si="115"/>
        <v>13000</v>
      </c>
      <c r="N1291" s="5">
        <f t="shared" si="115"/>
        <v>26000</v>
      </c>
      <c r="O1291" s="8" t="s">
        <v>20</v>
      </c>
      <c r="T1291">
        <v>0</v>
      </c>
      <c r="AC1291">
        <v>1</v>
      </c>
    </row>
    <row r="1292" spans="1:29" ht="30" customHeight="1" x14ac:dyDescent="0.3">
      <c r="A1292" s="8" t="s">
        <v>1568</v>
      </c>
      <c r="B1292" s="8" t="s">
        <v>1644</v>
      </c>
      <c r="C1292" s="8" t="s">
        <v>369</v>
      </c>
      <c r="D1292" s="8" t="s">
        <v>1645</v>
      </c>
      <c r="E1292" s="8" t="s">
        <v>179</v>
      </c>
      <c r="F1292" s="9">
        <v>1</v>
      </c>
      <c r="G1292" s="5">
        <f>TRUNC([1]단가대비표!O1125,0)</f>
        <v>7000</v>
      </c>
      <c r="H1292" s="5">
        <f t="shared" si="111"/>
        <v>7000</v>
      </c>
      <c r="I1292" s="5">
        <v>0</v>
      </c>
      <c r="J1292" s="5">
        <f t="shared" si="112"/>
        <v>0</v>
      </c>
      <c r="K1292" s="5">
        <v>0</v>
      </c>
      <c r="L1292" s="5">
        <f t="shared" si="113"/>
        <v>0</v>
      </c>
      <c r="M1292" s="5">
        <f t="shared" si="115"/>
        <v>7000</v>
      </c>
      <c r="N1292" s="5">
        <f t="shared" si="115"/>
        <v>7000</v>
      </c>
      <c r="O1292" s="8" t="s">
        <v>20</v>
      </c>
      <c r="T1292">
        <v>0</v>
      </c>
      <c r="AC1292">
        <v>1</v>
      </c>
    </row>
    <row r="1293" spans="1:29" ht="30" customHeight="1" x14ac:dyDescent="0.3">
      <c r="A1293" s="8" t="s">
        <v>1568</v>
      </c>
      <c r="B1293" s="8" t="s">
        <v>1646</v>
      </c>
      <c r="C1293" s="8" t="s">
        <v>369</v>
      </c>
      <c r="D1293" s="8" t="s">
        <v>1647</v>
      </c>
      <c r="E1293" s="8" t="s">
        <v>179</v>
      </c>
      <c r="F1293" s="9">
        <v>2</v>
      </c>
      <c r="G1293" s="5">
        <f>TRUNC([1]단가대비표!O1126,0)</f>
        <v>15000</v>
      </c>
      <c r="H1293" s="5">
        <f t="shared" si="111"/>
        <v>30000</v>
      </c>
      <c r="I1293" s="5">
        <v>0</v>
      </c>
      <c r="J1293" s="5">
        <f t="shared" si="112"/>
        <v>0</v>
      </c>
      <c r="K1293" s="5">
        <v>0</v>
      </c>
      <c r="L1293" s="5">
        <f t="shared" si="113"/>
        <v>0</v>
      </c>
      <c r="M1293" s="5">
        <f t="shared" si="115"/>
        <v>15000</v>
      </c>
      <c r="N1293" s="5">
        <f t="shared" si="115"/>
        <v>30000</v>
      </c>
      <c r="O1293" s="8" t="s">
        <v>20</v>
      </c>
      <c r="T1293">
        <v>0</v>
      </c>
      <c r="AC1293">
        <v>1</v>
      </c>
    </row>
    <row r="1294" spans="1:29" ht="30" customHeight="1" x14ac:dyDescent="0.3">
      <c r="A1294" s="8" t="s">
        <v>1568</v>
      </c>
      <c r="B1294" s="8" t="s">
        <v>1648</v>
      </c>
      <c r="C1294" s="8" t="s">
        <v>369</v>
      </c>
      <c r="D1294" s="8" t="s">
        <v>1649</v>
      </c>
      <c r="E1294" s="8" t="s">
        <v>179</v>
      </c>
      <c r="F1294" s="9">
        <v>1</v>
      </c>
      <c r="G1294" s="5">
        <f>TRUNC([1]단가대비표!O1127,0)</f>
        <v>40000</v>
      </c>
      <c r="H1294" s="5">
        <f t="shared" si="111"/>
        <v>40000</v>
      </c>
      <c r="I1294" s="5">
        <v>0</v>
      </c>
      <c r="J1294" s="5">
        <f t="shared" si="112"/>
        <v>0</v>
      </c>
      <c r="K1294" s="5">
        <v>0</v>
      </c>
      <c r="L1294" s="5">
        <f t="shared" si="113"/>
        <v>0</v>
      </c>
      <c r="M1294" s="5">
        <f t="shared" si="115"/>
        <v>40000</v>
      </c>
      <c r="N1294" s="5">
        <f t="shared" si="115"/>
        <v>40000</v>
      </c>
      <c r="O1294" s="8" t="s">
        <v>20</v>
      </c>
      <c r="T1294">
        <v>0</v>
      </c>
      <c r="AC1294">
        <v>1</v>
      </c>
    </row>
    <row r="1295" spans="1:29" ht="30" customHeight="1" x14ac:dyDescent="0.3">
      <c r="A1295" s="8" t="s">
        <v>1568</v>
      </c>
      <c r="B1295" s="8" t="s">
        <v>1650</v>
      </c>
      <c r="C1295" s="8" t="s">
        <v>1651</v>
      </c>
      <c r="D1295" s="8" t="s">
        <v>346</v>
      </c>
      <c r="E1295" s="8" t="s">
        <v>185</v>
      </c>
      <c r="F1295" s="9">
        <v>37</v>
      </c>
      <c r="G1295" s="5">
        <f>TRUNC([1]단가대비표!O1128,0)</f>
        <v>2545</v>
      </c>
      <c r="H1295" s="5">
        <f t="shared" si="111"/>
        <v>94165</v>
      </c>
      <c r="I1295" s="5">
        <v>24725</v>
      </c>
      <c r="J1295" s="5">
        <f t="shared" si="112"/>
        <v>914825</v>
      </c>
      <c r="K1295" s="5">
        <v>0</v>
      </c>
      <c r="L1295" s="5">
        <f t="shared" si="113"/>
        <v>0</v>
      </c>
      <c r="M1295" s="5">
        <f t="shared" si="115"/>
        <v>27270</v>
      </c>
      <c r="N1295" s="5">
        <f t="shared" si="115"/>
        <v>1008990</v>
      </c>
      <c r="O1295" s="8" t="s">
        <v>20</v>
      </c>
      <c r="T1295">
        <v>0</v>
      </c>
      <c r="AC1295">
        <v>1</v>
      </c>
    </row>
    <row r="1296" spans="1:29" ht="30" customHeight="1" x14ac:dyDescent="0.3">
      <c r="A1296" s="8" t="s">
        <v>1568</v>
      </c>
      <c r="B1296" s="8" t="s">
        <v>1652</v>
      </c>
      <c r="C1296" s="8" t="s">
        <v>1651</v>
      </c>
      <c r="D1296" s="8" t="s">
        <v>640</v>
      </c>
      <c r="E1296" s="8" t="s">
        <v>185</v>
      </c>
      <c r="F1296" s="9">
        <v>36</v>
      </c>
      <c r="G1296" s="5">
        <f>TRUNC([1]단가대비표!O1129,0)</f>
        <v>4095</v>
      </c>
      <c r="H1296" s="5">
        <f t="shared" si="111"/>
        <v>147420</v>
      </c>
      <c r="I1296" s="5">
        <v>29720</v>
      </c>
      <c r="J1296" s="5">
        <f t="shared" si="112"/>
        <v>1069920</v>
      </c>
      <c r="K1296" s="5">
        <v>0</v>
      </c>
      <c r="L1296" s="5">
        <f t="shared" si="113"/>
        <v>0</v>
      </c>
      <c r="M1296" s="5">
        <f t="shared" si="115"/>
        <v>33815</v>
      </c>
      <c r="N1296" s="5">
        <f t="shared" si="115"/>
        <v>1217340</v>
      </c>
      <c r="O1296" s="8" t="s">
        <v>20</v>
      </c>
      <c r="T1296">
        <v>0</v>
      </c>
      <c r="AC1296">
        <v>1</v>
      </c>
    </row>
    <row r="1297" spans="1:29" ht="30" customHeight="1" x14ac:dyDescent="0.3">
      <c r="A1297" s="8" t="s">
        <v>1568</v>
      </c>
      <c r="B1297" s="8" t="s">
        <v>1653</v>
      </c>
      <c r="C1297" s="8" t="s">
        <v>1651</v>
      </c>
      <c r="D1297" s="8" t="s">
        <v>447</v>
      </c>
      <c r="E1297" s="8" t="s">
        <v>185</v>
      </c>
      <c r="F1297" s="9">
        <v>77</v>
      </c>
      <c r="G1297" s="5">
        <f>TRUNC([1]단가대비표!O1130,0)</f>
        <v>5023</v>
      </c>
      <c r="H1297" s="5">
        <f t="shared" si="111"/>
        <v>386771</v>
      </c>
      <c r="I1297" s="5">
        <v>33715</v>
      </c>
      <c r="J1297" s="5">
        <f t="shared" si="112"/>
        <v>2596055</v>
      </c>
      <c r="K1297" s="5">
        <v>0</v>
      </c>
      <c r="L1297" s="5">
        <f t="shared" si="113"/>
        <v>0</v>
      </c>
      <c r="M1297" s="5">
        <f t="shared" si="115"/>
        <v>38738</v>
      </c>
      <c r="N1297" s="5">
        <f t="shared" si="115"/>
        <v>2982826</v>
      </c>
      <c r="O1297" s="8" t="s">
        <v>20</v>
      </c>
      <c r="T1297">
        <v>0</v>
      </c>
      <c r="AC1297">
        <v>1</v>
      </c>
    </row>
    <row r="1298" spans="1:29" ht="30" customHeight="1" x14ac:dyDescent="0.3">
      <c r="A1298" s="8" t="s">
        <v>1568</v>
      </c>
      <c r="B1298" s="8" t="s">
        <v>1654</v>
      </c>
      <c r="C1298" s="8" t="s">
        <v>1651</v>
      </c>
      <c r="D1298" s="8" t="s">
        <v>348</v>
      </c>
      <c r="E1298" s="8" t="s">
        <v>185</v>
      </c>
      <c r="F1298" s="9">
        <v>88</v>
      </c>
      <c r="G1298" s="5">
        <f>TRUNC([1]단가대비표!O1131,0)</f>
        <v>7369</v>
      </c>
      <c r="H1298" s="5">
        <f t="shared" si="111"/>
        <v>648472</v>
      </c>
      <c r="I1298" s="5">
        <v>41707</v>
      </c>
      <c r="J1298" s="5">
        <f t="shared" si="112"/>
        <v>3670216</v>
      </c>
      <c r="K1298" s="5">
        <v>0</v>
      </c>
      <c r="L1298" s="5">
        <f t="shared" si="113"/>
        <v>0</v>
      </c>
      <c r="M1298" s="5">
        <f t="shared" si="115"/>
        <v>49076</v>
      </c>
      <c r="N1298" s="5">
        <f t="shared" si="115"/>
        <v>4318688</v>
      </c>
      <c r="O1298" s="8" t="s">
        <v>20</v>
      </c>
      <c r="T1298">
        <v>0</v>
      </c>
      <c r="AC1298">
        <v>1</v>
      </c>
    </row>
    <row r="1299" spans="1:29" ht="30" customHeight="1" x14ac:dyDescent="0.3">
      <c r="A1299" s="8" t="s">
        <v>1568</v>
      </c>
      <c r="B1299" s="8" t="s">
        <v>1655</v>
      </c>
      <c r="C1299" s="8" t="s">
        <v>1651</v>
      </c>
      <c r="D1299" s="8" t="s">
        <v>350</v>
      </c>
      <c r="E1299" s="8" t="s">
        <v>185</v>
      </c>
      <c r="F1299" s="9">
        <v>4</v>
      </c>
      <c r="G1299" s="5">
        <f>TRUNC([1]단가대비표!O1132,0)</f>
        <v>10536</v>
      </c>
      <c r="H1299" s="5">
        <f t="shared" si="111"/>
        <v>42144</v>
      </c>
      <c r="I1299" s="5">
        <v>49699</v>
      </c>
      <c r="J1299" s="5">
        <f t="shared" si="112"/>
        <v>198796</v>
      </c>
      <c r="K1299" s="5">
        <v>0</v>
      </c>
      <c r="L1299" s="5">
        <f t="shared" si="113"/>
        <v>0</v>
      </c>
      <c r="M1299" s="5">
        <f t="shared" si="115"/>
        <v>60235</v>
      </c>
      <c r="N1299" s="5">
        <f t="shared" si="115"/>
        <v>240940</v>
      </c>
      <c r="O1299" s="8" t="s">
        <v>20</v>
      </c>
      <c r="T1299">
        <v>0</v>
      </c>
      <c r="AC1299">
        <v>1</v>
      </c>
    </row>
    <row r="1300" spans="1:29" ht="30" customHeight="1" x14ac:dyDescent="0.3">
      <c r="A1300" s="8" t="s">
        <v>1568</v>
      </c>
      <c r="B1300" s="8" t="s">
        <v>1656</v>
      </c>
      <c r="C1300" s="8" t="s">
        <v>1657</v>
      </c>
      <c r="D1300" s="8" t="s">
        <v>352</v>
      </c>
      <c r="E1300" s="8" t="s">
        <v>185</v>
      </c>
      <c r="F1300" s="9">
        <v>96</v>
      </c>
      <c r="G1300" s="5">
        <f>TRUNC([1]단가대비표!O1133,0)</f>
        <v>13069</v>
      </c>
      <c r="H1300" s="5">
        <f t="shared" si="111"/>
        <v>1254624</v>
      </c>
      <c r="I1300" s="5">
        <v>57691</v>
      </c>
      <c r="J1300" s="5">
        <f t="shared" si="112"/>
        <v>5538336</v>
      </c>
      <c r="K1300" s="5">
        <v>0</v>
      </c>
      <c r="L1300" s="5">
        <f t="shared" si="113"/>
        <v>0</v>
      </c>
      <c r="M1300" s="5">
        <f t="shared" si="115"/>
        <v>70760</v>
      </c>
      <c r="N1300" s="5">
        <f t="shared" si="115"/>
        <v>6792960</v>
      </c>
      <c r="O1300" s="8" t="s">
        <v>20</v>
      </c>
      <c r="T1300">
        <v>0</v>
      </c>
      <c r="AC1300">
        <v>1</v>
      </c>
    </row>
    <row r="1301" spans="1:29" ht="30" customHeight="1" x14ac:dyDescent="0.3">
      <c r="A1301" s="8" t="s">
        <v>1568</v>
      </c>
      <c r="B1301" s="8" t="s">
        <v>1658</v>
      </c>
      <c r="C1301" s="8" t="s">
        <v>1659</v>
      </c>
      <c r="D1301" s="8" t="s">
        <v>1660</v>
      </c>
      <c r="E1301" s="8" t="s">
        <v>179</v>
      </c>
      <c r="F1301" s="9">
        <v>10</v>
      </c>
      <c r="G1301" s="5">
        <f>TRUNC([1]단가대비표!O1134,0)</f>
        <v>4551</v>
      </c>
      <c r="H1301" s="5">
        <f t="shared" si="111"/>
        <v>45510</v>
      </c>
      <c r="I1301" s="5">
        <v>10705</v>
      </c>
      <c r="J1301" s="5">
        <f t="shared" si="112"/>
        <v>107050</v>
      </c>
      <c r="K1301" s="5">
        <v>0</v>
      </c>
      <c r="L1301" s="5">
        <f t="shared" si="113"/>
        <v>0</v>
      </c>
      <c r="M1301" s="5">
        <f t="shared" si="115"/>
        <v>15256</v>
      </c>
      <c r="N1301" s="5">
        <f t="shared" si="115"/>
        <v>152560</v>
      </c>
      <c r="O1301" s="8" t="s">
        <v>20</v>
      </c>
      <c r="T1301">
        <v>0</v>
      </c>
      <c r="AC1301">
        <v>1</v>
      </c>
    </row>
    <row r="1302" spans="1:29" ht="30" customHeight="1" x14ac:dyDescent="0.3">
      <c r="A1302" s="8" t="s">
        <v>1568</v>
      </c>
      <c r="B1302" s="8" t="s">
        <v>1661</v>
      </c>
      <c r="C1302" s="8" t="s">
        <v>1659</v>
      </c>
      <c r="D1302" s="8" t="s">
        <v>1662</v>
      </c>
      <c r="E1302" s="8" t="s">
        <v>179</v>
      </c>
      <c r="F1302" s="9">
        <v>10</v>
      </c>
      <c r="G1302" s="5">
        <f>TRUNC([1]단가대비표!O1135,0)</f>
        <v>5871</v>
      </c>
      <c r="H1302" s="5">
        <f t="shared" si="111"/>
        <v>58710</v>
      </c>
      <c r="I1302" s="5">
        <v>10705</v>
      </c>
      <c r="J1302" s="5">
        <f t="shared" si="112"/>
        <v>107050</v>
      </c>
      <c r="K1302" s="5">
        <v>0</v>
      </c>
      <c r="L1302" s="5">
        <f t="shared" si="113"/>
        <v>0</v>
      </c>
      <c r="M1302" s="5">
        <f t="shared" si="115"/>
        <v>16576</v>
      </c>
      <c r="N1302" s="5">
        <f t="shared" si="115"/>
        <v>165760</v>
      </c>
      <c r="O1302" s="8" t="s">
        <v>20</v>
      </c>
      <c r="T1302">
        <v>0</v>
      </c>
      <c r="AC1302">
        <v>1</v>
      </c>
    </row>
    <row r="1303" spans="1:29" ht="30" customHeight="1" x14ac:dyDescent="0.3">
      <c r="A1303" s="8" t="s">
        <v>1568</v>
      </c>
      <c r="B1303" s="8" t="s">
        <v>1663</v>
      </c>
      <c r="C1303" s="8" t="s">
        <v>1659</v>
      </c>
      <c r="D1303" s="8" t="s">
        <v>1664</v>
      </c>
      <c r="E1303" s="8" t="s">
        <v>179</v>
      </c>
      <c r="F1303" s="9">
        <v>3</v>
      </c>
      <c r="G1303" s="5">
        <f>TRUNC([1]단가대비표!O1136,0)</f>
        <v>33175</v>
      </c>
      <c r="H1303" s="5">
        <f t="shared" si="111"/>
        <v>99525</v>
      </c>
      <c r="I1303" s="5">
        <v>15844</v>
      </c>
      <c r="J1303" s="5">
        <f t="shared" si="112"/>
        <v>47532</v>
      </c>
      <c r="K1303" s="5">
        <v>0</v>
      </c>
      <c r="L1303" s="5">
        <f t="shared" si="113"/>
        <v>0</v>
      </c>
      <c r="M1303" s="5">
        <f t="shared" si="115"/>
        <v>49019</v>
      </c>
      <c r="N1303" s="5">
        <f t="shared" si="115"/>
        <v>147057</v>
      </c>
      <c r="O1303" s="8" t="s">
        <v>20</v>
      </c>
      <c r="T1303">
        <v>0</v>
      </c>
      <c r="AC1303">
        <v>1</v>
      </c>
    </row>
    <row r="1304" spans="1:29" ht="30" customHeight="1" x14ac:dyDescent="0.3">
      <c r="A1304" s="8" t="s">
        <v>1568</v>
      </c>
      <c r="B1304" s="8" t="s">
        <v>1665</v>
      </c>
      <c r="C1304" s="8" t="s">
        <v>1666</v>
      </c>
      <c r="D1304" s="8" t="s">
        <v>1667</v>
      </c>
      <c r="E1304" s="8" t="s">
        <v>179</v>
      </c>
      <c r="F1304" s="9">
        <v>2</v>
      </c>
      <c r="G1304" s="5">
        <f>TRUNC([1]단가대비표!O1137,0)</f>
        <v>180820</v>
      </c>
      <c r="H1304" s="5">
        <f t="shared" si="111"/>
        <v>361640</v>
      </c>
      <c r="I1304" s="5">
        <v>96531</v>
      </c>
      <c r="J1304" s="5">
        <f t="shared" si="112"/>
        <v>193062</v>
      </c>
      <c r="K1304" s="5">
        <v>0</v>
      </c>
      <c r="L1304" s="5">
        <f t="shared" si="113"/>
        <v>0</v>
      </c>
      <c r="M1304" s="5">
        <f t="shared" si="115"/>
        <v>277351</v>
      </c>
      <c r="N1304" s="5">
        <f t="shared" si="115"/>
        <v>554702</v>
      </c>
      <c r="O1304" s="8" t="s">
        <v>20</v>
      </c>
      <c r="T1304">
        <v>0</v>
      </c>
      <c r="AC1304">
        <v>1</v>
      </c>
    </row>
    <row r="1305" spans="1:29" ht="30" customHeight="1" x14ac:dyDescent="0.3">
      <c r="A1305" s="8" t="s">
        <v>1568</v>
      </c>
      <c r="B1305" s="8" t="s">
        <v>1668</v>
      </c>
      <c r="C1305" s="8" t="s">
        <v>1669</v>
      </c>
      <c r="D1305" s="8" t="s">
        <v>1667</v>
      </c>
      <c r="E1305" s="8" t="s">
        <v>179</v>
      </c>
      <c r="F1305" s="9">
        <v>2</v>
      </c>
      <c r="G1305" s="5">
        <f>TRUNC([1]단가대비표!O1138,0)</f>
        <v>153640</v>
      </c>
      <c r="H1305" s="5">
        <f t="shared" si="111"/>
        <v>307280</v>
      </c>
      <c r="I1305" s="5">
        <v>96531</v>
      </c>
      <c r="J1305" s="5">
        <f t="shared" si="112"/>
        <v>193062</v>
      </c>
      <c r="K1305" s="5">
        <v>0</v>
      </c>
      <c r="L1305" s="5">
        <f t="shared" si="113"/>
        <v>0</v>
      </c>
      <c r="M1305" s="5">
        <f t="shared" si="115"/>
        <v>250171</v>
      </c>
      <c r="N1305" s="5">
        <f t="shared" si="115"/>
        <v>500342</v>
      </c>
      <c r="O1305" s="8" t="s">
        <v>20</v>
      </c>
      <c r="T1305">
        <v>0</v>
      </c>
      <c r="AC1305">
        <v>1</v>
      </c>
    </row>
    <row r="1306" spans="1:29" ht="30" customHeight="1" x14ac:dyDescent="0.3">
      <c r="A1306" s="8" t="s">
        <v>1568</v>
      </c>
      <c r="B1306" s="8" t="s">
        <v>1670</v>
      </c>
      <c r="C1306" s="8" t="s">
        <v>1671</v>
      </c>
      <c r="D1306" s="8" t="s">
        <v>441</v>
      </c>
      <c r="E1306" s="8" t="s">
        <v>185</v>
      </c>
      <c r="F1306" s="9">
        <v>1</v>
      </c>
      <c r="G1306" s="5">
        <f>TRUNC([1]단가대비표!O1139,0)</f>
        <v>603980</v>
      </c>
      <c r="H1306" s="5">
        <f t="shared" si="111"/>
        <v>603980</v>
      </c>
      <c r="I1306" s="5">
        <v>1539065</v>
      </c>
      <c r="J1306" s="5">
        <f t="shared" si="112"/>
        <v>1539065</v>
      </c>
      <c r="K1306" s="5">
        <v>0</v>
      </c>
      <c r="L1306" s="5">
        <f t="shared" si="113"/>
        <v>0</v>
      </c>
      <c r="M1306" s="5">
        <f t="shared" si="115"/>
        <v>2143045</v>
      </c>
      <c r="N1306" s="5">
        <f t="shared" si="115"/>
        <v>2143045</v>
      </c>
      <c r="O1306" s="8" t="s">
        <v>20</v>
      </c>
      <c r="T1306">
        <v>0</v>
      </c>
      <c r="AC1306">
        <v>1</v>
      </c>
    </row>
    <row r="1307" spans="1:29" ht="30" customHeight="1" x14ac:dyDescent="0.3">
      <c r="A1307" s="8" t="s">
        <v>1568</v>
      </c>
      <c r="B1307" s="8" t="s">
        <v>1672</v>
      </c>
      <c r="C1307" s="8" t="s">
        <v>1673</v>
      </c>
      <c r="D1307" s="8" t="s">
        <v>1667</v>
      </c>
      <c r="E1307" s="8" t="s">
        <v>179</v>
      </c>
      <c r="F1307" s="9">
        <v>4</v>
      </c>
      <c r="G1307" s="5">
        <f>TRUNC([1]단가대비표!O1140,0)</f>
        <v>138330</v>
      </c>
      <c r="H1307" s="5">
        <f t="shared" si="111"/>
        <v>553320</v>
      </c>
      <c r="I1307" s="5">
        <v>186251</v>
      </c>
      <c r="J1307" s="5">
        <f t="shared" si="112"/>
        <v>745004</v>
      </c>
      <c r="K1307" s="5">
        <v>0</v>
      </c>
      <c r="L1307" s="5">
        <f t="shared" si="113"/>
        <v>0</v>
      </c>
      <c r="M1307" s="5">
        <f t="shared" si="115"/>
        <v>324581</v>
      </c>
      <c r="N1307" s="5">
        <f t="shared" si="115"/>
        <v>1298324</v>
      </c>
      <c r="O1307" s="8" t="s">
        <v>20</v>
      </c>
      <c r="T1307">
        <v>0</v>
      </c>
      <c r="AC1307">
        <v>1</v>
      </c>
    </row>
    <row r="1308" spans="1:29" ht="30" customHeight="1" x14ac:dyDescent="0.3">
      <c r="A1308" s="8" t="s">
        <v>1568</v>
      </c>
      <c r="B1308" s="8" t="s">
        <v>1674</v>
      </c>
      <c r="C1308" s="8" t="s">
        <v>1675</v>
      </c>
      <c r="D1308" s="8" t="s">
        <v>562</v>
      </c>
      <c r="E1308" s="8" t="s">
        <v>168</v>
      </c>
      <c r="F1308" s="9">
        <v>48</v>
      </c>
      <c r="G1308" s="5">
        <f>TRUNC([1]단가대비표!O1141,0)</f>
        <v>2972</v>
      </c>
      <c r="H1308" s="5">
        <f t="shared" si="111"/>
        <v>142656</v>
      </c>
      <c r="I1308" s="5">
        <v>9669</v>
      </c>
      <c r="J1308" s="5">
        <f t="shared" si="112"/>
        <v>464112</v>
      </c>
      <c r="K1308" s="5">
        <v>0</v>
      </c>
      <c r="L1308" s="5">
        <f t="shared" si="113"/>
        <v>0</v>
      </c>
      <c r="M1308" s="5">
        <f t="shared" si="115"/>
        <v>12641</v>
      </c>
      <c r="N1308" s="5">
        <f t="shared" si="115"/>
        <v>606768</v>
      </c>
      <c r="O1308" s="8" t="s">
        <v>20</v>
      </c>
      <c r="T1308">
        <v>0</v>
      </c>
      <c r="AC1308">
        <v>1</v>
      </c>
    </row>
    <row r="1309" spans="1:29" ht="30" customHeight="1" x14ac:dyDescent="0.3">
      <c r="A1309" s="8" t="s">
        <v>1568</v>
      </c>
      <c r="B1309" s="8" t="s">
        <v>1676</v>
      </c>
      <c r="C1309" s="8" t="s">
        <v>1675</v>
      </c>
      <c r="D1309" s="8" t="s">
        <v>468</v>
      </c>
      <c r="E1309" s="8" t="s">
        <v>168</v>
      </c>
      <c r="F1309" s="9">
        <v>36</v>
      </c>
      <c r="G1309" s="5">
        <f>TRUNC([1]단가대비표!O1142,0)</f>
        <v>3440</v>
      </c>
      <c r="H1309" s="5">
        <f t="shared" si="111"/>
        <v>123840</v>
      </c>
      <c r="I1309" s="5">
        <v>11670</v>
      </c>
      <c r="J1309" s="5">
        <f t="shared" si="112"/>
        <v>420120</v>
      </c>
      <c r="K1309" s="5">
        <v>0</v>
      </c>
      <c r="L1309" s="5">
        <f t="shared" si="113"/>
        <v>0</v>
      </c>
      <c r="M1309" s="5">
        <f t="shared" si="115"/>
        <v>15110</v>
      </c>
      <c r="N1309" s="5">
        <f t="shared" si="115"/>
        <v>543960</v>
      </c>
      <c r="O1309" s="8" t="s">
        <v>20</v>
      </c>
      <c r="T1309">
        <v>0</v>
      </c>
      <c r="AC1309">
        <v>1</v>
      </c>
    </row>
    <row r="1310" spans="1:29" ht="30" customHeight="1" x14ac:dyDescent="0.3">
      <c r="A1310" s="8" t="s">
        <v>1568</v>
      </c>
      <c r="B1310" s="8" t="s">
        <v>1677</v>
      </c>
      <c r="C1310" s="8" t="s">
        <v>1675</v>
      </c>
      <c r="D1310" s="8" t="s">
        <v>470</v>
      </c>
      <c r="E1310" s="8" t="s">
        <v>168</v>
      </c>
      <c r="F1310" s="9">
        <v>48</v>
      </c>
      <c r="G1310" s="5">
        <f>TRUNC([1]단가대비표!O1143,0)</f>
        <v>3744</v>
      </c>
      <c r="H1310" s="5">
        <f t="shared" si="111"/>
        <v>179712</v>
      </c>
      <c r="I1310" s="5">
        <v>13707</v>
      </c>
      <c r="J1310" s="5">
        <f t="shared" si="112"/>
        <v>657936</v>
      </c>
      <c r="K1310" s="5">
        <v>0</v>
      </c>
      <c r="L1310" s="5">
        <f t="shared" si="113"/>
        <v>0</v>
      </c>
      <c r="M1310" s="5">
        <f t="shared" si="115"/>
        <v>17451</v>
      </c>
      <c r="N1310" s="5">
        <f t="shared" si="115"/>
        <v>837648</v>
      </c>
      <c r="O1310" s="8" t="s">
        <v>20</v>
      </c>
      <c r="T1310">
        <v>0</v>
      </c>
      <c r="AC1310">
        <v>1</v>
      </c>
    </row>
    <row r="1311" spans="1:29" ht="30" customHeight="1" x14ac:dyDescent="0.3">
      <c r="A1311" s="8" t="s">
        <v>1568</v>
      </c>
      <c r="B1311" s="8" t="s">
        <v>1678</v>
      </c>
      <c r="C1311" s="8" t="s">
        <v>1675</v>
      </c>
      <c r="D1311" s="8" t="s">
        <v>1679</v>
      </c>
      <c r="E1311" s="8" t="s">
        <v>168</v>
      </c>
      <c r="F1311" s="9">
        <v>144</v>
      </c>
      <c r="G1311" s="5">
        <f>TRUNC([1]단가대비표!O1144,0)</f>
        <v>7898</v>
      </c>
      <c r="H1311" s="5">
        <f t="shared" si="111"/>
        <v>1137312</v>
      </c>
      <c r="I1311" s="5">
        <v>20635</v>
      </c>
      <c r="J1311" s="5">
        <f t="shared" si="112"/>
        <v>2971440</v>
      </c>
      <c r="K1311" s="5">
        <v>0</v>
      </c>
      <c r="L1311" s="5">
        <f t="shared" si="113"/>
        <v>0</v>
      </c>
      <c r="M1311" s="5">
        <f t="shared" si="115"/>
        <v>28533</v>
      </c>
      <c r="N1311" s="5">
        <f t="shared" si="115"/>
        <v>4108752</v>
      </c>
      <c r="O1311" s="8" t="s">
        <v>20</v>
      </c>
      <c r="T1311">
        <v>0</v>
      </c>
      <c r="AC1311">
        <v>1</v>
      </c>
    </row>
    <row r="1312" spans="1:29" ht="30" customHeight="1" x14ac:dyDescent="0.3">
      <c r="A1312" s="8" t="s">
        <v>1568</v>
      </c>
      <c r="B1312" s="8" t="s">
        <v>1680</v>
      </c>
      <c r="C1312" s="8" t="s">
        <v>1675</v>
      </c>
      <c r="D1312" s="8" t="s">
        <v>1681</v>
      </c>
      <c r="E1312" s="8" t="s">
        <v>168</v>
      </c>
      <c r="F1312" s="9">
        <v>6</v>
      </c>
      <c r="G1312" s="5">
        <f>TRUNC([1]단가대비표!O1145,0)</f>
        <v>10246</v>
      </c>
      <c r="H1312" s="5">
        <f t="shared" si="111"/>
        <v>61476</v>
      </c>
      <c r="I1312" s="5">
        <v>24821</v>
      </c>
      <c r="J1312" s="5">
        <f t="shared" si="112"/>
        <v>148926</v>
      </c>
      <c r="K1312" s="5">
        <v>0</v>
      </c>
      <c r="L1312" s="5">
        <f t="shared" si="113"/>
        <v>0</v>
      </c>
      <c r="M1312" s="5">
        <f t="shared" si="115"/>
        <v>35067</v>
      </c>
      <c r="N1312" s="5">
        <f t="shared" si="115"/>
        <v>210402</v>
      </c>
      <c r="O1312" s="8" t="s">
        <v>20</v>
      </c>
      <c r="T1312">
        <v>0</v>
      </c>
      <c r="AC1312">
        <v>1</v>
      </c>
    </row>
    <row r="1313" spans="1:29" ht="30" customHeight="1" x14ac:dyDescent="0.3">
      <c r="A1313" s="8" t="s">
        <v>1568</v>
      </c>
      <c r="B1313" s="8" t="s">
        <v>1682</v>
      </c>
      <c r="C1313" s="8" t="s">
        <v>1675</v>
      </c>
      <c r="D1313" s="8" t="s">
        <v>1683</v>
      </c>
      <c r="E1313" s="8" t="s">
        <v>168</v>
      </c>
      <c r="F1313" s="9">
        <v>30</v>
      </c>
      <c r="G1313" s="5">
        <f>TRUNC([1]단가대비표!O1146,0)</f>
        <v>12553</v>
      </c>
      <c r="H1313" s="5">
        <f t="shared" si="111"/>
        <v>376590</v>
      </c>
      <c r="I1313" s="5">
        <v>28859</v>
      </c>
      <c r="J1313" s="5">
        <f t="shared" si="112"/>
        <v>865770</v>
      </c>
      <c r="K1313" s="5">
        <v>0</v>
      </c>
      <c r="L1313" s="5">
        <f t="shared" si="113"/>
        <v>0</v>
      </c>
      <c r="M1313" s="5">
        <f t="shared" si="115"/>
        <v>41412</v>
      </c>
      <c r="N1313" s="5">
        <f t="shared" si="115"/>
        <v>1242360</v>
      </c>
      <c r="O1313" s="8" t="s">
        <v>20</v>
      </c>
      <c r="T1313">
        <v>0</v>
      </c>
      <c r="AC1313">
        <v>1</v>
      </c>
    </row>
    <row r="1314" spans="1:29" ht="30" customHeight="1" x14ac:dyDescent="0.3">
      <c r="A1314" s="8" t="s">
        <v>1568</v>
      </c>
      <c r="B1314" s="8" t="s">
        <v>1684</v>
      </c>
      <c r="C1314" s="8" t="s">
        <v>1685</v>
      </c>
      <c r="D1314" s="8" t="s">
        <v>348</v>
      </c>
      <c r="E1314" s="8" t="s">
        <v>185</v>
      </c>
      <c r="F1314" s="9">
        <v>28</v>
      </c>
      <c r="G1314" s="5">
        <f>TRUNC([1]단가대비표!O1147,0)</f>
        <v>1130</v>
      </c>
      <c r="H1314" s="5">
        <f t="shared" si="111"/>
        <v>31640</v>
      </c>
      <c r="I1314" s="5">
        <v>0</v>
      </c>
      <c r="J1314" s="5">
        <f t="shared" si="112"/>
        <v>0</v>
      </c>
      <c r="K1314" s="5">
        <v>0</v>
      </c>
      <c r="L1314" s="5">
        <f t="shared" si="113"/>
        <v>0</v>
      </c>
      <c r="M1314" s="5">
        <f t="shared" si="115"/>
        <v>1130</v>
      </c>
      <c r="N1314" s="5">
        <f t="shared" si="115"/>
        <v>31640</v>
      </c>
      <c r="O1314" s="8" t="s">
        <v>20</v>
      </c>
      <c r="T1314">
        <v>0</v>
      </c>
      <c r="AC1314">
        <v>1</v>
      </c>
    </row>
    <row r="1315" spans="1:29" ht="30" customHeight="1" x14ac:dyDescent="0.3">
      <c r="A1315" s="8" t="s">
        <v>1568</v>
      </c>
      <c r="B1315" s="8" t="s">
        <v>1686</v>
      </c>
      <c r="C1315" s="8" t="s">
        <v>1685</v>
      </c>
      <c r="D1315" s="8" t="s">
        <v>352</v>
      </c>
      <c r="E1315" s="8" t="s">
        <v>185</v>
      </c>
      <c r="F1315" s="9">
        <v>22</v>
      </c>
      <c r="G1315" s="5">
        <f>TRUNC([1]단가대비표!O1148,0)</f>
        <v>3210</v>
      </c>
      <c r="H1315" s="5">
        <f t="shared" si="111"/>
        <v>70620</v>
      </c>
      <c r="I1315" s="5">
        <v>0</v>
      </c>
      <c r="J1315" s="5">
        <f t="shared" si="112"/>
        <v>0</v>
      </c>
      <c r="K1315" s="5">
        <v>0</v>
      </c>
      <c r="L1315" s="5">
        <f t="shared" si="113"/>
        <v>0</v>
      </c>
      <c r="M1315" s="5">
        <f t="shared" si="115"/>
        <v>3210</v>
      </c>
      <c r="N1315" s="5">
        <f t="shared" si="115"/>
        <v>70620</v>
      </c>
      <c r="O1315" s="8" t="s">
        <v>20</v>
      </c>
      <c r="T1315">
        <v>0</v>
      </c>
      <c r="AC1315">
        <v>1</v>
      </c>
    </row>
    <row r="1316" spans="1:29" ht="30" customHeight="1" x14ac:dyDescent="0.3">
      <c r="A1316" s="8" t="s">
        <v>1568</v>
      </c>
      <c r="B1316" s="8" t="s">
        <v>1687</v>
      </c>
      <c r="C1316" s="8" t="s">
        <v>1685</v>
      </c>
      <c r="D1316" s="8" t="s">
        <v>608</v>
      </c>
      <c r="E1316" s="8" t="s">
        <v>185</v>
      </c>
      <c r="F1316" s="9">
        <v>18</v>
      </c>
      <c r="G1316" s="5">
        <f>TRUNC([1]단가대비표!O1149,0)</f>
        <v>3740</v>
      </c>
      <c r="H1316" s="5">
        <f t="shared" si="111"/>
        <v>67320</v>
      </c>
      <c r="I1316" s="5">
        <v>0</v>
      </c>
      <c r="J1316" s="5">
        <f t="shared" si="112"/>
        <v>0</v>
      </c>
      <c r="K1316" s="5">
        <v>0</v>
      </c>
      <c r="L1316" s="5">
        <f t="shared" si="113"/>
        <v>0</v>
      </c>
      <c r="M1316" s="5">
        <f t="shared" si="115"/>
        <v>3740</v>
      </c>
      <c r="N1316" s="5">
        <f t="shared" si="115"/>
        <v>67320</v>
      </c>
      <c r="O1316" s="8" t="s">
        <v>20</v>
      </c>
      <c r="T1316">
        <v>0</v>
      </c>
      <c r="AC1316">
        <v>1</v>
      </c>
    </row>
    <row r="1317" spans="1:29" ht="30" customHeight="1" x14ac:dyDescent="0.3">
      <c r="A1317" s="8" t="s">
        <v>1568</v>
      </c>
      <c r="B1317" s="8" t="s">
        <v>1688</v>
      </c>
      <c r="C1317" s="8" t="s">
        <v>1685</v>
      </c>
      <c r="D1317" s="8" t="s">
        <v>1115</v>
      </c>
      <c r="E1317" s="8" t="s">
        <v>185</v>
      </c>
      <c r="F1317" s="9">
        <v>6</v>
      </c>
      <c r="G1317" s="5">
        <f>TRUNC([1]단가대비표!O1150,0)</f>
        <v>5100</v>
      </c>
      <c r="H1317" s="5">
        <f t="shared" ref="H1317:H1341" si="116">TRUNC(F1317*G1317,0)</f>
        <v>30600</v>
      </c>
      <c r="I1317" s="5">
        <v>0</v>
      </c>
      <c r="J1317" s="5">
        <f t="shared" ref="J1317:J1341" si="117">TRUNC(F1317*I1317,0)</f>
        <v>0</v>
      </c>
      <c r="K1317" s="5">
        <v>0</v>
      </c>
      <c r="L1317" s="5">
        <f t="shared" ref="L1317:L1341" si="118">TRUNC(F1317*K1317,0)</f>
        <v>0</v>
      </c>
      <c r="M1317" s="5">
        <f t="shared" ref="M1317:N1341" si="119">G1317+I1317+K1317</f>
        <v>5100</v>
      </c>
      <c r="N1317" s="5">
        <f t="shared" si="119"/>
        <v>30600</v>
      </c>
      <c r="O1317" s="8" t="s">
        <v>20</v>
      </c>
      <c r="T1317">
        <v>0</v>
      </c>
      <c r="AC1317">
        <v>1</v>
      </c>
    </row>
    <row r="1318" spans="1:29" ht="30" customHeight="1" x14ac:dyDescent="0.3">
      <c r="A1318" s="8" t="s">
        <v>1568</v>
      </c>
      <c r="B1318" s="8" t="s">
        <v>1689</v>
      </c>
      <c r="C1318" s="8" t="s">
        <v>1690</v>
      </c>
      <c r="D1318" s="8" t="s">
        <v>346</v>
      </c>
      <c r="E1318" s="8" t="s">
        <v>185</v>
      </c>
      <c r="F1318" s="9">
        <v>16</v>
      </c>
      <c r="G1318" s="5">
        <f>TRUNC([1]단가대비표!O1151,0)</f>
        <v>1020</v>
      </c>
      <c r="H1318" s="5">
        <f t="shared" si="116"/>
        <v>16320</v>
      </c>
      <c r="I1318" s="5">
        <v>0</v>
      </c>
      <c r="J1318" s="5">
        <f t="shared" si="117"/>
        <v>0</v>
      </c>
      <c r="K1318" s="5">
        <v>0</v>
      </c>
      <c r="L1318" s="5">
        <f t="shared" si="118"/>
        <v>0</v>
      </c>
      <c r="M1318" s="5">
        <f t="shared" si="119"/>
        <v>1020</v>
      </c>
      <c r="N1318" s="5">
        <f t="shared" si="119"/>
        <v>16320</v>
      </c>
      <c r="O1318" s="8" t="s">
        <v>20</v>
      </c>
      <c r="T1318">
        <v>0</v>
      </c>
      <c r="AC1318">
        <v>1</v>
      </c>
    </row>
    <row r="1319" spans="1:29" ht="30" customHeight="1" x14ac:dyDescent="0.3">
      <c r="A1319" s="8" t="s">
        <v>1568</v>
      </c>
      <c r="B1319" s="8" t="s">
        <v>1691</v>
      </c>
      <c r="C1319" s="8" t="s">
        <v>1690</v>
      </c>
      <c r="D1319" s="8" t="s">
        <v>640</v>
      </c>
      <c r="E1319" s="8" t="s">
        <v>185</v>
      </c>
      <c r="F1319" s="9">
        <v>12</v>
      </c>
      <c r="G1319" s="5">
        <f>TRUNC([1]단가대비표!O1152,0)</f>
        <v>1220</v>
      </c>
      <c r="H1319" s="5">
        <f t="shared" si="116"/>
        <v>14640</v>
      </c>
      <c r="I1319" s="5">
        <v>0</v>
      </c>
      <c r="J1319" s="5">
        <f t="shared" si="117"/>
        <v>0</v>
      </c>
      <c r="K1319" s="5">
        <v>0</v>
      </c>
      <c r="L1319" s="5">
        <f t="shared" si="118"/>
        <v>0</v>
      </c>
      <c r="M1319" s="5">
        <f t="shared" si="119"/>
        <v>1220</v>
      </c>
      <c r="N1319" s="5">
        <f t="shared" si="119"/>
        <v>14640</v>
      </c>
      <c r="O1319" s="8" t="s">
        <v>20</v>
      </c>
      <c r="T1319">
        <v>0</v>
      </c>
      <c r="AC1319">
        <v>1</v>
      </c>
    </row>
    <row r="1320" spans="1:29" ht="30" customHeight="1" x14ac:dyDescent="0.3">
      <c r="A1320" s="8" t="s">
        <v>1568</v>
      </c>
      <c r="B1320" s="8" t="s">
        <v>1692</v>
      </c>
      <c r="C1320" s="8" t="s">
        <v>1690</v>
      </c>
      <c r="D1320" s="8" t="s">
        <v>447</v>
      </c>
      <c r="E1320" s="8" t="s">
        <v>185</v>
      </c>
      <c r="F1320" s="9">
        <v>16</v>
      </c>
      <c r="G1320" s="5">
        <f>TRUNC([1]단가대비표!O1153,0)</f>
        <v>1850</v>
      </c>
      <c r="H1320" s="5">
        <f t="shared" si="116"/>
        <v>29600</v>
      </c>
      <c r="I1320" s="5">
        <v>0</v>
      </c>
      <c r="J1320" s="5">
        <f t="shared" si="117"/>
        <v>0</v>
      </c>
      <c r="K1320" s="5">
        <v>0</v>
      </c>
      <c r="L1320" s="5">
        <f t="shared" si="118"/>
        <v>0</v>
      </c>
      <c r="M1320" s="5">
        <f t="shared" si="119"/>
        <v>1850</v>
      </c>
      <c r="N1320" s="5">
        <f t="shared" si="119"/>
        <v>29600</v>
      </c>
      <c r="O1320" s="8" t="s">
        <v>20</v>
      </c>
      <c r="T1320">
        <v>0</v>
      </c>
      <c r="AC1320">
        <v>1</v>
      </c>
    </row>
    <row r="1321" spans="1:29" ht="30" customHeight="1" x14ac:dyDescent="0.3">
      <c r="A1321" s="8" t="s">
        <v>1568</v>
      </c>
      <c r="B1321" s="8" t="s">
        <v>1693</v>
      </c>
      <c r="C1321" s="8" t="s">
        <v>1690</v>
      </c>
      <c r="D1321" s="8" t="s">
        <v>348</v>
      </c>
      <c r="E1321" s="8" t="s">
        <v>185</v>
      </c>
      <c r="F1321" s="9">
        <v>48</v>
      </c>
      <c r="G1321" s="5">
        <f>TRUNC([1]단가대비표!O1154,0)</f>
        <v>2200</v>
      </c>
      <c r="H1321" s="5">
        <f t="shared" si="116"/>
        <v>105600</v>
      </c>
      <c r="I1321" s="5">
        <v>0</v>
      </c>
      <c r="J1321" s="5">
        <f t="shared" si="117"/>
        <v>0</v>
      </c>
      <c r="K1321" s="5">
        <v>0</v>
      </c>
      <c r="L1321" s="5">
        <f t="shared" si="118"/>
        <v>0</v>
      </c>
      <c r="M1321" s="5">
        <f t="shared" si="119"/>
        <v>2200</v>
      </c>
      <c r="N1321" s="5">
        <f t="shared" si="119"/>
        <v>105600</v>
      </c>
      <c r="O1321" s="8" t="s">
        <v>20</v>
      </c>
      <c r="T1321">
        <v>0</v>
      </c>
      <c r="AC1321">
        <v>1</v>
      </c>
    </row>
    <row r="1322" spans="1:29" ht="30" customHeight="1" x14ac:dyDescent="0.3">
      <c r="A1322" s="8" t="s">
        <v>1568</v>
      </c>
      <c r="B1322" s="8" t="s">
        <v>1694</v>
      </c>
      <c r="C1322" s="8" t="s">
        <v>1690</v>
      </c>
      <c r="D1322" s="8" t="s">
        <v>350</v>
      </c>
      <c r="E1322" s="8" t="s">
        <v>185</v>
      </c>
      <c r="F1322" s="9">
        <v>2</v>
      </c>
      <c r="G1322" s="5">
        <f>TRUNC([1]단가대비표!O1155,0)</f>
        <v>2540</v>
      </c>
      <c r="H1322" s="5">
        <f t="shared" si="116"/>
        <v>5080</v>
      </c>
      <c r="I1322" s="5">
        <v>0</v>
      </c>
      <c r="J1322" s="5">
        <f t="shared" si="117"/>
        <v>0</v>
      </c>
      <c r="K1322" s="5">
        <v>0</v>
      </c>
      <c r="L1322" s="5">
        <f t="shared" si="118"/>
        <v>0</v>
      </c>
      <c r="M1322" s="5">
        <f t="shared" si="119"/>
        <v>2540</v>
      </c>
      <c r="N1322" s="5">
        <f t="shared" si="119"/>
        <v>5080</v>
      </c>
      <c r="O1322" s="8" t="s">
        <v>20</v>
      </c>
      <c r="T1322">
        <v>0</v>
      </c>
      <c r="AC1322">
        <v>1</v>
      </c>
    </row>
    <row r="1323" spans="1:29" ht="30" customHeight="1" x14ac:dyDescent="0.3">
      <c r="A1323" s="8" t="s">
        <v>1568</v>
      </c>
      <c r="B1323" s="8" t="s">
        <v>1695</v>
      </c>
      <c r="C1323" s="8" t="s">
        <v>1690</v>
      </c>
      <c r="D1323" s="8" t="s">
        <v>352</v>
      </c>
      <c r="E1323" s="8" t="s">
        <v>185</v>
      </c>
      <c r="F1323" s="9">
        <v>10</v>
      </c>
      <c r="G1323" s="5">
        <f>TRUNC([1]단가대비표!O1156,0)</f>
        <v>4080</v>
      </c>
      <c r="H1323" s="5">
        <f t="shared" si="116"/>
        <v>40800</v>
      </c>
      <c r="I1323" s="5">
        <v>0</v>
      </c>
      <c r="J1323" s="5">
        <f t="shared" si="117"/>
        <v>0</v>
      </c>
      <c r="K1323" s="5">
        <v>0</v>
      </c>
      <c r="L1323" s="5">
        <f t="shared" si="118"/>
        <v>0</v>
      </c>
      <c r="M1323" s="5">
        <f t="shared" si="119"/>
        <v>4080</v>
      </c>
      <c r="N1323" s="5">
        <f t="shared" si="119"/>
        <v>40800</v>
      </c>
      <c r="O1323" s="8" t="s">
        <v>20</v>
      </c>
      <c r="T1323">
        <v>0</v>
      </c>
      <c r="AC1323">
        <v>1</v>
      </c>
    </row>
    <row r="1324" spans="1:29" ht="30" customHeight="1" x14ac:dyDescent="0.3">
      <c r="A1324" s="8" t="s">
        <v>1568</v>
      </c>
      <c r="B1324" s="8" t="s">
        <v>1696</v>
      </c>
      <c r="C1324" s="8" t="s">
        <v>494</v>
      </c>
      <c r="D1324" s="8" t="s">
        <v>499</v>
      </c>
      <c r="E1324" s="8" t="s">
        <v>179</v>
      </c>
      <c r="F1324" s="9">
        <v>16</v>
      </c>
      <c r="G1324" s="5">
        <f>TRUNC([1]단가대비표!O1157,0)</f>
        <v>520</v>
      </c>
      <c r="H1324" s="5">
        <f t="shared" si="116"/>
        <v>8320</v>
      </c>
      <c r="I1324" s="5">
        <v>0</v>
      </c>
      <c r="J1324" s="5">
        <f t="shared" si="117"/>
        <v>0</v>
      </c>
      <c r="K1324" s="5">
        <v>0</v>
      </c>
      <c r="L1324" s="5">
        <f t="shared" si="118"/>
        <v>0</v>
      </c>
      <c r="M1324" s="5">
        <f t="shared" si="119"/>
        <v>520</v>
      </c>
      <c r="N1324" s="5">
        <f t="shared" si="119"/>
        <v>8320</v>
      </c>
      <c r="O1324" s="8" t="s">
        <v>20</v>
      </c>
      <c r="T1324">
        <v>0</v>
      </c>
      <c r="AC1324">
        <v>1</v>
      </c>
    </row>
    <row r="1325" spans="1:29" ht="30" customHeight="1" x14ac:dyDescent="0.3">
      <c r="A1325" s="8" t="s">
        <v>1568</v>
      </c>
      <c r="B1325" s="8" t="s">
        <v>1697</v>
      </c>
      <c r="C1325" s="8" t="s">
        <v>494</v>
      </c>
      <c r="D1325" s="8" t="s">
        <v>501</v>
      </c>
      <c r="E1325" s="8" t="s">
        <v>179</v>
      </c>
      <c r="F1325" s="9">
        <v>12</v>
      </c>
      <c r="G1325" s="5">
        <f>TRUNC([1]단가대비표!O1158,0)</f>
        <v>630</v>
      </c>
      <c r="H1325" s="5">
        <f t="shared" si="116"/>
        <v>7560</v>
      </c>
      <c r="I1325" s="5">
        <v>0</v>
      </c>
      <c r="J1325" s="5">
        <f t="shared" si="117"/>
        <v>0</v>
      </c>
      <c r="K1325" s="5">
        <v>0</v>
      </c>
      <c r="L1325" s="5">
        <f t="shared" si="118"/>
        <v>0</v>
      </c>
      <c r="M1325" s="5">
        <f t="shared" si="119"/>
        <v>630</v>
      </c>
      <c r="N1325" s="5">
        <f t="shared" si="119"/>
        <v>7560</v>
      </c>
      <c r="O1325" s="8" t="s">
        <v>20</v>
      </c>
      <c r="T1325">
        <v>0</v>
      </c>
      <c r="AC1325">
        <v>1</v>
      </c>
    </row>
    <row r="1326" spans="1:29" ht="30" customHeight="1" x14ac:dyDescent="0.3">
      <c r="A1326" s="8" t="s">
        <v>1568</v>
      </c>
      <c r="B1326" s="8" t="s">
        <v>1698</v>
      </c>
      <c r="C1326" s="8" t="s">
        <v>494</v>
      </c>
      <c r="D1326" s="8" t="s">
        <v>826</v>
      </c>
      <c r="E1326" s="8" t="s">
        <v>179</v>
      </c>
      <c r="F1326" s="9">
        <v>16</v>
      </c>
      <c r="G1326" s="5">
        <f>TRUNC([1]단가대비표!O1159,0)</f>
        <v>700</v>
      </c>
      <c r="H1326" s="5">
        <f t="shared" si="116"/>
        <v>11200</v>
      </c>
      <c r="I1326" s="5">
        <v>0</v>
      </c>
      <c r="J1326" s="5">
        <f t="shared" si="117"/>
        <v>0</v>
      </c>
      <c r="K1326" s="5">
        <v>0</v>
      </c>
      <c r="L1326" s="5">
        <f t="shared" si="118"/>
        <v>0</v>
      </c>
      <c r="M1326" s="5">
        <f t="shared" si="119"/>
        <v>700</v>
      </c>
      <c r="N1326" s="5">
        <f t="shared" si="119"/>
        <v>11200</v>
      </c>
      <c r="O1326" s="8" t="s">
        <v>20</v>
      </c>
      <c r="T1326">
        <v>0</v>
      </c>
      <c r="AC1326">
        <v>1</v>
      </c>
    </row>
    <row r="1327" spans="1:29" ht="30" customHeight="1" x14ac:dyDescent="0.3">
      <c r="A1327" s="8" t="s">
        <v>1568</v>
      </c>
      <c r="B1327" s="8" t="s">
        <v>1699</v>
      </c>
      <c r="C1327" s="8" t="s">
        <v>494</v>
      </c>
      <c r="D1327" s="8" t="s">
        <v>503</v>
      </c>
      <c r="E1327" s="8" t="s">
        <v>179</v>
      </c>
      <c r="F1327" s="9">
        <v>48</v>
      </c>
      <c r="G1327" s="5">
        <f>TRUNC([1]단가대비표!O1160,0)</f>
        <v>880</v>
      </c>
      <c r="H1327" s="5">
        <f t="shared" si="116"/>
        <v>42240</v>
      </c>
      <c r="I1327" s="5">
        <v>0</v>
      </c>
      <c r="J1327" s="5">
        <f t="shared" si="117"/>
        <v>0</v>
      </c>
      <c r="K1327" s="5">
        <v>0</v>
      </c>
      <c r="L1327" s="5">
        <f t="shared" si="118"/>
        <v>0</v>
      </c>
      <c r="M1327" s="5">
        <f t="shared" si="119"/>
        <v>880</v>
      </c>
      <c r="N1327" s="5">
        <f t="shared" si="119"/>
        <v>42240</v>
      </c>
      <c r="O1327" s="8" t="s">
        <v>20</v>
      </c>
      <c r="T1327">
        <v>0</v>
      </c>
      <c r="AC1327">
        <v>1</v>
      </c>
    </row>
    <row r="1328" spans="1:29" ht="30" customHeight="1" x14ac:dyDescent="0.3">
      <c r="A1328" s="8" t="s">
        <v>1568</v>
      </c>
      <c r="B1328" s="8" t="s">
        <v>1700</v>
      </c>
      <c r="C1328" s="8" t="s">
        <v>494</v>
      </c>
      <c r="D1328" s="8" t="s">
        <v>652</v>
      </c>
      <c r="E1328" s="8" t="s">
        <v>179</v>
      </c>
      <c r="F1328" s="9">
        <v>2</v>
      </c>
      <c r="G1328" s="5">
        <f>TRUNC([1]단가대비표!O1161,0)</f>
        <v>1590</v>
      </c>
      <c r="H1328" s="5">
        <f t="shared" si="116"/>
        <v>3180</v>
      </c>
      <c r="I1328" s="5">
        <v>0</v>
      </c>
      <c r="J1328" s="5">
        <f t="shared" si="117"/>
        <v>0</v>
      </c>
      <c r="K1328" s="5">
        <v>0</v>
      </c>
      <c r="L1328" s="5">
        <f t="shared" si="118"/>
        <v>0</v>
      </c>
      <c r="M1328" s="5">
        <f t="shared" si="119"/>
        <v>1590</v>
      </c>
      <c r="N1328" s="5">
        <f t="shared" si="119"/>
        <v>3180</v>
      </c>
      <c r="O1328" s="8" t="s">
        <v>20</v>
      </c>
      <c r="T1328">
        <v>0</v>
      </c>
      <c r="AC1328">
        <v>1</v>
      </c>
    </row>
    <row r="1329" spans="1:29" ht="30" customHeight="1" x14ac:dyDescent="0.3">
      <c r="A1329" s="8" t="s">
        <v>1568</v>
      </c>
      <c r="B1329" s="8" t="s">
        <v>1701</v>
      </c>
      <c r="C1329" s="8" t="s">
        <v>494</v>
      </c>
      <c r="D1329" s="8" t="s">
        <v>505</v>
      </c>
      <c r="E1329" s="8" t="s">
        <v>179</v>
      </c>
      <c r="F1329" s="9">
        <v>10</v>
      </c>
      <c r="G1329" s="5">
        <f>TRUNC([1]단가대비표!O1162,0)</f>
        <v>1890</v>
      </c>
      <c r="H1329" s="5">
        <f t="shared" si="116"/>
        <v>18900</v>
      </c>
      <c r="I1329" s="5">
        <v>0</v>
      </c>
      <c r="J1329" s="5">
        <f t="shared" si="117"/>
        <v>0</v>
      </c>
      <c r="K1329" s="5">
        <v>0</v>
      </c>
      <c r="L1329" s="5">
        <f t="shared" si="118"/>
        <v>0</v>
      </c>
      <c r="M1329" s="5">
        <f t="shared" si="119"/>
        <v>1890</v>
      </c>
      <c r="N1329" s="5">
        <f t="shared" si="119"/>
        <v>18900</v>
      </c>
      <c r="O1329" s="8" t="s">
        <v>20</v>
      </c>
      <c r="T1329">
        <v>0</v>
      </c>
      <c r="AC1329">
        <v>1</v>
      </c>
    </row>
    <row r="1330" spans="1:29" ht="30" customHeight="1" x14ac:dyDescent="0.3">
      <c r="A1330" s="8" t="s">
        <v>1568</v>
      </c>
      <c r="B1330" s="8" t="s">
        <v>1702</v>
      </c>
      <c r="C1330" s="8" t="s">
        <v>857</v>
      </c>
      <c r="D1330" s="8" t="s">
        <v>858</v>
      </c>
      <c r="E1330" s="8" t="s">
        <v>179</v>
      </c>
      <c r="F1330" s="9">
        <v>600</v>
      </c>
      <c r="G1330" s="5">
        <f>TRUNC([1]단가대비표!O1163,0)</f>
        <v>120</v>
      </c>
      <c r="H1330" s="5">
        <f t="shared" si="116"/>
        <v>72000</v>
      </c>
      <c r="I1330" s="5">
        <v>0</v>
      </c>
      <c r="J1330" s="5">
        <f t="shared" si="117"/>
        <v>0</v>
      </c>
      <c r="K1330" s="5">
        <v>0</v>
      </c>
      <c r="L1330" s="5">
        <f t="shared" si="118"/>
        <v>0</v>
      </c>
      <c r="M1330" s="5">
        <f t="shared" si="119"/>
        <v>120</v>
      </c>
      <c r="N1330" s="5">
        <f t="shared" si="119"/>
        <v>72000</v>
      </c>
      <c r="O1330" s="8" t="s">
        <v>20</v>
      </c>
      <c r="T1330">
        <v>0</v>
      </c>
      <c r="AC1330">
        <v>1</v>
      </c>
    </row>
    <row r="1331" spans="1:29" ht="30" customHeight="1" x14ac:dyDescent="0.3">
      <c r="A1331" s="8" t="s">
        <v>1568</v>
      </c>
      <c r="B1331" s="8" t="s">
        <v>1703</v>
      </c>
      <c r="C1331" s="8" t="s">
        <v>474</v>
      </c>
      <c r="D1331" s="8" t="s">
        <v>1704</v>
      </c>
      <c r="E1331" s="8" t="s">
        <v>476</v>
      </c>
      <c r="F1331" s="9">
        <v>2</v>
      </c>
      <c r="G1331" s="5">
        <f>TRUNC([1]단가대비표!O1164,0)</f>
        <v>15152</v>
      </c>
      <c r="H1331" s="5">
        <f t="shared" si="116"/>
        <v>30304</v>
      </c>
      <c r="I1331" s="5">
        <v>10134</v>
      </c>
      <c r="J1331" s="5">
        <f t="shared" si="117"/>
        <v>20268</v>
      </c>
      <c r="K1331" s="5">
        <v>0</v>
      </c>
      <c r="L1331" s="5">
        <f t="shared" si="118"/>
        <v>0</v>
      </c>
      <c r="M1331" s="5">
        <f t="shared" si="119"/>
        <v>25286</v>
      </c>
      <c r="N1331" s="5">
        <f t="shared" si="119"/>
        <v>50572</v>
      </c>
      <c r="O1331" s="8" t="s">
        <v>20</v>
      </c>
      <c r="T1331">
        <v>0</v>
      </c>
      <c r="AC1331">
        <v>1</v>
      </c>
    </row>
    <row r="1332" spans="1:29" ht="30" customHeight="1" x14ac:dyDescent="0.3">
      <c r="A1332" s="8" t="s">
        <v>1568</v>
      </c>
      <c r="B1332" s="8" t="s">
        <v>1705</v>
      </c>
      <c r="C1332" s="8" t="s">
        <v>478</v>
      </c>
      <c r="D1332" s="8" t="s">
        <v>479</v>
      </c>
      <c r="E1332" s="8" t="s">
        <v>476</v>
      </c>
      <c r="F1332" s="9">
        <v>1</v>
      </c>
      <c r="G1332" s="5">
        <f>TRUNC([1]단가대비표!O1165,0)</f>
        <v>37972</v>
      </c>
      <c r="H1332" s="5">
        <f t="shared" si="116"/>
        <v>37972</v>
      </c>
      <c r="I1332" s="5">
        <v>10134</v>
      </c>
      <c r="J1332" s="5">
        <f t="shared" si="117"/>
        <v>10134</v>
      </c>
      <c r="K1332" s="5">
        <v>0</v>
      </c>
      <c r="L1332" s="5">
        <f t="shared" si="118"/>
        <v>0</v>
      </c>
      <c r="M1332" s="5">
        <f t="shared" si="119"/>
        <v>48106</v>
      </c>
      <c r="N1332" s="5">
        <f t="shared" si="119"/>
        <v>48106</v>
      </c>
      <c r="O1332" s="8" t="s">
        <v>20</v>
      </c>
      <c r="T1332">
        <v>0</v>
      </c>
      <c r="AC1332">
        <v>1</v>
      </c>
    </row>
    <row r="1333" spans="1:29" ht="30" customHeight="1" x14ac:dyDescent="0.3">
      <c r="A1333" s="8" t="s">
        <v>1568</v>
      </c>
      <c r="B1333" s="8" t="s">
        <v>1706</v>
      </c>
      <c r="C1333" s="8" t="s">
        <v>1707</v>
      </c>
      <c r="D1333" s="8" t="s">
        <v>1664</v>
      </c>
      <c r="E1333" s="8" t="s">
        <v>179</v>
      </c>
      <c r="F1333" s="9">
        <v>15</v>
      </c>
      <c r="G1333" s="5">
        <f>TRUNC([1]단가대비표!O1166,0)</f>
        <v>80000</v>
      </c>
      <c r="H1333" s="5">
        <f t="shared" si="116"/>
        <v>1200000</v>
      </c>
      <c r="I1333" s="5">
        <v>0</v>
      </c>
      <c r="J1333" s="5">
        <f t="shared" si="117"/>
        <v>0</v>
      </c>
      <c r="K1333" s="5">
        <v>0</v>
      </c>
      <c r="L1333" s="5">
        <f t="shared" si="118"/>
        <v>0</v>
      </c>
      <c r="M1333" s="5">
        <f t="shared" si="119"/>
        <v>80000</v>
      </c>
      <c r="N1333" s="5">
        <f t="shared" si="119"/>
        <v>1200000</v>
      </c>
      <c r="O1333" s="8" t="s">
        <v>20</v>
      </c>
      <c r="T1333">
        <v>0</v>
      </c>
      <c r="AC1333">
        <v>1</v>
      </c>
    </row>
    <row r="1334" spans="1:29" ht="30" customHeight="1" x14ac:dyDescent="0.3">
      <c r="A1334" s="8" t="s">
        <v>1568</v>
      </c>
      <c r="B1334" s="8" t="s">
        <v>1708</v>
      </c>
      <c r="C1334" s="8" t="s">
        <v>1709</v>
      </c>
      <c r="D1334" s="8" t="s">
        <v>1710</v>
      </c>
      <c r="E1334" s="8" t="s">
        <v>179</v>
      </c>
      <c r="F1334" s="9">
        <v>2</v>
      </c>
      <c r="G1334" s="5">
        <f>TRUNC([1]단가대비표!O1167,0)</f>
        <v>765000</v>
      </c>
      <c r="H1334" s="5">
        <f t="shared" si="116"/>
        <v>1530000</v>
      </c>
      <c r="I1334" s="5">
        <v>0</v>
      </c>
      <c r="J1334" s="5">
        <f t="shared" si="117"/>
        <v>0</v>
      </c>
      <c r="K1334" s="5">
        <v>0</v>
      </c>
      <c r="L1334" s="5">
        <f t="shared" si="118"/>
        <v>0</v>
      </c>
      <c r="M1334" s="5">
        <f t="shared" si="119"/>
        <v>765000</v>
      </c>
      <c r="N1334" s="5">
        <f t="shared" si="119"/>
        <v>1530000</v>
      </c>
      <c r="O1334" s="8" t="s">
        <v>20</v>
      </c>
      <c r="T1334">
        <v>0</v>
      </c>
      <c r="AC1334">
        <v>1</v>
      </c>
    </row>
    <row r="1335" spans="1:29" ht="30" customHeight="1" x14ac:dyDescent="0.3">
      <c r="A1335" s="8" t="s">
        <v>1568</v>
      </c>
      <c r="B1335" s="8" t="s">
        <v>1711</v>
      </c>
      <c r="C1335" s="8" t="s">
        <v>1712</v>
      </c>
      <c r="D1335" s="8" t="s">
        <v>1713</v>
      </c>
      <c r="E1335" s="8" t="s">
        <v>476</v>
      </c>
      <c r="F1335" s="9">
        <v>1</v>
      </c>
      <c r="G1335" s="5">
        <f>TRUNC([1]단가대비표!O1168,0)</f>
        <v>405000</v>
      </c>
      <c r="H1335" s="5">
        <f t="shared" si="116"/>
        <v>405000</v>
      </c>
      <c r="I1335" s="5">
        <v>0</v>
      </c>
      <c r="J1335" s="5">
        <f t="shared" si="117"/>
        <v>0</v>
      </c>
      <c r="K1335" s="5">
        <v>0</v>
      </c>
      <c r="L1335" s="5">
        <f t="shared" si="118"/>
        <v>0</v>
      </c>
      <c r="M1335" s="5">
        <f t="shared" si="119"/>
        <v>405000</v>
      </c>
      <c r="N1335" s="5">
        <f t="shared" si="119"/>
        <v>405000</v>
      </c>
      <c r="O1335" s="8" t="s">
        <v>20</v>
      </c>
      <c r="T1335">
        <v>0</v>
      </c>
      <c r="AC1335">
        <v>1</v>
      </c>
    </row>
    <row r="1336" spans="1:29" ht="30" customHeight="1" x14ac:dyDescent="0.3">
      <c r="A1336" s="8" t="s">
        <v>1568</v>
      </c>
      <c r="B1336" s="8" t="s">
        <v>1714</v>
      </c>
      <c r="C1336" s="8" t="s">
        <v>530</v>
      </c>
      <c r="D1336" s="8" t="s">
        <v>531</v>
      </c>
      <c r="E1336" s="8" t="s">
        <v>1715</v>
      </c>
      <c r="F1336" s="9">
        <v>1600</v>
      </c>
      <c r="G1336" s="5">
        <f>TRUNC([1]단가대비표!O1169,0)</f>
        <v>1159</v>
      </c>
      <c r="H1336" s="5">
        <f t="shared" si="116"/>
        <v>1854400</v>
      </c>
      <c r="I1336" s="5">
        <v>0</v>
      </c>
      <c r="J1336" s="5">
        <f t="shared" si="117"/>
        <v>0</v>
      </c>
      <c r="K1336" s="5">
        <v>0</v>
      </c>
      <c r="L1336" s="5">
        <f t="shared" si="118"/>
        <v>0</v>
      </c>
      <c r="M1336" s="5">
        <f t="shared" si="119"/>
        <v>1159</v>
      </c>
      <c r="N1336" s="5">
        <f t="shared" si="119"/>
        <v>1854400</v>
      </c>
      <c r="O1336" s="8" t="s">
        <v>20</v>
      </c>
      <c r="T1336">
        <v>0</v>
      </c>
      <c r="AC1336">
        <v>1</v>
      </c>
    </row>
    <row r="1337" spans="1:29" ht="30" customHeight="1" x14ac:dyDescent="0.3">
      <c r="A1337" s="8" t="s">
        <v>1568</v>
      </c>
      <c r="B1337" s="8" t="s">
        <v>1716</v>
      </c>
      <c r="C1337" s="8" t="s">
        <v>534</v>
      </c>
      <c r="D1337" s="8" t="s">
        <v>1717</v>
      </c>
      <c r="E1337" s="8" t="s">
        <v>1715</v>
      </c>
      <c r="F1337" s="9">
        <v>600</v>
      </c>
      <c r="G1337" s="5">
        <f>TRUNC([1]단가대비표!O1170,0)</f>
        <v>1159</v>
      </c>
      <c r="H1337" s="5">
        <f t="shared" si="116"/>
        <v>695400</v>
      </c>
      <c r="I1337" s="5">
        <v>0</v>
      </c>
      <c r="J1337" s="5">
        <f t="shared" si="117"/>
        <v>0</v>
      </c>
      <c r="K1337" s="5">
        <v>0</v>
      </c>
      <c r="L1337" s="5">
        <f t="shared" si="118"/>
        <v>0</v>
      </c>
      <c r="M1337" s="5">
        <f t="shared" si="119"/>
        <v>1159</v>
      </c>
      <c r="N1337" s="5">
        <f t="shared" si="119"/>
        <v>695400</v>
      </c>
      <c r="O1337" s="8" t="s">
        <v>20</v>
      </c>
      <c r="T1337">
        <v>0</v>
      </c>
      <c r="AC1337">
        <v>1</v>
      </c>
    </row>
    <row r="1338" spans="1:29" ht="30" customHeight="1" x14ac:dyDescent="0.3">
      <c r="A1338" s="8" t="s">
        <v>1568</v>
      </c>
      <c r="B1338" s="8" t="s">
        <v>1718</v>
      </c>
      <c r="C1338" s="8" t="s">
        <v>537</v>
      </c>
      <c r="D1338" s="8" t="s">
        <v>538</v>
      </c>
      <c r="E1338" s="8" t="s">
        <v>185</v>
      </c>
      <c r="F1338" s="9">
        <v>102</v>
      </c>
      <c r="G1338" s="5">
        <f>TRUNC([1]단가대비표!O1171,0)</f>
        <v>4346</v>
      </c>
      <c r="H1338" s="5">
        <f t="shared" si="116"/>
        <v>443292</v>
      </c>
      <c r="I1338" s="5">
        <v>22345</v>
      </c>
      <c r="J1338" s="5">
        <f t="shared" si="117"/>
        <v>2279190</v>
      </c>
      <c r="K1338" s="5">
        <v>0</v>
      </c>
      <c r="L1338" s="5">
        <f t="shared" si="118"/>
        <v>0</v>
      </c>
      <c r="M1338" s="5">
        <f t="shared" si="119"/>
        <v>26691</v>
      </c>
      <c r="N1338" s="5">
        <f t="shared" si="119"/>
        <v>2722482</v>
      </c>
      <c r="O1338" s="8" t="s">
        <v>20</v>
      </c>
      <c r="T1338">
        <v>0</v>
      </c>
      <c r="AC1338">
        <v>1</v>
      </c>
    </row>
    <row r="1339" spans="1:29" ht="30" customHeight="1" x14ac:dyDescent="0.3">
      <c r="A1339" s="8" t="s">
        <v>1568</v>
      </c>
      <c r="B1339" s="8" t="s">
        <v>1719</v>
      </c>
      <c r="C1339" s="8" t="s">
        <v>550</v>
      </c>
      <c r="D1339" s="8" t="s">
        <v>551</v>
      </c>
      <c r="E1339" s="8" t="s">
        <v>552</v>
      </c>
      <c r="F1339" s="9">
        <v>0.8</v>
      </c>
      <c r="G1339" s="5">
        <f>TRUNC([1]단가대비표!O1172,0)</f>
        <v>291342</v>
      </c>
      <c r="H1339" s="5">
        <f t="shared" si="116"/>
        <v>233073</v>
      </c>
      <c r="I1339" s="5">
        <v>6630660</v>
      </c>
      <c r="J1339" s="5">
        <f t="shared" si="117"/>
        <v>5304528</v>
      </c>
      <c r="K1339" s="5">
        <v>0</v>
      </c>
      <c r="L1339" s="5">
        <f t="shared" si="118"/>
        <v>0</v>
      </c>
      <c r="M1339" s="5">
        <f t="shared" si="119"/>
        <v>6922002</v>
      </c>
      <c r="N1339" s="5">
        <f t="shared" si="119"/>
        <v>5537601</v>
      </c>
      <c r="O1339" s="8" t="s">
        <v>20</v>
      </c>
      <c r="T1339">
        <v>0</v>
      </c>
      <c r="AC1339">
        <v>1</v>
      </c>
    </row>
    <row r="1340" spans="1:29" ht="30" customHeight="1" x14ac:dyDescent="0.3">
      <c r="A1340" s="8" t="s">
        <v>1568</v>
      </c>
      <c r="B1340" s="8" t="s">
        <v>1720</v>
      </c>
      <c r="C1340" s="8" t="s">
        <v>547</v>
      </c>
      <c r="D1340" s="8" t="s">
        <v>548</v>
      </c>
      <c r="E1340" s="8" t="s">
        <v>545</v>
      </c>
      <c r="F1340" s="9">
        <v>88</v>
      </c>
      <c r="G1340" s="5">
        <f>TRUNC([1]단가대비표!O1173,0)</f>
        <v>1156</v>
      </c>
      <c r="H1340" s="5">
        <f t="shared" si="116"/>
        <v>101728</v>
      </c>
      <c r="I1340" s="5">
        <v>7769</v>
      </c>
      <c r="J1340" s="5">
        <f t="shared" si="117"/>
        <v>683672</v>
      </c>
      <c r="K1340" s="5">
        <v>0</v>
      </c>
      <c r="L1340" s="5">
        <f t="shared" si="118"/>
        <v>0</v>
      </c>
      <c r="M1340" s="5">
        <f t="shared" si="119"/>
        <v>8925</v>
      </c>
      <c r="N1340" s="5">
        <f t="shared" si="119"/>
        <v>785400</v>
      </c>
      <c r="O1340" s="8" t="s">
        <v>20</v>
      </c>
      <c r="T1340">
        <v>0</v>
      </c>
      <c r="AC1340">
        <v>1</v>
      </c>
    </row>
    <row r="1341" spans="1:29" ht="30" customHeight="1" x14ac:dyDescent="0.3">
      <c r="A1341" s="8" t="s">
        <v>1568</v>
      </c>
      <c r="B1341" s="8" t="s">
        <v>1721</v>
      </c>
      <c r="C1341" s="8" t="s">
        <v>1722</v>
      </c>
      <c r="D1341" s="8" t="s">
        <v>544</v>
      </c>
      <c r="E1341" s="8" t="s">
        <v>545</v>
      </c>
      <c r="F1341" s="9">
        <v>88</v>
      </c>
      <c r="G1341" s="5">
        <f>TRUNC([1]단가대비표!O1174,0)</f>
        <v>1123</v>
      </c>
      <c r="H1341" s="5">
        <f t="shared" si="116"/>
        <v>98824</v>
      </c>
      <c r="I1341" s="5">
        <v>10358</v>
      </c>
      <c r="J1341" s="5">
        <f t="shared" si="117"/>
        <v>911504</v>
      </c>
      <c r="K1341" s="5">
        <v>0</v>
      </c>
      <c r="L1341" s="5">
        <f t="shared" si="118"/>
        <v>0</v>
      </c>
      <c r="M1341" s="5">
        <f t="shared" si="119"/>
        <v>11481</v>
      </c>
      <c r="N1341" s="5">
        <f t="shared" si="119"/>
        <v>1010328</v>
      </c>
      <c r="O1341" s="8" t="s">
        <v>20</v>
      </c>
      <c r="T1341">
        <v>0</v>
      </c>
      <c r="AC1341">
        <v>1</v>
      </c>
    </row>
    <row r="1342" spans="1:29" ht="30" customHeight="1" x14ac:dyDescent="0.3">
      <c r="A1342" s="5"/>
      <c r="B1342" s="5"/>
      <c r="C1342" s="5"/>
      <c r="D1342" s="5"/>
      <c r="E1342" s="5"/>
      <c r="F1342" s="9"/>
      <c r="G1342" s="5"/>
      <c r="H1342" s="5"/>
      <c r="I1342" s="5"/>
      <c r="J1342" s="5"/>
      <c r="K1342" s="5"/>
      <c r="L1342" s="5"/>
      <c r="M1342" s="5"/>
      <c r="N1342" s="5"/>
      <c r="O1342" s="5"/>
    </row>
    <row r="1343" spans="1:29" ht="30" customHeight="1" x14ac:dyDescent="0.3">
      <c r="A1343" s="5"/>
      <c r="B1343" s="5"/>
      <c r="C1343" s="5"/>
      <c r="D1343" s="5"/>
      <c r="E1343" s="5"/>
      <c r="F1343" s="9"/>
      <c r="G1343" s="5"/>
      <c r="H1343" s="5"/>
      <c r="I1343" s="5"/>
      <c r="J1343" s="5"/>
      <c r="K1343" s="5"/>
      <c r="L1343" s="5"/>
      <c r="M1343" s="5"/>
      <c r="N1343" s="5"/>
      <c r="O1343" s="5"/>
    </row>
    <row r="1344" spans="1:29" ht="30" customHeight="1" x14ac:dyDescent="0.3">
      <c r="A1344" s="5"/>
      <c r="B1344" s="5"/>
      <c r="C1344" s="5"/>
      <c r="D1344" s="5"/>
      <c r="E1344" s="5"/>
      <c r="F1344" s="9"/>
      <c r="G1344" s="5"/>
      <c r="H1344" s="5"/>
      <c r="I1344" s="5"/>
      <c r="J1344" s="5"/>
      <c r="K1344" s="5"/>
      <c r="L1344" s="5"/>
      <c r="M1344" s="5"/>
      <c r="N1344" s="5"/>
      <c r="O1344" s="5"/>
    </row>
    <row r="1345" spans="1:29" ht="30" customHeight="1" x14ac:dyDescent="0.3">
      <c r="A1345" s="5"/>
      <c r="B1345" s="5"/>
      <c r="C1345" s="5"/>
      <c r="D1345" s="5"/>
      <c r="E1345" s="5"/>
      <c r="F1345" s="9"/>
      <c r="G1345" s="5"/>
      <c r="H1345" s="5"/>
      <c r="I1345" s="5"/>
      <c r="J1345" s="5"/>
      <c r="K1345" s="5"/>
      <c r="L1345" s="5"/>
      <c r="M1345" s="5"/>
      <c r="N1345" s="5"/>
      <c r="O1345" s="5"/>
    </row>
    <row r="1346" spans="1:29" ht="30" customHeight="1" x14ac:dyDescent="0.3">
      <c r="A1346" s="5"/>
      <c r="B1346" s="5"/>
      <c r="C1346" s="5"/>
      <c r="D1346" s="5"/>
      <c r="E1346" s="5"/>
      <c r="F1346" s="9"/>
      <c r="G1346" s="5"/>
      <c r="H1346" s="5"/>
      <c r="I1346" s="5"/>
      <c r="J1346" s="5"/>
      <c r="K1346" s="5"/>
      <c r="L1346" s="5"/>
      <c r="M1346" s="5"/>
      <c r="N1346" s="5"/>
      <c r="O1346" s="5"/>
    </row>
    <row r="1347" spans="1:29" ht="30" customHeight="1" x14ac:dyDescent="0.3">
      <c r="A1347" s="5"/>
      <c r="B1347" s="5"/>
      <c r="C1347" s="5"/>
      <c r="D1347" s="5"/>
      <c r="E1347" s="5"/>
      <c r="F1347" s="9"/>
      <c r="G1347" s="5"/>
      <c r="H1347" s="5"/>
      <c r="I1347" s="5"/>
      <c r="J1347" s="5"/>
      <c r="K1347" s="5"/>
      <c r="L1347" s="5"/>
      <c r="M1347" s="5"/>
      <c r="N1347" s="5"/>
      <c r="O1347" s="5"/>
    </row>
    <row r="1348" spans="1:29" ht="30" customHeight="1" x14ac:dyDescent="0.3">
      <c r="A1348" s="5"/>
      <c r="B1348" s="5"/>
      <c r="C1348" s="5"/>
      <c r="D1348" s="5"/>
      <c r="E1348" s="5"/>
      <c r="F1348" s="9"/>
      <c r="G1348" s="5"/>
      <c r="H1348" s="5"/>
      <c r="I1348" s="5"/>
      <c r="J1348" s="5"/>
      <c r="K1348" s="5"/>
      <c r="L1348" s="5"/>
      <c r="M1348" s="5"/>
      <c r="N1348" s="5"/>
      <c r="O1348" s="5"/>
    </row>
    <row r="1349" spans="1:29" ht="30" customHeight="1" x14ac:dyDescent="0.3">
      <c r="A1349" s="5"/>
      <c r="B1349" s="5"/>
      <c r="C1349" s="5"/>
      <c r="D1349" s="5"/>
      <c r="E1349" s="5"/>
      <c r="F1349" s="9"/>
      <c r="G1349" s="5"/>
      <c r="H1349" s="5"/>
      <c r="I1349" s="5"/>
      <c r="J1349" s="5"/>
      <c r="K1349" s="5"/>
      <c r="L1349" s="5"/>
      <c r="M1349" s="5"/>
      <c r="N1349" s="5"/>
      <c r="O1349" s="5"/>
    </row>
    <row r="1350" spans="1:29" ht="30" customHeight="1" x14ac:dyDescent="0.3">
      <c r="A1350" s="5"/>
      <c r="B1350" s="5"/>
      <c r="C1350" s="5"/>
      <c r="D1350" s="5"/>
      <c r="E1350" s="5"/>
      <c r="F1350" s="9"/>
      <c r="G1350" s="5"/>
      <c r="H1350" s="5"/>
      <c r="I1350" s="5"/>
      <c r="J1350" s="5"/>
      <c r="K1350" s="5"/>
      <c r="L1350" s="5"/>
      <c r="M1350" s="5"/>
      <c r="N1350" s="5"/>
      <c r="O1350" s="5"/>
    </row>
    <row r="1351" spans="1:29" ht="30" customHeight="1" x14ac:dyDescent="0.3">
      <c r="A1351" s="5"/>
      <c r="B1351" s="5"/>
      <c r="C1351" s="5"/>
      <c r="D1351" s="5"/>
      <c r="E1351" s="5"/>
      <c r="F1351" s="9"/>
      <c r="G1351" s="5"/>
      <c r="H1351" s="5"/>
      <c r="I1351" s="5"/>
      <c r="J1351" s="5"/>
      <c r="K1351" s="5"/>
      <c r="L1351" s="5"/>
      <c r="M1351" s="5"/>
      <c r="N1351" s="5"/>
      <c r="O1351" s="5"/>
    </row>
    <row r="1352" spans="1:29" ht="30" customHeight="1" x14ac:dyDescent="0.3">
      <c r="A1352" s="5"/>
      <c r="B1352" s="5"/>
      <c r="C1352" s="5"/>
      <c r="D1352" s="5"/>
      <c r="E1352" s="5"/>
      <c r="F1352" s="9"/>
      <c r="G1352" s="5"/>
      <c r="H1352" s="5"/>
      <c r="I1352" s="5"/>
      <c r="J1352" s="5"/>
      <c r="K1352" s="5"/>
      <c r="L1352" s="5"/>
      <c r="M1352" s="5"/>
      <c r="N1352" s="5"/>
      <c r="O1352" s="5"/>
    </row>
    <row r="1353" spans="1:29" ht="30" customHeight="1" x14ac:dyDescent="0.3">
      <c r="A1353" s="5"/>
      <c r="B1353" s="5"/>
      <c r="C1353" s="5"/>
      <c r="D1353" s="5"/>
      <c r="E1353" s="5"/>
      <c r="F1353" s="9"/>
      <c r="G1353" s="5"/>
      <c r="H1353" s="5"/>
      <c r="I1353" s="5"/>
      <c r="J1353" s="5"/>
      <c r="K1353" s="5"/>
      <c r="L1353" s="5"/>
      <c r="M1353" s="5"/>
      <c r="N1353" s="5"/>
      <c r="O1353" s="5"/>
    </row>
    <row r="1354" spans="1:29" ht="30" customHeight="1" x14ac:dyDescent="0.3">
      <c r="A1354" s="5"/>
      <c r="B1354" s="5"/>
      <c r="C1354" s="5"/>
      <c r="D1354" s="5"/>
      <c r="E1354" s="5"/>
      <c r="F1354" s="9"/>
      <c r="G1354" s="5"/>
      <c r="H1354" s="5"/>
      <c r="I1354" s="5"/>
      <c r="J1354" s="5"/>
      <c r="K1354" s="5"/>
      <c r="L1354" s="5"/>
      <c r="M1354" s="5"/>
      <c r="N1354" s="5"/>
      <c r="O1354" s="5"/>
    </row>
    <row r="1355" spans="1:29" ht="30" customHeight="1" x14ac:dyDescent="0.3">
      <c r="A1355" s="5"/>
      <c r="B1355" s="5"/>
      <c r="C1355" s="5" t="s">
        <v>162</v>
      </c>
      <c r="D1355" s="5"/>
      <c r="E1355" s="5"/>
      <c r="F1355" s="9"/>
      <c r="G1355" s="5"/>
      <c r="H1355" s="5">
        <f>SUMIF(AC1253:AC1354, 1, H1253:H1354)</f>
        <v>34273520</v>
      </c>
      <c r="I1355" s="5"/>
      <c r="J1355" s="5">
        <f>SUMIF(AC1253:AC1354, 1, J1253:J1354)</f>
        <v>52416021</v>
      </c>
      <c r="K1355" s="5"/>
      <c r="L1355" s="5">
        <f>SUMIF(AC1253:AC1354, 1, L1253:L1354)</f>
        <v>0</v>
      </c>
      <c r="M1355" s="5"/>
      <c r="N1355" s="5">
        <f>H1355+J1355+L1355</f>
        <v>86689541</v>
      </c>
      <c r="O1355" s="5"/>
    </row>
    <row r="1356" spans="1:29" ht="30" customHeight="1" x14ac:dyDescent="0.3">
      <c r="A1356" s="5"/>
      <c r="B1356" s="5"/>
      <c r="C1356" s="10" t="s">
        <v>1723</v>
      </c>
      <c r="D1356" s="10"/>
      <c r="E1356" s="10"/>
      <c r="F1356" s="11"/>
      <c r="G1356" s="10"/>
      <c r="H1356" s="10"/>
      <c r="I1356" s="10"/>
      <c r="J1356" s="10"/>
      <c r="K1356" s="10"/>
      <c r="L1356" s="10"/>
      <c r="M1356" s="10"/>
      <c r="N1356" s="10"/>
      <c r="O1356" s="10"/>
    </row>
    <row r="1357" spans="1:29" ht="30" customHeight="1" x14ac:dyDescent="0.3">
      <c r="A1357" s="8" t="s">
        <v>1724</v>
      </c>
      <c r="B1357" s="8" t="s">
        <v>1725</v>
      </c>
      <c r="C1357" s="8" t="s">
        <v>1726</v>
      </c>
      <c r="D1357" s="8" t="s">
        <v>20</v>
      </c>
      <c r="E1357" s="8" t="s">
        <v>721</v>
      </c>
      <c r="F1357" s="9">
        <v>1</v>
      </c>
      <c r="G1357" s="5">
        <f>TRUNC([1]단가대비표!O762,0)</f>
        <v>300000</v>
      </c>
      <c r="H1357" s="5">
        <f t="shared" ref="H1357:H1368" si="120">TRUNC(F1357*G1357,0)</f>
        <v>300000</v>
      </c>
      <c r="I1357" s="5">
        <v>0</v>
      </c>
      <c r="J1357" s="5">
        <f t="shared" ref="J1357:J1368" si="121">TRUNC(F1357*I1357,0)</f>
        <v>0</v>
      </c>
      <c r="K1357" s="5">
        <v>0</v>
      </c>
      <c r="L1357" s="5">
        <f t="shared" ref="L1357:L1368" si="122">TRUNC(F1357*K1357,0)</f>
        <v>0</v>
      </c>
      <c r="M1357" s="5">
        <f t="shared" ref="M1357:N1368" si="123">G1357+I1357+K1357</f>
        <v>300000</v>
      </c>
      <c r="N1357" s="5">
        <f t="shared" si="123"/>
        <v>300000</v>
      </c>
      <c r="O1357" s="8" t="s">
        <v>20</v>
      </c>
      <c r="T1357">
        <v>0</v>
      </c>
      <c r="AC1357">
        <v>1</v>
      </c>
    </row>
    <row r="1358" spans="1:29" ht="30" customHeight="1" x14ac:dyDescent="0.3">
      <c r="A1358" s="8" t="s">
        <v>1724</v>
      </c>
      <c r="B1358" s="8" t="s">
        <v>1727</v>
      </c>
      <c r="C1358" s="8" t="s">
        <v>1728</v>
      </c>
      <c r="D1358" s="8" t="s">
        <v>1729</v>
      </c>
      <c r="E1358" s="8" t="s">
        <v>721</v>
      </c>
      <c r="F1358" s="9">
        <v>1</v>
      </c>
      <c r="G1358" s="5">
        <f>TRUNC([1]단가대비표!O763,0)</f>
        <v>8300000</v>
      </c>
      <c r="H1358" s="5">
        <f t="shared" si="120"/>
        <v>8300000</v>
      </c>
      <c r="I1358" s="5">
        <v>0</v>
      </c>
      <c r="J1358" s="5">
        <f t="shared" si="121"/>
        <v>0</v>
      </c>
      <c r="K1358" s="5">
        <v>0</v>
      </c>
      <c r="L1358" s="5">
        <f t="shared" si="122"/>
        <v>0</v>
      </c>
      <c r="M1358" s="5">
        <f t="shared" si="123"/>
        <v>8300000</v>
      </c>
      <c r="N1358" s="5">
        <f t="shared" si="123"/>
        <v>8300000</v>
      </c>
      <c r="O1358" s="8" t="s">
        <v>20</v>
      </c>
      <c r="T1358">
        <v>0</v>
      </c>
      <c r="AC1358">
        <v>1</v>
      </c>
    </row>
    <row r="1359" spans="1:29" ht="30" customHeight="1" x14ac:dyDescent="0.3">
      <c r="A1359" s="8" t="s">
        <v>1724</v>
      </c>
      <c r="B1359" s="8" t="s">
        <v>1730</v>
      </c>
      <c r="C1359" s="8" t="s">
        <v>1731</v>
      </c>
      <c r="D1359" s="8" t="s">
        <v>1732</v>
      </c>
      <c r="E1359" s="8" t="s">
        <v>721</v>
      </c>
      <c r="F1359" s="9">
        <v>2</v>
      </c>
      <c r="G1359" s="5">
        <f>TRUNC([1]단가대비표!O764,0)</f>
        <v>758000</v>
      </c>
      <c r="H1359" s="5">
        <f t="shared" si="120"/>
        <v>1516000</v>
      </c>
      <c r="I1359" s="5">
        <v>89000</v>
      </c>
      <c r="J1359" s="5">
        <f t="shared" si="121"/>
        <v>178000</v>
      </c>
      <c r="K1359" s="5">
        <v>0</v>
      </c>
      <c r="L1359" s="5">
        <f t="shared" si="122"/>
        <v>0</v>
      </c>
      <c r="M1359" s="5">
        <f t="shared" si="123"/>
        <v>847000</v>
      </c>
      <c r="N1359" s="5">
        <f t="shared" si="123"/>
        <v>1694000</v>
      </c>
      <c r="O1359" s="8" t="s">
        <v>20</v>
      </c>
      <c r="T1359">
        <v>0</v>
      </c>
      <c r="AC1359">
        <v>1</v>
      </c>
    </row>
    <row r="1360" spans="1:29" ht="30" customHeight="1" x14ac:dyDescent="0.3">
      <c r="A1360" s="8" t="s">
        <v>1724</v>
      </c>
      <c r="B1360" s="8" t="s">
        <v>1733</v>
      </c>
      <c r="C1360" s="8" t="s">
        <v>1734</v>
      </c>
      <c r="D1360" s="8" t="s">
        <v>1735</v>
      </c>
      <c r="E1360" s="8" t="s">
        <v>721</v>
      </c>
      <c r="F1360" s="9">
        <v>2</v>
      </c>
      <c r="G1360" s="5">
        <f>TRUNC([1]단가대비표!O765,0)</f>
        <v>528000</v>
      </c>
      <c r="H1360" s="5">
        <f t="shared" si="120"/>
        <v>1056000</v>
      </c>
      <c r="I1360" s="5">
        <v>62000</v>
      </c>
      <c r="J1360" s="5">
        <f t="shared" si="121"/>
        <v>124000</v>
      </c>
      <c r="K1360" s="5">
        <v>0</v>
      </c>
      <c r="L1360" s="5">
        <f t="shared" si="122"/>
        <v>0</v>
      </c>
      <c r="M1360" s="5">
        <f t="shared" si="123"/>
        <v>590000</v>
      </c>
      <c r="N1360" s="5">
        <f t="shared" si="123"/>
        <v>1180000</v>
      </c>
      <c r="O1360" s="8" t="s">
        <v>20</v>
      </c>
      <c r="T1360">
        <v>0</v>
      </c>
      <c r="AC1360">
        <v>1</v>
      </c>
    </row>
    <row r="1361" spans="1:29" ht="30" customHeight="1" x14ac:dyDescent="0.3">
      <c r="A1361" s="8" t="s">
        <v>1724</v>
      </c>
      <c r="B1361" s="8" t="s">
        <v>1736</v>
      </c>
      <c r="C1361" s="8" t="s">
        <v>1737</v>
      </c>
      <c r="D1361" s="8" t="s">
        <v>1738</v>
      </c>
      <c r="E1361" s="8" t="s">
        <v>721</v>
      </c>
      <c r="F1361" s="9">
        <v>2</v>
      </c>
      <c r="G1361" s="5">
        <f>TRUNC([1]단가대비표!O766,0)</f>
        <v>2040000</v>
      </c>
      <c r="H1361" s="5">
        <f t="shared" si="120"/>
        <v>4080000</v>
      </c>
      <c r="I1361" s="5">
        <v>240000</v>
      </c>
      <c r="J1361" s="5">
        <f t="shared" si="121"/>
        <v>480000</v>
      </c>
      <c r="K1361" s="5">
        <v>0</v>
      </c>
      <c r="L1361" s="5">
        <f t="shared" si="122"/>
        <v>0</v>
      </c>
      <c r="M1361" s="5">
        <f t="shared" si="123"/>
        <v>2280000</v>
      </c>
      <c r="N1361" s="5">
        <f t="shared" si="123"/>
        <v>4560000</v>
      </c>
      <c r="O1361" s="8" t="s">
        <v>20</v>
      </c>
      <c r="T1361">
        <v>0</v>
      </c>
      <c r="AC1361">
        <v>1</v>
      </c>
    </row>
    <row r="1362" spans="1:29" ht="30" customHeight="1" x14ac:dyDescent="0.3">
      <c r="A1362" s="8" t="s">
        <v>1724</v>
      </c>
      <c r="B1362" s="8" t="s">
        <v>1739</v>
      </c>
      <c r="C1362" s="8" t="s">
        <v>1740</v>
      </c>
      <c r="D1362" s="8" t="s">
        <v>1741</v>
      </c>
      <c r="E1362" s="8" t="s">
        <v>721</v>
      </c>
      <c r="F1362" s="9">
        <v>1</v>
      </c>
      <c r="G1362" s="5">
        <f>TRUNC([1]단가대비표!O767,0)</f>
        <v>24000000</v>
      </c>
      <c r="H1362" s="5">
        <f t="shared" si="120"/>
        <v>24000000</v>
      </c>
      <c r="I1362" s="5">
        <v>3000000</v>
      </c>
      <c r="J1362" s="5">
        <f t="shared" si="121"/>
        <v>3000000</v>
      </c>
      <c r="K1362" s="5">
        <v>0</v>
      </c>
      <c r="L1362" s="5">
        <f t="shared" si="122"/>
        <v>0</v>
      </c>
      <c r="M1362" s="5">
        <f t="shared" si="123"/>
        <v>27000000</v>
      </c>
      <c r="N1362" s="5">
        <f t="shared" si="123"/>
        <v>27000000</v>
      </c>
      <c r="O1362" s="8" t="s">
        <v>20</v>
      </c>
      <c r="T1362">
        <v>0</v>
      </c>
      <c r="AC1362">
        <v>1</v>
      </c>
    </row>
    <row r="1363" spans="1:29" ht="30" customHeight="1" x14ac:dyDescent="0.3">
      <c r="A1363" s="8" t="s">
        <v>1724</v>
      </c>
      <c r="B1363" s="8" t="s">
        <v>1742</v>
      </c>
      <c r="C1363" s="8" t="s">
        <v>1743</v>
      </c>
      <c r="D1363" s="8" t="s">
        <v>1744</v>
      </c>
      <c r="E1363" s="8" t="s">
        <v>721</v>
      </c>
      <c r="F1363" s="9">
        <v>2</v>
      </c>
      <c r="G1363" s="5">
        <f>TRUNC([1]단가대비표!O768,0)</f>
        <v>203000</v>
      </c>
      <c r="H1363" s="5">
        <f t="shared" si="120"/>
        <v>406000</v>
      </c>
      <c r="I1363" s="5">
        <v>20000</v>
      </c>
      <c r="J1363" s="5">
        <f t="shared" si="121"/>
        <v>40000</v>
      </c>
      <c r="K1363" s="5">
        <v>0</v>
      </c>
      <c r="L1363" s="5">
        <f t="shared" si="122"/>
        <v>0</v>
      </c>
      <c r="M1363" s="5">
        <f t="shared" si="123"/>
        <v>223000</v>
      </c>
      <c r="N1363" s="5">
        <f t="shared" si="123"/>
        <v>446000</v>
      </c>
      <c r="O1363" s="8" t="s">
        <v>20</v>
      </c>
      <c r="T1363">
        <v>0</v>
      </c>
      <c r="AC1363">
        <v>1</v>
      </c>
    </row>
    <row r="1364" spans="1:29" ht="30" customHeight="1" x14ac:dyDescent="0.3">
      <c r="A1364" s="8" t="s">
        <v>1724</v>
      </c>
      <c r="B1364" s="8" t="s">
        <v>1745</v>
      </c>
      <c r="C1364" s="8" t="s">
        <v>1746</v>
      </c>
      <c r="D1364" s="8" t="s">
        <v>1747</v>
      </c>
      <c r="E1364" s="8" t="s">
        <v>721</v>
      </c>
      <c r="F1364" s="9">
        <v>1</v>
      </c>
      <c r="G1364" s="5">
        <f>TRUNC([1]단가대비표!O769,0)</f>
        <v>1233000</v>
      </c>
      <c r="H1364" s="5">
        <f t="shared" si="120"/>
        <v>1233000</v>
      </c>
      <c r="I1364" s="5">
        <v>145000</v>
      </c>
      <c r="J1364" s="5">
        <f t="shared" si="121"/>
        <v>145000</v>
      </c>
      <c r="K1364" s="5">
        <v>0</v>
      </c>
      <c r="L1364" s="5">
        <f t="shared" si="122"/>
        <v>0</v>
      </c>
      <c r="M1364" s="5">
        <f t="shared" si="123"/>
        <v>1378000</v>
      </c>
      <c r="N1364" s="5">
        <f t="shared" si="123"/>
        <v>1378000</v>
      </c>
      <c r="O1364" s="8" t="s">
        <v>20</v>
      </c>
      <c r="T1364">
        <v>0</v>
      </c>
      <c r="AC1364">
        <v>1</v>
      </c>
    </row>
    <row r="1365" spans="1:29" ht="30" customHeight="1" x14ac:dyDescent="0.3">
      <c r="A1365" s="8" t="s">
        <v>1724</v>
      </c>
      <c r="B1365" s="8" t="s">
        <v>1748</v>
      </c>
      <c r="C1365" s="8" t="s">
        <v>1749</v>
      </c>
      <c r="D1365" s="8" t="s">
        <v>1750</v>
      </c>
      <c r="E1365" s="8" t="s">
        <v>721</v>
      </c>
      <c r="F1365" s="9">
        <v>1</v>
      </c>
      <c r="G1365" s="5">
        <f>TRUNC([1]단가대비표!O770,0)</f>
        <v>1405000</v>
      </c>
      <c r="H1365" s="5">
        <f t="shared" si="120"/>
        <v>1405000</v>
      </c>
      <c r="I1365" s="5">
        <v>165000</v>
      </c>
      <c r="J1365" s="5">
        <f t="shared" si="121"/>
        <v>165000</v>
      </c>
      <c r="K1365" s="5">
        <v>0</v>
      </c>
      <c r="L1365" s="5">
        <f t="shared" si="122"/>
        <v>0</v>
      </c>
      <c r="M1365" s="5">
        <f t="shared" si="123"/>
        <v>1570000</v>
      </c>
      <c r="N1365" s="5">
        <f t="shared" si="123"/>
        <v>1570000</v>
      </c>
      <c r="O1365" s="8" t="s">
        <v>20</v>
      </c>
      <c r="T1365">
        <v>0</v>
      </c>
      <c r="AC1365">
        <v>1</v>
      </c>
    </row>
    <row r="1366" spans="1:29" ht="30" customHeight="1" x14ac:dyDescent="0.3">
      <c r="A1366" s="8" t="s">
        <v>1724</v>
      </c>
      <c r="B1366" s="8" t="s">
        <v>1751</v>
      </c>
      <c r="C1366" s="8" t="s">
        <v>1752</v>
      </c>
      <c r="D1366" s="8" t="s">
        <v>1753</v>
      </c>
      <c r="E1366" s="8" t="s">
        <v>179</v>
      </c>
      <c r="F1366" s="9">
        <v>1</v>
      </c>
      <c r="G1366" s="5">
        <f>TRUNC([1]단가대비표!O771,0)</f>
        <v>938000</v>
      </c>
      <c r="H1366" s="5">
        <f t="shared" si="120"/>
        <v>938000</v>
      </c>
      <c r="I1366" s="5">
        <v>110000</v>
      </c>
      <c r="J1366" s="5">
        <f t="shared" si="121"/>
        <v>110000</v>
      </c>
      <c r="K1366" s="5">
        <v>0</v>
      </c>
      <c r="L1366" s="5">
        <f t="shared" si="122"/>
        <v>0</v>
      </c>
      <c r="M1366" s="5">
        <f t="shared" si="123"/>
        <v>1048000</v>
      </c>
      <c r="N1366" s="5">
        <f t="shared" si="123"/>
        <v>1048000</v>
      </c>
      <c r="O1366" s="8" t="s">
        <v>20</v>
      </c>
      <c r="T1366">
        <v>0</v>
      </c>
      <c r="AC1366">
        <v>1</v>
      </c>
    </row>
    <row r="1367" spans="1:29" ht="30" customHeight="1" x14ac:dyDescent="0.3">
      <c r="A1367" s="8" t="s">
        <v>1724</v>
      </c>
      <c r="B1367" s="8" t="s">
        <v>1754</v>
      </c>
      <c r="C1367" s="8" t="s">
        <v>1755</v>
      </c>
      <c r="D1367" s="8" t="s">
        <v>1756</v>
      </c>
      <c r="E1367" s="8" t="s">
        <v>721</v>
      </c>
      <c r="F1367" s="9">
        <v>2</v>
      </c>
      <c r="G1367" s="5">
        <f>TRUNC([1]단가대비표!O772,0)</f>
        <v>270000</v>
      </c>
      <c r="H1367" s="5">
        <f t="shared" si="120"/>
        <v>540000</v>
      </c>
      <c r="I1367" s="5">
        <v>0</v>
      </c>
      <c r="J1367" s="5">
        <f t="shared" si="121"/>
        <v>0</v>
      </c>
      <c r="K1367" s="5">
        <v>0</v>
      </c>
      <c r="L1367" s="5">
        <f t="shared" si="122"/>
        <v>0</v>
      </c>
      <c r="M1367" s="5">
        <f t="shared" si="123"/>
        <v>270000</v>
      </c>
      <c r="N1367" s="5">
        <f t="shared" si="123"/>
        <v>540000</v>
      </c>
      <c r="O1367" s="8" t="s">
        <v>20</v>
      </c>
      <c r="T1367">
        <v>0</v>
      </c>
      <c r="AC1367">
        <v>1</v>
      </c>
    </row>
    <row r="1368" spans="1:29" ht="30" customHeight="1" x14ac:dyDescent="0.3">
      <c r="A1368" s="8" t="s">
        <v>1724</v>
      </c>
      <c r="B1368" s="8" t="s">
        <v>1757</v>
      </c>
      <c r="C1368" s="8" t="s">
        <v>1755</v>
      </c>
      <c r="D1368" s="8" t="s">
        <v>1758</v>
      </c>
      <c r="E1368" s="8" t="s">
        <v>721</v>
      </c>
      <c r="F1368" s="9">
        <v>2</v>
      </c>
      <c r="G1368" s="5">
        <f>TRUNC([1]단가대비표!O773,0)</f>
        <v>149000</v>
      </c>
      <c r="H1368" s="5">
        <f t="shared" si="120"/>
        <v>298000</v>
      </c>
      <c r="I1368" s="5">
        <v>0</v>
      </c>
      <c r="J1368" s="5">
        <f t="shared" si="121"/>
        <v>0</v>
      </c>
      <c r="K1368" s="5">
        <v>0</v>
      </c>
      <c r="L1368" s="5">
        <f t="shared" si="122"/>
        <v>0</v>
      </c>
      <c r="M1368" s="5">
        <f t="shared" si="123"/>
        <v>149000</v>
      </c>
      <c r="N1368" s="5">
        <f t="shared" si="123"/>
        <v>298000</v>
      </c>
      <c r="O1368" s="8" t="s">
        <v>20</v>
      </c>
      <c r="T1368">
        <v>0</v>
      </c>
      <c r="AC1368">
        <v>1</v>
      </c>
    </row>
    <row r="1369" spans="1:29" ht="30" customHeight="1" x14ac:dyDescent="0.3">
      <c r="A1369" s="8" t="s">
        <v>1724</v>
      </c>
      <c r="B1369" s="8" t="s">
        <v>1759</v>
      </c>
      <c r="C1369" s="8"/>
      <c r="D1369" s="8"/>
      <c r="E1369" s="8"/>
      <c r="F1369" s="9"/>
      <c r="G1369" s="5"/>
      <c r="H1369" s="5"/>
      <c r="I1369" s="5"/>
      <c r="J1369" s="5"/>
      <c r="K1369" s="5"/>
      <c r="L1369" s="5"/>
      <c r="M1369" s="5"/>
      <c r="N1369" s="5"/>
      <c r="O1369" s="8"/>
      <c r="T1369">
        <v>0</v>
      </c>
      <c r="AC1369">
        <v>1</v>
      </c>
    </row>
    <row r="1370" spans="1:29" ht="30" customHeight="1" x14ac:dyDescent="0.3">
      <c r="A1370" s="8" t="s">
        <v>1724</v>
      </c>
      <c r="B1370" s="8" t="s">
        <v>1760</v>
      </c>
      <c r="C1370" s="8"/>
      <c r="D1370" s="8"/>
      <c r="E1370" s="8"/>
      <c r="F1370" s="9"/>
      <c r="G1370" s="5"/>
      <c r="H1370" s="5"/>
      <c r="I1370" s="5"/>
      <c r="J1370" s="5"/>
      <c r="K1370" s="5"/>
      <c r="L1370" s="5"/>
      <c r="M1370" s="5"/>
      <c r="N1370" s="5"/>
      <c r="O1370" s="8"/>
      <c r="T1370">
        <v>0</v>
      </c>
      <c r="AC1370">
        <v>1</v>
      </c>
    </row>
    <row r="1371" spans="1:29" ht="30" customHeight="1" x14ac:dyDescent="0.3">
      <c r="A1371" s="5"/>
      <c r="B1371" s="5"/>
      <c r="C1371" s="5"/>
      <c r="D1371" s="5"/>
      <c r="E1371" s="5"/>
      <c r="F1371" s="9"/>
      <c r="G1371" s="5"/>
      <c r="H1371" s="5"/>
      <c r="I1371" s="5"/>
      <c r="J1371" s="5"/>
      <c r="K1371" s="5"/>
      <c r="L1371" s="5"/>
      <c r="M1371" s="5"/>
      <c r="N1371" s="5"/>
      <c r="O1371" s="5"/>
    </row>
    <row r="1372" spans="1:29" ht="30" customHeight="1" x14ac:dyDescent="0.3">
      <c r="A1372" s="5"/>
      <c r="B1372" s="5"/>
      <c r="C1372" s="5"/>
      <c r="D1372" s="5"/>
      <c r="E1372" s="5"/>
      <c r="F1372" s="9"/>
      <c r="G1372" s="5"/>
      <c r="H1372" s="5"/>
      <c r="I1372" s="5"/>
      <c r="J1372" s="5"/>
      <c r="K1372" s="5"/>
      <c r="L1372" s="5"/>
      <c r="M1372" s="5"/>
      <c r="N1372" s="5"/>
      <c r="O1372" s="5"/>
    </row>
    <row r="1373" spans="1:29" ht="30" customHeight="1" x14ac:dyDescent="0.3">
      <c r="A1373" s="5"/>
      <c r="B1373" s="5"/>
      <c r="C1373" s="5"/>
      <c r="D1373" s="5"/>
      <c r="E1373" s="5"/>
      <c r="F1373" s="9"/>
      <c r="G1373" s="5"/>
      <c r="H1373" s="5"/>
      <c r="I1373" s="5"/>
      <c r="J1373" s="5"/>
      <c r="K1373" s="5"/>
      <c r="L1373" s="5"/>
      <c r="M1373" s="5"/>
      <c r="N1373" s="5"/>
      <c r="O1373" s="5"/>
    </row>
    <row r="1374" spans="1:29" ht="30" customHeight="1" x14ac:dyDescent="0.3">
      <c r="A1374" s="5"/>
      <c r="B1374" s="5"/>
      <c r="C1374" s="5"/>
      <c r="D1374" s="5"/>
      <c r="E1374" s="5"/>
      <c r="F1374" s="9"/>
      <c r="G1374" s="5"/>
      <c r="H1374" s="5"/>
      <c r="I1374" s="5"/>
      <c r="J1374" s="5"/>
      <c r="K1374" s="5"/>
      <c r="L1374" s="5"/>
      <c r="M1374" s="5"/>
      <c r="N1374" s="5"/>
      <c r="O1374" s="5"/>
    </row>
    <row r="1375" spans="1:29" ht="30" customHeight="1" x14ac:dyDescent="0.3">
      <c r="A1375" s="5"/>
      <c r="B1375" s="5"/>
      <c r="C1375" s="5"/>
      <c r="D1375" s="5"/>
      <c r="E1375" s="5"/>
      <c r="F1375" s="9"/>
      <c r="G1375" s="5"/>
      <c r="H1375" s="5"/>
      <c r="I1375" s="5"/>
      <c r="J1375" s="5"/>
      <c r="K1375" s="5"/>
      <c r="L1375" s="5"/>
      <c r="M1375" s="5"/>
      <c r="N1375" s="5"/>
      <c r="O1375" s="5"/>
    </row>
    <row r="1376" spans="1:29" ht="30" customHeight="1" x14ac:dyDescent="0.3">
      <c r="A1376" s="5"/>
      <c r="B1376" s="5"/>
      <c r="C1376" s="5"/>
      <c r="D1376" s="5"/>
      <c r="E1376" s="5"/>
      <c r="F1376" s="9"/>
      <c r="G1376" s="5"/>
      <c r="H1376" s="5"/>
      <c r="I1376" s="5"/>
      <c r="J1376" s="5"/>
      <c r="K1376" s="5"/>
      <c r="L1376" s="5"/>
      <c r="M1376" s="5"/>
      <c r="N1376" s="5"/>
      <c r="O1376" s="5"/>
    </row>
    <row r="1377" spans="1:29" ht="30" customHeight="1" x14ac:dyDescent="0.3">
      <c r="A1377" s="5"/>
      <c r="B1377" s="5"/>
      <c r="C1377" s="5"/>
      <c r="D1377" s="5"/>
      <c r="E1377" s="5"/>
      <c r="F1377" s="9"/>
      <c r="G1377" s="5"/>
      <c r="H1377" s="5"/>
      <c r="I1377" s="5"/>
      <c r="J1377" s="5"/>
      <c r="K1377" s="5"/>
      <c r="L1377" s="5"/>
      <c r="M1377" s="5"/>
      <c r="N1377" s="5"/>
      <c r="O1377" s="5"/>
    </row>
    <row r="1378" spans="1:29" ht="30" customHeight="1" x14ac:dyDescent="0.3">
      <c r="A1378" s="5"/>
      <c r="B1378" s="5"/>
      <c r="C1378" s="5"/>
      <c r="D1378" s="5"/>
      <c r="E1378" s="5"/>
      <c r="F1378" s="9"/>
      <c r="G1378" s="5"/>
      <c r="H1378" s="5"/>
      <c r="I1378" s="5"/>
      <c r="J1378" s="5"/>
      <c r="K1378" s="5"/>
      <c r="L1378" s="5"/>
      <c r="M1378" s="5"/>
      <c r="N1378" s="5"/>
      <c r="O1378" s="5"/>
    </row>
    <row r="1379" spans="1:29" ht="30" customHeight="1" x14ac:dyDescent="0.3">
      <c r="A1379" s="5"/>
      <c r="B1379" s="5"/>
      <c r="C1379" s="5"/>
      <c r="D1379" s="5"/>
      <c r="E1379" s="5"/>
      <c r="F1379" s="9"/>
      <c r="G1379" s="5"/>
      <c r="H1379" s="5"/>
      <c r="I1379" s="5"/>
      <c r="J1379" s="5"/>
      <c r="K1379" s="5"/>
      <c r="L1379" s="5"/>
      <c r="M1379" s="5"/>
      <c r="N1379" s="5"/>
      <c r="O1379" s="5"/>
    </row>
    <row r="1380" spans="1:29" ht="30" customHeight="1" x14ac:dyDescent="0.3">
      <c r="A1380" s="5"/>
      <c r="B1380" s="5"/>
      <c r="C1380" s="5"/>
      <c r="D1380" s="5"/>
      <c r="E1380" s="5"/>
      <c r="F1380" s="9"/>
      <c r="G1380" s="5"/>
      <c r="H1380" s="5"/>
      <c r="I1380" s="5"/>
      <c r="J1380" s="5"/>
      <c r="K1380" s="5"/>
      <c r="L1380" s="5"/>
      <c r="M1380" s="5"/>
      <c r="N1380" s="5"/>
      <c r="O1380" s="5"/>
    </row>
    <row r="1381" spans="1:29" ht="30" customHeight="1" x14ac:dyDescent="0.3">
      <c r="A1381" s="5"/>
      <c r="B1381" s="5"/>
      <c r="C1381" s="5" t="s">
        <v>162</v>
      </c>
      <c r="D1381" s="5"/>
      <c r="E1381" s="5"/>
      <c r="F1381" s="9"/>
      <c r="G1381" s="5"/>
      <c r="H1381" s="5">
        <f>SUMIF(AC1357:AC1380, 1, H1357:H1380)</f>
        <v>44072000</v>
      </c>
      <c r="I1381" s="5"/>
      <c r="J1381" s="5">
        <f>SUMIF(AC1357:AC1380, 1, J1357:J1380)</f>
        <v>4242000</v>
      </c>
      <c r="K1381" s="5"/>
      <c r="L1381" s="5">
        <f>SUMIF(AC1357:AC1380, 1, L1357:L1380)</f>
        <v>0</v>
      </c>
      <c r="M1381" s="5"/>
      <c r="N1381" s="5">
        <f>H1381+J1381+L1381</f>
        <v>48314000</v>
      </c>
      <c r="O1381" s="5"/>
    </row>
    <row r="1382" spans="1:29" ht="30" customHeight="1" x14ac:dyDescent="0.3">
      <c r="A1382" s="5"/>
      <c r="B1382" s="5"/>
      <c r="C1382" s="10" t="s">
        <v>1761</v>
      </c>
      <c r="D1382" s="10"/>
      <c r="E1382" s="10"/>
      <c r="F1382" s="11"/>
      <c r="G1382" s="10"/>
      <c r="H1382" s="10"/>
      <c r="I1382" s="10"/>
      <c r="J1382" s="10"/>
      <c r="K1382" s="10"/>
      <c r="L1382" s="10"/>
      <c r="M1382" s="10"/>
      <c r="N1382" s="10"/>
      <c r="O1382" s="10"/>
    </row>
    <row r="1383" spans="1:29" ht="30" customHeight="1" x14ac:dyDescent="0.3">
      <c r="A1383" s="8" t="s">
        <v>1762</v>
      </c>
      <c r="B1383" s="8" t="s">
        <v>1763</v>
      </c>
      <c r="C1383" s="8" t="s">
        <v>1764</v>
      </c>
      <c r="D1383" s="8" t="s">
        <v>1753</v>
      </c>
      <c r="E1383" s="8" t="s">
        <v>168</v>
      </c>
      <c r="F1383" s="9">
        <v>10</v>
      </c>
      <c r="G1383" s="5">
        <f>TRUNC([1]단가대비표!O776,0)</f>
        <v>83280</v>
      </c>
      <c r="H1383" s="5">
        <f t="shared" ref="H1383:H1407" si="124">TRUNC(F1383*G1383,0)</f>
        <v>832800</v>
      </c>
      <c r="I1383" s="5">
        <v>94218</v>
      </c>
      <c r="J1383" s="5">
        <f t="shared" ref="J1383:J1407" si="125">TRUNC(F1383*I1383,0)</f>
        <v>942180</v>
      </c>
      <c r="K1383" s="5">
        <v>0</v>
      </c>
      <c r="L1383" s="5">
        <f t="shared" ref="L1383:L1407" si="126">TRUNC(F1383*K1383,0)</f>
        <v>0</v>
      </c>
      <c r="M1383" s="5">
        <f t="shared" ref="M1383:N1407" si="127">G1383+I1383+K1383</f>
        <v>177498</v>
      </c>
      <c r="N1383" s="5">
        <f t="shared" si="127"/>
        <v>1774980</v>
      </c>
      <c r="O1383" s="8" t="s">
        <v>20</v>
      </c>
      <c r="T1383">
        <v>0</v>
      </c>
      <c r="AC1383">
        <v>1</v>
      </c>
    </row>
    <row r="1384" spans="1:29" ht="30" customHeight="1" x14ac:dyDescent="0.3">
      <c r="A1384" s="8" t="s">
        <v>1762</v>
      </c>
      <c r="B1384" s="8" t="s">
        <v>1765</v>
      </c>
      <c r="C1384" s="8" t="s">
        <v>1764</v>
      </c>
      <c r="D1384" s="8" t="s">
        <v>1766</v>
      </c>
      <c r="E1384" s="8" t="s">
        <v>168</v>
      </c>
      <c r="F1384" s="9">
        <v>13</v>
      </c>
      <c r="G1384" s="5">
        <f>TRUNC([1]단가대비표!O777,0)</f>
        <v>33740</v>
      </c>
      <c r="H1384" s="5">
        <f t="shared" si="124"/>
        <v>438620</v>
      </c>
      <c r="I1384" s="5">
        <v>30620</v>
      </c>
      <c r="J1384" s="5">
        <f t="shared" si="125"/>
        <v>398060</v>
      </c>
      <c r="K1384" s="5">
        <v>0</v>
      </c>
      <c r="L1384" s="5">
        <f t="shared" si="126"/>
        <v>0</v>
      </c>
      <c r="M1384" s="5">
        <f t="shared" si="127"/>
        <v>64360</v>
      </c>
      <c r="N1384" s="5">
        <f t="shared" si="127"/>
        <v>836680</v>
      </c>
      <c r="O1384" s="8" t="s">
        <v>20</v>
      </c>
      <c r="T1384">
        <v>0</v>
      </c>
      <c r="AC1384">
        <v>1</v>
      </c>
    </row>
    <row r="1385" spans="1:29" ht="30" customHeight="1" x14ac:dyDescent="0.3">
      <c r="A1385" s="8" t="s">
        <v>1762</v>
      </c>
      <c r="B1385" s="8" t="s">
        <v>1767</v>
      </c>
      <c r="C1385" s="8" t="s">
        <v>1764</v>
      </c>
      <c r="D1385" s="8" t="s">
        <v>1768</v>
      </c>
      <c r="E1385" s="8" t="s">
        <v>168</v>
      </c>
      <c r="F1385" s="9">
        <v>15</v>
      </c>
      <c r="G1385" s="5">
        <f>TRUNC([1]단가대비표!O778,0)</f>
        <v>22580</v>
      </c>
      <c r="H1385" s="5">
        <f t="shared" si="124"/>
        <v>338700</v>
      </c>
      <c r="I1385" s="5">
        <v>21941</v>
      </c>
      <c r="J1385" s="5">
        <f t="shared" si="125"/>
        <v>329115</v>
      </c>
      <c r="K1385" s="5">
        <v>0</v>
      </c>
      <c r="L1385" s="5">
        <f t="shared" si="126"/>
        <v>0</v>
      </c>
      <c r="M1385" s="5">
        <f t="shared" si="127"/>
        <v>44521</v>
      </c>
      <c r="N1385" s="5">
        <f t="shared" si="127"/>
        <v>667815</v>
      </c>
      <c r="O1385" s="8" t="s">
        <v>20</v>
      </c>
      <c r="T1385">
        <v>0</v>
      </c>
      <c r="AC1385">
        <v>1</v>
      </c>
    </row>
    <row r="1386" spans="1:29" ht="30" customHeight="1" x14ac:dyDescent="0.3">
      <c r="A1386" s="8" t="s">
        <v>1762</v>
      </c>
      <c r="B1386" s="8" t="s">
        <v>1769</v>
      </c>
      <c r="C1386" s="8" t="s">
        <v>1764</v>
      </c>
      <c r="D1386" s="8" t="s">
        <v>1770</v>
      </c>
      <c r="E1386" s="8" t="s">
        <v>168</v>
      </c>
      <c r="F1386" s="9">
        <v>24</v>
      </c>
      <c r="G1386" s="5">
        <f>TRUNC([1]단가대비표!O779,0)</f>
        <v>15600</v>
      </c>
      <c r="H1386" s="5">
        <f t="shared" si="124"/>
        <v>374400</v>
      </c>
      <c r="I1386" s="5">
        <v>16559</v>
      </c>
      <c r="J1386" s="5">
        <f t="shared" si="125"/>
        <v>397416</v>
      </c>
      <c r="K1386" s="5">
        <v>0</v>
      </c>
      <c r="L1386" s="5">
        <f t="shared" si="126"/>
        <v>0</v>
      </c>
      <c r="M1386" s="5">
        <f t="shared" si="127"/>
        <v>32159</v>
      </c>
      <c r="N1386" s="5">
        <f t="shared" si="127"/>
        <v>771816</v>
      </c>
      <c r="O1386" s="8" t="s">
        <v>20</v>
      </c>
      <c r="T1386">
        <v>0</v>
      </c>
      <c r="AC1386">
        <v>1</v>
      </c>
    </row>
    <row r="1387" spans="1:29" ht="30" customHeight="1" x14ac:dyDescent="0.3">
      <c r="A1387" s="8" t="s">
        <v>1762</v>
      </c>
      <c r="B1387" s="8" t="s">
        <v>1771</v>
      </c>
      <c r="C1387" s="8" t="s">
        <v>1764</v>
      </c>
      <c r="D1387" s="8" t="s">
        <v>1772</v>
      </c>
      <c r="E1387" s="8" t="s">
        <v>168</v>
      </c>
      <c r="F1387" s="9">
        <v>24</v>
      </c>
      <c r="G1387" s="5">
        <f>TRUNC([1]단가대비표!O780,0)</f>
        <v>12180</v>
      </c>
      <c r="H1387" s="5">
        <f t="shared" si="124"/>
        <v>292320</v>
      </c>
      <c r="I1387" s="5">
        <v>13733</v>
      </c>
      <c r="J1387" s="5">
        <f t="shared" si="125"/>
        <v>329592</v>
      </c>
      <c r="K1387" s="5">
        <v>0</v>
      </c>
      <c r="L1387" s="5">
        <f t="shared" si="126"/>
        <v>0</v>
      </c>
      <c r="M1387" s="5">
        <f t="shared" si="127"/>
        <v>25913</v>
      </c>
      <c r="N1387" s="5">
        <f t="shared" si="127"/>
        <v>621912</v>
      </c>
      <c r="O1387" s="8" t="s">
        <v>20</v>
      </c>
      <c r="T1387">
        <v>0</v>
      </c>
      <c r="AC1387">
        <v>1</v>
      </c>
    </row>
    <row r="1388" spans="1:29" ht="30" customHeight="1" x14ac:dyDescent="0.3">
      <c r="A1388" s="8" t="s">
        <v>1762</v>
      </c>
      <c r="B1388" s="8" t="s">
        <v>1773</v>
      </c>
      <c r="C1388" s="8" t="s">
        <v>1774</v>
      </c>
      <c r="D1388" s="8" t="s">
        <v>1775</v>
      </c>
      <c r="E1388" s="8" t="s">
        <v>161</v>
      </c>
      <c r="F1388" s="9">
        <v>1</v>
      </c>
      <c r="G1388" s="5">
        <f>TRUNC([1]단가대비표!O781,0)</f>
        <v>796894</v>
      </c>
      <c r="H1388" s="5">
        <f t="shared" si="124"/>
        <v>796894</v>
      </c>
      <c r="I1388" s="5">
        <v>0</v>
      </c>
      <c r="J1388" s="5">
        <f t="shared" si="125"/>
        <v>0</v>
      </c>
      <c r="K1388" s="5">
        <v>0</v>
      </c>
      <c r="L1388" s="5">
        <f t="shared" si="126"/>
        <v>0</v>
      </c>
      <c r="M1388" s="5">
        <f t="shared" si="127"/>
        <v>796894</v>
      </c>
      <c r="N1388" s="5">
        <f t="shared" si="127"/>
        <v>796894</v>
      </c>
      <c r="O1388" s="8" t="s">
        <v>20</v>
      </c>
      <c r="T1388">
        <v>0</v>
      </c>
      <c r="AC1388">
        <v>1</v>
      </c>
    </row>
    <row r="1389" spans="1:29" ht="30" customHeight="1" x14ac:dyDescent="0.3">
      <c r="A1389" s="8" t="s">
        <v>1762</v>
      </c>
      <c r="B1389" s="8" t="s">
        <v>1776</v>
      </c>
      <c r="C1389" s="8" t="s">
        <v>1777</v>
      </c>
      <c r="D1389" s="8" t="s">
        <v>1778</v>
      </c>
      <c r="E1389" s="8" t="s">
        <v>161</v>
      </c>
      <c r="F1389" s="9">
        <v>1</v>
      </c>
      <c r="G1389" s="5">
        <f>TRUNC([1]단가대비표!O782,0)</f>
        <v>341526</v>
      </c>
      <c r="H1389" s="5">
        <f t="shared" si="124"/>
        <v>341526</v>
      </c>
      <c r="I1389" s="5">
        <v>0</v>
      </c>
      <c r="J1389" s="5">
        <f t="shared" si="125"/>
        <v>0</v>
      </c>
      <c r="K1389" s="5">
        <v>0</v>
      </c>
      <c r="L1389" s="5">
        <f t="shared" si="126"/>
        <v>0</v>
      </c>
      <c r="M1389" s="5">
        <f t="shared" si="127"/>
        <v>341526</v>
      </c>
      <c r="N1389" s="5">
        <f t="shared" si="127"/>
        <v>341526</v>
      </c>
      <c r="O1389" s="8" t="s">
        <v>20</v>
      </c>
      <c r="T1389">
        <v>0</v>
      </c>
      <c r="AC1389">
        <v>1</v>
      </c>
    </row>
    <row r="1390" spans="1:29" ht="30" customHeight="1" x14ac:dyDescent="0.3">
      <c r="A1390" s="8" t="s">
        <v>1762</v>
      </c>
      <c r="B1390" s="8" t="s">
        <v>1779</v>
      </c>
      <c r="C1390" s="8" t="s">
        <v>1780</v>
      </c>
      <c r="D1390" s="8" t="s">
        <v>1753</v>
      </c>
      <c r="E1390" s="8" t="s">
        <v>179</v>
      </c>
      <c r="F1390" s="9">
        <v>6</v>
      </c>
      <c r="G1390" s="5">
        <f>TRUNC([1]단가대비표!O783,0)</f>
        <v>360000</v>
      </c>
      <c r="H1390" s="5">
        <f t="shared" si="124"/>
        <v>2160000</v>
      </c>
      <c r="I1390" s="5">
        <v>130378</v>
      </c>
      <c r="J1390" s="5">
        <f t="shared" si="125"/>
        <v>782268</v>
      </c>
      <c r="K1390" s="5">
        <v>0</v>
      </c>
      <c r="L1390" s="5">
        <f t="shared" si="126"/>
        <v>0</v>
      </c>
      <c r="M1390" s="5">
        <f t="shared" si="127"/>
        <v>490378</v>
      </c>
      <c r="N1390" s="5">
        <f t="shared" si="127"/>
        <v>2942268</v>
      </c>
      <c r="O1390" s="8" t="s">
        <v>20</v>
      </c>
      <c r="T1390">
        <v>0</v>
      </c>
      <c r="AC1390">
        <v>1</v>
      </c>
    </row>
    <row r="1391" spans="1:29" ht="30" customHeight="1" x14ac:dyDescent="0.3">
      <c r="A1391" s="8" t="s">
        <v>1762</v>
      </c>
      <c r="B1391" s="8" t="s">
        <v>1781</v>
      </c>
      <c r="C1391" s="8" t="s">
        <v>1782</v>
      </c>
      <c r="D1391" s="8" t="s">
        <v>1766</v>
      </c>
      <c r="E1391" s="8" t="s">
        <v>179</v>
      </c>
      <c r="F1391" s="9">
        <v>2</v>
      </c>
      <c r="G1391" s="5">
        <f>TRUNC([1]단가대비표!O784,0)</f>
        <v>208696</v>
      </c>
      <c r="H1391" s="5">
        <f t="shared" si="124"/>
        <v>417392</v>
      </c>
      <c r="I1391" s="5">
        <v>43227</v>
      </c>
      <c r="J1391" s="5">
        <f t="shared" si="125"/>
        <v>86454</v>
      </c>
      <c r="K1391" s="5">
        <v>0</v>
      </c>
      <c r="L1391" s="5">
        <f t="shared" si="126"/>
        <v>0</v>
      </c>
      <c r="M1391" s="5">
        <f t="shared" si="127"/>
        <v>251923</v>
      </c>
      <c r="N1391" s="5">
        <f t="shared" si="127"/>
        <v>503846</v>
      </c>
      <c r="O1391" s="8" t="s">
        <v>20</v>
      </c>
      <c r="T1391">
        <v>0</v>
      </c>
      <c r="AC1391">
        <v>1</v>
      </c>
    </row>
    <row r="1392" spans="1:29" ht="30" customHeight="1" x14ac:dyDescent="0.3">
      <c r="A1392" s="8" t="s">
        <v>1762</v>
      </c>
      <c r="B1392" s="8" t="s">
        <v>1783</v>
      </c>
      <c r="C1392" s="8" t="s">
        <v>1782</v>
      </c>
      <c r="D1392" s="8" t="s">
        <v>1768</v>
      </c>
      <c r="E1392" s="8" t="s">
        <v>179</v>
      </c>
      <c r="F1392" s="9">
        <v>2</v>
      </c>
      <c r="G1392" s="5">
        <f>TRUNC([1]단가대비표!O785,0)</f>
        <v>142375</v>
      </c>
      <c r="H1392" s="5">
        <f t="shared" si="124"/>
        <v>284750</v>
      </c>
      <c r="I1392" s="5">
        <v>15844</v>
      </c>
      <c r="J1392" s="5">
        <f t="shared" si="125"/>
        <v>31688</v>
      </c>
      <c r="K1392" s="5">
        <v>0</v>
      </c>
      <c r="L1392" s="5">
        <f t="shared" si="126"/>
        <v>0</v>
      </c>
      <c r="M1392" s="5">
        <f t="shared" si="127"/>
        <v>158219</v>
      </c>
      <c r="N1392" s="5">
        <f t="shared" si="127"/>
        <v>316438</v>
      </c>
      <c r="O1392" s="8" t="s">
        <v>20</v>
      </c>
      <c r="T1392">
        <v>0</v>
      </c>
      <c r="AC1392">
        <v>1</v>
      </c>
    </row>
    <row r="1393" spans="1:29" ht="30" customHeight="1" x14ac:dyDescent="0.3">
      <c r="A1393" s="8" t="s">
        <v>1762</v>
      </c>
      <c r="B1393" s="8" t="s">
        <v>1784</v>
      </c>
      <c r="C1393" s="8" t="s">
        <v>1785</v>
      </c>
      <c r="D1393" s="8" t="s">
        <v>1766</v>
      </c>
      <c r="E1393" s="8" t="s">
        <v>179</v>
      </c>
      <c r="F1393" s="9">
        <v>2</v>
      </c>
      <c r="G1393" s="5">
        <f>TRUNC([1]단가대비표!O786,0)</f>
        <v>199296</v>
      </c>
      <c r="H1393" s="5">
        <f t="shared" si="124"/>
        <v>398592</v>
      </c>
      <c r="I1393" s="5">
        <v>43227</v>
      </c>
      <c r="J1393" s="5">
        <f t="shared" si="125"/>
        <v>86454</v>
      </c>
      <c r="K1393" s="5">
        <v>0</v>
      </c>
      <c r="L1393" s="5">
        <f t="shared" si="126"/>
        <v>0</v>
      </c>
      <c r="M1393" s="5">
        <f t="shared" si="127"/>
        <v>242523</v>
      </c>
      <c r="N1393" s="5">
        <f t="shared" si="127"/>
        <v>485046</v>
      </c>
      <c r="O1393" s="8" t="s">
        <v>20</v>
      </c>
      <c r="T1393">
        <v>0</v>
      </c>
      <c r="AC1393">
        <v>1</v>
      </c>
    </row>
    <row r="1394" spans="1:29" ht="30" customHeight="1" x14ac:dyDescent="0.3">
      <c r="A1394" s="8" t="s">
        <v>1762</v>
      </c>
      <c r="B1394" s="8" t="s">
        <v>1786</v>
      </c>
      <c r="C1394" s="8" t="s">
        <v>1785</v>
      </c>
      <c r="D1394" s="8" t="s">
        <v>1768</v>
      </c>
      <c r="E1394" s="8" t="s">
        <v>179</v>
      </c>
      <c r="F1394" s="9">
        <v>2</v>
      </c>
      <c r="G1394" s="5">
        <f>TRUNC([1]단가대비표!O787,0)</f>
        <v>134775</v>
      </c>
      <c r="H1394" s="5">
        <f t="shared" si="124"/>
        <v>269550</v>
      </c>
      <c r="I1394" s="5">
        <v>43227</v>
      </c>
      <c r="J1394" s="5">
        <f t="shared" si="125"/>
        <v>86454</v>
      </c>
      <c r="K1394" s="5">
        <v>0</v>
      </c>
      <c r="L1394" s="5">
        <f t="shared" si="126"/>
        <v>0</v>
      </c>
      <c r="M1394" s="5">
        <f t="shared" si="127"/>
        <v>178002</v>
      </c>
      <c r="N1394" s="5">
        <f t="shared" si="127"/>
        <v>356004</v>
      </c>
      <c r="O1394" s="8" t="s">
        <v>20</v>
      </c>
      <c r="T1394">
        <v>0</v>
      </c>
      <c r="AC1394">
        <v>1</v>
      </c>
    </row>
    <row r="1395" spans="1:29" ht="30" customHeight="1" x14ac:dyDescent="0.3">
      <c r="A1395" s="8" t="s">
        <v>1762</v>
      </c>
      <c r="B1395" s="8" t="s">
        <v>1787</v>
      </c>
      <c r="C1395" s="8" t="s">
        <v>1788</v>
      </c>
      <c r="D1395" s="8" t="s">
        <v>1766</v>
      </c>
      <c r="E1395" s="8" t="s">
        <v>179</v>
      </c>
      <c r="F1395" s="9">
        <v>2</v>
      </c>
      <c r="G1395" s="5">
        <f>TRUNC([1]단가대비표!O788,0)</f>
        <v>98330</v>
      </c>
      <c r="H1395" s="5">
        <f t="shared" si="124"/>
        <v>196660</v>
      </c>
      <c r="I1395" s="5">
        <v>73576</v>
      </c>
      <c r="J1395" s="5">
        <f t="shared" si="125"/>
        <v>147152</v>
      </c>
      <c r="K1395" s="5">
        <v>0</v>
      </c>
      <c r="L1395" s="5">
        <f t="shared" si="126"/>
        <v>0</v>
      </c>
      <c r="M1395" s="5">
        <f t="shared" si="127"/>
        <v>171906</v>
      </c>
      <c r="N1395" s="5">
        <f t="shared" si="127"/>
        <v>343812</v>
      </c>
      <c r="O1395" s="8" t="s">
        <v>20</v>
      </c>
      <c r="T1395">
        <v>0</v>
      </c>
      <c r="AC1395">
        <v>1</v>
      </c>
    </row>
    <row r="1396" spans="1:29" ht="30" customHeight="1" x14ac:dyDescent="0.3">
      <c r="A1396" s="8" t="s">
        <v>1762</v>
      </c>
      <c r="B1396" s="8" t="s">
        <v>1789</v>
      </c>
      <c r="C1396" s="8" t="s">
        <v>1788</v>
      </c>
      <c r="D1396" s="8" t="s">
        <v>1768</v>
      </c>
      <c r="E1396" s="8" t="s">
        <v>179</v>
      </c>
      <c r="F1396" s="9">
        <v>2</v>
      </c>
      <c r="G1396" s="5">
        <f>TRUNC([1]단가대비표!O789,0)</f>
        <v>67740</v>
      </c>
      <c r="H1396" s="5">
        <f t="shared" si="124"/>
        <v>135480</v>
      </c>
      <c r="I1396" s="5">
        <v>24996</v>
      </c>
      <c r="J1396" s="5">
        <f t="shared" si="125"/>
        <v>49992</v>
      </c>
      <c r="K1396" s="5">
        <v>0</v>
      </c>
      <c r="L1396" s="5">
        <f t="shared" si="126"/>
        <v>0</v>
      </c>
      <c r="M1396" s="5">
        <f t="shared" si="127"/>
        <v>92736</v>
      </c>
      <c r="N1396" s="5">
        <f t="shared" si="127"/>
        <v>185472</v>
      </c>
      <c r="O1396" s="8" t="s">
        <v>20</v>
      </c>
      <c r="T1396">
        <v>0</v>
      </c>
      <c r="AC1396">
        <v>1</v>
      </c>
    </row>
    <row r="1397" spans="1:29" ht="30" customHeight="1" x14ac:dyDescent="0.3">
      <c r="A1397" s="8" t="s">
        <v>1762</v>
      </c>
      <c r="B1397" s="8" t="s">
        <v>1790</v>
      </c>
      <c r="C1397" s="8" t="s">
        <v>1791</v>
      </c>
      <c r="D1397" s="8" t="s">
        <v>1753</v>
      </c>
      <c r="E1397" s="8" t="s">
        <v>179</v>
      </c>
      <c r="F1397" s="9">
        <v>10</v>
      </c>
      <c r="G1397" s="5">
        <f>TRUNC([1]단가대비표!O790,0)</f>
        <v>52360</v>
      </c>
      <c r="H1397" s="5">
        <f t="shared" si="124"/>
        <v>523600</v>
      </c>
      <c r="I1397" s="5">
        <v>81000</v>
      </c>
      <c r="J1397" s="5">
        <f t="shared" si="125"/>
        <v>810000</v>
      </c>
      <c r="K1397" s="5">
        <v>0</v>
      </c>
      <c r="L1397" s="5">
        <f t="shared" si="126"/>
        <v>0</v>
      </c>
      <c r="M1397" s="5">
        <f t="shared" si="127"/>
        <v>133360</v>
      </c>
      <c r="N1397" s="5">
        <f t="shared" si="127"/>
        <v>1333600</v>
      </c>
      <c r="O1397" s="8" t="s">
        <v>20</v>
      </c>
      <c r="T1397">
        <v>0</v>
      </c>
      <c r="AC1397">
        <v>1</v>
      </c>
    </row>
    <row r="1398" spans="1:29" ht="30" customHeight="1" x14ac:dyDescent="0.3">
      <c r="A1398" s="8" t="s">
        <v>1762</v>
      </c>
      <c r="B1398" s="8" t="s">
        <v>1792</v>
      </c>
      <c r="C1398" s="8" t="s">
        <v>1791</v>
      </c>
      <c r="D1398" s="8" t="s">
        <v>1766</v>
      </c>
      <c r="E1398" s="8" t="s">
        <v>179</v>
      </c>
      <c r="F1398" s="9">
        <v>14</v>
      </c>
      <c r="G1398" s="5">
        <f>TRUNC([1]단가대비표!O791,0)</f>
        <v>17880</v>
      </c>
      <c r="H1398" s="5">
        <f t="shared" si="124"/>
        <v>250320</v>
      </c>
      <c r="I1398" s="5">
        <v>27000</v>
      </c>
      <c r="J1398" s="5">
        <f t="shared" si="125"/>
        <v>378000</v>
      </c>
      <c r="K1398" s="5">
        <v>0</v>
      </c>
      <c r="L1398" s="5">
        <f t="shared" si="126"/>
        <v>0</v>
      </c>
      <c r="M1398" s="5">
        <f t="shared" si="127"/>
        <v>44880</v>
      </c>
      <c r="N1398" s="5">
        <f t="shared" si="127"/>
        <v>628320</v>
      </c>
      <c r="O1398" s="8" t="s">
        <v>20</v>
      </c>
      <c r="T1398">
        <v>0</v>
      </c>
      <c r="AC1398">
        <v>1</v>
      </c>
    </row>
    <row r="1399" spans="1:29" ht="30" customHeight="1" x14ac:dyDescent="0.3">
      <c r="A1399" s="8" t="s">
        <v>1762</v>
      </c>
      <c r="B1399" s="8" t="s">
        <v>1793</v>
      </c>
      <c r="C1399" s="8" t="s">
        <v>1791</v>
      </c>
      <c r="D1399" s="8" t="s">
        <v>1768</v>
      </c>
      <c r="E1399" s="8" t="s">
        <v>179</v>
      </c>
      <c r="F1399" s="9">
        <v>16</v>
      </c>
      <c r="G1399" s="5">
        <f>TRUNC([1]단가대비표!O792,0)</f>
        <v>12040</v>
      </c>
      <c r="H1399" s="5">
        <f t="shared" si="124"/>
        <v>192640</v>
      </c>
      <c r="I1399" s="5">
        <v>19000</v>
      </c>
      <c r="J1399" s="5">
        <f t="shared" si="125"/>
        <v>304000</v>
      </c>
      <c r="K1399" s="5">
        <v>0</v>
      </c>
      <c r="L1399" s="5">
        <f t="shared" si="126"/>
        <v>0</v>
      </c>
      <c r="M1399" s="5">
        <f t="shared" si="127"/>
        <v>31040</v>
      </c>
      <c r="N1399" s="5">
        <f t="shared" si="127"/>
        <v>496640</v>
      </c>
      <c r="O1399" s="8" t="s">
        <v>20</v>
      </c>
      <c r="T1399">
        <v>0</v>
      </c>
      <c r="AC1399">
        <v>1</v>
      </c>
    </row>
    <row r="1400" spans="1:29" ht="30" customHeight="1" x14ac:dyDescent="0.3">
      <c r="A1400" s="8" t="s">
        <v>1762</v>
      </c>
      <c r="B1400" s="8" t="s">
        <v>1794</v>
      </c>
      <c r="C1400" s="8" t="s">
        <v>1795</v>
      </c>
      <c r="D1400" s="8" t="s">
        <v>1796</v>
      </c>
      <c r="E1400" s="8" t="s">
        <v>179</v>
      </c>
      <c r="F1400" s="9">
        <v>4</v>
      </c>
      <c r="G1400" s="5">
        <f>TRUNC([1]단가대비표!O793,0)</f>
        <v>21510</v>
      </c>
      <c r="H1400" s="5">
        <f t="shared" si="124"/>
        <v>86040</v>
      </c>
      <c r="I1400" s="5">
        <v>0</v>
      </c>
      <c r="J1400" s="5">
        <f t="shared" si="125"/>
        <v>0</v>
      </c>
      <c r="K1400" s="5">
        <v>0</v>
      </c>
      <c r="L1400" s="5">
        <f t="shared" si="126"/>
        <v>0</v>
      </c>
      <c r="M1400" s="5">
        <f t="shared" si="127"/>
        <v>21510</v>
      </c>
      <c r="N1400" s="5">
        <f t="shared" si="127"/>
        <v>86040</v>
      </c>
      <c r="O1400" s="8" t="s">
        <v>20</v>
      </c>
      <c r="T1400">
        <v>0</v>
      </c>
      <c r="AC1400">
        <v>1</v>
      </c>
    </row>
    <row r="1401" spans="1:29" ht="30" customHeight="1" x14ac:dyDescent="0.3">
      <c r="A1401" s="8" t="s">
        <v>1762</v>
      </c>
      <c r="B1401" s="8" t="s">
        <v>1797</v>
      </c>
      <c r="C1401" s="8" t="s">
        <v>1798</v>
      </c>
      <c r="D1401" s="8" t="s">
        <v>1799</v>
      </c>
      <c r="E1401" s="8" t="s">
        <v>179</v>
      </c>
      <c r="F1401" s="9">
        <v>2</v>
      </c>
      <c r="G1401" s="5">
        <f>TRUNC([1]단가대비표!O794,0)</f>
        <v>368000</v>
      </c>
      <c r="H1401" s="5">
        <f t="shared" si="124"/>
        <v>736000</v>
      </c>
      <c r="I1401" s="5">
        <v>294000</v>
      </c>
      <c r="J1401" s="5">
        <f t="shared" si="125"/>
        <v>588000</v>
      </c>
      <c r="K1401" s="5">
        <v>0</v>
      </c>
      <c r="L1401" s="5">
        <f t="shared" si="126"/>
        <v>0</v>
      </c>
      <c r="M1401" s="5">
        <f t="shared" si="127"/>
        <v>662000</v>
      </c>
      <c r="N1401" s="5">
        <f t="shared" si="127"/>
        <v>1324000</v>
      </c>
      <c r="O1401" s="8" t="s">
        <v>20</v>
      </c>
      <c r="T1401">
        <v>0</v>
      </c>
      <c r="AC1401">
        <v>1</v>
      </c>
    </row>
    <row r="1402" spans="1:29" ht="30" customHeight="1" x14ac:dyDescent="0.3">
      <c r="A1402" s="8" t="s">
        <v>1762</v>
      </c>
      <c r="B1402" s="8" t="s">
        <v>1800</v>
      </c>
      <c r="C1402" s="8" t="s">
        <v>1798</v>
      </c>
      <c r="D1402" s="8" t="s">
        <v>1801</v>
      </c>
      <c r="E1402" s="8" t="s">
        <v>179</v>
      </c>
      <c r="F1402" s="9">
        <v>2</v>
      </c>
      <c r="G1402" s="5">
        <f>TRUNC([1]단가대비표!O795,0)</f>
        <v>310500</v>
      </c>
      <c r="H1402" s="5">
        <f t="shared" si="124"/>
        <v>621000</v>
      </c>
      <c r="I1402" s="5">
        <v>248000</v>
      </c>
      <c r="J1402" s="5">
        <f t="shared" si="125"/>
        <v>496000</v>
      </c>
      <c r="K1402" s="5">
        <v>0</v>
      </c>
      <c r="L1402" s="5">
        <f t="shared" si="126"/>
        <v>0</v>
      </c>
      <c r="M1402" s="5">
        <f t="shared" si="127"/>
        <v>558500</v>
      </c>
      <c r="N1402" s="5">
        <f t="shared" si="127"/>
        <v>1117000</v>
      </c>
      <c r="O1402" s="8" t="s">
        <v>20</v>
      </c>
      <c r="T1402">
        <v>0</v>
      </c>
      <c r="AC1402">
        <v>1</v>
      </c>
    </row>
    <row r="1403" spans="1:29" ht="30" customHeight="1" x14ac:dyDescent="0.3">
      <c r="A1403" s="8" t="s">
        <v>1762</v>
      </c>
      <c r="B1403" s="8" t="s">
        <v>1802</v>
      </c>
      <c r="C1403" s="8" t="s">
        <v>1803</v>
      </c>
      <c r="D1403" s="8" t="s">
        <v>20</v>
      </c>
      <c r="E1403" s="8" t="s">
        <v>721</v>
      </c>
      <c r="F1403" s="9">
        <v>2</v>
      </c>
      <c r="G1403" s="5">
        <f>TRUNC([1]단가대비표!O796,0)</f>
        <v>345000</v>
      </c>
      <c r="H1403" s="5">
        <f t="shared" si="124"/>
        <v>690000</v>
      </c>
      <c r="I1403" s="5">
        <v>276000</v>
      </c>
      <c r="J1403" s="5">
        <f t="shared" si="125"/>
        <v>552000</v>
      </c>
      <c r="K1403" s="5">
        <v>0</v>
      </c>
      <c r="L1403" s="5">
        <f t="shared" si="126"/>
        <v>0</v>
      </c>
      <c r="M1403" s="5">
        <f t="shared" si="127"/>
        <v>621000</v>
      </c>
      <c r="N1403" s="5">
        <f t="shared" si="127"/>
        <v>1242000</v>
      </c>
      <c r="O1403" s="8" t="s">
        <v>20</v>
      </c>
      <c r="T1403">
        <v>0</v>
      </c>
      <c r="AC1403">
        <v>1</v>
      </c>
    </row>
    <row r="1404" spans="1:29" ht="30" customHeight="1" x14ac:dyDescent="0.3">
      <c r="A1404" s="8" t="s">
        <v>1762</v>
      </c>
      <c r="B1404" s="8" t="s">
        <v>1804</v>
      </c>
      <c r="C1404" s="8" t="s">
        <v>1805</v>
      </c>
      <c r="D1404" s="8" t="s">
        <v>20</v>
      </c>
      <c r="E1404" s="8" t="s">
        <v>161</v>
      </c>
      <c r="F1404" s="9">
        <v>1</v>
      </c>
      <c r="G1404" s="5">
        <f>TRUNC([1]단가대비표!O797,0)</f>
        <v>230000</v>
      </c>
      <c r="H1404" s="5">
        <f t="shared" si="124"/>
        <v>230000</v>
      </c>
      <c r="I1404" s="5">
        <v>0</v>
      </c>
      <c r="J1404" s="5">
        <f t="shared" si="125"/>
        <v>0</v>
      </c>
      <c r="K1404" s="5">
        <v>0</v>
      </c>
      <c r="L1404" s="5">
        <f t="shared" si="126"/>
        <v>0</v>
      </c>
      <c r="M1404" s="5">
        <f t="shared" si="127"/>
        <v>230000</v>
      </c>
      <c r="N1404" s="5">
        <f t="shared" si="127"/>
        <v>230000</v>
      </c>
      <c r="O1404" s="8" t="s">
        <v>20</v>
      </c>
      <c r="T1404">
        <v>0</v>
      </c>
      <c r="AC1404">
        <v>1</v>
      </c>
    </row>
    <row r="1405" spans="1:29" ht="30" customHeight="1" x14ac:dyDescent="0.3">
      <c r="A1405" s="8" t="s">
        <v>1762</v>
      </c>
      <c r="B1405" s="8" t="s">
        <v>1806</v>
      </c>
      <c r="C1405" s="8" t="s">
        <v>1807</v>
      </c>
      <c r="D1405" s="8" t="s">
        <v>1808</v>
      </c>
      <c r="E1405" s="8" t="s">
        <v>161</v>
      </c>
      <c r="F1405" s="9">
        <v>1</v>
      </c>
      <c r="G1405" s="5">
        <f>TRUNC([1]단가대비표!O798,0)</f>
        <v>414000</v>
      </c>
      <c r="H1405" s="5">
        <f t="shared" si="124"/>
        <v>414000</v>
      </c>
      <c r="I1405" s="5">
        <v>0</v>
      </c>
      <c r="J1405" s="5">
        <f t="shared" si="125"/>
        <v>0</v>
      </c>
      <c r="K1405" s="5">
        <v>0</v>
      </c>
      <c r="L1405" s="5">
        <f t="shared" si="126"/>
        <v>0</v>
      </c>
      <c r="M1405" s="5">
        <f t="shared" si="127"/>
        <v>414000</v>
      </c>
      <c r="N1405" s="5">
        <f t="shared" si="127"/>
        <v>414000</v>
      </c>
      <c r="O1405" s="8" t="s">
        <v>20</v>
      </c>
      <c r="T1405">
        <v>0</v>
      </c>
      <c r="AC1405">
        <v>1</v>
      </c>
    </row>
    <row r="1406" spans="1:29" ht="30" customHeight="1" x14ac:dyDescent="0.3">
      <c r="A1406" s="8" t="s">
        <v>1762</v>
      </c>
      <c r="B1406" s="8" t="s">
        <v>1809</v>
      </c>
      <c r="C1406" s="8" t="s">
        <v>1810</v>
      </c>
      <c r="D1406" s="8" t="s">
        <v>1811</v>
      </c>
      <c r="E1406" s="8" t="s">
        <v>161</v>
      </c>
      <c r="F1406" s="9">
        <v>1</v>
      </c>
      <c r="G1406" s="5">
        <f>TRUNC([1]단가대비표!O799,0)</f>
        <v>68305</v>
      </c>
      <c r="H1406" s="5">
        <f t="shared" si="124"/>
        <v>68305</v>
      </c>
      <c r="I1406" s="5">
        <v>0</v>
      </c>
      <c r="J1406" s="5">
        <f t="shared" si="125"/>
        <v>0</v>
      </c>
      <c r="K1406" s="5">
        <v>0</v>
      </c>
      <c r="L1406" s="5">
        <f t="shared" si="126"/>
        <v>0</v>
      </c>
      <c r="M1406" s="5">
        <f t="shared" si="127"/>
        <v>68305</v>
      </c>
      <c r="N1406" s="5">
        <f t="shared" si="127"/>
        <v>68305</v>
      </c>
      <c r="O1406" s="8" t="s">
        <v>20</v>
      </c>
      <c r="T1406">
        <v>0</v>
      </c>
      <c r="AC1406">
        <v>1</v>
      </c>
    </row>
    <row r="1407" spans="1:29" ht="30" customHeight="1" x14ac:dyDescent="0.3">
      <c r="A1407" s="8" t="s">
        <v>1762</v>
      </c>
      <c r="B1407" s="8" t="s">
        <v>1812</v>
      </c>
      <c r="C1407" s="8" t="s">
        <v>1813</v>
      </c>
      <c r="D1407" s="8" t="s">
        <v>1814</v>
      </c>
      <c r="E1407" s="8" t="s">
        <v>161</v>
      </c>
      <c r="F1407" s="9">
        <v>1</v>
      </c>
      <c r="G1407" s="5">
        <f>TRUNC([1]단가대비표!O800,0)</f>
        <v>0</v>
      </c>
      <c r="H1407" s="5">
        <f t="shared" si="124"/>
        <v>0</v>
      </c>
      <c r="I1407" s="5">
        <v>0</v>
      </c>
      <c r="J1407" s="5">
        <f t="shared" si="125"/>
        <v>0</v>
      </c>
      <c r="K1407" s="5">
        <v>0</v>
      </c>
      <c r="L1407" s="5">
        <f t="shared" si="126"/>
        <v>0</v>
      </c>
      <c r="M1407" s="5">
        <f t="shared" si="127"/>
        <v>0</v>
      </c>
      <c r="N1407" s="5">
        <f t="shared" si="127"/>
        <v>0</v>
      </c>
      <c r="O1407" s="8" t="s">
        <v>20</v>
      </c>
      <c r="T1407">
        <v>0</v>
      </c>
      <c r="AC1407">
        <v>1</v>
      </c>
    </row>
    <row r="1408" spans="1:29" ht="30" customHeight="1" x14ac:dyDescent="0.3">
      <c r="A1408" s="5"/>
      <c r="B1408" s="5"/>
      <c r="C1408" s="5"/>
      <c r="D1408" s="5"/>
      <c r="E1408" s="5"/>
      <c r="F1408" s="9"/>
      <c r="G1408" s="5"/>
      <c r="H1408" s="5"/>
      <c r="I1408" s="5"/>
      <c r="J1408" s="5"/>
      <c r="K1408" s="5"/>
      <c r="L1408" s="5"/>
      <c r="M1408" s="5"/>
      <c r="N1408" s="5"/>
      <c r="O1408" s="5"/>
    </row>
    <row r="1409" spans="1:15" ht="30" customHeight="1" x14ac:dyDescent="0.3">
      <c r="A1409" s="5"/>
      <c r="B1409" s="5"/>
      <c r="C1409" s="5"/>
      <c r="D1409" s="5"/>
      <c r="E1409" s="5"/>
      <c r="F1409" s="9"/>
      <c r="G1409" s="5"/>
      <c r="H1409" s="5"/>
      <c r="I1409" s="5"/>
      <c r="J1409" s="5"/>
      <c r="K1409" s="5"/>
      <c r="L1409" s="5"/>
      <c r="M1409" s="5"/>
      <c r="N1409" s="5"/>
      <c r="O1409" s="5"/>
    </row>
    <row r="1410" spans="1:15" ht="30" customHeight="1" x14ac:dyDescent="0.3">
      <c r="A1410" s="5"/>
      <c r="B1410" s="5"/>
      <c r="C1410" s="5"/>
      <c r="D1410" s="5"/>
      <c r="E1410" s="5"/>
      <c r="F1410" s="9"/>
      <c r="G1410" s="5"/>
      <c r="H1410" s="5"/>
      <c r="I1410" s="5"/>
      <c r="J1410" s="5"/>
      <c r="K1410" s="5"/>
      <c r="L1410" s="5"/>
      <c r="M1410" s="5"/>
      <c r="N1410" s="5"/>
      <c r="O1410" s="5"/>
    </row>
    <row r="1411" spans="1:15" ht="30" customHeight="1" x14ac:dyDescent="0.3">
      <c r="A1411" s="5"/>
      <c r="B1411" s="5"/>
      <c r="C1411" s="5"/>
      <c r="D1411" s="5"/>
      <c r="E1411" s="5"/>
      <c r="F1411" s="9"/>
      <c r="G1411" s="5"/>
      <c r="H1411" s="5"/>
      <c r="I1411" s="5"/>
      <c r="J1411" s="5"/>
      <c r="K1411" s="5"/>
      <c r="L1411" s="5"/>
      <c r="M1411" s="5"/>
      <c r="N1411" s="5"/>
      <c r="O1411" s="5"/>
    </row>
    <row r="1412" spans="1:15" ht="30" customHeight="1" x14ac:dyDescent="0.3">
      <c r="A1412" s="5"/>
      <c r="B1412" s="5"/>
      <c r="C1412" s="5"/>
      <c r="D1412" s="5"/>
      <c r="E1412" s="5"/>
      <c r="F1412" s="9"/>
      <c r="G1412" s="5"/>
      <c r="H1412" s="5"/>
      <c r="I1412" s="5"/>
      <c r="J1412" s="5"/>
      <c r="K1412" s="5"/>
      <c r="L1412" s="5"/>
      <c r="M1412" s="5"/>
      <c r="N1412" s="5"/>
      <c r="O1412" s="5"/>
    </row>
    <row r="1413" spans="1:15" ht="30" customHeight="1" x14ac:dyDescent="0.3">
      <c r="A1413" s="5"/>
      <c r="B1413" s="5"/>
      <c r="C1413" s="5"/>
      <c r="D1413" s="5"/>
      <c r="E1413" s="5"/>
      <c r="F1413" s="9"/>
      <c r="G1413" s="5"/>
      <c r="H1413" s="5"/>
      <c r="I1413" s="5"/>
      <c r="J1413" s="5"/>
      <c r="K1413" s="5"/>
      <c r="L1413" s="5"/>
      <c r="M1413" s="5"/>
      <c r="N1413" s="5"/>
      <c r="O1413" s="5"/>
    </row>
    <row r="1414" spans="1:15" ht="30" customHeight="1" x14ac:dyDescent="0.3">
      <c r="A1414" s="5"/>
      <c r="B1414" s="5"/>
      <c r="C1414" s="5"/>
      <c r="D1414" s="5"/>
      <c r="E1414" s="5"/>
      <c r="F1414" s="9"/>
      <c r="G1414" s="5"/>
      <c r="H1414" s="5"/>
      <c r="I1414" s="5"/>
      <c r="J1414" s="5"/>
      <c r="K1414" s="5"/>
      <c r="L1414" s="5"/>
      <c r="M1414" s="5"/>
      <c r="N1414" s="5"/>
      <c r="O1414" s="5"/>
    </row>
    <row r="1415" spans="1:15" ht="30" customHeight="1" x14ac:dyDescent="0.3">
      <c r="A1415" s="5"/>
      <c r="B1415" s="5"/>
      <c r="C1415" s="5"/>
      <c r="D1415" s="5"/>
      <c r="E1415" s="5"/>
      <c r="F1415" s="9"/>
      <c r="G1415" s="5"/>
      <c r="H1415" s="5"/>
      <c r="I1415" s="5"/>
      <c r="J1415" s="5"/>
      <c r="K1415" s="5"/>
      <c r="L1415" s="5"/>
      <c r="M1415" s="5"/>
      <c r="N1415" s="5"/>
      <c r="O1415" s="5"/>
    </row>
    <row r="1416" spans="1:15" ht="30" customHeight="1" x14ac:dyDescent="0.3">
      <c r="A1416" s="5"/>
      <c r="B1416" s="5"/>
      <c r="C1416" s="5"/>
      <c r="D1416" s="5"/>
      <c r="E1416" s="5"/>
      <c r="F1416" s="9"/>
      <c r="G1416" s="5"/>
      <c r="H1416" s="5"/>
      <c r="I1416" s="5"/>
      <c r="J1416" s="5"/>
      <c r="K1416" s="5"/>
      <c r="L1416" s="5"/>
      <c r="M1416" s="5"/>
      <c r="N1416" s="5"/>
      <c r="O1416" s="5"/>
    </row>
    <row r="1417" spans="1:15" ht="30" customHeight="1" x14ac:dyDescent="0.3">
      <c r="A1417" s="5"/>
      <c r="B1417" s="5"/>
      <c r="C1417" s="5"/>
      <c r="D1417" s="5"/>
      <c r="E1417" s="5"/>
      <c r="F1417" s="9"/>
      <c r="G1417" s="5"/>
      <c r="H1417" s="5"/>
      <c r="I1417" s="5"/>
      <c r="J1417" s="5"/>
      <c r="K1417" s="5"/>
      <c r="L1417" s="5"/>
      <c r="M1417" s="5"/>
      <c r="N1417" s="5"/>
      <c r="O1417" s="5"/>
    </row>
    <row r="1418" spans="1:15" ht="30" customHeight="1" x14ac:dyDescent="0.3">
      <c r="A1418" s="5"/>
      <c r="B1418" s="5"/>
      <c r="C1418" s="5"/>
      <c r="D1418" s="5"/>
      <c r="E1418" s="5"/>
      <c r="F1418" s="9"/>
      <c r="G1418" s="5"/>
      <c r="H1418" s="5"/>
      <c r="I1418" s="5"/>
      <c r="J1418" s="5"/>
      <c r="K1418" s="5"/>
      <c r="L1418" s="5"/>
      <c r="M1418" s="5"/>
      <c r="N1418" s="5"/>
      <c r="O1418" s="5"/>
    </row>
    <row r="1419" spans="1:15" ht="30" customHeight="1" x14ac:dyDescent="0.3">
      <c r="A1419" s="5"/>
      <c r="B1419" s="5"/>
      <c r="C1419" s="5"/>
      <c r="D1419" s="5"/>
      <c r="E1419" s="5"/>
      <c r="F1419" s="9"/>
      <c r="G1419" s="5"/>
      <c r="H1419" s="5"/>
      <c r="I1419" s="5"/>
      <c r="J1419" s="5"/>
      <c r="K1419" s="5"/>
      <c r="L1419" s="5"/>
      <c r="M1419" s="5"/>
      <c r="N1419" s="5"/>
      <c r="O1419" s="5"/>
    </row>
    <row r="1420" spans="1:15" ht="30" customHeight="1" x14ac:dyDescent="0.3">
      <c r="A1420" s="5"/>
      <c r="B1420" s="5"/>
      <c r="C1420" s="5"/>
      <c r="D1420" s="5"/>
      <c r="E1420" s="5"/>
      <c r="F1420" s="9"/>
      <c r="G1420" s="5"/>
      <c r="H1420" s="5"/>
      <c r="I1420" s="5"/>
      <c r="J1420" s="5"/>
      <c r="K1420" s="5"/>
      <c r="L1420" s="5"/>
      <c r="M1420" s="5"/>
      <c r="N1420" s="5"/>
      <c r="O1420" s="5"/>
    </row>
    <row r="1421" spans="1:15" ht="30" customHeight="1" x14ac:dyDescent="0.3">
      <c r="A1421" s="5"/>
      <c r="B1421" s="5"/>
      <c r="C1421" s="5"/>
      <c r="D1421" s="5"/>
      <c r="E1421" s="5"/>
      <c r="F1421" s="9"/>
      <c r="G1421" s="5"/>
      <c r="H1421" s="5"/>
      <c r="I1421" s="5"/>
      <c r="J1421" s="5"/>
      <c r="K1421" s="5"/>
      <c r="L1421" s="5"/>
      <c r="M1421" s="5"/>
      <c r="N1421" s="5"/>
      <c r="O1421" s="5"/>
    </row>
    <row r="1422" spans="1:15" ht="30" customHeight="1" x14ac:dyDescent="0.3">
      <c r="A1422" s="5"/>
      <c r="B1422" s="5"/>
      <c r="C1422" s="5"/>
      <c r="D1422" s="5"/>
      <c r="E1422" s="5"/>
      <c r="F1422" s="9"/>
      <c r="G1422" s="5"/>
      <c r="H1422" s="5"/>
      <c r="I1422" s="5"/>
      <c r="J1422" s="5"/>
      <c r="K1422" s="5"/>
      <c r="L1422" s="5"/>
      <c r="M1422" s="5"/>
      <c r="N1422" s="5"/>
      <c r="O1422" s="5"/>
    </row>
    <row r="1423" spans="1:15" ht="30" customHeight="1" x14ac:dyDescent="0.3">
      <c r="A1423" s="5"/>
      <c r="B1423" s="5"/>
      <c r="C1423" s="5"/>
      <c r="D1423" s="5"/>
      <c r="E1423" s="5"/>
      <c r="F1423" s="9"/>
      <c r="G1423" s="5"/>
      <c r="H1423" s="5"/>
      <c r="I1423" s="5"/>
      <c r="J1423" s="5"/>
      <c r="K1423" s="5"/>
      <c r="L1423" s="5"/>
      <c r="M1423" s="5"/>
      <c r="N1423" s="5"/>
      <c r="O1423" s="5"/>
    </row>
    <row r="1424" spans="1:15" ht="30" customHeight="1" x14ac:dyDescent="0.3">
      <c r="A1424" s="5"/>
      <c r="B1424" s="5"/>
      <c r="C1424" s="5"/>
      <c r="D1424" s="5"/>
      <c r="E1424" s="5"/>
      <c r="F1424" s="9"/>
      <c r="G1424" s="5"/>
      <c r="H1424" s="5"/>
      <c r="I1424" s="5"/>
      <c r="J1424" s="5"/>
      <c r="K1424" s="5"/>
      <c r="L1424" s="5"/>
      <c r="M1424" s="5"/>
      <c r="N1424" s="5"/>
      <c r="O1424" s="5"/>
    </row>
    <row r="1425" spans="1:29" ht="30" customHeight="1" x14ac:dyDescent="0.3">
      <c r="A1425" s="5"/>
      <c r="B1425" s="5"/>
      <c r="C1425" s="5"/>
      <c r="D1425" s="5"/>
      <c r="E1425" s="5"/>
      <c r="F1425" s="9"/>
      <c r="G1425" s="5"/>
      <c r="H1425" s="5"/>
      <c r="I1425" s="5"/>
      <c r="J1425" s="5"/>
      <c r="K1425" s="5"/>
      <c r="L1425" s="5"/>
      <c r="M1425" s="5"/>
      <c r="N1425" s="5"/>
      <c r="O1425" s="5"/>
    </row>
    <row r="1426" spans="1:29" ht="30" customHeight="1" x14ac:dyDescent="0.3">
      <c r="A1426" s="5"/>
      <c r="B1426" s="5"/>
      <c r="C1426" s="5"/>
      <c r="D1426" s="5"/>
      <c r="E1426" s="5"/>
      <c r="F1426" s="9"/>
      <c r="G1426" s="5"/>
      <c r="H1426" s="5"/>
      <c r="I1426" s="5"/>
      <c r="J1426" s="5"/>
      <c r="K1426" s="5"/>
      <c r="L1426" s="5"/>
      <c r="M1426" s="5"/>
      <c r="N1426" s="5"/>
      <c r="O1426" s="5"/>
    </row>
    <row r="1427" spans="1:29" ht="30" customHeight="1" x14ac:dyDescent="0.3">
      <c r="A1427" s="5"/>
      <c r="B1427" s="5"/>
      <c r="C1427" s="5"/>
      <c r="D1427" s="5"/>
      <c r="E1427" s="5"/>
      <c r="F1427" s="9"/>
      <c r="G1427" s="5"/>
      <c r="H1427" s="5"/>
      <c r="I1427" s="5"/>
      <c r="J1427" s="5"/>
      <c r="K1427" s="5"/>
      <c r="L1427" s="5"/>
      <c r="M1427" s="5"/>
      <c r="N1427" s="5"/>
      <c r="O1427" s="5"/>
    </row>
    <row r="1428" spans="1:29" ht="30" customHeight="1" x14ac:dyDescent="0.3">
      <c r="A1428" s="5"/>
      <c r="B1428" s="5"/>
      <c r="C1428" s="5"/>
      <c r="D1428" s="5"/>
      <c r="E1428" s="5"/>
      <c r="F1428" s="9"/>
      <c r="G1428" s="5"/>
      <c r="H1428" s="5"/>
      <c r="I1428" s="5"/>
      <c r="J1428" s="5"/>
      <c r="K1428" s="5"/>
      <c r="L1428" s="5"/>
      <c r="M1428" s="5"/>
      <c r="N1428" s="5"/>
      <c r="O1428" s="5"/>
    </row>
    <row r="1429" spans="1:29" ht="30" customHeight="1" x14ac:dyDescent="0.3">
      <c r="A1429" s="5"/>
      <c r="B1429" s="5"/>
      <c r="C1429" s="5"/>
      <c r="D1429" s="5"/>
      <c r="E1429" s="5"/>
      <c r="F1429" s="9"/>
      <c r="G1429" s="5"/>
      <c r="H1429" s="5"/>
      <c r="I1429" s="5"/>
      <c r="J1429" s="5"/>
      <c r="K1429" s="5"/>
      <c r="L1429" s="5"/>
      <c r="M1429" s="5"/>
      <c r="N1429" s="5"/>
      <c r="O1429" s="5"/>
    </row>
    <row r="1430" spans="1:29" ht="30" customHeight="1" x14ac:dyDescent="0.3">
      <c r="A1430" s="5"/>
      <c r="B1430" s="5"/>
      <c r="C1430" s="5"/>
      <c r="D1430" s="5"/>
      <c r="E1430" s="5"/>
      <c r="F1430" s="9"/>
      <c r="G1430" s="5"/>
      <c r="H1430" s="5"/>
      <c r="I1430" s="5"/>
      <c r="J1430" s="5"/>
      <c r="K1430" s="5"/>
      <c r="L1430" s="5"/>
      <c r="M1430" s="5"/>
      <c r="N1430" s="5"/>
      <c r="O1430" s="5"/>
    </row>
    <row r="1431" spans="1:29" ht="30" customHeight="1" x14ac:dyDescent="0.3">
      <c r="A1431" s="5"/>
      <c r="B1431" s="5"/>
      <c r="C1431" s="5"/>
      <c r="D1431" s="5"/>
      <c r="E1431" s="5"/>
      <c r="F1431" s="9"/>
      <c r="G1431" s="5"/>
      <c r="H1431" s="5"/>
      <c r="I1431" s="5"/>
      <c r="J1431" s="5"/>
      <c r="K1431" s="5"/>
      <c r="L1431" s="5"/>
      <c r="M1431" s="5"/>
      <c r="N1431" s="5"/>
      <c r="O1431" s="5"/>
    </row>
    <row r="1432" spans="1:29" ht="30" customHeight="1" x14ac:dyDescent="0.3">
      <c r="A1432" s="5"/>
      <c r="B1432" s="5"/>
      <c r="C1432" s="5"/>
      <c r="D1432" s="5"/>
      <c r="E1432" s="5"/>
      <c r="F1432" s="9"/>
      <c r="G1432" s="5"/>
      <c r="H1432" s="5"/>
      <c r="I1432" s="5"/>
      <c r="J1432" s="5"/>
      <c r="K1432" s="5"/>
      <c r="L1432" s="5"/>
      <c r="M1432" s="5"/>
      <c r="N1432" s="5"/>
      <c r="O1432" s="5"/>
    </row>
    <row r="1433" spans="1:29" ht="30" customHeight="1" x14ac:dyDescent="0.3">
      <c r="A1433" s="5"/>
      <c r="B1433" s="5"/>
      <c r="C1433" s="5" t="s">
        <v>162</v>
      </c>
      <c r="D1433" s="5"/>
      <c r="E1433" s="5"/>
      <c r="F1433" s="9"/>
      <c r="G1433" s="5"/>
      <c r="H1433" s="5">
        <f>SUMIF(AC1383:AC1432, 1, H1383:H1432)</f>
        <v>11089589</v>
      </c>
      <c r="I1433" s="5"/>
      <c r="J1433" s="5">
        <f>SUMIF(AC1383:AC1432, 1, J1383:J1432)</f>
        <v>6794825</v>
      </c>
      <c r="K1433" s="5"/>
      <c r="L1433" s="5">
        <f>SUMIF(AC1383:AC1432, 1, L1383:L1432)</f>
        <v>0</v>
      </c>
      <c r="M1433" s="5"/>
      <c r="N1433" s="5">
        <f>H1433+J1433+L1433</f>
        <v>17884414</v>
      </c>
      <c r="O1433" s="5"/>
    </row>
    <row r="1434" spans="1:29" ht="30" customHeight="1" x14ac:dyDescent="0.3">
      <c r="A1434" s="5"/>
      <c r="B1434" s="5"/>
      <c r="C1434" s="10" t="s">
        <v>1815</v>
      </c>
      <c r="D1434" s="10"/>
      <c r="E1434" s="10"/>
      <c r="F1434" s="11"/>
      <c r="G1434" s="10"/>
      <c r="H1434" s="10"/>
      <c r="I1434" s="10"/>
      <c r="J1434" s="10"/>
      <c r="K1434" s="10"/>
      <c r="L1434" s="10"/>
      <c r="M1434" s="10"/>
      <c r="N1434" s="10"/>
      <c r="O1434" s="10"/>
    </row>
    <row r="1435" spans="1:29" ht="30" customHeight="1" x14ac:dyDescent="0.3">
      <c r="A1435" s="8" t="s">
        <v>1816</v>
      </c>
      <c r="B1435" s="8" t="s">
        <v>1817</v>
      </c>
      <c r="C1435" s="8" t="s">
        <v>1818</v>
      </c>
      <c r="D1435" s="8" t="s">
        <v>20</v>
      </c>
      <c r="E1435" s="8" t="s">
        <v>20</v>
      </c>
      <c r="F1435" s="9">
        <v>0</v>
      </c>
      <c r="G1435" s="5">
        <f>TRUNC([1]단가대비표!O801,0)</f>
        <v>0</v>
      </c>
      <c r="H1435" s="5">
        <f t="shared" ref="H1435:H1441" si="128">TRUNC(F1435*G1435,0)</f>
        <v>0</v>
      </c>
      <c r="I1435" s="5">
        <v>0</v>
      </c>
      <c r="J1435" s="5">
        <f t="shared" ref="J1435:J1441" si="129">TRUNC(F1435*I1435,0)</f>
        <v>0</v>
      </c>
      <c r="K1435" s="5">
        <v>0</v>
      </c>
      <c r="L1435" s="5">
        <f t="shared" ref="L1435:L1441" si="130">TRUNC(F1435*K1435,0)</f>
        <v>0</v>
      </c>
      <c r="M1435" s="5">
        <f t="shared" ref="M1435:N1441" si="131">G1435+I1435+K1435</f>
        <v>0</v>
      </c>
      <c r="N1435" s="5">
        <f t="shared" si="131"/>
        <v>0</v>
      </c>
      <c r="O1435" s="8" t="s">
        <v>20</v>
      </c>
      <c r="T1435">
        <v>0</v>
      </c>
      <c r="AC1435">
        <v>1</v>
      </c>
    </row>
    <row r="1436" spans="1:29" ht="30" customHeight="1" x14ac:dyDescent="0.3">
      <c r="A1436" s="8" t="s">
        <v>1816</v>
      </c>
      <c r="B1436" s="8" t="s">
        <v>1819</v>
      </c>
      <c r="C1436" s="8" t="s">
        <v>1820</v>
      </c>
      <c r="D1436" s="8" t="s">
        <v>1821</v>
      </c>
      <c r="E1436" s="8" t="s">
        <v>1822</v>
      </c>
      <c r="F1436" s="9">
        <v>16</v>
      </c>
      <c r="G1436" s="5">
        <f>TRUNC([1]단가대비표!O802,0)</f>
        <v>57000</v>
      </c>
      <c r="H1436" s="5">
        <f t="shared" si="128"/>
        <v>912000</v>
      </c>
      <c r="I1436" s="5">
        <v>51000</v>
      </c>
      <c r="J1436" s="5">
        <f t="shared" si="129"/>
        <v>816000</v>
      </c>
      <c r="K1436" s="5">
        <v>0</v>
      </c>
      <c r="L1436" s="5">
        <f t="shared" si="130"/>
        <v>0</v>
      </c>
      <c r="M1436" s="5">
        <f t="shared" si="131"/>
        <v>108000</v>
      </c>
      <c r="N1436" s="5">
        <f t="shared" si="131"/>
        <v>1728000</v>
      </c>
      <c r="O1436" s="8" t="s">
        <v>20</v>
      </c>
      <c r="T1436">
        <v>0</v>
      </c>
      <c r="AC1436">
        <v>1</v>
      </c>
    </row>
    <row r="1437" spans="1:29" ht="30" customHeight="1" x14ac:dyDescent="0.3">
      <c r="A1437" s="8" t="s">
        <v>1816</v>
      </c>
      <c r="B1437" s="8" t="s">
        <v>1823</v>
      </c>
      <c r="C1437" s="8" t="s">
        <v>1824</v>
      </c>
      <c r="D1437" s="8" t="s">
        <v>1825</v>
      </c>
      <c r="E1437" s="8" t="s">
        <v>179</v>
      </c>
      <c r="F1437" s="9">
        <v>9</v>
      </c>
      <c r="G1437" s="5">
        <f>TRUNC([1]단가대비표!O803,0)</f>
        <v>10500</v>
      </c>
      <c r="H1437" s="5">
        <f t="shared" si="128"/>
        <v>94500</v>
      </c>
      <c r="I1437" s="5">
        <v>7000</v>
      </c>
      <c r="J1437" s="5">
        <f t="shared" si="129"/>
        <v>63000</v>
      </c>
      <c r="K1437" s="5">
        <v>0</v>
      </c>
      <c r="L1437" s="5">
        <f t="shared" si="130"/>
        <v>0</v>
      </c>
      <c r="M1437" s="5">
        <f t="shared" si="131"/>
        <v>17500</v>
      </c>
      <c r="N1437" s="5">
        <f t="shared" si="131"/>
        <v>157500</v>
      </c>
      <c r="O1437" s="8" t="s">
        <v>20</v>
      </c>
      <c r="T1437">
        <v>0</v>
      </c>
      <c r="AC1437">
        <v>1</v>
      </c>
    </row>
    <row r="1438" spans="1:29" ht="30" customHeight="1" x14ac:dyDescent="0.3">
      <c r="A1438" s="8" t="s">
        <v>1816</v>
      </c>
      <c r="B1438" s="8" t="s">
        <v>1826</v>
      </c>
      <c r="C1438" s="8" t="s">
        <v>1827</v>
      </c>
      <c r="D1438" s="8" t="s">
        <v>20</v>
      </c>
      <c r="E1438" s="8" t="s">
        <v>185</v>
      </c>
      <c r="F1438" s="9">
        <v>12</v>
      </c>
      <c r="G1438" s="5">
        <f>TRUNC([1]단가대비표!O804,0)</f>
        <v>22500</v>
      </c>
      <c r="H1438" s="5">
        <f t="shared" si="128"/>
        <v>270000</v>
      </c>
      <c r="I1438" s="5">
        <v>16000</v>
      </c>
      <c r="J1438" s="5">
        <f t="shared" si="129"/>
        <v>192000</v>
      </c>
      <c r="K1438" s="5">
        <v>0</v>
      </c>
      <c r="L1438" s="5">
        <f t="shared" si="130"/>
        <v>0</v>
      </c>
      <c r="M1438" s="5">
        <f t="shared" si="131"/>
        <v>38500</v>
      </c>
      <c r="N1438" s="5">
        <f t="shared" si="131"/>
        <v>462000</v>
      </c>
      <c r="O1438" s="8" t="s">
        <v>20</v>
      </c>
      <c r="T1438">
        <v>0</v>
      </c>
      <c r="AC1438">
        <v>1</v>
      </c>
    </row>
    <row r="1439" spans="1:29" ht="30" customHeight="1" x14ac:dyDescent="0.3">
      <c r="A1439" s="8" t="s">
        <v>1816</v>
      </c>
      <c r="B1439" s="8" t="s">
        <v>1828</v>
      </c>
      <c r="C1439" s="8" t="s">
        <v>1829</v>
      </c>
      <c r="D1439" s="8" t="s">
        <v>20</v>
      </c>
      <c r="E1439" s="8" t="s">
        <v>545</v>
      </c>
      <c r="F1439" s="9">
        <v>5</v>
      </c>
      <c r="G1439" s="5">
        <f>TRUNC([1]단가대비표!O805,0)</f>
        <v>225000</v>
      </c>
      <c r="H1439" s="5">
        <f t="shared" si="128"/>
        <v>1125000</v>
      </c>
      <c r="I1439" s="5">
        <v>158000</v>
      </c>
      <c r="J1439" s="5">
        <f t="shared" si="129"/>
        <v>790000</v>
      </c>
      <c r="K1439" s="5">
        <v>0</v>
      </c>
      <c r="L1439" s="5">
        <f t="shared" si="130"/>
        <v>0</v>
      </c>
      <c r="M1439" s="5">
        <f t="shared" si="131"/>
        <v>383000</v>
      </c>
      <c r="N1439" s="5">
        <f t="shared" si="131"/>
        <v>1915000</v>
      </c>
      <c r="O1439" s="8" t="s">
        <v>20</v>
      </c>
      <c r="T1439">
        <v>0</v>
      </c>
      <c r="AC1439">
        <v>1</v>
      </c>
    </row>
    <row r="1440" spans="1:29" ht="30" customHeight="1" x14ac:dyDescent="0.3">
      <c r="A1440" s="8" t="s">
        <v>1816</v>
      </c>
      <c r="B1440" s="8" t="s">
        <v>1830</v>
      </c>
      <c r="C1440" s="8" t="s">
        <v>1831</v>
      </c>
      <c r="D1440" s="8" t="s">
        <v>20</v>
      </c>
      <c r="E1440" s="8" t="s">
        <v>185</v>
      </c>
      <c r="F1440" s="9">
        <v>1</v>
      </c>
      <c r="G1440" s="5">
        <f>TRUNC([1]단가대비표!O806,0)</f>
        <v>225000</v>
      </c>
      <c r="H1440" s="5">
        <f t="shared" si="128"/>
        <v>225000</v>
      </c>
      <c r="I1440" s="5">
        <v>158000</v>
      </c>
      <c r="J1440" s="5">
        <f t="shared" si="129"/>
        <v>158000</v>
      </c>
      <c r="K1440" s="5">
        <v>0</v>
      </c>
      <c r="L1440" s="5">
        <f t="shared" si="130"/>
        <v>0</v>
      </c>
      <c r="M1440" s="5">
        <f t="shared" si="131"/>
        <v>383000</v>
      </c>
      <c r="N1440" s="5">
        <f t="shared" si="131"/>
        <v>383000</v>
      </c>
      <c r="O1440" s="8" t="s">
        <v>20</v>
      </c>
      <c r="T1440">
        <v>0</v>
      </c>
      <c r="AC1440">
        <v>1</v>
      </c>
    </row>
    <row r="1441" spans="1:29" ht="30" customHeight="1" x14ac:dyDescent="0.3">
      <c r="A1441" s="8" t="s">
        <v>1816</v>
      </c>
      <c r="B1441" s="8" t="s">
        <v>1832</v>
      </c>
      <c r="C1441" s="8" t="s">
        <v>1833</v>
      </c>
      <c r="D1441" s="8" t="s">
        <v>20</v>
      </c>
      <c r="E1441" s="8" t="s">
        <v>161</v>
      </c>
      <c r="F1441" s="9">
        <v>1</v>
      </c>
      <c r="G1441" s="5">
        <f>TRUNC([1]단가대비표!O807,0)</f>
        <v>27360</v>
      </c>
      <c r="H1441" s="5">
        <f t="shared" si="128"/>
        <v>27360</v>
      </c>
      <c r="I1441" s="5">
        <v>0</v>
      </c>
      <c r="J1441" s="5">
        <f t="shared" si="129"/>
        <v>0</v>
      </c>
      <c r="K1441" s="5">
        <v>0</v>
      </c>
      <c r="L1441" s="5">
        <f t="shared" si="130"/>
        <v>0</v>
      </c>
      <c r="M1441" s="5">
        <f t="shared" si="131"/>
        <v>27360</v>
      </c>
      <c r="N1441" s="5">
        <f t="shared" si="131"/>
        <v>27360</v>
      </c>
      <c r="O1441" s="8" t="s">
        <v>20</v>
      </c>
      <c r="T1441">
        <v>0</v>
      </c>
      <c r="AC1441">
        <v>1</v>
      </c>
    </row>
    <row r="1442" spans="1:29" ht="30" customHeight="1" x14ac:dyDescent="0.3">
      <c r="A1442" s="8" t="s">
        <v>1816</v>
      </c>
      <c r="B1442" s="8" t="s">
        <v>1834</v>
      </c>
      <c r="C1442" s="8"/>
      <c r="D1442" s="8"/>
      <c r="E1442" s="8"/>
      <c r="F1442" s="9"/>
      <c r="G1442" s="5"/>
      <c r="H1442" s="5"/>
      <c r="I1442" s="5"/>
      <c r="J1442" s="5"/>
      <c r="K1442" s="5"/>
      <c r="L1442" s="5"/>
      <c r="M1442" s="5"/>
      <c r="N1442" s="5"/>
      <c r="O1442" s="8"/>
      <c r="T1442">
        <v>0</v>
      </c>
      <c r="AC1442">
        <v>1</v>
      </c>
    </row>
    <row r="1443" spans="1:29" ht="30" customHeight="1" x14ac:dyDescent="0.3">
      <c r="A1443" s="5"/>
      <c r="B1443" s="5"/>
      <c r="C1443" s="5"/>
      <c r="D1443" s="5"/>
      <c r="E1443" s="5"/>
      <c r="F1443" s="9"/>
      <c r="G1443" s="5"/>
      <c r="H1443" s="5"/>
      <c r="I1443" s="5"/>
      <c r="J1443" s="5"/>
      <c r="K1443" s="5"/>
      <c r="L1443" s="5"/>
      <c r="M1443" s="5"/>
      <c r="N1443" s="5"/>
      <c r="O1443" s="5"/>
    </row>
    <row r="1444" spans="1:29" ht="30" customHeight="1" x14ac:dyDescent="0.3">
      <c r="A1444" s="5"/>
      <c r="B1444" s="5"/>
      <c r="C1444" s="5"/>
      <c r="D1444" s="5"/>
      <c r="E1444" s="5"/>
      <c r="F1444" s="9"/>
      <c r="G1444" s="5"/>
      <c r="H1444" s="5"/>
      <c r="I1444" s="5"/>
      <c r="J1444" s="5"/>
      <c r="K1444" s="5"/>
      <c r="L1444" s="5"/>
      <c r="M1444" s="5"/>
      <c r="N1444" s="5"/>
      <c r="O1444" s="5"/>
    </row>
    <row r="1445" spans="1:29" ht="30" customHeight="1" x14ac:dyDescent="0.3">
      <c r="A1445" s="5"/>
      <c r="B1445" s="5"/>
      <c r="C1445" s="5"/>
      <c r="D1445" s="5"/>
      <c r="E1445" s="5"/>
      <c r="F1445" s="9"/>
      <c r="G1445" s="5"/>
      <c r="H1445" s="5"/>
      <c r="I1445" s="5"/>
      <c r="J1445" s="5"/>
      <c r="K1445" s="5"/>
      <c r="L1445" s="5"/>
      <c r="M1445" s="5"/>
      <c r="N1445" s="5"/>
      <c r="O1445" s="5"/>
    </row>
    <row r="1446" spans="1:29" ht="30" customHeight="1" x14ac:dyDescent="0.3">
      <c r="A1446" s="5"/>
      <c r="B1446" s="5"/>
      <c r="C1446" s="5"/>
      <c r="D1446" s="5"/>
      <c r="E1446" s="5"/>
      <c r="F1446" s="9"/>
      <c r="G1446" s="5"/>
      <c r="H1446" s="5"/>
      <c r="I1446" s="5"/>
      <c r="J1446" s="5"/>
      <c r="K1446" s="5"/>
      <c r="L1446" s="5"/>
      <c r="M1446" s="5"/>
      <c r="N1446" s="5"/>
      <c r="O1446" s="5"/>
    </row>
    <row r="1447" spans="1:29" ht="30" customHeight="1" x14ac:dyDescent="0.3">
      <c r="A1447" s="5"/>
      <c r="B1447" s="5"/>
      <c r="C1447" s="5"/>
      <c r="D1447" s="5"/>
      <c r="E1447" s="5"/>
      <c r="F1447" s="9"/>
      <c r="G1447" s="5"/>
      <c r="H1447" s="5"/>
      <c r="I1447" s="5"/>
      <c r="J1447" s="5"/>
      <c r="K1447" s="5"/>
      <c r="L1447" s="5"/>
      <c r="M1447" s="5"/>
      <c r="N1447" s="5"/>
      <c r="O1447" s="5"/>
    </row>
    <row r="1448" spans="1:29" ht="30" customHeight="1" x14ac:dyDescent="0.3">
      <c r="A1448" s="5"/>
      <c r="B1448" s="5"/>
      <c r="C1448" s="5"/>
      <c r="D1448" s="5"/>
      <c r="E1448" s="5"/>
      <c r="F1448" s="9"/>
      <c r="G1448" s="5"/>
      <c r="H1448" s="5"/>
      <c r="I1448" s="5"/>
      <c r="J1448" s="5"/>
      <c r="K1448" s="5"/>
      <c r="L1448" s="5"/>
      <c r="M1448" s="5"/>
      <c r="N1448" s="5"/>
      <c r="O1448" s="5"/>
    </row>
    <row r="1449" spans="1:29" ht="30" customHeight="1" x14ac:dyDescent="0.3">
      <c r="A1449" s="5"/>
      <c r="B1449" s="5"/>
      <c r="C1449" s="5"/>
      <c r="D1449" s="5"/>
      <c r="E1449" s="5"/>
      <c r="F1449" s="9"/>
      <c r="G1449" s="5"/>
      <c r="H1449" s="5"/>
      <c r="I1449" s="5"/>
      <c r="J1449" s="5"/>
      <c r="K1449" s="5"/>
      <c r="L1449" s="5"/>
      <c r="M1449" s="5"/>
      <c r="N1449" s="5"/>
      <c r="O1449" s="5"/>
    </row>
    <row r="1450" spans="1:29" ht="30" customHeight="1" x14ac:dyDescent="0.3">
      <c r="A1450" s="5"/>
      <c r="B1450" s="5"/>
      <c r="C1450" s="5"/>
      <c r="D1450" s="5"/>
      <c r="E1450" s="5"/>
      <c r="F1450" s="9"/>
      <c r="G1450" s="5"/>
      <c r="H1450" s="5"/>
      <c r="I1450" s="5"/>
      <c r="J1450" s="5"/>
      <c r="K1450" s="5"/>
      <c r="L1450" s="5"/>
      <c r="M1450" s="5"/>
      <c r="N1450" s="5"/>
      <c r="O1450" s="5"/>
    </row>
    <row r="1451" spans="1:29" ht="30" customHeight="1" x14ac:dyDescent="0.3">
      <c r="A1451" s="5"/>
      <c r="B1451" s="5"/>
      <c r="C1451" s="5"/>
      <c r="D1451" s="5"/>
      <c r="E1451" s="5"/>
      <c r="F1451" s="9"/>
      <c r="G1451" s="5"/>
      <c r="H1451" s="5"/>
      <c r="I1451" s="5"/>
      <c r="J1451" s="5"/>
      <c r="K1451" s="5"/>
      <c r="L1451" s="5"/>
      <c r="M1451" s="5"/>
      <c r="N1451" s="5"/>
      <c r="O1451" s="5"/>
    </row>
    <row r="1452" spans="1:29" ht="30" customHeight="1" x14ac:dyDescent="0.3">
      <c r="A1452" s="5"/>
      <c r="B1452" s="5"/>
      <c r="C1452" s="5"/>
      <c r="D1452" s="5"/>
      <c r="E1452" s="5"/>
      <c r="F1452" s="9"/>
      <c r="G1452" s="5"/>
      <c r="H1452" s="5"/>
      <c r="I1452" s="5"/>
      <c r="J1452" s="5"/>
      <c r="K1452" s="5"/>
      <c r="L1452" s="5"/>
      <c r="M1452" s="5"/>
      <c r="N1452" s="5"/>
      <c r="O1452" s="5"/>
    </row>
    <row r="1453" spans="1:29" ht="30" customHeight="1" x14ac:dyDescent="0.3">
      <c r="A1453" s="5"/>
      <c r="B1453" s="5"/>
      <c r="C1453" s="5"/>
      <c r="D1453" s="5"/>
      <c r="E1453" s="5"/>
      <c r="F1453" s="9"/>
      <c r="G1453" s="5"/>
      <c r="H1453" s="5"/>
      <c r="I1453" s="5"/>
      <c r="J1453" s="5"/>
      <c r="K1453" s="5"/>
      <c r="L1453" s="5"/>
      <c r="M1453" s="5"/>
      <c r="N1453" s="5"/>
      <c r="O1453" s="5"/>
    </row>
    <row r="1454" spans="1:29" ht="30" customHeight="1" x14ac:dyDescent="0.3">
      <c r="A1454" s="5"/>
      <c r="B1454" s="5"/>
      <c r="C1454" s="5"/>
      <c r="D1454" s="5"/>
      <c r="E1454" s="5"/>
      <c r="F1454" s="9"/>
      <c r="G1454" s="5"/>
      <c r="H1454" s="5"/>
      <c r="I1454" s="5"/>
      <c r="J1454" s="5"/>
      <c r="K1454" s="5"/>
      <c r="L1454" s="5"/>
      <c r="M1454" s="5"/>
      <c r="N1454" s="5"/>
      <c r="O1454" s="5"/>
    </row>
    <row r="1455" spans="1:29" ht="30" customHeight="1" x14ac:dyDescent="0.3">
      <c r="A1455" s="5"/>
      <c r="B1455" s="5"/>
      <c r="C1455" s="5"/>
      <c r="D1455" s="5"/>
      <c r="E1455" s="5"/>
      <c r="F1455" s="9"/>
      <c r="G1455" s="5"/>
      <c r="H1455" s="5"/>
      <c r="I1455" s="5"/>
      <c r="J1455" s="5"/>
      <c r="K1455" s="5"/>
      <c r="L1455" s="5"/>
      <c r="M1455" s="5"/>
      <c r="N1455" s="5"/>
      <c r="O1455" s="5"/>
    </row>
    <row r="1456" spans="1:29" ht="30" customHeight="1" x14ac:dyDescent="0.3">
      <c r="A1456" s="5"/>
      <c r="B1456" s="5"/>
      <c r="C1456" s="5"/>
      <c r="D1456" s="5"/>
      <c r="E1456" s="5"/>
      <c r="F1456" s="9"/>
      <c r="G1456" s="5"/>
      <c r="H1456" s="5"/>
      <c r="I1456" s="5"/>
      <c r="J1456" s="5"/>
      <c r="K1456" s="5"/>
      <c r="L1456" s="5"/>
      <c r="M1456" s="5"/>
      <c r="N1456" s="5"/>
      <c r="O1456" s="5"/>
    </row>
    <row r="1457" spans="1:29" ht="30" customHeight="1" x14ac:dyDescent="0.3">
      <c r="A1457" s="5"/>
      <c r="B1457" s="5"/>
      <c r="C1457" s="5"/>
      <c r="D1457" s="5"/>
      <c r="E1457" s="5"/>
      <c r="F1457" s="9"/>
      <c r="G1457" s="5"/>
      <c r="H1457" s="5"/>
      <c r="I1457" s="5"/>
      <c r="J1457" s="5"/>
      <c r="K1457" s="5"/>
      <c r="L1457" s="5"/>
      <c r="M1457" s="5"/>
      <c r="N1457" s="5"/>
      <c r="O1457" s="5"/>
    </row>
    <row r="1458" spans="1:29" ht="30" customHeight="1" x14ac:dyDescent="0.3">
      <c r="A1458" s="5"/>
      <c r="B1458" s="5"/>
      <c r="C1458" s="5"/>
      <c r="D1458" s="5"/>
      <c r="E1458" s="5"/>
      <c r="F1458" s="9"/>
      <c r="G1458" s="5"/>
      <c r="H1458" s="5"/>
      <c r="I1458" s="5"/>
      <c r="J1458" s="5"/>
      <c r="K1458" s="5"/>
      <c r="L1458" s="5"/>
      <c r="M1458" s="5"/>
      <c r="N1458" s="5"/>
      <c r="O1458" s="5"/>
    </row>
    <row r="1459" spans="1:29" ht="30" customHeight="1" x14ac:dyDescent="0.3">
      <c r="A1459" s="5"/>
      <c r="B1459" s="5"/>
      <c r="C1459" s="5" t="s">
        <v>162</v>
      </c>
      <c r="D1459" s="5"/>
      <c r="E1459" s="5"/>
      <c r="F1459" s="9"/>
      <c r="G1459" s="5"/>
      <c r="H1459" s="5">
        <f>SUMIF(AC1435:AC1458, 1, H1435:H1458)</f>
        <v>2653860</v>
      </c>
      <c r="I1459" s="5"/>
      <c r="J1459" s="5">
        <f>SUMIF(AC1435:AC1458, 1, J1435:J1458)</f>
        <v>2019000</v>
      </c>
      <c r="K1459" s="5"/>
      <c r="L1459" s="5">
        <f>SUMIF(AC1435:AC1458, 1, L1435:L1458)</f>
        <v>0</v>
      </c>
      <c r="M1459" s="5"/>
      <c r="N1459" s="5">
        <f>H1459+J1459+L1459</f>
        <v>4672860</v>
      </c>
      <c r="O1459" s="5"/>
    </row>
    <row r="1460" spans="1:29" ht="30" customHeight="1" x14ac:dyDescent="0.3">
      <c r="A1460" s="5"/>
      <c r="B1460" s="5"/>
      <c r="C1460" s="10" t="s">
        <v>1835</v>
      </c>
      <c r="D1460" s="10"/>
      <c r="E1460" s="10"/>
      <c r="F1460" s="11"/>
      <c r="G1460" s="10"/>
      <c r="H1460" s="10"/>
      <c r="I1460" s="10"/>
      <c r="J1460" s="10"/>
      <c r="K1460" s="10"/>
      <c r="L1460" s="10"/>
      <c r="M1460" s="10"/>
      <c r="N1460" s="10"/>
      <c r="O1460" s="10"/>
    </row>
    <row r="1461" spans="1:29" ht="30" customHeight="1" x14ac:dyDescent="0.3">
      <c r="A1461" s="8" t="s">
        <v>1836</v>
      </c>
      <c r="B1461" s="8" t="s">
        <v>1837</v>
      </c>
      <c r="C1461" s="8" t="s">
        <v>1838</v>
      </c>
      <c r="D1461" s="8" t="s">
        <v>20</v>
      </c>
      <c r="E1461" s="8" t="s">
        <v>721</v>
      </c>
      <c r="F1461" s="9">
        <v>1</v>
      </c>
      <c r="G1461" s="5">
        <f>TRUNC([1]단가대비표!O809,0)</f>
        <v>3400000</v>
      </c>
      <c r="H1461" s="5">
        <f t="shared" ref="H1461:H1485" si="132">TRUNC(F1461*G1461,0)</f>
        <v>3400000</v>
      </c>
      <c r="I1461" s="5">
        <v>1200000</v>
      </c>
      <c r="J1461" s="5">
        <f t="shared" ref="J1461:J1485" si="133">TRUNC(F1461*I1461,0)</f>
        <v>1200000</v>
      </c>
      <c r="K1461" s="5">
        <v>0</v>
      </c>
      <c r="L1461" s="5">
        <f t="shared" ref="L1461:L1485" si="134">TRUNC(F1461*K1461,0)</f>
        <v>0</v>
      </c>
      <c r="M1461" s="5">
        <f t="shared" ref="M1461:N1485" si="135">G1461+I1461+K1461</f>
        <v>4600000</v>
      </c>
      <c r="N1461" s="5">
        <f t="shared" si="135"/>
        <v>4600000</v>
      </c>
      <c r="O1461" s="8" t="s">
        <v>20</v>
      </c>
      <c r="T1461">
        <v>0</v>
      </c>
      <c r="AC1461">
        <v>1</v>
      </c>
    </row>
    <row r="1462" spans="1:29" ht="30" customHeight="1" x14ac:dyDescent="0.3">
      <c r="A1462" s="8" t="s">
        <v>1836</v>
      </c>
      <c r="B1462" s="8" t="s">
        <v>1839</v>
      </c>
      <c r="C1462" s="8" t="s">
        <v>1840</v>
      </c>
      <c r="D1462" s="8" t="s">
        <v>1841</v>
      </c>
      <c r="E1462" s="8" t="s">
        <v>168</v>
      </c>
      <c r="F1462" s="9">
        <v>22</v>
      </c>
      <c r="G1462" s="5">
        <f>TRUNC([1]단가대비표!O810,0)</f>
        <v>699</v>
      </c>
      <c r="H1462" s="5">
        <f t="shared" si="132"/>
        <v>15378</v>
      </c>
      <c r="I1462" s="5">
        <v>0</v>
      </c>
      <c r="J1462" s="5">
        <f t="shared" si="133"/>
        <v>0</v>
      </c>
      <c r="K1462" s="5">
        <v>0</v>
      </c>
      <c r="L1462" s="5">
        <f t="shared" si="134"/>
        <v>0</v>
      </c>
      <c r="M1462" s="5">
        <f t="shared" si="135"/>
        <v>699</v>
      </c>
      <c r="N1462" s="5">
        <f t="shared" si="135"/>
        <v>15378</v>
      </c>
      <c r="O1462" s="8" t="s">
        <v>20</v>
      </c>
      <c r="T1462">
        <v>0</v>
      </c>
      <c r="AC1462">
        <v>1</v>
      </c>
    </row>
    <row r="1463" spans="1:29" ht="30" customHeight="1" x14ac:dyDescent="0.3">
      <c r="A1463" s="8" t="s">
        <v>1836</v>
      </c>
      <c r="B1463" s="8" t="s">
        <v>1842</v>
      </c>
      <c r="C1463" s="8" t="s">
        <v>1840</v>
      </c>
      <c r="D1463" s="8" t="s">
        <v>1843</v>
      </c>
      <c r="E1463" s="8" t="s">
        <v>168</v>
      </c>
      <c r="F1463" s="9">
        <v>113</v>
      </c>
      <c r="G1463" s="5">
        <f>TRUNC([1]단가대비표!O811,0)</f>
        <v>840</v>
      </c>
      <c r="H1463" s="5">
        <f t="shared" si="132"/>
        <v>94920</v>
      </c>
      <c r="I1463" s="5">
        <v>0</v>
      </c>
      <c r="J1463" s="5">
        <f t="shared" si="133"/>
        <v>0</v>
      </c>
      <c r="K1463" s="5">
        <v>0</v>
      </c>
      <c r="L1463" s="5">
        <f t="shared" si="134"/>
        <v>0</v>
      </c>
      <c r="M1463" s="5">
        <f t="shared" si="135"/>
        <v>840</v>
      </c>
      <c r="N1463" s="5">
        <f t="shared" si="135"/>
        <v>94920</v>
      </c>
      <c r="O1463" s="8" t="s">
        <v>20</v>
      </c>
      <c r="T1463">
        <v>0</v>
      </c>
      <c r="AC1463">
        <v>1</v>
      </c>
    </row>
    <row r="1464" spans="1:29" ht="30" customHeight="1" x14ac:dyDescent="0.3">
      <c r="A1464" s="8" t="s">
        <v>1836</v>
      </c>
      <c r="B1464" s="8" t="s">
        <v>1844</v>
      </c>
      <c r="C1464" s="8" t="s">
        <v>1840</v>
      </c>
      <c r="D1464" s="8" t="s">
        <v>1845</v>
      </c>
      <c r="E1464" s="8" t="s">
        <v>168</v>
      </c>
      <c r="F1464" s="9">
        <v>33</v>
      </c>
      <c r="G1464" s="5">
        <f>TRUNC([1]단가대비표!O812,0)</f>
        <v>2258</v>
      </c>
      <c r="H1464" s="5">
        <f t="shared" si="132"/>
        <v>74514</v>
      </c>
      <c r="I1464" s="5">
        <v>0</v>
      </c>
      <c r="J1464" s="5">
        <f t="shared" si="133"/>
        <v>0</v>
      </c>
      <c r="K1464" s="5">
        <v>0</v>
      </c>
      <c r="L1464" s="5">
        <f t="shared" si="134"/>
        <v>0</v>
      </c>
      <c r="M1464" s="5">
        <f t="shared" si="135"/>
        <v>2258</v>
      </c>
      <c r="N1464" s="5">
        <f t="shared" si="135"/>
        <v>74514</v>
      </c>
      <c r="O1464" s="8" t="s">
        <v>20</v>
      </c>
      <c r="T1464">
        <v>0</v>
      </c>
      <c r="AC1464">
        <v>1</v>
      </c>
    </row>
    <row r="1465" spans="1:29" ht="30" customHeight="1" x14ac:dyDescent="0.3">
      <c r="A1465" s="8" t="s">
        <v>1836</v>
      </c>
      <c r="B1465" s="8" t="s">
        <v>1846</v>
      </c>
      <c r="C1465" s="8" t="s">
        <v>1847</v>
      </c>
      <c r="D1465" s="8" t="s">
        <v>1848</v>
      </c>
      <c r="E1465" s="8" t="s">
        <v>721</v>
      </c>
      <c r="F1465" s="9">
        <v>1</v>
      </c>
      <c r="G1465" s="5">
        <f>TRUNC([1]단가대비표!O813,0)</f>
        <v>27721</v>
      </c>
      <c r="H1465" s="5">
        <f t="shared" si="132"/>
        <v>27721</v>
      </c>
      <c r="I1465" s="5">
        <v>0</v>
      </c>
      <c r="J1465" s="5">
        <f t="shared" si="133"/>
        <v>0</v>
      </c>
      <c r="K1465" s="5">
        <v>0</v>
      </c>
      <c r="L1465" s="5">
        <f t="shared" si="134"/>
        <v>0</v>
      </c>
      <c r="M1465" s="5">
        <f t="shared" si="135"/>
        <v>27721</v>
      </c>
      <c r="N1465" s="5">
        <f t="shared" si="135"/>
        <v>27721</v>
      </c>
      <c r="O1465" s="8" t="s">
        <v>20</v>
      </c>
      <c r="T1465">
        <v>0</v>
      </c>
      <c r="AC1465">
        <v>1</v>
      </c>
    </row>
    <row r="1466" spans="1:29" ht="30" customHeight="1" x14ac:dyDescent="0.3">
      <c r="A1466" s="8" t="s">
        <v>1836</v>
      </c>
      <c r="B1466" s="8" t="s">
        <v>1849</v>
      </c>
      <c r="C1466" s="8" t="s">
        <v>1850</v>
      </c>
      <c r="D1466" s="8" t="s">
        <v>1851</v>
      </c>
      <c r="E1466" s="8" t="s">
        <v>168</v>
      </c>
      <c r="F1466" s="9">
        <v>45</v>
      </c>
      <c r="G1466" s="5">
        <f>TRUNC([1]단가대비표!O814,0)</f>
        <v>2707</v>
      </c>
      <c r="H1466" s="5">
        <f t="shared" si="132"/>
        <v>121815</v>
      </c>
      <c r="I1466" s="5">
        <v>4100</v>
      </c>
      <c r="J1466" s="5">
        <f t="shared" si="133"/>
        <v>184500</v>
      </c>
      <c r="K1466" s="5">
        <v>0</v>
      </c>
      <c r="L1466" s="5">
        <f t="shared" si="134"/>
        <v>0</v>
      </c>
      <c r="M1466" s="5">
        <f t="shared" si="135"/>
        <v>6807</v>
      </c>
      <c r="N1466" s="5">
        <f t="shared" si="135"/>
        <v>306315</v>
      </c>
      <c r="O1466" s="8" t="s">
        <v>20</v>
      </c>
      <c r="T1466">
        <v>0</v>
      </c>
      <c r="AC1466">
        <v>1</v>
      </c>
    </row>
    <row r="1467" spans="1:29" ht="30" customHeight="1" x14ac:dyDescent="0.3">
      <c r="A1467" s="8" t="s">
        <v>1836</v>
      </c>
      <c r="B1467" s="8" t="s">
        <v>1852</v>
      </c>
      <c r="C1467" s="8" t="s">
        <v>1850</v>
      </c>
      <c r="D1467" s="8" t="s">
        <v>1853</v>
      </c>
      <c r="E1467" s="8" t="s">
        <v>168</v>
      </c>
      <c r="F1467" s="9">
        <v>116</v>
      </c>
      <c r="G1467" s="5">
        <f>TRUNC([1]단가대비표!O815,0)</f>
        <v>3418</v>
      </c>
      <c r="H1467" s="5">
        <f t="shared" si="132"/>
        <v>396488</v>
      </c>
      <c r="I1467" s="5">
        <v>5100</v>
      </c>
      <c r="J1467" s="5">
        <f t="shared" si="133"/>
        <v>591600</v>
      </c>
      <c r="K1467" s="5">
        <v>0</v>
      </c>
      <c r="L1467" s="5">
        <f t="shared" si="134"/>
        <v>0</v>
      </c>
      <c r="M1467" s="5">
        <f t="shared" si="135"/>
        <v>8518</v>
      </c>
      <c r="N1467" s="5">
        <f t="shared" si="135"/>
        <v>988088</v>
      </c>
      <c r="O1467" s="8" t="s">
        <v>20</v>
      </c>
      <c r="T1467">
        <v>0</v>
      </c>
      <c r="AC1467">
        <v>1</v>
      </c>
    </row>
    <row r="1468" spans="1:29" ht="30" customHeight="1" x14ac:dyDescent="0.3">
      <c r="A1468" s="8" t="s">
        <v>1836</v>
      </c>
      <c r="B1468" s="8" t="s">
        <v>1854</v>
      </c>
      <c r="C1468" s="8" t="s">
        <v>1850</v>
      </c>
      <c r="D1468" s="8" t="s">
        <v>1855</v>
      </c>
      <c r="E1468" s="8" t="s">
        <v>168</v>
      </c>
      <c r="F1468" s="9">
        <v>15</v>
      </c>
      <c r="G1468" s="5">
        <f>TRUNC([1]단가대비표!O816,0)</f>
        <v>1748</v>
      </c>
      <c r="H1468" s="5">
        <f t="shared" si="132"/>
        <v>26220</v>
      </c>
      <c r="I1468" s="5">
        <v>2600</v>
      </c>
      <c r="J1468" s="5">
        <f t="shared" si="133"/>
        <v>39000</v>
      </c>
      <c r="K1468" s="5">
        <v>0</v>
      </c>
      <c r="L1468" s="5">
        <f t="shared" si="134"/>
        <v>0</v>
      </c>
      <c r="M1468" s="5">
        <f t="shared" si="135"/>
        <v>4348</v>
      </c>
      <c r="N1468" s="5">
        <f t="shared" si="135"/>
        <v>65220</v>
      </c>
      <c r="O1468" s="8" t="s">
        <v>20</v>
      </c>
      <c r="T1468">
        <v>0</v>
      </c>
      <c r="AC1468">
        <v>1</v>
      </c>
    </row>
    <row r="1469" spans="1:29" ht="30" customHeight="1" x14ac:dyDescent="0.3">
      <c r="A1469" s="8" t="s">
        <v>1836</v>
      </c>
      <c r="B1469" s="8" t="s">
        <v>1856</v>
      </c>
      <c r="C1469" s="8" t="s">
        <v>1850</v>
      </c>
      <c r="D1469" s="8" t="s">
        <v>1857</v>
      </c>
      <c r="E1469" s="8" t="s">
        <v>168</v>
      </c>
      <c r="F1469" s="9">
        <v>34</v>
      </c>
      <c r="G1469" s="5">
        <f>TRUNC([1]단가대비표!O817,0)</f>
        <v>3366</v>
      </c>
      <c r="H1469" s="5">
        <f t="shared" si="132"/>
        <v>114444</v>
      </c>
      <c r="I1469" s="5">
        <v>5000</v>
      </c>
      <c r="J1469" s="5">
        <f t="shared" si="133"/>
        <v>170000</v>
      </c>
      <c r="K1469" s="5">
        <v>0</v>
      </c>
      <c r="L1469" s="5">
        <f t="shared" si="134"/>
        <v>0</v>
      </c>
      <c r="M1469" s="5">
        <f t="shared" si="135"/>
        <v>8366</v>
      </c>
      <c r="N1469" s="5">
        <f t="shared" si="135"/>
        <v>284444</v>
      </c>
      <c r="O1469" s="8" t="s">
        <v>20</v>
      </c>
      <c r="T1469">
        <v>0</v>
      </c>
      <c r="AC1469">
        <v>1</v>
      </c>
    </row>
    <row r="1470" spans="1:29" ht="30" customHeight="1" x14ac:dyDescent="0.3">
      <c r="A1470" s="8" t="s">
        <v>1836</v>
      </c>
      <c r="B1470" s="8" t="s">
        <v>1858</v>
      </c>
      <c r="C1470" s="8" t="s">
        <v>1850</v>
      </c>
      <c r="D1470" s="8" t="s">
        <v>1859</v>
      </c>
      <c r="E1470" s="8" t="s">
        <v>168</v>
      </c>
      <c r="F1470" s="9">
        <v>29</v>
      </c>
      <c r="G1470" s="5">
        <f>TRUNC([1]단가대비표!O818,0)</f>
        <v>4791</v>
      </c>
      <c r="H1470" s="5">
        <f t="shared" si="132"/>
        <v>138939</v>
      </c>
      <c r="I1470" s="5">
        <v>7200</v>
      </c>
      <c r="J1470" s="5">
        <f t="shared" si="133"/>
        <v>208800</v>
      </c>
      <c r="K1470" s="5">
        <v>0</v>
      </c>
      <c r="L1470" s="5">
        <f t="shared" si="134"/>
        <v>0</v>
      </c>
      <c r="M1470" s="5">
        <f t="shared" si="135"/>
        <v>11991</v>
      </c>
      <c r="N1470" s="5">
        <f t="shared" si="135"/>
        <v>347739</v>
      </c>
      <c r="O1470" s="8" t="s">
        <v>20</v>
      </c>
      <c r="T1470">
        <v>0</v>
      </c>
      <c r="AC1470">
        <v>1</v>
      </c>
    </row>
    <row r="1471" spans="1:29" ht="30" customHeight="1" x14ac:dyDescent="0.3">
      <c r="A1471" s="8" t="s">
        <v>1836</v>
      </c>
      <c r="B1471" s="8" t="s">
        <v>1860</v>
      </c>
      <c r="C1471" s="8" t="s">
        <v>1850</v>
      </c>
      <c r="D1471" s="8" t="s">
        <v>1861</v>
      </c>
      <c r="E1471" s="8" t="s">
        <v>168</v>
      </c>
      <c r="F1471" s="9">
        <v>66</v>
      </c>
      <c r="G1471" s="5">
        <f>TRUNC([1]단가대비표!O819,0)</f>
        <v>680</v>
      </c>
      <c r="H1471" s="5">
        <f t="shared" si="132"/>
        <v>44880</v>
      </c>
      <c r="I1471" s="5">
        <v>1000</v>
      </c>
      <c r="J1471" s="5">
        <f t="shared" si="133"/>
        <v>66000</v>
      </c>
      <c r="K1471" s="5">
        <v>0</v>
      </c>
      <c r="L1471" s="5">
        <f t="shared" si="134"/>
        <v>0</v>
      </c>
      <c r="M1471" s="5">
        <f t="shared" si="135"/>
        <v>1680</v>
      </c>
      <c r="N1471" s="5">
        <f t="shared" si="135"/>
        <v>110880</v>
      </c>
      <c r="O1471" s="8" t="s">
        <v>20</v>
      </c>
      <c r="T1471">
        <v>0</v>
      </c>
      <c r="AC1471">
        <v>1</v>
      </c>
    </row>
    <row r="1472" spans="1:29" ht="30" customHeight="1" x14ac:dyDescent="0.3">
      <c r="A1472" s="8" t="s">
        <v>1836</v>
      </c>
      <c r="B1472" s="8" t="s">
        <v>1862</v>
      </c>
      <c r="C1472" s="8" t="s">
        <v>1863</v>
      </c>
      <c r="D1472" s="8" t="s">
        <v>1864</v>
      </c>
      <c r="E1472" s="8" t="s">
        <v>168</v>
      </c>
      <c r="F1472" s="9">
        <v>5.0999999999999996</v>
      </c>
      <c r="G1472" s="5">
        <f>TRUNC([1]단가대비표!O820,0)</f>
        <v>14175</v>
      </c>
      <c r="H1472" s="5">
        <f t="shared" si="132"/>
        <v>72292</v>
      </c>
      <c r="I1472" s="5">
        <v>21300</v>
      </c>
      <c r="J1472" s="5">
        <f t="shared" si="133"/>
        <v>108630</v>
      </c>
      <c r="K1472" s="5">
        <v>0</v>
      </c>
      <c r="L1472" s="5">
        <f t="shared" si="134"/>
        <v>0</v>
      </c>
      <c r="M1472" s="5">
        <f t="shared" si="135"/>
        <v>35475</v>
      </c>
      <c r="N1472" s="5">
        <f t="shared" si="135"/>
        <v>180922</v>
      </c>
      <c r="O1472" s="8" t="s">
        <v>20</v>
      </c>
      <c r="T1472">
        <v>0</v>
      </c>
      <c r="AC1472">
        <v>1</v>
      </c>
    </row>
    <row r="1473" spans="1:29" ht="30" customHeight="1" x14ac:dyDescent="0.3">
      <c r="A1473" s="8" t="s">
        <v>1836</v>
      </c>
      <c r="B1473" s="8" t="s">
        <v>1865</v>
      </c>
      <c r="C1473" s="8" t="s">
        <v>1866</v>
      </c>
      <c r="D1473" s="8" t="s">
        <v>1867</v>
      </c>
      <c r="E1473" s="8" t="s">
        <v>179</v>
      </c>
      <c r="F1473" s="9">
        <v>5</v>
      </c>
      <c r="G1473" s="5">
        <f>TRUNC([1]단가대비표!O821,0)</f>
        <v>81000</v>
      </c>
      <c r="H1473" s="5">
        <f t="shared" si="132"/>
        <v>405000</v>
      </c>
      <c r="I1473" s="5">
        <v>121500</v>
      </c>
      <c r="J1473" s="5">
        <f t="shared" si="133"/>
        <v>607500</v>
      </c>
      <c r="K1473" s="5">
        <v>0</v>
      </c>
      <c r="L1473" s="5">
        <f t="shared" si="134"/>
        <v>0</v>
      </c>
      <c r="M1473" s="5">
        <f t="shared" si="135"/>
        <v>202500</v>
      </c>
      <c r="N1473" s="5">
        <f t="shared" si="135"/>
        <v>1012500</v>
      </c>
      <c r="O1473" s="8" t="s">
        <v>20</v>
      </c>
      <c r="T1473">
        <v>0</v>
      </c>
      <c r="AC1473">
        <v>1</v>
      </c>
    </row>
    <row r="1474" spans="1:29" ht="30" customHeight="1" x14ac:dyDescent="0.3">
      <c r="A1474" s="8" t="s">
        <v>1836</v>
      </c>
      <c r="B1474" s="8" t="s">
        <v>1868</v>
      </c>
      <c r="C1474" s="8" t="s">
        <v>1869</v>
      </c>
      <c r="D1474" s="8" t="s">
        <v>1870</v>
      </c>
      <c r="E1474" s="8" t="s">
        <v>428</v>
      </c>
      <c r="F1474" s="9">
        <v>2</v>
      </c>
      <c r="G1474" s="5">
        <f>TRUNC([1]단가대비표!O822,0)</f>
        <v>6000</v>
      </c>
      <c r="H1474" s="5">
        <f t="shared" si="132"/>
        <v>12000</v>
      </c>
      <c r="I1474" s="5">
        <v>5400</v>
      </c>
      <c r="J1474" s="5">
        <f t="shared" si="133"/>
        <v>10800</v>
      </c>
      <c r="K1474" s="5">
        <v>0</v>
      </c>
      <c r="L1474" s="5">
        <f t="shared" si="134"/>
        <v>0</v>
      </c>
      <c r="M1474" s="5">
        <f t="shared" si="135"/>
        <v>11400</v>
      </c>
      <c r="N1474" s="5">
        <f t="shared" si="135"/>
        <v>22800</v>
      </c>
      <c r="O1474" s="8" t="s">
        <v>20</v>
      </c>
      <c r="T1474">
        <v>0</v>
      </c>
      <c r="AC1474">
        <v>1</v>
      </c>
    </row>
    <row r="1475" spans="1:29" ht="30" customHeight="1" x14ac:dyDescent="0.3">
      <c r="A1475" s="8" t="s">
        <v>1836</v>
      </c>
      <c r="B1475" s="8" t="s">
        <v>1871</v>
      </c>
      <c r="C1475" s="8" t="s">
        <v>1872</v>
      </c>
      <c r="D1475" s="8" t="s">
        <v>1841</v>
      </c>
      <c r="E1475" s="8" t="s">
        <v>168</v>
      </c>
      <c r="F1475" s="9">
        <v>3</v>
      </c>
      <c r="G1475" s="5">
        <f>TRUNC([1]단가대비표!O823,0)</f>
        <v>1671</v>
      </c>
      <c r="H1475" s="5">
        <f t="shared" si="132"/>
        <v>5013</v>
      </c>
      <c r="I1475" s="5">
        <v>2500</v>
      </c>
      <c r="J1475" s="5">
        <f t="shared" si="133"/>
        <v>7500</v>
      </c>
      <c r="K1475" s="5">
        <v>0</v>
      </c>
      <c r="L1475" s="5">
        <f t="shared" si="134"/>
        <v>0</v>
      </c>
      <c r="M1475" s="5">
        <f t="shared" si="135"/>
        <v>4171</v>
      </c>
      <c r="N1475" s="5">
        <f t="shared" si="135"/>
        <v>12513</v>
      </c>
      <c r="O1475" s="8" t="s">
        <v>20</v>
      </c>
      <c r="T1475">
        <v>0</v>
      </c>
      <c r="AC1475">
        <v>1</v>
      </c>
    </row>
    <row r="1476" spans="1:29" ht="30" customHeight="1" x14ac:dyDescent="0.3">
      <c r="A1476" s="8" t="s">
        <v>1836</v>
      </c>
      <c r="B1476" s="8" t="s">
        <v>1873</v>
      </c>
      <c r="C1476" s="8" t="s">
        <v>1872</v>
      </c>
      <c r="D1476" s="8" t="s">
        <v>1843</v>
      </c>
      <c r="E1476" s="8" t="s">
        <v>168</v>
      </c>
      <c r="F1476" s="9">
        <v>12</v>
      </c>
      <c r="G1476" s="5">
        <f>TRUNC([1]단가대비표!O824,0)</f>
        <v>2387</v>
      </c>
      <c r="H1476" s="5">
        <f t="shared" si="132"/>
        <v>28644</v>
      </c>
      <c r="I1476" s="5">
        <v>3600</v>
      </c>
      <c r="J1476" s="5">
        <f t="shared" si="133"/>
        <v>43200</v>
      </c>
      <c r="K1476" s="5">
        <v>0</v>
      </c>
      <c r="L1476" s="5">
        <f t="shared" si="134"/>
        <v>0</v>
      </c>
      <c r="M1476" s="5">
        <f t="shared" si="135"/>
        <v>5987</v>
      </c>
      <c r="N1476" s="5">
        <f t="shared" si="135"/>
        <v>71844</v>
      </c>
      <c r="O1476" s="8" t="s">
        <v>20</v>
      </c>
      <c r="T1476">
        <v>0</v>
      </c>
      <c r="AC1476">
        <v>1</v>
      </c>
    </row>
    <row r="1477" spans="1:29" ht="30" customHeight="1" x14ac:dyDescent="0.3">
      <c r="A1477" s="8" t="s">
        <v>1836</v>
      </c>
      <c r="B1477" s="8" t="s">
        <v>1874</v>
      </c>
      <c r="C1477" s="8" t="s">
        <v>1875</v>
      </c>
      <c r="D1477" s="8" t="s">
        <v>1841</v>
      </c>
      <c r="E1477" s="8" t="s">
        <v>179</v>
      </c>
      <c r="F1477" s="9">
        <v>6</v>
      </c>
      <c r="G1477" s="5">
        <f>TRUNC([1]단가대비표!O825,0)</f>
        <v>1025</v>
      </c>
      <c r="H1477" s="5">
        <f t="shared" si="132"/>
        <v>6150</v>
      </c>
      <c r="I1477" s="5">
        <v>1500</v>
      </c>
      <c r="J1477" s="5">
        <f t="shared" si="133"/>
        <v>9000</v>
      </c>
      <c r="K1477" s="5">
        <v>0</v>
      </c>
      <c r="L1477" s="5">
        <f t="shared" si="134"/>
        <v>0</v>
      </c>
      <c r="M1477" s="5">
        <f t="shared" si="135"/>
        <v>2525</v>
      </c>
      <c r="N1477" s="5">
        <f t="shared" si="135"/>
        <v>15150</v>
      </c>
      <c r="O1477" s="8" t="s">
        <v>20</v>
      </c>
      <c r="T1477">
        <v>0</v>
      </c>
      <c r="AC1477">
        <v>1</v>
      </c>
    </row>
    <row r="1478" spans="1:29" ht="30" customHeight="1" x14ac:dyDescent="0.3">
      <c r="A1478" s="8" t="s">
        <v>1836</v>
      </c>
      <c r="B1478" s="8" t="s">
        <v>1876</v>
      </c>
      <c r="C1478" s="8" t="s">
        <v>1875</v>
      </c>
      <c r="D1478" s="8" t="s">
        <v>1843</v>
      </c>
      <c r="E1478" s="8" t="s">
        <v>179</v>
      </c>
      <c r="F1478" s="9">
        <v>22</v>
      </c>
      <c r="G1478" s="5">
        <f>TRUNC([1]단가대비표!O826,0)</f>
        <v>1422</v>
      </c>
      <c r="H1478" s="5">
        <f t="shared" si="132"/>
        <v>31284</v>
      </c>
      <c r="I1478" s="5">
        <v>2100</v>
      </c>
      <c r="J1478" s="5">
        <f t="shared" si="133"/>
        <v>46200</v>
      </c>
      <c r="K1478" s="5">
        <v>0</v>
      </c>
      <c r="L1478" s="5">
        <f t="shared" si="134"/>
        <v>0</v>
      </c>
      <c r="M1478" s="5">
        <f t="shared" si="135"/>
        <v>3522</v>
      </c>
      <c r="N1478" s="5">
        <f t="shared" si="135"/>
        <v>77484</v>
      </c>
      <c r="O1478" s="8" t="s">
        <v>20</v>
      </c>
      <c r="T1478">
        <v>0</v>
      </c>
      <c r="AC1478">
        <v>1</v>
      </c>
    </row>
    <row r="1479" spans="1:29" ht="30" customHeight="1" x14ac:dyDescent="0.3">
      <c r="A1479" s="8" t="s">
        <v>1836</v>
      </c>
      <c r="B1479" s="8" t="s">
        <v>1877</v>
      </c>
      <c r="C1479" s="8" t="s">
        <v>1878</v>
      </c>
      <c r="D1479" s="8" t="s">
        <v>1841</v>
      </c>
      <c r="E1479" s="8" t="s">
        <v>476</v>
      </c>
      <c r="F1479" s="9">
        <v>17</v>
      </c>
      <c r="G1479" s="5">
        <f>TRUNC([1]단가대비표!O827,0)</f>
        <v>1025</v>
      </c>
      <c r="H1479" s="5">
        <f t="shared" si="132"/>
        <v>17425</v>
      </c>
      <c r="I1479" s="5">
        <v>1500</v>
      </c>
      <c r="J1479" s="5">
        <f t="shared" si="133"/>
        <v>25500</v>
      </c>
      <c r="K1479" s="5">
        <v>0</v>
      </c>
      <c r="L1479" s="5">
        <f t="shared" si="134"/>
        <v>0</v>
      </c>
      <c r="M1479" s="5">
        <f t="shared" si="135"/>
        <v>2525</v>
      </c>
      <c r="N1479" s="5">
        <f t="shared" si="135"/>
        <v>42925</v>
      </c>
      <c r="O1479" s="8" t="s">
        <v>20</v>
      </c>
      <c r="T1479">
        <v>0</v>
      </c>
      <c r="AC1479">
        <v>1</v>
      </c>
    </row>
    <row r="1480" spans="1:29" ht="30" customHeight="1" x14ac:dyDescent="0.3">
      <c r="A1480" s="8" t="s">
        <v>1836</v>
      </c>
      <c r="B1480" s="8" t="s">
        <v>1879</v>
      </c>
      <c r="C1480" s="8" t="s">
        <v>1878</v>
      </c>
      <c r="D1480" s="8" t="s">
        <v>1843</v>
      </c>
      <c r="E1480" s="8" t="s">
        <v>476</v>
      </c>
      <c r="F1480" s="9">
        <v>86</v>
      </c>
      <c r="G1480" s="5">
        <f>TRUNC([1]단가대비표!O828,0)</f>
        <v>1136</v>
      </c>
      <c r="H1480" s="5">
        <f t="shared" si="132"/>
        <v>97696</v>
      </c>
      <c r="I1480" s="5">
        <v>1700</v>
      </c>
      <c r="J1480" s="5">
        <f t="shared" si="133"/>
        <v>146200</v>
      </c>
      <c r="K1480" s="5">
        <v>0</v>
      </c>
      <c r="L1480" s="5">
        <f t="shared" si="134"/>
        <v>0</v>
      </c>
      <c r="M1480" s="5">
        <f t="shared" si="135"/>
        <v>2836</v>
      </c>
      <c r="N1480" s="5">
        <f t="shared" si="135"/>
        <v>243896</v>
      </c>
      <c r="O1480" s="8" t="s">
        <v>20</v>
      </c>
      <c r="T1480">
        <v>0</v>
      </c>
      <c r="AC1480">
        <v>1</v>
      </c>
    </row>
    <row r="1481" spans="1:29" ht="30" customHeight="1" x14ac:dyDescent="0.3">
      <c r="A1481" s="8" t="s">
        <v>1836</v>
      </c>
      <c r="B1481" s="8" t="s">
        <v>1880</v>
      </c>
      <c r="C1481" s="8" t="s">
        <v>1878</v>
      </c>
      <c r="D1481" s="8" t="s">
        <v>1845</v>
      </c>
      <c r="E1481" s="8" t="s">
        <v>476</v>
      </c>
      <c r="F1481" s="9">
        <v>20</v>
      </c>
      <c r="G1481" s="5">
        <f>TRUNC([1]단가대비표!O829,0)</f>
        <v>1492</v>
      </c>
      <c r="H1481" s="5">
        <f t="shared" si="132"/>
        <v>29840</v>
      </c>
      <c r="I1481" s="5">
        <v>2200</v>
      </c>
      <c r="J1481" s="5">
        <f t="shared" si="133"/>
        <v>44000</v>
      </c>
      <c r="K1481" s="5">
        <v>0</v>
      </c>
      <c r="L1481" s="5">
        <f t="shared" si="134"/>
        <v>0</v>
      </c>
      <c r="M1481" s="5">
        <f t="shared" si="135"/>
        <v>3692</v>
      </c>
      <c r="N1481" s="5">
        <f t="shared" si="135"/>
        <v>73840</v>
      </c>
      <c r="O1481" s="8" t="s">
        <v>20</v>
      </c>
      <c r="T1481">
        <v>0</v>
      </c>
      <c r="AC1481">
        <v>1</v>
      </c>
    </row>
    <row r="1482" spans="1:29" ht="30" customHeight="1" x14ac:dyDescent="0.3">
      <c r="A1482" s="8" t="s">
        <v>1836</v>
      </c>
      <c r="B1482" s="8" t="s">
        <v>1881</v>
      </c>
      <c r="C1482" s="8" t="s">
        <v>1882</v>
      </c>
      <c r="D1482" s="8" t="s">
        <v>20</v>
      </c>
      <c r="E1482" s="8" t="s">
        <v>428</v>
      </c>
      <c r="F1482" s="9">
        <v>5</v>
      </c>
      <c r="G1482" s="5">
        <f>TRUNC([1]단가대비표!O830,0)</f>
        <v>73000</v>
      </c>
      <c r="H1482" s="5">
        <f t="shared" si="132"/>
        <v>365000</v>
      </c>
      <c r="I1482" s="5">
        <v>68850</v>
      </c>
      <c r="J1482" s="5">
        <f t="shared" si="133"/>
        <v>344250</v>
      </c>
      <c r="K1482" s="5">
        <v>0</v>
      </c>
      <c r="L1482" s="5">
        <f t="shared" si="134"/>
        <v>0</v>
      </c>
      <c r="M1482" s="5">
        <f t="shared" si="135"/>
        <v>141850</v>
      </c>
      <c r="N1482" s="5">
        <f t="shared" si="135"/>
        <v>709250</v>
      </c>
      <c r="O1482" s="8" t="s">
        <v>20</v>
      </c>
      <c r="T1482">
        <v>0</v>
      </c>
      <c r="AC1482">
        <v>1</v>
      </c>
    </row>
    <row r="1483" spans="1:29" ht="30" customHeight="1" x14ac:dyDescent="0.3">
      <c r="A1483" s="8" t="s">
        <v>1836</v>
      </c>
      <c r="B1483" s="8" t="s">
        <v>1883</v>
      </c>
      <c r="C1483" s="8" t="s">
        <v>1884</v>
      </c>
      <c r="D1483" s="8" t="s">
        <v>1885</v>
      </c>
      <c r="E1483" s="8" t="s">
        <v>476</v>
      </c>
      <c r="F1483" s="9">
        <v>6</v>
      </c>
      <c r="G1483" s="5">
        <f>TRUNC([1]단가대비표!O831,0)</f>
        <v>71000</v>
      </c>
      <c r="H1483" s="5">
        <f t="shared" si="132"/>
        <v>426000</v>
      </c>
      <c r="I1483" s="5">
        <v>67500</v>
      </c>
      <c r="J1483" s="5">
        <f t="shared" si="133"/>
        <v>405000</v>
      </c>
      <c r="K1483" s="5">
        <v>0</v>
      </c>
      <c r="L1483" s="5">
        <f t="shared" si="134"/>
        <v>0</v>
      </c>
      <c r="M1483" s="5">
        <f t="shared" si="135"/>
        <v>138500</v>
      </c>
      <c r="N1483" s="5">
        <f t="shared" si="135"/>
        <v>831000</v>
      </c>
      <c r="O1483" s="8" t="s">
        <v>20</v>
      </c>
      <c r="T1483">
        <v>0</v>
      </c>
      <c r="AC1483">
        <v>1</v>
      </c>
    </row>
    <row r="1484" spans="1:29" ht="30" customHeight="1" x14ac:dyDescent="0.3">
      <c r="A1484" s="8" t="s">
        <v>1836</v>
      </c>
      <c r="B1484" s="8" t="s">
        <v>1886</v>
      </c>
      <c r="C1484" s="8" t="s">
        <v>1887</v>
      </c>
      <c r="D1484" s="8" t="s">
        <v>1888</v>
      </c>
      <c r="E1484" s="8" t="s">
        <v>476</v>
      </c>
      <c r="F1484" s="9">
        <v>1</v>
      </c>
      <c r="G1484" s="5">
        <f>TRUNC([1]단가대비표!O832,0)</f>
        <v>7000</v>
      </c>
      <c r="H1484" s="5">
        <f t="shared" si="132"/>
        <v>7000</v>
      </c>
      <c r="I1484" s="5">
        <v>6750</v>
      </c>
      <c r="J1484" s="5">
        <f t="shared" si="133"/>
        <v>6750</v>
      </c>
      <c r="K1484" s="5">
        <v>0</v>
      </c>
      <c r="L1484" s="5">
        <f t="shared" si="134"/>
        <v>0</v>
      </c>
      <c r="M1484" s="5">
        <f t="shared" si="135"/>
        <v>13750</v>
      </c>
      <c r="N1484" s="5">
        <f t="shared" si="135"/>
        <v>13750</v>
      </c>
      <c r="O1484" s="8" t="s">
        <v>20</v>
      </c>
      <c r="T1484">
        <v>0</v>
      </c>
      <c r="AC1484">
        <v>1</v>
      </c>
    </row>
    <row r="1485" spans="1:29" ht="30" customHeight="1" x14ac:dyDescent="0.3">
      <c r="A1485" s="8" t="s">
        <v>1836</v>
      </c>
      <c r="B1485" s="8" t="s">
        <v>1889</v>
      </c>
      <c r="C1485" s="8" t="s">
        <v>1810</v>
      </c>
      <c r="D1485" s="8" t="s">
        <v>1811</v>
      </c>
      <c r="E1485" s="8" t="s">
        <v>161</v>
      </c>
      <c r="F1485" s="9">
        <v>1</v>
      </c>
      <c r="G1485" s="5">
        <f>TRUNC([1]단가대비표!O833,0)</f>
        <v>30827</v>
      </c>
      <c r="H1485" s="5">
        <f t="shared" si="132"/>
        <v>30827</v>
      </c>
      <c r="I1485" s="5">
        <v>0</v>
      </c>
      <c r="J1485" s="5">
        <f t="shared" si="133"/>
        <v>0</v>
      </c>
      <c r="K1485" s="5">
        <v>0</v>
      </c>
      <c r="L1485" s="5">
        <f t="shared" si="134"/>
        <v>0</v>
      </c>
      <c r="M1485" s="5">
        <f t="shared" si="135"/>
        <v>30827</v>
      </c>
      <c r="N1485" s="5">
        <f t="shared" si="135"/>
        <v>30827</v>
      </c>
      <c r="O1485" s="8" t="s">
        <v>20</v>
      </c>
      <c r="T1485">
        <v>0</v>
      </c>
      <c r="AC1485">
        <v>1</v>
      </c>
    </row>
    <row r="1486" spans="1:29" ht="30" customHeight="1" x14ac:dyDescent="0.3">
      <c r="A1486" s="8" t="s">
        <v>1836</v>
      </c>
      <c r="B1486" s="8" t="s">
        <v>1890</v>
      </c>
      <c r="C1486" s="8"/>
      <c r="D1486" s="8"/>
      <c r="E1486" s="8"/>
      <c r="F1486" s="9"/>
      <c r="G1486" s="5"/>
      <c r="H1486" s="5"/>
      <c r="I1486" s="5"/>
      <c r="J1486" s="5"/>
      <c r="K1486" s="5"/>
      <c r="L1486" s="5"/>
      <c r="M1486" s="5"/>
      <c r="N1486" s="5"/>
      <c r="O1486" s="8"/>
      <c r="T1486">
        <v>0</v>
      </c>
      <c r="AC1486">
        <v>1</v>
      </c>
    </row>
    <row r="1487" spans="1:29" ht="30" customHeight="1" x14ac:dyDescent="0.3">
      <c r="A1487" s="5"/>
      <c r="B1487" s="5"/>
      <c r="C1487" s="5"/>
      <c r="D1487" s="5"/>
      <c r="E1487" s="5"/>
      <c r="F1487" s="9"/>
      <c r="G1487" s="5"/>
      <c r="H1487" s="5"/>
      <c r="I1487" s="5"/>
      <c r="J1487" s="5"/>
      <c r="K1487" s="5"/>
      <c r="L1487" s="5"/>
      <c r="M1487" s="5"/>
      <c r="N1487" s="5"/>
      <c r="O1487" s="5"/>
    </row>
    <row r="1488" spans="1:29" ht="30" customHeight="1" x14ac:dyDescent="0.3">
      <c r="A1488" s="5"/>
      <c r="B1488" s="5"/>
      <c r="C1488" s="5"/>
      <c r="D1488" s="5"/>
      <c r="E1488" s="5"/>
      <c r="F1488" s="9"/>
      <c r="G1488" s="5"/>
      <c r="H1488" s="5"/>
      <c r="I1488" s="5"/>
      <c r="J1488" s="5"/>
      <c r="K1488" s="5"/>
      <c r="L1488" s="5"/>
      <c r="M1488" s="5"/>
      <c r="N1488" s="5"/>
      <c r="O1488" s="5"/>
    </row>
    <row r="1489" spans="1:15" ht="30" customHeight="1" x14ac:dyDescent="0.3">
      <c r="A1489" s="5"/>
      <c r="B1489" s="5"/>
      <c r="C1489" s="5"/>
      <c r="D1489" s="5"/>
      <c r="E1489" s="5"/>
      <c r="F1489" s="9"/>
      <c r="G1489" s="5"/>
      <c r="H1489" s="5"/>
      <c r="I1489" s="5"/>
      <c r="J1489" s="5"/>
      <c r="K1489" s="5"/>
      <c r="L1489" s="5"/>
      <c r="M1489" s="5"/>
      <c r="N1489" s="5"/>
      <c r="O1489" s="5"/>
    </row>
    <row r="1490" spans="1:15" ht="30" customHeight="1" x14ac:dyDescent="0.3">
      <c r="A1490" s="5"/>
      <c r="B1490" s="5"/>
      <c r="C1490" s="5"/>
      <c r="D1490" s="5"/>
      <c r="E1490" s="5"/>
      <c r="F1490" s="9"/>
      <c r="G1490" s="5"/>
      <c r="H1490" s="5"/>
      <c r="I1490" s="5"/>
      <c r="J1490" s="5"/>
      <c r="K1490" s="5"/>
      <c r="L1490" s="5"/>
      <c r="M1490" s="5"/>
      <c r="N1490" s="5"/>
      <c r="O1490" s="5"/>
    </row>
    <row r="1491" spans="1:15" ht="30" customHeight="1" x14ac:dyDescent="0.3">
      <c r="A1491" s="5"/>
      <c r="B1491" s="5"/>
      <c r="C1491" s="5"/>
      <c r="D1491" s="5"/>
      <c r="E1491" s="5"/>
      <c r="F1491" s="9"/>
      <c r="G1491" s="5"/>
      <c r="H1491" s="5"/>
      <c r="I1491" s="5"/>
      <c r="J1491" s="5"/>
      <c r="K1491" s="5"/>
      <c r="L1491" s="5"/>
      <c r="M1491" s="5"/>
      <c r="N1491" s="5"/>
      <c r="O1491" s="5"/>
    </row>
    <row r="1492" spans="1:15" ht="30" customHeight="1" x14ac:dyDescent="0.3">
      <c r="A1492" s="5"/>
      <c r="B1492" s="5"/>
      <c r="C1492" s="5"/>
      <c r="D1492" s="5"/>
      <c r="E1492" s="5"/>
      <c r="F1492" s="9"/>
      <c r="G1492" s="5"/>
      <c r="H1492" s="5"/>
      <c r="I1492" s="5"/>
      <c r="J1492" s="5"/>
      <c r="K1492" s="5"/>
      <c r="L1492" s="5"/>
      <c r="M1492" s="5"/>
      <c r="N1492" s="5"/>
      <c r="O1492" s="5"/>
    </row>
    <row r="1493" spans="1:15" ht="30" customHeight="1" x14ac:dyDescent="0.3">
      <c r="A1493" s="5"/>
      <c r="B1493" s="5"/>
      <c r="C1493" s="5"/>
      <c r="D1493" s="5"/>
      <c r="E1493" s="5"/>
      <c r="F1493" s="9"/>
      <c r="G1493" s="5"/>
      <c r="H1493" s="5"/>
      <c r="I1493" s="5"/>
      <c r="J1493" s="5"/>
      <c r="K1493" s="5"/>
      <c r="L1493" s="5"/>
      <c r="M1493" s="5"/>
      <c r="N1493" s="5"/>
      <c r="O1493" s="5"/>
    </row>
    <row r="1494" spans="1:15" ht="30" customHeight="1" x14ac:dyDescent="0.3">
      <c r="A1494" s="5"/>
      <c r="B1494" s="5"/>
      <c r="C1494" s="5"/>
      <c r="D1494" s="5"/>
      <c r="E1494" s="5"/>
      <c r="F1494" s="9"/>
      <c r="G1494" s="5"/>
      <c r="H1494" s="5"/>
      <c r="I1494" s="5"/>
      <c r="J1494" s="5"/>
      <c r="K1494" s="5"/>
      <c r="L1494" s="5"/>
      <c r="M1494" s="5"/>
      <c r="N1494" s="5"/>
      <c r="O1494" s="5"/>
    </row>
    <row r="1495" spans="1:15" ht="30" customHeight="1" x14ac:dyDescent="0.3">
      <c r="A1495" s="5"/>
      <c r="B1495" s="5"/>
      <c r="C1495" s="5"/>
      <c r="D1495" s="5"/>
      <c r="E1495" s="5"/>
      <c r="F1495" s="9"/>
      <c r="G1495" s="5"/>
      <c r="H1495" s="5"/>
      <c r="I1495" s="5"/>
      <c r="J1495" s="5"/>
      <c r="K1495" s="5"/>
      <c r="L1495" s="5"/>
      <c r="M1495" s="5"/>
      <c r="N1495" s="5"/>
      <c r="O1495" s="5"/>
    </row>
    <row r="1496" spans="1:15" ht="30" customHeight="1" x14ac:dyDescent="0.3">
      <c r="A1496" s="5"/>
      <c r="B1496" s="5"/>
      <c r="C1496" s="5"/>
      <c r="D1496" s="5"/>
      <c r="E1496" s="5"/>
      <c r="F1496" s="9"/>
      <c r="G1496" s="5"/>
      <c r="H1496" s="5"/>
      <c r="I1496" s="5"/>
      <c r="J1496" s="5"/>
      <c r="K1496" s="5"/>
      <c r="L1496" s="5"/>
      <c r="M1496" s="5"/>
      <c r="N1496" s="5"/>
      <c r="O1496" s="5"/>
    </row>
    <row r="1497" spans="1:15" ht="30" customHeight="1" x14ac:dyDescent="0.3">
      <c r="A1497" s="5"/>
      <c r="B1497" s="5"/>
      <c r="C1497" s="5"/>
      <c r="D1497" s="5"/>
      <c r="E1497" s="5"/>
      <c r="F1497" s="9"/>
      <c r="G1497" s="5"/>
      <c r="H1497" s="5"/>
      <c r="I1497" s="5"/>
      <c r="J1497" s="5"/>
      <c r="K1497" s="5"/>
      <c r="L1497" s="5"/>
      <c r="M1497" s="5"/>
      <c r="N1497" s="5"/>
      <c r="O1497" s="5"/>
    </row>
    <row r="1498" spans="1:15" ht="30" customHeight="1" x14ac:dyDescent="0.3">
      <c r="A1498" s="5"/>
      <c r="B1498" s="5"/>
      <c r="C1498" s="5"/>
      <c r="D1498" s="5"/>
      <c r="E1498" s="5"/>
      <c r="F1498" s="9"/>
      <c r="G1498" s="5"/>
      <c r="H1498" s="5"/>
      <c r="I1498" s="5"/>
      <c r="J1498" s="5"/>
      <c r="K1498" s="5"/>
      <c r="L1498" s="5"/>
      <c r="M1498" s="5"/>
      <c r="N1498" s="5"/>
      <c r="O1498" s="5"/>
    </row>
    <row r="1499" spans="1:15" ht="30" customHeight="1" x14ac:dyDescent="0.3">
      <c r="A1499" s="5"/>
      <c r="B1499" s="5"/>
      <c r="C1499" s="5"/>
      <c r="D1499" s="5"/>
      <c r="E1499" s="5"/>
      <c r="F1499" s="9"/>
      <c r="G1499" s="5"/>
      <c r="H1499" s="5"/>
      <c r="I1499" s="5"/>
      <c r="J1499" s="5"/>
      <c r="K1499" s="5"/>
      <c r="L1499" s="5"/>
      <c r="M1499" s="5"/>
      <c r="N1499" s="5"/>
      <c r="O1499" s="5"/>
    </row>
    <row r="1500" spans="1:15" ht="30" customHeight="1" x14ac:dyDescent="0.3">
      <c r="A1500" s="5"/>
      <c r="B1500" s="5"/>
      <c r="C1500" s="5"/>
      <c r="D1500" s="5"/>
      <c r="E1500" s="5"/>
      <c r="F1500" s="9"/>
      <c r="G1500" s="5"/>
      <c r="H1500" s="5"/>
      <c r="I1500" s="5"/>
      <c r="J1500" s="5"/>
      <c r="K1500" s="5"/>
      <c r="L1500" s="5"/>
      <c r="M1500" s="5"/>
      <c r="N1500" s="5"/>
      <c r="O1500" s="5"/>
    </row>
    <row r="1501" spans="1:15" ht="30" customHeight="1" x14ac:dyDescent="0.3">
      <c r="A1501" s="5"/>
      <c r="B1501" s="5"/>
      <c r="C1501" s="5"/>
      <c r="D1501" s="5"/>
      <c r="E1501" s="5"/>
      <c r="F1501" s="9"/>
      <c r="G1501" s="5"/>
      <c r="H1501" s="5"/>
      <c r="I1501" s="5"/>
      <c r="J1501" s="5"/>
      <c r="K1501" s="5"/>
      <c r="L1501" s="5"/>
      <c r="M1501" s="5"/>
      <c r="N1501" s="5"/>
      <c r="O1501" s="5"/>
    </row>
    <row r="1502" spans="1:15" ht="30" customHeight="1" x14ac:dyDescent="0.3">
      <c r="A1502" s="5"/>
      <c r="B1502" s="5"/>
      <c r="C1502" s="5"/>
      <c r="D1502" s="5"/>
      <c r="E1502" s="5"/>
      <c r="F1502" s="9"/>
      <c r="G1502" s="5"/>
      <c r="H1502" s="5"/>
      <c r="I1502" s="5"/>
      <c r="J1502" s="5"/>
      <c r="K1502" s="5"/>
      <c r="L1502" s="5"/>
      <c r="M1502" s="5"/>
      <c r="N1502" s="5"/>
      <c r="O1502" s="5"/>
    </row>
    <row r="1503" spans="1:15" ht="30" customHeight="1" x14ac:dyDescent="0.3">
      <c r="A1503" s="5"/>
      <c r="B1503" s="5"/>
      <c r="C1503" s="5"/>
      <c r="D1503" s="5"/>
      <c r="E1503" s="5"/>
      <c r="F1503" s="9"/>
      <c r="G1503" s="5"/>
      <c r="H1503" s="5"/>
      <c r="I1503" s="5"/>
      <c r="J1503" s="5"/>
      <c r="K1503" s="5"/>
      <c r="L1503" s="5"/>
      <c r="M1503" s="5"/>
      <c r="N1503" s="5"/>
      <c r="O1503" s="5"/>
    </row>
    <row r="1504" spans="1:15" ht="30" customHeight="1" x14ac:dyDescent="0.3">
      <c r="A1504" s="5"/>
      <c r="B1504" s="5"/>
      <c r="C1504" s="5"/>
      <c r="D1504" s="5"/>
      <c r="E1504" s="5"/>
      <c r="F1504" s="9"/>
      <c r="G1504" s="5"/>
      <c r="H1504" s="5"/>
      <c r="I1504" s="5"/>
      <c r="J1504" s="5"/>
      <c r="K1504" s="5"/>
      <c r="L1504" s="5"/>
      <c r="M1504" s="5"/>
      <c r="N1504" s="5"/>
      <c r="O1504" s="5"/>
    </row>
    <row r="1505" spans="1:29" ht="30" customHeight="1" x14ac:dyDescent="0.3">
      <c r="A1505" s="5"/>
      <c r="B1505" s="5"/>
      <c r="C1505" s="5"/>
      <c r="D1505" s="5"/>
      <c r="E1505" s="5"/>
      <c r="F1505" s="9"/>
      <c r="G1505" s="5"/>
      <c r="H1505" s="5"/>
      <c r="I1505" s="5"/>
      <c r="J1505" s="5"/>
      <c r="K1505" s="5"/>
      <c r="L1505" s="5"/>
      <c r="M1505" s="5"/>
      <c r="N1505" s="5"/>
      <c r="O1505" s="5"/>
    </row>
    <row r="1506" spans="1:29" ht="30" customHeight="1" x14ac:dyDescent="0.3">
      <c r="A1506" s="5"/>
      <c r="B1506" s="5"/>
      <c r="C1506" s="5"/>
      <c r="D1506" s="5"/>
      <c r="E1506" s="5"/>
      <c r="F1506" s="9"/>
      <c r="G1506" s="5"/>
      <c r="H1506" s="5"/>
      <c r="I1506" s="5"/>
      <c r="J1506" s="5"/>
      <c r="K1506" s="5"/>
      <c r="L1506" s="5"/>
      <c r="M1506" s="5"/>
      <c r="N1506" s="5"/>
      <c r="O1506" s="5"/>
    </row>
    <row r="1507" spans="1:29" ht="30" customHeight="1" x14ac:dyDescent="0.3">
      <c r="A1507" s="5"/>
      <c r="B1507" s="5"/>
      <c r="C1507" s="5"/>
      <c r="D1507" s="5"/>
      <c r="E1507" s="5"/>
      <c r="F1507" s="9"/>
      <c r="G1507" s="5"/>
      <c r="H1507" s="5"/>
      <c r="I1507" s="5"/>
      <c r="J1507" s="5"/>
      <c r="K1507" s="5"/>
      <c r="L1507" s="5"/>
      <c r="M1507" s="5"/>
      <c r="N1507" s="5"/>
      <c r="O1507" s="5"/>
    </row>
    <row r="1508" spans="1:29" ht="30" customHeight="1" x14ac:dyDescent="0.3">
      <c r="A1508" s="5"/>
      <c r="B1508" s="5"/>
      <c r="C1508" s="5"/>
      <c r="D1508" s="5"/>
      <c r="E1508" s="5"/>
      <c r="F1508" s="9"/>
      <c r="G1508" s="5"/>
      <c r="H1508" s="5"/>
      <c r="I1508" s="5"/>
      <c r="J1508" s="5"/>
      <c r="K1508" s="5"/>
      <c r="L1508" s="5"/>
      <c r="M1508" s="5"/>
      <c r="N1508" s="5"/>
      <c r="O1508" s="5"/>
    </row>
    <row r="1509" spans="1:29" ht="30" customHeight="1" x14ac:dyDescent="0.3">
      <c r="A1509" s="5"/>
      <c r="B1509" s="5"/>
      <c r="C1509" s="5"/>
      <c r="D1509" s="5"/>
      <c r="E1509" s="5"/>
      <c r="F1509" s="9"/>
      <c r="G1509" s="5"/>
      <c r="H1509" s="5"/>
      <c r="I1509" s="5"/>
      <c r="J1509" s="5"/>
      <c r="K1509" s="5"/>
      <c r="L1509" s="5"/>
      <c r="M1509" s="5"/>
      <c r="N1509" s="5"/>
      <c r="O1509" s="5"/>
    </row>
    <row r="1510" spans="1:29" ht="30" customHeight="1" x14ac:dyDescent="0.3">
      <c r="A1510" s="5"/>
      <c r="B1510" s="5"/>
      <c r="C1510" s="5"/>
      <c r="D1510" s="5"/>
      <c r="E1510" s="5"/>
      <c r="F1510" s="9"/>
      <c r="G1510" s="5"/>
      <c r="H1510" s="5"/>
      <c r="I1510" s="5"/>
      <c r="J1510" s="5"/>
      <c r="K1510" s="5"/>
      <c r="L1510" s="5"/>
      <c r="M1510" s="5"/>
      <c r="N1510" s="5"/>
      <c r="O1510" s="5"/>
    </row>
    <row r="1511" spans="1:29" ht="30" customHeight="1" x14ac:dyDescent="0.3">
      <c r="A1511" s="5"/>
      <c r="B1511" s="5"/>
      <c r="C1511" s="5" t="s">
        <v>162</v>
      </c>
      <c r="D1511" s="5"/>
      <c r="E1511" s="5"/>
      <c r="F1511" s="9"/>
      <c r="G1511" s="5"/>
      <c r="H1511" s="5">
        <f>SUMIF(AC1461:AC1510, 1, H1461:H1510)</f>
        <v>5989490</v>
      </c>
      <c r="I1511" s="5"/>
      <c r="J1511" s="5">
        <f>SUMIF(AC1461:AC1510, 1, J1461:J1510)</f>
        <v>4264430</v>
      </c>
      <c r="K1511" s="5"/>
      <c r="L1511" s="5">
        <f>SUMIF(AC1461:AC1510, 1, L1461:L1510)</f>
        <v>0</v>
      </c>
      <c r="M1511" s="5"/>
      <c r="N1511" s="5">
        <f>H1511+J1511+L1511</f>
        <v>10253920</v>
      </c>
      <c r="O1511" s="5"/>
    </row>
    <row r="1512" spans="1:29" ht="30" customHeight="1" x14ac:dyDescent="0.3">
      <c r="A1512" s="5"/>
      <c r="B1512" s="5"/>
      <c r="C1512" s="6" t="s">
        <v>1891</v>
      </c>
      <c r="D1512" s="6"/>
      <c r="E1512" s="6"/>
      <c r="F1512" s="7"/>
      <c r="G1512" s="6"/>
      <c r="H1512" s="6"/>
      <c r="I1512" s="6"/>
      <c r="J1512" s="6"/>
      <c r="K1512" s="6"/>
      <c r="L1512" s="6"/>
      <c r="M1512" s="6"/>
      <c r="N1512" s="6"/>
      <c r="O1512" s="6"/>
    </row>
    <row r="1513" spans="1:29" ht="30" customHeight="1" x14ac:dyDescent="0.3">
      <c r="A1513" s="8" t="s">
        <v>1892</v>
      </c>
      <c r="B1513" s="8" t="s">
        <v>1893</v>
      </c>
      <c r="C1513" s="8" t="s">
        <v>1894</v>
      </c>
      <c r="D1513" s="8" t="s">
        <v>20</v>
      </c>
      <c r="E1513" s="8" t="s">
        <v>20</v>
      </c>
      <c r="F1513" s="9">
        <v>0</v>
      </c>
      <c r="G1513" s="5">
        <f>TRUNC([1]단가대비표!O1175,0)</f>
        <v>0</v>
      </c>
      <c r="H1513" s="5">
        <f t="shared" ref="H1513:H1562" si="136">TRUNC(F1513*G1513,0)</f>
        <v>0</v>
      </c>
      <c r="I1513" s="5">
        <v>0</v>
      </c>
      <c r="J1513" s="5">
        <f t="shared" ref="J1513:J1562" si="137">TRUNC(F1513*I1513,0)</f>
        <v>0</v>
      </c>
      <c r="K1513" s="5">
        <v>0</v>
      </c>
      <c r="L1513" s="5">
        <f t="shared" ref="L1513:L1562" si="138">TRUNC(F1513*K1513,0)</f>
        <v>0</v>
      </c>
      <c r="M1513" s="5">
        <f t="shared" ref="M1513:N1544" si="139">G1513+I1513+K1513</f>
        <v>0</v>
      </c>
      <c r="N1513" s="5">
        <f t="shared" si="139"/>
        <v>0</v>
      </c>
      <c r="O1513" s="8" t="s">
        <v>20</v>
      </c>
      <c r="T1513">
        <v>0</v>
      </c>
      <c r="AC1513">
        <v>1</v>
      </c>
    </row>
    <row r="1514" spans="1:29" ht="30" customHeight="1" x14ac:dyDescent="0.3">
      <c r="A1514" s="8" t="s">
        <v>1892</v>
      </c>
      <c r="B1514" s="8" t="s">
        <v>1895</v>
      </c>
      <c r="C1514" s="8" t="s">
        <v>1896</v>
      </c>
      <c r="D1514" s="8" t="s">
        <v>1897</v>
      </c>
      <c r="E1514" s="8" t="s">
        <v>19</v>
      </c>
      <c r="F1514" s="9">
        <v>2</v>
      </c>
      <c r="G1514" s="5">
        <f>TRUNC([1]단가대비표!O1176,0)</f>
        <v>1520000</v>
      </c>
      <c r="H1514" s="5">
        <f t="shared" si="136"/>
        <v>3040000</v>
      </c>
      <c r="I1514" s="5">
        <v>0</v>
      </c>
      <c r="J1514" s="5">
        <f t="shared" si="137"/>
        <v>0</v>
      </c>
      <c r="K1514" s="5">
        <v>0</v>
      </c>
      <c r="L1514" s="5">
        <f t="shared" si="138"/>
        <v>0</v>
      </c>
      <c r="M1514" s="5">
        <f t="shared" si="139"/>
        <v>1520000</v>
      </c>
      <c r="N1514" s="5">
        <f t="shared" si="139"/>
        <v>3040000</v>
      </c>
      <c r="O1514" s="8" t="s">
        <v>20</v>
      </c>
      <c r="T1514">
        <v>0</v>
      </c>
      <c r="AC1514">
        <v>1</v>
      </c>
    </row>
    <row r="1515" spans="1:29" ht="30" customHeight="1" x14ac:dyDescent="0.3">
      <c r="A1515" s="8" t="s">
        <v>1892</v>
      </c>
      <c r="B1515" s="8" t="s">
        <v>1898</v>
      </c>
      <c r="C1515" s="8" t="s">
        <v>1899</v>
      </c>
      <c r="D1515" s="8" t="s">
        <v>1900</v>
      </c>
      <c r="E1515" s="8" t="s">
        <v>19</v>
      </c>
      <c r="F1515" s="9">
        <v>1</v>
      </c>
      <c r="G1515" s="5">
        <f>TRUNC([1]단가대비표!O1177,0)</f>
        <v>978000</v>
      </c>
      <c r="H1515" s="5">
        <f t="shared" si="136"/>
        <v>978000</v>
      </c>
      <c r="I1515" s="5">
        <v>0</v>
      </c>
      <c r="J1515" s="5">
        <f t="shared" si="137"/>
        <v>0</v>
      </c>
      <c r="K1515" s="5">
        <v>0</v>
      </c>
      <c r="L1515" s="5">
        <f t="shared" si="138"/>
        <v>0</v>
      </c>
      <c r="M1515" s="5">
        <f t="shared" si="139"/>
        <v>978000</v>
      </c>
      <c r="N1515" s="5">
        <f t="shared" si="139"/>
        <v>978000</v>
      </c>
      <c r="O1515" s="8" t="s">
        <v>20</v>
      </c>
      <c r="T1515">
        <v>0</v>
      </c>
      <c r="AC1515">
        <v>1</v>
      </c>
    </row>
    <row r="1516" spans="1:29" ht="30" customHeight="1" x14ac:dyDescent="0.3">
      <c r="A1516" s="8" t="s">
        <v>1892</v>
      </c>
      <c r="B1516" s="8" t="s">
        <v>1901</v>
      </c>
      <c r="C1516" s="8" t="s">
        <v>1902</v>
      </c>
      <c r="D1516" s="8" t="s">
        <v>20</v>
      </c>
      <c r="E1516" s="8" t="s">
        <v>19</v>
      </c>
      <c r="F1516" s="9">
        <v>0</v>
      </c>
      <c r="G1516" s="5">
        <v>0</v>
      </c>
      <c r="H1516" s="5">
        <f t="shared" si="136"/>
        <v>0</v>
      </c>
      <c r="I1516" s="5">
        <v>0</v>
      </c>
      <c r="J1516" s="5">
        <f t="shared" si="137"/>
        <v>0</v>
      </c>
      <c r="K1516" s="5">
        <v>0</v>
      </c>
      <c r="L1516" s="5">
        <v>3000000</v>
      </c>
      <c r="M1516" s="5">
        <f t="shared" si="139"/>
        <v>0</v>
      </c>
      <c r="N1516" s="5">
        <f t="shared" si="139"/>
        <v>3000000</v>
      </c>
      <c r="O1516" s="8" t="s">
        <v>20</v>
      </c>
      <c r="T1516">
        <v>0</v>
      </c>
      <c r="AC1516">
        <v>1</v>
      </c>
    </row>
    <row r="1517" spans="1:29" ht="30" customHeight="1" x14ac:dyDescent="0.3">
      <c r="A1517" s="8" t="s">
        <v>1892</v>
      </c>
      <c r="B1517" s="8" t="s">
        <v>1903</v>
      </c>
      <c r="C1517" s="8" t="s">
        <v>1904</v>
      </c>
      <c r="D1517" s="8" t="s">
        <v>1905</v>
      </c>
      <c r="E1517" s="8" t="s">
        <v>19</v>
      </c>
      <c r="F1517" s="9">
        <v>1</v>
      </c>
      <c r="G1517" s="5">
        <f>TRUNC([1]단가대비표!O1179,0)</f>
        <v>4000000</v>
      </c>
      <c r="H1517" s="5">
        <f t="shared" si="136"/>
        <v>4000000</v>
      </c>
      <c r="I1517" s="5">
        <v>0</v>
      </c>
      <c r="J1517" s="5">
        <f t="shared" si="137"/>
        <v>0</v>
      </c>
      <c r="K1517" s="5">
        <v>0</v>
      </c>
      <c r="L1517" s="5">
        <f t="shared" si="138"/>
        <v>0</v>
      </c>
      <c r="M1517" s="5">
        <f t="shared" si="139"/>
        <v>4000000</v>
      </c>
      <c r="N1517" s="5">
        <f t="shared" si="139"/>
        <v>4000000</v>
      </c>
      <c r="O1517" s="8" t="s">
        <v>20</v>
      </c>
      <c r="T1517">
        <v>0</v>
      </c>
      <c r="AC1517">
        <v>1</v>
      </c>
    </row>
    <row r="1518" spans="1:29" ht="30" customHeight="1" x14ac:dyDescent="0.3">
      <c r="A1518" s="8" t="s">
        <v>1892</v>
      </c>
      <c r="B1518" s="8" t="s">
        <v>1906</v>
      </c>
      <c r="C1518" s="8" t="s">
        <v>1907</v>
      </c>
      <c r="D1518" s="8" t="s">
        <v>1908</v>
      </c>
      <c r="E1518" s="8" t="s">
        <v>19</v>
      </c>
      <c r="F1518" s="9">
        <v>1</v>
      </c>
      <c r="G1518" s="5">
        <f>TRUNC([1]단가대비표!O1180,0)</f>
        <v>4500000</v>
      </c>
      <c r="H1518" s="5">
        <f t="shared" si="136"/>
        <v>4500000</v>
      </c>
      <c r="I1518" s="5">
        <v>0</v>
      </c>
      <c r="J1518" s="5">
        <f t="shared" si="137"/>
        <v>0</v>
      </c>
      <c r="K1518" s="5">
        <v>0</v>
      </c>
      <c r="L1518" s="5">
        <f t="shared" si="138"/>
        <v>0</v>
      </c>
      <c r="M1518" s="5">
        <f t="shared" si="139"/>
        <v>4500000</v>
      </c>
      <c r="N1518" s="5">
        <f t="shared" si="139"/>
        <v>4500000</v>
      </c>
      <c r="O1518" s="8" t="s">
        <v>20</v>
      </c>
      <c r="T1518">
        <v>0</v>
      </c>
      <c r="AC1518">
        <v>1</v>
      </c>
    </row>
    <row r="1519" spans="1:29" ht="30" customHeight="1" x14ac:dyDescent="0.3">
      <c r="A1519" s="8" t="s">
        <v>1892</v>
      </c>
      <c r="B1519" s="8" t="s">
        <v>1909</v>
      </c>
      <c r="C1519" s="8" t="s">
        <v>1910</v>
      </c>
      <c r="D1519" s="8" t="s">
        <v>20</v>
      </c>
      <c r="E1519" s="8" t="s">
        <v>19</v>
      </c>
      <c r="F1519" s="9">
        <v>1</v>
      </c>
      <c r="G1519" s="5">
        <f>TRUNC([1]단가대비표!O1181,0)</f>
        <v>1000000</v>
      </c>
      <c r="H1519" s="5">
        <f t="shared" si="136"/>
        <v>1000000</v>
      </c>
      <c r="I1519" s="5">
        <v>0</v>
      </c>
      <c r="J1519" s="5">
        <f t="shared" si="137"/>
        <v>0</v>
      </c>
      <c r="K1519" s="5">
        <v>0</v>
      </c>
      <c r="L1519" s="5">
        <f t="shared" si="138"/>
        <v>0</v>
      </c>
      <c r="M1519" s="5">
        <f t="shared" si="139"/>
        <v>1000000</v>
      </c>
      <c r="N1519" s="5">
        <f t="shared" si="139"/>
        <v>1000000</v>
      </c>
      <c r="O1519" s="8" t="s">
        <v>20</v>
      </c>
      <c r="T1519">
        <v>0</v>
      </c>
      <c r="AC1519">
        <v>1</v>
      </c>
    </row>
    <row r="1520" spans="1:29" ht="30" customHeight="1" x14ac:dyDescent="0.3">
      <c r="A1520" s="8" t="s">
        <v>1892</v>
      </c>
      <c r="B1520" s="8" t="s">
        <v>1911</v>
      </c>
      <c r="C1520" s="8" t="s">
        <v>1912</v>
      </c>
      <c r="D1520" s="8" t="s">
        <v>20</v>
      </c>
      <c r="E1520" s="8" t="s">
        <v>19</v>
      </c>
      <c r="F1520" s="9">
        <v>1</v>
      </c>
      <c r="G1520" s="5">
        <f>TRUNC([1]단가대비표!O1182,0)</f>
        <v>2700000</v>
      </c>
      <c r="H1520" s="5">
        <f t="shared" si="136"/>
        <v>2700000</v>
      </c>
      <c r="I1520" s="5">
        <v>0</v>
      </c>
      <c r="J1520" s="5">
        <f t="shared" si="137"/>
        <v>0</v>
      </c>
      <c r="K1520" s="5">
        <v>0</v>
      </c>
      <c r="L1520" s="5">
        <f t="shared" si="138"/>
        <v>0</v>
      </c>
      <c r="M1520" s="5">
        <f t="shared" si="139"/>
        <v>2700000</v>
      </c>
      <c r="N1520" s="5">
        <f t="shared" si="139"/>
        <v>2700000</v>
      </c>
      <c r="O1520" s="8" t="s">
        <v>20</v>
      </c>
      <c r="T1520">
        <v>0</v>
      </c>
      <c r="AC1520">
        <v>1</v>
      </c>
    </row>
    <row r="1521" spans="1:29" ht="30" customHeight="1" x14ac:dyDescent="0.3">
      <c r="A1521" s="8" t="s">
        <v>1892</v>
      </c>
      <c r="B1521" s="8" t="s">
        <v>1913</v>
      </c>
      <c r="C1521" s="8" t="s">
        <v>1914</v>
      </c>
      <c r="D1521" s="8" t="s">
        <v>20</v>
      </c>
      <c r="E1521" s="8" t="s">
        <v>20</v>
      </c>
      <c r="F1521" s="9">
        <v>0</v>
      </c>
      <c r="G1521" s="5">
        <f>TRUNC([1]단가대비표!O1183,0)</f>
        <v>0</v>
      </c>
      <c r="H1521" s="5">
        <f t="shared" si="136"/>
        <v>0</v>
      </c>
      <c r="I1521" s="5">
        <v>0</v>
      </c>
      <c r="J1521" s="5">
        <f t="shared" si="137"/>
        <v>0</v>
      </c>
      <c r="K1521" s="5">
        <v>0</v>
      </c>
      <c r="L1521" s="5">
        <f t="shared" si="138"/>
        <v>0</v>
      </c>
      <c r="M1521" s="5">
        <f t="shared" si="139"/>
        <v>0</v>
      </c>
      <c r="N1521" s="5">
        <f t="shared" si="139"/>
        <v>0</v>
      </c>
      <c r="O1521" s="8" t="s">
        <v>20</v>
      </c>
      <c r="T1521">
        <v>0</v>
      </c>
      <c r="AC1521">
        <v>1</v>
      </c>
    </row>
    <row r="1522" spans="1:29" ht="30" customHeight="1" x14ac:dyDescent="0.3">
      <c r="A1522" s="8" t="s">
        <v>1892</v>
      </c>
      <c r="B1522" s="8" t="s">
        <v>1915</v>
      </c>
      <c r="C1522" s="8" t="s">
        <v>1916</v>
      </c>
      <c r="D1522" s="8" t="s">
        <v>1917</v>
      </c>
      <c r="E1522" s="8" t="s">
        <v>168</v>
      </c>
      <c r="F1522" s="9">
        <v>10</v>
      </c>
      <c r="G1522" s="5">
        <f>TRUNC([1]단가대비표!O1184,0)</f>
        <v>12180</v>
      </c>
      <c r="H1522" s="5">
        <f t="shared" si="136"/>
        <v>121800</v>
      </c>
      <c r="I1522" s="5">
        <v>0</v>
      </c>
      <c r="J1522" s="5">
        <f t="shared" si="137"/>
        <v>0</v>
      </c>
      <c r="K1522" s="5">
        <v>0</v>
      </c>
      <c r="L1522" s="5">
        <f t="shared" si="138"/>
        <v>0</v>
      </c>
      <c r="M1522" s="5">
        <f t="shared" si="139"/>
        <v>12180</v>
      </c>
      <c r="N1522" s="5">
        <f t="shared" si="139"/>
        <v>121800</v>
      </c>
      <c r="O1522" s="8" t="s">
        <v>20</v>
      </c>
      <c r="T1522">
        <v>0</v>
      </c>
      <c r="AC1522">
        <v>1</v>
      </c>
    </row>
    <row r="1523" spans="1:29" ht="30" customHeight="1" x14ac:dyDescent="0.3">
      <c r="A1523" s="8" t="s">
        <v>1892</v>
      </c>
      <c r="B1523" s="8" t="s">
        <v>1918</v>
      </c>
      <c r="C1523" s="8" t="s">
        <v>1916</v>
      </c>
      <c r="D1523" s="8" t="s">
        <v>1919</v>
      </c>
      <c r="E1523" s="8" t="s">
        <v>168</v>
      </c>
      <c r="F1523" s="9">
        <v>240</v>
      </c>
      <c r="G1523" s="5">
        <f>TRUNC([1]단가대비표!O1185,0)</f>
        <v>27390</v>
      </c>
      <c r="H1523" s="5">
        <f t="shared" si="136"/>
        <v>6573600</v>
      </c>
      <c r="I1523" s="5">
        <v>0</v>
      </c>
      <c r="J1523" s="5">
        <f t="shared" si="137"/>
        <v>0</v>
      </c>
      <c r="K1523" s="5">
        <v>0</v>
      </c>
      <c r="L1523" s="5">
        <f t="shared" si="138"/>
        <v>0</v>
      </c>
      <c r="M1523" s="5">
        <f t="shared" si="139"/>
        <v>27390</v>
      </c>
      <c r="N1523" s="5">
        <f t="shared" si="139"/>
        <v>6573600</v>
      </c>
      <c r="O1523" s="8" t="s">
        <v>20</v>
      </c>
      <c r="T1523">
        <v>0</v>
      </c>
      <c r="AC1523">
        <v>1</v>
      </c>
    </row>
    <row r="1524" spans="1:29" ht="30" customHeight="1" x14ac:dyDescent="0.3">
      <c r="A1524" s="8" t="s">
        <v>1892</v>
      </c>
      <c r="B1524" s="8" t="s">
        <v>1920</v>
      </c>
      <c r="C1524" s="8" t="s">
        <v>1916</v>
      </c>
      <c r="D1524" s="8" t="s">
        <v>1921</v>
      </c>
      <c r="E1524" s="8" t="s">
        <v>168</v>
      </c>
      <c r="F1524" s="9">
        <v>20</v>
      </c>
      <c r="G1524" s="5">
        <f>TRUNC([1]단가대비표!O1186,0)</f>
        <v>43650</v>
      </c>
      <c r="H1524" s="5">
        <f t="shared" si="136"/>
        <v>873000</v>
      </c>
      <c r="I1524" s="5">
        <v>0</v>
      </c>
      <c r="J1524" s="5">
        <f t="shared" si="137"/>
        <v>0</v>
      </c>
      <c r="K1524" s="5">
        <v>0</v>
      </c>
      <c r="L1524" s="5">
        <f t="shared" si="138"/>
        <v>0</v>
      </c>
      <c r="M1524" s="5">
        <f t="shared" si="139"/>
        <v>43650</v>
      </c>
      <c r="N1524" s="5">
        <f t="shared" si="139"/>
        <v>873000</v>
      </c>
      <c r="O1524" s="8" t="s">
        <v>20</v>
      </c>
      <c r="T1524">
        <v>0</v>
      </c>
      <c r="AC1524">
        <v>1</v>
      </c>
    </row>
    <row r="1525" spans="1:29" ht="30" customHeight="1" x14ac:dyDescent="0.3">
      <c r="A1525" s="8" t="s">
        <v>1892</v>
      </c>
      <c r="B1525" s="8" t="s">
        <v>1922</v>
      </c>
      <c r="C1525" s="8" t="s">
        <v>1923</v>
      </c>
      <c r="D1525" s="8" t="s">
        <v>1924</v>
      </c>
      <c r="E1525" s="8" t="s">
        <v>161</v>
      </c>
      <c r="F1525" s="9">
        <v>1</v>
      </c>
      <c r="G1525" s="5">
        <f>TRUNC([1]단가대비표!O1187,0)</f>
        <v>227052</v>
      </c>
      <c r="H1525" s="5">
        <f t="shared" si="136"/>
        <v>227052</v>
      </c>
      <c r="I1525" s="5">
        <v>0</v>
      </c>
      <c r="J1525" s="5">
        <f t="shared" si="137"/>
        <v>0</v>
      </c>
      <c r="K1525" s="5">
        <v>0</v>
      </c>
      <c r="L1525" s="5">
        <f t="shared" si="138"/>
        <v>0</v>
      </c>
      <c r="M1525" s="5">
        <f t="shared" si="139"/>
        <v>227052</v>
      </c>
      <c r="N1525" s="5">
        <f t="shared" si="139"/>
        <v>227052</v>
      </c>
      <c r="O1525" s="8" t="s">
        <v>20</v>
      </c>
      <c r="T1525">
        <v>0</v>
      </c>
      <c r="AC1525">
        <v>1</v>
      </c>
    </row>
    <row r="1526" spans="1:29" ht="30" customHeight="1" x14ac:dyDescent="0.3">
      <c r="A1526" s="8" t="s">
        <v>1892</v>
      </c>
      <c r="B1526" s="8" t="s">
        <v>1925</v>
      </c>
      <c r="C1526" s="8" t="s">
        <v>1926</v>
      </c>
      <c r="D1526" s="8" t="s">
        <v>640</v>
      </c>
      <c r="E1526" s="8" t="s">
        <v>168</v>
      </c>
      <c r="F1526" s="9">
        <v>15</v>
      </c>
      <c r="G1526" s="5">
        <f>TRUNC([1]단가대비표!O1188,0)</f>
        <v>21520</v>
      </c>
      <c r="H1526" s="5">
        <f t="shared" si="136"/>
        <v>322800</v>
      </c>
      <c r="I1526" s="5">
        <v>0</v>
      </c>
      <c r="J1526" s="5">
        <f t="shared" si="137"/>
        <v>0</v>
      </c>
      <c r="K1526" s="5">
        <v>0</v>
      </c>
      <c r="L1526" s="5">
        <f t="shared" si="138"/>
        <v>0</v>
      </c>
      <c r="M1526" s="5">
        <f t="shared" si="139"/>
        <v>21520</v>
      </c>
      <c r="N1526" s="5">
        <f t="shared" si="139"/>
        <v>322800</v>
      </c>
      <c r="O1526" s="8" t="s">
        <v>20</v>
      </c>
      <c r="T1526">
        <v>0</v>
      </c>
      <c r="AC1526">
        <v>1</v>
      </c>
    </row>
    <row r="1527" spans="1:29" ht="30" customHeight="1" x14ac:dyDescent="0.3">
      <c r="A1527" s="8" t="s">
        <v>1892</v>
      </c>
      <c r="B1527" s="8" t="s">
        <v>1927</v>
      </c>
      <c r="C1527" s="8" t="s">
        <v>1926</v>
      </c>
      <c r="D1527" s="8" t="s">
        <v>348</v>
      </c>
      <c r="E1527" s="8" t="s">
        <v>168</v>
      </c>
      <c r="F1527" s="9">
        <v>20</v>
      </c>
      <c r="G1527" s="5">
        <f>TRUNC([1]단가대비표!O1189,0)</f>
        <v>25660</v>
      </c>
      <c r="H1527" s="5">
        <f t="shared" si="136"/>
        <v>513200</v>
      </c>
      <c r="I1527" s="5">
        <v>0</v>
      </c>
      <c r="J1527" s="5">
        <f t="shared" si="137"/>
        <v>0</v>
      </c>
      <c r="K1527" s="5">
        <v>0</v>
      </c>
      <c r="L1527" s="5">
        <f t="shared" si="138"/>
        <v>0</v>
      </c>
      <c r="M1527" s="5">
        <f t="shared" si="139"/>
        <v>25660</v>
      </c>
      <c r="N1527" s="5">
        <f t="shared" si="139"/>
        <v>513200</v>
      </c>
      <c r="O1527" s="8" t="s">
        <v>20</v>
      </c>
      <c r="T1527">
        <v>0</v>
      </c>
      <c r="AC1527">
        <v>1</v>
      </c>
    </row>
    <row r="1528" spans="1:29" ht="30" customHeight="1" x14ac:dyDescent="0.3">
      <c r="A1528" s="8" t="s">
        <v>1892</v>
      </c>
      <c r="B1528" s="8" t="s">
        <v>1928</v>
      </c>
      <c r="C1528" s="8" t="s">
        <v>252</v>
      </c>
      <c r="D1528" s="8" t="s">
        <v>1929</v>
      </c>
      <c r="E1528" s="8" t="s">
        <v>179</v>
      </c>
      <c r="F1528" s="9">
        <v>5</v>
      </c>
      <c r="G1528" s="5">
        <f>TRUNC([1]단가대비표!O1190,0)</f>
        <v>4130</v>
      </c>
      <c r="H1528" s="5">
        <f t="shared" si="136"/>
        <v>20650</v>
      </c>
      <c r="I1528" s="5">
        <v>0</v>
      </c>
      <c r="J1528" s="5">
        <f t="shared" si="137"/>
        <v>0</v>
      </c>
      <c r="K1528" s="5">
        <v>0</v>
      </c>
      <c r="L1528" s="5">
        <f t="shared" si="138"/>
        <v>0</v>
      </c>
      <c r="M1528" s="5">
        <f t="shared" si="139"/>
        <v>4130</v>
      </c>
      <c r="N1528" s="5">
        <f t="shared" si="139"/>
        <v>20650</v>
      </c>
      <c r="O1528" s="8" t="s">
        <v>20</v>
      </c>
      <c r="T1528">
        <v>0</v>
      </c>
      <c r="AC1528">
        <v>1</v>
      </c>
    </row>
    <row r="1529" spans="1:29" ht="30" customHeight="1" x14ac:dyDescent="0.3">
      <c r="A1529" s="8" t="s">
        <v>1892</v>
      </c>
      <c r="B1529" s="8" t="s">
        <v>1930</v>
      </c>
      <c r="C1529" s="8" t="s">
        <v>252</v>
      </c>
      <c r="D1529" s="8" t="s">
        <v>1931</v>
      </c>
      <c r="E1529" s="8" t="s">
        <v>179</v>
      </c>
      <c r="F1529" s="9">
        <v>8</v>
      </c>
      <c r="G1529" s="5">
        <f>TRUNC([1]단가대비표!O1191,0)</f>
        <v>16240</v>
      </c>
      <c r="H1529" s="5">
        <f t="shared" si="136"/>
        <v>129920</v>
      </c>
      <c r="I1529" s="5">
        <v>0</v>
      </c>
      <c r="J1529" s="5">
        <f t="shared" si="137"/>
        <v>0</v>
      </c>
      <c r="K1529" s="5">
        <v>0</v>
      </c>
      <c r="L1529" s="5">
        <f t="shared" si="138"/>
        <v>0</v>
      </c>
      <c r="M1529" s="5">
        <f t="shared" si="139"/>
        <v>16240</v>
      </c>
      <c r="N1529" s="5">
        <f t="shared" si="139"/>
        <v>129920</v>
      </c>
      <c r="O1529" s="8" t="s">
        <v>20</v>
      </c>
      <c r="T1529">
        <v>0</v>
      </c>
      <c r="AC1529">
        <v>1</v>
      </c>
    </row>
    <row r="1530" spans="1:29" ht="30" customHeight="1" x14ac:dyDescent="0.3">
      <c r="A1530" s="8" t="s">
        <v>1892</v>
      </c>
      <c r="B1530" s="8" t="s">
        <v>1932</v>
      </c>
      <c r="C1530" s="8" t="s">
        <v>252</v>
      </c>
      <c r="D1530" s="8" t="s">
        <v>1592</v>
      </c>
      <c r="E1530" s="8" t="s">
        <v>179</v>
      </c>
      <c r="F1530" s="9">
        <v>10</v>
      </c>
      <c r="G1530" s="5">
        <f>TRUNC([1]단가대비표!O1192,0)</f>
        <v>36630</v>
      </c>
      <c r="H1530" s="5">
        <f t="shared" si="136"/>
        <v>366300</v>
      </c>
      <c r="I1530" s="5">
        <v>0</v>
      </c>
      <c r="J1530" s="5">
        <f t="shared" si="137"/>
        <v>0</v>
      </c>
      <c r="K1530" s="5">
        <v>0</v>
      </c>
      <c r="L1530" s="5">
        <f t="shared" si="138"/>
        <v>0</v>
      </c>
      <c r="M1530" s="5">
        <f t="shared" si="139"/>
        <v>36630</v>
      </c>
      <c r="N1530" s="5">
        <f t="shared" si="139"/>
        <v>366300</v>
      </c>
      <c r="O1530" s="8" t="s">
        <v>20</v>
      </c>
      <c r="T1530">
        <v>0</v>
      </c>
      <c r="AC1530">
        <v>1</v>
      </c>
    </row>
    <row r="1531" spans="1:29" ht="30" customHeight="1" x14ac:dyDescent="0.3">
      <c r="A1531" s="8" t="s">
        <v>1892</v>
      </c>
      <c r="B1531" s="8" t="s">
        <v>1933</v>
      </c>
      <c r="C1531" s="8" t="s">
        <v>252</v>
      </c>
      <c r="D1531" s="8" t="s">
        <v>1934</v>
      </c>
      <c r="E1531" s="8" t="s">
        <v>179</v>
      </c>
      <c r="F1531" s="9">
        <v>4</v>
      </c>
      <c r="G1531" s="5">
        <f>TRUNC([1]단가대비표!O1193,0)</f>
        <v>34510</v>
      </c>
      <c r="H1531" s="5">
        <f t="shared" si="136"/>
        <v>138040</v>
      </c>
      <c r="I1531" s="5">
        <v>0</v>
      </c>
      <c r="J1531" s="5">
        <f t="shared" si="137"/>
        <v>0</v>
      </c>
      <c r="K1531" s="5">
        <v>0</v>
      </c>
      <c r="L1531" s="5">
        <f t="shared" si="138"/>
        <v>0</v>
      </c>
      <c r="M1531" s="5">
        <f t="shared" si="139"/>
        <v>34510</v>
      </c>
      <c r="N1531" s="5">
        <f t="shared" si="139"/>
        <v>138040</v>
      </c>
      <c r="O1531" s="8" t="s">
        <v>20</v>
      </c>
      <c r="T1531">
        <v>0</v>
      </c>
      <c r="AC1531">
        <v>1</v>
      </c>
    </row>
    <row r="1532" spans="1:29" ht="30" customHeight="1" x14ac:dyDescent="0.3">
      <c r="A1532" s="8" t="s">
        <v>1892</v>
      </c>
      <c r="B1532" s="8" t="s">
        <v>1935</v>
      </c>
      <c r="C1532" s="8" t="s">
        <v>252</v>
      </c>
      <c r="D1532" s="8" t="s">
        <v>1936</v>
      </c>
      <c r="E1532" s="8" t="s">
        <v>179</v>
      </c>
      <c r="F1532" s="9">
        <v>4</v>
      </c>
      <c r="G1532" s="5">
        <f>TRUNC([1]단가대비표!O1194,0)</f>
        <v>8900</v>
      </c>
      <c r="H1532" s="5">
        <f t="shared" si="136"/>
        <v>35600</v>
      </c>
      <c r="I1532" s="5">
        <v>0</v>
      </c>
      <c r="J1532" s="5">
        <f t="shared" si="137"/>
        <v>0</v>
      </c>
      <c r="K1532" s="5">
        <v>0</v>
      </c>
      <c r="L1532" s="5">
        <f t="shared" si="138"/>
        <v>0</v>
      </c>
      <c r="M1532" s="5">
        <f t="shared" si="139"/>
        <v>8900</v>
      </c>
      <c r="N1532" s="5">
        <f t="shared" si="139"/>
        <v>35600</v>
      </c>
      <c r="O1532" s="8" t="s">
        <v>20</v>
      </c>
      <c r="T1532">
        <v>0</v>
      </c>
      <c r="AC1532">
        <v>1</v>
      </c>
    </row>
    <row r="1533" spans="1:29" ht="30" customHeight="1" x14ac:dyDescent="0.3">
      <c r="A1533" s="8" t="s">
        <v>1892</v>
      </c>
      <c r="B1533" s="8" t="s">
        <v>1937</v>
      </c>
      <c r="C1533" s="8" t="s">
        <v>1938</v>
      </c>
      <c r="D1533" s="8" t="s">
        <v>1917</v>
      </c>
      <c r="E1533" s="8" t="s">
        <v>168</v>
      </c>
      <c r="F1533" s="9">
        <v>10</v>
      </c>
      <c r="G1533" s="5">
        <f>TRUNC([1]단가대비표!O1195,0)</f>
        <v>5628</v>
      </c>
      <c r="H1533" s="5">
        <f t="shared" si="136"/>
        <v>56280</v>
      </c>
      <c r="I1533" s="5">
        <v>7681</v>
      </c>
      <c r="J1533" s="5">
        <f t="shared" si="137"/>
        <v>76810</v>
      </c>
      <c r="K1533" s="5">
        <v>0</v>
      </c>
      <c r="L1533" s="5">
        <f t="shared" si="138"/>
        <v>0</v>
      </c>
      <c r="M1533" s="5">
        <f t="shared" si="139"/>
        <v>13309</v>
      </c>
      <c r="N1533" s="5">
        <f t="shared" si="139"/>
        <v>133090</v>
      </c>
      <c r="O1533" s="8" t="s">
        <v>20</v>
      </c>
      <c r="T1533">
        <v>0</v>
      </c>
      <c r="AC1533">
        <v>1</v>
      </c>
    </row>
    <row r="1534" spans="1:29" ht="30" customHeight="1" x14ac:dyDescent="0.3">
      <c r="A1534" s="8" t="s">
        <v>1892</v>
      </c>
      <c r="B1534" s="8" t="s">
        <v>1939</v>
      </c>
      <c r="C1534" s="8" t="s">
        <v>1938</v>
      </c>
      <c r="D1534" s="8" t="s">
        <v>1919</v>
      </c>
      <c r="E1534" s="8" t="s">
        <v>168</v>
      </c>
      <c r="F1534" s="9">
        <v>15</v>
      </c>
      <c r="G1534" s="5">
        <f>TRUNC([1]단가대비표!O1196,0)</f>
        <v>10857</v>
      </c>
      <c r="H1534" s="5">
        <f t="shared" si="136"/>
        <v>162855</v>
      </c>
      <c r="I1534" s="5">
        <v>14978</v>
      </c>
      <c r="J1534" s="5">
        <f t="shared" si="137"/>
        <v>224670</v>
      </c>
      <c r="K1534" s="5">
        <v>0</v>
      </c>
      <c r="L1534" s="5">
        <f t="shared" si="138"/>
        <v>0</v>
      </c>
      <c r="M1534" s="5">
        <f t="shared" si="139"/>
        <v>25835</v>
      </c>
      <c r="N1534" s="5">
        <f t="shared" si="139"/>
        <v>387525</v>
      </c>
      <c r="O1534" s="8" t="s">
        <v>20</v>
      </c>
      <c r="T1534">
        <v>0</v>
      </c>
      <c r="AC1534">
        <v>1</v>
      </c>
    </row>
    <row r="1535" spans="1:29" ht="30" customHeight="1" x14ac:dyDescent="0.3">
      <c r="A1535" s="8" t="s">
        <v>1892</v>
      </c>
      <c r="B1535" s="8" t="s">
        <v>1940</v>
      </c>
      <c r="C1535" s="8" t="s">
        <v>1938</v>
      </c>
      <c r="D1535" s="8" t="s">
        <v>1921</v>
      </c>
      <c r="E1535" s="8" t="s">
        <v>168</v>
      </c>
      <c r="F1535" s="9">
        <v>20</v>
      </c>
      <c r="G1535" s="5">
        <f>TRUNC([1]단가대비표!O1197,0)</f>
        <v>12505</v>
      </c>
      <c r="H1535" s="5">
        <f t="shared" si="136"/>
        <v>250100</v>
      </c>
      <c r="I1535" s="5">
        <v>17526</v>
      </c>
      <c r="J1535" s="5">
        <f t="shared" si="137"/>
        <v>350520</v>
      </c>
      <c r="K1535" s="5">
        <v>0</v>
      </c>
      <c r="L1535" s="5">
        <f t="shared" si="138"/>
        <v>0</v>
      </c>
      <c r="M1535" s="5">
        <f t="shared" si="139"/>
        <v>30031</v>
      </c>
      <c r="N1535" s="5">
        <f t="shared" si="139"/>
        <v>600620</v>
      </c>
      <c r="O1535" s="8" t="s">
        <v>20</v>
      </c>
      <c r="T1535">
        <v>0</v>
      </c>
      <c r="AC1535">
        <v>1</v>
      </c>
    </row>
    <row r="1536" spans="1:29" ht="30" customHeight="1" x14ac:dyDescent="0.3">
      <c r="A1536" s="8" t="s">
        <v>1892</v>
      </c>
      <c r="B1536" s="8" t="s">
        <v>1941</v>
      </c>
      <c r="C1536" s="8" t="s">
        <v>1942</v>
      </c>
      <c r="D1536" s="8" t="s">
        <v>444</v>
      </c>
      <c r="E1536" s="8" t="s">
        <v>185</v>
      </c>
      <c r="F1536" s="9">
        <v>8</v>
      </c>
      <c r="G1536" s="5">
        <f>TRUNC([1]단가대비표!O1198,0)</f>
        <v>1420</v>
      </c>
      <c r="H1536" s="5">
        <f t="shared" si="136"/>
        <v>11360</v>
      </c>
      <c r="I1536" s="5">
        <v>16483</v>
      </c>
      <c r="J1536" s="5">
        <f t="shared" si="137"/>
        <v>131864</v>
      </c>
      <c r="K1536" s="5">
        <v>0</v>
      </c>
      <c r="L1536" s="5">
        <f t="shared" si="138"/>
        <v>0</v>
      </c>
      <c r="M1536" s="5">
        <f t="shared" si="139"/>
        <v>17903</v>
      </c>
      <c r="N1536" s="5">
        <f t="shared" si="139"/>
        <v>143224</v>
      </c>
      <c r="O1536" s="8" t="s">
        <v>20</v>
      </c>
      <c r="T1536">
        <v>0</v>
      </c>
      <c r="AC1536">
        <v>1</v>
      </c>
    </row>
    <row r="1537" spans="1:29" ht="30" customHeight="1" x14ac:dyDescent="0.3">
      <c r="A1537" s="8" t="s">
        <v>1892</v>
      </c>
      <c r="B1537" s="8" t="s">
        <v>1943</v>
      </c>
      <c r="C1537" s="8" t="s">
        <v>1942</v>
      </c>
      <c r="D1537" s="8" t="s">
        <v>346</v>
      </c>
      <c r="E1537" s="8" t="s">
        <v>185</v>
      </c>
      <c r="F1537" s="9">
        <v>4</v>
      </c>
      <c r="G1537" s="5">
        <f>TRUNC([1]단가대비표!O1199,0)</f>
        <v>2717</v>
      </c>
      <c r="H1537" s="5">
        <f t="shared" si="136"/>
        <v>10868</v>
      </c>
      <c r="I1537" s="5">
        <v>24725</v>
      </c>
      <c r="J1537" s="5">
        <f t="shared" si="137"/>
        <v>98900</v>
      </c>
      <c r="K1537" s="5">
        <v>0</v>
      </c>
      <c r="L1537" s="5">
        <f t="shared" si="138"/>
        <v>0</v>
      </c>
      <c r="M1537" s="5">
        <f t="shared" si="139"/>
        <v>27442</v>
      </c>
      <c r="N1537" s="5">
        <f t="shared" si="139"/>
        <v>109768</v>
      </c>
      <c r="O1537" s="8" t="s">
        <v>20</v>
      </c>
      <c r="T1537">
        <v>0</v>
      </c>
      <c r="AC1537">
        <v>1</v>
      </c>
    </row>
    <row r="1538" spans="1:29" ht="30" customHeight="1" x14ac:dyDescent="0.3">
      <c r="A1538" s="8" t="s">
        <v>1892</v>
      </c>
      <c r="B1538" s="8" t="s">
        <v>1944</v>
      </c>
      <c r="C1538" s="8" t="s">
        <v>1942</v>
      </c>
      <c r="D1538" s="8" t="s">
        <v>640</v>
      </c>
      <c r="E1538" s="8" t="s">
        <v>185</v>
      </c>
      <c r="F1538" s="9">
        <v>20</v>
      </c>
      <c r="G1538" s="5">
        <f>TRUNC([1]단가대비표!O1200,0)</f>
        <v>4321</v>
      </c>
      <c r="H1538" s="5">
        <f t="shared" si="136"/>
        <v>86420</v>
      </c>
      <c r="I1538" s="5">
        <v>29720</v>
      </c>
      <c r="J1538" s="5">
        <f t="shared" si="137"/>
        <v>594400</v>
      </c>
      <c r="K1538" s="5">
        <v>0</v>
      </c>
      <c r="L1538" s="5">
        <f t="shared" si="138"/>
        <v>0</v>
      </c>
      <c r="M1538" s="5">
        <f t="shared" si="139"/>
        <v>34041</v>
      </c>
      <c r="N1538" s="5">
        <f t="shared" si="139"/>
        <v>680820</v>
      </c>
      <c r="O1538" s="8" t="s">
        <v>20</v>
      </c>
      <c r="T1538">
        <v>0</v>
      </c>
      <c r="AC1538">
        <v>1</v>
      </c>
    </row>
    <row r="1539" spans="1:29" ht="30" customHeight="1" x14ac:dyDescent="0.3">
      <c r="A1539" s="8" t="s">
        <v>1892</v>
      </c>
      <c r="B1539" s="8" t="s">
        <v>1945</v>
      </c>
      <c r="C1539" s="8" t="s">
        <v>1942</v>
      </c>
      <c r="D1539" s="8" t="s">
        <v>348</v>
      </c>
      <c r="E1539" s="8" t="s">
        <v>185</v>
      </c>
      <c r="F1539" s="9">
        <v>28</v>
      </c>
      <c r="G1539" s="5">
        <f>TRUNC([1]단가대비표!O1201,0)</f>
        <v>5312</v>
      </c>
      <c r="H1539" s="5">
        <f t="shared" si="136"/>
        <v>148736</v>
      </c>
      <c r="I1539" s="5">
        <v>41707</v>
      </c>
      <c r="J1539" s="5">
        <f t="shared" si="137"/>
        <v>1167796</v>
      </c>
      <c r="K1539" s="5">
        <v>0</v>
      </c>
      <c r="L1539" s="5">
        <f t="shared" si="138"/>
        <v>0</v>
      </c>
      <c r="M1539" s="5">
        <f t="shared" si="139"/>
        <v>47019</v>
      </c>
      <c r="N1539" s="5">
        <f t="shared" si="139"/>
        <v>1316532</v>
      </c>
      <c r="O1539" s="8" t="s">
        <v>20</v>
      </c>
      <c r="T1539">
        <v>0</v>
      </c>
      <c r="AC1539">
        <v>1</v>
      </c>
    </row>
    <row r="1540" spans="1:29" ht="30" customHeight="1" x14ac:dyDescent="0.3">
      <c r="A1540" s="8" t="s">
        <v>1892</v>
      </c>
      <c r="B1540" s="8" t="s">
        <v>1946</v>
      </c>
      <c r="C1540" s="8" t="s">
        <v>1947</v>
      </c>
      <c r="D1540" s="8" t="s">
        <v>346</v>
      </c>
      <c r="E1540" s="8" t="s">
        <v>185</v>
      </c>
      <c r="F1540" s="9">
        <v>4</v>
      </c>
      <c r="G1540" s="5">
        <f>TRUNC([1]단가대비표!O1202,0)</f>
        <v>20064</v>
      </c>
      <c r="H1540" s="5">
        <f t="shared" si="136"/>
        <v>80256</v>
      </c>
      <c r="I1540" s="5">
        <v>24725</v>
      </c>
      <c r="J1540" s="5">
        <f t="shared" si="137"/>
        <v>98900</v>
      </c>
      <c r="K1540" s="5">
        <v>0</v>
      </c>
      <c r="L1540" s="5">
        <f t="shared" si="138"/>
        <v>0</v>
      </c>
      <c r="M1540" s="5">
        <f t="shared" si="139"/>
        <v>44789</v>
      </c>
      <c r="N1540" s="5">
        <f t="shared" si="139"/>
        <v>179156</v>
      </c>
      <c r="O1540" s="8" t="s">
        <v>20</v>
      </c>
      <c r="T1540">
        <v>0</v>
      </c>
      <c r="AC1540">
        <v>1</v>
      </c>
    </row>
    <row r="1541" spans="1:29" ht="30" customHeight="1" x14ac:dyDescent="0.3">
      <c r="A1541" s="8" t="s">
        <v>1892</v>
      </c>
      <c r="B1541" s="8" t="s">
        <v>1948</v>
      </c>
      <c r="C1541" s="8" t="s">
        <v>1947</v>
      </c>
      <c r="D1541" s="8" t="s">
        <v>640</v>
      </c>
      <c r="E1541" s="8" t="s">
        <v>185</v>
      </c>
      <c r="F1541" s="9">
        <v>8</v>
      </c>
      <c r="G1541" s="5">
        <f>TRUNC([1]단가대비표!O1203,0)</f>
        <v>26378</v>
      </c>
      <c r="H1541" s="5">
        <f t="shared" si="136"/>
        <v>211024</v>
      </c>
      <c r="I1541" s="5">
        <v>29720</v>
      </c>
      <c r="J1541" s="5">
        <f t="shared" si="137"/>
        <v>237760</v>
      </c>
      <c r="K1541" s="5">
        <v>0</v>
      </c>
      <c r="L1541" s="5">
        <f t="shared" si="138"/>
        <v>0</v>
      </c>
      <c r="M1541" s="5">
        <f t="shared" si="139"/>
        <v>56098</v>
      </c>
      <c r="N1541" s="5">
        <f t="shared" si="139"/>
        <v>448784</v>
      </c>
      <c r="O1541" s="8" t="s">
        <v>20</v>
      </c>
      <c r="T1541">
        <v>0</v>
      </c>
      <c r="AC1541">
        <v>1</v>
      </c>
    </row>
    <row r="1542" spans="1:29" ht="30" customHeight="1" x14ac:dyDescent="0.3">
      <c r="A1542" s="8" t="s">
        <v>1892</v>
      </c>
      <c r="B1542" s="8" t="s">
        <v>1949</v>
      </c>
      <c r="C1542" s="8" t="s">
        <v>1947</v>
      </c>
      <c r="D1542" s="8" t="s">
        <v>348</v>
      </c>
      <c r="E1542" s="8" t="s">
        <v>185</v>
      </c>
      <c r="F1542" s="9">
        <v>16</v>
      </c>
      <c r="G1542" s="5">
        <f>TRUNC([1]단가대비표!O1204,0)</f>
        <v>39959</v>
      </c>
      <c r="H1542" s="5">
        <f t="shared" si="136"/>
        <v>639344</v>
      </c>
      <c r="I1542" s="5">
        <v>41707</v>
      </c>
      <c r="J1542" s="5">
        <f t="shared" si="137"/>
        <v>667312</v>
      </c>
      <c r="K1542" s="5">
        <v>0</v>
      </c>
      <c r="L1542" s="5">
        <f t="shared" si="138"/>
        <v>0</v>
      </c>
      <c r="M1542" s="5">
        <f t="shared" si="139"/>
        <v>81666</v>
      </c>
      <c r="N1542" s="5">
        <f t="shared" si="139"/>
        <v>1306656</v>
      </c>
      <c r="O1542" s="8" t="s">
        <v>20</v>
      </c>
      <c r="T1542">
        <v>0</v>
      </c>
      <c r="AC1542">
        <v>1</v>
      </c>
    </row>
    <row r="1543" spans="1:29" ht="30" customHeight="1" x14ac:dyDescent="0.3">
      <c r="A1543" s="8" t="s">
        <v>1892</v>
      </c>
      <c r="B1543" s="8" t="s">
        <v>1950</v>
      </c>
      <c r="C1543" s="8" t="s">
        <v>391</v>
      </c>
      <c r="D1543" s="8" t="s">
        <v>392</v>
      </c>
      <c r="E1543" s="8" t="s">
        <v>179</v>
      </c>
      <c r="F1543" s="9">
        <v>4</v>
      </c>
      <c r="G1543" s="5">
        <f>TRUNC([1]단가대비표!O1205,0)</f>
        <v>99160</v>
      </c>
      <c r="H1543" s="5">
        <f t="shared" si="136"/>
        <v>396640</v>
      </c>
      <c r="I1543" s="5">
        <v>0</v>
      </c>
      <c r="J1543" s="5">
        <f t="shared" si="137"/>
        <v>0</v>
      </c>
      <c r="K1543" s="5">
        <v>0</v>
      </c>
      <c r="L1543" s="5">
        <f t="shared" si="138"/>
        <v>0</v>
      </c>
      <c r="M1543" s="5">
        <f t="shared" si="139"/>
        <v>99160</v>
      </c>
      <c r="N1543" s="5">
        <f t="shared" si="139"/>
        <v>396640</v>
      </c>
      <c r="O1543" s="8" t="s">
        <v>20</v>
      </c>
      <c r="T1543">
        <v>0</v>
      </c>
      <c r="AC1543">
        <v>1</v>
      </c>
    </row>
    <row r="1544" spans="1:29" ht="30" customHeight="1" x14ac:dyDescent="0.3">
      <c r="A1544" s="8" t="s">
        <v>1892</v>
      </c>
      <c r="B1544" s="8" t="s">
        <v>1951</v>
      </c>
      <c r="C1544" s="8" t="s">
        <v>391</v>
      </c>
      <c r="D1544" s="8" t="s">
        <v>626</v>
      </c>
      <c r="E1544" s="8" t="s">
        <v>179</v>
      </c>
      <c r="F1544" s="9">
        <v>4</v>
      </c>
      <c r="G1544" s="5">
        <f>TRUNC([1]단가대비표!O1206,0)</f>
        <v>132000</v>
      </c>
      <c r="H1544" s="5">
        <f t="shared" si="136"/>
        <v>528000</v>
      </c>
      <c r="I1544" s="5">
        <v>0</v>
      </c>
      <c r="J1544" s="5">
        <f t="shared" si="137"/>
        <v>0</v>
      </c>
      <c r="K1544" s="5">
        <v>0</v>
      </c>
      <c r="L1544" s="5">
        <f t="shared" si="138"/>
        <v>0</v>
      </c>
      <c r="M1544" s="5">
        <f t="shared" si="139"/>
        <v>132000</v>
      </c>
      <c r="N1544" s="5">
        <f t="shared" si="139"/>
        <v>528000</v>
      </c>
      <c r="O1544" s="8" t="s">
        <v>20</v>
      </c>
      <c r="T1544">
        <v>0</v>
      </c>
      <c r="AC1544">
        <v>1</v>
      </c>
    </row>
    <row r="1545" spans="1:29" ht="30" customHeight="1" x14ac:dyDescent="0.3">
      <c r="A1545" s="8" t="s">
        <v>1892</v>
      </c>
      <c r="B1545" s="8" t="s">
        <v>1952</v>
      </c>
      <c r="C1545" s="8" t="s">
        <v>615</v>
      </c>
      <c r="D1545" s="8" t="s">
        <v>1953</v>
      </c>
      <c r="E1545" s="8" t="s">
        <v>179</v>
      </c>
      <c r="F1545" s="9">
        <v>4</v>
      </c>
      <c r="G1545" s="5">
        <f>TRUNC([1]단가대비표!O1207,0)</f>
        <v>15640</v>
      </c>
      <c r="H1545" s="5">
        <f t="shared" si="136"/>
        <v>62560</v>
      </c>
      <c r="I1545" s="5">
        <v>0</v>
      </c>
      <c r="J1545" s="5">
        <f t="shared" si="137"/>
        <v>0</v>
      </c>
      <c r="K1545" s="5">
        <v>0</v>
      </c>
      <c r="L1545" s="5">
        <f t="shared" si="138"/>
        <v>0</v>
      </c>
      <c r="M1545" s="5">
        <f t="shared" ref="M1545:N1562" si="140">G1545+I1545+K1545</f>
        <v>15640</v>
      </c>
      <c r="N1545" s="5">
        <f t="shared" si="140"/>
        <v>62560</v>
      </c>
      <c r="O1545" s="8" t="s">
        <v>20</v>
      </c>
      <c r="T1545">
        <v>0</v>
      </c>
      <c r="AC1545">
        <v>1</v>
      </c>
    </row>
    <row r="1546" spans="1:29" ht="30" customHeight="1" x14ac:dyDescent="0.3">
      <c r="A1546" s="8" t="s">
        <v>1892</v>
      </c>
      <c r="B1546" s="8" t="s">
        <v>1954</v>
      </c>
      <c r="C1546" s="8" t="s">
        <v>412</v>
      </c>
      <c r="D1546" s="8" t="s">
        <v>1955</v>
      </c>
      <c r="E1546" s="8" t="s">
        <v>179</v>
      </c>
      <c r="F1546" s="9">
        <v>2</v>
      </c>
      <c r="G1546" s="5">
        <f>TRUNC([1]단가대비표!O1208,0)</f>
        <v>87440</v>
      </c>
      <c r="H1546" s="5">
        <f t="shared" si="136"/>
        <v>174880</v>
      </c>
      <c r="I1546" s="5">
        <v>0</v>
      </c>
      <c r="J1546" s="5">
        <f t="shared" si="137"/>
        <v>0</v>
      </c>
      <c r="K1546" s="5">
        <v>0</v>
      </c>
      <c r="L1546" s="5">
        <f t="shared" si="138"/>
        <v>0</v>
      </c>
      <c r="M1546" s="5">
        <f t="shared" si="140"/>
        <v>87440</v>
      </c>
      <c r="N1546" s="5">
        <f t="shared" si="140"/>
        <v>174880</v>
      </c>
      <c r="O1546" s="8" t="s">
        <v>20</v>
      </c>
      <c r="T1546">
        <v>0</v>
      </c>
      <c r="AC1546">
        <v>1</v>
      </c>
    </row>
    <row r="1547" spans="1:29" ht="30" customHeight="1" x14ac:dyDescent="0.3">
      <c r="A1547" s="8" t="s">
        <v>1892</v>
      </c>
      <c r="B1547" s="8" t="s">
        <v>1956</v>
      </c>
      <c r="C1547" s="8" t="s">
        <v>1957</v>
      </c>
      <c r="D1547" s="8" t="s">
        <v>447</v>
      </c>
      <c r="E1547" s="8" t="s">
        <v>179</v>
      </c>
      <c r="F1547" s="9">
        <v>2</v>
      </c>
      <c r="G1547" s="5">
        <f>TRUNC([1]단가대비표!O1209,0)</f>
        <v>191690</v>
      </c>
      <c r="H1547" s="5">
        <f t="shared" si="136"/>
        <v>383380</v>
      </c>
      <c r="I1547" s="5">
        <v>0</v>
      </c>
      <c r="J1547" s="5">
        <f t="shared" si="137"/>
        <v>0</v>
      </c>
      <c r="K1547" s="5">
        <v>0</v>
      </c>
      <c r="L1547" s="5">
        <f t="shared" si="138"/>
        <v>0</v>
      </c>
      <c r="M1547" s="5">
        <f t="shared" si="140"/>
        <v>191690</v>
      </c>
      <c r="N1547" s="5">
        <f t="shared" si="140"/>
        <v>383380</v>
      </c>
      <c r="O1547" s="8" t="s">
        <v>20</v>
      </c>
      <c r="T1547">
        <v>0</v>
      </c>
      <c r="AC1547">
        <v>1</v>
      </c>
    </row>
    <row r="1548" spans="1:29" ht="30" customHeight="1" x14ac:dyDescent="0.3">
      <c r="A1548" s="8" t="s">
        <v>1892</v>
      </c>
      <c r="B1548" s="8" t="s">
        <v>1958</v>
      </c>
      <c r="C1548" s="8" t="s">
        <v>1959</v>
      </c>
      <c r="D1548" s="8" t="s">
        <v>447</v>
      </c>
      <c r="E1548" s="8" t="s">
        <v>179</v>
      </c>
      <c r="F1548" s="9">
        <v>2</v>
      </c>
      <c r="G1548" s="5">
        <f>TRUNC([1]단가대비표!O1210,0)</f>
        <v>266000</v>
      </c>
      <c r="H1548" s="5">
        <f t="shared" si="136"/>
        <v>532000</v>
      </c>
      <c r="I1548" s="5">
        <v>0</v>
      </c>
      <c r="J1548" s="5">
        <f t="shared" si="137"/>
        <v>0</v>
      </c>
      <c r="K1548" s="5">
        <v>0</v>
      </c>
      <c r="L1548" s="5">
        <f t="shared" si="138"/>
        <v>0</v>
      </c>
      <c r="M1548" s="5">
        <f t="shared" si="140"/>
        <v>266000</v>
      </c>
      <c r="N1548" s="5">
        <f t="shared" si="140"/>
        <v>532000</v>
      </c>
      <c r="O1548" s="8" t="s">
        <v>20</v>
      </c>
      <c r="T1548">
        <v>0</v>
      </c>
      <c r="AC1548">
        <v>1</v>
      </c>
    </row>
    <row r="1549" spans="1:29" ht="30" customHeight="1" x14ac:dyDescent="0.3">
      <c r="A1549" s="8" t="s">
        <v>1892</v>
      </c>
      <c r="B1549" s="8" t="s">
        <v>1960</v>
      </c>
      <c r="C1549" s="8" t="s">
        <v>1961</v>
      </c>
      <c r="D1549" s="8" t="s">
        <v>1962</v>
      </c>
      <c r="E1549" s="8" t="s">
        <v>179</v>
      </c>
      <c r="F1549" s="9">
        <v>4</v>
      </c>
      <c r="G1549" s="5">
        <f>TRUNC([1]단가대비표!O1211,0)</f>
        <v>120000</v>
      </c>
      <c r="H1549" s="5">
        <f t="shared" si="136"/>
        <v>480000</v>
      </c>
      <c r="I1549" s="5">
        <v>0</v>
      </c>
      <c r="J1549" s="5">
        <f t="shared" si="137"/>
        <v>0</v>
      </c>
      <c r="K1549" s="5">
        <v>0</v>
      </c>
      <c r="L1549" s="5">
        <f t="shared" si="138"/>
        <v>0</v>
      </c>
      <c r="M1549" s="5">
        <f t="shared" si="140"/>
        <v>120000</v>
      </c>
      <c r="N1549" s="5">
        <f t="shared" si="140"/>
        <v>480000</v>
      </c>
      <c r="O1549" s="8" t="s">
        <v>20</v>
      </c>
      <c r="T1549">
        <v>0</v>
      </c>
      <c r="AC1549">
        <v>1</v>
      </c>
    </row>
    <row r="1550" spans="1:29" ht="30" customHeight="1" x14ac:dyDescent="0.3">
      <c r="A1550" s="8" t="s">
        <v>1892</v>
      </c>
      <c r="B1550" s="8" t="s">
        <v>1963</v>
      </c>
      <c r="C1550" s="8" t="s">
        <v>1964</v>
      </c>
      <c r="D1550" s="8" t="s">
        <v>640</v>
      </c>
      <c r="E1550" s="8" t="s">
        <v>179</v>
      </c>
      <c r="F1550" s="9">
        <v>2</v>
      </c>
      <c r="G1550" s="5">
        <f>TRUNC([1]단가대비표!O1212,0)</f>
        <v>603980</v>
      </c>
      <c r="H1550" s="5">
        <f t="shared" si="136"/>
        <v>1207960</v>
      </c>
      <c r="I1550" s="5">
        <v>0</v>
      </c>
      <c r="J1550" s="5">
        <f t="shared" si="137"/>
        <v>0</v>
      </c>
      <c r="K1550" s="5">
        <v>0</v>
      </c>
      <c r="L1550" s="5">
        <f t="shared" si="138"/>
        <v>0</v>
      </c>
      <c r="M1550" s="5">
        <f t="shared" si="140"/>
        <v>603980</v>
      </c>
      <c r="N1550" s="5">
        <f t="shared" si="140"/>
        <v>1207960</v>
      </c>
      <c r="O1550" s="8" t="s">
        <v>20</v>
      </c>
      <c r="T1550">
        <v>0</v>
      </c>
      <c r="AC1550">
        <v>1</v>
      </c>
    </row>
    <row r="1551" spans="1:29" ht="30" customHeight="1" x14ac:dyDescent="0.3">
      <c r="A1551" s="8" t="s">
        <v>1892</v>
      </c>
      <c r="B1551" s="8" t="s">
        <v>1965</v>
      </c>
      <c r="C1551" s="8" t="s">
        <v>1966</v>
      </c>
      <c r="D1551" s="8" t="s">
        <v>1967</v>
      </c>
      <c r="E1551" s="8" t="s">
        <v>185</v>
      </c>
      <c r="F1551" s="9">
        <v>4</v>
      </c>
      <c r="G1551" s="5">
        <f>TRUNC([1]단가대비표!O1213,0)</f>
        <v>1714</v>
      </c>
      <c r="H1551" s="5">
        <f t="shared" si="136"/>
        <v>6856</v>
      </c>
      <c r="I1551" s="5">
        <v>57133</v>
      </c>
      <c r="J1551" s="5">
        <f t="shared" si="137"/>
        <v>228532</v>
      </c>
      <c r="K1551" s="5">
        <v>0</v>
      </c>
      <c r="L1551" s="5">
        <f t="shared" si="138"/>
        <v>0</v>
      </c>
      <c r="M1551" s="5">
        <f t="shared" si="140"/>
        <v>58847</v>
      </c>
      <c r="N1551" s="5">
        <f t="shared" si="140"/>
        <v>235388</v>
      </c>
      <c r="O1551" s="8" t="s">
        <v>20</v>
      </c>
      <c r="T1551">
        <v>0</v>
      </c>
      <c r="AC1551">
        <v>1</v>
      </c>
    </row>
    <row r="1552" spans="1:29" ht="30" customHeight="1" x14ac:dyDescent="0.3">
      <c r="A1552" s="8" t="s">
        <v>1892</v>
      </c>
      <c r="B1552" s="8" t="s">
        <v>1968</v>
      </c>
      <c r="C1552" s="8" t="s">
        <v>1966</v>
      </c>
      <c r="D1552" s="8" t="s">
        <v>1969</v>
      </c>
      <c r="E1552" s="8" t="s">
        <v>185</v>
      </c>
      <c r="F1552" s="9">
        <v>8</v>
      </c>
      <c r="G1552" s="5">
        <f>TRUNC([1]단가대비표!O1214,0)</f>
        <v>1819</v>
      </c>
      <c r="H1552" s="5">
        <f t="shared" si="136"/>
        <v>14552</v>
      </c>
      <c r="I1552" s="5">
        <v>60660</v>
      </c>
      <c r="J1552" s="5">
        <f t="shared" si="137"/>
        <v>485280</v>
      </c>
      <c r="K1552" s="5">
        <v>0</v>
      </c>
      <c r="L1552" s="5">
        <f t="shared" si="138"/>
        <v>0</v>
      </c>
      <c r="M1552" s="5">
        <f t="shared" si="140"/>
        <v>62479</v>
      </c>
      <c r="N1552" s="5">
        <f t="shared" si="140"/>
        <v>499832</v>
      </c>
      <c r="O1552" s="8" t="s">
        <v>20</v>
      </c>
      <c r="T1552">
        <v>0</v>
      </c>
      <c r="AC1552">
        <v>1</v>
      </c>
    </row>
    <row r="1553" spans="1:29" ht="30" customHeight="1" x14ac:dyDescent="0.3">
      <c r="A1553" s="8" t="s">
        <v>1892</v>
      </c>
      <c r="B1553" s="8" t="s">
        <v>1970</v>
      </c>
      <c r="C1553" s="8" t="s">
        <v>1966</v>
      </c>
      <c r="D1553" s="8" t="s">
        <v>1971</v>
      </c>
      <c r="E1553" s="8" t="s">
        <v>185</v>
      </c>
      <c r="F1553" s="9">
        <v>14</v>
      </c>
      <c r="G1553" s="5">
        <f>TRUNC([1]단가대비표!O1215,0)</f>
        <v>2031</v>
      </c>
      <c r="H1553" s="5">
        <f t="shared" si="136"/>
        <v>28434</v>
      </c>
      <c r="I1553" s="5">
        <v>67714</v>
      </c>
      <c r="J1553" s="5">
        <f t="shared" si="137"/>
        <v>947996</v>
      </c>
      <c r="K1553" s="5">
        <v>0</v>
      </c>
      <c r="L1553" s="5">
        <f t="shared" si="138"/>
        <v>0</v>
      </c>
      <c r="M1553" s="5">
        <f t="shared" si="140"/>
        <v>69745</v>
      </c>
      <c r="N1553" s="5">
        <f t="shared" si="140"/>
        <v>976430</v>
      </c>
      <c r="O1553" s="8" t="s">
        <v>20</v>
      </c>
      <c r="T1553">
        <v>0</v>
      </c>
      <c r="AC1553">
        <v>1</v>
      </c>
    </row>
    <row r="1554" spans="1:29" ht="30" customHeight="1" x14ac:dyDescent="0.3">
      <c r="A1554" s="8" t="s">
        <v>1892</v>
      </c>
      <c r="B1554" s="8" t="s">
        <v>1972</v>
      </c>
      <c r="C1554" s="8" t="s">
        <v>1973</v>
      </c>
      <c r="D1554" s="8" t="s">
        <v>20</v>
      </c>
      <c r="E1554" s="8" t="s">
        <v>476</v>
      </c>
      <c r="F1554" s="9">
        <v>9</v>
      </c>
      <c r="G1554" s="5">
        <f>TRUNC([1]단가대비표!O1216,0)</f>
        <v>39000</v>
      </c>
      <c r="H1554" s="5">
        <f t="shared" si="136"/>
        <v>351000</v>
      </c>
      <c r="I1554" s="5">
        <v>7860</v>
      </c>
      <c r="J1554" s="5">
        <f t="shared" si="137"/>
        <v>70740</v>
      </c>
      <c r="K1554" s="5">
        <v>0</v>
      </c>
      <c r="L1554" s="5">
        <f t="shared" si="138"/>
        <v>0</v>
      </c>
      <c r="M1554" s="5">
        <f t="shared" si="140"/>
        <v>46860</v>
      </c>
      <c r="N1554" s="5">
        <f t="shared" si="140"/>
        <v>421740</v>
      </c>
      <c r="O1554" s="8" t="s">
        <v>20</v>
      </c>
      <c r="T1554">
        <v>0</v>
      </c>
      <c r="AC1554">
        <v>1</v>
      </c>
    </row>
    <row r="1555" spans="1:29" ht="30" customHeight="1" x14ac:dyDescent="0.3">
      <c r="A1555" s="8" t="s">
        <v>1892</v>
      </c>
      <c r="B1555" s="8" t="s">
        <v>1974</v>
      </c>
      <c r="C1555" s="8" t="s">
        <v>1975</v>
      </c>
      <c r="D1555" s="8" t="s">
        <v>20</v>
      </c>
      <c r="E1555" s="8" t="s">
        <v>476</v>
      </c>
      <c r="F1555" s="9">
        <v>9</v>
      </c>
      <c r="G1555" s="5">
        <f>TRUNC([1]단가대비표!O1217,0)</f>
        <v>8000</v>
      </c>
      <c r="H1555" s="5">
        <f t="shared" si="136"/>
        <v>72000</v>
      </c>
      <c r="I1555" s="5">
        <v>7860</v>
      </c>
      <c r="J1555" s="5">
        <f t="shared" si="137"/>
        <v>70740</v>
      </c>
      <c r="K1555" s="5">
        <v>0</v>
      </c>
      <c r="L1555" s="5">
        <f t="shared" si="138"/>
        <v>0</v>
      </c>
      <c r="M1555" s="5">
        <f t="shared" si="140"/>
        <v>15860</v>
      </c>
      <c r="N1555" s="5">
        <f t="shared" si="140"/>
        <v>142740</v>
      </c>
      <c r="O1555" s="8" t="s">
        <v>20</v>
      </c>
      <c r="T1555">
        <v>0</v>
      </c>
      <c r="AC1555">
        <v>1</v>
      </c>
    </row>
    <row r="1556" spans="1:29" ht="30" customHeight="1" x14ac:dyDescent="0.3">
      <c r="A1556" s="8" t="s">
        <v>1892</v>
      </c>
      <c r="B1556" s="8" t="s">
        <v>1976</v>
      </c>
      <c r="C1556" s="8" t="s">
        <v>1977</v>
      </c>
      <c r="D1556" s="8" t="s">
        <v>184</v>
      </c>
      <c r="E1556" s="8" t="s">
        <v>185</v>
      </c>
      <c r="F1556" s="9">
        <v>4</v>
      </c>
      <c r="G1556" s="5">
        <f>TRUNC([1]단가대비표!O1218,0)</f>
        <v>48200</v>
      </c>
      <c r="H1556" s="5">
        <f t="shared" si="136"/>
        <v>192800</v>
      </c>
      <c r="I1556" s="5">
        <v>23582</v>
      </c>
      <c r="J1556" s="5">
        <f t="shared" si="137"/>
        <v>94328</v>
      </c>
      <c r="K1556" s="5">
        <v>0</v>
      </c>
      <c r="L1556" s="5">
        <f t="shared" si="138"/>
        <v>0</v>
      </c>
      <c r="M1556" s="5">
        <f t="shared" si="140"/>
        <v>71782</v>
      </c>
      <c r="N1556" s="5">
        <f t="shared" si="140"/>
        <v>287128</v>
      </c>
      <c r="O1556" s="8" t="s">
        <v>20</v>
      </c>
      <c r="T1556">
        <v>0</v>
      </c>
      <c r="AC1556">
        <v>1</v>
      </c>
    </row>
    <row r="1557" spans="1:29" ht="30" customHeight="1" x14ac:dyDescent="0.3">
      <c r="A1557" s="8" t="s">
        <v>1892</v>
      </c>
      <c r="B1557" s="8" t="s">
        <v>1978</v>
      </c>
      <c r="C1557" s="8" t="s">
        <v>530</v>
      </c>
      <c r="D1557" s="8" t="s">
        <v>1979</v>
      </c>
      <c r="E1557" s="8" t="s">
        <v>552</v>
      </c>
      <c r="F1557" s="9">
        <v>1</v>
      </c>
      <c r="G1557" s="5">
        <f>TRUNC([1]단가대비표!O1219,0)</f>
        <v>1159000</v>
      </c>
      <c r="H1557" s="5">
        <f t="shared" si="136"/>
        <v>1159000</v>
      </c>
      <c r="I1557" s="5">
        <v>0</v>
      </c>
      <c r="J1557" s="5">
        <f t="shared" si="137"/>
        <v>0</v>
      </c>
      <c r="K1557" s="5">
        <v>0</v>
      </c>
      <c r="L1557" s="5">
        <f t="shared" si="138"/>
        <v>0</v>
      </c>
      <c r="M1557" s="5">
        <f t="shared" si="140"/>
        <v>1159000</v>
      </c>
      <c r="N1557" s="5">
        <f t="shared" si="140"/>
        <v>1159000</v>
      </c>
      <c r="O1557" s="8" t="s">
        <v>20</v>
      </c>
      <c r="T1557">
        <v>0</v>
      </c>
      <c r="AC1557">
        <v>1</v>
      </c>
    </row>
    <row r="1558" spans="1:29" ht="30" customHeight="1" x14ac:dyDescent="0.3">
      <c r="A1558" s="8" t="s">
        <v>1892</v>
      </c>
      <c r="B1558" s="8" t="s">
        <v>1980</v>
      </c>
      <c r="C1558" s="8" t="s">
        <v>1981</v>
      </c>
      <c r="D1558" s="8" t="s">
        <v>551</v>
      </c>
      <c r="E1558" s="8" t="s">
        <v>1982</v>
      </c>
      <c r="F1558" s="9">
        <v>0.4</v>
      </c>
      <c r="G1558" s="5">
        <f>TRUNC([1]단가대비표!O1220,0)</f>
        <v>60330</v>
      </c>
      <c r="H1558" s="5">
        <f t="shared" si="136"/>
        <v>24132</v>
      </c>
      <c r="I1558" s="5">
        <v>1946954</v>
      </c>
      <c r="J1558" s="5">
        <f t="shared" si="137"/>
        <v>778781</v>
      </c>
      <c r="K1558" s="5">
        <v>0</v>
      </c>
      <c r="L1558" s="5">
        <f t="shared" si="138"/>
        <v>0</v>
      </c>
      <c r="M1558" s="5">
        <f t="shared" si="140"/>
        <v>2007284</v>
      </c>
      <c r="N1558" s="5">
        <f t="shared" si="140"/>
        <v>802913</v>
      </c>
      <c r="O1558" s="8" t="s">
        <v>20</v>
      </c>
      <c r="T1558">
        <v>0</v>
      </c>
      <c r="AC1558">
        <v>1</v>
      </c>
    </row>
    <row r="1559" spans="1:29" ht="30" customHeight="1" x14ac:dyDescent="0.3">
      <c r="A1559" s="8" t="s">
        <v>1892</v>
      </c>
      <c r="B1559" s="8" t="s">
        <v>1983</v>
      </c>
      <c r="C1559" s="8" t="s">
        <v>1984</v>
      </c>
      <c r="D1559" s="8" t="s">
        <v>1985</v>
      </c>
      <c r="E1559" s="8" t="s">
        <v>168</v>
      </c>
      <c r="F1559" s="9">
        <v>20</v>
      </c>
      <c r="G1559" s="5">
        <f>TRUNC([1]단가대비표!O1221,0)</f>
        <v>1391</v>
      </c>
      <c r="H1559" s="5">
        <f t="shared" si="136"/>
        <v>27820</v>
      </c>
      <c r="I1559" s="5">
        <v>2433</v>
      </c>
      <c r="J1559" s="5">
        <f t="shared" si="137"/>
        <v>48660</v>
      </c>
      <c r="K1559" s="5">
        <v>0</v>
      </c>
      <c r="L1559" s="5">
        <f t="shared" si="138"/>
        <v>0</v>
      </c>
      <c r="M1559" s="5">
        <f t="shared" si="140"/>
        <v>3824</v>
      </c>
      <c r="N1559" s="5">
        <f t="shared" si="140"/>
        <v>76480</v>
      </c>
      <c r="O1559" s="8" t="s">
        <v>20</v>
      </c>
      <c r="T1559">
        <v>0</v>
      </c>
      <c r="AC1559">
        <v>1</v>
      </c>
    </row>
    <row r="1560" spans="1:29" ht="30" customHeight="1" x14ac:dyDescent="0.3">
      <c r="A1560" s="8" t="s">
        <v>1892</v>
      </c>
      <c r="B1560" s="8" t="s">
        <v>1986</v>
      </c>
      <c r="C1560" s="8" t="s">
        <v>1987</v>
      </c>
      <c r="D1560" s="8" t="s">
        <v>1988</v>
      </c>
      <c r="E1560" s="8" t="s">
        <v>168</v>
      </c>
      <c r="F1560" s="9">
        <v>20</v>
      </c>
      <c r="G1560" s="5">
        <f>TRUNC([1]단가대비표!O1222,0)</f>
        <v>2129</v>
      </c>
      <c r="H1560" s="5">
        <f t="shared" si="136"/>
        <v>42580</v>
      </c>
      <c r="I1560" s="5">
        <v>1905</v>
      </c>
      <c r="J1560" s="5">
        <f t="shared" si="137"/>
        <v>38100</v>
      </c>
      <c r="K1560" s="5">
        <v>0</v>
      </c>
      <c r="L1560" s="5">
        <f t="shared" si="138"/>
        <v>0</v>
      </c>
      <c r="M1560" s="5">
        <f t="shared" si="140"/>
        <v>4034</v>
      </c>
      <c r="N1560" s="5">
        <f t="shared" si="140"/>
        <v>80680</v>
      </c>
      <c r="O1560" s="8" t="s">
        <v>20</v>
      </c>
      <c r="T1560">
        <v>0</v>
      </c>
      <c r="AC1560">
        <v>1</v>
      </c>
    </row>
    <row r="1561" spans="1:29" ht="30" customHeight="1" x14ac:dyDescent="0.3">
      <c r="A1561" s="8" t="s">
        <v>1892</v>
      </c>
      <c r="B1561" s="8" t="s">
        <v>152</v>
      </c>
      <c r="C1561" s="8" t="s">
        <v>153</v>
      </c>
      <c r="D1561" s="8" t="s">
        <v>154</v>
      </c>
      <c r="E1561" s="8" t="s">
        <v>155</v>
      </c>
      <c r="F1561" s="9">
        <v>99</v>
      </c>
      <c r="G1561" s="5">
        <v>0</v>
      </c>
      <c r="H1561" s="5">
        <f t="shared" si="136"/>
        <v>0</v>
      </c>
      <c r="I1561" s="5">
        <f>TRUNC([1]단가대비표!O671,0)</f>
        <v>157068</v>
      </c>
      <c r="J1561" s="5">
        <f t="shared" si="137"/>
        <v>15549732</v>
      </c>
      <c r="K1561" s="5">
        <v>0</v>
      </c>
      <c r="L1561" s="5">
        <f t="shared" si="138"/>
        <v>0</v>
      </c>
      <c r="M1561" s="5">
        <f t="shared" si="140"/>
        <v>157068</v>
      </c>
      <c r="N1561" s="5">
        <f t="shared" si="140"/>
        <v>15549732</v>
      </c>
      <c r="O1561" s="8" t="s">
        <v>20</v>
      </c>
      <c r="T1561">
        <v>0</v>
      </c>
      <c r="AC1561">
        <v>1</v>
      </c>
    </row>
    <row r="1562" spans="1:29" ht="30" customHeight="1" x14ac:dyDescent="0.3">
      <c r="A1562" s="8" t="s">
        <v>1892</v>
      </c>
      <c r="B1562" s="8" t="s">
        <v>553</v>
      </c>
      <c r="C1562" s="8" t="s">
        <v>153</v>
      </c>
      <c r="D1562" s="8" t="s">
        <v>554</v>
      </c>
      <c r="E1562" s="8" t="s">
        <v>155</v>
      </c>
      <c r="F1562" s="9">
        <v>99</v>
      </c>
      <c r="G1562" s="5">
        <v>0</v>
      </c>
      <c r="H1562" s="5">
        <f t="shared" si="136"/>
        <v>0</v>
      </c>
      <c r="I1562" s="5">
        <f>TRUNC([1]단가대비표!O668,0)</f>
        <v>214118</v>
      </c>
      <c r="J1562" s="5">
        <f t="shared" si="137"/>
        <v>21197682</v>
      </c>
      <c r="K1562" s="5">
        <v>0</v>
      </c>
      <c r="L1562" s="5">
        <f t="shared" si="138"/>
        <v>0</v>
      </c>
      <c r="M1562" s="5">
        <f t="shared" si="140"/>
        <v>214118</v>
      </c>
      <c r="N1562" s="5">
        <f t="shared" si="140"/>
        <v>21197682</v>
      </c>
      <c r="O1562" s="8" t="s">
        <v>20</v>
      </c>
      <c r="T1562">
        <v>0</v>
      </c>
      <c r="AC1562">
        <v>1</v>
      </c>
    </row>
    <row r="1563" spans="1:29" ht="30" customHeight="1" x14ac:dyDescent="0.3">
      <c r="A1563" s="5"/>
      <c r="B1563" s="5"/>
      <c r="C1563" s="5" t="s">
        <v>162</v>
      </c>
      <c r="D1563" s="5"/>
      <c r="E1563" s="5"/>
      <c r="F1563" s="9"/>
      <c r="G1563" s="5"/>
      <c r="H1563" s="5">
        <f>SUMIF(AC1513:AC1562, 1, H1513:H1562)</f>
        <v>32881799</v>
      </c>
      <c r="I1563" s="5"/>
      <c r="J1563" s="5">
        <f>SUMIF(AC1513:AC1562, 1, J1513:J1562)</f>
        <v>43159503</v>
      </c>
      <c r="K1563" s="5"/>
      <c r="L1563" s="5">
        <f>SUMIF(AC1513:AC1562, 1, L1513:L1562)</f>
        <v>3000000</v>
      </c>
      <c r="M1563" s="5"/>
      <c r="N1563" s="5">
        <f>H1563+J1563+L1563</f>
        <v>79041302</v>
      </c>
      <c r="O1563" s="5"/>
    </row>
    <row r="1564" spans="1:29" ht="30" customHeight="1" x14ac:dyDescent="0.3">
      <c r="A1564" s="5"/>
      <c r="B1564" s="5"/>
      <c r="C1564" s="10" t="s">
        <v>1989</v>
      </c>
      <c r="D1564" s="10"/>
      <c r="E1564" s="10"/>
      <c r="F1564" s="11"/>
      <c r="G1564" s="10"/>
      <c r="H1564" s="10"/>
      <c r="I1564" s="10"/>
      <c r="J1564" s="10"/>
      <c r="K1564" s="10"/>
      <c r="L1564" s="10"/>
      <c r="M1564" s="10"/>
      <c r="N1564" s="10"/>
      <c r="O1564" s="10"/>
    </row>
    <row r="1565" spans="1:29" ht="30" customHeight="1" x14ac:dyDescent="0.3">
      <c r="A1565" s="8" t="s">
        <v>1990</v>
      </c>
      <c r="B1565" s="8" t="s">
        <v>1991</v>
      </c>
      <c r="C1565" s="8" t="s">
        <v>1992</v>
      </c>
      <c r="D1565" s="8" t="s">
        <v>20</v>
      </c>
      <c r="E1565" s="8" t="s">
        <v>20</v>
      </c>
      <c r="F1565" s="9">
        <v>0</v>
      </c>
      <c r="G1565" s="5">
        <f>TRUNC([1]단가대비표!O1896,0)</f>
        <v>0</v>
      </c>
      <c r="H1565" s="5">
        <f t="shared" ref="H1565:H1588" si="141">TRUNC(F1565*G1565,0)</f>
        <v>0</v>
      </c>
      <c r="I1565" s="5">
        <v>0</v>
      </c>
      <c r="J1565" s="5">
        <f t="shared" ref="J1565:J1588" si="142">TRUNC(F1565*I1565,0)</f>
        <v>0</v>
      </c>
      <c r="K1565" s="5">
        <v>0</v>
      </c>
      <c r="L1565" s="5">
        <f t="shared" ref="L1565:L1588" si="143">TRUNC(F1565*K1565,0)</f>
        <v>0</v>
      </c>
      <c r="M1565" s="5">
        <f t="shared" ref="M1565:N1588" si="144">G1565+I1565+K1565</f>
        <v>0</v>
      </c>
      <c r="N1565" s="5">
        <f t="shared" si="144"/>
        <v>0</v>
      </c>
      <c r="O1565" s="8" t="s">
        <v>20</v>
      </c>
      <c r="T1565">
        <v>0</v>
      </c>
      <c r="AC1565">
        <v>1</v>
      </c>
    </row>
    <row r="1566" spans="1:29" ht="30" customHeight="1" x14ac:dyDescent="0.3">
      <c r="A1566" s="8" t="s">
        <v>1990</v>
      </c>
      <c r="B1566" s="8" t="s">
        <v>1993</v>
      </c>
      <c r="C1566" s="8" t="s">
        <v>1994</v>
      </c>
      <c r="D1566" s="8" t="s">
        <v>1995</v>
      </c>
      <c r="E1566" s="8" t="s">
        <v>151</v>
      </c>
      <c r="F1566" s="9">
        <v>36</v>
      </c>
      <c r="G1566" s="5">
        <f>TRUNC([1]단가대비표!O1897,0)</f>
        <v>170000</v>
      </c>
      <c r="H1566" s="5">
        <f t="shared" si="141"/>
        <v>6120000</v>
      </c>
      <c r="I1566" s="5">
        <v>0</v>
      </c>
      <c r="J1566" s="5">
        <f t="shared" si="142"/>
        <v>0</v>
      </c>
      <c r="K1566" s="5">
        <v>0</v>
      </c>
      <c r="L1566" s="5">
        <f t="shared" si="143"/>
        <v>0</v>
      </c>
      <c r="M1566" s="5">
        <f t="shared" si="144"/>
        <v>170000</v>
      </c>
      <c r="N1566" s="5">
        <f t="shared" si="144"/>
        <v>6120000</v>
      </c>
      <c r="O1566" s="8" t="s">
        <v>20</v>
      </c>
      <c r="T1566">
        <v>0</v>
      </c>
      <c r="AC1566">
        <v>1</v>
      </c>
    </row>
    <row r="1567" spans="1:29" ht="30" customHeight="1" x14ac:dyDescent="0.3">
      <c r="A1567" s="8" t="s">
        <v>1990</v>
      </c>
      <c r="B1567" s="8" t="s">
        <v>1996</v>
      </c>
      <c r="C1567" s="8" t="s">
        <v>1997</v>
      </c>
      <c r="D1567" s="8" t="s">
        <v>1998</v>
      </c>
      <c r="E1567" s="8" t="s">
        <v>151</v>
      </c>
      <c r="F1567" s="9">
        <v>36</v>
      </c>
      <c r="G1567" s="5">
        <f>TRUNC([1]단가대비표!O1898,0)</f>
        <v>10000</v>
      </c>
      <c r="H1567" s="5">
        <f t="shared" si="141"/>
        <v>360000</v>
      </c>
      <c r="I1567" s="5">
        <v>0</v>
      </c>
      <c r="J1567" s="5">
        <f t="shared" si="142"/>
        <v>0</v>
      </c>
      <c r="K1567" s="5">
        <v>0</v>
      </c>
      <c r="L1567" s="5">
        <f t="shared" si="143"/>
        <v>0</v>
      </c>
      <c r="M1567" s="5">
        <f t="shared" si="144"/>
        <v>10000</v>
      </c>
      <c r="N1567" s="5">
        <f t="shared" si="144"/>
        <v>360000</v>
      </c>
      <c r="O1567" s="8" t="s">
        <v>20</v>
      </c>
      <c r="T1567">
        <v>0</v>
      </c>
      <c r="AC1567">
        <v>1</v>
      </c>
    </row>
    <row r="1568" spans="1:29" ht="30" customHeight="1" x14ac:dyDescent="0.3">
      <c r="A1568" s="8" t="s">
        <v>1990</v>
      </c>
      <c r="B1568" s="8" t="s">
        <v>1999</v>
      </c>
      <c r="C1568" s="8" t="s">
        <v>2000</v>
      </c>
      <c r="D1568" s="8" t="s">
        <v>2001</v>
      </c>
      <c r="E1568" s="8" t="s">
        <v>151</v>
      </c>
      <c r="F1568" s="9">
        <v>36</v>
      </c>
      <c r="G1568" s="5">
        <f>TRUNC([1]단가대비표!O1899,0)</f>
        <v>10000</v>
      </c>
      <c r="H1568" s="5">
        <f t="shared" si="141"/>
        <v>360000</v>
      </c>
      <c r="I1568" s="5">
        <v>0</v>
      </c>
      <c r="J1568" s="5">
        <f t="shared" si="142"/>
        <v>0</v>
      </c>
      <c r="K1568" s="5">
        <v>0</v>
      </c>
      <c r="L1568" s="5">
        <f t="shared" si="143"/>
        <v>0</v>
      </c>
      <c r="M1568" s="5">
        <f t="shared" si="144"/>
        <v>10000</v>
      </c>
      <c r="N1568" s="5">
        <f t="shared" si="144"/>
        <v>360000</v>
      </c>
      <c r="O1568" s="8" t="s">
        <v>20</v>
      </c>
      <c r="T1568">
        <v>0</v>
      </c>
      <c r="AC1568">
        <v>1</v>
      </c>
    </row>
    <row r="1569" spans="1:29" ht="30" customHeight="1" x14ac:dyDescent="0.3">
      <c r="A1569" s="8" t="s">
        <v>1990</v>
      </c>
      <c r="B1569" s="8" t="s">
        <v>2002</v>
      </c>
      <c r="C1569" s="8" t="s">
        <v>2003</v>
      </c>
      <c r="D1569" s="8" t="s">
        <v>2004</v>
      </c>
      <c r="E1569" s="8" t="s">
        <v>151</v>
      </c>
      <c r="F1569" s="9">
        <v>18</v>
      </c>
      <c r="G1569" s="5">
        <f>TRUNC([1]단가대비표!O1900,0)</f>
        <v>2000</v>
      </c>
      <c r="H1569" s="5">
        <f t="shared" si="141"/>
        <v>36000</v>
      </c>
      <c r="I1569" s="5">
        <v>0</v>
      </c>
      <c r="J1569" s="5">
        <f t="shared" si="142"/>
        <v>0</v>
      </c>
      <c r="K1569" s="5">
        <v>0</v>
      </c>
      <c r="L1569" s="5">
        <f t="shared" si="143"/>
        <v>0</v>
      </c>
      <c r="M1569" s="5">
        <f t="shared" si="144"/>
        <v>2000</v>
      </c>
      <c r="N1569" s="5">
        <f t="shared" si="144"/>
        <v>36000</v>
      </c>
      <c r="O1569" s="8" t="s">
        <v>20</v>
      </c>
      <c r="T1569">
        <v>0</v>
      </c>
      <c r="AC1569">
        <v>1</v>
      </c>
    </row>
    <row r="1570" spans="1:29" ht="30" customHeight="1" x14ac:dyDescent="0.3">
      <c r="A1570" s="8" t="s">
        <v>1990</v>
      </c>
      <c r="B1570" s="8" t="s">
        <v>2005</v>
      </c>
      <c r="C1570" s="8" t="s">
        <v>2006</v>
      </c>
      <c r="D1570" s="8" t="s">
        <v>2007</v>
      </c>
      <c r="E1570" s="8" t="s">
        <v>151</v>
      </c>
      <c r="F1570" s="9">
        <v>36</v>
      </c>
      <c r="G1570" s="5">
        <f>TRUNC([1]단가대비표!O1901,0)</f>
        <v>50000</v>
      </c>
      <c r="H1570" s="5">
        <f t="shared" si="141"/>
        <v>1800000</v>
      </c>
      <c r="I1570" s="5">
        <v>0</v>
      </c>
      <c r="J1570" s="5">
        <f t="shared" si="142"/>
        <v>0</v>
      </c>
      <c r="K1570" s="5">
        <v>0</v>
      </c>
      <c r="L1570" s="5">
        <f t="shared" si="143"/>
        <v>0</v>
      </c>
      <c r="M1570" s="5">
        <f t="shared" si="144"/>
        <v>50000</v>
      </c>
      <c r="N1570" s="5">
        <f t="shared" si="144"/>
        <v>1800000</v>
      </c>
      <c r="O1570" s="8" t="s">
        <v>20</v>
      </c>
      <c r="T1570">
        <v>0</v>
      </c>
      <c r="AC1570">
        <v>1</v>
      </c>
    </row>
    <row r="1571" spans="1:29" ht="30" customHeight="1" x14ac:dyDescent="0.3">
      <c r="A1571" s="8" t="s">
        <v>1990</v>
      </c>
      <c r="B1571" s="8" t="s">
        <v>2008</v>
      </c>
      <c r="C1571" s="8" t="s">
        <v>2009</v>
      </c>
      <c r="D1571" s="8" t="s">
        <v>2010</v>
      </c>
      <c r="E1571" s="8" t="s">
        <v>151</v>
      </c>
      <c r="F1571" s="9">
        <v>1</v>
      </c>
      <c r="G1571" s="5">
        <f>TRUNC([1]단가대비표!O1902,0)</f>
        <v>30000</v>
      </c>
      <c r="H1571" s="5">
        <f t="shared" si="141"/>
        <v>30000</v>
      </c>
      <c r="I1571" s="5">
        <v>0</v>
      </c>
      <c r="J1571" s="5">
        <f t="shared" si="142"/>
        <v>0</v>
      </c>
      <c r="K1571" s="5">
        <v>0</v>
      </c>
      <c r="L1571" s="5">
        <f t="shared" si="143"/>
        <v>0</v>
      </c>
      <c r="M1571" s="5">
        <f t="shared" si="144"/>
        <v>30000</v>
      </c>
      <c r="N1571" s="5">
        <f t="shared" si="144"/>
        <v>30000</v>
      </c>
      <c r="O1571" s="8" t="s">
        <v>20</v>
      </c>
      <c r="T1571">
        <v>0</v>
      </c>
      <c r="AC1571">
        <v>1</v>
      </c>
    </row>
    <row r="1572" spans="1:29" ht="30" customHeight="1" x14ac:dyDescent="0.3">
      <c r="A1572" s="8" t="s">
        <v>1990</v>
      </c>
      <c r="B1572" s="8" t="s">
        <v>2011</v>
      </c>
      <c r="C1572" s="8" t="s">
        <v>2012</v>
      </c>
      <c r="D1572" s="8" t="s">
        <v>2013</v>
      </c>
      <c r="E1572" s="8" t="s">
        <v>151</v>
      </c>
      <c r="F1572" s="9">
        <v>37</v>
      </c>
      <c r="G1572" s="5">
        <f>TRUNC([1]단가대비표!O1903,0)</f>
        <v>10000</v>
      </c>
      <c r="H1572" s="5">
        <f t="shared" si="141"/>
        <v>370000</v>
      </c>
      <c r="I1572" s="5">
        <v>0</v>
      </c>
      <c r="J1572" s="5">
        <f t="shared" si="142"/>
        <v>0</v>
      </c>
      <c r="K1572" s="5">
        <v>0</v>
      </c>
      <c r="L1572" s="5">
        <f t="shared" si="143"/>
        <v>0</v>
      </c>
      <c r="M1572" s="5">
        <f t="shared" si="144"/>
        <v>10000</v>
      </c>
      <c r="N1572" s="5">
        <f t="shared" si="144"/>
        <v>370000</v>
      </c>
      <c r="O1572" s="8" t="s">
        <v>20</v>
      </c>
      <c r="T1572">
        <v>0</v>
      </c>
      <c r="AC1572">
        <v>1</v>
      </c>
    </row>
    <row r="1573" spans="1:29" ht="30" customHeight="1" x14ac:dyDescent="0.3">
      <c r="A1573" s="8" t="s">
        <v>1990</v>
      </c>
      <c r="B1573" s="8" t="s">
        <v>2014</v>
      </c>
      <c r="C1573" s="8" t="s">
        <v>2015</v>
      </c>
      <c r="D1573" s="8" t="s">
        <v>2016</v>
      </c>
      <c r="E1573" s="8" t="s">
        <v>151</v>
      </c>
      <c r="F1573" s="9">
        <v>110</v>
      </c>
      <c r="G1573" s="5">
        <f>TRUNC([1]단가대비표!O1904,0)</f>
        <v>3000</v>
      </c>
      <c r="H1573" s="5">
        <f t="shared" si="141"/>
        <v>330000</v>
      </c>
      <c r="I1573" s="5">
        <v>0</v>
      </c>
      <c r="J1573" s="5">
        <f t="shared" si="142"/>
        <v>0</v>
      </c>
      <c r="K1573" s="5">
        <v>0</v>
      </c>
      <c r="L1573" s="5">
        <f t="shared" si="143"/>
        <v>0</v>
      </c>
      <c r="M1573" s="5">
        <f t="shared" si="144"/>
        <v>3000</v>
      </c>
      <c r="N1573" s="5">
        <f t="shared" si="144"/>
        <v>330000</v>
      </c>
      <c r="O1573" s="8" t="s">
        <v>20</v>
      </c>
      <c r="T1573">
        <v>0</v>
      </c>
      <c r="AC1573">
        <v>1</v>
      </c>
    </row>
    <row r="1574" spans="1:29" ht="30" customHeight="1" x14ac:dyDescent="0.3">
      <c r="A1574" s="8" t="s">
        <v>1990</v>
      </c>
      <c r="B1574" s="8" t="s">
        <v>2017</v>
      </c>
      <c r="C1574" s="8" t="s">
        <v>2018</v>
      </c>
      <c r="D1574" s="8" t="s">
        <v>20</v>
      </c>
      <c r="E1574" s="8" t="s">
        <v>20</v>
      </c>
      <c r="F1574" s="9">
        <v>0</v>
      </c>
      <c r="G1574" s="5">
        <f>TRUNC([1]단가대비표!O1905,0)</f>
        <v>0</v>
      </c>
      <c r="H1574" s="5">
        <f t="shared" si="141"/>
        <v>0</v>
      </c>
      <c r="I1574" s="5">
        <v>0</v>
      </c>
      <c r="J1574" s="5">
        <f t="shared" si="142"/>
        <v>0</v>
      </c>
      <c r="K1574" s="5">
        <v>0</v>
      </c>
      <c r="L1574" s="5">
        <f t="shared" si="143"/>
        <v>0</v>
      </c>
      <c r="M1574" s="5">
        <f t="shared" si="144"/>
        <v>0</v>
      </c>
      <c r="N1574" s="5">
        <f t="shared" si="144"/>
        <v>0</v>
      </c>
      <c r="O1574" s="8" t="s">
        <v>20</v>
      </c>
      <c r="T1574">
        <v>0</v>
      </c>
      <c r="AC1574">
        <v>1</v>
      </c>
    </row>
    <row r="1575" spans="1:29" ht="30" customHeight="1" x14ac:dyDescent="0.3">
      <c r="A1575" s="8" t="s">
        <v>1990</v>
      </c>
      <c r="B1575" s="8" t="s">
        <v>2019</v>
      </c>
      <c r="C1575" s="8" t="s">
        <v>2020</v>
      </c>
      <c r="D1575" s="8" t="s">
        <v>2021</v>
      </c>
      <c r="E1575" s="8" t="s">
        <v>151</v>
      </c>
      <c r="F1575" s="9">
        <v>2</v>
      </c>
      <c r="G1575" s="5">
        <f>TRUNC([1]단가대비표!O1906,0)</f>
        <v>900000</v>
      </c>
      <c r="H1575" s="5">
        <f t="shared" si="141"/>
        <v>1800000</v>
      </c>
      <c r="I1575" s="5">
        <v>0</v>
      </c>
      <c r="J1575" s="5">
        <f t="shared" si="142"/>
        <v>0</v>
      </c>
      <c r="K1575" s="5">
        <v>0</v>
      </c>
      <c r="L1575" s="5">
        <f t="shared" si="143"/>
        <v>0</v>
      </c>
      <c r="M1575" s="5">
        <f t="shared" si="144"/>
        <v>900000</v>
      </c>
      <c r="N1575" s="5">
        <f t="shared" si="144"/>
        <v>1800000</v>
      </c>
      <c r="O1575" s="8" t="s">
        <v>20</v>
      </c>
      <c r="T1575">
        <v>0</v>
      </c>
      <c r="AC1575">
        <v>1</v>
      </c>
    </row>
    <row r="1576" spans="1:29" ht="30" customHeight="1" x14ac:dyDescent="0.3">
      <c r="A1576" s="8" t="s">
        <v>1990</v>
      </c>
      <c r="B1576" s="8" t="s">
        <v>2022</v>
      </c>
      <c r="C1576" s="8" t="s">
        <v>2023</v>
      </c>
      <c r="D1576" s="8" t="s">
        <v>2024</v>
      </c>
      <c r="E1576" s="8" t="s">
        <v>151</v>
      </c>
      <c r="F1576" s="9">
        <v>3</v>
      </c>
      <c r="G1576" s="5">
        <f>TRUNC([1]단가대비표!O1907,0)</f>
        <v>200000</v>
      </c>
      <c r="H1576" s="5">
        <f t="shared" si="141"/>
        <v>600000</v>
      </c>
      <c r="I1576" s="5">
        <v>0</v>
      </c>
      <c r="J1576" s="5">
        <f t="shared" si="142"/>
        <v>0</v>
      </c>
      <c r="K1576" s="5">
        <v>0</v>
      </c>
      <c r="L1576" s="5">
        <f t="shared" si="143"/>
        <v>0</v>
      </c>
      <c r="M1576" s="5">
        <f t="shared" si="144"/>
        <v>200000</v>
      </c>
      <c r="N1576" s="5">
        <f t="shared" si="144"/>
        <v>600000</v>
      </c>
      <c r="O1576" s="8" t="s">
        <v>20</v>
      </c>
      <c r="T1576">
        <v>0</v>
      </c>
      <c r="AC1576">
        <v>1</v>
      </c>
    </row>
    <row r="1577" spans="1:29" ht="30" customHeight="1" x14ac:dyDescent="0.3">
      <c r="A1577" s="8" t="s">
        <v>1990</v>
      </c>
      <c r="B1577" s="8" t="s">
        <v>2025</v>
      </c>
      <c r="C1577" s="8" t="s">
        <v>2026</v>
      </c>
      <c r="D1577" s="8" t="s">
        <v>2027</v>
      </c>
      <c r="E1577" s="8" t="s">
        <v>151</v>
      </c>
      <c r="F1577" s="9">
        <v>2</v>
      </c>
      <c r="G1577" s="5">
        <f>TRUNC([1]단가대비표!O1908,0)</f>
        <v>85000</v>
      </c>
      <c r="H1577" s="5">
        <f t="shared" si="141"/>
        <v>170000</v>
      </c>
      <c r="I1577" s="5">
        <v>0</v>
      </c>
      <c r="J1577" s="5">
        <f t="shared" si="142"/>
        <v>0</v>
      </c>
      <c r="K1577" s="5">
        <v>0</v>
      </c>
      <c r="L1577" s="5">
        <f t="shared" si="143"/>
        <v>0</v>
      </c>
      <c r="M1577" s="5">
        <f t="shared" si="144"/>
        <v>85000</v>
      </c>
      <c r="N1577" s="5">
        <f t="shared" si="144"/>
        <v>170000</v>
      </c>
      <c r="O1577" s="8" t="s">
        <v>20</v>
      </c>
      <c r="T1577">
        <v>0</v>
      </c>
      <c r="AC1577">
        <v>1</v>
      </c>
    </row>
    <row r="1578" spans="1:29" ht="30" customHeight="1" x14ac:dyDescent="0.3">
      <c r="A1578" s="8" t="s">
        <v>1990</v>
      </c>
      <c r="B1578" s="8" t="s">
        <v>2028</v>
      </c>
      <c r="C1578" s="8" t="s">
        <v>2029</v>
      </c>
      <c r="D1578" s="8" t="s">
        <v>2030</v>
      </c>
      <c r="E1578" s="8" t="s">
        <v>895</v>
      </c>
      <c r="F1578" s="9">
        <v>132</v>
      </c>
      <c r="G1578" s="5">
        <f>TRUNC([1]단가대비표!O1909,0)</f>
        <v>1044</v>
      </c>
      <c r="H1578" s="5">
        <f t="shared" si="141"/>
        <v>137808</v>
      </c>
      <c r="I1578" s="5">
        <v>0</v>
      </c>
      <c r="J1578" s="5">
        <f t="shared" si="142"/>
        <v>0</v>
      </c>
      <c r="K1578" s="5">
        <v>0</v>
      </c>
      <c r="L1578" s="5">
        <f t="shared" si="143"/>
        <v>0</v>
      </c>
      <c r="M1578" s="5">
        <f t="shared" si="144"/>
        <v>1044</v>
      </c>
      <c r="N1578" s="5">
        <f t="shared" si="144"/>
        <v>137808</v>
      </c>
      <c r="O1578" s="8" t="s">
        <v>20</v>
      </c>
      <c r="T1578">
        <v>0</v>
      </c>
      <c r="AC1578">
        <v>1</v>
      </c>
    </row>
    <row r="1579" spans="1:29" ht="30" customHeight="1" x14ac:dyDescent="0.3">
      <c r="A1579" s="8" t="s">
        <v>1990</v>
      </c>
      <c r="B1579" s="8" t="s">
        <v>2031</v>
      </c>
      <c r="C1579" s="8" t="s">
        <v>2032</v>
      </c>
      <c r="D1579" s="8" t="s">
        <v>2033</v>
      </c>
      <c r="E1579" s="8" t="s">
        <v>895</v>
      </c>
      <c r="F1579" s="9">
        <v>178</v>
      </c>
      <c r="G1579" s="5">
        <f>TRUNC([1]단가대비표!O1910,0)</f>
        <v>2980</v>
      </c>
      <c r="H1579" s="5">
        <f t="shared" si="141"/>
        <v>530440</v>
      </c>
      <c r="I1579" s="5">
        <v>0</v>
      </c>
      <c r="J1579" s="5">
        <f t="shared" si="142"/>
        <v>0</v>
      </c>
      <c r="K1579" s="5">
        <v>0</v>
      </c>
      <c r="L1579" s="5">
        <f t="shared" si="143"/>
        <v>0</v>
      </c>
      <c r="M1579" s="5">
        <f t="shared" si="144"/>
        <v>2980</v>
      </c>
      <c r="N1579" s="5">
        <f t="shared" si="144"/>
        <v>530440</v>
      </c>
      <c r="O1579" s="8" t="s">
        <v>20</v>
      </c>
      <c r="T1579">
        <v>0</v>
      </c>
      <c r="AC1579">
        <v>1</v>
      </c>
    </row>
    <row r="1580" spans="1:29" ht="30" customHeight="1" x14ac:dyDescent="0.3">
      <c r="A1580" s="8" t="s">
        <v>1990</v>
      </c>
      <c r="B1580" s="8" t="s">
        <v>2034</v>
      </c>
      <c r="C1580" s="8" t="s">
        <v>2032</v>
      </c>
      <c r="D1580" s="8" t="s">
        <v>2035</v>
      </c>
      <c r="E1580" s="8" t="s">
        <v>895</v>
      </c>
      <c r="F1580" s="9">
        <v>79</v>
      </c>
      <c r="G1580" s="5">
        <f>TRUNC([1]단가대비표!O1911,0)</f>
        <v>3600</v>
      </c>
      <c r="H1580" s="5">
        <f t="shared" si="141"/>
        <v>284400</v>
      </c>
      <c r="I1580" s="5">
        <v>0</v>
      </c>
      <c r="J1580" s="5">
        <f t="shared" si="142"/>
        <v>0</v>
      </c>
      <c r="K1580" s="5">
        <v>0</v>
      </c>
      <c r="L1580" s="5">
        <f t="shared" si="143"/>
        <v>0</v>
      </c>
      <c r="M1580" s="5">
        <f t="shared" si="144"/>
        <v>3600</v>
      </c>
      <c r="N1580" s="5">
        <f t="shared" si="144"/>
        <v>284400</v>
      </c>
      <c r="O1580" s="8" t="s">
        <v>20</v>
      </c>
      <c r="T1580">
        <v>0</v>
      </c>
      <c r="AC1580">
        <v>1</v>
      </c>
    </row>
    <row r="1581" spans="1:29" ht="30" customHeight="1" x14ac:dyDescent="0.3">
      <c r="A1581" s="8" t="s">
        <v>1990</v>
      </c>
      <c r="B1581" s="8" t="s">
        <v>2036</v>
      </c>
      <c r="C1581" s="8" t="s">
        <v>2037</v>
      </c>
      <c r="D1581" s="8" t="s">
        <v>2038</v>
      </c>
      <c r="E1581" s="8" t="s">
        <v>161</v>
      </c>
      <c r="F1581" s="9">
        <v>1</v>
      </c>
      <c r="G1581" s="5">
        <f>TRUNC([1]단가대비표!O1912,0)</f>
        <v>20671</v>
      </c>
      <c r="H1581" s="5">
        <f t="shared" si="141"/>
        <v>20671</v>
      </c>
      <c r="I1581" s="5">
        <v>0</v>
      </c>
      <c r="J1581" s="5">
        <f t="shared" si="142"/>
        <v>0</v>
      </c>
      <c r="K1581" s="5">
        <v>0</v>
      </c>
      <c r="L1581" s="5">
        <f t="shared" si="143"/>
        <v>0</v>
      </c>
      <c r="M1581" s="5">
        <f t="shared" si="144"/>
        <v>20671</v>
      </c>
      <c r="N1581" s="5">
        <f t="shared" si="144"/>
        <v>20671</v>
      </c>
      <c r="O1581" s="8" t="s">
        <v>20</v>
      </c>
      <c r="T1581">
        <v>0</v>
      </c>
      <c r="AC1581">
        <v>1</v>
      </c>
    </row>
    <row r="1582" spans="1:29" ht="30" customHeight="1" x14ac:dyDescent="0.3">
      <c r="A1582" s="8" t="s">
        <v>1990</v>
      </c>
      <c r="B1582" s="8" t="s">
        <v>2039</v>
      </c>
      <c r="C1582" s="8" t="s">
        <v>174</v>
      </c>
      <c r="D1582" s="8" t="s">
        <v>2040</v>
      </c>
      <c r="E1582" s="8" t="s">
        <v>161</v>
      </c>
      <c r="F1582" s="9">
        <v>1</v>
      </c>
      <c r="G1582" s="5">
        <f>TRUNC([1]단가대비표!O1913,0)</f>
        <v>47632</v>
      </c>
      <c r="H1582" s="5">
        <f t="shared" si="141"/>
        <v>47632</v>
      </c>
      <c r="I1582" s="5">
        <v>0</v>
      </c>
      <c r="J1582" s="5">
        <f t="shared" si="142"/>
        <v>0</v>
      </c>
      <c r="K1582" s="5">
        <v>0</v>
      </c>
      <c r="L1582" s="5">
        <f t="shared" si="143"/>
        <v>0</v>
      </c>
      <c r="M1582" s="5">
        <f t="shared" si="144"/>
        <v>47632</v>
      </c>
      <c r="N1582" s="5">
        <f t="shared" si="144"/>
        <v>47632</v>
      </c>
      <c r="O1582" s="8" t="s">
        <v>20</v>
      </c>
      <c r="T1582">
        <v>0</v>
      </c>
      <c r="AC1582">
        <v>1</v>
      </c>
    </row>
    <row r="1583" spans="1:29" ht="30" customHeight="1" x14ac:dyDescent="0.3">
      <c r="A1583" s="8" t="s">
        <v>1990</v>
      </c>
      <c r="B1583" s="8" t="s">
        <v>2041</v>
      </c>
      <c r="C1583" s="8" t="s">
        <v>2042</v>
      </c>
      <c r="D1583" s="8" t="s">
        <v>2043</v>
      </c>
      <c r="E1583" s="8" t="s">
        <v>151</v>
      </c>
      <c r="F1583" s="9">
        <v>129</v>
      </c>
      <c r="G1583" s="5">
        <f>TRUNC([1]단가대비표!O1914,0)</f>
        <v>3000</v>
      </c>
      <c r="H1583" s="5">
        <f t="shared" si="141"/>
        <v>387000</v>
      </c>
      <c r="I1583" s="5">
        <v>0</v>
      </c>
      <c r="J1583" s="5">
        <f t="shared" si="142"/>
        <v>0</v>
      </c>
      <c r="K1583" s="5">
        <v>0</v>
      </c>
      <c r="L1583" s="5">
        <f t="shared" si="143"/>
        <v>0</v>
      </c>
      <c r="M1583" s="5">
        <f t="shared" si="144"/>
        <v>3000</v>
      </c>
      <c r="N1583" s="5">
        <f t="shared" si="144"/>
        <v>387000</v>
      </c>
      <c r="O1583" s="8" t="s">
        <v>20</v>
      </c>
      <c r="T1583">
        <v>0</v>
      </c>
      <c r="AC1583">
        <v>1</v>
      </c>
    </row>
    <row r="1584" spans="1:29" ht="30" customHeight="1" x14ac:dyDescent="0.3">
      <c r="A1584" s="8" t="s">
        <v>1990</v>
      </c>
      <c r="B1584" s="8" t="s">
        <v>1534</v>
      </c>
      <c r="C1584" s="8" t="s">
        <v>153</v>
      </c>
      <c r="D1584" s="8" t="s">
        <v>1535</v>
      </c>
      <c r="E1584" s="8" t="s">
        <v>155</v>
      </c>
      <c r="F1584" s="9">
        <v>29</v>
      </c>
      <c r="G1584" s="5">
        <v>0</v>
      </c>
      <c r="H1584" s="5">
        <f t="shared" si="141"/>
        <v>0</v>
      </c>
      <c r="I1584" s="5">
        <f>TRUNC([1]단가대비표!O665,0)</f>
        <v>265406</v>
      </c>
      <c r="J1584" s="5">
        <f t="shared" si="142"/>
        <v>7696774</v>
      </c>
      <c r="K1584" s="5">
        <v>0</v>
      </c>
      <c r="L1584" s="5">
        <f t="shared" si="143"/>
        <v>0</v>
      </c>
      <c r="M1584" s="5">
        <f t="shared" si="144"/>
        <v>265406</v>
      </c>
      <c r="N1584" s="5">
        <f t="shared" si="144"/>
        <v>7696774</v>
      </c>
      <c r="O1584" s="8" t="s">
        <v>20</v>
      </c>
      <c r="T1584">
        <v>0</v>
      </c>
      <c r="W1584">
        <v>3</v>
      </c>
      <c r="AC1584">
        <v>1</v>
      </c>
    </row>
    <row r="1585" spans="1:29" ht="30" customHeight="1" x14ac:dyDescent="0.3">
      <c r="A1585" s="8" t="s">
        <v>1990</v>
      </c>
      <c r="B1585" s="8" t="s">
        <v>1536</v>
      </c>
      <c r="C1585" s="8" t="s">
        <v>153</v>
      </c>
      <c r="D1585" s="8" t="s">
        <v>1537</v>
      </c>
      <c r="E1585" s="8" t="s">
        <v>155</v>
      </c>
      <c r="F1585" s="9">
        <v>5</v>
      </c>
      <c r="G1585" s="5">
        <v>0</v>
      </c>
      <c r="H1585" s="5">
        <f t="shared" si="141"/>
        <v>0</v>
      </c>
      <c r="I1585" s="5">
        <f>TRUNC([1]단가대비표!O674,0)</f>
        <v>288442</v>
      </c>
      <c r="J1585" s="5">
        <f t="shared" si="142"/>
        <v>1442210</v>
      </c>
      <c r="K1585" s="5">
        <v>0</v>
      </c>
      <c r="L1585" s="5">
        <f t="shared" si="143"/>
        <v>0</v>
      </c>
      <c r="M1585" s="5">
        <f t="shared" si="144"/>
        <v>288442</v>
      </c>
      <c r="N1585" s="5">
        <f t="shared" si="144"/>
        <v>1442210</v>
      </c>
      <c r="O1585" s="8" t="s">
        <v>20</v>
      </c>
      <c r="T1585">
        <v>0</v>
      </c>
      <c r="W1585">
        <v>3</v>
      </c>
      <c r="AC1585">
        <v>1</v>
      </c>
    </row>
    <row r="1586" spans="1:29" ht="30" customHeight="1" x14ac:dyDescent="0.3">
      <c r="A1586" s="8" t="s">
        <v>1990</v>
      </c>
      <c r="B1586" s="8" t="s">
        <v>1538</v>
      </c>
      <c r="C1586" s="8" t="s">
        <v>153</v>
      </c>
      <c r="D1586" s="8" t="s">
        <v>1539</v>
      </c>
      <c r="E1586" s="8" t="s">
        <v>155</v>
      </c>
      <c r="F1586" s="9">
        <v>9</v>
      </c>
      <c r="G1586" s="5">
        <v>0</v>
      </c>
      <c r="H1586" s="5">
        <f t="shared" si="141"/>
        <v>0</v>
      </c>
      <c r="I1586" s="5">
        <f>TRUNC([1]단가대비표!O663,0)</f>
        <v>283405</v>
      </c>
      <c r="J1586" s="5">
        <f t="shared" si="142"/>
        <v>2550645</v>
      </c>
      <c r="K1586" s="5">
        <v>0</v>
      </c>
      <c r="L1586" s="5">
        <f t="shared" si="143"/>
        <v>0</v>
      </c>
      <c r="M1586" s="5">
        <f t="shared" si="144"/>
        <v>283405</v>
      </c>
      <c r="N1586" s="5">
        <f t="shared" si="144"/>
        <v>2550645</v>
      </c>
      <c r="O1586" s="8" t="s">
        <v>20</v>
      </c>
      <c r="T1586">
        <v>0</v>
      </c>
      <c r="W1586">
        <v>3</v>
      </c>
      <c r="AC1586">
        <v>1</v>
      </c>
    </row>
    <row r="1587" spans="1:29" ht="30" customHeight="1" x14ac:dyDescent="0.3">
      <c r="A1587" s="8" t="s">
        <v>1990</v>
      </c>
      <c r="B1587" s="8" t="s">
        <v>152</v>
      </c>
      <c r="C1587" s="8" t="s">
        <v>153</v>
      </c>
      <c r="D1587" s="8" t="s">
        <v>154</v>
      </c>
      <c r="E1587" s="8" t="s">
        <v>155</v>
      </c>
      <c r="F1587" s="9">
        <v>6</v>
      </c>
      <c r="G1587" s="5">
        <v>0</v>
      </c>
      <c r="H1587" s="5">
        <f t="shared" si="141"/>
        <v>0</v>
      </c>
      <c r="I1587" s="5">
        <f>TRUNC([1]단가대비표!O671,0)</f>
        <v>157068</v>
      </c>
      <c r="J1587" s="5">
        <f t="shared" si="142"/>
        <v>942408</v>
      </c>
      <c r="K1587" s="5">
        <v>0</v>
      </c>
      <c r="L1587" s="5">
        <f t="shared" si="143"/>
        <v>0</v>
      </c>
      <c r="M1587" s="5">
        <f t="shared" si="144"/>
        <v>157068</v>
      </c>
      <c r="N1587" s="5">
        <f t="shared" si="144"/>
        <v>942408</v>
      </c>
      <c r="O1587" s="8" t="s">
        <v>20</v>
      </c>
      <c r="T1587">
        <v>0</v>
      </c>
      <c r="W1587">
        <v>3</v>
      </c>
      <c r="AC1587">
        <v>1</v>
      </c>
    </row>
    <row r="1588" spans="1:29" ht="30" customHeight="1" x14ac:dyDescent="0.3">
      <c r="A1588" s="8" t="s">
        <v>1990</v>
      </c>
      <c r="B1588" s="8" t="s">
        <v>158</v>
      </c>
      <c r="C1588" s="8" t="s">
        <v>159</v>
      </c>
      <c r="D1588" s="8" t="s">
        <v>2044</v>
      </c>
      <c r="E1588" s="8" t="s">
        <v>161</v>
      </c>
      <c r="F1588" s="9">
        <v>1</v>
      </c>
      <c r="G1588" s="5">
        <f>ROUNDDOWN(SUMIF(W1565:W1588, RIGHTB(B1588, 1), J1565:J1588)*T1588, 0)</f>
        <v>378961</v>
      </c>
      <c r="H1588" s="5">
        <f t="shared" si="141"/>
        <v>378961</v>
      </c>
      <c r="I1588" s="5">
        <v>0</v>
      </c>
      <c r="J1588" s="5">
        <f t="shared" si="142"/>
        <v>0</v>
      </c>
      <c r="K1588" s="5">
        <v>0</v>
      </c>
      <c r="L1588" s="5">
        <f t="shared" si="143"/>
        <v>0</v>
      </c>
      <c r="M1588" s="5">
        <f t="shared" si="144"/>
        <v>378961</v>
      </c>
      <c r="N1588" s="5">
        <f t="shared" si="144"/>
        <v>378961</v>
      </c>
      <c r="O1588" s="8" t="s">
        <v>20</v>
      </c>
      <c r="P1588">
        <v>1588</v>
      </c>
      <c r="R1588">
        <v>1</v>
      </c>
      <c r="S1588">
        <v>0</v>
      </c>
      <c r="T1588">
        <v>0.03</v>
      </c>
      <c r="AC1588">
        <v>1</v>
      </c>
    </row>
    <row r="1589" spans="1:29" ht="30" customHeight="1" x14ac:dyDescent="0.3">
      <c r="A1589" s="5"/>
      <c r="B1589" s="5"/>
      <c r="C1589" s="5" t="s">
        <v>162</v>
      </c>
      <c r="D1589" s="5"/>
      <c r="E1589" s="5"/>
      <c r="F1589" s="9"/>
      <c r="G1589" s="5"/>
      <c r="H1589" s="5">
        <f>SUMIF(AC1565:AC1588, 1, H1565:H1588)</f>
        <v>13762912</v>
      </c>
      <c r="I1589" s="5"/>
      <c r="J1589" s="5">
        <f>SUMIF(AC1565:AC1588, 1, J1565:J1588)</f>
        <v>12632037</v>
      </c>
      <c r="K1589" s="5"/>
      <c r="L1589" s="5">
        <f>SUMIF(AC1565:AC1588, 1, L1565:L1588)</f>
        <v>0</v>
      </c>
      <c r="M1589" s="5"/>
      <c r="N1589" s="5">
        <f>H1589+J1589+L1589</f>
        <v>26394949</v>
      </c>
      <c r="O1589" s="5"/>
    </row>
    <row r="1590" spans="1:29" ht="30" customHeight="1" x14ac:dyDescent="0.3">
      <c r="A1590" s="5"/>
      <c r="B1590" s="5"/>
      <c r="C1590" s="6" t="s">
        <v>2045</v>
      </c>
      <c r="D1590" s="6"/>
      <c r="E1590" s="6"/>
      <c r="F1590" s="7"/>
      <c r="G1590" s="6"/>
      <c r="H1590" s="6"/>
      <c r="I1590" s="6"/>
      <c r="J1590" s="6"/>
      <c r="K1590" s="6"/>
      <c r="L1590" s="6"/>
      <c r="M1590" s="6"/>
      <c r="N1590" s="6"/>
      <c r="O1590" s="6"/>
    </row>
    <row r="1591" spans="1:29" ht="30" customHeight="1" x14ac:dyDescent="0.3">
      <c r="A1591" s="8" t="s">
        <v>2046</v>
      </c>
      <c r="B1591" s="8" t="s">
        <v>2047</v>
      </c>
      <c r="C1591" s="8" t="s">
        <v>2048</v>
      </c>
      <c r="D1591" s="8" t="s">
        <v>2049</v>
      </c>
      <c r="E1591" s="8" t="s">
        <v>428</v>
      </c>
      <c r="F1591" s="9">
        <v>2</v>
      </c>
      <c r="G1591" s="5">
        <f>TRUNC([1]단가대비표!O1918,0)</f>
        <v>33300</v>
      </c>
      <c r="H1591" s="5">
        <f>TRUNC(F1591*G1591,0)</f>
        <v>66600</v>
      </c>
      <c r="I1591" s="5">
        <v>0</v>
      </c>
      <c r="J1591" s="5">
        <f>TRUNC(F1591*I1591,0)</f>
        <v>0</v>
      </c>
      <c r="K1591" s="5">
        <v>0</v>
      </c>
      <c r="L1591" s="5">
        <f>TRUNC(F1591*K1591,0)</f>
        <v>0</v>
      </c>
      <c r="M1591" s="5">
        <f t="shared" ref="M1591:N1595" si="145">G1591+I1591+K1591</f>
        <v>33300</v>
      </c>
      <c r="N1591" s="5">
        <f t="shared" si="145"/>
        <v>66600</v>
      </c>
      <c r="O1591" s="8" t="s">
        <v>20</v>
      </c>
      <c r="T1591">
        <v>0</v>
      </c>
      <c r="AC1591">
        <v>1</v>
      </c>
    </row>
    <row r="1592" spans="1:29" ht="30" customHeight="1" x14ac:dyDescent="0.3">
      <c r="A1592" s="8" t="s">
        <v>2046</v>
      </c>
      <c r="B1592" s="8" t="s">
        <v>2050</v>
      </c>
      <c r="C1592" s="8" t="s">
        <v>2048</v>
      </c>
      <c r="D1592" s="8" t="s">
        <v>2051</v>
      </c>
      <c r="E1592" s="8" t="s">
        <v>428</v>
      </c>
      <c r="F1592" s="9">
        <v>46</v>
      </c>
      <c r="G1592" s="5">
        <f>TRUNC([1]단가대비표!O1919,0)</f>
        <v>39100</v>
      </c>
      <c r="H1592" s="5">
        <f>TRUNC(F1592*G1592,0)</f>
        <v>1798600</v>
      </c>
      <c r="I1592" s="5">
        <v>0</v>
      </c>
      <c r="J1592" s="5">
        <f>TRUNC(F1592*I1592,0)</f>
        <v>0</v>
      </c>
      <c r="K1592" s="5">
        <v>0</v>
      </c>
      <c r="L1592" s="5">
        <f>TRUNC(F1592*K1592,0)</f>
        <v>0</v>
      </c>
      <c r="M1592" s="5">
        <f t="shared" si="145"/>
        <v>39100</v>
      </c>
      <c r="N1592" s="5">
        <f t="shared" si="145"/>
        <v>1798600</v>
      </c>
      <c r="O1592" s="8" t="s">
        <v>20</v>
      </c>
      <c r="T1592">
        <v>0</v>
      </c>
      <c r="AC1592">
        <v>1</v>
      </c>
    </row>
    <row r="1593" spans="1:29" ht="30" customHeight="1" x14ac:dyDescent="0.3">
      <c r="A1593" s="8" t="s">
        <v>2046</v>
      </c>
      <c r="B1593" s="8" t="s">
        <v>2052</v>
      </c>
      <c r="C1593" s="8" t="s">
        <v>2048</v>
      </c>
      <c r="D1593" s="8" t="s">
        <v>2053</v>
      </c>
      <c r="E1593" s="8" t="s">
        <v>428</v>
      </c>
      <c r="F1593" s="9">
        <v>26</v>
      </c>
      <c r="G1593" s="5">
        <f>TRUNC([1]단가대비표!O1920,0)</f>
        <v>46800</v>
      </c>
      <c r="H1593" s="5">
        <f>TRUNC(F1593*G1593,0)</f>
        <v>1216800</v>
      </c>
      <c r="I1593" s="5">
        <v>0</v>
      </c>
      <c r="J1593" s="5">
        <f>TRUNC(F1593*I1593,0)</f>
        <v>0</v>
      </c>
      <c r="K1593" s="5">
        <v>0</v>
      </c>
      <c r="L1593" s="5">
        <f>TRUNC(F1593*K1593,0)</f>
        <v>0</v>
      </c>
      <c r="M1593" s="5">
        <f t="shared" si="145"/>
        <v>46800</v>
      </c>
      <c r="N1593" s="5">
        <f t="shared" si="145"/>
        <v>1216800</v>
      </c>
      <c r="O1593" s="8" t="s">
        <v>20</v>
      </c>
      <c r="T1593">
        <v>0</v>
      </c>
      <c r="AC1593">
        <v>1</v>
      </c>
    </row>
    <row r="1594" spans="1:29" ht="30" customHeight="1" x14ac:dyDescent="0.3">
      <c r="A1594" s="8" t="s">
        <v>2046</v>
      </c>
      <c r="B1594" s="8" t="s">
        <v>2054</v>
      </c>
      <c r="C1594" s="8" t="s">
        <v>2048</v>
      </c>
      <c r="D1594" s="8" t="s">
        <v>2055</v>
      </c>
      <c r="E1594" s="8" t="s">
        <v>428</v>
      </c>
      <c r="F1594" s="9">
        <v>11</v>
      </c>
      <c r="G1594" s="5">
        <f>TRUNC([1]단가대비표!O1921,0)</f>
        <v>54630</v>
      </c>
      <c r="H1594" s="5">
        <f>TRUNC(F1594*G1594,0)</f>
        <v>600930</v>
      </c>
      <c r="I1594" s="5">
        <v>0</v>
      </c>
      <c r="J1594" s="5">
        <f>TRUNC(F1594*I1594,0)</f>
        <v>0</v>
      </c>
      <c r="K1594" s="5">
        <v>0</v>
      </c>
      <c r="L1594" s="5">
        <f>TRUNC(F1594*K1594,0)</f>
        <v>0</v>
      </c>
      <c r="M1594" s="5">
        <f t="shared" si="145"/>
        <v>54630</v>
      </c>
      <c r="N1594" s="5">
        <f t="shared" si="145"/>
        <v>600930</v>
      </c>
      <c r="O1594" s="8" t="s">
        <v>20</v>
      </c>
      <c r="T1594">
        <v>0</v>
      </c>
      <c r="AC1594">
        <v>1</v>
      </c>
    </row>
    <row r="1595" spans="1:29" ht="30" customHeight="1" x14ac:dyDescent="0.3">
      <c r="A1595" s="8" t="s">
        <v>2046</v>
      </c>
      <c r="B1595" s="8" t="s">
        <v>2056</v>
      </c>
      <c r="C1595" s="8" t="s">
        <v>2057</v>
      </c>
      <c r="D1595" s="8" t="s">
        <v>2058</v>
      </c>
      <c r="E1595" s="8" t="s">
        <v>428</v>
      </c>
      <c r="F1595" s="9">
        <v>5</v>
      </c>
      <c r="G1595" s="5">
        <f>TRUNC([1]단가대비표!O1922,0)</f>
        <v>45000</v>
      </c>
      <c r="H1595" s="5">
        <f>TRUNC(F1595*G1595,0)</f>
        <v>225000</v>
      </c>
      <c r="I1595" s="5">
        <v>0</v>
      </c>
      <c r="J1595" s="5">
        <f>TRUNC(F1595*I1595,0)</f>
        <v>0</v>
      </c>
      <c r="K1595" s="5">
        <v>0</v>
      </c>
      <c r="L1595" s="5">
        <f>TRUNC(F1595*K1595,0)</f>
        <v>0</v>
      </c>
      <c r="M1595" s="5">
        <f t="shared" si="145"/>
        <v>45000</v>
      </c>
      <c r="N1595" s="5">
        <f t="shared" si="145"/>
        <v>225000</v>
      </c>
      <c r="O1595" s="8" t="s">
        <v>20</v>
      </c>
      <c r="T1595">
        <v>0</v>
      </c>
      <c r="AC1595">
        <v>1</v>
      </c>
    </row>
    <row r="1596" spans="1:29" ht="30" customHeight="1" x14ac:dyDescent="0.3">
      <c r="A1596" s="5"/>
      <c r="B1596" s="5"/>
      <c r="C1596" s="5"/>
      <c r="D1596" s="5"/>
      <c r="E1596" s="5"/>
      <c r="F1596" s="9"/>
      <c r="G1596" s="5"/>
      <c r="H1596" s="5"/>
      <c r="I1596" s="5"/>
      <c r="J1596" s="5"/>
      <c r="K1596" s="5"/>
      <c r="L1596" s="5"/>
      <c r="M1596" s="5"/>
      <c r="N1596" s="5"/>
      <c r="O1596" s="5"/>
    </row>
    <row r="1597" spans="1:29" ht="30" customHeight="1" x14ac:dyDescent="0.3">
      <c r="A1597" s="5"/>
      <c r="B1597" s="5"/>
      <c r="C1597" s="5"/>
      <c r="D1597" s="5"/>
      <c r="E1597" s="5"/>
      <c r="F1597" s="9"/>
      <c r="G1597" s="5"/>
      <c r="H1597" s="5"/>
      <c r="I1597" s="5"/>
      <c r="J1597" s="5"/>
      <c r="K1597" s="5"/>
      <c r="L1597" s="5"/>
      <c r="M1597" s="5"/>
      <c r="N1597" s="5"/>
      <c r="O1597" s="5"/>
    </row>
    <row r="1598" spans="1:29" ht="30" customHeight="1" x14ac:dyDescent="0.3">
      <c r="A1598" s="5"/>
      <c r="B1598" s="5"/>
      <c r="C1598" s="5"/>
      <c r="D1598" s="5"/>
      <c r="E1598" s="5"/>
      <c r="F1598" s="9"/>
      <c r="G1598" s="5"/>
      <c r="H1598" s="5"/>
      <c r="I1598" s="5"/>
      <c r="J1598" s="5"/>
      <c r="K1598" s="5"/>
      <c r="L1598" s="5"/>
      <c r="M1598" s="5"/>
      <c r="N1598" s="5"/>
      <c r="O1598" s="5"/>
    </row>
    <row r="1599" spans="1:29" ht="30" customHeight="1" x14ac:dyDescent="0.3">
      <c r="A1599" s="5"/>
      <c r="B1599" s="5"/>
      <c r="C1599" s="5"/>
      <c r="D1599" s="5"/>
      <c r="E1599" s="5"/>
      <c r="F1599" s="9"/>
      <c r="G1599" s="5"/>
      <c r="H1599" s="5"/>
      <c r="I1599" s="5"/>
      <c r="J1599" s="5"/>
      <c r="K1599" s="5"/>
      <c r="L1599" s="5"/>
      <c r="M1599" s="5"/>
      <c r="N1599" s="5"/>
      <c r="O1599" s="5"/>
    </row>
    <row r="1600" spans="1:29" ht="30" customHeight="1" x14ac:dyDescent="0.3">
      <c r="A1600" s="5"/>
      <c r="B1600" s="5"/>
      <c r="C1600" s="5"/>
      <c r="D1600" s="5"/>
      <c r="E1600" s="5"/>
      <c r="F1600" s="9"/>
      <c r="G1600" s="5"/>
      <c r="H1600" s="5"/>
      <c r="I1600" s="5"/>
      <c r="J1600" s="5"/>
      <c r="K1600" s="5"/>
      <c r="L1600" s="5"/>
      <c r="M1600" s="5"/>
      <c r="N1600" s="5"/>
      <c r="O1600" s="5"/>
    </row>
    <row r="1601" spans="1:15" ht="30" customHeight="1" x14ac:dyDescent="0.3">
      <c r="A1601" s="5"/>
      <c r="B1601" s="5"/>
      <c r="C1601" s="5"/>
      <c r="D1601" s="5"/>
      <c r="E1601" s="5"/>
      <c r="F1601" s="9"/>
      <c r="G1601" s="5"/>
      <c r="H1601" s="5"/>
      <c r="I1601" s="5"/>
      <c r="J1601" s="5"/>
      <c r="K1601" s="5"/>
      <c r="L1601" s="5"/>
      <c r="M1601" s="5"/>
      <c r="N1601" s="5"/>
      <c r="O1601" s="5"/>
    </row>
    <row r="1602" spans="1:15" ht="30" customHeight="1" x14ac:dyDescent="0.3">
      <c r="A1602" s="5"/>
      <c r="B1602" s="5"/>
      <c r="C1602" s="5"/>
      <c r="D1602" s="5"/>
      <c r="E1602" s="5"/>
      <c r="F1602" s="9"/>
      <c r="G1602" s="5"/>
      <c r="H1602" s="5"/>
      <c r="I1602" s="5"/>
      <c r="J1602" s="5"/>
      <c r="K1602" s="5"/>
      <c r="L1602" s="5"/>
      <c r="M1602" s="5"/>
      <c r="N1602" s="5"/>
      <c r="O1602" s="5"/>
    </row>
    <row r="1603" spans="1:15" ht="30" customHeight="1" x14ac:dyDescent="0.3">
      <c r="A1603" s="5"/>
      <c r="B1603" s="5"/>
      <c r="C1603" s="5"/>
      <c r="D1603" s="5"/>
      <c r="E1603" s="5"/>
      <c r="F1603" s="9"/>
      <c r="G1603" s="5"/>
      <c r="H1603" s="5"/>
      <c r="I1603" s="5"/>
      <c r="J1603" s="5"/>
      <c r="K1603" s="5"/>
      <c r="L1603" s="5"/>
      <c r="M1603" s="5"/>
      <c r="N1603" s="5"/>
      <c r="O1603" s="5"/>
    </row>
    <row r="1604" spans="1:15" ht="30" customHeight="1" x14ac:dyDescent="0.3">
      <c r="A1604" s="5"/>
      <c r="B1604" s="5"/>
      <c r="C1604" s="5"/>
      <c r="D1604" s="5"/>
      <c r="E1604" s="5"/>
      <c r="F1604" s="9"/>
      <c r="G1604" s="5"/>
      <c r="H1604" s="5"/>
      <c r="I1604" s="5"/>
      <c r="J1604" s="5"/>
      <c r="K1604" s="5"/>
      <c r="L1604" s="5"/>
      <c r="M1604" s="5"/>
      <c r="N1604" s="5"/>
      <c r="O1604" s="5"/>
    </row>
    <row r="1605" spans="1:15" ht="30" customHeight="1" x14ac:dyDescent="0.3">
      <c r="A1605" s="5"/>
      <c r="B1605" s="5"/>
      <c r="C1605" s="5"/>
      <c r="D1605" s="5"/>
      <c r="E1605" s="5"/>
      <c r="F1605" s="9"/>
      <c r="G1605" s="5"/>
      <c r="H1605" s="5"/>
      <c r="I1605" s="5"/>
      <c r="J1605" s="5"/>
      <c r="K1605" s="5"/>
      <c r="L1605" s="5"/>
      <c r="M1605" s="5"/>
      <c r="N1605" s="5"/>
      <c r="O1605" s="5"/>
    </row>
    <row r="1606" spans="1:15" ht="30" customHeight="1" x14ac:dyDescent="0.3">
      <c r="A1606" s="5"/>
      <c r="B1606" s="5"/>
      <c r="C1606" s="5"/>
      <c r="D1606" s="5"/>
      <c r="E1606" s="5"/>
      <c r="F1606" s="9"/>
      <c r="G1606" s="5"/>
      <c r="H1606" s="5"/>
      <c r="I1606" s="5"/>
      <c r="J1606" s="5"/>
      <c r="K1606" s="5"/>
      <c r="L1606" s="5"/>
      <c r="M1606" s="5"/>
      <c r="N1606" s="5"/>
      <c r="O1606" s="5"/>
    </row>
    <row r="1607" spans="1:15" ht="30" customHeight="1" x14ac:dyDescent="0.3">
      <c r="A1607" s="5"/>
      <c r="B1607" s="5"/>
      <c r="C1607" s="5"/>
      <c r="D1607" s="5"/>
      <c r="E1607" s="5"/>
      <c r="F1607" s="9"/>
      <c r="G1607" s="5"/>
      <c r="H1607" s="5"/>
      <c r="I1607" s="5"/>
      <c r="J1607" s="5"/>
      <c r="K1607" s="5"/>
      <c r="L1607" s="5"/>
      <c r="M1607" s="5"/>
      <c r="N1607" s="5"/>
      <c r="O1607" s="5"/>
    </row>
    <row r="1608" spans="1:15" ht="30" customHeight="1" x14ac:dyDescent="0.3">
      <c r="A1608" s="5"/>
      <c r="B1608" s="5"/>
      <c r="C1608" s="5"/>
      <c r="D1608" s="5"/>
      <c r="E1608" s="5"/>
      <c r="F1608" s="9"/>
      <c r="G1608" s="5"/>
      <c r="H1608" s="5"/>
      <c r="I1608" s="5"/>
      <c r="J1608" s="5"/>
      <c r="K1608" s="5"/>
      <c r="L1608" s="5"/>
      <c r="M1608" s="5"/>
      <c r="N1608" s="5"/>
      <c r="O1608" s="5"/>
    </row>
    <row r="1609" spans="1:15" ht="30" customHeight="1" x14ac:dyDescent="0.3">
      <c r="A1609" s="5"/>
      <c r="B1609" s="5"/>
      <c r="C1609" s="5"/>
      <c r="D1609" s="5"/>
      <c r="E1609" s="5"/>
      <c r="F1609" s="9"/>
      <c r="G1609" s="5"/>
      <c r="H1609" s="5"/>
      <c r="I1609" s="5"/>
      <c r="J1609" s="5"/>
      <c r="K1609" s="5"/>
      <c r="L1609" s="5"/>
      <c r="M1609" s="5"/>
      <c r="N1609" s="5"/>
      <c r="O1609" s="5"/>
    </row>
    <row r="1610" spans="1:15" ht="30" customHeight="1" x14ac:dyDescent="0.3">
      <c r="A1610" s="5"/>
      <c r="B1610" s="5"/>
      <c r="C1610" s="5"/>
      <c r="D1610" s="5"/>
      <c r="E1610" s="5"/>
      <c r="F1610" s="9"/>
      <c r="G1610" s="5"/>
      <c r="H1610" s="5"/>
      <c r="I1610" s="5"/>
      <c r="J1610" s="5"/>
      <c r="K1610" s="5"/>
      <c r="L1610" s="5"/>
      <c r="M1610" s="5"/>
      <c r="N1610" s="5"/>
      <c r="O1610" s="5"/>
    </row>
    <row r="1611" spans="1:15" ht="30" customHeight="1" x14ac:dyDescent="0.3">
      <c r="A1611" s="5"/>
      <c r="B1611" s="5"/>
      <c r="C1611" s="5"/>
      <c r="D1611" s="5"/>
      <c r="E1611" s="5"/>
      <c r="F1611" s="9"/>
      <c r="G1611" s="5"/>
      <c r="H1611" s="5"/>
      <c r="I1611" s="5"/>
      <c r="J1611" s="5"/>
      <c r="K1611" s="5"/>
      <c r="L1611" s="5"/>
      <c r="M1611" s="5"/>
      <c r="N1611" s="5"/>
      <c r="O1611" s="5"/>
    </row>
    <row r="1612" spans="1:15" ht="30" customHeight="1" x14ac:dyDescent="0.3">
      <c r="A1612" s="5"/>
      <c r="B1612" s="5"/>
      <c r="C1612" s="5"/>
      <c r="D1612" s="5"/>
      <c r="E1612" s="5"/>
      <c r="F1612" s="9"/>
      <c r="G1612" s="5"/>
      <c r="H1612" s="5"/>
      <c r="I1612" s="5"/>
      <c r="J1612" s="5"/>
      <c r="K1612" s="5"/>
      <c r="L1612" s="5"/>
      <c r="M1612" s="5"/>
      <c r="N1612" s="5"/>
      <c r="O1612" s="5"/>
    </row>
    <row r="1613" spans="1:15" ht="30" customHeight="1" x14ac:dyDescent="0.3">
      <c r="A1613" s="5"/>
      <c r="B1613" s="5"/>
      <c r="C1613" s="5"/>
      <c r="D1613" s="5"/>
      <c r="E1613" s="5"/>
      <c r="F1613" s="9"/>
      <c r="G1613" s="5"/>
      <c r="H1613" s="5"/>
      <c r="I1613" s="5"/>
      <c r="J1613" s="5"/>
      <c r="K1613" s="5"/>
      <c r="L1613" s="5"/>
      <c r="M1613" s="5"/>
      <c r="N1613" s="5"/>
      <c r="O1613" s="5"/>
    </row>
    <row r="1614" spans="1:15" ht="30" customHeight="1" x14ac:dyDescent="0.3">
      <c r="A1614" s="5"/>
      <c r="B1614" s="5"/>
      <c r="C1614" s="5"/>
      <c r="D1614" s="5"/>
      <c r="E1614" s="5"/>
      <c r="F1614" s="9"/>
      <c r="G1614" s="5"/>
      <c r="H1614" s="5"/>
      <c r="I1614" s="5"/>
      <c r="J1614" s="5"/>
      <c r="K1614" s="5"/>
      <c r="L1614" s="5"/>
      <c r="M1614" s="5"/>
      <c r="N1614" s="5"/>
      <c r="O1614" s="5"/>
    </row>
    <row r="1615" spans="1:15" ht="30" customHeight="1" x14ac:dyDescent="0.3">
      <c r="A1615" s="5"/>
      <c r="B1615" s="5"/>
      <c r="C1615" s="5" t="s">
        <v>162</v>
      </c>
      <c r="D1615" s="5"/>
      <c r="E1615" s="5"/>
      <c r="F1615" s="9"/>
      <c r="G1615" s="5"/>
      <c r="H1615" s="5">
        <f>SUMIF(AC1591:AC1614, 1, H1591:H1614)</f>
        <v>3907930</v>
      </c>
      <c r="I1615" s="5"/>
      <c r="J1615" s="5">
        <f>SUMIF(AC1591:AC1614, 1, J1591:J1614)</f>
        <v>0</v>
      </c>
      <c r="K1615" s="5"/>
      <c r="L1615" s="5">
        <f>SUMIF(AC1591:AC1614, 1, L1591:L1614)</f>
        <v>0</v>
      </c>
      <c r="M1615" s="5"/>
      <c r="N1615" s="5">
        <f>H1615+J1615+L1615</f>
        <v>3907930</v>
      </c>
      <c r="O1615" s="5"/>
    </row>
    <row r="1616" spans="1:15" ht="30" customHeight="1" x14ac:dyDescent="0.3">
      <c r="A1616" s="5"/>
      <c r="B1616" s="5"/>
      <c r="C1616" s="10" t="s">
        <v>2059</v>
      </c>
      <c r="D1616" s="10"/>
      <c r="E1616" s="10"/>
      <c r="F1616" s="11"/>
      <c r="G1616" s="10"/>
      <c r="H1616" s="10"/>
      <c r="I1616" s="10"/>
      <c r="J1616" s="10"/>
      <c r="K1616" s="10"/>
      <c r="L1616" s="10"/>
      <c r="M1616" s="10"/>
      <c r="N1616" s="10"/>
      <c r="O1616" s="10"/>
    </row>
    <row r="1617" spans="1:29" ht="30" customHeight="1" x14ac:dyDescent="0.3">
      <c r="A1617" s="8" t="s">
        <v>2060</v>
      </c>
      <c r="B1617" s="8" t="s">
        <v>2061</v>
      </c>
      <c r="C1617" s="8" t="s">
        <v>2062</v>
      </c>
      <c r="D1617" s="8" t="s">
        <v>2063</v>
      </c>
      <c r="E1617" s="8" t="s">
        <v>179</v>
      </c>
      <c r="F1617" s="9">
        <v>1</v>
      </c>
      <c r="G1617" s="5">
        <f>TRUNC([1]단가대비표!O1362,0)</f>
        <v>1500000</v>
      </c>
      <c r="H1617" s="5">
        <f>TRUNC(F1617*G1617,0)</f>
        <v>1500000</v>
      </c>
      <c r="I1617" s="5">
        <v>0</v>
      </c>
      <c r="J1617" s="5">
        <f>TRUNC(F1617*I1617,0)</f>
        <v>0</v>
      </c>
      <c r="K1617" s="5">
        <v>0</v>
      </c>
      <c r="L1617" s="5">
        <f>TRUNC(F1617*K1617,0)</f>
        <v>0</v>
      </c>
      <c r="M1617" s="5">
        <f>G1617+I1617+K1617</f>
        <v>1500000</v>
      </c>
      <c r="N1617" s="5">
        <f>H1617+J1617+L1617</f>
        <v>1500000</v>
      </c>
      <c r="O1617" s="8" t="s">
        <v>20</v>
      </c>
      <c r="R1617">
        <v>0</v>
      </c>
      <c r="S1617">
        <v>0</v>
      </c>
      <c r="T1617">
        <v>0</v>
      </c>
      <c r="AC1617">
        <v>1</v>
      </c>
    </row>
    <row r="1618" spans="1:29" ht="30" customHeight="1" x14ac:dyDescent="0.3">
      <c r="A1618" s="5"/>
      <c r="B1618" s="5"/>
      <c r="C1618" s="5"/>
      <c r="D1618" s="5"/>
      <c r="E1618" s="5"/>
      <c r="F1618" s="9"/>
      <c r="G1618" s="5"/>
      <c r="H1618" s="5"/>
      <c r="I1618" s="5"/>
      <c r="J1618" s="5"/>
      <c r="K1618" s="5"/>
      <c r="L1618" s="5"/>
      <c r="M1618" s="5"/>
      <c r="N1618" s="5"/>
      <c r="O1618" s="5"/>
    </row>
    <row r="1619" spans="1:29" ht="30" customHeight="1" x14ac:dyDescent="0.3">
      <c r="A1619" s="5"/>
      <c r="B1619" s="5"/>
      <c r="C1619" s="5"/>
      <c r="D1619" s="5"/>
      <c r="E1619" s="5"/>
      <c r="F1619" s="9"/>
      <c r="G1619" s="5"/>
      <c r="H1619" s="5"/>
      <c r="I1619" s="5"/>
      <c r="J1619" s="5"/>
      <c r="K1619" s="5"/>
      <c r="L1619" s="5"/>
      <c r="M1619" s="5"/>
      <c r="N1619" s="5"/>
      <c r="O1619" s="5"/>
    </row>
    <row r="1620" spans="1:29" ht="30" customHeight="1" x14ac:dyDescent="0.3">
      <c r="A1620" s="5"/>
      <c r="B1620" s="5"/>
      <c r="C1620" s="5"/>
      <c r="D1620" s="5"/>
      <c r="E1620" s="5"/>
      <c r="F1620" s="9"/>
      <c r="G1620" s="5"/>
      <c r="H1620" s="5"/>
      <c r="I1620" s="5"/>
      <c r="J1620" s="5"/>
      <c r="K1620" s="5"/>
      <c r="L1620" s="5"/>
      <c r="M1620" s="5"/>
      <c r="N1620" s="5"/>
      <c r="O1620" s="5"/>
    </row>
    <row r="1621" spans="1:29" ht="30" customHeight="1" x14ac:dyDescent="0.3">
      <c r="A1621" s="5"/>
      <c r="B1621" s="5"/>
      <c r="C1621" s="5"/>
      <c r="D1621" s="5"/>
      <c r="E1621" s="5"/>
      <c r="F1621" s="9"/>
      <c r="G1621" s="5"/>
      <c r="H1621" s="5"/>
      <c r="I1621" s="5"/>
      <c r="J1621" s="5"/>
      <c r="K1621" s="5"/>
      <c r="L1621" s="5"/>
      <c r="M1621" s="5"/>
      <c r="N1621" s="5"/>
      <c r="O1621" s="5"/>
    </row>
    <row r="1622" spans="1:29" ht="30" customHeight="1" x14ac:dyDescent="0.3">
      <c r="A1622" s="5"/>
      <c r="B1622" s="5"/>
      <c r="C1622" s="5"/>
      <c r="D1622" s="5"/>
      <c r="E1622" s="5"/>
      <c r="F1622" s="9"/>
      <c r="G1622" s="5"/>
      <c r="H1622" s="5"/>
      <c r="I1622" s="5"/>
      <c r="J1622" s="5"/>
      <c r="K1622" s="5"/>
      <c r="L1622" s="5"/>
      <c r="M1622" s="5"/>
      <c r="N1622" s="5"/>
      <c r="O1622" s="5"/>
    </row>
    <row r="1623" spans="1:29" ht="30" customHeight="1" x14ac:dyDescent="0.3">
      <c r="A1623" s="5"/>
      <c r="B1623" s="5"/>
      <c r="C1623" s="5"/>
      <c r="D1623" s="5"/>
      <c r="E1623" s="5"/>
      <c r="F1623" s="9"/>
      <c r="G1623" s="5"/>
      <c r="H1623" s="5"/>
      <c r="I1623" s="5"/>
      <c r="J1623" s="5"/>
      <c r="K1623" s="5"/>
      <c r="L1623" s="5"/>
      <c r="M1623" s="5"/>
      <c r="N1623" s="5"/>
      <c r="O1623" s="5"/>
    </row>
    <row r="1624" spans="1:29" ht="30" customHeight="1" x14ac:dyDescent="0.3">
      <c r="A1624" s="5"/>
      <c r="B1624" s="5"/>
      <c r="C1624" s="5"/>
      <c r="D1624" s="5"/>
      <c r="E1624" s="5"/>
      <c r="F1624" s="9"/>
      <c r="G1624" s="5"/>
      <c r="H1624" s="5"/>
      <c r="I1624" s="5"/>
      <c r="J1624" s="5"/>
      <c r="K1624" s="5"/>
      <c r="L1624" s="5"/>
      <c r="M1624" s="5"/>
      <c r="N1624" s="5"/>
      <c r="O1624" s="5"/>
    </row>
    <row r="1625" spans="1:29" ht="30" customHeight="1" x14ac:dyDescent="0.3">
      <c r="A1625" s="5"/>
      <c r="B1625" s="5"/>
      <c r="C1625" s="5"/>
      <c r="D1625" s="5"/>
      <c r="E1625" s="5"/>
      <c r="F1625" s="9"/>
      <c r="G1625" s="5"/>
      <c r="H1625" s="5"/>
      <c r="I1625" s="5"/>
      <c r="J1625" s="5"/>
      <c r="K1625" s="5"/>
      <c r="L1625" s="5"/>
      <c r="M1625" s="5"/>
      <c r="N1625" s="5"/>
      <c r="O1625" s="5"/>
    </row>
    <row r="1626" spans="1:29" ht="30" customHeight="1" x14ac:dyDescent="0.3">
      <c r="A1626" s="5"/>
      <c r="B1626" s="5"/>
      <c r="C1626" s="5"/>
      <c r="D1626" s="5"/>
      <c r="E1626" s="5"/>
      <c r="F1626" s="9"/>
      <c r="G1626" s="5"/>
      <c r="H1626" s="5"/>
      <c r="I1626" s="5"/>
      <c r="J1626" s="5"/>
      <c r="K1626" s="5"/>
      <c r="L1626" s="5"/>
      <c r="M1626" s="5"/>
      <c r="N1626" s="5"/>
      <c r="O1626" s="5"/>
    </row>
    <row r="1627" spans="1:29" ht="30" customHeight="1" x14ac:dyDescent="0.3">
      <c r="A1627" s="5"/>
      <c r="B1627" s="5"/>
      <c r="C1627" s="5"/>
      <c r="D1627" s="5"/>
      <c r="E1627" s="5"/>
      <c r="F1627" s="9"/>
      <c r="G1627" s="5"/>
      <c r="H1627" s="5"/>
      <c r="I1627" s="5"/>
      <c r="J1627" s="5"/>
      <c r="K1627" s="5"/>
      <c r="L1627" s="5"/>
      <c r="M1627" s="5"/>
      <c r="N1627" s="5"/>
      <c r="O1627" s="5"/>
    </row>
    <row r="1628" spans="1:29" ht="30" customHeight="1" x14ac:dyDescent="0.3">
      <c r="A1628" s="5"/>
      <c r="B1628" s="5"/>
      <c r="C1628" s="5"/>
      <c r="D1628" s="5"/>
      <c r="E1628" s="5"/>
      <c r="F1628" s="9"/>
      <c r="G1628" s="5"/>
      <c r="H1628" s="5"/>
      <c r="I1628" s="5"/>
      <c r="J1628" s="5"/>
      <c r="K1628" s="5"/>
      <c r="L1628" s="5"/>
      <c r="M1628" s="5"/>
      <c r="N1628" s="5"/>
      <c r="O1628" s="5"/>
    </row>
    <row r="1629" spans="1:29" ht="30" customHeight="1" x14ac:dyDescent="0.3">
      <c r="A1629" s="5"/>
      <c r="B1629" s="5"/>
      <c r="C1629" s="5"/>
      <c r="D1629" s="5"/>
      <c r="E1629" s="5"/>
      <c r="F1629" s="9"/>
      <c r="G1629" s="5"/>
      <c r="H1629" s="5"/>
      <c r="I1629" s="5"/>
      <c r="J1629" s="5"/>
      <c r="K1629" s="5"/>
      <c r="L1629" s="5"/>
      <c r="M1629" s="5"/>
      <c r="N1629" s="5"/>
      <c r="O1629" s="5"/>
    </row>
    <row r="1630" spans="1:29" ht="30" customHeight="1" x14ac:dyDescent="0.3">
      <c r="A1630" s="5"/>
      <c r="B1630" s="5"/>
      <c r="C1630" s="5"/>
      <c r="D1630" s="5"/>
      <c r="E1630" s="5"/>
      <c r="F1630" s="9"/>
      <c r="G1630" s="5"/>
      <c r="H1630" s="5"/>
      <c r="I1630" s="5"/>
      <c r="J1630" s="5"/>
      <c r="K1630" s="5"/>
      <c r="L1630" s="5"/>
      <c r="M1630" s="5"/>
      <c r="N1630" s="5"/>
      <c r="O1630" s="5"/>
    </row>
    <row r="1631" spans="1:29" ht="30" customHeight="1" x14ac:dyDescent="0.3">
      <c r="A1631" s="5"/>
      <c r="B1631" s="5"/>
      <c r="C1631" s="5"/>
      <c r="D1631" s="5"/>
      <c r="E1631" s="5"/>
      <c r="F1631" s="9"/>
      <c r="G1631" s="5"/>
      <c r="H1631" s="5"/>
      <c r="I1631" s="5"/>
      <c r="J1631" s="5"/>
      <c r="K1631" s="5"/>
      <c r="L1631" s="5"/>
      <c r="M1631" s="5"/>
      <c r="N1631" s="5"/>
      <c r="O1631" s="5"/>
    </row>
    <row r="1632" spans="1:29" ht="30" customHeight="1" x14ac:dyDescent="0.3">
      <c r="A1632" s="5"/>
      <c r="B1632" s="5"/>
      <c r="C1632" s="5"/>
      <c r="D1632" s="5"/>
      <c r="E1632" s="5"/>
      <c r="F1632" s="9"/>
      <c r="G1632" s="5"/>
      <c r="H1632" s="5"/>
      <c r="I1632" s="5"/>
      <c r="J1632" s="5"/>
      <c r="K1632" s="5"/>
      <c r="L1632" s="5"/>
      <c r="M1632" s="5"/>
      <c r="N1632" s="5"/>
      <c r="O1632" s="5"/>
    </row>
    <row r="1633" spans="1:29" ht="30" customHeight="1" x14ac:dyDescent="0.3">
      <c r="A1633" s="5"/>
      <c r="B1633" s="5"/>
      <c r="C1633" s="5"/>
      <c r="D1633" s="5"/>
      <c r="E1633" s="5"/>
      <c r="F1633" s="9"/>
      <c r="G1633" s="5"/>
      <c r="H1633" s="5"/>
      <c r="I1633" s="5"/>
      <c r="J1633" s="5"/>
      <c r="K1633" s="5"/>
      <c r="L1633" s="5"/>
      <c r="M1633" s="5"/>
      <c r="N1633" s="5"/>
      <c r="O1633" s="5"/>
    </row>
    <row r="1634" spans="1:29" ht="30" customHeight="1" x14ac:dyDescent="0.3">
      <c r="A1634" s="5"/>
      <c r="B1634" s="5"/>
      <c r="C1634" s="5"/>
      <c r="D1634" s="5"/>
      <c r="E1634" s="5"/>
      <c r="F1634" s="9"/>
      <c r="G1634" s="5"/>
      <c r="H1634" s="5"/>
      <c r="I1634" s="5"/>
      <c r="J1634" s="5"/>
      <c r="K1634" s="5"/>
      <c r="L1634" s="5"/>
      <c r="M1634" s="5"/>
      <c r="N1634" s="5"/>
      <c r="O1634" s="5"/>
    </row>
    <row r="1635" spans="1:29" ht="30" customHeight="1" x14ac:dyDescent="0.3">
      <c r="A1635" s="5"/>
      <c r="B1635" s="5"/>
      <c r="C1635" s="5"/>
      <c r="D1635" s="5"/>
      <c r="E1635" s="5"/>
      <c r="F1635" s="9"/>
      <c r="G1635" s="5"/>
      <c r="H1635" s="5"/>
      <c r="I1635" s="5"/>
      <c r="J1635" s="5"/>
      <c r="K1635" s="5"/>
      <c r="L1635" s="5"/>
      <c r="M1635" s="5"/>
      <c r="N1635" s="5"/>
      <c r="O1635" s="5"/>
    </row>
    <row r="1636" spans="1:29" ht="30" customHeight="1" x14ac:dyDescent="0.3">
      <c r="A1636" s="5"/>
      <c r="B1636" s="5"/>
      <c r="C1636" s="5"/>
      <c r="D1636" s="5"/>
      <c r="E1636" s="5"/>
      <c r="F1636" s="9"/>
      <c r="G1636" s="5"/>
      <c r="H1636" s="5"/>
      <c r="I1636" s="5"/>
      <c r="J1636" s="5"/>
      <c r="K1636" s="5"/>
      <c r="L1636" s="5"/>
      <c r="M1636" s="5"/>
      <c r="N1636" s="5"/>
      <c r="O1636" s="5"/>
    </row>
    <row r="1637" spans="1:29" ht="30" customHeight="1" x14ac:dyDescent="0.3">
      <c r="A1637" s="5"/>
      <c r="B1637" s="5"/>
      <c r="C1637" s="5"/>
      <c r="D1637" s="5"/>
      <c r="E1637" s="5"/>
      <c r="F1637" s="9"/>
      <c r="G1637" s="5"/>
      <c r="H1637" s="5"/>
      <c r="I1637" s="5"/>
      <c r="J1637" s="5"/>
      <c r="K1637" s="5"/>
      <c r="L1637" s="5"/>
      <c r="M1637" s="5"/>
      <c r="N1637" s="5"/>
      <c r="O1637" s="5"/>
    </row>
    <row r="1638" spans="1:29" ht="30" customHeight="1" x14ac:dyDescent="0.3">
      <c r="A1638" s="5"/>
      <c r="B1638" s="5"/>
      <c r="C1638" s="5"/>
      <c r="D1638" s="5"/>
      <c r="E1638" s="5"/>
      <c r="F1638" s="9"/>
      <c r="G1638" s="5"/>
      <c r="H1638" s="5"/>
      <c r="I1638" s="5"/>
      <c r="J1638" s="5"/>
      <c r="K1638" s="5"/>
      <c r="L1638" s="5"/>
      <c r="M1638" s="5"/>
      <c r="N1638" s="5"/>
      <c r="O1638" s="5"/>
    </row>
    <row r="1639" spans="1:29" ht="30" customHeight="1" x14ac:dyDescent="0.3">
      <c r="A1639" s="5"/>
      <c r="B1639" s="5"/>
      <c r="C1639" s="5"/>
      <c r="D1639" s="5"/>
      <c r="E1639" s="5"/>
      <c r="F1639" s="9"/>
      <c r="G1639" s="5"/>
      <c r="H1639" s="5"/>
      <c r="I1639" s="5"/>
      <c r="J1639" s="5"/>
      <c r="K1639" s="5"/>
      <c r="L1639" s="5"/>
      <c r="M1639" s="5"/>
      <c r="N1639" s="5"/>
      <c r="O1639" s="5"/>
    </row>
    <row r="1640" spans="1:29" ht="30" customHeight="1" x14ac:dyDescent="0.3">
      <c r="A1640" s="5"/>
      <c r="B1640" s="5"/>
      <c r="C1640" s="5"/>
      <c r="D1640" s="5"/>
      <c r="E1640" s="5"/>
      <c r="F1640" s="9"/>
      <c r="G1640" s="5"/>
      <c r="H1640" s="5"/>
      <c r="I1640" s="5"/>
      <c r="J1640" s="5"/>
      <c r="K1640" s="5"/>
      <c r="L1640" s="5"/>
      <c r="M1640" s="5"/>
      <c r="N1640" s="5"/>
      <c r="O1640" s="5"/>
    </row>
    <row r="1641" spans="1:29" ht="30" customHeight="1" x14ac:dyDescent="0.3">
      <c r="A1641" s="5"/>
      <c r="B1641" s="5"/>
      <c r="C1641" s="5" t="s">
        <v>162</v>
      </c>
      <c r="D1641" s="5"/>
      <c r="E1641" s="5"/>
      <c r="F1641" s="9"/>
      <c r="G1641" s="5"/>
      <c r="H1641" s="5">
        <f>SUMIF(AC1617:AC1640, 1, H1617:H1640)</f>
        <v>1500000</v>
      </c>
      <c r="I1641" s="5"/>
      <c r="J1641" s="5">
        <f>SUMIF(AC1617:AC1640, 1, J1617:J1640)</f>
        <v>0</v>
      </c>
      <c r="K1641" s="5"/>
      <c r="L1641" s="5">
        <f>SUMIF(AC1617:AC1640, 1, L1617:L1640)</f>
        <v>0</v>
      </c>
      <c r="M1641" s="5"/>
      <c r="N1641" s="5">
        <f>H1641+J1641+L1641</f>
        <v>1500000</v>
      </c>
      <c r="O1641" s="5"/>
    </row>
    <row r="1642" spans="1:29" ht="30" customHeight="1" x14ac:dyDescent="0.3">
      <c r="A1642" s="5"/>
      <c r="B1642" s="5"/>
      <c r="C1642" s="10" t="s">
        <v>2064</v>
      </c>
      <c r="D1642" s="10"/>
      <c r="E1642" s="10"/>
      <c r="F1642" s="11"/>
      <c r="G1642" s="10"/>
      <c r="H1642" s="10"/>
      <c r="I1642" s="10"/>
      <c r="J1642" s="10"/>
      <c r="K1642" s="10"/>
      <c r="L1642" s="10"/>
      <c r="M1642" s="10"/>
      <c r="N1642" s="10"/>
      <c r="O1642" s="10"/>
    </row>
    <row r="1643" spans="1:29" ht="30" customHeight="1" x14ac:dyDescent="0.3">
      <c r="A1643" s="8" t="s">
        <v>2065</v>
      </c>
      <c r="B1643" s="8" t="s">
        <v>2066</v>
      </c>
      <c r="C1643" s="8" t="s">
        <v>2067</v>
      </c>
      <c r="D1643" s="8" t="s">
        <v>2068</v>
      </c>
      <c r="E1643" s="8" t="s">
        <v>19</v>
      </c>
      <c r="F1643" s="9">
        <v>1</v>
      </c>
      <c r="G1643" s="5">
        <f>TRUNC([1]단가대비표!O1009,0)</f>
        <v>1127000</v>
      </c>
      <c r="H1643" s="5">
        <f t="shared" ref="H1643:H1650" si="146">TRUNC(F1643*G1643,0)</f>
        <v>1127000</v>
      </c>
      <c r="I1643" s="5">
        <v>0</v>
      </c>
      <c r="J1643" s="5">
        <f t="shared" ref="J1643:J1650" si="147">TRUNC(F1643*I1643,0)</f>
        <v>0</v>
      </c>
      <c r="K1643" s="5">
        <v>0</v>
      </c>
      <c r="L1643" s="5">
        <f t="shared" ref="L1643:L1650" si="148">TRUNC(F1643*K1643,0)</f>
        <v>0</v>
      </c>
      <c r="M1643" s="5">
        <f t="shared" ref="M1643:N1650" si="149">G1643+I1643+K1643</f>
        <v>1127000</v>
      </c>
      <c r="N1643" s="5">
        <f t="shared" si="149"/>
        <v>1127000</v>
      </c>
      <c r="O1643" s="8" t="s">
        <v>20</v>
      </c>
      <c r="T1643">
        <v>0</v>
      </c>
      <c r="AC1643">
        <v>1</v>
      </c>
    </row>
    <row r="1644" spans="1:29" ht="30" customHeight="1" x14ac:dyDescent="0.3">
      <c r="A1644" s="8" t="s">
        <v>2065</v>
      </c>
      <c r="B1644" s="8" t="s">
        <v>2069</v>
      </c>
      <c r="C1644" s="8" t="s">
        <v>2070</v>
      </c>
      <c r="D1644" s="8" t="s">
        <v>2071</v>
      </c>
      <c r="E1644" s="8" t="s">
        <v>19</v>
      </c>
      <c r="F1644" s="9">
        <v>1</v>
      </c>
      <c r="G1644" s="5">
        <f>TRUNC([1]단가대비표!O1010,0)</f>
        <v>968000</v>
      </c>
      <c r="H1644" s="5">
        <f t="shared" si="146"/>
        <v>968000</v>
      </c>
      <c r="I1644" s="5">
        <v>0</v>
      </c>
      <c r="J1644" s="5">
        <f t="shared" si="147"/>
        <v>0</v>
      </c>
      <c r="K1644" s="5">
        <v>0</v>
      </c>
      <c r="L1644" s="5">
        <f t="shared" si="148"/>
        <v>0</v>
      </c>
      <c r="M1644" s="5">
        <f t="shared" si="149"/>
        <v>968000</v>
      </c>
      <c r="N1644" s="5">
        <f t="shared" si="149"/>
        <v>968000</v>
      </c>
      <c r="O1644" s="8" t="s">
        <v>20</v>
      </c>
      <c r="T1644">
        <v>0</v>
      </c>
      <c r="AC1644">
        <v>1</v>
      </c>
    </row>
    <row r="1645" spans="1:29" ht="30" customHeight="1" x14ac:dyDescent="0.3">
      <c r="A1645" s="8" t="s">
        <v>2065</v>
      </c>
      <c r="B1645" s="8" t="s">
        <v>2072</v>
      </c>
      <c r="C1645" s="8" t="s">
        <v>2073</v>
      </c>
      <c r="D1645" s="8" t="s">
        <v>2074</v>
      </c>
      <c r="E1645" s="8" t="s">
        <v>19</v>
      </c>
      <c r="F1645" s="9">
        <v>3</v>
      </c>
      <c r="G1645" s="5">
        <f>TRUNC([1]단가대비표!O1357,0)</f>
        <v>280000</v>
      </c>
      <c r="H1645" s="5">
        <f t="shared" si="146"/>
        <v>840000</v>
      </c>
      <c r="I1645" s="5">
        <v>0</v>
      </c>
      <c r="J1645" s="5">
        <f t="shared" si="147"/>
        <v>0</v>
      </c>
      <c r="K1645" s="5">
        <v>0</v>
      </c>
      <c r="L1645" s="5">
        <f t="shared" si="148"/>
        <v>0</v>
      </c>
      <c r="M1645" s="5">
        <f t="shared" si="149"/>
        <v>280000</v>
      </c>
      <c r="N1645" s="5">
        <f t="shared" si="149"/>
        <v>840000</v>
      </c>
      <c r="O1645" s="8" t="s">
        <v>20</v>
      </c>
      <c r="T1645">
        <v>0</v>
      </c>
      <c r="AC1645">
        <v>1</v>
      </c>
    </row>
    <row r="1646" spans="1:29" ht="30" customHeight="1" x14ac:dyDescent="0.3">
      <c r="A1646" s="8" t="s">
        <v>2065</v>
      </c>
      <c r="B1646" s="8" t="s">
        <v>2075</v>
      </c>
      <c r="C1646" s="8" t="s">
        <v>2076</v>
      </c>
      <c r="D1646" s="8" t="s">
        <v>2077</v>
      </c>
      <c r="E1646" s="8" t="s">
        <v>19</v>
      </c>
      <c r="F1646" s="9">
        <v>3</v>
      </c>
      <c r="G1646" s="5">
        <f>TRUNC([1]단가대비표!O1011,0)</f>
        <v>298000</v>
      </c>
      <c r="H1646" s="5">
        <f t="shared" si="146"/>
        <v>894000</v>
      </c>
      <c r="I1646" s="5">
        <v>0</v>
      </c>
      <c r="J1646" s="5">
        <f t="shared" si="147"/>
        <v>0</v>
      </c>
      <c r="K1646" s="5">
        <v>0</v>
      </c>
      <c r="L1646" s="5">
        <f t="shared" si="148"/>
        <v>0</v>
      </c>
      <c r="M1646" s="5">
        <f t="shared" si="149"/>
        <v>298000</v>
      </c>
      <c r="N1646" s="5">
        <f t="shared" si="149"/>
        <v>894000</v>
      </c>
      <c r="O1646" s="8" t="s">
        <v>20</v>
      </c>
      <c r="T1646">
        <v>0</v>
      </c>
      <c r="AC1646">
        <v>1</v>
      </c>
    </row>
    <row r="1647" spans="1:29" ht="30" customHeight="1" x14ac:dyDescent="0.3">
      <c r="A1647" s="8" t="s">
        <v>2065</v>
      </c>
      <c r="B1647" s="8" t="s">
        <v>152</v>
      </c>
      <c r="C1647" s="8" t="s">
        <v>153</v>
      </c>
      <c r="D1647" s="8" t="s">
        <v>154</v>
      </c>
      <c r="E1647" s="8" t="s">
        <v>155</v>
      </c>
      <c r="F1647" s="9">
        <v>1</v>
      </c>
      <c r="G1647" s="5">
        <v>0</v>
      </c>
      <c r="H1647" s="5">
        <f t="shared" si="146"/>
        <v>0</v>
      </c>
      <c r="I1647" s="5">
        <f>TRUNC([1]단가대비표!O671,0)</f>
        <v>157068</v>
      </c>
      <c r="J1647" s="5">
        <f t="shared" si="147"/>
        <v>157068</v>
      </c>
      <c r="K1647" s="5">
        <v>0</v>
      </c>
      <c r="L1647" s="5">
        <f t="shared" si="148"/>
        <v>0</v>
      </c>
      <c r="M1647" s="5">
        <f t="shared" si="149"/>
        <v>157068</v>
      </c>
      <c r="N1647" s="5">
        <f t="shared" si="149"/>
        <v>157068</v>
      </c>
      <c r="O1647" s="8" t="s">
        <v>20</v>
      </c>
      <c r="T1647">
        <v>0</v>
      </c>
      <c r="W1647">
        <v>3</v>
      </c>
      <c r="AC1647">
        <v>1</v>
      </c>
    </row>
    <row r="1648" spans="1:29" ht="30" customHeight="1" x14ac:dyDescent="0.3">
      <c r="A1648" s="8" t="s">
        <v>2065</v>
      </c>
      <c r="B1648" s="8" t="s">
        <v>2078</v>
      </c>
      <c r="C1648" s="8" t="s">
        <v>153</v>
      </c>
      <c r="D1648" s="8" t="s">
        <v>2079</v>
      </c>
      <c r="E1648" s="8" t="s">
        <v>155</v>
      </c>
      <c r="F1648" s="9">
        <v>1</v>
      </c>
      <c r="G1648" s="5">
        <v>0</v>
      </c>
      <c r="H1648" s="5">
        <f t="shared" si="146"/>
        <v>0</v>
      </c>
      <c r="I1648" s="5">
        <f>TRUNC([1]단가대비표!O670,0)</f>
        <v>210465</v>
      </c>
      <c r="J1648" s="5">
        <f t="shared" si="147"/>
        <v>210465</v>
      </c>
      <c r="K1648" s="5">
        <v>0</v>
      </c>
      <c r="L1648" s="5">
        <f t="shared" si="148"/>
        <v>0</v>
      </c>
      <c r="M1648" s="5">
        <f t="shared" si="149"/>
        <v>210465</v>
      </c>
      <c r="N1648" s="5">
        <f t="shared" si="149"/>
        <v>210465</v>
      </c>
      <c r="O1648" s="8" t="s">
        <v>20</v>
      </c>
      <c r="T1648">
        <v>0</v>
      </c>
      <c r="W1648">
        <v>3</v>
      </c>
      <c r="AC1648">
        <v>1</v>
      </c>
    </row>
    <row r="1649" spans="1:29" ht="30" customHeight="1" x14ac:dyDescent="0.3">
      <c r="A1649" s="8" t="s">
        <v>2065</v>
      </c>
      <c r="B1649" s="8" t="s">
        <v>156</v>
      </c>
      <c r="C1649" s="8" t="s">
        <v>153</v>
      </c>
      <c r="D1649" s="8" t="s">
        <v>157</v>
      </c>
      <c r="E1649" s="8" t="s">
        <v>155</v>
      </c>
      <c r="F1649" s="9">
        <v>3</v>
      </c>
      <c r="G1649" s="5">
        <v>0</v>
      </c>
      <c r="H1649" s="5">
        <f t="shared" si="146"/>
        <v>0</v>
      </c>
      <c r="I1649" s="5">
        <f>TRUNC([1]단가대비표!O664,0)</f>
        <v>213337</v>
      </c>
      <c r="J1649" s="5">
        <f t="shared" si="147"/>
        <v>640011</v>
      </c>
      <c r="K1649" s="5">
        <v>0</v>
      </c>
      <c r="L1649" s="5">
        <f t="shared" si="148"/>
        <v>0</v>
      </c>
      <c r="M1649" s="5">
        <f t="shared" si="149"/>
        <v>213337</v>
      </c>
      <c r="N1649" s="5">
        <f t="shared" si="149"/>
        <v>640011</v>
      </c>
      <c r="O1649" s="8" t="s">
        <v>20</v>
      </c>
      <c r="T1649">
        <v>0</v>
      </c>
      <c r="W1649">
        <v>3</v>
      </c>
      <c r="AC1649">
        <v>1</v>
      </c>
    </row>
    <row r="1650" spans="1:29" ht="30" customHeight="1" x14ac:dyDescent="0.3">
      <c r="A1650" s="8" t="s">
        <v>2065</v>
      </c>
      <c r="B1650" s="8" t="s">
        <v>158</v>
      </c>
      <c r="C1650" s="8" t="s">
        <v>159</v>
      </c>
      <c r="D1650" s="8" t="s">
        <v>160</v>
      </c>
      <c r="E1650" s="8" t="s">
        <v>161</v>
      </c>
      <c r="F1650" s="9">
        <v>1</v>
      </c>
      <c r="G1650" s="5">
        <f>ROUNDDOWN(SUMIF(W1643:W1650, RIGHTB(B1650, 1), J1643:J1650)*T1650, 0)</f>
        <v>20150</v>
      </c>
      <c r="H1650" s="5">
        <f t="shared" si="146"/>
        <v>20150</v>
      </c>
      <c r="I1650" s="5">
        <v>0</v>
      </c>
      <c r="J1650" s="5">
        <f t="shared" si="147"/>
        <v>0</v>
      </c>
      <c r="K1650" s="5">
        <v>0</v>
      </c>
      <c r="L1650" s="5">
        <f t="shared" si="148"/>
        <v>0</v>
      </c>
      <c r="M1650" s="5">
        <f t="shared" si="149"/>
        <v>20150</v>
      </c>
      <c r="N1650" s="5">
        <f t="shared" si="149"/>
        <v>20150</v>
      </c>
      <c r="O1650" s="8" t="s">
        <v>20</v>
      </c>
      <c r="P1650">
        <v>1650</v>
      </c>
      <c r="R1650">
        <v>1</v>
      </c>
      <c r="S1650">
        <v>0</v>
      </c>
      <c r="T1650">
        <v>0.02</v>
      </c>
      <c r="AC1650">
        <v>1</v>
      </c>
    </row>
    <row r="1651" spans="1:29" ht="30" customHeight="1" x14ac:dyDescent="0.3">
      <c r="A1651" s="5"/>
      <c r="B1651" s="5"/>
      <c r="C1651" s="5"/>
      <c r="D1651" s="5"/>
      <c r="E1651" s="5"/>
      <c r="F1651" s="9"/>
      <c r="G1651" s="5"/>
      <c r="H1651" s="5"/>
      <c r="I1651" s="5"/>
      <c r="J1651" s="5"/>
      <c r="K1651" s="5"/>
      <c r="L1651" s="5"/>
      <c r="M1651" s="5"/>
      <c r="N1651" s="5"/>
      <c r="O1651" s="5"/>
    </row>
    <row r="1652" spans="1:29" ht="30" customHeight="1" x14ac:dyDescent="0.3">
      <c r="A1652" s="5"/>
      <c r="B1652" s="5"/>
      <c r="C1652" s="5"/>
      <c r="D1652" s="5"/>
      <c r="E1652" s="5"/>
      <c r="F1652" s="9"/>
      <c r="G1652" s="5"/>
      <c r="H1652" s="5"/>
      <c r="I1652" s="5"/>
      <c r="J1652" s="5"/>
      <c r="K1652" s="5"/>
      <c r="L1652" s="5"/>
      <c r="M1652" s="5"/>
      <c r="N1652" s="5"/>
      <c r="O1652" s="5"/>
    </row>
    <row r="1653" spans="1:29" ht="30" customHeight="1" x14ac:dyDescent="0.3">
      <c r="A1653" s="5"/>
      <c r="B1653" s="5"/>
      <c r="C1653" s="5"/>
      <c r="D1653" s="5"/>
      <c r="E1653" s="5"/>
      <c r="F1653" s="9"/>
      <c r="G1653" s="5"/>
      <c r="H1653" s="5"/>
      <c r="I1653" s="5"/>
      <c r="J1653" s="5"/>
      <c r="K1653" s="5"/>
      <c r="L1653" s="5"/>
      <c r="M1653" s="5"/>
      <c r="N1653" s="5"/>
      <c r="O1653" s="5"/>
    </row>
    <row r="1654" spans="1:29" ht="30" customHeight="1" x14ac:dyDescent="0.3">
      <c r="A1654" s="5"/>
      <c r="B1654" s="5"/>
      <c r="C1654" s="5"/>
      <c r="D1654" s="5"/>
      <c r="E1654" s="5"/>
      <c r="F1654" s="9"/>
      <c r="G1654" s="5"/>
      <c r="H1654" s="5"/>
      <c r="I1654" s="5"/>
      <c r="J1654" s="5"/>
      <c r="K1654" s="5"/>
      <c r="L1654" s="5"/>
      <c r="M1654" s="5"/>
      <c r="N1654" s="5"/>
      <c r="O1654" s="5"/>
    </row>
    <row r="1655" spans="1:29" ht="30" customHeight="1" x14ac:dyDescent="0.3">
      <c r="A1655" s="5"/>
      <c r="B1655" s="5"/>
      <c r="C1655" s="5"/>
      <c r="D1655" s="5"/>
      <c r="E1655" s="5"/>
      <c r="F1655" s="9"/>
      <c r="G1655" s="5"/>
      <c r="H1655" s="5"/>
      <c r="I1655" s="5"/>
      <c r="J1655" s="5"/>
      <c r="K1655" s="5"/>
      <c r="L1655" s="5"/>
      <c r="M1655" s="5"/>
      <c r="N1655" s="5"/>
      <c r="O1655" s="5"/>
    </row>
    <row r="1656" spans="1:29" ht="30" customHeight="1" x14ac:dyDescent="0.3">
      <c r="A1656" s="5"/>
      <c r="B1656" s="5"/>
      <c r="C1656" s="5"/>
      <c r="D1656" s="5"/>
      <c r="E1656" s="5"/>
      <c r="F1656" s="9"/>
      <c r="G1656" s="5"/>
      <c r="H1656" s="5"/>
      <c r="I1656" s="5"/>
      <c r="J1656" s="5"/>
      <c r="K1656" s="5"/>
      <c r="L1656" s="5"/>
      <c r="M1656" s="5"/>
      <c r="N1656" s="5"/>
      <c r="O1656" s="5"/>
    </row>
    <row r="1657" spans="1:29" ht="30" customHeight="1" x14ac:dyDescent="0.3">
      <c r="A1657" s="5"/>
      <c r="B1657" s="5"/>
      <c r="C1657" s="5"/>
      <c r="D1657" s="5"/>
      <c r="E1657" s="5"/>
      <c r="F1657" s="9"/>
      <c r="G1657" s="5"/>
      <c r="H1657" s="5"/>
      <c r="I1657" s="5"/>
      <c r="J1657" s="5"/>
      <c r="K1657" s="5"/>
      <c r="L1657" s="5"/>
      <c r="M1657" s="5"/>
      <c r="N1657" s="5"/>
      <c r="O1657" s="5"/>
    </row>
    <row r="1658" spans="1:29" ht="30" customHeight="1" x14ac:dyDescent="0.3">
      <c r="A1658" s="5"/>
      <c r="B1658" s="5"/>
      <c r="C1658" s="5"/>
      <c r="D1658" s="5"/>
      <c r="E1658" s="5"/>
      <c r="F1658" s="9"/>
      <c r="G1658" s="5"/>
      <c r="H1658" s="5"/>
      <c r="I1658" s="5"/>
      <c r="J1658" s="5"/>
      <c r="K1658" s="5"/>
      <c r="L1658" s="5"/>
      <c r="M1658" s="5"/>
      <c r="N1658" s="5"/>
      <c r="O1658" s="5"/>
    </row>
    <row r="1659" spans="1:29" ht="30" customHeight="1" x14ac:dyDescent="0.3">
      <c r="A1659" s="5"/>
      <c r="B1659" s="5"/>
      <c r="C1659" s="5"/>
      <c r="D1659" s="5"/>
      <c r="E1659" s="5"/>
      <c r="F1659" s="9"/>
      <c r="G1659" s="5"/>
      <c r="H1659" s="5"/>
      <c r="I1659" s="5"/>
      <c r="J1659" s="5"/>
      <c r="K1659" s="5"/>
      <c r="L1659" s="5"/>
      <c r="M1659" s="5"/>
      <c r="N1659" s="5"/>
      <c r="O1659" s="5"/>
    </row>
    <row r="1660" spans="1:29" ht="30" customHeight="1" x14ac:dyDescent="0.3">
      <c r="A1660" s="5"/>
      <c r="B1660" s="5"/>
      <c r="C1660" s="5"/>
      <c r="D1660" s="5"/>
      <c r="E1660" s="5"/>
      <c r="F1660" s="9"/>
      <c r="G1660" s="5"/>
      <c r="H1660" s="5"/>
      <c r="I1660" s="5"/>
      <c r="J1660" s="5"/>
      <c r="K1660" s="5"/>
      <c r="L1660" s="5"/>
      <c r="M1660" s="5"/>
      <c r="N1660" s="5"/>
      <c r="O1660" s="5"/>
    </row>
    <row r="1661" spans="1:29" ht="30" customHeight="1" x14ac:dyDescent="0.3">
      <c r="A1661" s="5"/>
      <c r="B1661" s="5"/>
      <c r="C1661" s="5"/>
      <c r="D1661" s="5"/>
      <c r="E1661" s="5"/>
      <c r="F1661" s="9"/>
      <c r="G1661" s="5"/>
      <c r="H1661" s="5"/>
      <c r="I1661" s="5"/>
      <c r="J1661" s="5"/>
      <c r="K1661" s="5"/>
      <c r="L1661" s="5"/>
      <c r="M1661" s="5"/>
      <c r="N1661" s="5"/>
      <c r="O1661" s="5"/>
    </row>
    <row r="1662" spans="1:29" ht="30" customHeight="1" x14ac:dyDescent="0.3">
      <c r="A1662" s="5"/>
      <c r="B1662" s="5"/>
      <c r="C1662" s="5"/>
      <c r="D1662" s="5"/>
      <c r="E1662" s="5"/>
      <c r="F1662" s="9"/>
      <c r="G1662" s="5"/>
      <c r="H1662" s="5"/>
      <c r="I1662" s="5"/>
      <c r="J1662" s="5"/>
      <c r="K1662" s="5"/>
      <c r="L1662" s="5"/>
      <c r="M1662" s="5"/>
      <c r="N1662" s="5"/>
      <c r="O1662" s="5"/>
    </row>
    <row r="1663" spans="1:29" ht="30" customHeight="1" x14ac:dyDescent="0.3">
      <c r="A1663" s="5"/>
      <c r="B1663" s="5"/>
      <c r="C1663" s="5"/>
      <c r="D1663" s="5"/>
      <c r="E1663" s="5"/>
      <c r="F1663" s="9"/>
      <c r="G1663" s="5"/>
      <c r="H1663" s="5"/>
      <c r="I1663" s="5"/>
      <c r="J1663" s="5"/>
      <c r="K1663" s="5"/>
      <c r="L1663" s="5"/>
      <c r="M1663" s="5"/>
      <c r="N1663" s="5"/>
      <c r="O1663" s="5"/>
    </row>
    <row r="1664" spans="1:29" ht="30" customHeight="1" x14ac:dyDescent="0.3">
      <c r="A1664" s="5"/>
      <c r="B1664" s="5"/>
      <c r="C1664" s="5"/>
      <c r="D1664" s="5"/>
      <c r="E1664" s="5"/>
      <c r="F1664" s="9"/>
      <c r="G1664" s="5"/>
      <c r="H1664" s="5"/>
      <c r="I1664" s="5"/>
      <c r="J1664" s="5"/>
      <c r="K1664" s="5"/>
      <c r="L1664" s="5"/>
      <c r="M1664" s="5"/>
      <c r="N1664" s="5"/>
      <c r="O1664" s="5"/>
    </row>
    <row r="1665" spans="1:29" ht="30" customHeight="1" x14ac:dyDescent="0.3">
      <c r="A1665" s="5"/>
      <c r="B1665" s="5"/>
      <c r="C1665" s="5"/>
      <c r="D1665" s="5"/>
      <c r="E1665" s="5"/>
      <c r="F1665" s="9"/>
      <c r="G1665" s="5"/>
      <c r="H1665" s="5"/>
      <c r="I1665" s="5"/>
      <c r="J1665" s="5"/>
      <c r="K1665" s="5"/>
      <c r="L1665" s="5"/>
      <c r="M1665" s="5"/>
      <c r="N1665" s="5"/>
      <c r="O1665" s="5"/>
    </row>
    <row r="1666" spans="1:29" ht="30" customHeight="1" x14ac:dyDescent="0.3">
      <c r="A1666" s="5"/>
      <c r="B1666" s="5"/>
      <c r="C1666" s="5"/>
      <c r="D1666" s="5"/>
      <c r="E1666" s="5"/>
      <c r="F1666" s="9"/>
      <c r="G1666" s="5"/>
      <c r="H1666" s="5"/>
      <c r="I1666" s="5"/>
      <c r="J1666" s="5"/>
      <c r="K1666" s="5"/>
      <c r="L1666" s="5"/>
      <c r="M1666" s="5"/>
      <c r="N1666" s="5"/>
      <c r="O1666" s="5"/>
    </row>
    <row r="1667" spans="1:29" ht="30" customHeight="1" x14ac:dyDescent="0.3">
      <c r="A1667" s="5"/>
      <c r="B1667" s="5"/>
      <c r="C1667" s="5" t="s">
        <v>162</v>
      </c>
      <c r="D1667" s="5"/>
      <c r="E1667" s="5"/>
      <c r="F1667" s="9"/>
      <c r="G1667" s="5"/>
      <c r="H1667" s="5">
        <f>SUMIF(AC1643:AC1666, 1, H1643:H1666)</f>
        <v>3849150</v>
      </c>
      <c r="I1667" s="5"/>
      <c r="J1667" s="5">
        <f>SUMIF(AC1643:AC1666, 1, J1643:J1666)</f>
        <v>1007544</v>
      </c>
      <c r="K1667" s="5"/>
      <c r="L1667" s="5">
        <f>SUMIF(AC1643:AC1666, 1, L1643:L1666)</f>
        <v>0</v>
      </c>
      <c r="M1667" s="5"/>
      <c r="N1667" s="5">
        <f>H1667+J1667+L1667</f>
        <v>4856694</v>
      </c>
      <c r="O1667" s="5"/>
    </row>
    <row r="1668" spans="1:29" ht="30" customHeight="1" x14ac:dyDescent="0.3">
      <c r="A1668" s="5"/>
      <c r="B1668" s="5"/>
      <c r="C1668" s="10" t="s">
        <v>2080</v>
      </c>
      <c r="D1668" s="10"/>
      <c r="E1668" s="10"/>
      <c r="F1668" s="11"/>
      <c r="G1668" s="10"/>
      <c r="H1668" s="10"/>
      <c r="I1668" s="10"/>
      <c r="J1668" s="10"/>
      <c r="K1668" s="10"/>
      <c r="L1668" s="10"/>
      <c r="M1668" s="10"/>
      <c r="N1668" s="10"/>
      <c r="O1668" s="10"/>
    </row>
    <row r="1669" spans="1:29" ht="30" customHeight="1" x14ac:dyDescent="0.3">
      <c r="A1669" s="8" t="s">
        <v>2081</v>
      </c>
      <c r="B1669" s="8" t="s">
        <v>165</v>
      </c>
      <c r="C1669" s="8" t="s">
        <v>166</v>
      </c>
      <c r="D1669" s="8" t="s">
        <v>167</v>
      </c>
      <c r="E1669" s="8" t="s">
        <v>168</v>
      </c>
      <c r="F1669" s="9">
        <v>37</v>
      </c>
      <c r="G1669" s="5">
        <f>TRUNC([1]단가대비표!O138,0)</f>
        <v>418</v>
      </c>
      <c r="H1669" s="5">
        <f t="shared" ref="H1669:H1678" si="150">TRUNC(F1669*G1669,0)</f>
        <v>15466</v>
      </c>
      <c r="I1669" s="5">
        <v>0</v>
      </c>
      <c r="J1669" s="5">
        <f t="shared" ref="J1669:J1678" si="151">TRUNC(F1669*I1669,0)</f>
        <v>0</v>
      </c>
      <c r="K1669" s="5">
        <v>0</v>
      </c>
      <c r="L1669" s="5">
        <f t="shared" ref="L1669:L1678" si="152">TRUNC(F1669*K1669,0)</f>
        <v>0</v>
      </c>
      <c r="M1669" s="5">
        <f t="shared" ref="M1669:N1678" si="153">G1669+I1669+K1669</f>
        <v>418</v>
      </c>
      <c r="N1669" s="5">
        <f t="shared" si="153"/>
        <v>15466</v>
      </c>
      <c r="O1669" s="8" t="s">
        <v>20</v>
      </c>
      <c r="T1669">
        <v>0</v>
      </c>
      <c r="U1669">
        <v>1</v>
      </c>
      <c r="AC1669">
        <v>1</v>
      </c>
    </row>
    <row r="1670" spans="1:29" ht="30" customHeight="1" x14ac:dyDescent="0.3">
      <c r="A1670" s="8" t="s">
        <v>2081</v>
      </c>
      <c r="B1670" s="8" t="s">
        <v>169</v>
      </c>
      <c r="C1670" s="8" t="s">
        <v>166</v>
      </c>
      <c r="D1670" s="8" t="s">
        <v>170</v>
      </c>
      <c r="E1670" s="8" t="s">
        <v>168</v>
      </c>
      <c r="F1670" s="9">
        <v>3</v>
      </c>
      <c r="G1670" s="5">
        <f>TRUNC([1]단가대비표!O139,0)</f>
        <v>418</v>
      </c>
      <c r="H1670" s="5">
        <f t="shared" si="150"/>
        <v>1254</v>
      </c>
      <c r="I1670" s="5">
        <v>0</v>
      </c>
      <c r="J1670" s="5">
        <f t="shared" si="151"/>
        <v>0</v>
      </c>
      <c r="K1670" s="5">
        <v>0</v>
      </c>
      <c r="L1670" s="5">
        <f t="shared" si="152"/>
        <v>0</v>
      </c>
      <c r="M1670" s="5">
        <f t="shared" si="153"/>
        <v>418</v>
      </c>
      <c r="N1670" s="5">
        <f t="shared" si="153"/>
        <v>1254</v>
      </c>
      <c r="O1670" s="8" t="s">
        <v>20</v>
      </c>
      <c r="T1670">
        <v>0</v>
      </c>
      <c r="U1670">
        <v>1</v>
      </c>
      <c r="AC1670">
        <v>1</v>
      </c>
    </row>
    <row r="1671" spans="1:29" ht="30" customHeight="1" x14ac:dyDescent="0.3">
      <c r="A1671" s="8" t="s">
        <v>2081</v>
      </c>
      <c r="B1671" s="8" t="s">
        <v>2082</v>
      </c>
      <c r="C1671" s="8" t="s">
        <v>166</v>
      </c>
      <c r="D1671" s="8" t="s">
        <v>2083</v>
      </c>
      <c r="E1671" s="8" t="s">
        <v>168</v>
      </c>
      <c r="F1671" s="9">
        <v>11</v>
      </c>
      <c r="G1671" s="5">
        <f>TRUNC([1]단가대비표!O143,0)</f>
        <v>2245</v>
      </c>
      <c r="H1671" s="5">
        <f t="shared" si="150"/>
        <v>24695</v>
      </c>
      <c r="I1671" s="5">
        <v>0</v>
      </c>
      <c r="J1671" s="5">
        <f t="shared" si="151"/>
        <v>0</v>
      </c>
      <c r="K1671" s="5">
        <v>0</v>
      </c>
      <c r="L1671" s="5">
        <f t="shared" si="152"/>
        <v>0</v>
      </c>
      <c r="M1671" s="5">
        <f t="shared" si="153"/>
        <v>2245</v>
      </c>
      <c r="N1671" s="5">
        <f t="shared" si="153"/>
        <v>24695</v>
      </c>
      <c r="O1671" s="8" t="s">
        <v>20</v>
      </c>
      <c r="T1671">
        <v>0</v>
      </c>
      <c r="U1671">
        <v>1</v>
      </c>
      <c r="AC1671">
        <v>1</v>
      </c>
    </row>
    <row r="1672" spans="1:29" ht="30" customHeight="1" x14ac:dyDescent="0.3">
      <c r="A1672" s="8" t="s">
        <v>2081</v>
      </c>
      <c r="B1672" s="8" t="s">
        <v>173</v>
      </c>
      <c r="C1672" s="8" t="s">
        <v>174</v>
      </c>
      <c r="D1672" s="8" t="s">
        <v>175</v>
      </c>
      <c r="E1672" s="8" t="s">
        <v>161</v>
      </c>
      <c r="F1672" s="9">
        <v>1</v>
      </c>
      <c r="G1672" s="5">
        <f>ROUNDDOWN(SUMIF(U1669:U1678, RIGHTB(B1672, 1), H1669:H1678)*T1672, 0)</f>
        <v>1242</v>
      </c>
      <c r="H1672" s="5">
        <f t="shared" si="150"/>
        <v>1242</v>
      </c>
      <c r="I1672" s="5">
        <v>0</v>
      </c>
      <c r="J1672" s="5">
        <f t="shared" si="151"/>
        <v>0</v>
      </c>
      <c r="K1672" s="5">
        <v>0</v>
      </c>
      <c r="L1672" s="5">
        <f t="shared" si="152"/>
        <v>0</v>
      </c>
      <c r="M1672" s="5">
        <f t="shared" si="153"/>
        <v>1242</v>
      </c>
      <c r="N1672" s="5">
        <f t="shared" si="153"/>
        <v>1242</v>
      </c>
      <c r="O1672" s="8" t="s">
        <v>20</v>
      </c>
      <c r="P1672">
        <v>1672</v>
      </c>
      <c r="R1672">
        <v>0</v>
      </c>
      <c r="S1672">
        <v>0</v>
      </c>
      <c r="T1672">
        <v>0.03</v>
      </c>
      <c r="AC1672">
        <v>1</v>
      </c>
    </row>
    <row r="1673" spans="1:29" ht="30" customHeight="1" x14ac:dyDescent="0.3">
      <c r="A1673" s="8" t="s">
        <v>2081</v>
      </c>
      <c r="B1673" s="8" t="s">
        <v>180</v>
      </c>
      <c r="C1673" s="8" t="s">
        <v>177</v>
      </c>
      <c r="D1673" s="8" t="s">
        <v>181</v>
      </c>
      <c r="E1673" s="8" t="s">
        <v>179</v>
      </c>
      <c r="F1673" s="9">
        <v>4</v>
      </c>
      <c r="G1673" s="5">
        <f>TRUNC([1]단가대비표!O201,0)</f>
        <v>2380</v>
      </c>
      <c r="H1673" s="5">
        <f t="shared" si="150"/>
        <v>9520</v>
      </c>
      <c r="I1673" s="5">
        <v>0</v>
      </c>
      <c r="J1673" s="5">
        <f t="shared" si="151"/>
        <v>0</v>
      </c>
      <c r="K1673" s="5">
        <v>0</v>
      </c>
      <c r="L1673" s="5">
        <f t="shared" si="152"/>
        <v>0</v>
      </c>
      <c r="M1673" s="5">
        <f t="shared" si="153"/>
        <v>2380</v>
      </c>
      <c r="N1673" s="5">
        <f t="shared" si="153"/>
        <v>9520</v>
      </c>
      <c r="O1673" s="8" t="s">
        <v>20</v>
      </c>
      <c r="T1673">
        <v>0</v>
      </c>
      <c r="AC1673">
        <v>1</v>
      </c>
    </row>
    <row r="1674" spans="1:29" ht="30" customHeight="1" x14ac:dyDescent="0.3">
      <c r="A1674" s="8" t="s">
        <v>2081</v>
      </c>
      <c r="B1674" s="8" t="s">
        <v>2084</v>
      </c>
      <c r="C1674" s="8" t="s">
        <v>177</v>
      </c>
      <c r="D1674" s="8" t="s">
        <v>2085</v>
      </c>
      <c r="E1674" s="8" t="s">
        <v>179</v>
      </c>
      <c r="F1674" s="9">
        <v>1</v>
      </c>
      <c r="G1674" s="5">
        <f>TRUNC([1]단가대비표!O205,0)</f>
        <v>7700</v>
      </c>
      <c r="H1674" s="5">
        <f t="shared" si="150"/>
        <v>7700</v>
      </c>
      <c r="I1674" s="5">
        <v>0</v>
      </c>
      <c r="J1674" s="5">
        <f t="shared" si="151"/>
        <v>0</v>
      </c>
      <c r="K1674" s="5">
        <v>0</v>
      </c>
      <c r="L1674" s="5">
        <f t="shared" si="152"/>
        <v>0</v>
      </c>
      <c r="M1674" s="5">
        <f t="shared" si="153"/>
        <v>7700</v>
      </c>
      <c r="N1674" s="5">
        <f t="shared" si="153"/>
        <v>7700</v>
      </c>
      <c r="O1674" s="8" t="s">
        <v>20</v>
      </c>
      <c r="T1674">
        <v>0</v>
      </c>
      <c r="AC1674">
        <v>1</v>
      </c>
    </row>
    <row r="1675" spans="1:29" ht="30" customHeight="1" x14ac:dyDescent="0.3">
      <c r="A1675" s="8" t="s">
        <v>2081</v>
      </c>
      <c r="B1675" s="8" t="s">
        <v>2086</v>
      </c>
      <c r="C1675" s="8" t="s">
        <v>177</v>
      </c>
      <c r="D1675" s="8" t="s">
        <v>2087</v>
      </c>
      <c r="E1675" s="8" t="s">
        <v>179</v>
      </c>
      <c r="F1675" s="9">
        <v>5</v>
      </c>
      <c r="G1675" s="5">
        <f>TRUNC([1]단가대비표!O207,0)</f>
        <v>1880</v>
      </c>
      <c r="H1675" s="5">
        <f t="shared" si="150"/>
        <v>9400</v>
      </c>
      <c r="I1675" s="5">
        <v>0</v>
      </c>
      <c r="J1675" s="5">
        <f t="shared" si="151"/>
        <v>0</v>
      </c>
      <c r="K1675" s="5">
        <v>0</v>
      </c>
      <c r="L1675" s="5">
        <f t="shared" si="152"/>
        <v>0</v>
      </c>
      <c r="M1675" s="5">
        <f t="shared" si="153"/>
        <v>1880</v>
      </c>
      <c r="N1675" s="5">
        <f t="shared" si="153"/>
        <v>9400</v>
      </c>
      <c r="O1675" s="8" t="s">
        <v>20</v>
      </c>
      <c r="T1675">
        <v>0</v>
      </c>
      <c r="AC1675">
        <v>1</v>
      </c>
    </row>
    <row r="1676" spans="1:29" ht="30" customHeight="1" x14ac:dyDescent="0.3">
      <c r="A1676" s="8" t="s">
        <v>2081</v>
      </c>
      <c r="B1676" s="8" t="s">
        <v>2088</v>
      </c>
      <c r="C1676" s="8" t="s">
        <v>177</v>
      </c>
      <c r="D1676" s="8" t="s">
        <v>2089</v>
      </c>
      <c r="E1676" s="8" t="s">
        <v>179</v>
      </c>
      <c r="F1676" s="9">
        <v>1</v>
      </c>
      <c r="G1676" s="5">
        <f>TRUNC([1]단가대비표!O210,0)</f>
        <v>6140</v>
      </c>
      <c r="H1676" s="5">
        <f t="shared" si="150"/>
        <v>6140</v>
      </c>
      <c r="I1676" s="5">
        <v>0</v>
      </c>
      <c r="J1676" s="5">
        <f t="shared" si="151"/>
        <v>0</v>
      </c>
      <c r="K1676" s="5">
        <v>0</v>
      </c>
      <c r="L1676" s="5">
        <f t="shared" si="152"/>
        <v>0</v>
      </c>
      <c r="M1676" s="5">
        <f t="shared" si="153"/>
        <v>6140</v>
      </c>
      <c r="N1676" s="5">
        <f t="shared" si="153"/>
        <v>6140</v>
      </c>
      <c r="O1676" s="8" t="s">
        <v>20</v>
      </c>
      <c r="T1676">
        <v>0</v>
      </c>
      <c r="AC1676">
        <v>1</v>
      </c>
    </row>
    <row r="1677" spans="1:29" ht="30" customHeight="1" x14ac:dyDescent="0.3">
      <c r="A1677" s="8" t="s">
        <v>2081</v>
      </c>
      <c r="B1677" s="8" t="s">
        <v>182</v>
      </c>
      <c r="C1677" s="8" t="s">
        <v>183</v>
      </c>
      <c r="D1677" s="8" t="s">
        <v>184</v>
      </c>
      <c r="E1677" s="8" t="s">
        <v>185</v>
      </c>
      <c r="F1677" s="9">
        <v>13</v>
      </c>
      <c r="G1677" s="5" t="e">
        <f>'[2].xls].xls].xls].xls].xls].xls].xls].'!E25</f>
        <v>#REF!</v>
      </c>
      <c r="H1677" s="5" t="e">
        <f t="shared" si="150"/>
        <v>#REF!</v>
      </c>
      <c r="I1677" s="5" t="e">
        <f>'[2].xls].xls].xls].xls].xls].xls].xls].'!F25</f>
        <v>#REF!</v>
      </c>
      <c r="J1677" s="5" t="e">
        <f t="shared" si="151"/>
        <v>#REF!</v>
      </c>
      <c r="K1677" s="5" t="e">
        <f>'[2].xls].xls].xls].xls].xls].xls].xls].'!G25</f>
        <v>#REF!</v>
      </c>
      <c r="L1677" s="5" t="e">
        <f t="shared" si="152"/>
        <v>#REF!</v>
      </c>
      <c r="M1677" s="5" t="e">
        <f t="shared" si="153"/>
        <v>#REF!</v>
      </c>
      <c r="N1677" s="5" t="e">
        <f t="shared" si="153"/>
        <v>#REF!</v>
      </c>
      <c r="O1677" s="8" t="s">
        <v>182</v>
      </c>
      <c r="T1677">
        <v>0</v>
      </c>
      <c r="AC1677">
        <v>1</v>
      </c>
    </row>
    <row r="1678" spans="1:29" ht="30" customHeight="1" x14ac:dyDescent="0.3">
      <c r="A1678" s="8" t="s">
        <v>2081</v>
      </c>
      <c r="B1678" s="8" t="s">
        <v>2090</v>
      </c>
      <c r="C1678" s="8" t="s">
        <v>183</v>
      </c>
      <c r="D1678" s="8" t="s">
        <v>346</v>
      </c>
      <c r="E1678" s="8" t="s">
        <v>185</v>
      </c>
      <c r="F1678" s="9">
        <v>3</v>
      </c>
      <c r="G1678" s="5" t="e">
        <f>'[2].xls].xls].xls].xls].xls].xls].xls].'!E29</f>
        <v>#REF!</v>
      </c>
      <c r="H1678" s="5" t="e">
        <f t="shared" si="150"/>
        <v>#REF!</v>
      </c>
      <c r="I1678" s="5" t="e">
        <f>'[2].xls].xls].xls].xls].xls].xls].xls].'!F29</f>
        <v>#REF!</v>
      </c>
      <c r="J1678" s="5" t="e">
        <f t="shared" si="151"/>
        <v>#REF!</v>
      </c>
      <c r="K1678" s="5" t="e">
        <f>'[2].xls].xls].xls].xls].xls].xls].xls].'!G29</f>
        <v>#REF!</v>
      </c>
      <c r="L1678" s="5" t="e">
        <f t="shared" si="152"/>
        <v>#REF!</v>
      </c>
      <c r="M1678" s="5" t="e">
        <f t="shared" si="153"/>
        <v>#REF!</v>
      </c>
      <c r="N1678" s="5" t="e">
        <f t="shared" si="153"/>
        <v>#REF!</v>
      </c>
      <c r="O1678" s="8" t="s">
        <v>2090</v>
      </c>
      <c r="T1678">
        <v>0</v>
      </c>
      <c r="AC1678">
        <v>1</v>
      </c>
    </row>
    <row r="1679" spans="1:29" ht="30" customHeight="1" x14ac:dyDescent="0.3">
      <c r="A1679" s="5"/>
      <c r="B1679" s="5"/>
      <c r="C1679" s="5"/>
      <c r="D1679" s="5"/>
      <c r="E1679" s="5"/>
      <c r="F1679" s="9"/>
      <c r="G1679" s="5"/>
      <c r="H1679" s="5"/>
      <c r="I1679" s="5"/>
      <c r="J1679" s="5"/>
      <c r="K1679" s="5"/>
      <c r="L1679" s="5"/>
      <c r="M1679" s="5"/>
      <c r="N1679" s="5"/>
      <c r="O1679" s="5"/>
    </row>
    <row r="1680" spans="1:29" ht="30" customHeight="1" x14ac:dyDescent="0.3">
      <c r="A1680" s="5"/>
      <c r="B1680" s="5"/>
      <c r="C1680" s="5"/>
      <c r="D1680" s="5"/>
      <c r="E1680" s="5"/>
      <c r="F1680" s="9"/>
      <c r="G1680" s="5"/>
      <c r="H1680" s="5"/>
      <c r="I1680" s="5"/>
      <c r="J1680" s="5"/>
      <c r="K1680" s="5"/>
      <c r="L1680" s="5"/>
      <c r="M1680" s="5"/>
      <c r="N1680" s="5"/>
      <c r="O1680" s="5"/>
    </row>
    <row r="1681" spans="1:29" ht="30" customHeight="1" x14ac:dyDescent="0.3">
      <c r="A1681" s="5"/>
      <c r="B1681" s="5"/>
      <c r="C1681" s="5"/>
      <c r="D1681" s="5"/>
      <c r="E1681" s="5"/>
      <c r="F1681" s="9"/>
      <c r="G1681" s="5"/>
      <c r="H1681" s="5"/>
      <c r="I1681" s="5"/>
      <c r="J1681" s="5"/>
      <c r="K1681" s="5"/>
      <c r="L1681" s="5"/>
      <c r="M1681" s="5"/>
      <c r="N1681" s="5"/>
      <c r="O1681" s="5"/>
    </row>
    <row r="1682" spans="1:29" ht="30" customHeight="1" x14ac:dyDescent="0.3">
      <c r="A1682" s="5"/>
      <c r="B1682" s="5"/>
      <c r="C1682" s="5"/>
      <c r="D1682" s="5"/>
      <c r="E1682" s="5"/>
      <c r="F1682" s="9"/>
      <c r="G1682" s="5"/>
      <c r="H1682" s="5"/>
      <c r="I1682" s="5"/>
      <c r="J1682" s="5"/>
      <c r="K1682" s="5"/>
      <c r="L1682" s="5"/>
      <c r="M1682" s="5"/>
      <c r="N1682" s="5"/>
      <c r="O1682" s="5"/>
    </row>
    <row r="1683" spans="1:29" ht="30" customHeight="1" x14ac:dyDescent="0.3">
      <c r="A1683" s="5"/>
      <c r="B1683" s="5"/>
      <c r="C1683" s="5"/>
      <c r="D1683" s="5"/>
      <c r="E1683" s="5"/>
      <c r="F1683" s="9"/>
      <c r="G1683" s="5"/>
      <c r="H1683" s="5"/>
      <c r="I1683" s="5"/>
      <c r="J1683" s="5"/>
      <c r="K1683" s="5"/>
      <c r="L1683" s="5"/>
      <c r="M1683" s="5"/>
      <c r="N1683" s="5"/>
      <c r="O1683" s="5"/>
    </row>
    <row r="1684" spans="1:29" ht="30" customHeight="1" x14ac:dyDescent="0.3">
      <c r="A1684" s="5"/>
      <c r="B1684" s="5"/>
      <c r="C1684" s="5"/>
      <c r="D1684" s="5"/>
      <c r="E1684" s="5"/>
      <c r="F1684" s="9"/>
      <c r="G1684" s="5"/>
      <c r="H1684" s="5"/>
      <c r="I1684" s="5"/>
      <c r="J1684" s="5"/>
      <c r="K1684" s="5"/>
      <c r="L1684" s="5"/>
      <c r="M1684" s="5"/>
      <c r="N1684" s="5"/>
      <c r="O1684" s="5"/>
    </row>
    <row r="1685" spans="1:29" ht="30" customHeight="1" x14ac:dyDescent="0.3">
      <c r="A1685" s="5"/>
      <c r="B1685" s="5"/>
      <c r="C1685" s="5"/>
      <c r="D1685" s="5"/>
      <c r="E1685" s="5"/>
      <c r="F1685" s="9"/>
      <c r="G1685" s="5"/>
      <c r="H1685" s="5"/>
      <c r="I1685" s="5"/>
      <c r="J1685" s="5"/>
      <c r="K1685" s="5"/>
      <c r="L1685" s="5"/>
      <c r="M1685" s="5"/>
      <c r="N1685" s="5"/>
      <c r="O1685" s="5"/>
    </row>
    <row r="1686" spans="1:29" ht="30" customHeight="1" x14ac:dyDescent="0.3">
      <c r="A1686" s="5"/>
      <c r="B1686" s="5"/>
      <c r="C1686" s="5"/>
      <c r="D1686" s="5"/>
      <c r="E1686" s="5"/>
      <c r="F1686" s="9"/>
      <c r="G1686" s="5"/>
      <c r="H1686" s="5"/>
      <c r="I1686" s="5"/>
      <c r="J1686" s="5"/>
      <c r="K1686" s="5"/>
      <c r="L1686" s="5"/>
      <c r="M1686" s="5"/>
      <c r="N1686" s="5"/>
      <c r="O1686" s="5"/>
    </row>
    <row r="1687" spans="1:29" ht="30" customHeight="1" x14ac:dyDescent="0.3">
      <c r="A1687" s="5"/>
      <c r="B1687" s="5"/>
      <c r="C1687" s="5"/>
      <c r="D1687" s="5"/>
      <c r="E1687" s="5"/>
      <c r="F1687" s="9"/>
      <c r="G1687" s="5"/>
      <c r="H1687" s="5"/>
      <c r="I1687" s="5"/>
      <c r="J1687" s="5"/>
      <c r="K1687" s="5"/>
      <c r="L1687" s="5"/>
      <c r="M1687" s="5"/>
      <c r="N1687" s="5"/>
      <c r="O1687" s="5"/>
    </row>
    <row r="1688" spans="1:29" ht="30" customHeight="1" x14ac:dyDescent="0.3">
      <c r="A1688" s="5"/>
      <c r="B1688" s="5"/>
      <c r="C1688" s="5"/>
      <c r="D1688" s="5"/>
      <c r="E1688" s="5"/>
      <c r="F1688" s="9"/>
      <c r="G1688" s="5"/>
      <c r="H1688" s="5"/>
      <c r="I1688" s="5"/>
      <c r="J1688" s="5"/>
      <c r="K1688" s="5"/>
      <c r="L1688" s="5"/>
      <c r="M1688" s="5"/>
      <c r="N1688" s="5"/>
      <c r="O1688" s="5"/>
    </row>
    <row r="1689" spans="1:29" ht="30" customHeight="1" x14ac:dyDescent="0.3">
      <c r="A1689" s="5"/>
      <c r="B1689" s="5"/>
      <c r="C1689" s="5"/>
      <c r="D1689" s="5"/>
      <c r="E1689" s="5"/>
      <c r="F1689" s="9"/>
      <c r="G1689" s="5"/>
      <c r="H1689" s="5"/>
      <c r="I1689" s="5"/>
      <c r="J1689" s="5"/>
      <c r="K1689" s="5"/>
      <c r="L1689" s="5"/>
      <c r="M1689" s="5"/>
      <c r="N1689" s="5"/>
      <c r="O1689" s="5"/>
    </row>
    <row r="1690" spans="1:29" ht="30" customHeight="1" x14ac:dyDescent="0.3">
      <c r="A1690" s="5"/>
      <c r="B1690" s="5"/>
      <c r="C1690" s="5"/>
      <c r="D1690" s="5"/>
      <c r="E1690" s="5"/>
      <c r="F1690" s="9"/>
      <c r="G1690" s="5"/>
      <c r="H1690" s="5"/>
      <c r="I1690" s="5"/>
      <c r="J1690" s="5"/>
      <c r="K1690" s="5"/>
      <c r="L1690" s="5"/>
      <c r="M1690" s="5"/>
      <c r="N1690" s="5"/>
      <c r="O1690" s="5"/>
    </row>
    <row r="1691" spans="1:29" ht="30" customHeight="1" x14ac:dyDescent="0.3">
      <c r="A1691" s="5"/>
      <c r="B1691" s="5"/>
      <c r="C1691" s="5"/>
      <c r="D1691" s="5"/>
      <c r="E1691" s="5"/>
      <c r="F1691" s="9"/>
      <c r="G1691" s="5"/>
      <c r="H1691" s="5"/>
      <c r="I1691" s="5"/>
      <c r="J1691" s="5"/>
      <c r="K1691" s="5"/>
      <c r="L1691" s="5"/>
      <c r="M1691" s="5"/>
      <c r="N1691" s="5"/>
      <c r="O1691" s="5"/>
    </row>
    <row r="1692" spans="1:29" ht="30" customHeight="1" x14ac:dyDescent="0.3">
      <c r="A1692" s="5"/>
      <c r="B1692" s="5"/>
      <c r="C1692" s="5"/>
      <c r="D1692" s="5"/>
      <c r="E1692" s="5"/>
      <c r="F1692" s="9"/>
      <c r="G1692" s="5"/>
      <c r="H1692" s="5"/>
      <c r="I1692" s="5"/>
      <c r="J1692" s="5"/>
      <c r="K1692" s="5"/>
      <c r="L1692" s="5"/>
      <c r="M1692" s="5"/>
      <c r="N1692" s="5"/>
      <c r="O1692" s="5"/>
    </row>
    <row r="1693" spans="1:29" ht="30" customHeight="1" x14ac:dyDescent="0.3">
      <c r="A1693" s="5"/>
      <c r="B1693" s="5"/>
      <c r="C1693" s="5" t="s">
        <v>162</v>
      </c>
      <c r="D1693" s="5"/>
      <c r="E1693" s="5"/>
      <c r="F1693" s="9"/>
      <c r="G1693" s="5"/>
      <c r="H1693" s="5" t="e">
        <f>SUMIF(AC1669:AC1692, 1, H1669:H1692)</f>
        <v>#REF!</v>
      </c>
      <c r="I1693" s="5"/>
      <c r="J1693" s="5" t="e">
        <f>SUMIF(AC1669:AC1692, 1, J1669:J1692)</f>
        <v>#REF!</v>
      </c>
      <c r="K1693" s="5"/>
      <c r="L1693" s="5" t="e">
        <f>SUMIF(AC1669:AC1692, 1, L1669:L1692)</f>
        <v>#REF!</v>
      </c>
      <c r="M1693" s="5"/>
      <c r="N1693" s="5" t="e">
        <f>H1693+J1693+L1693</f>
        <v>#REF!</v>
      </c>
      <c r="O1693" s="5"/>
    </row>
    <row r="1694" spans="1:29" ht="30" customHeight="1" x14ac:dyDescent="0.3">
      <c r="A1694" s="5"/>
      <c r="B1694" s="5"/>
      <c r="C1694" s="10" t="s">
        <v>2091</v>
      </c>
      <c r="D1694" s="10"/>
      <c r="E1694" s="10"/>
      <c r="F1694" s="11"/>
      <c r="G1694" s="10"/>
      <c r="H1694" s="10"/>
      <c r="I1694" s="10"/>
      <c r="J1694" s="10"/>
      <c r="K1694" s="10"/>
      <c r="L1694" s="10"/>
      <c r="M1694" s="10"/>
      <c r="N1694" s="10"/>
      <c r="O1694" s="10"/>
    </row>
    <row r="1695" spans="1:29" ht="30" customHeight="1" x14ac:dyDescent="0.3">
      <c r="A1695" s="8" t="s">
        <v>2092</v>
      </c>
      <c r="B1695" s="8" t="s">
        <v>722</v>
      </c>
      <c r="C1695" s="8" t="s">
        <v>723</v>
      </c>
      <c r="D1695" s="8" t="s">
        <v>724</v>
      </c>
      <c r="E1695" s="8" t="s">
        <v>721</v>
      </c>
      <c r="F1695" s="9">
        <v>9</v>
      </c>
      <c r="G1695" s="5">
        <f>TRUNC([1]단가대비표!O38,0)</f>
        <v>158100</v>
      </c>
      <c r="H1695" s="5">
        <f t="shared" ref="H1695:H1703" si="154">TRUNC(F1695*G1695,0)</f>
        <v>1422900</v>
      </c>
      <c r="I1695" s="5">
        <v>0</v>
      </c>
      <c r="J1695" s="5">
        <f t="shared" ref="J1695:J1703" si="155">TRUNC(F1695*I1695,0)</f>
        <v>0</v>
      </c>
      <c r="K1695" s="5">
        <v>0</v>
      </c>
      <c r="L1695" s="5">
        <f t="shared" ref="L1695:L1703" si="156">TRUNC(F1695*K1695,0)</f>
        <v>0</v>
      </c>
      <c r="M1695" s="5">
        <f t="shared" ref="M1695:N1703" si="157">G1695+I1695+K1695</f>
        <v>158100</v>
      </c>
      <c r="N1695" s="5">
        <f t="shared" si="157"/>
        <v>1422900</v>
      </c>
      <c r="O1695" s="8" t="s">
        <v>20</v>
      </c>
      <c r="T1695">
        <v>0</v>
      </c>
      <c r="AC1695">
        <v>1</v>
      </c>
    </row>
    <row r="1696" spans="1:29" ht="30" customHeight="1" x14ac:dyDescent="0.3">
      <c r="A1696" s="8" t="s">
        <v>2092</v>
      </c>
      <c r="B1696" s="8" t="s">
        <v>727</v>
      </c>
      <c r="C1696" s="8" t="s">
        <v>728</v>
      </c>
      <c r="D1696" s="8" t="s">
        <v>729</v>
      </c>
      <c r="E1696" s="8" t="s">
        <v>721</v>
      </c>
      <c r="F1696" s="9">
        <v>6</v>
      </c>
      <c r="G1696" s="5">
        <f>TRUNC([1]단가대비표!O40,0)</f>
        <v>316200</v>
      </c>
      <c r="H1696" s="5">
        <f t="shared" si="154"/>
        <v>1897200</v>
      </c>
      <c r="I1696" s="5">
        <v>0</v>
      </c>
      <c r="J1696" s="5">
        <f t="shared" si="155"/>
        <v>0</v>
      </c>
      <c r="K1696" s="5">
        <v>0</v>
      </c>
      <c r="L1696" s="5">
        <f t="shared" si="156"/>
        <v>0</v>
      </c>
      <c r="M1696" s="5">
        <f t="shared" si="157"/>
        <v>316200</v>
      </c>
      <c r="N1696" s="5">
        <f t="shared" si="157"/>
        <v>1897200</v>
      </c>
      <c r="O1696" s="8" t="s">
        <v>20</v>
      </c>
      <c r="T1696">
        <v>0</v>
      </c>
      <c r="AC1696">
        <v>1</v>
      </c>
    </row>
    <row r="1697" spans="1:29" ht="30" customHeight="1" x14ac:dyDescent="0.3">
      <c r="A1697" s="8" t="s">
        <v>2092</v>
      </c>
      <c r="B1697" s="8" t="s">
        <v>733</v>
      </c>
      <c r="C1697" s="8" t="s">
        <v>734</v>
      </c>
      <c r="D1697" s="8" t="s">
        <v>735</v>
      </c>
      <c r="E1697" s="8" t="s">
        <v>721</v>
      </c>
      <c r="F1697" s="9">
        <v>6</v>
      </c>
      <c r="G1697" s="5">
        <f>TRUNC([1]단가대비표!O33,0)</f>
        <v>178500</v>
      </c>
      <c r="H1697" s="5">
        <f t="shared" si="154"/>
        <v>1071000</v>
      </c>
      <c r="I1697" s="5">
        <v>0</v>
      </c>
      <c r="J1697" s="5">
        <f t="shared" si="155"/>
        <v>0</v>
      </c>
      <c r="K1697" s="5">
        <v>0</v>
      </c>
      <c r="L1697" s="5">
        <f t="shared" si="156"/>
        <v>0</v>
      </c>
      <c r="M1697" s="5">
        <f t="shared" si="157"/>
        <v>178500</v>
      </c>
      <c r="N1697" s="5">
        <f t="shared" si="157"/>
        <v>1071000</v>
      </c>
      <c r="O1697" s="8" t="s">
        <v>20</v>
      </c>
      <c r="T1697">
        <v>0</v>
      </c>
      <c r="AC1697">
        <v>1</v>
      </c>
    </row>
    <row r="1698" spans="1:29" ht="30" customHeight="1" x14ac:dyDescent="0.3">
      <c r="A1698" s="8" t="s">
        <v>2092</v>
      </c>
      <c r="B1698" s="8" t="s">
        <v>748</v>
      </c>
      <c r="C1698" s="8" t="s">
        <v>749</v>
      </c>
      <c r="D1698" s="8" t="s">
        <v>20</v>
      </c>
      <c r="E1698" s="8" t="s">
        <v>179</v>
      </c>
      <c r="F1698" s="9">
        <v>3</v>
      </c>
      <c r="G1698" s="5">
        <f>TRUNC([1]단가대비표!O692,0)</f>
        <v>289000</v>
      </c>
      <c r="H1698" s="5">
        <f t="shared" si="154"/>
        <v>867000</v>
      </c>
      <c r="I1698" s="5">
        <v>0</v>
      </c>
      <c r="J1698" s="5">
        <f t="shared" si="155"/>
        <v>0</v>
      </c>
      <c r="K1698" s="5">
        <v>0</v>
      </c>
      <c r="L1698" s="5">
        <f t="shared" si="156"/>
        <v>0</v>
      </c>
      <c r="M1698" s="5">
        <f t="shared" si="157"/>
        <v>289000</v>
      </c>
      <c r="N1698" s="5">
        <f t="shared" si="157"/>
        <v>867000</v>
      </c>
      <c r="O1698" s="8" t="s">
        <v>20</v>
      </c>
      <c r="T1698">
        <v>0</v>
      </c>
      <c r="AC1698">
        <v>1</v>
      </c>
    </row>
    <row r="1699" spans="1:29" ht="30" customHeight="1" x14ac:dyDescent="0.3">
      <c r="A1699" s="8" t="s">
        <v>2092</v>
      </c>
      <c r="B1699" s="8" t="s">
        <v>750</v>
      </c>
      <c r="C1699" s="8" t="s">
        <v>751</v>
      </c>
      <c r="D1699" s="8" t="s">
        <v>20</v>
      </c>
      <c r="E1699" s="8" t="s">
        <v>179</v>
      </c>
      <c r="F1699" s="9">
        <v>3</v>
      </c>
      <c r="G1699" s="5">
        <f>TRUNC([1]단가대비표!O34,0)</f>
        <v>8075</v>
      </c>
      <c r="H1699" s="5">
        <f t="shared" si="154"/>
        <v>24225</v>
      </c>
      <c r="I1699" s="5">
        <v>0</v>
      </c>
      <c r="J1699" s="5">
        <f t="shared" si="155"/>
        <v>0</v>
      </c>
      <c r="K1699" s="5">
        <v>0</v>
      </c>
      <c r="L1699" s="5">
        <f t="shared" si="156"/>
        <v>0</v>
      </c>
      <c r="M1699" s="5">
        <f t="shared" si="157"/>
        <v>8075</v>
      </c>
      <c r="N1699" s="5">
        <f t="shared" si="157"/>
        <v>24225</v>
      </c>
      <c r="O1699" s="8" t="s">
        <v>20</v>
      </c>
      <c r="T1699">
        <v>0</v>
      </c>
      <c r="AC1699">
        <v>1</v>
      </c>
    </row>
    <row r="1700" spans="1:29" ht="30" customHeight="1" x14ac:dyDescent="0.3">
      <c r="A1700" s="8" t="s">
        <v>2092</v>
      </c>
      <c r="B1700" s="8" t="s">
        <v>752</v>
      </c>
      <c r="C1700" s="8" t="s">
        <v>753</v>
      </c>
      <c r="D1700" s="8" t="s">
        <v>20</v>
      </c>
      <c r="E1700" s="8" t="s">
        <v>179</v>
      </c>
      <c r="F1700" s="9">
        <v>9</v>
      </c>
      <c r="G1700" s="5">
        <f>TRUNC([1]단가대비표!O35,0)</f>
        <v>6720</v>
      </c>
      <c r="H1700" s="5">
        <f t="shared" si="154"/>
        <v>60480</v>
      </c>
      <c r="I1700" s="5">
        <v>0</v>
      </c>
      <c r="J1700" s="5">
        <f t="shared" si="155"/>
        <v>0</v>
      </c>
      <c r="K1700" s="5">
        <v>0</v>
      </c>
      <c r="L1700" s="5">
        <f t="shared" si="156"/>
        <v>0</v>
      </c>
      <c r="M1700" s="5">
        <f t="shared" si="157"/>
        <v>6720</v>
      </c>
      <c r="N1700" s="5">
        <f t="shared" si="157"/>
        <v>60480</v>
      </c>
      <c r="O1700" s="8" t="s">
        <v>20</v>
      </c>
      <c r="T1700">
        <v>0</v>
      </c>
      <c r="AC1700">
        <v>1</v>
      </c>
    </row>
    <row r="1701" spans="1:29" ht="30" customHeight="1" x14ac:dyDescent="0.3">
      <c r="A1701" s="8" t="s">
        <v>2092</v>
      </c>
      <c r="B1701" s="8" t="s">
        <v>152</v>
      </c>
      <c r="C1701" s="8" t="s">
        <v>153</v>
      </c>
      <c r="D1701" s="8" t="s">
        <v>154</v>
      </c>
      <c r="E1701" s="8" t="s">
        <v>155</v>
      </c>
      <c r="F1701" s="9">
        <v>4</v>
      </c>
      <c r="G1701" s="5">
        <v>0</v>
      </c>
      <c r="H1701" s="5">
        <f t="shared" si="154"/>
        <v>0</v>
      </c>
      <c r="I1701" s="5">
        <f>TRUNC([1]단가대비표!O671,0)</f>
        <v>157068</v>
      </c>
      <c r="J1701" s="5">
        <f t="shared" si="155"/>
        <v>628272</v>
      </c>
      <c r="K1701" s="5">
        <v>0</v>
      </c>
      <c r="L1701" s="5">
        <f t="shared" si="156"/>
        <v>0</v>
      </c>
      <c r="M1701" s="5">
        <f t="shared" si="157"/>
        <v>157068</v>
      </c>
      <c r="N1701" s="5">
        <f t="shared" si="157"/>
        <v>628272</v>
      </c>
      <c r="O1701" s="8" t="s">
        <v>20</v>
      </c>
      <c r="T1701">
        <v>0</v>
      </c>
      <c r="W1701">
        <v>3</v>
      </c>
      <c r="AC1701">
        <v>1</v>
      </c>
    </row>
    <row r="1702" spans="1:29" ht="30" customHeight="1" x14ac:dyDescent="0.3">
      <c r="A1702" s="8" t="s">
        <v>2092</v>
      </c>
      <c r="B1702" s="8" t="s">
        <v>761</v>
      </c>
      <c r="C1702" s="8" t="s">
        <v>153</v>
      </c>
      <c r="D1702" s="8" t="s">
        <v>762</v>
      </c>
      <c r="E1702" s="8" t="s">
        <v>155</v>
      </c>
      <c r="F1702" s="9">
        <v>15</v>
      </c>
      <c r="G1702" s="5">
        <v>0</v>
      </c>
      <c r="H1702" s="5">
        <f t="shared" si="154"/>
        <v>0</v>
      </c>
      <c r="I1702" s="5">
        <f>TRUNC([1]단가대비표!O673,0)</f>
        <v>202504</v>
      </c>
      <c r="J1702" s="5">
        <f t="shared" si="155"/>
        <v>3037560</v>
      </c>
      <c r="K1702" s="5">
        <v>0</v>
      </c>
      <c r="L1702" s="5">
        <f t="shared" si="156"/>
        <v>0</v>
      </c>
      <c r="M1702" s="5">
        <f t="shared" si="157"/>
        <v>202504</v>
      </c>
      <c r="N1702" s="5">
        <f t="shared" si="157"/>
        <v>3037560</v>
      </c>
      <c r="O1702" s="8" t="s">
        <v>20</v>
      </c>
      <c r="T1702">
        <v>0</v>
      </c>
      <c r="W1702">
        <v>3</v>
      </c>
      <c r="AC1702">
        <v>1</v>
      </c>
    </row>
    <row r="1703" spans="1:29" ht="30" customHeight="1" x14ac:dyDescent="0.3">
      <c r="A1703" s="8" t="s">
        <v>2092</v>
      </c>
      <c r="B1703" s="8" t="s">
        <v>158</v>
      </c>
      <c r="C1703" s="8" t="s">
        <v>159</v>
      </c>
      <c r="D1703" s="8" t="s">
        <v>160</v>
      </c>
      <c r="E1703" s="8" t="s">
        <v>161</v>
      </c>
      <c r="F1703" s="9">
        <v>1</v>
      </c>
      <c r="G1703" s="5">
        <f>ROUNDDOWN(SUMIF(W1695:W1703, RIGHTB(B1703, 1), J1695:J1703)*T1703, 0)</f>
        <v>73316</v>
      </c>
      <c r="H1703" s="5">
        <f t="shared" si="154"/>
        <v>73316</v>
      </c>
      <c r="I1703" s="5">
        <v>0</v>
      </c>
      <c r="J1703" s="5">
        <f t="shared" si="155"/>
        <v>0</v>
      </c>
      <c r="K1703" s="5">
        <v>0</v>
      </c>
      <c r="L1703" s="5">
        <f t="shared" si="156"/>
        <v>0</v>
      </c>
      <c r="M1703" s="5">
        <f t="shared" si="157"/>
        <v>73316</v>
      </c>
      <c r="N1703" s="5">
        <f t="shared" si="157"/>
        <v>73316</v>
      </c>
      <c r="O1703" s="8" t="s">
        <v>20</v>
      </c>
      <c r="P1703">
        <v>1703</v>
      </c>
      <c r="R1703">
        <v>1</v>
      </c>
      <c r="S1703">
        <v>0</v>
      </c>
      <c r="T1703">
        <v>0.02</v>
      </c>
      <c r="AC1703">
        <v>1</v>
      </c>
    </row>
    <row r="1704" spans="1:29" ht="30" customHeight="1" x14ac:dyDescent="0.3">
      <c r="A1704" s="5"/>
      <c r="B1704" s="5"/>
      <c r="C1704" s="5"/>
      <c r="D1704" s="5"/>
      <c r="E1704" s="5"/>
      <c r="F1704" s="9"/>
      <c r="G1704" s="5"/>
      <c r="H1704" s="5"/>
      <c r="I1704" s="5"/>
      <c r="J1704" s="5"/>
      <c r="K1704" s="5"/>
      <c r="L1704" s="5"/>
      <c r="M1704" s="5"/>
      <c r="N1704" s="5"/>
      <c r="O1704" s="5"/>
    </row>
    <row r="1705" spans="1:29" ht="30" customHeight="1" x14ac:dyDescent="0.3">
      <c r="A1705" s="5"/>
      <c r="B1705" s="5"/>
      <c r="C1705" s="5"/>
      <c r="D1705" s="5"/>
      <c r="E1705" s="5"/>
      <c r="F1705" s="9"/>
      <c r="G1705" s="5"/>
      <c r="H1705" s="5"/>
      <c r="I1705" s="5"/>
      <c r="J1705" s="5"/>
      <c r="K1705" s="5"/>
      <c r="L1705" s="5"/>
      <c r="M1705" s="5"/>
      <c r="N1705" s="5"/>
      <c r="O1705" s="5"/>
    </row>
    <row r="1706" spans="1:29" ht="30" customHeight="1" x14ac:dyDescent="0.3">
      <c r="A1706" s="5"/>
      <c r="B1706" s="5"/>
      <c r="C1706" s="5"/>
      <c r="D1706" s="5"/>
      <c r="E1706" s="5"/>
      <c r="F1706" s="9"/>
      <c r="G1706" s="5"/>
      <c r="H1706" s="5"/>
      <c r="I1706" s="5"/>
      <c r="J1706" s="5"/>
      <c r="K1706" s="5"/>
      <c r="L1706" s="5"/>
      <c r="M1706" s="5"/>
      <c r="N1706" s="5"/>
      <c r="O1706" s="5"/>
    </row>
    <row r="1707" spans="1:29" ht="30" customHeight="1" x14ac:dyDescent="0.3">
      <c r="A1707" s="5"/>
      <c r="B1707" s="5"/>
      <c r="C1707" s="5"/>
      <c r="D1707" s="5"/>
      <c r="E1707" s="5"/>
      <c r="F1707" s="9"/>
      <c r="G1707" s="5"/>
      <c r="H1707" s="5"/>
      <c r="I1707" s="5"/>
      <c r="J1707" s="5"/>
      <c r="K1707" s="5"/>
      <c r="L1707" s="5"/>
      <c r="M1707" s="5"/>
      <c r="N1707" s="5"/>
      <c r="O1707" s="5"/>
    </row>
    <row r="1708" spans="1:29" ht="30" customHeight="1" x14ac:dyDescent="0.3">
      <c r="A1708" s="5"/>
      <c r="B1708" s="5"/>
      <c r="C1708" s="5"/>
      <c r="D1708" s="5"/>
      <c r="E1708" s="5"/>
      <c r="F1708" s="9"/>
      <c r="G1708" s="5"/>
      <c r="H1708" s="5"/>
      <c r="I1708" s="5"/>
      <c r="J1708" s="5"/>
      <c r="K1708" s="5"/>
      <c r="L1708" s="5"/>
      <c r="M1708" s="5"/>
      <c r="N1708" s="5"/>
      <c r="O1708" s="5"/>
    </row>
    <row r="1709" spans="1:29" ht="30" customHeight="1" x14ac:dyDescent="0.3">
      <c r="A1709" s="5"/>
      <c r="B1709" s="5"/>
      <c r="C1709" s="5"/>
      <c r="D1709" s="5"/>
      <c r="E1709" s="5"/>
      <c r="F1709" s="9"/>
      <c r="G1709" s="5"/>
      <c r="H1709" s="5"/>
      <c r="I1709" s="5"/>
      <c r="J1709" s="5"/>
      <c r="K1709" s="5"/>
      <c r="L1709" s="5"/>
      <c r="M1709" s="5"/>
      <c r="N1709" s="5"/>
      <c r="O1709" s="5"/>
    </row>
    <row r="1710" spans="1:29" ht="30" customHeight="1" x14ac:dyDescent="0.3">
      <c r="A1710" s="5"/>
      <c r="B1710" s="5"/>
      <c r="C1710" s="5"/>
      <c r="D1710" s="5"/>
      <c r="E1710" s="5"/>
      <c r="F1710" s="9"/>
      <c r="G1710" s="5"/>
      <c r="H1710" s="5"/>
      <c r="I1710" s="5"/>
      <c r="J1710" s="5"/>
      <c r="K1710" s="5"/>
      <c r="L1710" s="5"/>
      <c r="M1710" s="5"/>
      <c r="N1710" s="5"/>
      <c r="O1710" s="5"/>
    </row>
    <row r="1711" spans="1:29" ht="30" customHeight="1" x14ac:dyDescent="0.3">
      <c r="A1711" s="5"/>
      <c r="B1711" s="5"/>
      <c r="C1711" s="5"/>
      <c r="D1711" s="5"/>
      <c r="E1711" s="5"/>
      <c r="F1711" s="9"/>
      <c r="G1711" s="5"/>
      <c r="H1711" s="5"/>
      <c r="I1711" s="5"/>
      <c r="J1711" s="5"/>
      <c r="K1711" s="5"/>
      <c r="L1711" s="5"/>
      <c r="M1711" s="5"/>
      <c r="N1711" s="5"/>
      <c r="O1711" s="5"/>
    </row>
    <row r="1712" spans="1:29" ht="30" customHeight="1" x14ac:dyDescent="0.3">
      <c r="A1712" s="5"/>
      <c r="B1712" s="5"/>
      <c r="C1712" s="5"/>
      <c r="D1712" s="5"/>
      <c r="E1712" s="5"/>
      <c r="F1712" s="9"/>
      <c r="G1712" s="5"/>
      <c r="H1712" s="5"/>
      <c r="I1712" s="5"/>
      <c r="J1712" s="5"/>
      <c r="K1712" s="5"/>
      <c r="L1712" s="5"/>
      <c r="M1712" s="5"/>
      <c r="N1712" s="5"/>
      <c r="O1712" s="5"/>
    </row>
    <row r="1713" spans="1:29" ht="30" customHeight="1" x14ac:dyDescent="0.3">
      <c r="A1713" s="5"/>
      <c r="B1713" s="5"/>
      <c r="C1713" s="5"/>
      <c r="D1713" s="5"/>
      <c r="E1713" s="5"/>
      <c r="F1713" s="9"/>
      <c r="G1713" s="5"/>
      <c r="H1713" s="5"/>
      <c r="I1713" s="5"/>
      <c r="J1713" s="5"/>
      <c r="K1713" s="5"/>
      <c r="L1713" s="5"/>
      <c r="M1713" s="5"/>
      <c r="N1713" s="5"/>
      <c r="O1713" s="5"/>
    </row>
    <row r="1714" spans="1:29" ht="30" customHeight="1" x14ac:dyDescent="0.3">
      <c r="A1714" s="5"/>
      <c r="B1714" s="5"/>
      <c r="C1714" s="5"/>
      <c r="D1714" s="5"/>
      <c r="E1714" s="5"/>
      <c r="F1714" s="9"/>
      <c r="G1714" s="5"/>
      <c r="H1714" s="5"/>
      <c r="I1714" s="5"/>
      <c r="J1714" s="5"/>
      <c r="K1714" s="5"/>
      <c r="L1714" s="5"/>
      <c r="M1714" s="5"/>
      <c r="N1714" s="5"/>
      <c r="O1714" s="5"/>
    </row>
    <row r="1715" spans="1:29" ht="30" customHeight="1" x14ac:dyDescent="0.3">
      <c r="A1715" s="5"/>
      <c r="B1715" s="5"/>
      <c r="C1715" s="5"/>
      <c r="D1715" s="5"/>
      <c r="E1715" s="5"/>
      <c r="F1715" s="9"/>
      <c r="G1715" s="5"/>
      <c r="H1715" s="5"/>
      <c r="I1715" s="5"/>
      <c r="J1715" s="5"/>
      <c r="K1715" s="5"/>
      <c r="L1715" s="5"/>
      <c r="M1715" s="5"/>
      <c r="N1715" s="5"/>
      <c r="O1715" s="5"/>
    </row>
    <row r="1716" spans="1:29" ht="30" customHeight="1" x14ac:dyDescent="0.3">
      <c r="A1716" s="5"/>
      <c r="B1716" s="5"/>
      <c r="C1716" s="5"/>
      <c r="D1716" s="5"/>
      <c r="E1716" s="5"/>
      <c r="F1716" s="9"/>
      <c r="G1716" s="5"/>
      <c r="H1716" s="5"/>
      <c r="I1716" s="5"/>
      <c r="J1716" s="5"/>
      <c r="K1716" s="5"/>
      <c r="L1716" s="5"/>
      <c r="M1716" s="5"/>
      <c r="N1716" s="5"/>
      <c r="O1716" s="5"/>
    </row>
    <row r="1717" spans="1:29" ht="30" customHeight="1" x14ac:dyDescent="0.3">
      <c r="A1717" s="5"/>
      <c r="B1717" s="5"/>
      <c r="C1717" s="5"/>
      <c r="D1717" s="5"/>
      <c r="E1717" s="5"/>
      <c r="F1717" s="9"/>
      <c r="G1717" s="5"/>
      <c r="H1717" s="5"/>
      <c r="I1717" s="5"/>
      <c r="J1717" s="5"/>
      <c r="K1717" s="5"/>
      <c r="L1717" s="5"/>
      <c r="M1717" s="5"/>
      <c r="N1717" s="5"/>
      <c r="O1717" s="5"/>
    </row>
    <row r="1718" spans="1:29" ht="30" customHeight="1" x14ac:dyDescent="0.3">
      <c r="A1718" s="5"/>
      <c r="B1718" s="5"/>
      <c r="C1718" s="5"/>
      <c r="D1718" s="5"/>
      <c r="E1718" s="5"/>
      <c r="F1718" s="9"/>
      <c r="G1718" s="5"/>
      <c r="H1718" s="5"/>
      <c r="I1718" s="5"/>
      <c r="J1718" s="5"/>
      <c r="K1718" s="5"/>
      <c r="L1718" s="5"/>
      <c r="M1718" s="5"/>
      <c r="N1718" s="5"/>
      <c r="O1718" s="5"/>
    </row>
    <row r="1719" spans="1:29" ht="30" customHeight="1" x14ac:dyDescent="0.3">
      <c r="A1719" s="5"/>
      <c r="B1719" s="5"/>
      <c r="C1719" s="5" t="s">
        <v>162</v>
      </c>
      <c r="D1719" s="5"/>
      <c r="E1719" s="5"/>
      <c r="F1719" s="9"/>
      <c r="G1719" s="5"/>
      <c r="H1719" s="5">
        <f>SUMIF(AC1695:AC1718, 1, H1695:H1718)</f>
        <v>5416121</v>
      </c>
      <c r="I1719" s="5"/>
      <c r="J1719" s="5">
        <f>SUMIF(AC1695:AC1718, 1, J1695:J1718)</f>
        <v>3665832</v>
      </c>
      <c r="K1719" s="5"/>
      <c r="L1719" s="5">
        <f>SUMIF(AC1695:AC1718, 1, L1695:L1718)</f>
        <v>0</v>
      </c>
      <c r="M1719" s="5"/>
      <c r="N1719" s="5">
        <f>H1719+J1719+L1719</f>
        <v>9081953</v>
      </c>
      <c r="O1719" s="5"/>
    </row>
    <row r="1720" spans="1:29" ht="30" customHeight="1" x14ac:dyDescent="0.3">
      <c r="A1720" s="5"/>
      <c r="B1720" s="5"/>
      <c r="C1720" s="10" t="s">
        <v>2093</v>
      </c>
      <c r="D1720" s="10"/>
      <c r="E1720" s="10"/>
      <c r="F1720" s="11"/>
      <c r="G1720" s="10"/>
      <c r="H1720" s="10"/>
      <c r="I1720" s="10"/>
      <c r="J1720" s="10"/>
      <c r="K1720" s="10"/>
      <c r="L1720" s="10"/>
      <c r="M1720" s="10"/>
      <c r="N1720" s="10"/>
      <c r="O1720" s="10"/>
    </row>
    <row r="1721" spans="1:29" ht="30" customHeight="1" x14ac:dyDescent="0.3">
      <c r="A1721" s="8" t="s">
        <v>2094</v>
      </c>
      <c r="B1721" s="8" t="s">
        <v>190</v>
      </c>
      <c r="C1721" s="8" t="s">
        <v>191</v>
      </c>
      <c r="D1721" s="8" t="s">
        <v>192</v>
      </c>
      <c r="E1721" s="8" t="s">
        <v>168</v>
      </c>
      <c r="F1721" s="9">
        <v>46</v>
      </c>
      <c r="G1721" s="5">
        <f>TRUNC([1]단가대비표!O85,0)</f>
        <v>1980</v>
      </c>
      <c r="H1721" s="5">
        <f t="shared" ref="H1721:H1772" si="158">TRUNC(F1721*G1721,0)</f>
        <v>91080</v>
      </c>
      <c r="I1721" s="5">
        <v>0</v>
      </c>
      <c r="J1721" s="5">
        <f t="shared" ref="J1721:J1772" si="159">TRUNC(F1721*I1721,0)</f>
        <v>0</v>
      </c>
      <c r="K1721" s="5">
        <v>0</v>
      </c>
      <c r="L1721" s="5">
        <f t="shared" ref="L1721:L1772" si="160">TRUNC(F1721*K1721,0)</f>
        <v>0</v>
      </c>
      <c r="M1721" s="5">
        <f t="shared" ref="M1721:N1752" si="161">G1721+I1721+K1721</f>
        <v>1980</v>
      </c>
      <c r="N1721" s="5">
        <f t="shared" si="161"/>
        <v>91080</v>
      </c>
      <c r="O1721" s="8" t="s">
        <v>20</v>
      </c>
      <c r="T1721">
        <v>0</v>
      </c>
      <c r="U1721">
        <v>1</v>
      </c>
      <c r="AC1721">
        <v>1</v>
      </c>
    </row>
    <row r="1722" spans="1:29" ht="30" customHeight="1" x14ac:dyDescent="0.3">
      <c r="A1722" s="8" t="s">
        <v>2094</v>
      </c>
      <c r="B1722" s="8" t="s">
        <v>193</v>
      </c>
      <c r="C1722" s="8" t="s">
        <v>191</v>
      </c>
      <c r="D1722" s="8" t="s">
        <v>194</v>
      </c>
      <c r="E1722" s="8" t="s">
        <v>168</v>
      </c>
      <c r="F1722" s="9">
        <v>21</v>
      </c>
      <c r="G1722" s="5">
        <f>TRUNC([1]단가대비표!O86,0)</f>
        <v>3220</v>
      </c>
      <c r="H1722" s="5">
        <f t="shared" si="158"/>
        <v>67620</v>
      </c>
      <c r="I1722" s="5">
        <v>0</v>
      </c>
      <c r="J1722" s="5">
        <f t="shared" si="159"/>
        <v>0</v>
      </c>
      <c r="K1722" s="5">
        <v>0</v>
      </c>
      <c r="L1722" s="5">
        <f t="shared" si="160"/>
        <v>0</v>
      </c>
      <c r="M1722" s="5">
        <f t="shared" si="161"/>
        <v>3220</v>
      </c>
      <c r="N1722" s="5">
        <f t="shared" si="161"/>
        <v>67620</v>
      </c>
      <c r="O1722" s="8" t="s">
        <v>20</v>
      </c>
      <c r="T1722">
        <v>0</v>
      </c>
      <c r="U1722">
        <v>1</v>
      </c>
      <c r="AC1722">
        <v>1</v>
      </c>
    </row>
    <row r="1723" spans="1:29" ht="30" customHeight="1" x14ac:dyDescent="0.3">
      <c r="A1723" s="8" t="s">
        <v>2094</v>
      </c>
      <c r="B1723" s="8" t="s">
        <v>195</v>
      </c>
      <c r="C1723" s="8" t="s">
        <v>191</v>
      </c>
      <c r="D1723" s="8" t="s">
        <v>196</v>
      </c>
      <c r="E1723" s="8" t="s">
        <v>168</v>
      </c>
      <c r="F1723" s="9">
        <v>27</v>
      </c>
      <c r="G1723" s="5">
        <f>TRUNC([1]단가대비표!O87,0)</f>
        <v>4010</v>
      </c>
      <c r="H1723" s="5">
        <f t="shared" si="158"/>
        <v>108270</v>
      </c>
      <c r="I1723" s="5">
        <v>0</v>
      </c>
      <c r="J1723" s="5">
        <f t="shared" si="159"/>
        <v>0</v>
      </c>
      <c r="K1723" s="5">
        <v>0</v>
      </c>
      <c r="L1723" s="5">
        <f t="shared" si="160"/>
        <v>0</v>
      </c>
      <c r="M1723" s="5">
        <f t="shared" si="161"/>
        <v>4010</v>
      </c>
      <c r="N1723" s="5">
        <f t="shared" si="161"/>
        <v>108270</v>
      </c>
      <c r="O1723" s="8" t="s">
        <v>20</v>
      </c>
      <c r="T1723">
        <v>0</v>
      </c>
      <c r="U1723">
        <v>1</v>
      </c>
      <c r="AC1723">
        <v>1</v>
      </c>
    </row>
    <row r="1724" spans="1:29" ht="30" customHeight="1" x14ac:dyDescent="0.3">
      <c r="A1724" s="8" t="s">
        <v>2094</v>
      </c>
      <c r="B1724" s="8" t="s">
        <v>197</v>
      </c>
      <c r="C1724" s="8" t="s">
        <v>191</v>
      </c>
      <c r="D1724" s="8" t="s">
        <v>198</v>
      </c>
      <c r="E1724" s="8" t="s">
        <v>168</v>
      </c>
      <c r="F1724" s="9">
        <v>6</v>
      </c>
      <c r="G1724" s="5">
        <f>TRUNC([1]단가대비표!O88,0)</f>
        <v>5650</v>
      </c>
      <c r="H1724" s="5">
        <f t="shared" si="158"/>
        <v>33900</v>
      </c>
      <c r="I1724" s="5">
        <v>0</v>
      </c>
      <c r="J1724" s="5">
        <f t="shared" si="159"/>
        <v>0</v>
      </c>
      <c r="K1724" s="5">
        <v>0</v>
      </c>
      <c r="L1724" s="5">
        <f t="shared" si="160"/>
        <v>0</v>
      </c>
      <c r="M1724" s="5">
        <f t="shared" si="161"/>
        <v>5650</v>
      </c>
      <c r="N1724" s="5">
        <f t="shared" si="161"/>
        <v>33900</v>
      </c>
      <c r="O1724" s="8" t="s">
        <v>20</v>
      </c>
      <c r="T1724">
        <v>0</v>
      </c>
      <c r="U1724">
        <v>1</v>
      </c>
      <c r="AC1724">
        <v>1</v>
      </c>
    </row>
    <row r="1725" spans="1:29" ht="30" customHeight="1" x14ac:dyDescent="0.3">
      <c r="A1725" s="8" t="s">
        <v>2094</v>
      </c>
      <c r="B1725" s="8" t="s">
        <v>199</v>
      </c>
      <c r="C1725" s="8" t="s">
        <v>191</v>
      </c>
      <c r="D1725" s="8" t="s">
        <v>200</v>
      </c>
      <c r="E1725" s="8" t="s">
        <v>168</v>
      </c>
      <c r="F1725" s="9">
        <v>5</v>
      </c>
      <c r="G1725" s="5">
        <f>TRUNC([1]단가대비표!O89,0)</f>
        <v>6910</v>
      </c>
      <c r="H1725" s="5">
        <f t="shared" si="158"/>
        <v>34550</v>
      </c>
      <c r="I1725" s="5">
        <v>0</v>
      </c>
      <c r="J1725" s="5">
        <f t="shared" si="159"/>
        <v>0</v>
      </c>
      <c r="K1725" s="5">
        <v>0</v>
      </c>
      <c r="L1725" s="5">
        <f t="shared" si="160"/>
        <v>0</v>
      </c>
      <c r="M1725" s="5">
        <f t="shared" si="161"/>
        <v>6910</v>
      </c>
      <c r="N1725" s="5">
        <f t="shared" si="161"/>
        <v>34550</v>
      </c>
      <c r="O1725" s="8" t="s">
        <v>20</v>
      </c>
      <c r="T1725">
        <v>0</v>
      </c>
      <c r="U1725">
        <v>1</v>
      </c>
      <c r="AC1725">
        <v>1</v>
      </c>
    </row>
    <row r="1726" spans="1:29" ht="30" customHeight="1" x14ac:dyDescent="0.3">
      <c r="A1726" s="8" t="s">
        <v>2094</v>
      </c>
      <c r="B1726" s="8" t="s">
        <v>201</v>
      </c>
      <c r="C1726" s="8" t="s">
        <v>191</v>
      </c>
      <c r="D1726" s="8" t="s">
        <v>202</v>
      </c>
      <c r="E1726" s="8" t="s">
        <v>168</v>
      </c>
      <c r="F1726" s="9">
        <v>24</v>
      </c>
      <c r="G1726" s="5">
        <f>TRUNC([1]단가대비표!O90,0)</f>
        <v>7960</v>
      </c>
      <c r="H1726" s="5">
        <f t="shared" si="158"/>
        <v>191040</v>
      </c>
      <c r="I1726" s="5">
        <v>0</v>
      </c>
      <c r="J1726" s="5">
        <f t="shared" si="159"/>
        <v>0</v>
      </c>
      <c r="K1726" s="5">
        <v>0</v>
      </c>
      <c r="L1726" s="5">
        <f t="shared" si="160"/>
        <v>0</v>
      </c>
      <c r="M1726" s="5">
        <f t="shared" si="161"/>
        <v>7960</v>
      </c>
      <c r="N1726" s="5">
        <f t="shared" si="161"/>
        <v>191040</v>
      </c>
      <c r="O1726" s="8" t="s">
        <v>20</v>
      </c>
      <c r="T1726">
        <v>0</v>
      </c>
      <c r="U1726">
        <v>1</v>
      </c>
      <c r="AC1726">
        <v>1</v>
      </c>
    </row>
    <row r="1727" spans="1:29" ht="30" customHeight="1" x14ac:dyDescent="0.3">
      <c r="A1727" s="8" t="s">
        <v>2094</v>
      </c>
      <c r="B1727" s="8" t="s">
        <v>173</v>
      </c>
      <c r="C1727" s="8" t="s">
        <v>174</v>
      </c>
      <c r="D1727" s="8" t="s">
        <v>175</v>
      </c>
      <c r="E1727" s="8" t="s">
        <v>161</v>
      </c>
      <c r="F1727" s="9">
        <v>1</v>
      </c>
      <c r="G1727" s="5">
        <f>ROUNDDOWN(SUMIF(U1721:U1772, RIGHTB(B1727, 1), H1721:H1772)*T1727, 0)</f>
        <v>15793</v>
      </c>
      <c r="H1727" s="5">
        <f t="shared" si="158"/>
        <v>15793</v>
      </c>
      <c r="I1727" s="5">
        <v>0</v>
      </c>
      <c r="J1727" s="5">
        <f t="shared" si="159"/>
        <v>0</v>
      </c>
      <c r="K1727" s="5">
        <v>0</v>
      </c>
      <c r="L1727" s="5">
        <f t="shared" si="160"/>
        <v>0</v>
      </c>
      <c r="M1727" s="5">
        <f t="shared" si="161"/>
        <v>15793</v>
      </c>
      <c r="N1727" s="5">
        <f t="shared" si="161"/>
        <v>15793</v>
      </c>
      <c r="O1727" s="8" t="s">
        <v>20</v>
      </c>
      <c r="P1727">
        <v>1727</v>
      </c>
      <c r="R1727">
        <v>0</v>
      </c>
      <c r="S1727">
        <v>0</v>
      </c>
      <c r="T1727">
        <v>0.03</v>
      </c>
      <c r="AC1727">
        <v>1</v>
      </c>
    </row>
    <row r="1728" spans="1:29" ht="30" customHeight="1" x14ac:dyDescent="0.3">
      <c r="A1728" s="8" t="s">
        <v>2094</v>
      </c>
      <c r="B1728" s="8" t="s">
        <v>765</v>
      </c>
      <c r="C1728" s="8" t="s">
        <v>766</v>
      </c>
      <c r="D1728" s="8" t="s">
        <v>767</v>
      </c>
      <c r="E1728" s="8" t="s">
        <v>168</v>
      </c>
      <c r="F1728" s="9">
        <v>19</v>
      </c>
      <c r="G1728" s="5" t="e">
        <f>'[2].xls].xls].xls].xls].xls].xls].xls].'!E79</f>
        <v>#REF!</v>
      </c>
      <c r="H1728" s="5" t="e">
        <f t="shared" si="158"/>
        <v>#REF!</v>
      </c>
      <c r="I1728" s="5" t="e">
        <f>'[2].xls].xls].xls].xls].xls].xls].xls].'!F79</f>
        <v>#REF!</v>
      </c>
      <c r="J1728" s="5" t="e">
        <f t="shared" si="159"/>
        <v>#REF!</v>
      </c>
      <c r="K1728" s="5" t="e">
        <f>'[2].xls].xls].xls].xls].xls].xls].xls].'!G79</f>
        <v>#REF!</v>
      </c>
      <c r="L1728" s="5" t="e">
        <f t="shared" si="160"/>
        <v>#REF!</v>
      </c>
      <c r="M1728" s="5" t="e">
        <f t="shared" si="161"/>
        <v>#REF!</v>
      </c>
      <c r="N1728" s="5" t="e">
        <f t="shared" si="161"/>
        <v>#REF!</v>
      </c>
      <c r="O1728" s="8" t="s">
        <v>765</v>
      </c>
      <c r="T1728">
        <v>0</v>
      </c>
      <c r="AC1728">
        <v>1</v>
      </c>
    </row>
    <row r="1729" spans="1:29" ht="30" customHeight="1" x14ac:dyDescent="0.3">
      <c r="A1729" s="8" t="s">
        <v>2094</v>
      </c>
      <c r="B1729" s="8" t="s">
        <v>768</v>
      </c>
      <c r="C1729" s="8" t="s">
        <v>766</v>
      </c>
      <c r="D1729" s="8" t="s">
        <v>769</v>
      </c>
      <c r="E1729" s="8" t="s">
        <v>168</v>
      </c>
      <c r="F1729" s="9">
        <v>3</v>
      </c>
      <c r="G1729" s="5" t="e">
        <f>'[2].xls].xls].xls].xls].xls].xls].xls].'!E80</f>
        <v>#REF!</v>
      </c>
      <c r="H1729" s="5" t="e">
        <f t="shared" si="158"/>
        <v>#REF!</v>
      </c>
      <c r="I1729" s="5" t="e">
        <f>'[2].xls].xls].xls].xls].xls].xls].xls].'!F80</f>
        <v>#REF!</v>
      </c>
      <c r="J1729" s="5" t="e">
        <f t="shared" si="159"/>
        <v>#REF!</v>
      </c>
      <c r="K1729" s="5" t="e">
        <f>'[2].xls].xls].xls].xls].xls].xls].xls].'!G80</f>
        <v>#REF!</v>
      </c>
      <c r="L1729" s="5" t="e">
        <f t="shared" si="160"/>
        <v>#REF!</v>
      </c>
      <c r="M1729" s="5" t="e">
        <f t="shared" si="161"/>
        <v>#REF!</v>
      </c>
      <c r="N1729" s="5" t="e">
        <f t="shared" si="161"/>
        <v>#REF!</v>
      </c>
      <c r="O1729" s="8" t="s">
        <v>768</v>
      </c>
      <c r="T1729">
        <v>0</v>
      </c>
      <c r="AC1729">
        <v>1</v>
      </c>
    </row>
    <row r="1730" spans="1:29" ht="30" customHeight="1" x14ac:dyDescent="0.3">
      <c r="A1730" s="8" t="s">
        <v>2094</v>
      </c>
      <c r="B1730" s="8" t="s">
        <v>770</v>
      </c>
      <c r="C1730" s="8" t="s">
        <v>766</v>
      </c>
      <c r="D1730" s="8" t="s">
        <v>771</v>
      </c>
      <c r="E1730" s="8" t="s">
        <v>168</v>
      </c>
      <c r="F1730" s="9">
        <v>7</v>
      </c>
      <c r="G1730" s="5" t="e">
        <f>'[2].xls].xls].xls].xls].xls].xls].xls].'!E81</f>
        <v>#REF!</v>
      </c>
      <c r="H1730" s="5" t="e">
        <f t="shared" si="158"/>
        <v>#REF!</v>
      </c>
      <c r="I1730" s="5" t="e">
        <f>'[2].xls].xls].xls].xls].xls].xls].xls].'!F81</f>
        <v>#REF!</v>
      </c>
      <c r="J1730" s="5" t="e">
        <f t="shared" si="159"/>
        <v>#REF!</v>
      </c>
      <c r="K1730" s="5" t="e">
        <f>'[2].xls].xls].xls].xls].xls].xls].xls].'!G81</f>
        <v>#REF!</v>
      </c>
      <c r="L1730" s="5" t="e">
        <f t="shared" si="160"/>
        <v>#REF!</v>
      </c>
      <c r="M1730" s="5" t="e">
        <f t="shared" si="161"/>
        <v>#REF!</v>
      </c>
      <c r="N1730" s="5" t="e">
        <f t="shared" si="161"/>
        <v>#REF!</v>
      </c>
      <c r="O1730" s="8" t="s">
        <v>770</v>
      </c>
      <c r="T1730">
        <v>0</v>
      </c>
      <c r="AC1730">
        <v>1</v>
      </c>
    </row>
    <row r="1731" spans="1:29" ht="30" customHeight="1" x14ac:dyDescent="0.3">
      <c r="A1731" s="8" t="s">
        <v>2094</v>
      </c>
      <c r="B1731" s="8" t="s">
        <v>2095</v>
      </c>
      <c r="C1731" s="8" t="s">
        <v>766</v>
      </c>
      <c r="D1731" s="8" t="s">
        <v>2096</v>
      </c>
      <c r="E1731" s="8" t="s">
        <v>168</v>
      </c>
      <c r="F1731" s="9">
        <v>27</v>
      </c>
      <c r="G1731" s="5" t="e">
        <f>'[2].xls].xls].xls].xls].xls].xls].xls].'!E82</f>
        <v>#REF!</v>
      </c>
      <c r="H1731" s="5" t="e">
        <f t="shared" si="158"/>
        <v>#REF!</v>
      </c>
      <c r="I1731" s="5" t="e">
        <f>'[2].xls].xls].xls].xls].xls].xls].xls].'!F82</f>
        <v>#REF!</v>
      </c>
      <c r="J1731" s="5" t="e">
        <f t="shared" si="159"/>
        <v>#REF!</v>
      </c>
      <c r="K1731" s="5" t="e">
        <f>'[2].xls].xls].xls].xls].xls].xls].xls].'!G82</f>
        <v>#REF!</v>
      </c>
      <c r="L1731" s="5" t="e">
        <f t="shared" si="160"/>
        <v>#REF!</v>
      </c>
      <c r="M1731" s="5" t="e">
        <f t="shared" si="161"/>
        <v>#REF!</v>
      </c>
      <c r="N1731" s="5" t="e">
        <f t="shared" si="161"/>
        <v>#REF!</v>
      </c>
      <c r="O1731" s="8" t="s">
        <v>2095</v>
      </c>
      <c r="T1731">
        <v>0</v>
      </c>
      <c r="AC1731">
        <v>1</v>
      </c>
    </row>
    <row r="1732" spans="1:29" ht="30" customHeight="1" x14ac:dyDescent="0.3">
      <c r="A1732" s="8" t="s">
        <v>2094</v>
      </c>
      <c r="B1732" s="8" t="s">
        <v>2097</v>
      </c>
      <c r="C1732" s="8" t="s">
        <v>766</v>
      </c>
      <c r="D1732" s="8" t="s">
        <v>2098</v>
      </c>
      <c r="E1732" s="8" t="s">
        <v>168</v>
      </c>
      <c r="F1732" s="9">
        <v>14</v>
      </c>
      <c r="G1732" s="5" t="e">
        <f>'[2].xls].xls].xls].xls].xls].xls].xls].'!E83</f>
        <v>#REF!</v>
      </c>
      <c r="H1732" s="5" t="e">
        <f t="shared" si="158"/>
        <v>#REF!</v>
      </c>
      <c r="I1732" s="5" t="e">
        <f>'[2].xls].xls].xls].xls].xls].xls].xls].'!F83</f>
        <v>#REF!</v>
      </c>
      <c r="J1732" s="5" t="e">
        <f t="shared" si="159"/>
        <v>#REF!</v>
      </c>
      <c r="K1732" s="5" t="e">
        <f>'[2].xls].xls].xls].xls].xls].xls].xls].'!G83</f>
        <v>#REF!</v>
      </c>
      <c r="L1732" s="5" t="e">
        <f t="shared" si="160"/>
        <v>#REF!</v>
      </c>
      <c r="M1732" s="5" t="e">
        <f t="shared" si="161"/>
        <v>#REF!</v>
      </c>
      <c r="N1732" s="5" t="e">
        <f t="shared" si="161"/>
        <v>#REF!</v>
      </c>
      <c r="O1732" s="8" t="s">
        <v>2097</v>
      </c>
      <c r="T1732">
        <v>0</v>
      </c>
      <c r="AC1732">
        <v>1</v>
      </c>
    </row>
    <row r="1733" spans="1:29" ht="30" customHeight="1" x14ac:dyDescent="0.3">
      <c r="A1733" s="8" t="s">
        <v>2094</v>
      </c>
      <c r="B1733" s="8" t="s">
        <v>2099</v>
      </c>
      <c r="C1733" s="8" t="s">
        <v>766</v>
      </c>
      <c r="D1733" s="8" t="s">
        <v>2100</v>
      </c>
      <c r="E1733" s="8" t="s">
        <v>168</v>
      </c>
      <c r="F1733" s="9">
        <v>13</v>
      </c>
      <c r="G1733" s="5" t="e">
        <f>'[2].xls].xls].xls].xls].xls].xls].xls].'!E84</f>
        <v>#REF!</v>
      </c>
      <c r="H1733" s="5" t="e">
        <f t="shared" si="158"/>
        <v>#REF!</v>
      </c>
      <c r="I1733" s="5" t="e">
        <f>'[2].xls].xls].xls].xls].xls].xls].xls].'!F84</f>
        <v>#REF!</v>
      </c>
      <c r="J1733" s="5" t="e">
        <f t="shared" si="159"/>
        <v>#REF!</v>
      </c>
      <c r="K1733" s="5" t="e">
        <f>'[2].xls].xls].xls].xls].xls].xls].xls].'!G84</f>
        <v>#REF!</v>
      </c>
      <c r="L1733" s="5" t="e">
        <f t="shared" si="160"/>
        <v>#REF!</v>
      </c>
      <c r="M1733" s="5" t="e">
        <f t="shared" si="161"/>
        <v>#REF!</v>
      </c>
      <c r="N1733" s="5" t="e">
        <f t="shared" si="161"/>
        <v>#REF!</v>
      </c>
      <c r="O1733" s="8" t="s">
        <v>2099</v>
      </c>
      <c r="T1733">
        <v>0</v>
      </c>
      <c r="AC1733">
        <v>1</v>
      </c>
    </row>
    <row r="1734" spans="1:29" ht="30" customHeight="1" x14ac:dyDescent="0.3">
      <c r="A1734" s="8" t="s">
        <v>2094</v>
      </c>
      <c r="B1734" s="8" t="s">
        <v>2101</v>
      </c>
      <c r="C1734" s="8" t="s">
        <v>766</v>
      </c>
      <c r="D1734" s="8" t="s">
        <v>2102</v>
      </c>
      <c r="E1734" s="8" t="s">
        <v>168</v>
      </c>
      <c r="F1734" s="9">
        <v>5</v>
      </c>
      <c r="G1734" s="5" t="e">
        <f>'[2].xls].xls].xls].xls].xls].xls].xls].'!E85</f>
        <v>#REF!</v>
      </c>
      <c r="H1734" s="5" t="e">
        <f t="shared" si="158"/>
        <v>#REF!</v>
      </c>
      <c r="I1734" s="5" t="e">
        <f>'[2].xls].xls].xls].xls].xls].xls].xls].'!F85</f>
        <v>#REF!</v>
      </c>
      <c r="J1734" s="5" t="e">
        <f t="shared" si="159"/>
        <v>#REF!</v>
      </c>
      <c r="K1734" s="5" t="e">
        <f>'[2].xls].xls].xls].xls].xls].xls].xls].'!G85</f>
        <v>#REF!</v>
      </c>
      <c r="L1734" s="5" t="e">
        <f t="shared" si="160"/>
        <v>#REF!</v>
      </c>
      <c r="M1734" s="5" t="e">
        <f t="shared" si="161"/>
        <v>#REF!</v>
      </c>
      <c r="N1734" s="5" t="e">
        <f t="shared" si="161"/>
        <v>#REF!</v>
      </c>
      <c r="O1734" s="8" t="s">
        <v>2101</v>
      </c>
      <c r="T1734">
        <v>0</v>
      </c>
      <c r="AC1734">
        <v>1</v>
      </c>
    </row>
    <row r="1735" spans="1:29" ht="30" customHeight="1" x14ac:dyDescent="0.3">
      <c r="A1735" s="8" t="s">
        <v>2094</v>
      </c>
      <c r="B1735" s="8" t="s">
        <v>2103</v>
      </c>
      <c r="C1735" s="8" t="s">
        <v>766</v>
      </c>
      <c r="D1735" s="8" t="s">
        <v>2104</v>
      </c>
      <c r="E1735" s="8" t="s">
        <v>168</v>
      </c>
      <c r="F1735" s="9">
        <v>4</v>
      </c>
      <c r="G1735" s="5" t="e">
        <f>'[2].xls].xls].xls].xls].xls].xls].xls].'!E86</f>
        <v>#REF!</v>
      </c>
      <c r="H1735" s="5" t="e">
        <f t="shared" si="158"/>
        <v>#REF!</v>
      </c>
      <c r="I1735" s="5" t="e">
        <f>'[2].xls].xls].xls].xls].xls].xls].xls].'!F86</f>
        <v>#REF!</v>
      </c>
      <c r="J1735" s="5" t="e">
        <f t="shared" si="159"/>
        <v>#REF!</v>
      </c>
      <c r="K1735" s="5" t="e">
        <f>'[2].xls].xls].xls].xls].xls].xls].xls].'!G86</f>
        <v>#REF!</v>
      </c>
      <c r="L1735" s="5" t="e">
        <f t="shared" si="160"/>
        <v>#REF!</v>
      </c>
      <c r="M1735" s="5" t="e">
        <f t="shared" si="161"/>
        <v>#REF!</v>
      </c>
      <c r="N1735" s="5" t="e">
        <f t="shared" si="161"/>
        <v>#REF!</v>
      </c>
      <c r="O1735" s="8" t="s">
        <v>2103</v>
      </c>
      <c r="T1735">
        <v>0</v>
      </c>
      <c r="AC1735">
        <v>1</v>
      </c>
    </row>
    <row r="1736" spans="1:29" ht="30" customHeight="1" x14ac:dyDescent="0.3">
      <c r="A1736" s="8" t="s">
        <v>2094</v>
      </c>
      <c r="B1736" s="8" t="s">
        <v>2105</v>
      </c>
      <c r="C1736" s="8" t="s">
        <v>766</v>
      </c>
      <c r="D1736" s="8" t="s">
        <v>2106</v>
      </c>
      <c r="E1736" s="8" t="s">
        <v>168</v>
      </c>
      <c r="F1736" s="9">
        <v>21</v>
      </c>
      <c r="G1736" s="5" t="e">
        <f>'[2].xls].xls].xls].xls].xls].xls].xls].'!E87</f>
        <v>#REF!</v>
      </c>
      <c r="H1736" s="5" t="e">
        <f t="shared" si="158"/>
        <v>#REF!</v>
      </c>
      <c r="I1736" s="5" t="e">
        <f>'[2].xls].xls].xls].xls].xls].xls].xls].'!F87</f>
        <v>#REF!</v>
      </c>
      <c r="J1736" s="5" t="e">
        <f t="shared" si="159"/>
        <v>#REF!</v>
      </c>
      <c r="K1736" s="5" t="e">
        <f>'[2].xls].xls].xls].xls].xls].xls].xls].'!G87</f>
        <v>#REF!</v>
      </c>
      <c r="L1736" s="5" t="e">
        <f t="shared" si="160"/>
        <v>#REF!</v>
      </c>
      <c r="M1736" s="5" t="e">
        <f t="shared" si="161"/>
        <v>#REF!</v>
      </c>
      <c r="N1736" s="5" t="e">
        <f t="shared" si="161"/>
        <v>#REF!</v>
      </c>
      <c r="O1736" s="8" t="s">
        <v>2105</v>
      </c>
      <c r="T1736">
        <v>0</v>
      </c>
      <c r="AC1736">
        <v>1</v>
      </c>
    </row>
    <row r="1737" spans="1:29" ht="30" customHeight="1" x14ac:dyDescent="0.3">
      <c r="A1737" s="8" t="s">
        <v>2094</v>
      </c>
      <c r="B1737" s="8" t="s">
        <v>218</v>
      </c>
      <c r="C1737" s="8" t="s">
        <v>219</v>
      </c>
      <c r="D1737" s="8" t="s">
        <v>220</v>
      </c>
      <c r="E1737" s="8" t="s">
        <v>168</v>
      </c>
      <c r="F1737" s="9">
        <v>1</v>
      </c>
      <c r="G1737" s="5" t="e">
        <f>'[2].xls].xls].xls].xls].xls].xls].xls].'!E89</f>
        <v>#REF!</v>
      </c>
      <c r="H1737" s="5" t="e">
        <f t="shared" si="158"/>
        <v>#REF!</v>
      </c>
      <c r="I1737" s="5" t="e">
        <f>'[2].xls].xls].xls].xls].xls].xls].xls].'!F89</f>
        <v>#REF!</v>
      </c>
      <c r="J1737" s="5" t="e">
        <f t="shared" si="159"/>
        <v>#REF!</v>
      </c>
      <c r="K1737" s="5" t="e">
        <f>'[2].xls].xls].xls].xls].xls].xls].xls].'!G89</f>
        <v>#REF!</v>
      </c>
      <c r="L1737" s="5" t="e">
        <f t="shared" si="160"/>
        <v>#REF!</v>
      </c>
      <c r="M1737" s="5" t="e">
        <f t="shared" si="161"/>
        <v>#REF!</v>
      </c>
      <c r="N1737" s="5" t="e">
        <f t="shared" si="161"/>
        <v>#REF!</v>
      </c>
      <c r="O1737" s="8" t="s">
        <v>218</v>
      </c>
      <c r="T1737">
        <v>0</v>
      </c>
      <c r="AC1737">
        <v>1</v>
      </c>
    </row>
    <row r="1738" spans="1:29" ht="30" customHeight="1" x14ac:dyDescent="0.3">
      <c r="A1738" s="8" t="s">
        <v>2094</v>
      </c>
      <c r="B1738" s="8" t="s">
        <v>559</v>
      </c>
      <c r="C1738" s="8" t="s">
        <v>219</v>
      </c>
      <c r="D1738" s="8" t="s">
        <v>560</v>
      </c>
      <c r="E1738" s="8" t="s">
        <v>168</v>
      </c>
      <c r="F1738" s="9">
        <v>1</v>
      </c>
      <c r="G1738" s="5" t="e">
        <f>'[2].xls].xls].xls].xls].xls].xls].xls].'!E102</f>
        <v>#REF!</v>
      </c>
      <c r="H1738" s="5" t="e">
        <f t="shared" si="158"/>
        <v>#REF!</v>
      </c>
      <c r="I1738" s="5" t="e">
        <f>'[2].xls].xls].xls].xls].xls].xls].xls].'!F102</f>
        <v>#REF!</v>
      </c>
      <c r="J1738" s="5" t="e">
        <f t="shared" si="159"/>
        <v>#REF!</v>
      </c>
      <c r="K1738" s="5" t="e">
        <f>'[2].xls].xls].xls].xls].xls].xls].xls].'!G102</f>
        <v>#REF!</v>
      </c>
      <c r="L1738" s="5" t="e">
        <f t="shared" si="160"/>
        <v>#REF!</v>
      </c>
      <c r="M1738" s="5" t="e">
        <f t="shared" si="161"/>
        <v>#REF!</v>
      </c>
      <c r="N1738" s="5" t="e">
        <f t="shared" si="161"/>
        <v>#REF!</v>
      </c>
      <c r="O1738" s="8" t="s">
        <v>559</v>
      </c>
      <c r="T1738">
        <v>0</v>
      </c>
      <c r="AC1738">
        <v>1</v>
      </c>
    </row>
    <row r="1739" spans="1:29" ht="30" customHeight="1" x14ac:dyDescent="0.3">
      <c r="A1739" s="8" t="s">
        <v>2094</v>
      </c>
      <c r="B1739" s="8" t="s">
        <v>778</v>
      </c>
      <c r="C1739" s="8" t="s">
        <v>252</v>
      </c>
      <c r="D1739" s="8" t="s">
        <v>779</v>
      </c>
      <c r="E1739" s="8" t="s">
        <v>179</v>
      </c>
      <c r="F1739" s="9">
        <v>57</v>
      </c>
      <c r="G1739" s="5">
        <f>TRUNC([1]단가대비표!O226,0)</f>
        <v>1860</v>
      </c>
      <c r="H1739" s="5">
        <f t="shared" si="158"/>
        <v>106020</v>
      </c>
      <c r="I1739" s="5">
        <v>0</v>
      </c>
      <c r="J1739" s="5">
        <f t="shared" si="159"/>
        <v>0</v>
      </c>
      <c r="K1739" s="5">
        <v>0</v>
      </c>
      <c r="L1739" s="5">
        <f t="shared" si="160"/>
        <v>0</v>
      </c>
      <c r="M1739" s="5">
        <f t="shared" si="161"/>
        <v>1860</v>
      </c>
      <c r="N1739" s="5">
        <f t="shared" si="161"/>
        <v>106020</v>
      </c>
      <c r="O1739" s="8" t="s">
        <v>20</v>
      </c>
      <c r="T1739">
        <v>0</v>
      </c>
      <c r="AC1739">
        <v>1</v>
      </c>
    </row>
    <row r="1740" spans="1:29" ht="30" customHeight="1" x14ac:dyDescent="0.3">
      <c r="A1740" s="8" t="s">
        <v>2094</v>
      </c>
      <c r="B1740" s="8" t="s">
        <v>251</v>
      </c>
      <c r="C1740" s="8" t="s">
        <v>252</v>
      </c>
      <c r="D1740" s="8" t="s">
        <v>253</v>
      </c>
      <c r="E1740" s="8" t="s">
        <v>179</v>
      </c>
      <c r="F1740" s="9">
        <v>11</v>
      </c>
      <c r="G1740" s="5">
        <f>TRUNC([1]단가대비표!O227,0)</f>
        <v>2690</v>
      </c>
      <c r="H1740" s="5">
        <f t="shared" si="158"/>
        <v>29590</v>
      </c>
      <c r="I1740" s="5">
        <v>0</v>
      </c>
      <c r="J1740" s="5">
        <f t="shared" si="159"/>
        <v>0</v>
      </c>
      <c r="K1740" s="5">
        <v>0</v>
      </c>
      <c r="L1740" s="5">
        <f t="shared" si="160"/>
        <v>0</v>
      </c>
      <c r="M1740" s="5">
        <f t="shared" si="161"/>
        <v>2690</v>
      </c>
      <c r="N1740" s="5">
        <f t="shared" si="161"/>
        <v>29590</v>
      </c>
      <c r="O1740" s="8" t="s">
        <v>20</v>
      </c>
      <c r="T1740">
        <v>0</v>
      </c>
      <c r="AC1740">
        <v>1</v>
      </c>
    </row>
    <row r="1741" spans="1:29" ht="30" customHeight="1" x14ac:dyDescent="0.3">
      <c r="A1741" s="8" t="s">
        <v>2094</v>
      </c>
      <c r="B1741" s="8" t="s">
        <v>254</v>
      </c>
      <c r="C1741" s="8" t="s">
        <v>252</v>
      </c>
      <c r="D1741" s="8" t="s">
        <v>255</v>
      </c>
      <c r="E1741" s="8" t="s">
        <v>179</v>
      </c>
      <c r="F1741" s="9">
        <v>31</v>
      </c>
      <c r="G1741" s="5">
        <f>TRUNC([1]단가대비표!O228,0)</f>
        <v>3520</v>
      </c>
      <c r="H1741" s="5">
        <f t="shared" si="158"/>
        <v>109120</v>
      </c>
      <c r="I1741" s="5">
        <v>0</v>
      </c>
      <c r="J1741" s="5">
        <f t="shared" si="159"/>
        <v>0</v>
      </c>
      <c r="K1741" s="5">
        <v>0</v>
      </c>
      <c r="L1741" s="5">
        <f t="shared" si="160"/>
        <v>0</v>
      </c>
      <c r="M1741" s="5">
        <f t="shared" si="161"/>
        <v>3520</v>
      </c>
      <c r="N1741" s="5">
        <f t="shared" si="161"/>
        <v>109120</v>
      </c>
      <c r="O1741" s="8" t="s">
        <v>20</v>
      </c>
      <c r="T1741">
        <v>0</v>
      </c>
      <c r="AC1741">
        <v>1</v>
      </c>
    </row>
    <row r="1742" spans="1:29" ht="30" customHeight="1" x14ac:dyDescent="0.3">
      <c r="A1742" s="8" t="s">
        <v>2094</v>
      </c>
      <c r="B1742" s="8" t="s">
        <v>256</v>
      </c>
      <c r="C1742" s="8" t="s">
        <v>252</v>
      </c>
      <c r="D1742" s="8" t="s">
        <v>257</v>
      </c>
      <c r="E1742" s="8" t="s">
        <v>179</v>
      </c>
      <c r="F1742" s="9">
        <v>4</v>
      </c>
      <c r="G1742" s="5">
        <f>TRUNC([1]단가대비표!O229,0)</f>
        <v>6990</v>
      </c>
      <c r="H1742" s="5">
        <f t="shared" si="158"/>
        <v>27960</v>
      </c>
      <c r="I1742" s="5">
        <v>0</v>
      </c>
      <c r="J1742" s="5">
        <f t="shared" si="159"/>
        <v>0</v>
      </c>
      <c r="K1742" s="5">
        <v>0</v>
      </c>
      <c r="L1742" s="5">
        <f t="shared" si="160"/>
        <v>0</v>
      </c>
      <c r="M1742" s="5">
        <f t="shared" si="161"/>
        <v>6990</v>
      </c>
      <c r="N1742" s="5">
        <f t="shared" si="161"/>
        <v>27960</v>
      </c>
      <c r="O1742" s="8" t="s">
        <v>20</v>
      </c>
      <c r="T1742">
        <v>0</v>
      </c>
      <c r="AC1742">
        <v>1</v>
      </c>
    </row>
    <row r="1743" spans="1:29" ht="30" customHeight="1" x14ac:dyDescent="0.3">
      <c r="A1743" s="8" t="s">
        <v>2094</v>
      </c>
      <c r="B1743" s="8" t="s">
        <v>260</v>
      </c>
      <c r="C1743" s="8" t="s">
        <v>252</v>
      </c>
      <c r="D1743" s="8" t="s">
        <v>261</v>
      </c>
      <c r="E1743" s="8" t="s">
        <v>179</v>
      </c>
      <c r="F1743" s="9">
        <v>1</v>
      </c>
      <c r="G1743" s="5">
        <f>TRUNC([1]단가대비표!O231,0)</f>
        <v>11460</v>
      </c>
      <c r="H1743" s="5">
        <f t="shared" si="158"/>
        <v>11460</v>
      </c>
      <c r="I1743" s="5">
        <v>0</v>
      </c>
      <c r="J1743" s="5">
        <f t="shared" si="159"/>
        <v>0</v>
      </c>
      <c r="K1743" s="5">
        <v>0</v>
      </c>
      <c r="L1743" s="5">
        <f t="shared" si="160"/>
        <v>0</v>
      </c>
      <c r="M1743" s="5">
        <f t="shared" si="161"/>
        <v>11460</v>
      </c>
      <c r="N1743" s="5">
        <f t="shared" si="161"/>
        <v>11460</v>
      </c>
      <c r="O1743" s="8" t="s">
        <v>20</v>
      </c>
      <c r="T1743">
        <v>0</v>
      </c>
      <c r="AC1743">
        <v>1</v>
      </c>
    </row>
    <row r="1744" spans="1:29" ht="30" customHeight="1" x14ac:dyDescent="0.3">
      <c r="A1744" s="8" t="s">
        <v>2094</v>
      </c>
      <c r="B1744" s="8" t="s">
        <v>784</v>
      </c>
      <c r="C1744" s="8" t="s">
        <v>252</v>
      </c>
      <c r="D1744" s="8" t="s">
        <v>785</v>
      </c>
      <c r="E1744" s="8" t="s">
        <v>179</v>
      </c>
      <c r="F1744" s="9">
        <v>10</v>
      </c>
      <c r="G1744" s="5">
        <f>TRUNC([1]단가대비표!O217,0)</f>
        <v>6480</v>
      </c>
      <c r="H1744" s="5">
        <f t="shared" si="158"/>
        <v>64800</v>
      </c>
      <c r="I1744" s="5">
        <v>0</v>
      </c>
      <c r="J1744" s="5">
        <f t="shared" si="159"/>
        <v>0</v>
      </c>
      <c r="K1744" s="5">
        <v>0</v>
      </c>
      <c r="L1744" s="5">
        <f t="shared" si="160"/>
        <v>0</v>
      </c>
      <c r="M1744" s="5">
        <f t="shared" si="161"/>
        <v>6480</v>
      </c>
      <c r="N1744" s="5">
        <f t="shared" si="161"/>
        <v>64800</v>
      </c>
      <c r="O1744" s="8" t="s">
        <v>20</v>
      </c>
      <c r="T1744">
        <v>0</v>
      </c>
      <c r="AC1744">
        <v>1</v>
      </c>
    </row>
    <row r="1745" spans="1:29" ht="30" customHeight="1" x14ac:dyDescent="0.3">
      <c r="A1745" s="8" t="s">
        <v>2094</v>
      </c>
      <c r="B1745" s="8" t="s">
        <v>567</v>
      </c>
      <c r="C1745" s="8" t="s">
        <v>252</v>
      </c>
      <c r="D1745" s="8" t="s">
        <v>568</v>
      </c>
      <c r="E1745" s="8" t="s">
        <v>179</v>
      </c>
      <c r="F1745" s="9">
        <v>17</v>
      </c>
      <c r="G1745" s="5">
        <f>TRUNC([1]단가대비표!O236,0)</f>
        <v>6900</v>
      </c>
      <c r="H1745" s="5">
        <f t="shared" si="158"/>
        <v>117300</v>
      </c>
      <c r="I1745" s="5">
        <v>0</v>
      </c>
      <c r="J1745" s="5">
        <f t="shared" si="159"/>
        <v>0</v>
      </c>
      <c r="K1745" s="5">
        <v>0</v>
      </c>
      <c r="L1745" s="5">
        <f t="shared" si="160"/>
        <v>0</v>
      </c>
      <c r="M1745" s="5">
        <f t="shared" si="161"/>
        <v>6900</v>
      </c>
      <c r="N1745" s="5">
        <f t="shared" si="161"/>
        <v>117300</v>
      </c>
      <c r="O1745" s="8" t="s">
        <v>20</v>
      </c>
      <c r="T1745">
        <v>0</v>
      </c>
      <c r="AC1745">
        <v>1</v>
      </c>
    </row>
    <row r="1746" spans="1:29" ht="30" customHeight="1" x14ac:dyDescent="0.3">
      <c r="A1746" s="8" t="s">
        <v>2094</v>
      </c>
      <c r="B1746" s="8" t="s">
        <v>268</v>
      </c>
      <c r="C1746" s="8" t="s">
        <v>252</v>
      </c>
      <c r="D1746" s="8" t="s">
        <v>269</v>
      </c>
      <c r="E1746" s="8" t="s">
        <v>179</v>
      </c>
      <c r="F1746" s="9">
        <v>6</v>
      </c>
      <c r="G1746" s="5">
        <f>TRUNC([1]단가대비표!O237,0)</f>
        <v>10110</v>
      </c>
      <c r="H1746" s="5">
        <f t="shared" si="158"/>
        <v>60660</v>
      </c>
      <c r="I1746" s="5">
        <v>0</v>
      </c>
      <c r="J1746" s="5">
        <f t="shared" si="159"/>
        <v>0</v>
      </c>
      <c r="K1746" s="5">
        <v>0</v>
      </c>
      <c r="L1746" s="5">
        <f t="shared" si="160"/>
        <v>0</v>
      </c>
      <c r="M1746" s="5">
        <f t="shared" si="161"/>
        <v>10110</v>
      </c>
      <c r="N1746" s="5">
        <f t="shared" si="161"/>
        <v>60660</v>
      </c>
      <c r="O1746" s="8" t="s">
        <v>20</v>
      </c>
      <c r="T1746">
        <v>0</v>
      </c>
      <c r="AC1746">
        <v>1</v>
      </c>
    </row>
    <row r="1747" spans="1:29" ht="30" customHeight="1" x14ac:dyDescent="0.3">
      <c r="A1747" s="8" t="s">
        <v>2094</v>
      </c>
      <c r="B1747" s="8" t="s">
        <v>569</v>
      </c>
      <c r="C1747" s="8" t="s">
        <v>252</v>
      </c>
      <c r="D1747" s="8" t="s">
        <v>570</v>
      </c>
      <c r="E1747" s="8" t="s">
        <v>179</v>
      </c>
      <c r="F1747" s="9">
        <v>7</v>
      </c>
      <c r="G1747" s="5">
        <f>TRUNC([1]단가대비표!O238,0)</f>
        <v>13500</v>
      </c>
      <c r="H1747" s="5">
        <f t="shared" si="158"/>
        <v>94500</v>
      </c>
      <c r="I1747" s="5">
        <v>0</v>
      </c>
      <c r="J1747" s="5">
        <f t="shared" si="159"/>
        <v>0</v>
      </c>
      <c r="K1747" s="5">
        <v>0</v>
      </c>
      <c r="L1747" s="5">
        <f t="shared" si="160"/>
        <v>0</v>
      </c>
      <c r="M1747" s="5">
        <f t="shared" si="161"/>
        <v>13500</v>
      </c>
      <c r="N1747" s="5">
        <f t="shared" si="161"/>
        <v>94500</v>
      </c>
      <c r="O1747" s="8" t="s">
        <v>20</v>
      </c>
      <c r="T1747">
        <v>0</v>
      </c>
      <c r="AC1747">
        <v>1</v>
      </c>
    </row>
    <row r="1748" spans="1:29" ht="30" customHeight="1" x14ac:dyDescent="0.3">
      <c r="A1748" s="8" t="s">
        <v>2094</v>
      </c>
      <c r="B1748" s="8" t="s">
        <v>270</v>
      </c>
      <c r="C1748" s="8" t="s">
        <v>252</v>
      </c>
      <c r="D1748" s="8" t="s">
        <v>271</v>
      </c>
      <c r="E1748" s="8" t="s">
        <v>179</v>
      </c>
      <c r="F1748" s="9">
        <v>4</v>
      </c>
      <c r="G1748" s="5">
        <f>TRUNC([1]단가대비표!O239,0)</f>
        <v>17380</v>
      </c>
      <c r="H1748" s="5">
        <f t="shared" si="158"/>
        <v>69520</v>
      </c>
      <c r="I1748" s="5">
        <v>0</v>
      </c>
      <c r="J1748" s="5">
        <f t="shared" si="159"/>
        <v>0</v>
      </c>
      <c r="K1748" s="5">
        <v>0</v>
      </c>
      <c r="L1748" s="5">
        <f t="shared" si="160"/>
        <v>0</v>
      </c>
      <c r="M1748" s="5">
        <f t="shared" si="161"/>
        <v>17380</v>
      </c>
      <c r="N1748" s="5">
        <f t="shared" si="161"/>
        <v>69520</v>
      </c>
      <c r="O1748" s="8" t="s">
        <v>20</v>
      </c>
      <c r="T1748">
        <v>0</v>
      </c>
      <c r="AC1748">
        <v>1</v>
      </c>
    </row>
    <row r="1749" spans="1:29" ht="30" customHeight="1" x14ac:dyDescent="0.3">
      <c r="A1749" s="8" t="s">
        <v>2094</v>
      </c>
      <c r="B1749" s="8" t="s">
        <v>571</v>
      </c>
      <c r="C1749" s="8" t="s">
        <v>252</v>
      </c>
      <c r="D1749" s="8" t="s">
        <v>572</v>
      </c>
      <c r="E1749" s="8" t="s">
        <v>179</v>
      </c>
      <c r="F1749" s="9">
        <v>8</v>
      </c>
      <c r="G1749" s="5">
        <f>TRUNC([1]단가대비표!O240,0)</f>
        <v>23220</v>
      </c>
      <c r="H1749" s="5">
        <f t="shared" si="158"/>
        <v>185760</v>
      </c>
      <c r="I1749" s="5">
        <v>0</v>
      </c>
      <c r="J1749" s="5">
        <f t="shared" si="159"/>
        <v>0</v>
      </c>
      <c r="K1749" s="5">
        <v>0</v>
      </c>
      <c r="L1749" s="5">
        <f t="shared" si="160"/>
        <v>0</v>
      </c>
      <c r="M1749" s="5">
        <f t="shared" si="161"/>
        <v>23220</v>
      </c>
      <c r="N1749" s="5">
        <f t="shared" si="161"/>
        <v>185760</v>
      </c>
      <c r="O1749" s="8" t="s">
        <v>20</v>
      </c>
      <c r="T1749">
        <v>0</v>
      </c>
      <c r="AC1749">
        <v>1</v>
      </c>
    </row>
    <row r="1750" spans="1:29" ht="30" customHeight="1" x14ac:dyDescent="0.3">
      <c r="A1750" s="8" t="s">
        <v>2094</v>
      </c>
      <c r="B1750" s="8" t="s">
        <v>786</v>
      </c>
      <c r="C1750" s="8" t="s">
        <v>252</v>
      </c>
      <c r="D1750" s="8" t="s">
        <v>787</v>
      </c>
      <c r="E1750" s="8" t="s">
        <v>179</v>
      </c>
      <c r="F1750" s="9">
        <v>19</v>
      </c>
      <c r="G1750" s="5">
        <f>TRUNC([1]단가대비표!O242,0)</f>
        <v>5340</v>
      </c>
      <c r="H1750" s="5">
        <f t="shared" si="158"/>
        <v>101460</v>
      </c>
      <c r="I1750" s="5">
        <v>0</v>
      </c>
      <c r="J1750" s="5">
        <f t="shared" si="159"/>
        <v>0</v>
      </c>
      <c r="K1750" s="5">
        <v>0</v>
      </c>
      <c r="L1750" s="5">
        <f t="shared" si="160"/>
        <v>0</v>
      </c>
      <c r="M1750" s="5">
        <f t="shared" si="161"/>
        <v>5340</v>
      </c>
      <c r="N1750" s="5">
        <f t="shared" si="161"/>
        <v>101460</v>
      </c>
      <c r="O1750" s="8" t="s">
        <v>20</v>
      </c>
      <c r="T1750">
        <v>0</v>
      </c>
      <c r="AC1750">
        <v>1</v>
      </c>
    </row>
    <row r="1751" spans="1:29" ht="30" customHeight="1" x14ac:dyDescent="0.3">
      <c r="A1751" s="8" t="s">
        <v>2094</v>
      </c>
      <c r="B1751" s="8" t="s">
        <v>573</v>
      </c>
      <c r="C1751" s="8" t="s">
        <v>252</v>
      </c>
      <c r="D1751" s="8" t="s">
        <v>574</v>
      </c>
      <c r="E1751" s="8" t="s">
        <v>179</v>
      </c>
      <c r="F1751" s="9">
        <v>4</v>
      </c>
      <c r="G1751" s="5">
        <f>TRUNC([1]단가대비표!O247,0)</f>
        <v>5080</v>
      </c>
      <c r="H1751" s="5">
        <f t="shared" si="158"/>
        <v>20320</v>
      </c>
      <c r="I1751" s="5">
        <v>0</v>
      </c>
      <c r="J1751" s="5">
        <f t="shared" si="159"/>
        <v>0</v>
      </c>
      <c r="K1751" s="5">
        <v>0</v>
      </c>
      <c r="L1751" s="5">
        <f t="shared" si="160"/>
        <v>0</v>
      </c>
      <c r="M1751" s="5">
        <f t="shared" si="161"/>
        <v>5080</v>
      </c>
      <c r="N1751" s="5">
        <f t="shared" si="161"/>
        <v>20320</v>
      </c>
      <c r="O1751" s="8" t="s">
        <v>20</v>
      </c>
      <c r="T1751">
        <v>0</v>
      </c>
      <c r="AC1751">
        <v>1</v>
      </c>
    </row>
    <row r="1752" spans="1:29" ht="30" customHeight="1" x14ac:dyDescent="0.3">
      <c r="A1752" s="8" t="s">
        <v>2094</v>
      </c>
      <c r="B1752" s="8" t="s">
        <v>575</v>
      </c>
      <c r="C1752" s="8" t="s">
        <v>252</v>
      </c>
      <c r="D1752" s="8" t="s">
        <v>576</v>
      </c>
      <c r="E1752" s="8" t="s">
        <v>179</v>
      </c>
      <c r="F1752" s="9">
        <v>4</v>
      </c>
      <c r="G1752" s="5">
        <f>TRUNC([1]단가대비표!O250,0)</f>
        <v>8570</v>
      </c>
      <c r="H1752" s="5">
        <f t="shared" si="158"/>
        <v>34280</v>
      </c>
      <c r="I1752" s="5">
        <v>0</v>
      </c>
      <c r="J1752" s="5">
        <f t="shared" si="159"/>
        <v>0</v>
      </c>
      <c r="K1752" s="5">
        <v>0</v>
      </c>
      <c r="L1752" s="5">
        <f t="shared" si="160"/>
        <v>0</v>
      </c>
      <c r="M1752" s="5">
        <f t="shared" si="161"/>
        <v>8570</v>
      </c>
      <c r="N1752" s="5">
        <f t="shared" si="161"/>
        <v>34280</v>
      </c>
      <c r="O1752" s="8" t="s">
        <v>20</v>
      </c>
      <c r="T1752">
        <v>0</v>
      </c>
      <c r="AC1752">
        <v>1</v>
      </c>
    </row>
    <row r="1753" spans="1:29" ht="30" customHeight="1" x14ac:dyDescent="0.3">
      <c r="A1753" s="8" t="s">
        <v>2094</v>
      </c>
      <c r="B1753" s="8" t="s">
        <v>284</v>
      </c>
      <c r="C1753" s="8" t="s">
        <v>252</v>
      </c>
      <c r="D1753" s="8" t="s">
        <v>285</v>
      </c>
      <c r="E1753" s="8" t="s">
        <v>179</v>
      </c>
      <c r="F1753" s="9">
        <v>1</v>
      </c>
      <c r="G1753" s="5">
        <f>TRUNC([1]단가대비표!O259,0)</f>
        <v>13440</v>
      </c>
      <c r="H1753" s="5">
        <f t="shared" si="158"/>
        <v>13440</v>
      </c>
      <c r="I1753" s="5">
        <v>0</v>
      </c>
      <c r="J1753" s="5">
        <f t="shared" si="159"/>
        <v>0</v>
      </c>
      <c r="K1753" s="5">
        <v>0</v>
      </c>
      <c r="L1753" s="5">
        <f t="shared" si="160"/>
        <v>0</v>
      </c>
      <c r="M1753" s="5">
        <f t="shared" ref="M1753:N1772" si="162">G1753+I1753+K1753</f>
        <v>13440</v>
      </c>
      <c r="N1753" s="5">
        <f t="shared" si="162"/>
        <v>13440</v>
      </c>
      <c r="O1753" s="8" t="s">
        <v>20</v>
      </c>
      <c r="T1753">
        <v>0</v>
      </c>
      <c r="AC1753">
        <v>1</v>
      </c>
    </row>
    <row r="1754" spans="1:29" ht="30" customHeight="1" x14ac:dyDescent="0.3">
      <c r="A1754" s="8" t="s">
        <v>2094</v>
      </c>
      <c r="B1754" s="8" t="s">
        <v>808</v>
      </c>
      <c r="C1754" s="8" t="s">
        <v>252</v>
      </c>
      <c r="D1754" s="8" t="s">
        <v>809</v>
      </c>
      <c r="E1754" s="8" t="s">
        <v>179</v>
      </c>
      <c r="F1754" s="9">
        <v>19</v>
      </c>
      <c r="G1754" s="5">
        <f>TRUNC([1]단가대비표!O218,0)</f>
        <v>2490</v>
      </c>
      <c r="H1754" s="5">
        <f t="shared" si="158"/>
        <v>47310</v>
      </c>
      <c r="I1754" s="5">
        <v>0</v>
      </c>
      <c r="J1754" s="5">
        <f t="shared" si="159"/>
        <v>0</v>
      </c>
      <c r="K1754" s="5">
        <v>0</v>
      </c>
      <c r="L1754" s="5">
        <f t="shared" si="160"/>
        <v>0</v>
      </c>
      <c r="M1754" s="5">
        <f t="shared" si="162"/>
        <v>2490</v>
      </c>
      <c r="N1754" s="5">
        <f t="shared" si="162"/>
        <v>47310</v>
      </c>
      <c r="O1754" s="8" t="s">
        <v>20</v>
      </c>
      <c r="T1754">
        <v>0</v>
      </c>
      <c r="AC1754">
        <v>1</v>
      </c>
    </row>
    <row r="1755" spans="1:29" ht="30" customHeight="1" x14ac:dyDescent="0.3">
      <c r="A1755" s="8" t="s">
        <v>2094</v>
      </c>
      <c r="B1755" s="8" t="s">
        <v>597</v>
      </c>
      <c r="C1755" s="8" t="s">
        <v>252</v>
      </c>
      <c r="D1755" s="8" t="s">
        <v>598</v>
      </c>
      <c r="E1755" s="8" t="s">
        <v>179</v>
      </c>
      <c r="F1755" s="9">
        <v>8</v>
      </c>
      <c r="G1755" s="5">
        <f>TRUNC([1]단가대비표!O219,0)</f>
        <v>3040</v>
      </c>
      <c r="H1755" s="5">
        <f t="shared" si="158"/>
        <v>24320</v>
      </c>
      <c r="I1755" s="5">
        <v>0</v>
      </c>
      <c r="J1755" s="5">
        <f t="shared" si="159"/>
        <v>0</v>
      </c>
      <c r="K1755" s="5">
        <v>0</v>
      </c>
      <c r="L1755" s="5">
        <f t="shared" si="160"/>
        <v>0</v>
      </c>
      <c r="M1755" s="5">
        <f t="shared" si="162"/>
        <v>3040</v>
      </c>
      <c r="N1755" s="5">
        <f t="shared" si="162"/>
        <v>24320</v>
      </c>
      <c r="O1755" s="8" t="s">
        <v>20</v>
      </c>
      <c r="T1755">
        <v>0</v>
      </c>
      <c r="AC1755">
        <v>1</v>
      </c>
    </row>
    <row r="1756" spans="1:29" ht="30" customHeight="1" x14ac:dyDescent="0.3">
      <c r="A1756" s="8" t="s">
        <v>2094</v>
      </c>
      <c r="B1756" s="8" t="s">
        <v>599</v>
      </c>
      <c r="C1756" s="8" t="s">
        <v>252</v>
      </c>
      <c r="D1756" s="8" t="s">
        <v>600</v>
      </c>
      <c r="E1756" s="8" t="s">
        <v>179</v>
      </c>
      <c r="F1756" s="9">
        <v>4</v>
      </c>
      <c r="G1756" s="5">
        <f>TRUNC([1]단가대비표!O220,0)</f>
        <v>3920</v>
      </c>
      <c r="H1756" s="5">
        <f t="shared" si="158"/>
        <v>15680</v>
      </c>
      <c r="I1756" s="5">
        <v>0</v>
      </c>
      <c r="J1756" s="5">
        <f t="shared" si="159"/>
        <v>0</v>
      </c>
      <c r="K1756" s="5">
        <v>0</v>
      </c>
      <c r="L1756" s="5">
        <f t="shared" si="160"/>
        <v>0</v>
      </c>
      <c r="M1756" s="5">
        <f t="shared" si="162"/>
        <v>3920</v>
      </c>
      <c r="N1756" s="5">
        <f t="shared" si="162"/>
        <v>15680</v>
      </c>
      <c r="O1756" s="8" t="s">
        <v>20</v>
      </c>
      <c r="T1756">
        <v>0</v>
      </c>
      <c r="AC1756">
        <v>1</v>
      </c>
    </row>
    <row r="1757" spans="1:29" ht="30" customHeight="1" x14ac:dyDescent="0.3">
      <c r="A1757" s="8" t="s">
        <v>2094</v>
      </c>
      <c r="B1757" s="8" t="s">
        <v>290</v>
      </c>
      <c r="C1757" s="8" t="s">
        <v>252</v>
      </c>
      <c r="D1757" s="8" t="s">
        <v>291</v>
      </c>
      <c r="E1757" s="8" t="s">
        <v>179</v>
      </c>
      <c r="F1757" s="9">
        <v>1</v>
      </c>
      <c r="G1757" s="5">
        <f>TRUNC([1]단가대비표!O222,0)</f>
        <v>9210</v>
      </c>
      <c r="H1757" s="5">
        <f t="shared" si="158"/>
        <v>9210</v>
      </c>
      <c r="I1757" s="5">
        <v>0</v>
      </c>
      <c r="J1757" s="5">
        <f t="shared" si="159"/>
        <v>0</v>
      </c>
      <c r="K1757" s="5">
        <v>0</v>
      </c>
      <c r="L1757" s="5">
        <f t="shared" si="160"/>
        <v>0</v>
      </c>
      <c r="M1757" s="5">
        <f t="shared" si="162"/>
        <v>9210</v>
      </c>
      <c r="N1757" s="5">
        <f t="shared" si="162"/>
        <v>9210</v>
      </c>
      <c r="O1757" s="8" t="s">
        <v>20</v>
      </c>
      <c r="T1757">
        <v>0</v>
      </c>
      <c r="AC1757">
        <v>1</v>
      </c>
    </row>
    <row r="1758" spans="1:29" ht="30" customHeight="1" x14ac:dyDescent="0.3">
      <c r="A1758" s="8" t="s">
        <v>2094</v>
      </c>
      <c r="B1758" s="8" t="s">
        <v>605</v>
      </c>
      <c r="C1758" s="8" t="s">
        <v>252</v>
      </c>
      <c r="D1758" s="8" t="s">
        <v>606</v>
      </c>
      <c r="E1758" s="8" t="s">
        <v>179</v>
      </c>
      <c r="F1758" s="9">
        <v>3</v>
      </c>
      <c r="G1758" s="5">
        <f>TRUNC([1]단가대비표!O274,0)</f>
        <v>9830</v>
      </c>
      <c r="H1758" s="5">
        <f t="shared" si="158"/>
        <v>29490</v>
      </c>
      <c r="I1758" s="5">
        <v>0</v>
      </c>
      <c r="J1758" s="5">
        <f t="shared" si="159"/>
        <v>0</v>
      </c>
      <c r="K1758" s="5">
        <v>0</v>
      </c>
      <c r="L1758" s="5">
        <f t="shared" si="160"/>
        <v>0</v>
      </c>
      <c r="M1758" s="5">
        <f t="shared" si="162"/>
        <v>9830</v>
      </c>
      <c r="N1758" s="5">
        <f t="shared" si="162"/>
        <v>29490</v>
      </c>
      <c r="O1758" s="8" t="s">
        <v>20</v>
      </c>
      <c r="T1758">
        <v>0</v>
      </c>
      <c r="AC1758">
        <v>1</v>
      </c>
    </row>
    <row r="1759" spans="1:29" ht="30" customHeight="1" x14ac:dyDescent="0.3">
      <c r="A1759" s="8" t="s">
        <v>2094</v>
      </c>
      <c r="B1759" s="8" t="s">
        <v>300</v>
      </c>
      <c r="C1759" s="8" t="s">
        <v>252</v>
      </c>
      <c r="D1759" s="8" t="s">
        <v>301</v>
      </c>
      <c r="E1759" s="8" t="s">
        <v>179</v>
      </c>
      <c r="F1759" s="9">
        <v>1</v>
      </c>
      <c r="G1759" s="5">
        <f>TRUNC([1]단가대비표!O278,0)</f>
        <v>35170</v>
      </c>
      <c r="H1759" s="5">
        <f t="shared" si="158"/>
        <v>35170</v>
      </c>
      <c r="I1759" s="5">
        <v>0</v>
      </c>
      <c r="J1759" s="5">
        <f t="shared" si="159"/>
        <v>0</v>
      </c>
      <c r="K1759" s="5">
        <v>0</v>
      </c>
      <c r="L1759" s="5">
        <f t="shared" si="160"/>
        <v>0</v>
      </c>
      <c r="M1759" s="5">
        <f t="shared" si="162"/>
        <v>35170</v>
      </c>
      <c r="N1759" s="5">
        <f t="shared" si="162"/>
        <v>35170</v>
      </c>
      <c r="O1759" s="8" t="s">
        <v>20</v>
      </c>
      <c r="T1759">
        <v>0</v>
      </c>
      <c r="AC1759">
        <v>1</v>
      </c>
    </row>
    <row r="1760" spans="1:29" ht="30" customHeight="1" x14ac:dyDescent="0.3">
      <c r="A1760" s="8" t="s">
        <v>2094</v>
      </c>
      <c r="B1760" s="8" t="s">
        <v>310</v>
      </c>
      <c r="C1760" s="8" t="s">
        <v>252</v>
      </c>
      <c r="D1760" s="8" t="s">
        <v>311</v>
      </c>
      <c r="E1760" s="8" t="s">
        <v>179</v>
      </c>
      <c r="F1760" s="9">
        <v>3</v>
      </c>
      <c r="G1760" s="5">
        <f>TRUNC([1]단가대비표!O285,0)</f>
        <v>9720</v>
      </c>
      <c r="H1760" s="5">
        <f t="shared" si="158"/>
        <v>29160</v>
      </c>
      <c r="I1760" s="5">
        <v>0</v>
      </c>
      <c r="J1760" s="5">
        <f t="shared" si="159"/>
        <v>0</v>
      </c>
      <c r="K1760" s="5">
        <v>0</v>
      </c>
      <c r="L1760" s="5">
        <f t="shared" si="160"/>
        <v>0</v>
      </c>
      <c r="M1760" s="5">
        <f t="shared" si="162"/>
        <v>9720</v>
      </c>
      <c r="N1760" s="5">
        <f t="shared" si="162"/>
        <v>29160</v>
      </c>
      <c r="O1760" s="8" t="s">
        <v>20</v>
      </c>
      <c r="T1760">
        <v>0</v>
      </c>
      <c r="AC1760">
        <v>1</v>
      </c>
    </row>
    <row r="1761" spans="1:29" ht="30" customHeight="1" x14ac:dyDescent="0.3">
      <c r="A1761" s="8" t="s">
        <v>2094</v>
      </c>
      <c r="B1761" s="8" t="s">
        <v>320</v>
      </c>
      <c r="C1761" s="8" t="s">
        <v>252</v>
      </c>
      <c r="D1761" s="8" t="s">
        <v>321</v>
      </c>
      <c r="E1761" s="8" t="s">
        <v>179</v>
      </c>
      <c r="F1761" s="9">
        <v>5</v>
      </c>
      <c r="G1761" s="5">
        <f>TRUNC([1]단가대비표!O287,0)</f>
        <v>4920</v>
      </c>
      <c r="H1761" s="5">
        <f t="shared" si="158"/>
        <v>24600</v>
      </c>
      <c r="I1761" s="5">
        <v>0</v>
      </c>
      <c r="J1761" s="5">
        <f t="shared" si="159"/>
        <v>0</v>
      </c>
      <c r="K1761" s="5">
        <v>0</v>
      </c>
      <c r="L1761" s="5">
        <f t="shared" si="160"/>
        <v>0</v>
      </c>
      <c r="M1761" s="5">
        <f t="shared" si="162"/>
        <v>4920</v>
      </c>
      <c r="N1761" s="5">
        <f t="shared" si="162"/>
        <v>24600</v>
      </c>
      <c r="O1761" s="8" t="s">
        <v>20</v>
      </c>
      <c r="T1761">
        <v>0</v>
      </c>
      <c r="AC1761">
        <v>1</v>
      </c>
    </row>
    <row r="1762" spans="1:29" ht="30" customHeight="1" x14ac:dyDescent="0.3">
      <c r="A1762" s="8" t="s">
        <v>2094</v>
      </c>
      <c r="B1762" s="8" t="s">
        <v>328</v>
      </c>
      <c r="C1762" s="8" t="s">
        <v>252</v>
      </c>
      <c r="D1762" s="8" t="s">
        <v>329</v>
      </c>
      <c r="E1762" s="8" t="s">
        <v>179</v>
      </c>
      <c r="F1762" s="9">
        <v>1</v>
      </c>
      <c r="G1762" s="5">
        <f>TRUNC([1]단가대비표!O291,0)</f>
        <v>15070</v>
      </c>
      <c r="H1762" s="5">
        <f t="shared" si="158"/>
        <v>15070</v>
      </c>
      <c r="I1762" s="5">
        <v>0</v>
      </c>
      <c r="J1762" s="5">
        <f t="shared" si="159"/>
        <v>0</v>
      </c>
      <c r="K1762" s="5">
        <v>0</v>
      </c>
      <c r="L1762" s="5">
        <f t="shared" si="160"/>
        <v>0</v>
      </c>
      <c r="M1762" s="5">
        <f t="shared" si="162"/>
        <v>15070</v>
      </c>
      <c r="N1762" s="5">
        <f t="shared" si="162"/>
        <v>15070</v>
      </c>
      <c r="O1762" s="8" t="s">
        <v>20</v>
      </c>
      <c r="T1762">
        <v>0</v>
      </c>
      <c r="AC1762">
        <v>1</v>
      </c>
    </row>
    <row r="1763" spans="1:29" ht="30" customHeight="1" x14ac:dyDescent="0.3">
      <c r="A1763" s="8" t="s">
        <v>2094</v>
      </c>
      <c r="B1763" s="8" t="s">
        <v>614</v>
      </c>
      <c r="C1763" s="8" t="s">
        <v>615</v>
      </c>
      <c r="D1763" s="8" t="s">
        <v>381</v>
      </c>
      <c r="E1763" s="8" t="s">
        <v>179</v>
      </c>
      <c r="F1763" s="9">
        <v>2</v>
      </c>
      <c r="G1763" s="5">
        <f>TRUNC([1]단가대비표!O533,0)</f>
        <v>18400</v>
      </c>
      <c r="H1763" s="5">
        <f t="shared" si="158"/>
        <v>36800</v>
      </c>
      <c r="I1763" s="5">
        <v>0</v>
      </c>
      <c r="J1763" s="5">
        <f t="shared" si="159"/>
        <v>0</v>
      </c>
      <c r="K1763" s="5">
        <v>0</v>
      </c>
      <c r="L1763" s="5">
        <f t="shared" si="160"/>
        <v>0</v>
      </c>
      <c r="M1763" s="5">
        <f t="shared" si="162"/>
        <v>18400</v>
      </c>
      <c r="N1763" s="5">
        <f t="shared" si="162"/>
        <v>36800</v>
      </c>
      <c r="O1763" s="8" t="s">
        <v>20</v>
      </c>
      <c r="T1763">
        <v>0</v>
      </c>
      <c r="AC1763">
        <v>1</v>
      </c>
    </row>
    <row r="1764" spans="1:29" ht="30" customHeight="1" x14ac:dyDescent="0.3">
      <c r="A1764" s="8" t="s">
        <v>2094</v>
      </c>
      <c r="B1764" s="8" t="s">
        <v>388</v>
      </c>
      <c r="C1764" s="8" t="s">
        <v>374</v>
      </c>
      <c r="D1764" s="8" t="s">
        <v>389</v>
      </c>
      <c r="E1764" s="8" t="s">
        <v>179</v>
      </c>
      <c r="F1764" s="9">
        <v>1</v>
      </c>
      <c r="G1764" s="5">
        <f>TRUNC([1]단가대비표!O543,0)</f>
        <v>81600</v>
      </c>
      <c r="H1764" s="5">
        <f t="shared" si="158"/>
        <v>81600</v>
      </c>
      <c r="I1764" s="5">
        <v>0</v>
      </c>
      <c r="J1764" s="5">
        <f t="shared" si="159"/>
        <v>0</v>
      </c>
      <c r="K1764" s="5">
        <v>0</v>
      </c>
      <c r="L1764" s="5">
        <f t="shared" si="160"/>
        <v>0</v>
      </c>
      <c r="M1764" s="5">
        <f t="shared" si="162"/>
        <v>81600</v>
      </c>
      <c r="N1764" s="5">
        <f t="shared" si="162"/>
        <v>81600</v>
      </c>
      <c r="O1764" s="8" t="s">
        <v>20</v>
      </c>
      <c r="T1764">
        <v>0</v>
      </c>
      <c r="AC1764">
        <v>1</v>
      </c>
    </row>
    <row r="1765" spans="1:29" ht="30" customHeight="1" x14ac:dyDescent="0.3">
      <c r="A1765" s="8" t="s">
        <v>2094</v>
      </c>
      <c r="B1765" s="8" t="s">
        <v>451</v>
      </c>
      <c r="C1765" s="8" t="s">
        <v>452</v>
      </c>
      <c r="D1765" s="8" t="s">
        <v>453</v>
      </c>
      <c r="E1765" s="8" t="s">
        <v>428</v>
      </c>
      <c r="F1765" s="9">
        <v>2</v>
      </c>
      <c r="G1765" s="5">
        <f>TRUNC([1]단가대비표!O723,0)</f>
        <v>220</v>
      </c>
      <c r="H1765" s="5">
        <f t="shared" si="158"/>
        <v>440</v>
      </c>
      <c r="I1765" s="5">
        <v>10733</v>
      </c>
      <c r="J1765" s="5">
        <f t="shared" si="159"/>
        <v>21466</v>
      </c>
      <c r="K1765" s="5">
        <v>0</v>
      </c>
      <c r="L1765" s="5">
        <f t="shared" si="160"/>
        <v>0</v>
      </c>
      <c r="M1765" s="5">
        <f t="shared" si="162"/>
        <v>10953</v>
      </c>
      <c r="N1765" s="5">
        <f t="shared" si="162"/>
        <v>21906</v>
      </c>
      <c r="O1765" s="8" t="s">
        <v>429</v>
      </c>
      <c r="T1765">
        <v>0</v>
      </c>
      <c r="AC1765">
        <v>1</v>
      </c>
    </row>
    <row r="1766" spans="1:29" ht="30" customHeight="1" x14ac:dyDescent="0.3">
      <c r="A1766" s="8" t="s">
        <v>2094</v>
      </c>
      <c r="B1766" s="8" t="s">
        <v>454</v>
      </c>
      <c r="C1766" s="8" t="s">
        <v>452</v>
      </c>
      <c r="D1766" s="8" t="s">
        <v>427</v>
      </c>
      <c r="E1766" s="8" t="s">
        <v>428</v>
      </c>
      <c r="F1766" s="9">
        <v>2</v>
      </c>
      <c r="G1766" s="5">
        <f>TRUNC([1]단가대비표!O724,0)</f>
        <v>325</v>
      </c>
      <c r="H1766" s="5">
        <f t="shared" si="158"/>
        <v>650</v>
      </c>
      <c r="I1766" s="5">
        <v>15886</v>
      </c>
      <c r="J1766" s="5">
        <f t="shared" si="159"/>
        <v>31772</v>
      </c>
      <c r="K1766" s="5">
        <v>0</v>
      </c>
      <c r="L1766" s="5">
        <f t="shared" si="160"/>
        <v>0</v>
      </c>
      <c r="M1766" s="5">
        <f t="shared" si="162"/>
        <v>16211</v>
      </c>
      <c r="N1766" s="5">
        <f t="shared" si="162"/>
        <v>32422</v>
      </c>
      <c r="O1766" s="8" t="s">
        <v>429</v>
      </c>
      <c r="T1766">
        <v>0</v>
      </c>
      <c r="AC1766">
        <v>1</v>
      </c>
    </row>
    <row r="1767" spans="1:29" ht="30" customHeight="1" x14ac:dyDescent="0.3">
      <c r="A1767" s="8" t="s">
        <v>2094</v>
      </c>
      <c r="B1767" s="8" t="s">
        <v>1073</v>
      </c>
      <c r="C1767" s="8" t="s">
        <v>528</v>
      </c>
      <c r="D1767" s="8" t="s">
        <v>346</v>
      </c>
      <c r="E1767" s="8" t="s">
        <v>185</v>
      </c>
      <c r="F1767" s="9">
        <v>1</v>
      </c>
      <c r="G1767" s="5" t="e">
        <f>'[2].xls].xls].xls].xls].xls].xls].xls].'!E59</f>
        <v>#REF!</v>
      </c>
      <c r="H1767" s="5" t="e">
        <f t="shared" si="158"/>
        <v>#REF!</v>
      </c>
      <c r="I1767" s="5" t="e">
        <f>'[2].xls].xls].xls].xls].xls].xls].xls].'!F59</f>
        <v>#REF!</v>
      </c>
      <c r="J1767" s="5" t="e">
        <f t="shared" si="159"/>
        <v>#REF!</v>
      </c>
      <c r="K1767" s="5" t="e">
        <f>'[2].xls].xls].xls].xls].xls].xls].xls].'!G59</f>
        <v>#REF!</v>
      </c>
      <c r="L1767" s="5" t="e">
        <f t="shared" si="160"/>
        <v>#REF!</v>
      </c>
      <c r="M1767" s="5" t="e">
        <f t="shared" si="162"/>
        <v>#REF!</v>
      </c>
      <c r="N1767" s="5" t="e">
        <f t="shared" si="162"/>
        <v>#REF!</v>
      </c>
      <c r="O1767" s="8" t="s">
        <v>1073</v>
      </c>
      <c r="T1767">
        <v>0</v>
      </c>
      <c r="AC1767">
        <v>1</v>
      </c>
    </row>
    <row r="1768" spans="1:29" ht="30" customHeight="1" x14ac:dyDescent="0.3">
      <c r="A1768" s="8" t="s">
        <v>2094</v>
      </c>
      <c r="B1768" s="8" t="s">
        <v>682</v>
      </c>
      <c r="C1768" s="8" t="s">
        <v>680</v>
      </c>
      <c r="D1768" s="8" t="s">
        <v>346</v>
      </c>
      <c r="E1768" s="8" t="s">
        <v>185</v>
      </c>
      <c r="F1768" s="9">
        <v>1</v>
      </c>
      <c r="G1768" s="5">
        <f>TRUNC([1]단가대비표!O633,0)</f>
        <v>16074</v>
      </c>
      <c r="H1768" s="5">
        <f t="shared" si="158"/>
        <v>16074</v>
      </c>
      <c r="I1768" s="5">
        <v>0</v>
      </c>
      <c r="J1768" s="5">
        <f t="shared" si="159"/>
        <v>0</v>
      </c>
      <c r="K1768" s="5">
        <v>0</v>
      </c>
      <c r="L1768" s="5">
        <f t="shared" si="160"/>
        <v>0</v>
      </c>
      <c r="M1768" s="5">
        <f t="shared" si="162"/>
        <v>16074</v>
      </c>
      <c r="N1768" s="5">
        <f t="shared" si="162"/>
        <v>16074</v>
      </c>
      <c r="O1768" s="8" t="s">
        <v>20</v>
      </c>
      <c r="T1768">
        <v>0</v>
      </c>
      <c r="AC1768">
        <v>1</v>
      </c>
    </row>
    <row r="1769" spans="1:29" ht="30" customHeight="1" x14ac:dyDescent="0.3">
      <c r="A1769" s="8" t="s">
        <v>2094</v>
      </c>
      <c r="B1769" s="8" t="s">
        <v>698</v>
      </c>
      <c r="C1769" s="8" t="s">
        <v>694</v>
      </c>
      <c r="D1769" s="8" t="s">
        <v>699</v>
      </c>
      <c r="E1769" s="8" t="s">
        <v>179</v>
      </c>
      <c r="F1769" s="9">
        <v>1</v>
      </c>
      <c r="G1769" s="5">
        <f>TRUNC([1]단가대비표!O393,0)</f>
        <v>840</v>
      </c>
      <c r="H1769" s="5">
        <f t="shared" si="158"/>
        <v>840</v>
      </c>
      <c r="I1769" s="5">
        <v>0</v>
      </c>
      <c r="J1769" s="5">
        <f t="shared" si="159"/>
        <v>0</v>
      </c>
      <c r="K1769" s="5">
        <v>0</v>
      </c>
      <c r="L1769" s="5">
        <f t="shared" si="160"/>
        <v>0</v>
      </c>
      <c r="M1769" s="5">
        <f t="shared" si="162"/>
        <v>840</v>
      </c>
      <c r="N1769" s="5">
        <f t="shared" si="162"/>
        <v>840</v>
      </c>
      <c r="O1769" s="8" t="s">
        <v>20</v>
      </c>
      <c r="T1769">
        <v>0</v>
      </c>
      <c r="AC1769">
        <v>1</v>
      </c>
    </row>
    <row r="1770" spans="1:29" ht="30" customHeight="1" x14ac:dyDescent="0.3">
      <c r="A1770" s="8" t="s">
        <v>2094</v>
      </c>
      <c r="B1770" s="8" t="s">
        <v>152</v>
      </c>
      <c r="C1770" s="8" t="s">
        <v>153</v>
      </c>
      <c r="D1770" s="8" t="s">
        <v>154</v>
      </c>
      <c r="E1770" s="8" t="s">
        <v>155</v>
      </c>
      <c r="F1770" s="9">
        <v>3</v>
      </c>
      <c r="G1770" s="5">
        <v>0</v>
      </c>
      <c r="H1770" s="5">
        <f t="shared" si="158"/>
        <v>0</v>
      </c>
      <c r="I1770" s="5">
        <f>TRUNC([1]단가대비표!O671,0)</f>
        <v>157068</v>
      </c>
      <c r="J1770" s="5">
        <f t="shared" si="159"/>
        <v>471204</v>
      </c>
      <c r="K1770" s="5">
        <v>0</v>
      </c>
      <c r="L1770" s="5">
        <f t="shared" si="160"/>
        <v>0</v>
      </c>
      <c r="M1770" s="5">
        <f t="shared" si="162"/>
        <v>157068</v>
      </c>
      <c r="N1770" s="5">
        <f t="shared" si="162"/>
        <v>471204</v>
      </c>
      <c r="O1770" s="8" t="s">
        <v>20</v>
      </c>
      <c r="T1770">
        <v>0</v>
      </c>
      <c r="W1770">
        <v>3</v>
      </c>
      <c r="AC1770">
        <v>1</v>
      </c>
    </row>
    <row r="1771" spans="1:29" ht="30" customHeight="1" x14ac:dyDescent="0.3">
      <c r="A1771" s="8" t="s">
        <v>2094</v>
      </c>
      <c r="B1771" s="8" t="s">
        <v>553</v>
      </c>
      <c r="C1771" s="8" t="s">
        <v>153</v>
      </c>
      <c r="D1771" s="8" t="s">
        <v>554</v>
      </c>
      <c r="E1771" s="8" t="s">
        <v>155</v>
      </c>
      <c r="F1771" s="9">
        <v>6</v>
      </c>
      <c r="G1771" s="5">
        <v>0</v>
      </c>
      <c r="H1771" s="5">
        <f t="shared" si="158"/>
        <v>0</v>
      </c>
      <c r="I1771" s="5">
        <f>TRUNC([1]단가대비표!O668,0)</f>
        <v>214118</v>
      </c>
      <c r="J1771" s="5">
        <f t="shared" si="159"/>
        <v>1284708</v>
      </c>
      <c r="K1771" s="5">
        <v>0</v>
      </c>
      <c r="L1771" s="5">
        <f t="shared" si="160"/>
        <v>0</v>
      </c>
      <c r="M1771" s="5">
        <f t="shared" si="162"/>
        <v>214118</v>
      </c>
      <c r="N1771" s="5">
        <f t="shared" si="162"/>
        <v>1284708</v>
      </c>
      <c r="O1771" s="8" t="s">
        <v>20</v>
      </c>
      <c r="T1771">
        <v>0</v>
      </c>
      <c r="W1771">
        <v>3</v>
      </c>
      <c r="AC1771">
        <v>1</v>
      </c>
    </row>
    <row r="1772" spans="1:29" ht="30" customHeight="1" x14ac:dyDescent="0.3">
      <c r="A1772" s="8" t="s">
        <v>2094</v>
      </c>
      <c r="B1772" s="8" t="s">
        <v>158</v>
      </c>
      <c r="C1772" s="8" t="s">
        <v>159</v>
      </c>
      <c r="D1772" s="8" t="s">
        <v>160</v>
      </c>
      <c r="E1772" s="8" t="s">
        <v>161</v>
      </c>
      <c r="F1772" s="9">
        <v>1</v>
      </c>
      <c r="G1772" s="5">
        <f>ROUNDDOWN(SUMIF(W1721:W1772, RIGHTB(B1772, 1), J1721:J1772)*T1772, 0)</f>
        <v>35118</v>
      </c>
      <c r="H1772" s="5">
        <f t="shared" si="158"/>
        <v>35118</v>
      </c>
      <c r="I1772" s="5">
        <v>0</v>
      </c>
      <c r="J1772" s="5">
        <f t="shared" si="159"/>
        <v>0</v>
      </c>
      <c r="K1772" s="5">
        <v>0</v>
      </c>
      <c r="L1772" s="5">
        <f t="shared" si="160"/>
        <v>0</v>
      </c>
      <c r="M1772" s="5">
        <f t="shared" si="162"/>
        <v>35118</v>
      </c>
      <c r="N1772" s="5">
        <f t="shared" si="162"/>
        <v>35118</v>
      </c>
      <c r="O1772" s="8" t="s">
        <v>20</v>
      </c>
      <c r="P1772">
        <v>1772</v>
      </c>
      <c r="R1772">
        <v>1</v>
      </c>
      <c r="S1772">
        <v>0</v>
      </c>
      <c r="T1772">
        <v>0.02</v>
      </c>
      <c r="AC1772">
        <v>1</v>
      </c>
    </row>
    <row r="1773" spans="1:29" ht="30" customHeight="1" x14ac:dyDescent="0.3">
      <c r="A1773" s="5"/>
      <c r="B1773" s="5"/>
      <c r="C1773" s="5"/>
      <c r="D1773" s="5"/>
      <c r="E1773" s="5"/>
      <c r="F1773" s="9"/>
      <c r="G1773" s="5"/>
      <c r="H1773" s="5"/>
      <c r="I1773" s="5"/>
      <c r="J1773" s="5"/>
      <c r="K1773" s="5"/>
      <c r="L1773" s="5"/>
      <c r="M1773" s="5"/>
      <c r="N1773" s="5"/>
      <c r="O1773" s="5"/>
    </row>
    <row r="1774" spans="1:29" ht="30" customHeight="1" x14ac:dyDescent="0.3">
      <c r="A1774" s="5"/>
      <c r="B1774" s="5"/>
      <c r="C1774" s="5"/>
      <c r="D1774" s="5"/>
      <c r="E1774" s="5"/>
      <c r="F1774" s="9"/>
      <c r="G1774" s="5"/>
      <c r="H1774" s="5"/>
      <c r="I1774" s="5"/>
      <c r="J1774" s="5"/>
      <c r="K1774" s="5"/>
      <c r="L1774" s="5"/>
      <c r="M1774" s="5"/>
      <c r="N1774" s="5"/>
      <c r="O1774" s="5"/>
    </row>
    <row r="1775" spans="1:29" ht="30" customHeight="1" x14ac:dyDescent="0.3">
      <c r="A1775" s="5"/>
      <c r="B1775" s="5"/>
      <c r="C1775" s="5"/>
      <c r="D1775" s="5"/>
      <c r="E1775" s="5"/>
      <c r="F1775" s="9"/>
      <c r="G1775" s="5"/>
      <c r="H1775" s="5"/>
      <c r="I1775" s="5"/>
      <c r="J1775" s="5"/>
      <c r="K1775" s="5"/>
      <c r="L1775" s="5"/>
      <c r="M1775" s="5"/>
      <c r="N1775" s="5"/>
      <c r="O1775" s="5"/>
    </row>
    <row r="1776" spans="1:29" ht="30" customHeight="1" x14ac:dyDescent="0.3">
      <c r="A1776" s="5"/>
      <c r="B1776" s="5"/>
      <c r="C1776" s="5"/>
      <c r="D1776" s="5"/>
      <c r="E1776" s="5"/>
      <c r="F1776" s="9"/>
      <c r="G1776" s="5"/>
      <c r="H1776" s="5"/>
      <c r="I1776" s="5"/>
      <c r="J1776" s="5"/>
      <c r="K1776" s="5"/>
      <c r="L1776" s="5"/>
      <c r="M1776" s="5"/>
      <c r="N1776" s="5"/>
      <c r="O1776" s="5"/>
    </row>
    <row r="1777" spans="1:15" ht="30" customHeight="1" x14ac:dyDescent="0.3">
      <c r="A1777" s="5"/>
      <c r="B1777" s="5"/>
      <c r="C1777" s="5"/>
      <c r="D1777" s="5"/>
      <c r="E1777" s="5"/>
      <c r="F1777" s="9"/>
      <c r="G1777" s="5"/>
      <c r="H1777" s="5"/>
      <c r="I1777" s="5"/>
      <c r="J1777" s="5"/>
      <c r="K1777" s="5"/>
      <c r="L1777" s="5"/>
      <c r="M1777" s="5"/>
      <c r="N1777" s="5"/>
      <c r="O1777" s="5"/>
    </row>
    <row r="1778" spans="1:15" ht="30" customHeight="1" x14ac:dyDescent="0.3">
      <c r="A1778" s="5"/>
      <c r="B1778" s="5"/>
      <c r="C1778" s="5"/>
      <c r="D1778" s="5"/>
      <c r="E1778" s="5"/>
      <c r="F1778" s="9"/>
      <c r="G1778" s="5"/>
      <c r="H1778" s="5"/>
      <c r="I1778" s="5"/>
      <c r="J1778" s="5"/>
      <c r="K1778" s="5"/>
      <c r="L1778" s="5"/>
      <c r="M1778" s="5"/>
      <c r="N1778" s="5"/>
      <c r="O1778" s="5"/>
    </row>
    <row r="1779" spans="1:15" ht="30" customHeight="1" x14ac:dyDescent="0.3">
      <c r="A1779" s="5"/>
      <c r="B1779" s="5"/>
      <c r="C1779" s="5"/>
      <c r="D1779" s="5"/>
      <c r="E1779" s="5"/>
      <c r="F1779" s="9"/>
      <c r="G1779" s="5"/>
      <c r="H1779" s="5"/>
      <c r="I1779" s="5"/>
      <c r="J1779" s="5"/>
      <c r="K1779" s="5"/>
      <c r="L1779" s="5"/>
      <c r="M1779" s="5"/>
      <c r="N1779" s="5"/>
      <c r="O1779" s="5"/>
    </row>
    <row r="1780" spans="1:15" ht="30" customHeight="1" x14ac:dyDescent="0.3">
      <c r="A1780" s="5"/>
      <c r="B1780" s="5"/>
      <c r="C1780" s="5"/>
      <c r="D1780" s="5"/>
      <c r="E1780" s="5"/>
      <c r="F1780" s="9"/>
      <c r="G1780" s="5"/>
      <c r="H1780" s="5"/>
      <c r="I1780" s="5"/>
      <c r="J1780" s="5"/>
      <c r="K1780" s="5"/>
      <c r="L1780" s="5"/>
      <c r="M1780" s="5"/>
      <c r="N1780" s="5"/>
      <c r="O1780" s="5"/>
    </row>
    <row r="1781" spans="1:15" ht="30" customHeight="1" x14ac:dyDescent="0.3">
      <c r="A1781" s="5"/>
      <c r="B1781" s="5"/>
      <c r="C1781" s="5"/>
      <c r="D1781" s="5"/>
      <c r="E1781" s="5"/>
      <c r="F1781" s="9"/>
      <c r="G1781" s="5"/>
      <c r="H1781" s="5"/>
      <c r="I1781" s="5"/>
      <c r="J1781" s="5"/>
      <c r="K1781" s="5"/>
      <c r="L1781" s="5"/>
      <c r="M1781" s="5"/>
      <c r="N1781" s="5"/>
      <c r="O1781" s="5"/>
    </row>
    <row r="1782" spans="1:15" ht="30" customHeight="1" x14ac:dyDescent="0.3">
      <c r="A1782" s="5"/>
      <c r="B1782" s="5"/>
      <c r="C1782" s="5"/>
      <c r="D1782" s="5"/>
      <c r="E1782" s="5"/>
      <c r="F1782" s="9"/>
      <c r="G1782" s="5"/>
      <c r="H1782" s="5"/>
      <c r="I1782" s="5"/>
      <c r="J1782" s="5"/>
      <c r="K1782" s="5"/>
      <c r="L1782" s="5"/>
      <c r="M1782" s="5"/>
      <c r="N1782" s="5"/>
      <c r="O1782" s="5"/>
    </row>
    <row r="1783" spans="1:15" ht="30" customHeight="1" x14ac:dyDescent="0.3">
      <c r="A1783" s="5"/>
      <c r="B1783" s="5"/>
      <c r="C1783" s="5"/>
      <c r="D1783" s="5"/>
      <c r="E1783" s="5"/>
      <c r="F1783" s="9"/>
      <c r="G1783" s="5"/>
      <c r="H1783" s="5"/>
      <c r="I1783" s="5"/>
      <c r="J1783" s="5"/>
      <c r="K1783" s="5"/>
      <c r="L1783" s="5"/>
      <c r="M1783" s="5"/>
      <c r="N1783" s="5"/>
      <c r="O1783" s="5"/>
    </row>
    <row r="1784" spans="1:15" ht="30" customHeight="1" x14ac:dyDescent="0.3">
      <c r="A1784" s="5"/>
      <c r="B1784" s="5"/>
      <c r="C1784" s="5"/>
      <c r="D1784" s="5"/>
      <c r="E1784" s="5"/>
      <c r="F1784" s="9"/>
      <c r="G1784" s="5"/>
      <c r="H1784" s="5"/>
      <c r="I1784" s="5"/>
      <c r="J1784" s="5"/>
      <c r="K1784" s="5"/>
      <c r="L1784" s="5"/>
      <c r="M1784" s="5"/>
      <c r="N1784" s="5"/>
      <c r="O1784" s="5"/>
    </row>
    <row r="1785" spans="1:15" ht="30" customHeight="1" x14ac:dyDescent="0.3">
      <c r="A1785" s="5"/>
      <c r="B1785" s="5"/>
      <c r="C1785" s="5"/>
      <c r="D1785" s="5"/>
      <c r="E1785" s="5"/>
      <c r="F1785" s="9"/>
      <c r="G1785" s="5"/>
      <c r="H1785" s="5"/>
      <c r="I1785" s="5"/>
      <c r="J1785" s="5"/>
      <c r="K1785" s="5"/>
      <c r="L1785" s="5"/>
      <c r="M1785" s="5"/>
      <c r="N1785" s="5"/>
      <c r="O1785" s="5"/>
    </row>
    <row r="1786" spans="1:15" ht="30" customHeight="1" x14ac:dyDescent="0.3">
      <c r="A1786" s="5"/>
      <c r="B1786" s="5"/>
      <c r="C1786" s="5"/>
      <c r="D1786" s="5"/>
      <c r="E1786" s="5"/>
      <c r="F1786" s="9"/>
      <c r="G1786" s="5"/>
      <c r="H1786" s="5"/>
      <c r="I1786" s="5"/>
      <c r="J1786" s="5"/>
      <c r="K1786" s="5"/>
      <c r="L1786" s="5"/>
      <c r="M1786" s="5"/>
      <c r="N1786" s="5"/>
      <c r="O1786" s="5"/>
    </row>
    <row r="1787" spans="1:15" ht="30" customHeight="1" x14ac:dyDescent="0.3">
      <c r="A1787" s="5"/>
      <c r="B1787" s="5"/>
      <c r="C1787" s="5"/>
      <c r="D1787" s="5"/>
      <c r="E1787" s="5"/>
      <c r="F1787" s="9"/>
      <c r="G1787" s="5"/>
      <c r="H1787" s="5"/>
      <c r="I1787" s="5"/>
      <c r="J1787" s="5"/>
      <c r="K1787" s="5"/>
      <c r="L1787" s="5"/>
      <c r="M1787" s="5"/>
      <c r="N1787" s="5"/>
      <c r="O1787" s="5"/>
    </row>
    <row r="1788" spans="1:15" ht="30" customHeight="1" x14ac:dyDescent="0.3">
      <c r="A1788" s="5"/>
      <c r="B1788" s="5"/>
      <c r="C1788" s="5"/>
      <c r="D1788" s="5"/>
      <c r="E1788" s="5"/>
      <c r="F1788" s="9"/>
      <c r="G1788" s="5"/>
      <c r="H1788" s="5"/>
      <c r="I1788" s="5"/>
      <c r="J1788" s="5"/>
      <c r="K1788" s="5"/>
      <c r="L1788" s="5"/>
      <c r="M1788" s="5"/>
      <c r="N1788" s="5"/>
      <c r="O1788" s="5"/>
    </row>
    <row r="1789" spans="1:15" ht="30" customHeight="1" x14ac:dyDescent="0.3">
      <c r="A1789" s="5"/>
      <c r="B1789" s="5"/>
      <c r="C1789" s="5"/>
      <c r="D1789" s="5"/>
      <c r="E1789" s="5"/>
      <c r="F1789" s="9"/>
      <c r="G1789" s="5"/>
      <c r="H1789" s="5"/>
      <c r="I1789" s="5"/>
      <c r="J1789" s="5"/>
      <c r="K1789" s="5"/>
      <c r="L1789" s="5"/>
      <c r="M1789" s="5"/>
      <c r="N1789" s="5"/>
      <c r="O1789" s="5"/>
    </row>
    <row r="1790" spans="1:15" ht="30" customHeight="1" x14ac:dyDescent="0.3">
      <c r="A1790" s="5"/>
      <c r="B1790" s="5"/>
      <c r="C1790" s="5"/>
      <c r="D1790" s="5"/>
      <c r="E1790" s="5"/>
      <c r="F1790" s="9"/>
      <c r="G1790" s="5"/>
      <c r="H1790" s="5"/>
      <c r="I1790" s="5"/>
      <c r="J1790" s="5"/>
      <c r="K1790" s="5"/>
      <c r="L1790" s="5"/>
      <c r="M1790" s="5"/>
      <c r="N1790" s="5"/>
      <c r="O1790" s="5"/>
    </row>
    <row r="1791" spans="1:15" ht="30" customHeight="1" x14ac:dyDescent="0.3">
      <c r="A1791" s="5"/>
      <c r="B1791" s="5"/>
      <c r="C1791" s="5"/>
      <c r="D1791" s="5"/>
      <c r="E1791" s="5"/>
      <c r="F1791" s="9"/>
      <c r="G1791" s="5"/>
      <c r="H1791" s="5"/>
      <c r="I1791" s="5"/>
      <c r="J1791" s="5"/>
      <c r="K1791" s="5"/>
      <c r="L1791" s="5"/>
      <c r="M1791" s="5"/>
      <c r="N1791" s="5"/>
      <c r="O1791" s="5"/>
    </row>
    <row r="1792" spans="1:15" ht="30" customHeight="1" x14ac:dyDescent="0.3">
      <c r="A1792" s="5"/>
      <c r="B1792" s="5"/>
      <c r="C1792" s="5"/>
      <c r="D1792" s="5"/>
      <c r="E1792" s="5"/>
      <c r="F1792" s="9"/>
      <c r="G1792" s="5"/>
      <c r="H1792" s="5"/>
      <c r="I1792" s="5"/>
      <c r="J1792" s="5"/>
      <c r="K1792" s="5"/>
      <c r="L1792" s="5"/>
      <c r="M1792" s="5"/>
      <c r="N1792" s="5"/>
      <c r="O1792" s="5"/>
    </row>
    <row r="1793" spans="1:29" ht="30" customHeight="1" x14ac:dyDescent="0.3">
      <c r="A1793" s="5"/>
      <c r="B1793" s="5"/>
      <c r="C1793" s="5"/>
      <c r="D1793" s="5"/>
      <c r="E1793" s="5"/>
      <c r="F1793" s="9"/>
      <c r="G1793" s="5"/>
      <c r="H1793" s="5"/>
      <c r="I1793" s="5"/>
      <c r="J1793" s="5"/>
      <c r="K1793" s="5"/>
      <c r="L1793" s="5"/>
      <c r="M1793" s="5"/>
      <c r="N1793" s="5"/>
      <c r="O1793" s="5"/>
    </row>
    <row r="1794" spans="1:29" ht="30" customHeight="1" x14ac:dyDescent="0.3">
      <c r="A1794" s="5"/>
      <c r="B1794" s="5"/>
      <c r="C1794" s="5"/>
      <c r="D1794" s="5"/>
      <c r="E1794" s="5"/>
      <c r="F1794" s="9"/>
      <c r="G1794" s="5"/>
      <c r="H1794" s="5"/>
      <c r="I1794" s="5"/>
      <c r="J1794" s="5"/>
      <c r="K1794" s="5"/>
      <c r="L1794" s="5"/>
      <c r="M1794" s="5"/>
      <c r="N1794" s="5"/>
      <c r="O1794" s="5"/>
    </row>
    <row r="1795" spans="1:29" ht="30" customHeight="1" x14ac:dyDescent="0.3">
      <c r="A1795" s="5"/>
      <c r="B1795" s="5"/>
      <c r="C1795" s="5"/>
      <c r="D1795" s="5"/>
      <c r="E1795" s="5"/>
      <c r="F1795" s="9"/>
      <c r="G1795" s="5"/>
      <c r="H1795" s="5"/>
      <c r="I1795" s="5"/>
      <c r="J1795" s="5"/>
      <c r="K1795" s="5"/>
      <c r="L1795" s="5"/>
      <c r="M1795" s="5"/>
      <c r="N1795" s="5"/>
      <c r="O1795" s="5"/>
    </row>
    <row r="1796" spans="1:29" ht="30" customHeight="1" x14ac:dyDescent="0.3">
      <c r="A1796" s="5"/>
      <c r="B1796" s="5"/>
      <c r="C1796" s="5"/>
      <c r="D1796" s="5"/>
      <c r="E1796" s="5"/>
      <c r="F1796" s="9"/>
      <c r="G1796" s="5"/>
      <c r="H1796" s="5"/>
      <c r="I1796" s="5"/>
      <c r="J1796" s="5"/>
      <c r="K1796" s="5"/>
      <c r="L1796" s="5"/>
      <c r="M1796" s="5"/>
      <c r="N1796" s="5"/>
      <c r="O1796" s="5"/>
    </row>
    <row r="1797" spans="1:29" ht="30" customHeight="1" x14ac:dyDescent="0.3">
      <c r="A1797" s="5"/>
      <c r="B1797" s="5"/>
      <c r="C1797" s="5" t="s">
        <v>162</v>
      </c>
      <c r="D1797" s="5"/>
      <c r="E1797" s="5"/>
      <c r="F1797" s="9"/>
      <c r="G1797" s="5"/>
      <c r="H1797" s="5" t="e">
        <f>SUMIF(AC1721:AC1796, 1, H1721:H1796)</f>
        <v>#REF!</v>
      </c>
      <c r="I1797" s="5"/>
      <c r="J1797" s="5" t="e">
        <f>SUMIF(AC1721:AC1796, 1, J1721:J1796)</f>
        <v>#REF!</v>
      </c>
      <c r="K1797" s="5"/>
      <c r="L1797" s="5" t="e">
        <f>SUMIF(AC1721:AC1796, 1, L1721:L1796)</f>
        <v>#REF!</v>
      </c>
      <c r="M1797" s="5"/>
      <c r="N1797" s="5" t="e">
        <f>H1797+J1797+L1797</f>
        <v>#REF!</v>
      </c>
      <c r="O1797" s="5"/>
    </row>
    <row r="1798" spans="1:29" ht="30" customHeight="1" x14ac:dyDescent="0.3">
      <c r="A1798" s="5"/>
      <c r="B1798" s="5"/>
      <c r="C1798" s="10" t="s">
        <v>2107</v>
      </c>
      <c r="D1798" s="10"/>
      <c r="E1798" s="10"/>
      <c r="F1798" s="11"/>
      <c r="G1798" s="10"/>
      <c r="H1798" s="10"/>
      <c r="I1798" s="10"/>
      <c r="J1798" s="10"/>
      <c r="K1798" s="10"/>
      <c r="L1798" s="10"/>
      <c r="M1798" s="10"/>
      <c r="N1798" s="10"/>
      <c r="O1798" s="10"/>
    </row>
    <row r="1799" spans="1:29" ht="30" customHeight="1" x14ac:dyDescent="0.3">
      <c r="A1799" s="8" t="s">
        <v>2108</v>
      </c>
      <c r="B1799" s="8" t="s">
        <v>2109</v>
      </c>
      <c r="C1799" s="8" t="s">
        <v>864</v>
      </c>
      <c r="D1799" s="8" t="s">
        <v>2110</v>
      </c>
      <c r="E1799" s="8" t="s">
        <v>168</v>
      </c>
      <c r="F1799" s="9">
        <v>10</v>
      </c>
      <c r="G1799" s="5">
        <f>TRUNC([1]단가대비표!O111,0)</f>
        <v>1442</v>
      </c>
      <c r="H1799" s="5">
        <f t="shared" ref="H1799:H1861" si="163">TRUNC(F1799*G1799,0)</f>
        <v>14420</v>
      </c>
      <c r="I1799" s="5">
        <v>0</v>
      </c>
      <c r="J1799" s="5">
        <f t="shared" ref="J1799:J1861" si="164">TRUNC(F1799*I1799,0)</f>
        <v>0</v>
      </c>
      <c r="K1799" s="5">
        <v>0</v>
      </c>
      <c r="L1799" s="5">
        <f t="shared" ref="L1799:L1861" si="165">TRUNC(F1799*K1799,0)</f>
        <v>0</v>
      </c>
      <c r="M1799" s="5">
        <f t="shared" ref="M1799:N1830" si="166">G1799+I1799+K1799</f>
        <v>1442</v>
      </c>
      <c r="N1799" s="5">
        <f t="shared" si="166"/>
        <v>14420</v>
      </c>
      <c r="O1799" s="8" t="s">
        <v>20</v>
      </c>
      <c r="T1799">
        <v>0</v>
      </c>
      <c r="U1799">
        <v>1</v>
      </c>
      <c r="AC1799">
        <v>1</v>
      </c>
    </row>
    <row r="1800" spans="1:29" ht="30" customHeight="1" x14ac:dyDescent="0.3">
      <c r="A1800" s="8" t="s">
        <v>2108</v>
      </c>
      <c r="B1800" s="8" t="s">
        <v>2111</v>
      </c>
      <c r="C1800" s="8" t="s">
        <v>864</v>
      </c>
      <c r="D1800" s="8" t="s">
        <v>2112</v>
      </c>
      <c r="E1800" s="8" t="s">
        <v>168</v>
      </c>
      <c r="F1800" s="9">
        <v>7</v>
      </c>
      <c r="G1800" s="5">
        <f>TRUNC([1]단가대비표!O112,0)</f>
        <v>1878</v>
      </c>
      <c r="H1800" s="5">
        <f t="shared" si="163"/>
        <v>13146</v>
      </c>
      <c r="I1800" s="5">
        <v>0</v>
      </c>
      <c r="J1800" s="5">
        <f t="shared" si="164"/>
        <v>0</v>
      </c>
      <c r="K1800" s="5">
        <v>0</v>
      </c>
      <c r="L1800" s="5">
        <f t="shared" si="165"/>
        <v>0</v>
      </c>
      <c r="M1800" s="5">
        <f t="shared" si="166"/>
        <v>1878</v>
      </c>
      <c r="N1800" s="5">
        <f t="shared" si="166"/>
        <v>13146</v>
      </c>
      <c r="O1800" s="8" t="s">
        <v>20</v>
      </c>
      <c r="T1800">
        <v>0</v>
      </c>
      <c r="U1800">
        <v>1</v>
      </c>
      <c r="AC1800">
        <v>1</v>
      </c>
    </row>
    <row r="1801" spans="1:29" ht="30" customHeight="1" x14ac:dyDescent="0.3">
      <c r="A1801" s="8" t="s">
        <v>2108</v>
      </c>
      <c r="B1801" s="8" t="s">
        <v>863</v>
      </c>
      <c r="C1801" s="8" t="s">
        <v>864</v>
      </c>
      <c r="D1801" s="8" t="s">
        <v>865</v>
      </c>
      <c r="E1801" s="8" t="s">
        <v>168</v>
      </c>
      <c r="F1801" s="9">
        <v>21</v>
      </c>
      <c r="G1801" s="5">
        <f>TRUNC([1]단가대비표!O113,0)</f>
        <v>2666</v>
      </c>
      <c r="H1801" s="5">
        <f t="shared" si="163"/>
        <v>55986</v>
      </c>
      <c r="I1801" s="5">
        <v>0</v>
      </c>
      <c r="J1801" s="5">
        <f t="shared" si="164"/>
        <v>0</v>
      </c>
      <c r="K1801" s="5">
        <v>0</v>
      </c>
      <c r="L1801" s="5">
        <f t="shared" si="165"/>
        <v>0</v>
      </c>
      <c r="M1801" s="5">
        <f t="shared" si="166"/>
        <v>2666</v>
      </c>
      <c r="N1801" s="5">
        <f t="shared" si="166"/>
        <v>55986</v>
      </c>
      <c r="O1801" s="8" t="s">
        <v>20</v>
      </c>
      <c r="T1801">
        <v>0</v>
      </c>
      <c r="U1801">
        <v>1</v>
      </c>
      <c r="AC1801">
        <v>1</v>
      </c>
    </row>
    <row r="1802" spans="1:29" ht="30" customHeight="1" x14ac:dyDescent="0.3">
      <c r="A1802" s="8" t="s">
        <v>2108</v>
      </c>
      <c r="B1802" s="8" t="s">
        <v>866</v>
      </c>
      <c r="C1802" s="8" t="s">
        <v>864</v>
      </c>
      <c r="D1802" s="8" t="s">
        <v>867</v>
      </c>
      <c r="E1802" s="8" t="s">
        <v>168</v>
      </c>
      <c r="F1802" s="9">
        <v>21</v>
      </c>
      <c r="G1802" s="5">
        <f>TRUNC([1]단가대비표!O114,0)</f>
        <v>5296</v>
      </c>
      <c r="H1802" s="5">
        <f t="shared" si="163"/>
        <v>111216</v>
      </c>
      <c r="I1802" s="5">
        <v>0</v>
      </c>
      <c r="J1802" s="5">
        <f t="shared" si="164"/>
        <v>0</v>
      </c>
      <c r="K1802" s="5">
        <v>0</v>
      </c>
      <c r="L1802" s="5">
        <f t="shared" si="165"/>
        <v>0</v>
      </c>
      <c r="M1802" s="5">
        <f t="shared" si="166"/>
        <v>5296</v>
      </c>
      <c r="N1802" s="5">
        <f t="shared" si="166"/>
        <v>111216</v>
      </c>
      <c r="O1802" s="8" t="s">
        <v>20</v>
      </c>
      <c r="T1802">
        <v>0</v>
      </c>
      <c r="U1802">
        <v>1</v>
      </c>
      <c r="AC1802">
        <v>1</v>
      </c>
    </row>
    <row r="1803" spans="1:29" ht="30" customHeight="1" x14ac:dyDescent="0.3">
      <c r="A1803" s="8" t="s">
        <v>2108</v>
      </c>
      <c r="B1803" s="8" t="s">
        <v>868</v>
      </c>
      <c r="C1803" s="8" t="s">
        <v>864</v>
      </c>
      <c r="D1803" s="8" t="s">
        <v>869</v>
      </c>
      <c r="E1803" s="8" t="s">
        <v>168</v>
      </c>
      <c r="F1803" s="9">
        <v>54</v>
      </c>
      <c r="G1803" s="5">
        <f>TRUNC([1]단가대비표!O115,0)</f>
        <v>8068</v>
      </c>
      <c r="H1803" s="5">
        <f t="shared" si="163"/>
        <v>435672</v>
      </c>
      <c r="I1803" s="5">
        <v>0</v>
      </c>
      <c r="J1803" s="5">
        <f t="shared" si="164"/>
        <v>0</v>
      </c>
      <c r="K1803" s="5">
        <v>0</v>
      </c>
      <c r="L1803" s="5">
        <f t="shared" si="165"/>
        <v>0</v>
      </c>
      <c r="M1803" s="5">
        <f t="shared" si="166"/>
        <v>8068</v>
      </c>
      <c r="N1803" s="5">
        <f t="shared" si="166"/>
        <v>435672</v>
      </c>
      <c r="O1803" s="8" t="s">
        <v>20</v>
      </c>
      <c r="T1803">
        <v>0</v>
      </c>
      <c r="U1803">
        <v>1</v>
      </c>
      <c r="AC1803">
        <v>1</v>
      </c>
    </row>
    <row r="1804" spans="1:29" ht="30" customHeight="1" x14ac:dyDescent="0.3">
      <c r="A1804" s="8" t="s">
        <v>2108</v>
      </c>
      <c r="B1804" s="8" t="s">
        <v>2113</v>
      </c>
      <c r="C1804" s="8" t="s">
        <v>864</v>
      </c>
      <c r="D1804" s="8" t="s">
        <v>2114</v>
      </c>
      <c r="E1804" s="8" t="s">
        <v>168</v>
      </c>
      <c r="F1804" s="9">
        <v>15</v>
      </c>
      <c r="G1804" s="5">
        <f>TRUNC([1]단가대비표!O116,0)</f>
        <v>10738</v>
      </c>
      <c r="H1804" s="5">
        <f t="shared" si="163"/>
        <v>161070</v>
      </c>
      <c r="I1804" s="5">
        <v>0</v>
      </c>
      <c r="J1804" s="5">
        <f t="shared" si="164"/>
        <v>0</v>
      </c>
      <c r="K1804" s="5">
        <v>0</v>
      </c>
      <c r="L1804" s="5">
        <f t="shared" si="165"/>
        <v>0</v>
      </c>
      <c r="M1804" s="5">
        <f t="shared" si="166"/>
        <v>10738</v>
      </c>
      <c r="N1804" s="5">
        <f t="shared" si="166"/>
        <v>161070</v>
      </c>
      <c r="O1804" s="8" t="s">
        <v>20</v>
      </c>
      <c r="T1804">
        <v>0</v>
      </c>
      <c r="U1804">
        <v>1</v>
      </c>
      <c r="AC1804">
        <v>1</v>
      </c>
    </row>
    <row r="1805" spans="1:29" ht="30" customHeight="1" x14ac:dyDescent="0.3">
      <c r="A1805" s="8" t="s">
        <v>2108</v>
      </c>
      <c r="B1805" s="8" t="s">
        <v>2115</v>
      </c>
      <c r="C1805" s="8" t="s">
        <v>864</v>
      </c>
      <c r="D1805" s="8" t="s">
        <v>2116</v>
      </c>
      <c r="E1805" s="8" t="s">
        <v>168</v>
      </c>
      <c r="F1805" s="9">
        <v>27</v>
      </c>
      <c r="G1805" s="5">
        <f>TRUNC([1]단가대비표!O129,0)</f>
        <v>2802</v>
      </c>
      <c r="H1805" s="5">
        <f t="shared" si="163"/>
        <v>75654</v>
      </c>
      <c r="I1805" s="5">
        <v>0</v>
      </c>
      <c r="J1805" s="5">
        <f t="shared" si="164"/>
        <v>0</v>
      </c>
      <c r="K1805" s="5">
        <v>0</v>
      </c>
      <c r="L1805" s="5">
        <f t="shared" si="165"/>
        <v>0</v>
      </c>
      <c r="M1805" s="5">
        <f t="shared" si="166"/>
        <v>2802</v>
      </c>
      <c r="N1805" s="5">
        <f t="shared" si="166"/>
        <v>75654</v>
      </c>
      <c r="O1805" s="8" t="s">
        <v>20</v>
      </c>
      <c r="T1805">
        <v>0</v>
      </c>
      <c r="U1805">
        <v>1</v>
      </c>
      <c r="AC1805">
        <v>1</v>
      </c>
    </row>
    <row r="1806" spans="1:29" ht="30" customHeight="1" x14ac:dyDescent="0.3">
      <c r="A1806" s="8" t="s">
        <v>2108</v>
      </c>
      <c r="B1806" s="8" t="s">
        <v>888</v>
      </c>
      <c r="C1806" s="8" t="s">
        <v>864</v>
      </c>
      <c r="D1806" s="8" t="s">
        <v>889</v>
      </c>
      <c r="E1806" s="8" t="s">
        <v>168</v>
      </c>
      <c r="F1806" s="9">
        <v>80</v>
      </c>
      <c r="G1806" s="5">
        <f>TRUNC([1]단가대비표!O128,0)</f>
        <v>1240</v>
      </c>
      <c r="H1806" s="5">
        <f t="shared" si="163"/>
        <v>99200</v>
      </c>
      <c r="I1806" s="5">
        <v>0</v>
      </c>
      <c r="J1806" s="5">
        <f t="shared" si="164"/>
        <v>0</v>
      </c>
      <c r="K1806" s="5">
        <v>0</v>
      </c>
      <c r="L1806" s="5">
        <f t="shared" si="165"/>
        <v>0</v>
      </c>
      <c r="M1806" s="5">
        <f t="shared" si="166"/>
        <v>1240</v>
      </c>
      <c r="N1806" s="5">
        <f t="shared" si="166"/>
        <v>99200</v>
      </c>
      <c r="O1806" s="8" t="s">
        <v>20</v>
      </c>
      <c r="T1806">
        <v>0</v>
      </c>
      <c r="U1806">
        <v>1</v>
      </c>
      <c r="AC1806">
        <v>1</v>
      </c>
    </row>
    <row r="1807" spans="1:29" ht="30" customHeight="1" x14ac:dyDescent="0.3">
      <c r="A1807" s="8" t="s">
        <v>2108</v>
      </c>
      <c r="B1807" s="8" t="s">
        <v>173</v>
      </c>
      <c r="C1807" s="8" t="s">
        <v>174</v>
      </c>
      <c r="D1807" s="8" t="s">
        <v>175</v>
      </c>
      <c r="E1807" s="8" t="s">
        <v>161</v>
      </c>
      <c r="F1807" s="9">
        <v>1</v>
      </c>
      <c r="G1807" s="5">
        <f>ROUNDDOWN(SUMIF(U1799:U1861, RIGHTB(B1807, 1), H1799:H1861)*T1807, 0)</f>
        <v>28990</v>
      </c>
      <c r="H1807" s="5">
        <f t="shared" si="163"/>
        <v>28990</v>
      </c>
      <c r="I1807" s="5">
        <v>0</v>
      </c>
      <c r="J1807" s="5">
        <f t="shared" si="164"/>
        <v>0</v>
      </c>
      <c r="K1807" s="5">
        <v>0</v>
      </c>
      <c r="L1807" s="5">
        <f t="shared" si="165"/>
        <v>0</v>
      </c>
      <c r="M1807" s="5">
        <f t="shared" si="166"/>
        <v>28990</v>
      </c>
      <c r="N1807" s="5">
        <f t="shared" si="166"/>
        <v>28990</v>
      </c>
      <c r="O1807" s="8" t="s">
        <v>20</v>
      </c>
      <c r="P1807">
        <v>1807</v>
      </c>
      <c r="R1807">
        <v>0</v>
      </c>
      <c r="S1807">
        <v>0</v>
      </c>
      <c r="T1807">
        <v>0.03</v>
      </c>
      <c r="AC1807">
        <v>1</v>
      </c>
    </row>
    <row r="1808" spans="1:29" ht="30" customHeight="1" x14ac:dyDescent="0.3">
      <c r="A1808" s="8" t="s">
        <v>2108</v>
      </c>
      <c r="B1808" s="8" t="s">
        <v>892</v>
      </c>
      <c r="C1808" s="8" t="s">
        <v>893</v>
      </c>
      <c r="D1808" s="8" t="s">
        <v>894</v>
      </c>
      <c r="E1808" s="8" t="s">
        <v>895</v>
      </c>
      <c r="F1808" s="9">
        <v>10</v>
      </c>
      <c r="G1808" s="5">
        <f>TRUNC([1]단가대비표!O693,0)</f>
        <v>463</v>
      </c>
      <c r="H1808" s="5">
        <f t="shared" si="163"/>
        <v>4630</v>
      </c>
      <c r="I1808" s="5">
        <v>6141</v>
      </c>
      <c r="J1808" s="5">
        <f t="shared" si="164"/>
        <v>61410</v>
      </c>
      <c r="K1808" s="5">
        <v>0</v>
      </c>
      <c r="L1808" s="5">
        <f t="shared" si="165"/>
        <v>0</v>
      </c>
      <c r="M1808" s="5">
        <f t="shared" si="166"/>
        <v>6604</v>
      </c>
      <c r="N1808" s="5">
        <f t="shared" si="166"/>
        <v>66040</v>
      </c>
      <c r="O1808" s="8" t="s">
        <v>429</v>
      </c>
      <c r="T1808">
        <v>0</v>
      </c>
      <c r="AC1808">
        <v>1</v>
      </c>
    </row>
    <row r="1809" spans="1:29" ht="30" customHeight="1" x14ac:dyDescent="0.3">
      <c r="A1809" s="8" t="s">
        <v>2108</v>
      </c>
      <c r="B1809" s="8" t="s">
        <v>896</v>
      </c>
      <c r="C1809" s="8" t="s">
        <v>893</v>
      </c>
      <c r="D1809" s="8" t="s">
        <v>897</v>
      </c>
      <c r="E1809" s="8" t="s">
        <v>895</v>
      </c>
      <c r="F1809" s="9">
        <v>7</v>
      </c>
      <c r="G1809" s="5">
        <f>TRUNC([1]단가대비표!O694,0)</f>
        <v>496</v>
      </c>
      <c r="H1809" s="5">
        <f t="shared" si="163"/>
        <v>3472</v>
      </c>
      <c r="I1809" s="5">
        <v>6581</v>
      </c>
      <c r="J1809" s="5">
        <f t="shared" si="164"/>
        <v>46067</v>
      </c>
      <c r="K1809" s="5">
        <v>0</v>
      </c>
      <c r="L1809" s="5">
        <f t="shared" si="165"/>
        <v>0</v>
      </c>
      <c r="M1809" s="5">
        <f t="shared" si="166"/>
        <v>7077</v>
      </c>
      <c r="N1809" s="5">
        <f t="shared" si="166"/>
        <v>49539</v>
      </c>
      <c r="O1809" s="8" t="s">
        <v>429</v>
      </c>
      <c r="T1809">
        <v>0</v>
      </c>
      <c r="AC1809">
        <v>1</v>
      </c>
    </row>
    <row r="1810" spans="1:29" ht="30" customHeight="1" x14ac:dyDescent="0.3">
      <c r="A1810" s="8" t="s">
        <v>2108</v>
      </c>
      <c r="B1810" s="8" t="s">
        <v>898</v>
      </c>
      <c r="C1810" s="8" t="s">
        <v>893</v>
      </c>
      <c r="D1810" s="8" t="s">
        <v>899</v>
      </c>
      <c r="E1810" s="8" t="s">
        <v>895</v>
      </c>
      <c r="F1810" s="9">
        <v>101</v>
      </c>
      <c r="G1810" s="5">
        <f>TRUNC([1]단가대비표!O695,0)</f>
        <v>575</v>
      </c>
      <c r="H1810" s="5">
        <f t="shared" si="163"/>
        <v>58075</v>
      </c>
      <c r="I1810" s="5">
        <v>7631</v>
      </c>
      <c r="J1810" s="5">
        <f t="shared" si="164"/>
        <v>770731</v>
      </c>
      <c r="K1810" s="5">
        <v>0</v>
      </c>
      <c r="L1810" s="5">
        <f t="shared" si="165"/>
        <v>0</v>
      </c>
      <c r="M1810" s="5">
        <f t="shared" si="166"/>
        <v>8206</v>
      </c>
      <c r="N1810" s="5">
        <f t="shared" si="166"/>
        <v>828806</v>
      </c>
      <c r="O1810" s="8" t="s">
        <v>429</v>
      </c>
      <c r="T1810">
        <v>0</v>
      </c>
      <c r="AC1810">
        <v>1</v>
      </c>
    </row>
    <row r="1811" spans="1:29" ht="30" customHeight="1" x14ac:dyDescent="0.3">
      <c r="A1811" s="8" t="s">
        <v>2108</v>
      </c>
      <c r="B1811" s="8" t="s">
        <v>900</v>
      </c>
      <c r="C1811" s="8" t="s">
        <v>893</v>
      </c>
      <c r="D1811" s="8" t="s">
        <v>901</v>
      </c>
      <c r="E1811" s="8" t="s">
        <v>895</v>
      </c>
      <c r="F1811" s="9">
        <v>48</v>
      </c>
      <c r="G1811" s="5">
        <f>TRUNC([1]단가대비표!O696,0)</f>
        <v>829</v>
      </c>
      <c r="H1811" s="5">
        <f t="shared" si="163"/>
        <v>39792</v>
      </c>
      <c r="I1811" s="5">
        <v>11004</v>
      </c>
      <c r="J1811" s="5">
        <f t="shared" si="164"/>
        <v>528192</v>
      </c>
      <c r="K1811" s="5">
        <v>0</v>
      </c>
      <c r="L1811" s="5">
        <f t="shared" si="165"/>
        <v>0</v>
      </c>
      <c r="M1811" s="5">
        <f t="shared" si="166"/>
        <v>11833</v>
      </c>
      <c r="N1811" s="5">
        <f t="shared" si="166"/>
        <v>567984</v>
      </c>
      <c r="O1811" s="8" t="s">
        <v>429</v>
      </c>
      <c r="T1811">
        <v>0</v>
      </c>
      <c r="AC1811">
        <v>1</v>
      </c>
    </row>
    <row r="1812" spans="1:29" ht="30" customHeight="1" x14ac:dyDescent="0.3">
      <c r="A1812" s="8" t="s">
        <v>2108</v>
      </c>
      <c r="B1812" s="8" t="s">
        <v>902</v>
      </c>
      <c r="C1812" s="8" t="s">
        <v>893</v>
      </c>
      <c r="D1812" s="8" t="s">
        <v>903</v>
      </c>
      <c r="E1812" s="8" t="s">
        <v>895</v>
      </c>
      <c r="F1812" s="9">
        <v>54</v>
      </c>
      <c r="G1812" s="5">
        <f>TRUNC([1]단가대비표!O697,0)</f>
        <v>1083</v>
      </c>
      <c r="H1812" s="5">
        <f t="shared" si="163"/>
        <v>58482</v>
      </c>
      <c r="I1812" s="5">
        <v>14376</v>
      </c>
      <c r="J1812" s="5">
        <f t="shared" si="164"/>
        <v>776304</v>
      </c>
      <c r="K1812" s="5">
        <v>0</v>
      </c>
      <c r="L1812" s="5">
        <f t="shared" si="165"/>
        <v>0</v>
      </c>
      <c r="M1812" s="5">
        <f t="shared" si="166"/>
        <v>15459</v>
      </c>
      <c r="N1812" s="5">
        <f t="shared" si="166"/>
        <v>834786</v>
      </c>
      <c r="O1812" s="8" t="s">
        <v>429</v>
      </c>
      <c r="T1812">
        <v>0</v>
      </c>
      <c r="AC1812">
        <v>1</v>
      </c>
    </row>
    <row r="1813" spans="1:29" ht="30" customHeight="1" x14ac:dyDescent="0.3">
      <c r="A1813" s="8" t="s">
        <v>2108</v>
      </c>
      <c r="B1813" s="8" t="s">
        <v>904</v>
      </c>
      <c r="C1813" s="8" t="s">
        <v>893</v>
      </c>
      <c r="D1813" s="8" t="s">
        <v>905</v>
      </c>
      <c r="E1813" s="8" t="s">
        <v>895</v>
      </c>
      <c r="F1813" s="9">
        <v>15</v>
      </c>
      <c r="G1813" s="5">
        <f>TRUNC([1]단가대비표!O698,0)</f>
        <v>1279</v>
      </c>
      <c r="H1813" s="5">
        <f t="shared" si="163"/>
        <v>19185</v>
      </c>
      <c r="I1813" s="5">
        <v>16982</v>
      </c>
      <c r="J1813" s="5">
        <f t="shared" si="164"/>
        <v>254730</v>
      </c>
      <c r="K1813" s="5">
        <v>0</v>
      </c>
      <c r="L1813" s="5">
        <f t="shared" si="165"/>
        <v>0</v>
      </c>
      <c r="M1813" s="5">
        <f t="shared" si="166"/>
        <v>18261</v>
      </c>
      <c r="N1813" s="5">
        <f t="shared" si="166"/>
        <v>273915</v>
      </c>
      <c r="O1813" s="8" t="s">
        <v>429</v>
      </c>
      <c r="T1813">
        <v>0</v>
      </c>
      <c r="AC1813">
        <v>1</v>
      </c>
    </row>
    <row r="1814" spans="1:29" ht="30" customHeight="1" x14ac:dyDescent="0.3">
      <c r="A1814" s="8" t="s">
        <v>2108</v>
      </c>
      <c r="B1814" s="8" t="s">
        <v>911</v>
      </c>
      <c r="C1814" s="8" t="s">
        <v>912</v>
      </c>
      <c r="D1814" s="8" t="s">
        <v>346</v>
      </c>
      <c r="E1814" s="8" t="s">
        <v>179</v>
      </c>
      <c r="F1814" s="9">
        <v>3</v>
      </c>
      <c r="G1814" s="5">
        <f>TRUNC([1]단가대비표!O145,0)</f>
        <v>15800</v>
      </c>
      <c r="H1814" s="5">
        <f t="shared" si="163"/>
        <v>47400</v>
      </c>
      <c r="I1814" s="5">
        <v>0</v>
      </c>
      <c r="J1814" s="5">
        <f t="shared" si="164"/>
        <v>0</v>
      </c>
      <c r="K1814" s="5">
        <v>0</v>
      </c>
      <c r="L1814" s="5">
        <f t="shared" si="165"/>
        <v>0</v>
      </c>
      <c r="M1814" s="5">
        <f t="shared" si="166"/>
        <v>15800</v>
      </c>
      <c r="N1814" s="5">
        <f t="shared" si="166"/>
        <v>47400</v>
      </c>
      <c r="O1814" s="8" t="s">
        <v>20</v>
      </c>
      <c r="T1814">
        <v>0</v>
      </c>
      <c r="AC1814">
        <v>1</v>
      </c>
    </row>
    <row r="1815" spans="1:29" ht="30" customHeight="1" x14ac:dyDescent="0.3">
      <c r="A1815" s="8" t="s">
        <v>2108</v>
      </c>
      <c r="B1815" s="8" t="s">
        <v>2117</v>
      </c>
      <c r="C1815" s="8" t="s">
        <v>694</v>
      </c>
      <c r="D1815" s="8" t="s">
        <v>2118</v>
      </c>
      <c r="E1815" s="8" t="s">
        <v>179</v>
      </c>
      <c r="F1815" s="9">
        <v>6</v>
      </c>
      <c r="G1815" s="5">
        <f>TRUNC([1]단가대비표!O302,0)</f>
        <v>390</v>
      </c>
      <c r="H1815" s="5">
        <f t="shared" si="163"/>
        <v>2340</v>
      </c>
      <c r="I1815" s="5">
        <v>0</v>
      </c>
      <c r="J1815" s="5">
        <f t="shared" si="164"/>
        <v>0</v>
      </c>
      <c r="K1815" s="5">
        <v>0</v>
      </c>
      <c r="L1815" s="5">
        <f t="shared" si="165"/>
        <v>0</v>
      </c>
      <c r="M1815" s="5">
        <f t="shared" si="166"/>
        <v>390</v>
      </c>
      <c r="N1815" s="5">
        <f t="shared" si="166"/>
        <v>2340</v>
      </c>
      <c r="O1815" s="8" t="s">
        <v>20</v>
      </c>
      <c r="T1815">
        <v>0</v>
      </c>
      <c r="AC1815">
        <v>1</v>
      </c>
    </row>
    <row r="1816" spans="1:29" ht="30" customHeight="1" x14ac:dyDescent="0.3">
      <c r="A1816" s="8" t="s">
        <v>2108</v>
      </c>
      <c r="B1816" s="8" t="s">
        <v>915</v>
      </c>
      <c r="C1816" s="8" t="s">
        <v>694</v>
      </c>
      <c r="D1816" s="8" t="s">
        <v>916</v>
      </c>
      <c r="E1816" s="8" t="s">
        <v>179</v>
      </c>
      <c r="F1816" s="9">
        <v>12</v>
      </c>
      <c r="G1816" s="5">
        <f>TRUNC([1]단가대비표!O303,0)</f>
        <v>420</v>
      </c>
      <c r="H1816" s="5">
        <f t="shared" si="163"/>
        <v>5040</v>
      </c>
      <c r="I1816" s="5">
        <v>0</v>
      </c>
      <c r="J1816" s="5">
        <f t="shared" si="164"/>
        <v>0</v>
      </c>
      <c r="K1816" s="5">
        <v>0</v>
      </c>
      <c r="L1816" s="5">
        <f t="shared" si="165"/>
        <v>0</v>
      </c>
      <c r="M1816" s="5">
        <f t="shared" si="166"/>
        <v>420</v>
      </c>
      <c r="N1816" s="5">
        <f t="shared" si="166"/>
        <v>5040</v>
      </c>
      <c r="O1816" s="8" t="s">
        <v>20</v>
      </c>
      <c r="T1816">
        <v>0</v>
      </c>
      <c r="AC1816">
        <v>1</v>
      </c>
    </row>
    <row r="1817" spans="1:29" ht="30" customHeight="1" x14ac:dyDescent="0.3">
      <c r="A1817" s="8" t="s">
        <v>2108</v>
      </c>
      <c r="B1817" s="8" t="s">
        <v>1215</v>
      </c>
      <c r="C1817" s="8" t="s">
        <v>694</v>
      </c>
      <c r="D1817" s="8" t="s">
        <v>1216</v>
      </c>
      <c r="E1817" s="8" t="s">
        <v>179</v>
      </c>
      <c r="F1817" s="9">
        <v>9</v>
      </c>
      <c r="G1817" s="5">
        <f>TRUNC([1]단가대비표!O304,0)</f>
        <v>2090</v>
      </c>
      <c r="H1817" s="5">
        <f t="shared" si="163"/>
        <v>18810</v>
      </c>
      <c r="I1817" s="5">
        <v>0</v>
      </c>
      <c r="J1817" s="5">
        <f t="shared" si="164"/>
        <v>0</v>
      </c>
      <c r="K1817" s="5">
        <v>0</v>
      </c>
      <c r="L1817" s="5">
        <f t="shared" si="165"/>
        <v>0</v>
      </c>
      <c r="M1817" s="5">
        <f t="shared" si="166"/>
        <v>2090</v>
      </c>
      <c r="N1817" s="5">
        <f t="shared" si="166"/>
        <v>18810</v>
      </c>
      <c r="O1817" s="8" t="s">
        <v>20</v>
      </c>
      <c r="T1817">
        <v>0</v>
      </c>
      <c r="AC1817">
        <v>1</v>
      </c>
    </row>
    <row r="1818" spans="1:29" ht="30" customHeight="1" x14ac:dyDescent="0.3">
      <c r="A1818" s="8" t="s">
        <v>2108</v>
      </c>
      <c r="B1818" s="8" t="s">
        <v>2119</v>
      </c>
      <c r="C1818" s="8" t="s">
        <v>694</v>
      </c>
      <c r="D1818" s="8" t="s">
        <v>2120</v>
      </c>
      <c r="E1818" s="8" t="s">
        <v>179</v>
      </c>
      <c r="F1818" s="9">
        <v>21</v>
      </c>
      <c r="G1818" s="5">
        <f>TRUNC([1]단가대비표!O306,0)</f>
        <v>530</v>
      </c>
      <c r="H1818" s="5">
        <f t="shared" si="163"/>
        <v>11130</v>
      </c>
      <c r="I1818" s="5">
        <v>0</v>
      </c>
      <c r="J1818" s="5">
        <f t="shared" si="164"/>
        <v>0</v>
      </c>
      <c r="K1818" s="5">
        <v>0</v>
      </c>
      <c r="L1818" s="5">
        <f t="shared" si="165"/>
        <v>0</v>
      </c>
      <c r="M1818" s="5">
        <f t="shared" si="166"/>
        <v>530</v>
      </c>
      <c r="N1818" s="5">
        <f t="shared" si="166"/>
        <v>11130</v>
      </c>
      <c r="O1818" s="8" t="s">
        <v>20</v>
      </c>
      <c r="T1818">
        <v>0</v>
      </c>
      <c r="AC1818">
        <v>1</v>
      </c>
    </row>
    <row r="1819" spans="1:29" ht="30" customHeight="1" x14ac:dyDescent="0.3">
      <c r="A1819" s="8" t="s">
        <v>2108</v>
      </c>
      <c r="B1819" s="8" t="s">
        <v>919</v>
      </c>
      <c r="C1819" s="8" t="s">
        <v>694</v>
      </c>
      <c r="D1819" s="8" t="s">
        <v>920</v>
      </c>
      <c r="E1819" s="8" t="s">
        <v>179</v>
      </c>
      <c r="F1819" s="9">
        <v>11</v>
      </c>
      <c r="G1819" s="5">
        <f>TRUNC([1]단가대비표!O307,0)</f>
        <v>860</v>
      </c>
      <c r="H1819" s="5">
        <f t="shared" si="163"/>
        <v>9460</v>
      </c>
      <c r="I1819" s="5">
        <v>0</v>
      </c>
      <c r="J1819" s="5">
        <f t="shared" si="164"/>
        <v>0</v>
      </c>
      <c r="K1819" s="5">
        <v>0</v>
      </c>
      <c r="L1819" s="5">
        <f t="shared" si="165"/>
        <v>0</v>
      </c>
      <c r="M1819" s="5">
        <f t="shared" si="166"/>
        <v>860</v>
      </c>
      <c r="N1819" s="5">
        <f t="shared" si="166"/>
        <v>9460</v>
      </c>
      <c r="O1819" s="8" t="s">
        <v>20</v>
      </c>
      <c r="T1819">
        <v>0</v>
      </c>
      <c r="AC1819">
        <v>1</v>
      </c>
    </row>
    <row r="1820" spans="1:29" ht="30" customHeight="1" x14ac:dyDescent="0.3">
      <c r="A1820" s="8" t="s">
        <v>2108</v>
      </c>
      <c r="B1820" s="8" t="s">
        <v>921</v>
      </c>
      <c r="C1820" s="8" t="s">
        <v>694</v>
      </c>
      <c r="D1820" s="8" t="s">
        <v>922</v>
      </c>
      <c r="E1820" s="8" t="s">
        <v>179</v>
      </c>
      <c r="F1820" s="9">
        <v>22</v>
      </c>
      <c r="G1820" s="5">
        <f>TRUNC([1]단가대비표!O308,0)</f>
        <v>1620</v>
      </c>
      <c r="H1820" s="5">
        <f t="shared" si="163"/>
        <v>35640</v>
      </c>
      <c r="I1820" s="5">
        <v>0</v>
      </c>
      <c r="J1820" s="5">
        <f t="shared" si="164"/>
        <v>0</v>
      </c>
      <c r="K1820" s="5">
        <v>0</v>
      </c>
      <c r="L1820" s="5">
        <f t="shared" si="165"/>
        <v>0</v>
      </c>
      <c r="M1820" s="5">
        <f t="shared" si="166"/>
        <v>1620</v>
      </c>
      <c r="N1820" s="5">
        <f t="shared" si="166"/>
        <v>35640</v>
      </c>
      <c r="O1820" s="8" t="s">
        <v>20</v>
      </c>
      <c r="T1820">
        <v>0</v>
      </c>
      <c r="AC1820">
        <v>1</v>
      </c>
    </row>
    <row r="1821" spans="1:29" ht="30" customHeight="1" x14ac:dyDescent="0.3">
      <c r="A1821" s="8" t="s">
        <v>2108</v>
      </c>
      <c r="B1821" s="8" t="s">
        <v>2121</v>
      </c>
      <c r="C1821" s="8" t="s">
        <v>694</v>
      </c>
      <c r="D1821" s="8" t="s">
        <v>2122</v>
      </c>
      <c r="E1821" s="8" t="s">
        <v>179</v>
      </c>
      <c r="F1821" s="9">
        <v>2</v>
      </c>
      <c r="G1821" s="5">
        <f>TRUNC([1]단가대비표!O309,0)</f>
        <v>2640</v>
      </c>
      <c r="H1821" s="5">
        <f t="shared" si="163"/>
        <v>5280</v>
      </c>
      <c r="I1821" s="5">
        <v>0</v>
      </c>
      <c r="J1821" s="5">
        <f t="shared" si="164"/>
        <v>0</v>
      </c>
      <c r="K1821" s="5">
        <v>0</v>
      </c>
      <c r="L1821" s="5">
        <f t="shared" si="165"/>
        <v>0</v>
      </c>
      <c r="M1821" s="5">
        <f t="shared" si="166"/>
        <v>2640</v>
      </c>
      <c r="N1821" s="5">
        <f t="shared" si="166"/>
        <v>5280</v>
      </c>
      <c r="O1821" s="8" t="s">
        <v>20</v>
      </c>
      <c r="T1821">
        <v>0</v>
      </c>
      <c r="AC1821">
        <v>1</v>
      </c>
    </row>
    <row r="1822" spans="1:29" ht="30" customHeight="1" x14ac:dyDescent="0.3">
      <c r="A1822" s="8" t="s">
        <v>2108</v>
      </c>
      <c r="B1822" s="8" t="s">
        <v>927</v>
      </c>
      <c r="C1822" s="8" t="s">
        <v>694</v>
      </c>
      <c r="D1822" s="8" t="s">
        <v>928</v>
      </c>
      <c r="E1822" s="8" t="s">
        <v>179</v>
      </c>
      <c r="F1822" s="9">
        <v>3</v>
      </c>
      <c r="G1822" s="5">
        <f>TRUNC([1]단가대비표!O312,0)</f>
        <v>1110</v>
      </c>
      <c r="H1822" s="5">
        <f t="shared" si="163"/>
        <v>3330</v>
      </c>
      <c r="I1822" s="5">
        <v>0</v>
      </c>
      <c r="J1822" s="5">
        <f t="shared" si="164"/>
        <v>0</v>
      </c>
      <c r="K1822" s="5">
        <v>0</v>
      </c>
      <c r="L1822" s="5">
        <f t="shared" si="165"/>
        <v>0</v>
      </c>
      <c r="M1822" s="5">
        <f t="shared" si="166"/>
        <v>1110</v>
      </c>
      <c r="N1822" s="5">
        <f t="shared" si="166"/>
        <v>3330</v>
      </c>
      <c r="O1822" s="8" t="s">
        <v>20</v>
      </c>
      <c r="T1822">
        <v>0</v>
      </c>
      <c r="AC1822">
        <v>1</v>
      </c>
    </row>
    <row r="1823" spans="1:29" ht="30" customHeight="1" x14ac:dyDescent="0.3">
      <c r="A1823" s="8" t="s">
        <v>2108</v>
      </c>
      <c r="B1823" s="8" t="s">
        <v>2123</v>
      </c>
      <c r="C1823" s="8" t="s">
        <v>694</v>
      </c>
      <c r="D1823" s="8" t="s">
        <v>2124</v>
      </c>
      <c r="E1823" s="8" t="s">
        <v>179</v>
      </c>
      <c r="F1823" s="9">
        <v>3</v>
      </c>
      <c r="G1823" s="5">
        <f>TRUNC([1]단가대비표!O313,0)</f>
        <v>1920</v>
      </c>
      <c r="H1823" s="5">
        <f t="shared" si="163"/>
        <v>5760</v>
      </c>
      <c r="I1823" s="5">
        <v>0</v>
      </c>
      <c r="J1823" s="5">
        <f t="shared" si="164"/>
        <v>0</v>
      </c>
      <c r="K1823" s="5">
        <v>0</v>
      </c>
      <c r="L1823" s="5">
        <f t="shared" si="165"/>
        <v>0</v>
      </c>
      <c r="M1823" s="5">
        <f t="shared" si="166"/>
        <v>1920</v>
      </c>
      <c r="N1823" s="5">
        <f t="shared" si="166"/>
        <v>5760</v>
      </c>
      <c r="O1823" s="8" t="s">
        <v>20</v>
      </c>
      <c r="T1823">
        <v>0</v>
      </c>
      <c r="AC1823">
        <v>1</v>
      </c>
    </row>
    <row r="1824" spans="1:29" ht="30" customHeight="1" x14ac:dyDescent="0.3">
      <c r="A1824" s="8" t="s">
        <v>2108</v>
      </c>
      <c r="B1824" s="8" t="s">
        <v>2125</v>
      </c>
      <c r="C1824" s="8" t="s">
        <v>694</v>
      </c>
      <c r="D1824" s="8" t="s">
        <v>2126</v>
      </c>
      <c r="E1824" s="8" t="s">
        <v>179</v>
      </c>
      <c r="F1824" s="9">
        <v>6</v>
      </c>
      <c r="G1824" s="5">
        <f>TRUNC([1]단가대비표!O316,0)</f>
        <v>420</v>
      </c>
      <c r="H1824" s="5">
        <f t="shared" si="163"/>
        <v>2520</v>
      </c>
      <c r="I1824" s="5">
        <v>0</v>
      </c>
      <c r="J1824" s="5">
        <f t="shared" si="164"/>
        <v>0</v>
      </c>
      <c r="K1824" s="5">
        <v>0</v>
      </c>
      <c r="L1824" s="5">
        <f t="shared" si="165"/>
        <v>0</v>
      </c>
      <c r="M1824" s="5">
        <f t="shared" si="166"/>
        <v>420</v>
      </c>
      <c r="N1824" s="5">
        <f t="shared" si="166"/>
        <v>2520</v>
      </c>
      <c r="O1824" s="8" t="s">
        <v>20</v>
      </c>
      <c r="T1824">
        <v>0</v>
      </c>
      <c r="AC1824">
        <v>1</v>
      </c>
    </row>
    <row r="1825" spans="1:29" ht="30" customHeight="1" x14ac:dyDescent="0.3">
      <c r="A1825" s="8" t="s">
        <v>2108</v>
      </c>
      <c r="B1825" s="8" t="s">
        <v>2127</v>
      </c>
      <c r="C1825" s="8" t="s">
        <v>694</v>
      </c>
      <c r="D1825" s="8" t="s">
        <v>2128</v>
      </c>
      <c r="E1825" s="8" t="s">
        <v>179</v>
      </c>
      <c r="F1825" s="9">
        <v>6</v>
      </c>
      <c r="G1825" s="5">
        <f>TRUNC([1]단가대비표!O317,0)</f>
        <v>420</v>
      </c>
      <c r="H1825" s="5">
        <f t="shared" si="163"/>
        <v>2520</v>
      </c>
      <c r="I1825" s="5">
        <v>0</v>
      </c>
      <c r="J1825" s="5">
        <f t="shared" si="164"/>
        <v>0</v>
      </c>
      <c r="K1825" s="5">
        <v>0</v>
      </c>
      <c r="L1825" s="5">
        <f t="shared" si="165"/>
        <v>0</v>
      </c>
      <c r="M1825" s="5">
        <f t="shared" si="166"/>
        <v>420</v>
      </c>
      <c r="N1825" s="5">
        <f t="shared" si="166"/>
        <v>2520</v>
      </c>
      <c r="O1825" s="8" t="s">
        <v>20</v>
      </c>
      <c r="T1825">
        <v>0</v>
      </c>
      <c r="AC1825">
        <v>1</v>
      </c>
    </row>
    <row r="1826" spans="1:29" ht="30" customHeight="1" x14ac:dyDescent="0.3">
      <c r="A1826" s="8" t="s">
        <v>2108</v>
      </c>
      <c r="B1826" s="8" t="s">
        <v>2129</v>
      </c>
      <c r="C1826" s="8" t="s">
        <v>694</v>
      </c>
      <c r="D1826" s="8" t="s">
        <v>2130</v>
      </c>
      <c r="E1826" s="8" t="s">
        <v>179</v>
      </c>
      <c r="F1826" s="9">
        <v>6</v>
      </c>
      <c r="G1826" s="5">
        <f>TRUNC([1]단가대비표!O319,0)</f>
        <v>720</v>
      </c>
      <c r="H1826" s="5">
        <f t="shared" si="163"/>
        <v>4320</v>
      </c>
      <c r="I1826" s="5">
        <v>0</v>
      </c>
      <c r="J1826" s="5">
        <f t="shared" si="164"/>
        <v>0</v>
      </c>
      <c r="K1826" s="5">
        <v>0</v>
      </c>
      <c r="L1826" s="5">
        <f t="shared" si="165"/>
        <v>0</v>
      </c>
      <c r="M1826" s="5">
        <f t="shared" si="166"/>
        <v>720</v>
      </c>
      <c r="N1826" s="5">
        <f t="shared" si="166"/>
        <v>4320</v>
      </c>
      <c r="O1826" s="8" t="s">
        <v>20</v>
      </c>
      <c r="T1826">
        <v>0</v>
      </c>
      <c r="AC1826">
        <v>1</v>
      </c>
    </row>
    <row r="1827" spans="1:29" ht="30" customHeight="1" x14ac:dyDescent="0.3">
      <c r="A1827" s="8" t="s">
        <v>2108</v>
      </c>
      <c r="B1827" s="8" t="s">
        <v>2131</v>
      </c>
      <c r="C1827" s="8" t="s">
        <v>694</v>
      </c>
      <c r="D1827" s="8" t="s">
        <v>2132</v>
      </c>
      <c r="E1827" s="8" t="s">
        <v>179</v>
      </c>
      <c r="F1827" s="9">
        <v>1</v>
      </c>
      <c r="G1827" s="5">
        <f>TRUNC([1]단가대비표!O320,0)</f>
        <v>1680</v>
      </c>
      <c r="H1827" s="5">
        <f t="shared" si="163"/>
        <v>1680</v>
      </c>
      <c r="I1827" s="5">
        <v>0</v>
      </c>
      <c r="J1827" s="5">
        <f t="shared" si="164"/>
        <v>0</v>
      </c>
      <c r="K1827" s="5">
        <v>0</v>
      </c>
      <c r="L1827" s="5">
        <f t="shared" si="165"/>
        <v>0</v>
      </c>
      <c r="M1827" s="5">
        <f t="shared" si="166"/>
        <v>1680</v>
      </c>
      <c r="N1827" s="5">
        <f t="shared" si="166"/>
        <v>1680</v>
      </c>
      <c r="O1827" s="8" t="s">
        <v>20</v>
      </c>
      <c r="T1827">
        <v>0</v>
      </c>
      <c r="AC1827">
        <v>1</v>
      </c>
    </row>
    <row r="1828" spans="1:29" ht="30" customHeight="1" x14ac:dyDescent="0.3">
      <c r="A1828" s="8" t="s">
        <v>2108</v>
      </c>
      <c r="B1828" s="8" t="s">
        <v>2133</v>
      </c>
      <c r="C1828" s="8" t="s">
        <v>694</v>
      </c>
      <c r="D1828" s="8" t="s">
        <v>2134</v>
      </c>
      <c r="E1828" s="8" t="s">
        <v>179</v>
      </c>
      <c r="F1828" s="9">
        <v>11</v>
      </c>
      <c r="G1828" s="5">
        <f>TRUNC([1]단가대비표!O321,0)</f>
        <v>1280</v>
      </c>
      <c r="H1828" s="5">
        <f t="shared" si="163"/>
        <v>14080</v>
      </c>
      <c r="I1828" s="5">
        <v>0</v>
      </c>
      <c r="J1828" s="5">
        <f t="shared" si="164"/>
        <v>0</v>
      </c>
      <c r="K1828" s="5">
        <v>0</v>
      </c>
      <c r="L1828" s="5">
        <f t="shared" si="165"/>
        <v>0</v>
      </c>
      <c r="M1828" s="5">
        <f t="shared" si="166"/>
        <v>1280</v>
      </c>
      <c r="N1828" s="5">
        <f t="shared" si="166"/>
        <v>14080</v>
      </c>
      <c r="O1828" s="8" t="s">
        <v>20</v>
      </c>
      <c r="T1828">
        <v>0</v>
      </c>
      <c r="AC1828">
        <v>1</v>
      </c>
    </row>
    <row r="1829" spans="1:29" ht="30" customHeight="1" x14ac:dyDescent="0.3">
      <c r="A1829" s="8" t="s">
        <v>2108</v>
      </c>
      <c r="B1829" s="8" t="s">
        <v>935</v>
      </c>
      <c r="C1829" s="8" t="s">
        <v>694</v>
      </c>
      <c r="D1829" s="8" t="s">
        <v>936</v>
      </c>
      <c r="E1829" s="8" t="s">
        <v>179</v>
      </c>
      <c r="F1829" s="9">
        <v>13</v>
      </c>
      <c r="G1829" s="5">
        <f>TRUNC([1]단가대비표!O322,0)</f>
        <v>3310</v>
      </c>
      <c r="H1829" s="5">
        <f t="shared" si="163"/>
        <v>43030</v>
      </c>
      <c r="I1829" s="5">
        <v>0</v>
      </c>
      <c r="J1829" s="5">
        <f t="shared" si="164"/>
        <v>0</v>
      </c>
      <c r="K1829" s="5">
        <v>0</v>
      </c>
      <c r="L1829" s="5">
        <f t="shared" si="165"/>
        <v>0</v>
      </c>
      <c r="M1829" s="5">
        <f t="shared" si="166"/>
        <v>3310</v>
      </c>
      <c r="N1829" s="5">
        <f t="shared" si="166"/>
        <v>43030</v>
      </c>
      <c r="O1829" s="8" t="s">
        <v>20</v>
      </c>
      <c r="T1829">
        <v>0</v>
      </c>
      <c r="AC1829">
        <v>1</v>
      </c>
    </row>
    <row r="1830" spans="1:29" ht="30" customHeight="1" x14ac:dyDescent="0.3">
      <c r="A1830" s="8" t="s">
        <v>2108</v>
      </c>
      <c r="B1830" s="8" t="s">
        <v>937</v>
      </c>
      <c r="C1830" s="8" t="s">
        <v>694</v>
      </c>
      <c r="D1830" s="8" t="s">
        <v>938</v>
      </c>
      <c r="E1830" s="8" t="s">
        <v>179</v>
      </c>
      <c r="F1830" s="9">
        <v>2</v>
      </c>
      <c r="G1830" s="5">
        <f>TRUNC([1]단가대비표!O323,0)</f>
        <v>3440</v>
      </c>
      <c r="H1830" s="5">
        <f t="shared" si="163"/>
        <v>6880</v>
      </c>
      <c r="I1830" s="5">
        <v>0</v>
      </c>
      <c r="J1830" s="5">
        <f t="shared" si="164"/>
        <v>0</v>
      </c>
      <c r="K1830" s="5">
        <v>0</v>
      </c>
      <c r="L1830" s="5">
        <f t="shared" si="165"/>
        <v>0</v>
      </c>
      <c r="M1830" s="5">
        <f t="shared" si="166"/>
        <v>3440</v>
      </c>
      <c r="N1830" s="5">
        <f t="shared" si="166"/>
        <v>6880</v>
      </c>
      <c r="O1830" s="8" t="s">
        <v>20</v>
      </c>
      <c r="T1830">
        <v>0</v>
      </c>
      <c r="AC1830">
        <v>1</v>
      </c>
    </row>
    <row r="1831" spans="1:29" ht="30" customHeight="1" x14ac:dyDescent="0.3">
      <c r="A1831" s="8" t="s">
        <v>2108</v>
      </c>
      <c r="B1831" s="8" t="s">
        <v>2135</v>
      </c>
      <c r="C1831" s="8" t="s">
        <v>694</v>
      </c>
      <c r="D1831" s="8" t="s">
        <v>2136</v>
      </c>
      <c r="E1831" s="8" t="s">
        <v>179</v>
      </c>
      <c r="F1831" s="9">
        <v>1</v>
      </c>
      <c r="G1831" s="5">
        <f>TRUNC([1]단가대비표!O324,0)</f>
        <v>10000</v>
      </c>
      <c r="H1831" s="5">
        <f t="shared" si="163"/>
        <v>10000</v>
      </c>
      <c r="I1831" s="5">
        <v>0</v>
      </c>
      <c r="J1831" s="5">
        <f t="shared" si="164"/>
        <v>0</v>
      </c>
      <c r="K1831" s="5">
        <v>0</v>
      </c>
      <c r="L1831" s="5">
        <f t="shared" si="165"/>
        <v>0</v>
      </c>
      <c r="M1831" s="5">
        <f t="shared" ref="M1831:N1861" si="167">G1831+I1831+K1831</f>
        <v>10000</v>
      </c>
      <c r="N1831" s="5">
        <f t="shared" si="167"/>
        <v>10000</v>
      </c>
      <c r="O1831" s="8" t="s">
        <v>20</v>
      </c>
      <c r="T1831">
        <v>0</v>
      </c>
      <c r="AC1831">
        <v>1</v>
      </c>
    </row>
    <row r="1832" spans="1:29" ht="30" customHeight="1" x14ac:dyDescent="0.3">
      <c r="A1832" s="8" t="s">
        <v>2108</v>
      </c>
      <c r="B1832" s="8" t="s">
        <v>2137</v>
      </c>
      <c r="C1832" s="8" t="s">
        <v>694</v>
      </c>
      <c r="D1832" s="8" t="s">
        <v>2138</v>
      </c>
      <c r="E1832" s="8" t="s">
        <v>179</v>
      </c>
      <c r="F1832" s="9">
        <v>2</v>
      </c>
      <c r="G1832" s="5">
        <f>TRUNC([1]단가대비표!O332,0)</f>
        <v>910</v>
      </c>
      <c r="H1832" s="5">
        <f t="shared" si="163"/>
        <v>1820</v>
      </c>
      <c r="I1832" s="5">
        <v>0</v>
      </c>
      <c r="J1832" s="5">
        <f t="shared" si="164"/>
        <v>0</v>
      </c>
      <c r="K1832" s="5">
        <v>0</v>
      </c>
      <c r="L1832" s="5">
        <f t="shared" si="165"/>
        <v>0</v>
      </c>
      <c r="M1832" s="5">
        <f t="shared" si="167"/>
        <v>910</v>
      </c>
      <c r="N1832" s="5">
        <f t="shared" si="167"/>
        <v>1820</v>
      </c>
      <c r="O1832" s="8" t="s">
        <v>20</v>
      </c>
      <c r="T1832">
        <v>0</v>
      </c>
      <c r="AC1832">
        <v>1</v>
      </c>
    </row>
    <row r="1833" spans="1:29" ht="30" customHeight="1" x14ac:dyDescent="0.3">
      <c r="A1833" s="8" t="s">
        <v>2108</v>
      </c>
      <c r="B1833" s="8" t="s">
        <v>2139</v>
      </c>
      <c r="C1833" s="8" t="s">
        <v>694</v>
      </c>
      <c r="D1833" s="8" t="s">
        <v>2140</v>
      </c>
      <c r="E1833" s="8" t="s">
        <v>179</v>
      </c>
      <c r="F1833" s="9">
        <v>2</v>
      </c>
      <c r="G1833" s="5">
        <f>TRUNC([1]단가대비표!O333,0)</f>
        <v>1070</v>
      </c>
      <c r="H1833" s="5">
        <f t="shared" si="163"/>
        <v>2140</v>
      </c>
      <c r="I1833" s="5">
        <v>0</v>
      </c>
      <c r="J1833" s="5">
        <f t="shared" si="164"/>
        <v>0</v>
      </c>
      <c r="K1833" s="5">
        <v>0</v>
      </c>
      <c r="L1833" s="5">
        <f t="shared" si="165"/>
        <v>0</v>
      </c>
      <c r="M1833" s="5">
        <f t="shared" si="167"/>
        <v>1070</v>
      </c>
      <c r="N1833" s="5">
        <f t="shared" si="167"/>
        <v>2140</v>
      </c>
      <c r="O1833" s="8" t="s">
        <v>20</v>
      </c>
      <c r="T1833">
        <v>0</v>
      </c>
      <c r="AC1833">
        <v>1</v>
      </c>
    </row>
    <row r="1834" spans="1:29" ht="30" customHeight="1" x14ac:dyDescent="0.3">
      <c r="A1834" s="8" t="s">
        <v>2108</v>
      </c>
      <c r="B1834" s="8" t="s">
        <v>2141</v>
      </c>
      <c r="C1834" s="8" t="s">
        <v>694</v>
      </c>
      <c r="D1834" s="8" t="s">
        <v>2142</v>
      </c>
      <c r="E1834" s="8" t="s">
        <v>179</v>
      </c>
      <c r="F1834" s="9">
        <v>3</v>
      </c>
      <c r="G1834" s="5">
        <f>TRUNC([1]단가대비표!O334,0)</f>
        <v>1920</v>
      </c>
      <c r="H1834" s="5">
        <f t="shared" si="163"/>
        <v>5760</v>
      </c>
      <c r="I1834" s="5">
        <v>0</v>
      </c>
      <c r="J1834" s="5">
        <f t="shared" si="164"/>
        <v>0</v>
      </c>
      <c r="K1834" s="5">
        <v>0</v>
      </c>
      <c r="L1834" s="5">
        <f t="shared" si="165"/>
        <v>0</v>
      </c>
      <c r="M1834" s="5">
        <f t="shared" si="167"/>
        <v>1920</v>
      </c>
      <c r="N1834" s="5">
        <f t="shared" si="167"/>
        <v>5760</v>
      </c>
      <c r="O1834" s="8" t="s">
        <v>20</v>
      </c>
      <c r="T1834">
        <v>0</v>
      </c>
      <c r="AC1834">
        <v>1</v>
      </c>
    </row>
    <row r="1835" spans="1:29" ht="30" customHeight="1" x14ac:dyDescent="0.3">
      <c r="A1835" s="8" t="s">
        <v>2108</v>
      </c>
      <c r="B1835" s="8" t="s">
        <v>2143</v>
      </c>
      <c r="C1835" s="8" t="s">
        <v>694</v>
      </c>
      <c r="D1835" s="8" t="s">
        <v>2144</v>
      </c>
      <c r="E1835" s="8" t="s">
        <v>179</v>
      </c>
      <c r="F1835" s="9">
        <v>1</v>
      </c>
      <c r="G1835" s="5">
        <f>TRUNC([1]단가대비표!O381,0)</f>
        <v>1430</v>
      </c>
      <c r="H1835" s="5">
        <f t="shared" si="163"/>
        <v>1430</v>
      </c>
      <c r="I1835" s="5">
        <v>0</v>
      </c>
      <c r="J1835" s="5">
        <f t="shared" si="164"/>
        <v>0</v>
      </c>
      <c r="K1835" s="5">
        <v>0</v>
      </c>
      <c r="L1835" s="5">
        <f t="shared" si="165"/>
        <v>0</v>
      </c>
      <c r="M1835" s="5">
        <f t="shared" si="167"/>
        <v>1430</v>
      </c>
      <c r="N1835" s="5">
        <f t="shared" si="167"/>
        <v>1430</v>
      </c>
      <c r="O1835" s="8" t="s">
        <v>20</v>
      </c>
      <c r="T1835">
        <v>0</v>
      </c>
      <c r="AC1835">
        <v>1</v>
      </c>
    </row>
    <row r="1836" spans="1:29" ht="30" customHeight="1" x14ac:dyDescent="0.3">
      <c r="A1836" s="8" t="s">
        <v>2108</v>
      </c>
      <c r="B1836" s="8" t="s">
        <v>1219</v>
      </c>
      <c r="C1836" s="8" t="s">
        <v>694</v>
      </c>
      <c r="D1836" s="8" t="s">
        <v>1220</v>
      </c>
      <c r="E1836" s="8" t="s">
        <v>179</v>
      </c>
      <c r="F1836" s="9">
        <v>1</v>
      </c>
      <c r="G1836" s="5">
        <f>TRUNC([1]단가대비표!O382,0)</f>
        <v>2460</v>
      </c>
      <c r="H1836" s="5">
        <f t="shared" si="163"/>
        <v>2460</v>
      </c>
      <c r="I1836" s="5">
        <v>0</v>
      </c>
      <c r="J1836" s="5">
        <f t="shared" si="164"/>
        <v>0</v>
      </c>
      <c r="K1836" s="5">
        <v>0</v>
      </c>
      <c r="L1836" s="5">
        <f t="shared" si="165"/>
        <v>0</v>
      </c>
      <c r="M1836" s="5">
        <f t="shared" si="167"/>
        <v>2460</v>
      </c>
      <c r="N1836" s="5">
        <f t="shared" si="167"/>
        <v>2460</v>
      </c>
      <c r="O1836" s="8" t="s">
        <v>20</v>
      </c>
      <c r="T1836">
        <v>0</v>
      </c>
      <c r="AC1836">
        <v>1</v>
      </c>
    </row>
    <row r="1837" spans="1:29" ht="30" customHeight="1" x14ac:dyDescent="0.3">
      <c r="A1837" s="8" t="s">
        <v>2108</v>
      </c>
      <c r="B1837" s="8" t="s">
        <v>2145</v>
      </c>
      <c r="C1837" s="8" t="s">
        <v>694</v>
      </c>
      <c r="D1837" s="8" t="s">
        <v>2146</v>
      </c>
      <c r="E1837" s="8" t="s">
        <v>179</v>
      </c>
      <c r="F1837" s="9">
        <v>2</v>
      </c>
      <c r="G1837" s="5">
        <f>TRUNC([1]단가대비표!O386,0)</f>
        <v>1200</v>
      </c>
      <c r="H1837" s="5">
        <f t="shared" si="163"/>
        <v>2400</v>
      </c>
      <c r="I1837" s="5">
        <v>0</v>
      </c>
      <c r="J1837" s="5">
        <f t="shared" si="164"/>
        <v>0</v>
      </c>
      <c r="K1837" s="5">
        <v>0</v>
      </c>
      <c r="L1837" s="5">
        <f t="shared" si="165"/>
        <v>0</v>
      </c>
      <c r="M1837" s="5">
        <f t="shared" si="167"/>
        <v>1200</v>
      </c>
      <c r="N1837" s="5">
        <f t="shared" si="167"/>
        <v>2400</v>
      </c>
      <c r="O1837" s="8" t="s">
        <v>20</v>
      </c>
      <c r="T1837">
        <v>0</v>
      </c>
      <c r="AC1837">
        <v>1</v>
      </c>
    </row>
    <row r="1838" spans="1:29" ht="30" customHeight="1" x14ac:dyDescent="0.3">
      <c r="A1838" s="8" t="s">
        <v>2108</v>
      </c>
      <c r="B1838" s="8" t="s">
        <v>2147</v>
      </c>
      <c r="C1838" s="8" t="s">
        <v>694</v>
      </c>
      <c r="D1838" s="8" t="s">
        <v>2148</v>
      </c>
      <c r="E1838" s="8" t="s">
        <v>179</v>
      </c>
      <c r="F1838" s="9">
        <v>4</v>
      </c>
      <c r="G1838" s="5">
        <f>TRUNC([1]단가대비표!O387,0)</f>
        <v>1600</v>
      </c>
      <c r="H1838" s="5">
        <f t="shared" si="163"/>
        <v>6400</v>
      </c>
      <c r="I1838" s="5">
        <v>0</v>
      </c>
      <c r="J1838" s="5">
        <f t="shared" si="164"/>
        <v>0</v>
      </c>
      <c r="K1838" s="5">
        <v>0</v>
      </c>
      <c r="L1838" s="5">
        <f t="shared" si="165"/>
        <v>0</v>
      </c>
      <c r="M1838" s="5">
        <f t="shared" si="167"/>
        <v>1600</v>
      </c>
      <c r="N1838" s="5">
        <f t="shared" si="167"/>
        <v>6400</v>
      </c>
      <c r="O1838" s="8" t="s">
        <v>20</v>
      </c>
      <c r="T1838">
        <v>0</v>
      </c>
      <c r="AC1838">
        <v>1</v>
      </c>
    </row>
    <row r="1839" spans="1:29" ht="30" customHeight="1" x14ac:dyDescent="0.3">
      <c r="A1839" s="8" t="s">
        <v>2108</v>
      </c>
      <c r="B1839" s="8" t="s">
        <v>965</v>
      </c>
      <c r="C1839" s="8" t="s">
        <v>694</v>
      </c>
      <c r="D1839" s="8" t="s">
        <v>966</v>
      </c>
      <c r="E1839" s="8" t="s">
        <v>179</v>
      </c>
      <c r="F1839" s="9">
        <v>4</v>
      </c>
      <c r="G1839" s="5">
        <f>TRUNC([1]단가대비표!O388,0)</f>
        <v>2400</v>
      </c>
      <c r="H1839" s="5">
        <f t="shared" si="163"/>
        <v>9600</v>
      </c>
      <c r="I1839" s="5">
        <v>0</v>
      </c>
      <c r="J1839" s="5">
        <f t="shared" si="164"/>
        <v>0</v>
      </c>
      <c r="K1839" s="5">
        <v>0</v>
      </c>
      <c r="L1839" s="5">
        <f t="shared" si="165"/>
        <v>0</v>
      </c>
      <c r="M1839" s="5">
        <f t="shared" si="167"/>
        <v>2400</v>
      </c>
      <c r="N1839" s="5">
        <f t="shared" si="167"/>
        <v>9600</v>
      </c>
      <c r="O1839" s="8" t="s">
        <v>20</v>
      </c>
      <c r="T1839">
        <v>0</v>
      </c>
      <c r="AC1839">
        <v>1</v>
      </c>
    </row>
    <row r="1840" spans="1:29" ht="30" customHeight="1" x14ac:dyDescent="0.3">
      <c r="A1840" s="8" t="s">
        <v>2108</v>
      </c>
      <c r="B1840" s="8" t="s">
        <v>2149</v>
      </c>
      <c r="C1840" s="8" t="s">
        <v>694</v>
      </c>
      <c r="D1840" s="8" t="s">
        <v>2150</v>
      </c>
      <c r="E1840" s="8" t="s">
        <v>179</v>
      </c>
      <c r="F1840" s="9">
        <v>3</v>
      </c>
      <c r="G1840" s="5">
        <f>TRUNC([1]단가대비표!O379,0)</f>
        <v>1620</v>
      </c>
      <c r="H1840" s="5">
        <f t="shared" si="163"/>
        <v>4860</v>
      </c>
      <c r="I1840" s="5">
        <v>0</v>
      </c>
      <c r="J1840" s="5">
        <f t="shared" si="164"/>
        <v>0</v>
      </c>
      <c r="K1840" s="5">
        <v>0</v>
      </c>
      <c r="L1840" s="5">
        <f t="shared" si="165"/>
        <v>0</v>
      </c>
      <c r="M1840" s="5">
        <f t="shared" si="167"/>
        <v>1620</v>
      </c>
      <c r="N1840" s="5">
        <f t="shared" si="167"/>
        <v>4860</v>
      </c>
      <c r="O1840" s="8" t="s">
        <v>20</v>
      </c>
      <c r="T1840">
        <v>0</v>
      </c>
      <c r="AC1840">
        <v>1</v>
      </c>
    </row>
    <row r="1841" spans="1:29" ht="30" customHeight="1" x14ac:dyDescent="0.3">
      <c r="A1841" s="8" t="s">
        <v>2108</v>
      </c>
      <c r="B1841" s="8" t="s">
        <v>971</v>
      </c>
      <c r="C1841" s="8" t="s">
        <v>694</v>
      </c>
      <c r="D1841" s="8" t="s">
        <v>972</v>
      </c>
      <c r="E1841" s="8" t="s">
        <v>179</v>
      </c>
      <c r="F1841" s="9">
        <v>35</v>
      </c>
      <c r="G1841" s="5">
        <f>TRUNC([1]단가대비표!O341,0)</f>
        <v>2000</v>
      </c>
      <c r="H1841" s="5">
        <f t="shared" si="163"/>
        <v>70000</v>
      </c>
      <c r="I1841" s="5">
        <v>0</v>
      </c>
      <c r="J1841" s="5">
        <f t="shared" si="164"/>
        <v>0</v>
      </c>
      <c r="K1841" s="5">
        <v>0</v>
      </c>
      <c r="L1841" s="5">
        <f t="shared" si="165"/>
        <v>0</v>
      </c>
      <c r="M1841" s="5">
        <f t="shared" si="167"/>
        <v>2000</v>
      </c>
      <c r="N1841" s="5">
        <f t="shared" si="167"/>
        <v>70000</v>
      </c>
      <c r="O1841" s="8" t="s">
        <v>20</v>
      </c>
      <c r="T1841">
        <v>0</v>
      </c>
      <c r="AC1841">
        <v>1</v>
      </c>
    </row>
    <row r="1842" spans="1:29" ht="30" customHeight="1" x14ac:dyDescent="0.3">
      <c r="A1842" s="8" t="s">
        <v>2108</v>
      </c>
      <c r="B1842" s="8" t="s">
        <v>973</v>
      </c>
      <c r="C1842" s="8" t="s">
        <v>694</v>
      </c>
      <c r="D1842" s="8" t="s">
        <v>974</v>
      </c>
      <c r="E1842" s="8" t="s">
        <v>179</v>
      </c>
      <c r="F1842" s="9">
        <v>2</v>
      </c>
      <c r="G1842" s="5">
        <f>TRUNC([1]단가대비표!O342,0)</f>
        <v>3870</v>
      </c>
      <c r="H1842" s="5">
        <f t="shared" si="163"/>
        <v>7740</v>
      </c>
      <c r="I1842" s="5">
        <v>0</v>
      </c>
      <c r="J1842" s="5">
        <f t="shared" si="164"/>
        <v>0</v>
      </c>
      <c r="K1842" s="5">
        <v>0</v>
      </c>
      <c r="L1842" s="5">
        <f t="shared" si="165"/>
        <v>0</v>
      </c>
      <c r="M1842" s="5">
        <f t="shared" si="167"/>
        <v>3870</v>
      </c>
      <c r="N1842" s="5">
        <f t="shared" si="167"/>
        <v>7740</v>
      </c>
      <c r="O1842" s="8" t="s">
        <v>20</v>
      </c>
      <c r="T1842">
        <v>0</v>
      </c>
      <c r="AC1842">
        <v>1</v>
      </c>
    </row>
    <row r="1843" spans="1:29" ht="30" customHeight="1" x14ac:dyDescent="0.3">
      <c r="A1843" s="8" t="s">
        <v>2108</v>
      </c>
      <c r="B1843" s="8" t="s">
        <v>1005</v>
      </c>
      <c r="C1843" s="8" t="s">
        <v>694</v>
      </c>
      <c r="D1843" s="8" t="s">
        <v>1006</v>
      </c>
      <c r="E1843" s="8" t="s">
        <v>179</v>
      </c>
      <c r="F1843" s="9">
        <v>5</v>
      </c>
      <c r="G1843" s="5">
        <f>TRUNC([1]단가대비표!O357,0)</f>
        <v>3210</v>
      </c>
      <c r="H1843" s="5">
        <f t="shared" si="163"/>
        <v>16050</v>
      </c>
      <c r="I1843" s="5">
        <v>0</v>
      </c>
      <c r="J1843" s="5">
        <f t="shared" si="164"/>
        <v>0</v>
      </c>
      <c r="K1843" s="5">
        <v>0</v>
      </c>
      <c r="L1843" s="5">
        <f t="shared" si="165"/>
        <v>0</v>
      </c>
      <c r="M1843" s="5">
        <f t="shared" si="167"/>
        <v>3210</v>
      </c>
      <c r="N1843" s="5">
        <f t="shared" si="167"/>
        <v>16050</v>
      </c>
      <c r="O1843" s="8" t="s">
        <v>20</v>
      </c>
      <c r="T1843">
        <v>0</v>
      </c>
      <c r="AC1843">
        <v>1</v>
      </c>
    </row>
    <row r="1844" spans="1:29" ht="30" customHeight="1" x14ac:dyDescent="0.3">
      <c r="A1844" s="8" t="s">
        <v>2108</v>
      </c>
      <c r="B1844" s="8" t="s">
        <v>1017</v>
      </c>
      <c r="C1844" s="8" t="s">
        <v>694</v>
      </c>
      <c r="D1844" s="8" t="s">
        <v>1018</v>
      </c>
      <c r="E1844" s="8" t="s">
        <v>179</v>
      </c>
      <c r="F1844" s="9">
        <v>7</v>
      </c>
      <c r="G1844" s="5">
        <f>TRUNC([1]단가대비표!O362,0)</f>
        <v>1980</v>
      </c>
      <c r="H1844" s="5">
        <f t="shared" si="163"/>
        <v>13860</v>
      </c>
      <c r="I1844" s="5">
        <v>0</v>
      </c>
      <c r="J1844" s="5">
        <f t="shared" si="164"/>
        <v>0</v>
      </c>
      <c r="K1844" s="5">
        <v>0</v>
      </c>
      <c r="L1844" s="5">
        <f t="shared" si="165"/>
        <v>0</v>
      </c>
      <c r="M1844" s="5">
        <f t="shared" si="167"/>
        <v>1980</v>
      </c>
      <c r="N1844" s="5">
        <f t="shared" si="167"/>
        <v>13860</v>
      </c>
      <c r="O1844" s="8" t="s">
        <v>20</v>
      </c>
      <c r="T1844">
        <v>0</v>
      </c>
      <c r="AC1844">
        <v>1</v>
      </c>
    </row>
    <row r="1845" spans="1:29" ht="30" customHeight="1" x14ac:dyDescent="0.3">
      <c r="A1845" s="8" t="s">
        <v>2108</v>
      </c>
      <c r="B1845" s="8" t="s">
        <v>1019</v>
      </c>
      <c r="C1845" s="8" t="s">
        <v>694</v>
      </c>
      <c r="D1845" s="8" t="s">
        <v>1020</v>
      </c>
      <c r="E1845" s="8" t="s">
        <v>179</v>
      </c>
      <c r="F1845" s="9">
        <v>4</v>
      </c>
      <c r="G1845" s="5">
        <f>TRUNC([1]단가대비표!O363,0)</f>
        <v>3870</v>
      </c>
      <c r="H1845" s="5">
        <f t="shared" si="163"/>
        <v>15480</v>
      </c>
      <c r="I1845" s="5">
        <v>0</v>
      </c>
      <c r="J1845" s="5">
        <f t="shared" si="164"/>
        <v>0</v>
      </c>
      <c r="K1845" s="5">
        <v>0</v>
      </c>
      <c r="L1845" s="5">
        <f t="shared" si="165"/>
        <v>0</v>
      </c>
      <c r="M1845" s="5">
        <f t="shared" si="167"/>
        <v>3870</v>
      </c>
      <c r="N1845" s="5">
        <f t="shared" si="167"/>
        <v>15480</v>
      </c>
      <c r="O1845" s="8" t="s">
        <v>20</v>
      </c>
      <c r="T1845">
        <v>0</v>
      </c>
      <c r="AC1845">
        <v>1</v>
      </c>
    </row>
    <row r="1846" spans="1:29" ht="30" customHeight="1" x14ac:dyDescent="0.3">
      <c r="A1846" s="8" t="s">
        <v>2108</v>
      </c>
      <c r="B1846" s="8" t="s">
        <v>2151</v>
      </c>
      <c r="C1846" s="8" t="s">
        <v>694</v>
      </c>
      <c r="D1846" s="8" t="s">
        <v>2152</v>
      </c>
      <c r="E1846" s="8" t="s">
        <v>179</v>
      </c>
      <c r="F1846" s="9">
        <v>1</v>
      </c>
      <c r="G1846" s="5">
        <f>TRUNC([1]단가대비표!O368,0)</f>
        <v>2300</v>
      </c>
      <c r="H1846" s="5">
        <f t="shared" si="163"/>
        <v>2300</v>
      </c>
      <c r="I1846" s="5">
        <v>0</v>
      </c>
      <c r="J1846" s="5">
        <f t="shared" si="164"/>
        <v>0</v>
      </c>
      <c r="K1846" s="5">
        <v>0</v>
      </c>
      <c r="L1846" s="5">
        <f t="shared" si="165"/>
        <v>0</v>
      </c>
      <c r="M1846" s="5">
        <f t="shared" si="167"/>
        <v>2300</v>
      </c>
      <c r="N1846" s="5">
        <f t="shared" si="167"/>
        <v>2300</v>
      </c>
      <c r="O1846" s="8" t="s">
        <v>20</v>
      </c>
      <c r="T1846">
        <v>0</v>
      </c>
      <c r="AC1846">
        <v>1</v>
      </c>
    </row>
    <row r="1847" spans="1:29" ht="30" customHeight="1" x14ac:dyDescent="0.3">
      <c r="A1847" s="8" t="s">
        <v>2108</v>
      </c>
      <c r="B1847" s="8" t="s">
        <v>2153</v>
      </c>
      <c r="C1847" s="8" t="s">
        <v>694</v>
      </c>
      <c r="D1847" s="8" t="s">
        <v>2154</v>
      </c>
      <c r="E1847" s="8" t="s">
        <v>179</v>
      </c>
      <c r="F1847" s="9">
        <v>1</v>
      </c>
      <c r="G1847" s="5">
        <f>TRUNC([1]단가대비표!O403,0)</f>
        <v>2380</v>
      </c>
      <c r="H1847" s="5">
        <f t="shared" si="163"/>
        <v>2380</v>
      </c>
      <c r="I1847" s="5">
        <v>0</v>
      </c>
      <c r="J1847" s="5">
        <f t="shared" si="164"/>
        <v>0</v>
      </c>
      <c r="K1847" s="5">
        <v>0</v>
      </c>
      <c r="L1847" s="5">
        <f t="shared" si="165"/>
        <v>0</v>
      </c>
      <c r="M1847" s="5">
        <f t="shared" si="167"/>
        <v>2380</v>
      </c>
      <c r="N1847" s="5">
        <f t="shared" si="167"/>
        <v>2380</v>
      </c>
      <c r="O1847" s="8" t="s">
        <v>20</v>
      </c>
      <c r="T1847">
        <v>0</v>
      </c>
      <c r="AC1847">
        <v>1</v>
      </c>
    </row>
    <row r="1848" spans="1:29" ht="30" customHeight="1" x14ac:dyDescent="0.3">
      <c r="A1848" s="8" t="s">
        <v>2108</v>
      </c>
      <c r="B1848" s="8" t="s">
        <v>1056</v>
      </c>
      <c r="C1848" s="8" t="s">
        <v>1057</v>
      </c>
      <c r="D1848" s="8" t="s">
        <v>346</v>
      </c>
      <c r="E1848" s="8" t="s">
        <v>185</v>
      </c>
      <c r="F1848" s="9">
        <v>17</v>
      </c>
      <c r="G1848" s="5" t="e">
        <f>'[2].xls].xls].xls].xls].xls].xls].xls].'!E39</f>
        <v>#REF!</v>
      </c>
      <c r="H1848" s="5" t="e">
        <f t="shared" si="163"/>
        <v>#REF!</v>
      </c>
      <c r="I1848" s="5" t="e">
        <f>'[2].xls].xls].xls].xls].xls].xls].xls].'!F39</f>
        <v>#REF!</v>
      </c>
      <c r="J1848" s="5" t="e">
        <f t="shared" si="164"/>
        <v>#REF!</v>
      </c>
      <c r="K1848" s="5" t="e">
        <f>'[2].xls].xls].xls].xls].xls].xls].xls].'!G39</f>
        <v>#REF!</v>
      </c>
      <c r="L1848" s="5" t="e">
        <f t="shared" si="165"/>
        <v>#REF!</v>
      </c>
      <c r="M1848" s="5" t="e">
        <f t="shared" si="167"/>
        <v>#REF!</v>
      </c>
      <c r="N1848" s="5" t="e">
        <f t="shared" si="167"/>
        <v>#REF!</v>
      </c>
      <c r="O1848" s="8" t="s">
        <v>1056</v>
      </c>
      <c r="T1848">
        <v>0</v>
      </c>
      <c r="AC1848">
        <v>1</v>
      </c>
    </row>
    <row r="1849" spans="1:29" ht="30" customHeight="1" x14ac:dyDescent="0.3">
      <c r="A1849" s="8" t="s">
        <v>2108</v>
      </c>
      <c r="B1849" s="8" t="s">
        <v>1058</v>
      </c>
      <c r="C1849" s="8" t="s">
        <v>1057</v>
      </c>
      <c r="D1849" s="8" t="s">
        <v>447</v>
      </c>
      <c r="E1849" s="8" t="s">
        <v>185</v>
      </c>
      <c r="F1849" s="9">
        <v>11</v>
      </c>
      <c r="G1849" s="5" t="e">
        <f>'[2].xls].xls].xls].xls].xls].xls].xls].'!E40</f>
        <v>#REF!</v>
      </c>
      <c r="H1849" s="5" t="e">
        <f t="shared" si="163"/>
        <v>#REF!</v>
      </c>
      <c r="I1849" s="5" t="e">
        <f>'[2].xls].xls].xls].xls].xls].xls].xls].'!F40</f>
        <v>#REF!</v>
      </c>
      <c r="J1849" s="5" t="e">
        <f t="shared" si="164"/>
        <v>#REF!</v>
      </c>
      <c r="K1849" s="5" t="e">
        <f>'[2].xls].xls].xls].xls].xls].xls].xls].'!G40</f>
        <v>#REF!</v>
      </c>
      <c r="L1849" s="5" t="e">
        <f t="shared" si="165"/>
        <v>#REF!</v>
      </c>
      <c r="M1849" s="5" t="e">
        <f t="shared" si="167"/>
        <v>#REF!</v>
      </c>
      <c r="N1849" s="5" t="e">
        <f t="shared" si="167"/>
        <v>#REF!</v>
      </c>
      <c r="O1849" s="8" t="s">
        <v>1058</v>
      </c>
      <c r="T1849">
        <v>0</v>
      </c>
      <c r="AC1849">
        <v>1</v>
      </c>
    </row>
    <row r="1850" spans="1:29" ht="30" customHeight="1" x14ac:dyDescent="0.3">
      <c r="A1850" s="8" t="s">
        <v>2108</v>
      </c>
      <c r="B1850" s="8" t="s">
        <v>527</v>
      </c>
      <c r="C1850" s="8" t="s">
        <v>528</v>
      </c>
      <c r="D1850" s="8" t="s">
        <v>447</v>
      </c>
      <c r="E1850" s="8" t="s">
        <v>185</v>
      </c>
      <c r="F1850" s="9">
        <v>1</v>
      </c>
      <c r="G1850" s="5" t="e">
        <f>'[2].xls].xls].xls].xls].xls].xls].xls].'!E60</f>
        <v>#REF!</v>
      </c>
      <c r="H1850" s="5" t="e">
        <f t="shared" si="163"/>
        <v>#REF!</v>
      </c>
      <c r="I1850" s="5" t="e">
        <f>'[2].xls].xls].xls].xls].xls].xls].xls].'!F60</f>
        <v>#REF!</v>
      </c>
      <c r="J1850" s="5" t="e">
        <f t="shared" si="164"/>
        <v>#REF!</v>
      </c>
      <c r="K1850" s="5" t="e">
        <f>'[2].xls].xls].xls].xls].xls].xls].xls].'!G60</f>
        <v>#REF!</v>
      </c>
      <c r="L1850" s="5" t="e">
        <f t="shared" si="165"/>
        <v>#REF!</v>
      </c>
      <c r="M1850" s="5" t="e">
        <f t="shared" si="167"/>
        <v>#REF!</v>
      </c>
      <c r="N1850" s="5" t="e">
        <f t="shared" si="167"/>
        <v>#REF!</v>
      </c>
      <c r="O1850" s="8" t="s">
        <v>527</v>
      </c>
      <c r="T1850">
        <v>0</v>
      </c>
      <c r="AC1850">
        <v>1</v>
      </c>
    </row>
    <row r="1851" spans="1:29" ht="30" customHeight="1" x14ac:dyDescent="0.3">
      <c r="A1851" s="8" t="s">
        <v>2108</v>
      </c>
      <c r="B1851" s="8" t="s">
        <v>1074</v>
      </c>
      <c r="C1851" s="8" t="s">
        <v>528</v>
      </c>
      <c r="D1851" s="8" t="s">
        <v>348</v>
      </c>
      <c r="E1851" s="8" t="s">
        <v>185</v>
      </c>
      <c r="F1851" s="9">
        <v>1</v>
      </c>
      <c r="G1851" s="5" t="e">
        <f>'[2].xls].xls].xls].xls].xls].xls].xls].'!E61</f>
        <v>#REF!</v>
      </c>
      <c r="H1851" s="5" t="e">
        <f t="shared" si="163"/>
        <v>#REF!</v>
      </c>
      <c r="I1851" s="5" t="e">
        <f>'[2].xls].xls].xls].xls].xls].xls].xls].'!F61</f>
        <v>#REF!</v>
      </c>
      <c r="J1851" s="5" t="e">
        <f t="shared" si="164"/>
        <v>#REF!</v>
      </c>
      <c r="K1851" s="5" t="e">
        <f>'[2].xls].xls].xls].xls].xls].xls].xls].'!G61</f>
        <v>#REF!</v>
      </c>
      <c r="L1851" s="5" t="e">
        <f t="shared" si="165"/>
        <v>#REF!</v>
      </c>
      <c r="M1851" s="5" t="e">
        <f t="shared" si="167"/>
        <v>#REF!</v>
      </c>
      <c r="N1851" s="5" t="e">
        <f t="shared" si="167"/>
        <v>#REF!</v>
      </c>
      <c r="O1851" s="8" t="s">
        <v>1074</v>
      </c>
      <c r="T1851">
        <v>0</v>
      </c>
      <c r="AC1851">
        <v>1</v>
      </c>
    </row>
    <row r="1852" spans="1:29" ht="30" customHeight="1" x14ac:dyDescent="0.3">
      <c r="A1852" s="8" t="s">
        <v>2108</v>
      </c>
      <c r="B1852" s="8" t="s">
        <v>1075</v>
      </c>
      <c r="C1852" s="8" t="s">
        <v>528</v>
      </c>
      <c r="D1852" s="8" t="s">
        <v>350</v>
      </c>
      <c r="E1852" s="8" t="s">
        <v>185</v>
      </c>
      <c r="F1852" s="9">
        <v>1</v>
      </c>
      <c r="G1852" s="5" t="e">
        <f>'[2].xls].xls].xls].xls].xls].xls].xls].'!E62</f>
        <v>#REF!</v>
      </c>
      <c r="H1852" s="5" t="e">
        <f t="shared" si="163"/>
        <v>#REF!</v>
      </c>
      <c r="I1852" s="5" t="e">
        <f>'[2].xls].xls].xls].xls].xls].xls].xls].'!F62</f>
        <v>#REF!</v>
      </c>
      <c r="J1852" s="5" t="e">
        <f t="shared" si="164"/>
        <v>#REF!</v>
      </c>
      <c r="K1852" s="5" t="e">
        <f>'[2].xls].xls].xls].xls].xls].xls].xls].'!G62</f>
        <v>#REF!</v>
      </c>
      <c r="L1852" s="5" t="e">
        <f t="shared" si="165"/>
        <v>#REF!</v>
      </c>
      <c r="M1852" s="5" t="e">
        <f t="shared" si="167"/>
        <v>#REF!</v>
      </c>
      <c r="N1852" s="5" t="e">
        <f t="shared" si="167"/>
        <v>#REF!</v>
      </c>
      <c r="O1852" s="8" t="s">
        <v>1075</v>
      </c>
      <c r="T1852">
        <v>0</v>
      </c>
      <c r="AC1852">
        <v>1</v>
      </c>
    </row>
    <row r="1853" spans="1:29" ht="30" customHeight="1" x14ac:dyDescent="0.3">
      <c r="A1853" s="8" t="s">
        <v>2108</v>
      </c>
      <c r="B1853" s="8" t="s">
        <v>1083</v>
      </c>
      <c r="C1853" s="8" t="s">
        <v>1082</v>
      </c>
      <c r="D1853" s="8" t="s">
        <v>187</v>
      </c>
      <c r="E1853" s="8" t="s">
        <v>185</v>
      </c>
      <c r="F1853" s="9">
        <v>1</v>
      </c>
      <c r="G1853" s="5">
        <f>TRUNC([1]단가대비표!O650,0)</f>
        <v>28614</v>
      </c>
      <c r="H1853" s="5">
        <f t="shared" si="163"/>
        <v>28614</v>
      </c>
      <c r="I1853" s="5">
        <v>0</v>
      </c>
      <c r="J1853" s="5">
        <f t="shared" si="164"/>
        <v>0</v>
      </c>
      <c r="K1853" s="5">
        <v>0</v>
      </c>
      <c r="L1853" s="5">
        <f t="shared" si="165"/>
        <v>0</v>
      </c>
      <c r="M1853" s="5">
        <f t="shared" si="167"/>
        <v>28614</v>
      </c>
      <c r="N1853" s="5">
        <f t="shared" si="167"/>
        <v>28614</v>
      </c>
      <c r="O1853" s="8" t="s">
        <v>20</v>
      </c>
      <c r="T1853">
        <v>0</v>
      </c>
      <c r="AC1853">
        <v>1</v>
      </c>
    </row>
    <row r="1854" spans="1:29" ht="30" customHeight="1" x14ac:dyDescent="0.3">
      <c r="A1854" s="8" t="s">
        <v>2108</v>
      </c>
      <c r="B1854" s="8" t="s">
        <v>1084</v>
      </c>
      <c r="C1854" s="8" t="s">
        <v>1082</v>
      </c>
      <c r="D1854" s="8" t="s">
        <v>348</v>
      </c>
      <c r="E1854" s="8" t="s">
        <v>185</v>
      </c>
      <c r="F1854" s="9">
        <v>1</v>
      </c>
      <c r="G1854" s="5">
        <f>TRUNC([1]단가대비표!O651,0)</f>
        <v>32530</v>
      </c>
      <c r="H1854" s="5">
        <f t="shared" si="163"/>
        <v>32530</v>
      </c>
      <c r="I1854" s="5">
        <v>0</v>
      </c>
      <c r="J1854" s="5">
        <f t="shared" si="164"/>
        <v>0</v>
      </c>
      <c r="K1854" s="5">
        <v>0</v>
      </c>
      <c r="L1854" s="5">
        <f t="shared" si="165"/>
        <v>0</v>
      </c>
      <c r="M1854" s="5">
        <f t="shared" si="167"/>
        <v>32530</v>
      </c>
      <c r="N1854" s="5">
        <f t="shared" si="167"/>
        <v>32530</v>
      </c>
      <c r="O1854" s="8" t="s">
        <v>20</v>
      </c>
      <c r="T1854">
        <v>0</v>
      </c>
      <c r="AC1854">
        <v>1</v>
      </c>
    </row>
    <row r="1855" spans="1:29" ht="30" customHeight="1" x14ac:dyDescent="0.3">
      <c r="A1855" s="8" t="s">
        <v>2108</v>
      </c>
      <c r="B1855" s="8" t="s">
        <v>1195</v>
      </c>
      <c r="C1855" s="8" t="s">
        <v>1082</v>
      </c>
      <c r="D1855" s="8" t="s">
        <v>350</v>
      </c>
      <c r="E1855" s="8" t="s">
        <v>185</v>
      </c>
      <c r="F1855" s="9">
        <v>1</v>
      </c>
      <c r="G1855" s="5">
        <f>TRUNC([1]단가대비표!O652,0)</f>
        <v>52383</v>
      </c>
      <c r="H1855" s="5">
        <f t="shared" si="163"/>
        <v>52383</v>
      </c>
      <c r="I1855" s="5">
        <v>0</v>
      </c>
      <c r="J1855" s="5">
        <f t="shared" si="164"/>
        <v>0</v>
      </c>
      <c r="K1855" s="5">
        <v>0</v>
      </c>
      <c r="L1855" s="5">
        <f t="shared" si="165"/>
        <v>0</v>
      </c>
      <c r="M1855" s="5">
        <f t="shared" si="167"/>
        <v>52383</v>
      </c>
      <c r="N1855" s="5">
        <f t="shared" si="167"/>
        <v>52383</v>
      </c>
      <c r="O1855" s="8" t="s">
        <v>20</v>
      </c>
      <c r="T1855">
        <v>0</v>
      </c>
      <c r="AC1855">
        <v>1</v>
      </c>
    </row>
    <row r="1856" spans="1:29" ht="30" customHeight="1" x14ac:dyDescent="0.3">
      <c r="A1856" s="8" t="s">
        <v>2108</v>
      </c>
      <c r="B1856" s="8" t="s">
        <v>700</v>
      </c>
      <c r="C1856" s="8" t="s">
        <v>694</v>
      </c>
      <c r="D1856" s="8" t="s">
        <v>701</v>
      </c>
      <c r="E1856" s="8" t="s">
        <v>179</v>
      </c>
      <c r="F1856" s="9">
        <v>1</v>
      </c>
      <c r="G1856" s="5">
        <f>TRUNC([1]단가대비표!O394,0)</f>
        <v>1400</v>
      </c>
      <c r="H1856" s="5">
        <f t="shared" si="163"/>
        <v>1400</v>
      </c>
      <c r="I1856" s="5">
        <v>0</v>
      </c>
      <c r="J1856" s="5">
        <f t="shared" si="164"/>
        <v>0</v>
      </c>
      <c r="K1856" s="5">
        <v>0</v>
      </c>
      <c r="L1856" s="5">
        <f t="shared" si="165"/>
        <v>0</v>
      </c>
      <c r="M1856" s="5">
        <f t="shared" si="167"/>
        <v>1400</v>
      </c>
      <c r="N1856" s="5">
        <f t="shared" si="167"/>
        <v>1400</v>
      </c>
      <c r="O1856" s="8" t="s">
        <v>20</v>
      </c>
      <c r="T1856">
        <v>0</v>
      </c>
      <c r="AC1856">
        <v>1</v>
      </c>
    </row>
    <row r="1857" spans="1:29" ht="30" customHeight="1" x14ac:dyDescent="0.3">
      <c r="A1857" s="8" t="s">
        <v>2108</v>
      </c>
      <c r="B1857" s="8" t="s">
        <v>702</v>
      </c>
      <c r="C1857" s="8" t="s">
        <v>694</v>
      </c>
      <c r="D1857" s="8" t="s">
        <v>703</v>
      </c>
      <c r="E1857" s="8" t="s">
        <v>179</v>
      </c>
      <c r="F1857" s="9">
        <v>1</v>
      </c>
      <c r="G1857" s="5">
        <f>TRUNC([1]단가대비표!O395,0)</f>
        <v>1400</v>
      </c>
      <c r="H1857" s="5">
        <f t="shared" si="163"/>
        <v>1400</v>
      </c>
      <c r="I1857" s="5">
        <v>0</v>
      </c>
      <c r="J1857" s="5">
        <f t="shared" si="164"/>
        <v>0</v>
      </c>
      <c r="K1857" s="5">
        <v>0</v>
      </c>
      <c r="L1857" s="5">
        <f t="shared" si="165"/>
        <v>0</v>
      </c>
      <c r="M1857" s="5">
        <f t="shared" si="167"/>
        <v>1400</v>
      </c>
      <c r="N1857" s="5">
        <f t="shared" si="167"/>
        <v>1400</v>
      </c>
      <c r="O1857" s="8" t="s">
        <v>20</v>
      </c>
      <c r="T1857">
        <v>0</v>
      </c>
      <c r="AC1857">
        <v>1</v>
      </c>
    </row>
    <row r="1858" spans="1:29" ht="30" customHeight="1" x14ac:dyDescent="0.3">
      <c r="A1858" s="8" t="s">
        <v>2108</v>
      </c>
      <c r="B1858" s="8" t="s">
        <v>848</v>
      </c>
      <c r="C1858" s="8" t="s">
        <v>694</v>
      </c>
      <c r="D1858" s="8" t="s">
        <v>849</v>
      </c>
      <c r="E1858" s="8" t="s">
        <v>179</v>
      </c>
      <c r="F1858" s="9">
        <v>1</v>
      </c>
      <c r="G1858" s="5">
        <f>TRUNC([1]단가대비표!O396,0)</f>
        <v>2000</v>
      </c>
      <c r="H1858" s="5">
        <f t="shared" si="163"/>
        <v>2000</v>
      </c>
      <c r="I1858" s="5">
        <v>0</v>
      </c>
      <c r="J1858" s="5">
        <f t="shared" si="164"/>
        <v>0</v>
      </c>
      <c r="K1858" s="5">
        <v>0</v>
      </c>
      <c r="L1858" s="5">
        <f t="shared" si="165"/>
        <v>0</v>
      </c>
      <c r="M1858" s="5">
        <f t="shared" si="167"/>
        <v>2000</v>
      </c>
      <c r="N1858" s="5">
        <f t="shared" si="167"/>
        <v>2000</v>
      </c>
      <c r="O1858" s="8" t="s">
        <v>20</v>
      </c>
      <c r="T1858">
        <v>0</v>
      </c>
      <c r="AC1858">
        <v>1</v>
      </c>
    </row>
    <row r="1859" spans="1:29" ht="30" customHeight="1" x14ac:dyDescent="0.3">
      <c r="A1859" s="8" t="s">
        <v>2108</v>
      </c>
      <c r="B1859" s="8" t="s">
        <v>152</v>
      </c>
      <c r="C1859" s="8" t="s">
        <v>153</v>
      </c>
      <c r="D1859" s="8" t="s">
        <v>154</v>
      </c>
      <c r="E1859" s="8" t="s">
        <v>155</v>
      </c>
      <c r="F1859" s="9">
        <v>1</v>
      </c>
      <c r="G1859" s="5">
        <v>0</v>
      </c>
      <c r="H1859" s="5">
        <f t="shared" si="163"/>
        <v>0</v>
      </c>
      <c r="I1859" s="5">
        <f>TRUNC([1]단가대비표!O671,0)</f>
        <v>157068</v>
      </c>
      <c r="J1859" s="5">
        <f t="shared" si="164"/>
        <v>157068</v>
      </c>
      <c r="K1859" s="5">
        <v>0</v>
      </c>
      <c r="L1859" s="5">
        <f t="shared" si="165"/>
        <v>0</v>
      </c>
      <c r="M1859" s="5">
        <f t="shared" si="167"/>
        <v>157068</v>
      </c>
      <c r="N1859" s="5">
        <f t="shared" si="167"/>
        <v>157068</v>
      </c>
      <c r="O1859" s="8" t="s">
        <v>20</v>
      </c>
      <c r="T1859">
        <v>0</v>
      </c>
      <c r="W1859">
        <v>3</v>
      </c>
      <c r="AC1859">
        <v>1</v>
      </c>
    </row>
    <row r="1860" spans="1:29" ht="30" customHeight="1" x14ac:dyDescent="0.3">
      <c r="A1860" s="8" t="s">
        <v>2108</v>
      </c>
      <c r="B1860" s="8" t="s">
        <v>553</v>
      </c>
      <c r="C1860" s="8" t="s">
        <v>153</v>
      </c>
      <c r="D1860" s="8" t="s">
        <v>554</v>
      </c>
      <c r="E1860" s="8" t="s">
        <v>155</v>
      </c>
      <c r="F1860" s="9">
        <v>1</v>
      </c>
      <c r="G1860" s="5">
        <v>0</v>
      </c>
      <c r="H1860" s="5">
        <f t="shared" si="163"/>
        <v>0</v>
      </c>
      <c r="I1860" s="5">
        <f>TRUNC([1]단가대비표!O668,0)</f>
        <v>214118</v>
      </c>
      <c r="J1860" s="5">
        <f t="shared" si="164"/>
        <v>214118</v>
      </c>
      <c r="K1860" s="5">
        <v>0</v>
      </c>
      <c r="L1860" s="5">
        <f t="shared" si="165"/>
        <v>0</v>
      </c>
      <c r="M1860" s="5">
        <f t="shared" si="167"/>
        <v>214118</v>
      </c>
      <c r="N1860" s="5">
        <f t="shared" si="167"/>
        <v>214118</v>
      </c>
      <c r="O1860" s="8" t="s">
        <v>20</v>
      </c>
      <c r="T1860">
        <v>0</v>
      </c>
      <c r="W1860">
        <v>3</v>
      </c>
      <c r="AC1860">
        <v>1</v>
      </c>
    </row>
    <row r="1861" spans="1:29" ht="30" customHeight="1" x14ac:dyDescent="0.3">
      <c r="A1861" s="8" t="s">
        <v>2108</v>
      </c>
      <c r="B1861" s="8" t="s">
        <v>158</v>
      </c>
      <c r="C1861" s="8" t="s">
        <v>159</v>
      </c>
      <c r="D1861" s="8" t="s">
        <v>160</v>
      </c>
      <c r="E1861" s="8" t="s">
        <v>161</v>
      </c>
      <c r="F1861" s="9">
        <v>1</v>
      </c>
      <c r="G1861" s="5">
        <f>ROUNDDOWN(SUMIF(W1799:W1861, RIGHTB(B1861, 1), J1799:J1861)*T1861, 0)</f>
        <v>7423</v>
      </c>
      <c r="H1861" s="5">
        <f t="shared" si="163"/>
        <v>7423</v>
      </c>
      <c r="I1861" s="5">
        <v>0</v>
      </c>
      <c r="J1861" s="5">
        <f t="shared" si="164"/>
        <v>0</v>
      </c>
      <c r="K1861" s="5">
        <v>0</v>
      </c>
      <c r="L1861" s="5">
        <f t="shared" si="165"/>
        <v>0</v>
      </c>
      <c r="M1861" s="5">
        <f t="shared" si="167"/>
        <v>7423</v>
      </c>
      <c r="N1861" s="5">
        <f t="shared" si="167"/>
        <v>7423</v>
      </c>
      <c r="O1861" s="8" t="s">
        <v>20</v>
      </c>
      <c r="P1861">
        <v>1861</v>
      </c>
      <c r="R1861">
        <v>1</v>
      </c>
      <c r="S1861">
        <v>0</v>
      </c>
      <c r="T1861">
        <v>0.02</v>
      </c>
      <c r="AC1861">
        <v>1</v>
      </c>
    </row>
    <row r="1862" spans="1:29" ht="30" customHeight="1" x14ac:dyDescent="0.3">
      <c r="A1862" s="5"/>
      <c r="B1862" s="5"/>
      <c r="C1862" s="5"/>
      <c r="D1862" s="5"/>
      <c r="E1862" s="5"/>
      <c r="F1862" s="9"/>
      <c r="G1862" s="5"/>
      <c r="H1862" s="5"/>
      <c r="I1862" s="5"/>
      <c r="J1862" s="5"/>
      <c r="K1862" s="5"/>
      <c r="L1862" s="5"/>
      <c r="M1862" s="5"/>
      <c r="N1862" s="5"/>
      <c r="O1862" s="5"/>
    </row>
    <row r="1863" spans="1:29" ht="30" customHeight="1" x14ac:dyDescent="0.3">
      <c r="A1863" s="5"/>
      <c r="B1863" s="5"/>
      <c r="C1863" s="5"/>
      <c r="D1863" s="5"/>
      <c r="E1863" s="5"/>
      <c r="F1863" s="9"/>
      <c r="G1863" s="5"/>
      <c r="H1863" s="5"/>
      <c r="I1863" s="5"/>
      <c r="J1863" s="5"/>
      <c r="K1863" s="5"/>
      <c r="L1863" s="5"/>
      <c r="M1863" s="5"/>
      <c r="N1863" s="5"/>
      <c r="O1863" s="5"/>
    </row>
    <row r="1864" spans="1:29" ht="30" customHeight="1" x14ac:dyDescent="0.3">
      <c r="A1864" s="5"/>
      <c r="B1864" s="5"/>
      <c r="C1864" s="5"/>
      <c r="D1864" s="5"/>
      <c r="E1864" s="5"/>
      <c r="F1864" s="9"/>
      <c r="G1864" s="5"/>
      <c r="H1864" s="5"/>
      <c r="I1864" s="5"/>
      <c r="J1864" s="5"/>
      <c r="K1864" s="5"/>
      <c r="L1864" s="5"/>
      <c r="M1864" s="5"/>
      <c r="N1864" s="5"/>
      <c r="O1864" s="5"/>
    </row>
    <row r="1865" spans="1:29" ht="30" customHeight="1" x14ac:dyDescent="0.3">
      <c r="A1865" s="5"/>
      <c r="B1865" s="5"/>
      <c r="C1865" s="5"/>
      <c r="D1865" s="5"/>
      <c r="E1865" s="5"/>
      <c r="F1865" s="9"/>
      <c r="G1865" s="5"/>
      <c r="H1865" s="5"/>
      <c r="I1865" s="5"/>
      <c r="J1865" s="5"/>
      <c r="K1865" s="5"/>
      <c r="L1865" s="5"/>
      <c r="M1865" s="5"/>
      <c r="N1865" s="5"/>
      <c r="O1865" s="5"/>
    </row>
    <row r="1866" spans="1:29" ht="30" customHeight="1" x14ac:dyDescent="0.3">
      <c r="A1866" s="5"/>
      <c r="B1866" s="5"/>
      <c r="C1866" s="5"/>
      <c r="D1866" s="5"/>
      <c r="E1866" s="5"/>
      <c r="F1866" s="9"/>
      <c r="G1866" s="5"/>
      <c r="H1866" s="5"/>
      <c r="I1866" s="5"/>
      <c r="J1866" s="5"/>
      <c r="K1866" s="5"/>
      <c r="L1866" s="5"/>
      <c r="M1866" s="5"/>
      <c r="N1866" s="5"/>
      <c r="O1866" s="5"/>
    </row>
    <row r="1867" spans="1:29" ht="30" customHeight="1" x14ac:dyDescent="0.3">
      <c r="A1867" s="5"/>
      <c r="B1867" s="5"/>
      <c r="C1867" s="5"/>
      <c r="D1867" s="5"/>
      <c r="E1867" s="5"/>
      <c r="F1867" s="9"/>
      <c r="G1867" s="5"/>
      <c r="H1867" s="5"/>
      <c r="I1867" s="5"/>
      <c r="J1867" s="5"/>
      <c r="K1867" s="5"/>
      <c r="L1867" s="5"/>
      <c r="M1867" s="5"/>
      <c r="N1867" s="5"/>
      <c r="O1867" s="5"/>
    </row>
    <row r="1868" spans="1:29" ht="30" customHeight="1" x14ac:dyDescent="0.3">
      <c r="A1868" s="5"/>
      <c r="B1868" s="5"/>
      <c r="C1868" s="5"/>
      <c r="D1868" s="5"/>
      <c r="E1868" s="5"/>
      <c r="F1868" s="9"/>
      <c r="G1868" s="5"/>
      <c r="H1868" s="5"/>
      <c r="I1868" s="5"/>
      <c r="J1868" s="5"/>
      <c r="K1868" s="5"/>
      <c r="L1868" s="5"/>
      <c r="M1868" s="5"/>
      <c r="N1868" s="5"/>
      <c r="O1868" s="5"/>
    </row>
    <row r="1869" spans="1:29" ht="30" customHeight="1" x14ac:dyDescent="0.3">
      <c r="A1869" s="5"/>
      <c r="B1869" s="5"/>
      <c r="C1869" s="5"/>
      <c r="D1869" s="5"/>
      <c r="E1869" s="5"/>
      <c r="F1869" s="9"/>
      <c r="G1869" s="5"/>
      <c r="H1869" s="5"/>
      <c r="I1869" s="5"/>
      <c r="J1869" s="5"/>
      <c r="K1869" s="5"/>
      <c r="L1869" s="5"/>
      <c r="M1869" s="5"/>
      <c r="N1869" s="5"/>
      <c r="O1869" s="5"/>
    </row>
    <row r="1870" spans="1:29" ht="30" customHeight="1" x14ac:dyDescent="0.3">
      <c r="A1870" s="5"/>
      <c r="B1870" s="5"/>
      <c r="C1870" s="5"/>
      <c r="D1870" s="5"/>
      <c r="E1870" s="5"/>
      <c r="F1870" s="9"/>
      <c r="G1870" s="5"/>
      <c r="H1870" s="5"/>
      <c r="I1870" s="5"/>
      <c r="J1870" s="5"/>
      <c r="K1870" s="5"/>
      <c r="L1870" s="5"/>
      <c r="M1870" s="5"/>
      <c r="N1870" s="5"/>
      <c r="O1870" s="5"/>
    </row>
    <row r="1871" spans="1:29" ht="30" customHeight="1" x14ac:dyDescent="0.3">
      <c r="A1871" s="5"/>
      <c r="B1871" s="5"/>
      <c r="C1871" s="5"/>
      <c r="D1871" s="5"/>
      <c r="E1871" s="5"/>
      <c r="F1871" s="9"/>
      <c r="G1871" s="5"/>
      <c r="H1871" s="5"/>
      <c r="I1871" s="5"/>
      <c r="J1871" s="5"/>
      <c r="K1871" s="5"/>
      <c r="L1871" s="5"/>
      <c r="M1871" s="5"/>
      <c r="N1871" s="5"/>
      <c r="O1871" s="5"/>
    </row>
    <row r="1872" spans="1:29" ht="30" customHeight="1" x14ac:dyDescent="0.3">
      <c r="A1872" s="5"/>
      <c r="B1872" s="5"/>
      <c r="C1872" s="5"/>
      <c r="D1872" s="5"/>
      <c r="E1872" s="5"/>
      <c r="F1872" s="9"/>
      <c r="G1872" s="5"/>
      <c r="H1872" s="5"/>
      <c r="I1872" s="5"/>
      <c r="J1872" s="5"/>
      <c r="K1872" s="5"/>
      <c r="L1872" s="5"/>
      <c r="M1872" s="5"/>
      <c r="N1872" s="5"/>
      <c r="O1872" s="5"/>
    </row>
    <row r="1873" spans="1:29" ht="30" customHeight="1" x14ac:dyDescent="0.3">
      <c r="A1873" s="5"/>
      <c r="B1873" s="5"/>
      <c r="C1873" s="5"/>
      <c r="D1873" s="5"/>
      <c r="E1873" s="5"/>
      <c r="F1873" s="9"/>
      <c r="G1873" s="5"/>
      <c r="H1873" s="5"/>
      <c r="I1873" s="5"/>
      <c r="J1873" s="5"/>
      <c r="K1873" s="5"/>
      <c r="L1873" s="5"/>
      <c r="M1873" s="5"/>
      <c r="N1873" s="5"/>
      <c r="O1873" s="5"/>
    </row>
    <row r="1874" spans="1:29" ht="30" customHeight="1" x14ac:dyDescent="0.3">
      <c r="A1874" s="5"/>
      <c r="B1874" s="5"/>
      <c r="C1874" s="5"/>
      <c r="D1874" s="5"/>
      <c r="E1874" s="5"/>
      <c r="F1874" s="9"/>
      <c r="G1874" s="5"/>
      <c r="H1874" s="5"/>
      <c r="I1874" s="5"/>
      <c r="J1874" s="5"/>
      <c r="K1874" s="5"/>
      <c r="L1874" s="5"/>
      <c r="M1874" s="5"/>
      <c r="N1874" s="5"/>
      <c r="O1874" s="5"/>
    </row>
    <row r="1875" spans="1:29" ht="30" customHeight="1" x14ac:dyDescent="0.3">
      <c r="A1875" s="5"/>
      <c r="B1875" s="5"/>
      <c r="C1875" s="5" t="s">
        <v>162</v>
      </c>
      <c r="D1875" s="5"/>
      <c r="E1875" s="5"/>
      <c r="F1875" s="9"/>
      <c r="G1875" s="5"/>
      <c r="H1875" s="5" t="e">
        <f>SUMIF(AC1799:AC1874, 1, H1799:H1874)</f>
        <v>#REF!</v>
      </c>
      <c r="I1875" s="5"/>
      <c r="J1875" s="5" t="e">
        <f>SUMIF(AC1799:AC1874, 1, J1799:J1874)</f>
        <v>#REF!</v>
      </c>
      <c r="K1875" s="5"/>
      <c r="L1875" s="5" t="e">
        <f>SUMIF(AC1799:AC1874, 1, L1799:L1874)</f>
        <v>#REF!</v>
      </c>
      <c r="M1875" s="5"/>
      <c r="N1875" s="5" t="e">
        <f>H1875+J1875+L1875</f>
        <v>#REF!</v>
      </c>
      <c r="O1875" s="5"/>
    </row>
    <row r="1876" spans="1:29" ht="30" customHeight="1" x14ac:dyDescent="0.3">
      <c r="A1876" s="5"/>
      <c r="B1876" s="5"/>
      <c r="C1876" s="10" t="s">
        <v>2155</v>
      </c>
      <c r="D1876" s="10"/>
      <c r="E1876" s="10"/>
      <c r="F1876" s="11"/>
      <c r="G1876" s="10"/>
      <c r="H1876" s="10"/>
      <c r="I1876" s="10"/>
      <c r="J1876" s="10"/>
      <c r="K1876" s="10"/>
      <c r="L1876" s="10"/>
      <c r="M1876" s="10"/>
      <c r="N1876" s="10"/>
      <c r="O1876" s="10"/>
    </row>
    <row r="1877" spans="1:29" ht="30" customHeight="1" x14ac:dyDescent="0.3">
      <c r="A1877" s="8" t="s">
        <v>2156</v>
      </c>
      <c r="B1877" s="8" t="s">
        <v>1221</v>
      </c>
      <c r="C1877" s="8" t="s">
        <v>1222</v>
      </c>
      <c r="D1877" s="8" t="s">
        <v>1234</v>
      </c>
      <c r="E1877" s="8" t="s">
        <v>545</v>
      </c>
      <c r="F1877" s="9">
        <v>45</v>
      </c>
      <c r="G1877" s="5" t="e">
        <f>'[2].xls].xls].xls].xls].xls].xls].xls].'!E116</f>
        <v>#REF!</v>
      </c>
      <c r="H1877" s="5" t="e">
        <f t="shared" ref="H1877:H1894" si="168">TRUNC(F1877*G1877,0)</f>
        <v>#REF!</v>
      </c>
      <c r="I1877" s="5" t="e">
        <f>'[2].xls].xls].xls].xls].xls].xls].xls].'!F116</f>
        <v>#REF!</v>
      </c>
      <c r="J1877" s="5" t="e">
        <f t="shared" ref="J1877:J1894" si="169">TRUNC(F1877*I1877,0)</f>
        <v>#REF!</v>
      </c>
      <c r="K1877" s="5" t="e">
        <f>'[2].xls].xls].xls].xls].xls].xls].xls].'!G116</f>
        <v>#REF!</v>
      </c>
      <c r="L1877" s="5" t="e">
        <f t="shared" ref="L1877:L1894" si="170">TRUNC(F1877*K1877,0)</f>
        <v>#REF!</v>
      </c>
      <c r="M1877" s="5" t="e">
        <f t="shared" ref="M1877:N1894" si="171">G1877+I1877+K1877</f>
        <v>#REF!</v>
      </c>
      <c r="N1877" s="5" t="e">
        <f t="shared" si="171"/>
        <v>#REF!</v>
      </c>
      <c r="O1877" s="8" t="s">
        <v>1221</v>
      </c>
      <c r="T1877">
        <v>0</v>
      </c>
      <c r="AC1877">
        <v>1</v>
      </c>
    </row>
    <row r="1878" spans="1:29" ht="30" customHeight="1" x14ac:dyDescent="0.3">
      <c r="A1878" s="8" t="s">
        <v>2156</v>
      </c>
      <c r="B1878" s="8" t="s">
        <v>1224</v>
      </c>
      <c r="C1878" s="8" t="s">
        <v>1222</v>
      </c>
      <c r="D1878" s="8" t="s">
        <v>1225</v>
      </c>
      <c r="E1878" s="8" t="s">
        <v>545</v>
      </c>
      <c r="F1878" s="9">
        <v>63</v>
      </c>
      <c r="G1878" s="5" t="e">
        <f>'[2].xls].xls].xls].xls].xls].xls].xls].'!E117</f>
        <v>#REF!</v>
      </c>
      <c r="H1878" s="5" t="e">
        <f t="shared" si="168"/>
        <v>#REF!</v>
      </c>
      <c r="I1878" s="5" t="e">
        <f>'[2].xls].xls].xls].xls].xls].xls].xls].'!F117</f>
        <v>#REF!</v>
      </c>
      <c r="J1878" s="5" t="e">
        <f t="shared" si="169"/>
        <v>#REF!</v>
      </c>
      <c r="K1878" s="5" t="e">
        <f>'[2].xls].xls].xls].xls].xls].xls].xls].'!G117</f>
        <v>#REF!</v>
      </c>
      <c r="L1878" s="5" t="e">
        <f t="shared" si="170"/>
        <v>#REF!</v>
      </c>
      <c r="M1878" s="5" t="e">
        <f t="shared" si="171"/>
        <v>#REF!</v>
      </c>
      <c r="N1878" s="5" t="e">
        <f t="shared" si="171"/>
        <v>#REF!</v>
      </c>
      <c r="O1878" s="8" t="s">
        <v>1224</v>
      </c>
      <c r="T1878">
        <v>0</v>
      </c>
      <c r="AC1878">
        <v>1</v>
      </c>
    </row>
    <row r="1879" spans="1:29" ht="30" customHeight="1" x14ac:dyDescent="0.3">
      <c r="A1879" s="8" t="s">
        <v>2156</v>
      </c>
      <c r="B1879" s="8" t="s">
        <v>1226</v>
      </c>
      <c r="C1879" s="8" t="s">
        <v>1222</v>
      </c>
      <c r="D1879" s="8" t="s">
        <v>1227</v>
      </c>
      <c r="E1879" s="8" t="s">
        <v>545</v>
      </c>
      <c r="F1879" s="9">
        <v>1</v>
      </c>
      <c r="G1879" s="5" t="e">
        <f>'[2].xls].xls].xls].xls].xls].xls].xls].'!E118</f>
        <v>#REF!</v>
      </c>
      <c r="H1879" s="5" t="e">
        <f t="shared" si="168"/>
        <v>#REF!</v>
      </c>
      <c r="I1879" s="5" t="e">
        <f>'[2].xls].xls].xls].xls].xls].xls].xls].'!F118</f>
        <v>#REF!</v>
      </c>
      <c r="J1879" s="5" t="e">
        <f t="shared" si="169"/>
        <v>#REF!</v>
      </c>
      <c r="K1879" s="5" t="e">
        <f>'[2].xls].xls].xls].xls].xls].xls].xls].'!G118</f>
        <v>#REF!</v>
      </c>
      <c r="L1879" s="5" t="e">
        <f t="shared" si="170"/>
        <v>#REF!</v>
      </c>
      <c r="M1879" s="5" t="e">
        <f t="shared" si="171"/>
        <v>#REF!</v>
      </c>
      <c r="N1879" s="5" t="e">
        <f t="shared" si="171"/>
        <v>#REF!</v>
      </c>
      <c r="O1879" s="8" t="s">
        <v>1226</v>
      </c>
      <c r="T1879">
        <v>0</v>
      </c>
      <c r="AC1879">
        <v>1</v>
      </c>
    </row>
    <row r="1880" spans="1:29" ht="30" customHeight="1" x14ac:dyDescent="0.3">
      <c r="A1880" s="8" t="s">
        <v>2156</v>
      </c>
      <c r="B1880" s="8" t="s">
        <v>1228</v>
      </c>
      <c r="C1880" s="8" t="s">
        <v>1222</v>
      </c>
      <c r="D1880" s="8" t="s">
        <v>1229</v>
      </c>
      <c r="E1880" s="8" t="s">
        <v>545</v>
      </c>
      <c r="F1880" s="9">
        <v>1</v>
      </c>
      <c r="G1880" s="5" t="e">
        <f>'[2].xls].xls].xls].xls].xls].xls].xls].'!E119</f>
        <v>#REF!</v>
      </c>
      <c r="H1880" s="5" t="e">
        <f t="shared" si="168"/>
        <v>#REF!</v>
      </c>
      <c r="I1880" s="5" t="e">
        <f>'[2].xls].xls].xls].xls].xls].xls].xls].'!F119</f>
        <v>#REF!</v>
      </c>
      <c r="J1880" s="5" t="e">
        <f t="shared" si="169"/>
        <v>#REF!</v>
      </c>
      <c r="K1880" s="5" t="e">
        <f>'[2].xls].xls].xls].xls].xls].xls].xls].'!G119</f>
        <v>#REF!</v>
      </c>
      <c r="L1880" s="5" t="e">
        <f t="shared" si="170"/>
        <v>#REF!</v>
      </c>
      <c r="M1880" s="5" t="e">
        <f t="shared" si="171"/>
        <v>#REF!</v>
      </c>
      <c r="N1880" s="5" t="e">
        <f t="shared" si="171"/>
        <v>#REF!</v>
      </c>
      <c r="O1880" s="8" t="s">
        <v>1228</v>
      </c>
      <c r="T1880">
        <v>0</v>
      </c>
      <c r="AC1880">
        <v>1</v>
      </c>
    </row>
    <row r="1881" spans="1:29" ht="30" customHeight="1" x14ac:dyDescent="0.3">
      <c r="A1881" s="8" t="s">
        <v>2156</v>
      </c>
      <c r="B1881" s="8" t="s">
        <v>1230</v>
      </c>
      <c r="C1881" s="8" t="s">
        <v>1222</v>
      </c>
      <c r="D1881" s="8" t="s">
        <v>1231</v>
      </c>
      <c r="E1881" s="8" t="s">
        <v>545</v>
      </c>
      <c r="F1881" s="9">
        <v>1</v>
      </c>
      <c r="G1881" s="5" t="e">
        <f>'[2].xls].xls].xls].xls].xls].xls].xls].'!E120</f>
        <v>#REF!</v>
      </c>
      <c r="H1881" s="5" t="e">
        <f t="shared" si="168"/>
        <v>#REF!</v>
      </c>
      <c r="I1881" s="5" t="e">
        <f>'[2].xls].xls].xls].xls].xls].xls].xls].'!F120</f>
        <v>#REF!</v>
      </c>
      <c r="J1881" s="5" t="e">
        <f t="shared" si="169"/>
        <v>#REF!</v>
      </c>
      <c r="K1881" s="5" t="e">
        <f>'[2].xls].xls].xls].xls].xls].xls].xls].'!G120</f>
        <v>#REF!</v>
      </c>
      <c r="L1881" s="5" t="e">
        <f t="shared" si="170"/>
        <v>#REF!</v>
      </c>
      <c r="M1881" s="5" t="e">
        <f t="shared" si="171"/>
        <v>#REF!</v>
      </c>
      <c r="N1881" s="5" t="e">
        <f t="shared" si="171"/>
        <v>#REF!</v>
      </c>
      <c r="O1881" s="8" t="s">
        <v>1230</v>
      </c>
      <c r="T1881">
        <v>0</v>
      </c>
      <c r="AC1881">
        <v>1</v>
      </c>
    </row>
    <row r="1882" spans="1:29" ht="30" customHeight="1" x14ac:dyDescent="0.3">
      <c r="A1882" s="8" t="s">
        <v>2156</v>
      </c>
      <c r="B1882" s="8" t="s">
        <v>1237</v>
      </c>
      <c r="C1882" s="8" t="s">
        <v>1238</v>
      </c>
      <c r="D1882" s="8" t="s">
        <v>1239</v>
      </c>
      <c r="E1882" s="8" t="s">
        <v>545</v>
      </c>
      <c r="F1882" s="9">
        <v>3</v>
      </c>
      <c r="G1882" s="5" t="e">
        <f>'[2].xls].xls].xls].xls].xls].xls].xls].'!E124</f>
        <v>#REF!</v>
      </c>
      <c r="H1882" s="5" t="e">
        <f t="shared" si="168"/>
        <v>#REF!</v>
      </c>
      <c r="I1882" s="5" t="e">
        <f>'[2].xls].xls].xls].xls].xls].xls].xls].'!F124</f>
        <v>#REF!</v>
      </c>
      <c r="J1882" s="5" t="e">
        <f t="shared" si="169"/>
        <v>#REF!</v>
      </c>
      <c r="K1882" s="5" t="e">
        <f>'[2].xls].xls].xls].xls].xls].xls].xls].'!G124</f>
        <v>#REF!</v>
      </c>
      <c r="L1882" s="5" t="e">
        <f t="shared" si="170"/>
        <v>#REF!</v>
      </c>
      <c r="M1882" s="5" t="e">
        <f t="shared" si="171"/>
        <v>#REF!</v>
      </c>
      <c r="N1882" s="5" t="e">
        <f t="shared" si="171"/>
        <v>#REF!</v>
      </c>
      <c r="O1882" s="8" t="s">
        <v>1237</v>
      </c>
      <c r="T1882">
        <v>0</v>
      </c>
      <c r="AC1882">
        <v>1</v>
      </c>
    </row>
    <row r="1883" spans="1:29" ht="30" customHeight="1" x14ac:dyDescent="0.3">
      <c r="A1883" s="8" t="s">
        <v>2156</v>
      </c>
      <c r="B1883" s="8" t="s">
        <v>1252</v>
      </c>
      <c r="C1883" s="8" t="s">
        <v>1253</v>
      </c>
      <c r="D1883" s="8" t="s">
        <v>1254</v>
      </c>
      <c r="E1883" s="8" t="s">
        <v>179</v>
      </c>
      <c r="F1883" s="9">
        <v>11</v>
      </c>
      <c r="G1883" s="5">
        <f>TRUNC([1]단가대비표!O12,0)</f>
        <v>11514</v>
      </c>
      <c r="H1883" s="5">
        <f t="shared" si="168"/>
        <v>126654</v>
      </c>
      <c r="I1883" s="5">
        <v>0</v>
      </c>
      <c r="J1883" s="5">
        <f t="shared" si="169"/>
        <v>0</v>
      </c>
      <c r="K1883" s="5">
        <v>0</v>
      </c>
      <c r="L1883" s="5">
        <f t="shared" si="170"/>
        <v>0</v>
      </c>
      <c r="M1883" s="5">
        <f t="shared" si="171"/>
        <v>11514</v>
      </c>
      <c r="N1883" s="5">
        <f t="shared" si="171"/>
        <v>126654</v>
      </c>
      <c r="O1883" s="8" t="s">
        <v>20</v>
      </c>
      <c r="T1883">
        <v>0</v>
      </c>
      <c r="AC1883">
        <v>1</v>
      </c>
    </row>
    <row r="1884" spans="1:29" ht="30" customHeight="1" x14ac:dyDescent="0.3">
      <c r="A1884" s="8" t="s">
        <v>2156</v>
      </c>
      <c r="B1884" s="8" t="s">
        <v>1264</v>
      </c>
      <c r="C1884" s="8" t="s">
        <v>1262</v>
      </c>
      <c r="D1884" s="8" t="s">
        <v>1265</v>
      </c>
      <c r="E1884" s="8" t="s">
        <v>168</v>
      </c>
      <c r="F1884" s="9">
        <v>17</v>
      </c>
      <c r="G1884" s="5">
        <f>TRUNC([1]단가대비표!O17,0)</f>
        <v>4080</v>
      </c>
      <c r="H1884" s="5">
        <f t="shared" si="168"/>
        <v>69360</v>
      </c>
      <c r="I1884" s="5">
        <v>0</v>
      </c>
      <c r="J1884" s="5">
        <f t="shared" si="169"/>
        <v>0</v>
      </c>
      <c r="K1884" s="5">
        <v>0</v>
      </c>
      <c r="L1884" s="5">
        <f t="shared" si="170"/>
        <v>0</v>
      </c>
      <c r="M1884" s="5">
        <f t="shared" si="171"/>
        <v>4080</v>
      </c>
      <c r="N1884" s="5">
        <f t="shared" si="171"/>
        <v>69360</v>
      </c>
      <c r="O1884" s="8" t="s">
        <v>20</v>
      </c>
      <c r="T1884">
        <v>0</v>
      </c>
      <c r="AC1884">
        <v>1</v>
      </c>
    </row>
    <row r="1885" spans="1:29" ht="30" customHeight="1" x14ac:dyDescent="0.3">
      <c r="A1885" s="8" t="s">
        <v>2156</v>
      </c>
      <c r="B1885" s="8" t="s">
        <v>1283</v>
      </c>
      <c r="C1885" s="8" t="s">
        <v>1282</v>
      </c>
      <c r="D1885" s="8" t="s">
        <v>352</v>
      </c>
      <c r="E1885" s="8" t="s">
        <v>179</v>
      </c>
      <c r="F1885" s="9">
        <v>22</v>
      </c>
      <c r="G1885" s="5">
        <f>TRUNC([1]단가대비표!O601,0)</f>
        <v>842</v>
      </c>
      <c r="H1885" s="5">
        <f t="shared" si="168"/>
        <v>18524</v>
      </c>
      <c r="I1885" s="5">
        <v>0</v>
      </c>
      <c r="J1885" s="5">
        <f t="shared" si="169"/>
        <v>0</v>
      </c>
      <c r="K1885" s="5">
        <v>0</v>
      </c>
      <c r="L1885" s="5">
        <f t="shared" si="170"/>
        <v>0</v>
      </c>
      <c r="M1885" s="5">
        <f t="shared" si="171"/>
        <v>842</v>
      </c>
      <c r="N1885" s="5">
        <f t="shared" si="171"/>
        <v>18524</v>
      </c>
      <c r="O1885" s="8" t="s">
        <v>20</v>
      </c>
      <c r="T1885">
        <v>0</v>
      </c>
      <c r="AC1885">
        <v>1</v>
      </c>
    </row>
    <row r="1886" spans="1:29" ht="30" customHeight="1" x14ac:dyDescent="0.3">
      <c r="A1886" s="8" t="s">
        <v>2156</v>
      </c>
      <c r="B1886" s="8" t="s">
        <v>1285</v>
      </c>
      <c r="C1886" s="8" t="s">
        <v>1286</v>
      </c>
      <c r="D1886" s="8" t="s">
        <v>1287</v>
      </c>
      <c r="E1886" s="8" t="s">
        <v>545</v>
      </c>
      <c r="F1886" s="9">
        <v>1</v>
      </c>
      <c r="G1886" s="5">
        <f>TRUNC([1]단가대비표!O603,0)</f>
        <v>10000</v>
      </c>
      <c r="H1886" s="5">
        <f t="shared" si="168"/>
        <v>10000</v>
      </c>
      <c r="I1886" s="5">
        <v>0</v>
      </c>
      <c r="J1886" s="5">
        <f t="shared" si="169"/>
        <v>0</v>
      </c>
      <c r="K1886" s="5">
        <v>0</v>
      </c>
      <c r="L1886" s="5">
        <f t="shared" si="170"/>
        <v>0</v>
      </c>
      <c r="M1886" s="5">
        <f t="shared" si="171"/>
        <v>10000</v>
      </c>
      <c r="N1886" s="5">
        <f t="shared" si="171"/>
        <v>10000</v>
      </c>
      <c r="O1886" s="8" t="s">
        <v>20</v>
      </c>
      <c r="T1886">
        <v>0</v>
      </c>
      <c r="AC1886">
        <v>1</v>
      </c>
    </row>
    <row r="1887" spans="1:29" ht="30" customHeight="1" x14ac:dyDescent="0.3">
      <c r="A1887" s="8" t="s">
        <v>2156</v>
      </c>
      <c r="B1887" s="8" t="s">
        <v>1297</v>
      </c>
      <c r="C1887" s="8" t="s">
        <v>543</v>
      </c>
      <c r="D1887" s="8" t="s">
        <v>1298</v>
      </c>
      <c r="E1887" s="8" t="s">
        <v>545</v>
      </c>
      <c r="F1887" s="9">
        <v>62</v>
      </c>
      <c r="G1887" s="5" t="e">
        <f>'[2].xls].xls].xls].xls].xls].xls].xls].'!E131</f>
        <v>#REF!</v>
      </c>
      <c r="H1887" s="5" t="e">
        <f t="shared" si="168"/>
        <v>#REF!</v>
      </c>
      <c r="I1887" s="5" t="e">
        <f>'[2].xls].xls].xls].xls].xls].xls].xls].'!F131</f>
        <v>#REF!</v>
      </c>
      <c r="J1887" s="5" t="e">
        <f t="shared" si="169"/>
        <v>#REF!</v>
      </c>
      <c r="K1887" s="5" t="e">
        <f>'[2].xls].xls].xls].xls].xls].xls].xls].'!G131</f>
        <v>#REF!</v>
      </c>
      <c r="L1887" s="5" t="e">
        <f t="shared" si="170"/>
        <v>#REF!</v>
      </c>
      <c r="M1887" s="5" t="e">
        <f t="shared" si="171"/>
        <v>#REF!</v>
      </c>
      <c r="N1887" s="5" t="e">
        <f t="shared" si="171"/>
        <v>#REF!</v>
      </c>
      <c r="O1887" s="8" t="s">
        <v>1297</v>
      </c>
      <c r="T1887">
        <v>0</v>
      </c>
      <c r="AC1887">
        <v>1</v>
      </c>
    </row>
    <row r="1888" spans="1:29" ht="30" customHeight="1" x14ac:dyDescent="0.3">
      <c r="A1888" s="8" t="s">
        <v>2156</v>
      </c>
      <c r="B1888" s="8" t="s">
        <v>1325</v>
      </c>
      <c r="C1888" s="8" t="s">
        <v>1319</v>
      </c>
      <c r="D1888" s="8" t="s">
        <v>1326</v>
      </c>
      <c r="E1888" s="8" t="s">
        <v>179</v>
      </c>
      <c r="F1888" s="9">
        <v>6</v>
      </c>
      <c r="G1888" s="5">
        <f>TRUNC([1]단가대비표!O914,0)</f>
        <v>15000</v>
      </c>
      <c r="H1888" s="5">
        <f t="shared" si="168"/>
        <v>90000</v>
      </c>
      <c r="I1888" s="5">
        <v>0</v>
      </c>
      <c r="J1888" s="5">
        <f t="shared" si="169"/>
        <v>0</v>
      </c>
      <c r="K1888" s="5">
        <v>0</v>
      </c>
      <c r="L1888" s="5">
        <f t="shared" si="170"/>
        <v>0</v>
      </c>
      <c r="M1888" s="5">
        <f t="shared" si="171"/>
        <v>15000</v>
      </c>
      <c r="N1888" s="5">
        <f t="shared" si="171"/>
        <v>90000</v>
      </c>
      <c r="O1888" s="8" t="s">
        <v>20</v>
      </c>
      <c r="T1888">
        <v>0</v>
      </c>
      <c r="AC1888">
        <v>1</v>
      </c>
    </row>
    <row r="1889" spans="1:29" ht="30" customHeight="1" x14ac:dyDescent="0.3">
      <c r="A1889" s="8" t="s">
        <v>2156</v>
      </c>
      <c r="B1889" s="8" t="s">
        <v>1384</v>
      </c>
      <c r="C1889" s="8" t="s">
        <v>1385</v>
      </c>
      <c r="D1889" s="8" t="s">
        <v>1386</v>
      </c>
      <c r="E1889" s="8" t="s">
        <v>179</v>
      </c>
      <c r="F1889" s="9">
        <v>1</v>
      </c>
      <c r="G1889" s="5">
        <f>TRUNC([1]단가대비표!O927,0)</f>
        <v>5000</v>
      </c>
      <c r="H1889" s="5">
        <f t="shared" si="168"/>
        <v>5000</v>
      </c>
      <c r="I1889" s="5">
        <v>0</v>
      </c>
      <c r="J1889" s="5">
        <f t="shared" si="169"/>
        <v>0</v>
      </c>
      <c r="K1889" s="5">
        <v>0</v>
      </c>
      <c r="L1889" s="5">
        <f t="shared" si="170"/>
        <v>0</v>
      </c>
      <c r="M1889" s="5">
        <f t="shared" si="171"/>
        <v>5000</v>
      </c>
      <c r="N1889" s="5">
        <f t="shared" si="171"/>
        <v>5000</v>
      </c>
      <c r="O1889" s="8" t="s">
        <v>20</v>
      </c>
      <c r="T1889">
        <v>0</v>
      </c>
      <c r="AC1889">
        <v>1</v>
      </c>
    </row>
    <row r="1890" spans="1:29" ht="30" customHeight="1" x14ac:dyDescent="0.3">
      <c r="A1890" s="8" t="s">
        <v>2156</v>
      </c>
      <c r="B1890" s="8" t="s">
        <v>1387</v>
      </c>
      <c r="C1890" s="8" t="s">
        <v>1385</v>
      </c>
      <c r="D1890" s="8" t="s">
        <v>1388</v>
      </c>
      <c r="E1890" s="8" t="s">
        <v>179</v>
      </c>
      <c r="F1890" s="9">
        <v>2</v>
      </c>
      <c r="G1890" s="5">
        <f>TRUNC([1]단가대비표!O928,0)</f>
        <v>5000</v>
      </c>
      <c r="H1890" s="5">
        <f t="shared" si="168"/>
        <v>10000</v>
      </c>
      <c r="I1890" s="5">
        <v>0</v>
      </c>
      <c r="J1890" s="5">
        <f t="shared" si="169"/>
        <v>0</v>
      </c>
      <c r="K1890" s="5">
        <v>0</v>
      </c>
      <c r="L1890" s="5">
        <f t="shared" si="170"/>
        <v>0</v>
      </c>
      <c r="M1890" s="5">
        <f t="shared" si="171"/>
        <v>5000</v>
      </c>
      <c r="N1890" s="5">
        <f t="shared" si="171"/>
        <v>10000</v>
      </c>
      <c r="O1890" s="8" t="s">
        <v>20</v>
      </c>
      <c r="T1890">
        <v>0</v>
      </c>
      <c r="AC1890">
        <v>1</v>
      </c>
    </row>
    <row r="1891" spans="1:29" ht="30" customHeight="1" x14ac:dyDescent="0.3">
      <c r="A1891" s="8" t="s">
        <v>2156</v>
      </c>
      <c r="B1891" s="8" t="s">
        <v>1391</v>
      </c>
      <c r="C1891" s="8" t="s">
        <v>1385</v>
      </c>
      <c r="D1891" s="8" t="s">
        <v>1392</v>
      </c>
      <c r="E1891" s="8" t="s">
        <v>179</v>
      </c>
      <c r="F1891" s="9">
        <v>1</v>
      </c>
      <c r="G1891" s="5">
        <f>TRUNC([1]단가대비표!O930,0)</f>
        <v>5500</v>
      </c>
      <c r="H1891" s="5">
        <f t="shared" si="168"/>
        <v>5500</v>
      </c>
      <c r="I1891" s="5">
        <v>0</v>
      </c>
      <c r="J1891" s="5">
        <f t="shared" si="169"/>
        <v>0</v>
      </c>
      <c r="K1891" s="5">
        <v>0</v>
      </c>
      <c r="L1891" s="5">
        <f t="shared" si="170"/>
        <v>0</v>
      </c>
      <c r="M1891" s="5">
        <f t="shared" si="171"/>
        <v>5500</v>
      </c>
      <c r="N1891" s="5">
        <f t="shared" si="171"/>
        <v>5500</v>
      </c>
      <c r="O1891" s="8" t="s">
        <v>20</v>
      </c>
      <c r="T1891">
        <v>0</v>
      </c>
      <c r="AC1891">
        <v>1</v>
      </c>
    </row>
    <row r="1892" spans="1:29" ht="30" customHeight="1" x14ac:dyDescent="0.3">
      <c r="A1892" s="8" t="s">
        <v>2156</v>
      </c>
      <c r="B1892" s="8" t="s">
        <v>1413</v>
      </c>
      <c r="C1892" s="8" t="s">
        <v>1385</v>
      </c>
      <c r="D1892" s="8" t="s">
        <v>1313</v>
      </c>
      <c r="E1892" s="8" t="s">
        <v>179</v>
      </c>
      <c r="F1892" s="9">
        <v>2</v>
      </c>
      <c r="G1892" s="5">
        <f>TRUNC([1]단가대비표!O938,0)</f>
        <v>16500</v>
      </c>
      <c r="H1892" s="5">
        <f t="shared" si="168"/>
        <v>33000</v>
      </c>
      <c r="I1892" s="5">
        <v>0</v>
      </c>
      <c r="J1892" s="5">
        <f t="shared" si="169"/>
        <v>0</v>
      </c>
      <c r="K1892" s="5">
        <v>0</v>
      </c>
      <c r="L1892" s="5">
        <f t="shared" si="170"/>
        <v>0</v>
      </c>
      <c r="M1892" s="5">
        <f t="shared" si="171"/>
        <v>16500</v>
      </c>
      <c r="N1892" s="5">
        <f t="shared" si="171"/>
        <v>33000</v>
      </c>
      <c r="O1892" s="8" t="s">
        <v>20</v>
      </c>
      <c r="T1892">
        <v>0</v>
      </c>
      <c r="AC1892">
        <v>1</v>
      </c>
    </row>
    <row r="1893" spans="1:29" ht="30" customHeight="1" x14ac:dyDescent="0.3">
      <c r="A1893" s="8" t="s">
        <v>2156</v>
      </c>
      <c r="B1893" s="8" t="s">
        <v>1438</v>
      </c>
      <c r="C1893" s="8" t="s">
        <v>153</v>
      </c>
      <c r="D1893" s="8" t="s">
        <v>1439</v>
      </c>
      <c r="E1893" s="8" t="s">
        <v>155</v>
      </c>
      <c r="F1893" s="9">
        <v>11</v>
      </c>
      <c r="G1893" s="5">
        <v>0</v>
      </c>
      <c r="H1893" s="5">
        <f t="shared" si="168"/>
        <v>0</v>
      </c>
      <c r="I1893" s="5">
        <f>TRUNC([1]단가대비표!O666,0)</f>
        <v>198718</v>
      </c>
      <c r="J1893" s="5">
        <f t="shared" si="169"/>
        <v>2185898</v>
      </c>
      <c r="K1893" s="5">
        <v>0</v>
      </c>
      <c r="L1893" s="5">
        <f t="shared" si="170"/>
        <v>0</v>
      </c>
      <c r="M1893" s="5">
        <f t="shared" si="171"/>
        <v>198718</v>
      </c>
      <c r="N1893" s="5">
        <f t="shared" si="171"/>
        <v>2185898</v>
      </c>
      <c r="O1893" s="8" t="s">
        <v>20</v>
      </c>
      <c r="T1893">
        <v>0</v>
      </c>
      <c r="W1893">
        <v>3</v>
      </c>
      <c r="AC1893">
        <v>1</v>
      </c>
    </row>
    <row r="1894" spans="1:29" ht="30" customHeight="1" x14ac:dyDescent="0.3">
      <c r="A1894" s="8" t="s">
        <v>2156</v>
      </c>
      <c r="B1894" s="8" t="s">
        <v>158</v>
      </c>
      <c r="C1894" s="8" t="s">
        <v>159</v>
      </c>
      <c r="D1894" s="8" t="s">
        <v>160</v>
      </c>
      <c r="E1894" s="8" t="s">
        <v>161</v>
      </c>
      <c r="F1894" s="9">
        <v>1</v>
      </c>
      <c r="G1894" s="5">
        <f>ROUNDDOWN(SUMIF(W1877:W1894, RIGHTB(B1894, 1), J1877:J1894)*T1894, 0)</f>
        <v>43717</v>
      </c>
      <c r="H1894" s="5">
        <f t="shared" si="168"/>
        <v>43717</v>
      </c>
      <c r="I1894" s="5">
        <v>0</v>
      </c>
      <c r="J1894" s="5">
        <f t="shared" si="169"/>
        <v>0</v>
      </c>
      <c r="K1894" s="5">
        <v>0</v>
      </c>
      <c r="L1894" s="5">
        <f t="shared" si="170"/>
        <v>0</v>
      </c>
      <c r="M1894" s="5">
        <f t="shared" si="171"/>
        <v>43717</v>
      </c>
      <c r="N1894" s="5">
        <f t="shared" si="171"/>
        <v>43717</v>
      </c>
      <c r="O1894" s="8" t="s">
        <v>20</v>
      </c>
      <c r="P1894">
        <v>1894</v>
      </c>
      <c r="R1894">
        <v>1</v>
      </c>
      <c r="S1894">
        <v>0</v>
      </c>
      <c r="T1894">
        <v>0.02</v>
      </c>
      <c r="AC1894">
        <v>1</v>
      </c>
    </row>
    <row r="1895" spans="1:29" ht="30" customHeight="1" x14ac:dyDescent="0.3">
      <c r="A1895" s="5"/>
      <c r="B1895" s="5"/>
      <c r="C1895" s="5"/>
      <c r="D1895" s="5"/>
      <c r="E1895" s="5"/>
      <c r="F1895" s="9"/>
      <c r="G1895" s="5"/>
      <c r="H1895" s="5"/>
      <c r="I1895" s="5"/>
      <c r="J1895" s="5"/>
      <c r="K1895" s="5"/>
      <c r="L1895" s="5"/>
      <c r="M1895" s="5"/>
      <c r="N1895" s="5"/>
      <c r="O1895" s="5"/>
    </row>
    <row r="1896" spans="1:29" ht="30" customHeight="1" x14ac:dyDescent="0.3">
      <c r="A1896" s="5"/>
      <c r="B1896" s="5"/>
      <c r="C1896" s="5"/>
      <c r="D1896" s="5"/>
      <c r="E1896" s="5"/>
      <c r="F1896" s="9"/>
      <c r="G1896" s="5"/>
      <c r="H1896" s="5"/>
      <c r="I1896" s="5"/>
      <c r="J1896" s="5"/>
      <c r="K1896" s="5"/>
      <c r="L1896" s="5"/>
      <c r="M1896" s="5"/>
      <c r="N1896" s="5"/>
      <c r="O1896" s="5"/>
    </row>
    <row r="1897" spans="1:29" ht="30" customHeight="1" x14ac:dyDescent="0.3">
      <c r="A1897" s="5"/>
      <c r="B1897" s="5"/>
      <c r="C1897" s="5"/>
      <c r="D1897" s="5"/>
      <c r="E1897" s="5"/>
      <c r="F1897" s="9"/>
      <c r="G1897" s="5"/>
      <c r="H1897" s="5"/>
      <c r="I1897" s="5"/>
      <c r="J1897" s="5"/>
      <c r="K1897" s="5"/>
      <c r="L1897" s="5"/>
      <c r="M1897" s="5"/>
      <c r="N1897" s="5"/>
      <c r="O1897" s="5"/>
    </row>
    <row r="1898" spans="1:29" ht="30" customHeight="1" x14ac:dyDescent="0.3">
      <c r="A1898" s="5"/>
      <c r="B1898" s="5"/>
      <c r="C1898" s="5"/>
      <c r="D1898" s="5"/>
      <c r="E1898" s="5"/>
      <c r="F1898" s="9"/>
      <c r="G1898" s="5"/>
      <c r="H1898" s="5"/>
      <c r="I1898" s="5"/>
      <c r="J1898" s="5"/>
      <c r="K1898" s="5"/>
      <c r="L1898" s="5"/>
      <c r="M1898" s="5"/>
      <c r="N1898" s="5"/>
      <c r="O1898" s="5"/>
    </row>
    <row r="1899" spans="1:29" ht="30" customHeight="1" x14ac:dyDescent="0.3">
      <c r="A1899" s="5"/>
      <c r="B1899" s="5"/>
      <c r="C1899" s="5"/>
      <c r="D1899" s="5"/>
      <c r="E1899" s="5"/>
      <c r="F1899" s="9"/>
      <c r="G1899" s="5"/>
      <c r="H1899" s="5"/>
      <c r="I1899" s="5"/>
      <c r="J1899" s="5"/>
      <c r="K1899" s="5"/>
      <c r="L1899" s="5"/>
      <c r="M1899" s="5"/>
      <c r="N1899" s="5"/>
      <c r="O1899" s="5"/>
    </row>
    <row r="1900" spans="1:29" ht="30" customHeight="1" x14ac:dyDescent="0.3">
      <c r="A1900" s="5"/>
      <c r="B1900" s="5"/>
      <c r="C1900" s="5"/>
      <c r="D1900" s="5"/>
      <c r="E1900" s="5"/>
      <c r="F1900" s="9"/>
      <c r="G1900" s="5"/>
      <c r="H1900" s="5"/>
      <c r="I1900" s="5"/>
      <c r="J1900" s="5"/>
      <c r="K1900" s="5"/>
      <c r="L1900" s="5"/>
      <c r="M1900" s="5"/>
      <c r="N1900" s="5"/>
      <c r="O1900" s="5"/>
    </row>
    <row r="1901" spans="1:29" ht="30" customHeight="1" x14ac:dyDescent="0.3">
      <c r="A1901" s="5"/>
      <c r="B1901" s="5"/>
      <c r="C1901" s="5" t="s">
        <v>162</v>
      </c>
      <c r="D1901" s="5"/>
      <c r="E1901" s="5"/>
      <c r="F1901" s="9"/>
      <c r="G1901" s="5"/>
      <c r="H1901" s="5" t="e">
        <f>SUMIF(AC1877:AC1900, 1, H1877:H1900)</f>
        <v>#REF!</v>
      </c>
      <c r="I1901" s="5"/>
      <c r="J1901" s="5" t="e">
        <f>SUMIF(AC1877:AC1900, 1, J1877:J1900)</f>
        <v>#REF!</v>
      </c>
      <c r="K1901" s="5"/>
      <c r="L1901" s="5" t="e">
        <f>SUMIF(AC1877:AC1900, 1, L1877:L1900)</f>
        <v>#REF!</v>
      </c>
      <c r="M1901" s="5"/>
      <c r="N1901" s="5" t="e">
        <f>H1901+J1901+L1901</f>
        <v>#REF!</v>
      </c>
      <c r="O1901" s="5"/>
    </row>
    <row r="1902" spans="1:29" ht="30" customHeight="1" x14ac:dyDescent="0.3">
      <c r="A1902" s="5"/>
      <c r="B1902" s="5"/>
      <c r="C1902" s="10" t="s">
        <v>2157</v>
      </c>
      <c r="D1902" s="10"/>
      <c r="E1902" s="10"/>
      <c r="F1902" s="11"/>
      <c r="G1902" s="10"/>
      <c r="H1902" s="10"/>
      <c r="I1902" s="10"/>
      <c r="J1902" s="10"/>
      <c r="K1902" s="10"/>
      <c r="L1902" s="10"/>
      <c r="M1902" s="10"/>
      <c r="N1902" s="10"/>
      <c r="O1902" s="10"/>
    </row>
    <row r="1903" spans="1:29" ht="30" customHeight="1" x14ac:dyDescent="0.3">
      <c r="A1903" s="8" t="s">
        <v>2158</v>
      </c>
      <c r="B1903" s="8" t="s">
        <v>1991</v>
      </c>
      <c r="C1903" s="8" t="s">
        <v>1992</v>
      </c>
      <c r="D1903" s="8" t="s">
        <v>20</v>
      </c>
      <c r="E1903" s="8" t="s">
        <v>20</v>
      </c>
      <c r="F1903" s="9">
        <v>0</v>
      </c>
      <c r="G1903" s="5">
        <f>TRUNC([1]단가대비표!O1896,0)</f>
        <v>0</v>
      </c>
      <c r="H1903" s="5">
        <f t="shared" ref="H1903:H1924" si="172">TRUNC(F1903*G1903,0)</f>
        <v>0</v>
      </c>
      <c r="I1903" s="5">
        <v>0</v>
      </c>
      <c r="J1903" s="5">
        <f t="shared" ref="J1903:J1924" si="173">TRUNC(F1903*I1903,0)</f>
        <v>0</v>
      </c>
      <c r="K1903" s="5">
        <v>0</v>
      </c>
      <c r="L1903" s="5">
        <f t="shared" ref="L1903:L1924" si="174">TRUNC(F1903*K1903,0)</f>
        <v>0</v>
      </c>
      <c r="M1903" s="5">
        <f t="shared" ref="M1903:N1924" si="175">G1903+I1903+K1903</f>
        <v>0</v>
      </c>
      <c r="N1903" s="5">
        <f t="shared" si="175"/>
        <v>0</v>
      </c>
      <c r="O1903" s="8" t="s">
        <v>20</v>
      </c>
      <c r="T1903">
        <v>0</v>
      </c>
      <c r="AC1903">
        <v>1</v>
      </c>
    </row>
    <row r="1904" spans="1:29" ht="30" customHeight="1" x14ac:dyDescent="0.3">
      <c r="A1904" s="8" t="s">
        <v>2158</v>
      </c>
      <c r="B1904" s="8" t="s">
        <v>1993</v>
      </c>
      <c r="C1904" s="8" t="s">
        <v>1994</v>
      </c>
      <c r="D1904" s="8" t="s">
        <v>1995</v>
      </c>
      <c r="E1904" s="8" t="s">
        <v>151</v>
      </c>
      <c r="F1904" s="9">
        <v>8</v>
      </c>
      <c r="G1904" s="5">
        <f>TRUNC([1]단가대비표!O1897,0)</f>
        <v>170000</v>
      </c>
      <c r="H1904" s="5">
        <f t="shared" si="172"/>
        <v>1360000</v>
      </c>
      <c r="I1904" s="5">
        <v>0</v>
      </c>
      <c r="J1904" s="5">
        <f t="shared" si="173"/>
        <v>0</v>
      </c>
      <c r="K1904" s="5">
        <v>0</v>
      </c>
      <c r="L1904" s="5">
        <f t="shared" si="174"/>
        <v>0</v>
      </c>
      <c r="M1904" s="5">
        <f t="shared" si="175"/>
        <v>170000</v>
      </c>
      <c r="N1904" s="5">
        <f t="shared" si="175"/>
        <v>1360000</v>
      </c>
      <c r="O1904" s="8" t="s">
        <v>20</v>
      </c>
      <c r="T1904">
        <v>0</v>
      </c>
      <c r="AC1904">
        <v>1</v>
      </c>
    </row>
    <row r="1905" spans="1:29" ht="30" customHeight="1" x14ac:dyDescent="0.3">
      <c r="A1905" s="8" t="s">
        <v>2158</v>
      </c>
      <c r="B1905" s="8" t="s">
        <v>1996</v>
      </c>
      <c r="C1905" s="8" t="s">
        <v>1997</v>
      </c>
      <c r="D1905" s="8" t="s">
        <v>1998</v>
      </c>
      <c r="E1905" s="8" t="s">
        <v>151</v>
      </c>
      <c r="F1905" s="9">
        <v>8</v>
      </c>
      <c r="G1905" s="5">
        <f>TRUNC([1]단가대비표!O1898,0)</f>
        <v>10000</v>
      </c>
      <c r="H1905" s="5">
        <f t="shared" si="172"/>
        <v>80000</v>
      </c>
      <c r="I1905" s="5">
        <v>0</v>
      </c>
      <c r="J1905" s="5">
        <f t="shared" si="173"/>
        <v>0</v>
      </c>
      <c r="K1905" s="5">
        <v>0</v>
      </c>
      <c r="L1905" s="5">
        <f t="shared" si="174"/>
        <v>0</v>
      </c>
      <c r="M1905" s="5">
        <f t="shared" si="175"/>
        <v>10000</v>
      </c>
      <c r="N1905" s="5">
        <f t="shared" si="175"/>
        <v>80000</v>
      </c>
      <c r="O1905" s="8" t="s">
        <v>20</v>
      </c>
      <c r="T1905">
        <v>0</v>
      </c>
      <c r="AC1905">
        <v>1</v>
      </c>
    </row>
    <row r="1906" spans="1:29" ht="30" customHeight="1" x14ac:dyDescent="0.3">
      <c r="A1906" s="8" t="s">
        <v>2158</v>
      </c>
      <c r="B1906" s="8" t="s">
        <v>1999</v>
      </c>
      <c r="C1906" s="8" t="s">
        <v>2000</v>
      </c>
      <c r="D1906" s="8" t="s">
        <v>2001</v>
      </c>
      <c r="E1906" s="8" t="s">
        <v>151</v>
      </c>
      <c r="F1906" s="9">
        <v>8</v>
      </c>
      <c r="G1906" s="5">
        <f>TRUNC([1]단가대비표!O1899,0)</f>
        <v>10000</v>
      </c>
      <c r="H1906" s="5">
        <f t="shared" si="172"/>
        <v>80000</v>
      </c>
      <c r="I1906" s="5">
        <v>0</v>
      </c>
      <c r="J1906" s="5">
        <f t="shared" si="173"/>
        <v>0</v>
      </c>
      <c r="K1906" s="5">
        <v>0</v>
      </c>
      <c r="L1906" s="5">
        <f t="shared" si="174"/>
        <v>0</v>
      </c>
      <c r="M1906" s="5">
        <f t="shared" si="175"/>
        <v>10000</v>
      </c>
      <c r="N1906" s="5">
        <f t="shared" si="175"/>
        <v>80000</v>
      </c>
      <c r="O1906" s="8" t="s">
        <v>20</v>
      </c>
      <c r="T1906">
        <v>0</v>
      </c>
      <c r="AC1906">
        <v>1</v>
      </c>
    </row>
    <row r="1907" spans="1:29" ht="30" customHeight="1" x14ac:dyDescent="0.3">
      <c r="A1907" s="8" t="s">
        <v>2158</v>
      </c>
      <c r="B1907" s="8" t="s">
        <v>2002</v>
      </c>
      <c r="C1907" s="8" t="s">
        <v>2003</v>
      </c>
      <c r="D1907" s="8" t="s">
        <v>2004</v>
      </c>
      <c r="E1907" s="8" t="s">
        <v>151</v>
      </c>
      <c r="F1907" s="9">
        <v>4</v>
      </c>
      <c r="G1907" s="5">
        <f>TRUNC([1]단가대비표!O1900,0)</f>
        <v>2000</v>
      </c>
      <c r="H1907" s="5">
        <f t="shared" si="172"/>
        <v>8000</v>
      </c>
      <c r="I1907" s="5">
        <v>0</v>
      </c>
      <c r="J1907" s="5">
        <f t="shared" si="173"/>
        <v>0</v>
      </c>
      <c r="K1907" s="5">
        <v>0</v>
      </c>
      <c r="L1907" s="5">
        <f t="shared" si="174"/>
        <v>0</v>
      </c>
      <c r="M1907" s="5">
        <f t="shared" si="175"/>
        <v>2000</v>
      </c>
      <c r="N1907" s="5">
        <f t="shared" si="175"/>
        <v>8000</v>
      </c>
      <c r="O1907" s="8" t="s">
        <v>20</v>
      </c>
      <c r="T1907">
        <v>0</v>
      </c>
      <c r="AC1907">
        <v>1</v>
      </c>
    </row>
    <row r="1908" spans="1:29" ht="30" customHeight="1" x14ac:dyDescent="0.3">
      <c r="A1908" s="8" t="s">
        <v>2158</v>
      </c>
      <c r="B1908" s="8" t="s">
        <v>2005</v>
      </c>
      <c r="C1908" s="8" t="s">
        <v>2006</v>
      </c>
      <c r="D1908" s="8" t="s">
        <v>2007</v>
      </c>
      <c r="E1908" s="8" t="s">
        <v>151</v>
      </c>
      <c r="F1908" s="9">
        <v>8</v>
      </c>
      <c r="G1908" s="5">
        <f>TRUNC([1]단가대비표!O1901,0)</f>
        <v>50000</v>
      </c>
      <c r="H1908" s="5">
        <f t="shared" si="172"/>
        <v>400000</v>
      </c>
      <c r="I1908" s="5">
        <v>0</v>
      </c>
      <c r="J1908" s="5">
        <f t="shared" si="173"/>
        <v>0</v>
      </c>
      <c r="K1908" s="5">
        <v>0</v>
      </c>
      <c r="L1908" s="5">
        <f t="shared" si="174"/>
        <v>0</v>
      </c>
      <c r="M1908" s="5">
        <f t="shared" si="175"/>
        <v>50000</v>
      </c>
      <c r="N1908" s="5">
        <f t="shared" si="175"/>
        <v>400000</v>
      </c>
      <c r="O1908" s="8" t="s">
        <v>20</v>
      </c>
      <c r="T1908">
        <v>0</v>
      </c>
      <c r="AC1908">
        <v>1</v>
      </c>
    </row>
    <row r="1909" spans="1:29" ht="30" customHeight="1" x14ac:dyDescent="0.3">
      <c r="A1909" s="8" t="s">
        <v>2158</v>
      </c>
      <c r="B1909" s="8" t="s">
        <v>2011</v>
      </c>
      <c r="C1909" s="8" t="s">
        <v>2012</v>
      </c>
      <c r="D1909" s="8" t="s">
        <v>2013</v>
      </c>
      <c r="E1909" s="8" t="s">
        <v>151</v>
      </c>
      <c r="F1909" s="9">
        <v>8</v>
      </c>
      <c r="G1909" s="5">
        <f>TRUNC([1]단가대비표!O1903,0)</f>
        <v>10000</v>
      </c>
      <c r="H1909" s="5">
        <f t="shared" si="172"/>
        <v>80000</v>
      </c>
      <c r="I1909" s="5">
        <v>0</v>
      </c>
      <c r="J1909" s="5">
        <f t="shared" si="173"/>
        <v>0</v>
      </c>
      <c r="K1909" s="5">
        <v>0</v>
      </c>
      <c r="L1909" s="5">
        <f t="shared" si="174"/>
        <v>0</v>
      </c>
      <c r="M1909" s="5">
        <f t="shared" si="175"/>
        <v>10000</v>
      </c>
      <c r="N1909" s="5">
        <f t="shared" si="175"/>
        <v>80000</v>
      </c>
      <c r="O1909" s="8" t="s">
        <v>20</v>
      </c>
      <c r="T1909">
        <v>0</v>
      </c>
      <c r="AC1909">
        <v>1</v>
      </c>
    </row>
    <row r="1910" spans="1:29" ht="30" customHeight="1" x14ac:dyDescent="0.3">
      <c r="A1910" s="8" t="s">
        <v>2158</v>
      </c>
      <c r="B1910" s="8" t="s">
        <v>2014</v>
      </c>
      <c r="C1910" s="8" t="s">
        <v>2015</v>
      </c>
      <c r="D1910" s="8" t="s">
        <v>2016</v>
      </c>
      <c r="E1910" s="8" t="s">
        <v>151</v>
      </c>
      <c r="F1910" s="9">
        <v>24</v>
      </c>
      <c r="G1910" s="5">
        <f>TRUNC([1]단가대비표!O1904,0)</f>
        <v>3000</v>
      </c>
      <c r="H1910" s="5">
        <f t="shared" si="172"/>
        <v>72000</v>
      </c>
      <c r="I1910" s="5">
        <v>0</v>
      </c>
      <c r="J1910" s="5">
        <f t="shared" si="173"/>
        <v>0</v>
      </c>
      <c r="K1910" s="5">
        <v>0</v>
      </c>
      <c r="L1910" s="5">
        <f t="shared" si="174"/>
        <v>0</v>
      </c>
      <c r="M1910" s="5">
        <f t="shared" si="175"/>
        <v>3000</v>
      </c>
      <c r="N1910" s="5">
        <f t="shared" si="175"/>
        <v>72000</v>
      </c>
      <c r="O1910" s="8" t="s">
        <v>20</v>
      </c>
      <c r="T1910">
        <v>0</v>
      </c>
      <c r="AC1910">
        <v>1</v>
      </c>
    </row>
    <row r="1911" spans="1:29" ht="30" customHeight="1" x14ac:dyDescent="0.3">
      <c r="A1911" s="8" t="s">
        <v>2158</v>
      </c>
      <c r="B1911" s="8" t="s">
        <v>2017</v>
      </c>
      <c r="C1911" s="8" t="s">
        <v>2018</v>
      </c>
      <c r="D1911" s="8" t="s">
        <v>20</v>
      </c>
      <c r="E1911" s="8" t="s">
        <v>20</v>
      </c>
      <c r="F1911" s="9">
        <v>0</v>
      </c>
      <c r="G1911" s="5">
        <f>TRUNC([1]단가대비표!O1905,0)</f>
        <v>0</v>
      </c>
      <c r="H1911" s="5">
        <f t="shared" si="172"/>
        <v>0</v>
      </c>
      <c r="I1911" s="5">
        <v>0</v>
      </c>
      <c r="J1911" s="5">
        <f t="shared" si="173"/>
        <v>0</v>
      </c>
      <c r="K1911" s="5">
        <v>0</v>
      </c>
      <c r="L1911" s="5">
        <f t="shared" si="174"/>
        <v>0</v>
      </c>
      <c r="M1911" s="5">
        <f t="shared" si="175"/>
        <v>0</v>
      </c>
      <c r="N1911" s="5">
        <f t="shared" si="175"/>
        <v>0</v>
      </c>
      <c r="O1911" s="8" t="s">
        <v>20</v>
      </c>
      <c r="T1911">
        <v>0</v>
      </c>
      <c r="AC1911">
        <v>1</v>
      </c>
    </row>
    <row r="1912" spans="1:29" ht="30" customHeight="1" x14ac:dyDescent="0.3">
      <c r="A1912" s="8" t="s">
        <v>2158</v>
      </c>
      <c r="B1912" s="8" t="s">
        <v>2159</v>
      </c>
      <c r="C1912" s="8" t="s">
        <v>2160</v>
      </c>
      <c r="D1912" s="8" t="s">
        <v>2161</v>
      </c>
      <c r="E1912" s="8" t="s">
        <v>151</v>
      </c>
      <c r="F1912" s="9">
        <v>1</v>
      </c>
      <c r="G1912" s="5">
        <f>TRUNC([1]단가대비표!O1915,0)</f>
        <v>400000</v>
      </c>
      <c r="H1912" s="5">
        <f t="shared" si="172"/>
        <v>400000</v>
      </c>
      <c r="I1912" s="5">
        <v>0</v>
      </c>
      <c r="J1912" s="5">
        <f t="shared" si="173"/>
        <v>0</v>
      </c>
      <c r="K1912" s="5">
        <v>0</v>
      </c>
      <c r="L1912" s="5">
        <f t="shared" si="174"/>
        <v>0</v>
      </c>
      <c r="M1912" s="5">
        <f t="shared" si="175"/>
        <v>400000</v>
      </c>
      <c r="N1912" s="5">
        <f t="shared" si="175"/>
        <v>400000</v>
      </c>
      <c r="O1912" s="8" t="s">
        <v>20</v>
      </c>
      <c r="T1912">
        <v>0</v>
      </c>
      <c r="AC1912">
        <v>1</v>
      </c>
    </row>
    <row r="1913" spans="1:29" ht="30" customHeight="1" x14ac:dyDescent="0.3">
      <c r="A1913" s="8" t="s">
        <v>2158</v>
      </c>
      <c r="B1913" s="8" t="s">
        <v>2025</v>
      </c>
      <c r="C1913" s="8" t="s">
        <v>2026</v>
      </c>
      <c r="D1913" s="8" t="s">
        <v>2027</v>
      </c>
      <c r="E1913" s="8" t="s">
        <v>151</v>
      </c>
      <c r="F1913" s="9">
        <v>1</v>
      </c>
      <c r="G1913" s="5">
        <f>TRUNC([1]단가대비표!O1908,0)</f>
        <v>85000</v>
      </c>
      <c r="H1913" s="5">
        <f t="shared" si="172"/>
        <v>85000</v>
      </c>
      <c r="I1913" s="5">
        <v>0</v>
      </c>
      <c r="J1913" s="5">
        <f t="shared" si="173"/>
        <v>0</v>
      </c>
      <c r="K1913" s="5">
        <v>0</v>
      </c>
      <c r="L1913" s="5">
        <f t="shared" si="174"/>
        <v>0</v>
      </c>
      <c r="M1913" s="5">
        <f t="shared" si="175"/>
        <v>85000</v>
      </c>
      <c r="N1913" s="5">
        <f t="shared" si="175"/>
        <v>85000</v>
      </c>
      <c r="O1913" s="8" t="s">
        <v>20</v>
      </c>
      <c r="T1913">
        <v>0</v>
      </c>
      <c r="AC1913">
        <v>1</v>
      </c>
    </row>
    <row r="1914" spans="1:29" ht="30" customHeight="1" x14ac:dyDescent="0.3">
      <c r="A1914" s="8" t="s">
        <v>2158</v>
      </c>
      <c r="B1914" s="8" t="s">
        <v>2028</v>
      </c>
      <c r="C1914" s="8" t="s">
        <v>2029</v>
      </c>
      <c r="D1914" s="8" t="s">
        <v>2030</v>
      </c>
      <c r="E1914" s="8" t="s">
        <v>895</v>
      </c>
      <c r="F1914" s="9">
        <v>44</v>
      </c>
      <c r="G1914" s="5">
        <f>TRUNC([1]단가대비표!O1909,0)</f>
        <v>1044</v>
      </c>
      <c r="H1914" s="5">
        <f t="shared" si="172"/>
        <v>45936</v>
      </c>
      <c r="I1914" s="5">
        <v>0</v>
      </c>
      <c r="J1914" s="5">
        <f t="shared" si="173"/>
        <v>0</v>
      </c>
      <c r="K1914" s="5">
        <v>0</v>
      </c>
      <c r="L1914" s="5">
        <f t="shared" si="174"/>
        <v>0</v>
      </c>
      <c r="M1914" s="5">
        <f t="shared" si="175"/>
        <v>1044</v>
      </c>
      <c r="N1914" s="5">
        <f t="shared" si="175"/>
        <v>45936</v>
      </c>
      <c r="O1914" s="8" t="s">
        <v>20</v>
      </c>
      <c r="T1914">
        <v>0</v>
      </c>
      <c r="AC1914">
        <v>1</v>
      </c>
    </row>
    <row r="1915" spans="1:29" ht="30" customHeight="1" x14ac:dyDescent="0.3">
      <c r="A1915" s="8" t="s">
        <v>2158</v>
      </c>
      <c r="B1915" s="8" t="s">
        <v>2031</v>
      </c>
      <c r="C1915" s="8" t="s">
        <v>2032</v>
      </c>
      <c r="D1915" s="8" t="s">
        <v>2033</v>
      </c>
      <c r="E1915" s="8" t="s">
        <v>895</v>
      </c>
      <c r="F1915" s="9">
        <v>81</v>
      </c>
      <c r="G1915" s="5">
        <f>TRUNC([1]단가대비표!O1910,0)</f>
        <v>2980</v>
      </c>
      <c r="H1915" s="5">
        <f t="shared" si="172"/>
        <v>241380</v>
      </c>
      <c r="I1915" s="5">
        <v>0</v>
      </c>
      <c r="J1915" s="5">
        <f t="shared" si="173"/>
        <v>0</v>
      </c>
      <c r="K1915" s="5">
        <v>0</v>
      </c>
      <c r="L1915" s="5">
        <f t="shared" si="174"/>
        <v>0</v>
      </c>
      <c r="M1915" s="5">
        <f t="shared" si="175"/>
        <v>2980</v>
      </c>
      <c r="N1915" s="5">
        <f t="shared" si="175"/>
        <v>241380</v>
      </c>
      <c r="O1915" s="8" t="s">
        <v>20</v>
      </c>
      <c r="P1915" s="12"/>
      <c r="T1915">
        <v>0</v>
      </c>
      <c r="AC1915">
        <v>1</v>
      </c>
    </row>
    <row r="1916" spans="1:29" ht="30" customHeight="1" x14ac:dyDescent="0.3">
      <c r="A1916" s="8" t="s">
        <v>2158</v>
      </c>
      <c r="B1916" s="8" t="s">
        <v>2034</v>
      </c>
      <c r="C1916" s="8" t="s">
        <v>2032</v>
      </c>
      <c r="D1916" s="8" t="s">
        <v>2035</v>
      </c>
      <c r="E1916" s="8" t="s">
        <v>895</v>
      </c>
      <c r="F1916" s="9">
        <v>35</v>
      </c>
      <c r="G1916" s="5">
        <f>TRUNC([1]단가대비표!O1911,0)</f>
        <v>3600</v>
      </c>
      <c r="H1916" s="5">
        <f t="shared" si="172"/>
        <v>126000</v>
      </c>
      <c r="I1916" s="5">
        <v>0</v>
      </c>
      <c r="J1916" s="5">
        <f t="shared" si="173"/>
        <v>0</v>
      </c>
      <c r="K1916" s="5">
        <v>0</v>
      </c>
      <c r="L1916" s="5">
        <f t="shared" si="174"/>
        <v>0</v>
      </c>
      <c r="M1916" s="5">
        <f t="shared" si="175"/>
        <v>3600</v>
      </c>
      <c r="N1916" s="5">
        <f t="shared" si="175"/>
        <v>126000</v>
      </c>
      <c r="O1916" s="8" t="s">
        <v>20</v>
      </c>
      <c r="P1916" s="12"/>
      <c r="T1916">
        <v>0</v>
      </c>
      <c r="AC1916">
        <v>1</v>
      </c>
    </row>
    <row r="1917" spans="1:29" ht="30" customHeight="1" x14ac:dyDescent="0.3">
      <c r="A1917" s="8" t="s">
        <v>2158</v>
      </c>
      <c r="B1917" s="8" t="s">
        <v>2162</v>
      </c>
      <c r="C1917" s="8" t="s">
        <v>2037</v>
      </c>
      <c r="D1917" s="8" t="s">
        <v>2038</v>
      </c>
      <c r="E1917" s="8" t="s">
        <v>161</v>
      </c>
      <c r="F1917" s="9">
        <v>1</v>
      </c>
      <c r="G1917" s="5">
        <f>TRUNC([1]단가대비표!O1917,0)</f>
        <v>6890</v>
      </c>
      <c r="H1917" s="5">
        <f t="shared" si="172"/>
        <v>6890</v>
      </c>
      <c r="I1917" s="5">
        <v>0</v>
      </c>
      <c r="J1917" s="5">
        <f t="shared" si="173"/>
        <v>0</v>
      </c>
      <c r="K1917" s="5">
        <v>0</v>
      </c>
      <c r="L1917" s="5">
        <f t="shared" si="174"/>
        <v>0</v>
      </c>
      <c r="M1917" s="5">
        <f t="shared" si="175"/>
        <v>6890</v>
      </c>
      <c r="N1917" s="5">
        <f t="shared" si="175"/>
        <v>6890</v>
      </c>
      <c r="O1917" s="8" t="s">
        <v>20</v>
      </c>
      <c r="P1917" s="12"/>
      <c r="T1917">
        <v>0</v>
      </c>
      <c r="AC1917">
        <v>1</v>
      </c>
    </row>
    <row r="1918" spans="1:29" ht="30" customHeight="1" x14ac:dyDescent="0.3">
      <c r="A1918" s="8" t="s">
        <v>2158</v>
      </c>
      <c r="B1918" s="8" t="s">
        <v>2163</v>
      </c>
      <c r="C1918" s="8" t="s">
        <v>174</v>
      </c>
      <c r="D1918" s="8" t="s">
        <v>2040</v>
      </c>
      <c r="E1918" s="8" t="s">
        <v>161</v>
      </c>
      <c r="F1918" s="9">
        <v>1</v>
      </c>
      <c r="G1918" s="5">
        <f>TRUNC([1]단가대비표!O1916,0)</f>
        <v>20665</v>
      </c>
      <c r="H1918" s="5">
        <f t="shared" si="172"/>
        <v>20665</v>
      </c>
      <c r="I1918" s="5">
        <v>0</v>
      </c>
      <c r="J1918" s="5">
        <f t="shared" si="173"/>
        <v>0</v>
      </c>
      <c r="K1918" s="5">
        <v>0</v>
      </c>
      <c r="L1918" s="5">
        <f t="shared" si="174"/>
        <v>0</v>
      </c>
      <c r="M1918" s="5">
        <f t="shared" si="175"/>
        <v>20665</v>
      </c>
      <c r="N1918" s="5">
        <f t="shared" si="175"/>
        <v>20665</v>
      </c>
      <c r="O1918" s="8" t="s">
        <v>20</v>
      </c>
      <c r="P1918" s="12"/>
      <c r="T1918">
        <v>0</v>
      </c>
      <c r="AC1918">
        <v>1</v>
      </c>
    </row>
    <row r="1919" spans="1:29" ht="30" customHeight="1" x14ac:dyDescent="0.3">
      <c r="A1919" s="8" t="s">
        <v>2158</v>
      </c>
      <c r="B1919" s="8" t="s">
        <v>2041</v>
      </c>
      <c r="C1919" s="8" t="s">
        <v>2042</v>
      </c>
      <c r="D1919" s="8" t="s">
        <v>2043</v>
      </c>
      <c r="E1919" s="8" t="s">
        <v>151</v>
      </c>
      <c r="F1919" s="9">
        <v>58</v>
      </c>
      <c r="G1919" s="5">
        <f>TRUNC([1]단가대비표!O1914,0)</f>
        <v>3000</v>
      </c>
      <c r="H1919" s="5">
        <f t="shared" si="172"/>
        <v>174000</v>
      </c>
      <c r="I1919" s="5">
        <v>0</v>
      </c>
      <c r="J1919" s="5">
        <f t="shared" si="173"/>
        <v>0</v>
      </c>
      <c r="K1919" s="5">
        <v>0</v>
      </c>
      <c r="L1919" s="5">
        <f t="shared" si="174"/>
        <v>0</v>
      </c>
      <c r="M1919" s="5">
        <f t="shared" si="175"/>
        <v>3000</v>
      </c>
      <c r="N1919" s="5">
        <f t="shared" si="175"/>
        <v>174000</v>
      </c>
      <c r="O1919" s="8" t="s">
        <v>20</v>
      </c>
      <c r="P1919" s="12"/>
      <c r="T1919">
        <v>0</v>
      </c>
      <c r="AC1919">
        <v>1</v>
      </c>
    </row>
    <row r="1920" spans="1:29" ht="30" customHeight="1" x14ac:dyDescent="0.3">
      <c r="A1920" s="8" t="s">
        <v>2158</v>
      </c>
      <c r="B1920" s="8" t="s">
        <v>1534</v>
      </c>
      <c r="C1920" s="8" t="s">
        <v>153</v>
      </c>
      <c r="D1920" s="8" t="s">
        <v>1535</v>
      </c>
      <c r="E1920" s="8" t="s">
        <v>155</v>
      </c>
      <c r="F1920" s="9">
        <v>8</v>
      </c>
      <c r="G1920" s="5">
        <v>0</v>
      </c>
      <c r="H1920" s="5">
        <f t="shared" si="172"/>
        <v>0</v>
      </c>
      <c r="I1920" s="5">
        <f>TRUNC([1]단가대비표!O665,0)</f>
        <v>265406</v>
      </c>
      <c r="J1920" s="5">
        <f t="shared" si="173"/>
        <v>2123248</v>
      </c>
      <c r="K1920" s="5">
        <v>0</v>
      </c>
      <c r="L1920" s="5">
        <f t="shared" si="174"/>
        <v>0</v>
      </c>
      <c r="M1920" s="5">
        <f t="shared" si="175"/>
        <v>265406</v>
      </c>
      <c r="N1920" s="5">
        <f t="shared" si="175"/>
        <v>2123248</v>
      </c>
      <c r="O1920" s="8" t="s">
        <v>20</v>
      </c>
      <c r="T1920">
        <v>0</v>
      </c>
      <c r="W1920">
        <v>3</v>
      </c>
      <c r="AC1920">
        <v>1</v>
      </c>
    </row>
    <row r="1921" spans="1:29" ht="30" customHeight="1" x14ac:dyDescent="0.3">
      <c r="A1921" s="8" t="s">
        <v>2158</v>
      </c>
      <c r="B1921" s="8" t="s">
        <v>1536</v>
      </c>
      <c r="C1921" s="8" t="s">
        <v>153</v>
      </c>
      <c r="D1921" s="8" t="s">
        <v>1537</v>
      </c>
      <c r="E1921" s="8" t="s">
        <v>155</v>
      </c>
      <c r="F1921" s="9">
        <v>2</v>
      </c>
      <c r="G1921" s="5">
        <v>0</v>
      </c>
      <c r="H1921" s="5">
        <f t="shared" si="172"/>
        <v>0</v>
      </c>
      <c r="I1921" s="5">
        <f>TRUNC([1]단가대비표!O674,0)</f>
        <v>288442</v>
      </c>
      <c r="J1921" s="5">
        <f t="shared" si="173"/>
        <v>576884</v>
      </c>
      <c r="K1921" s="5">
        <v>0</v>
      </c>
      <c r="L1921" s="5">
        <f t="shared" si="174"/>
        <v>0</v>
      </c>
      <c r="M1921" s="5">
        <f t="shared" si="175"/>
        <v>288442</v>
      </c>
      <c r="N1921" s="5">
        <f t="shared" si="175"/>
        <v>576884</v>
      </c>
      <c r="O1921" s="8" t="s">
        <v>20</v>
      </c>
      <c r="T1921">
        <v>0</v>
      </c>
      <c r="W1921">
        <v>3</v>
      </c>
      <c r="AC1921">
        <v>1</v>
      </c>
    </row>
    <row r="1922" spans="1:29" ht="30" customHeight="1" x14ac:dyDescent="0.3">
      <c r="A1922" s="8" t="s">
        <v>2158</v>
      </c>
      <c r="B1922" s="8" t="s">
        <v>1538</v>
      </c>
      <c r="C1922" s="8" t="s">
        <v>153</v>
      </c>
      <c r="D1922" s="8" t="s">
        <v>1539</v>
      </c>
      <c r="E1922" s="8" t="s">
        <v>155</v>
      </c>
      <c r="F1922" s="9">
        <v>2</v>
      </c>
      <c r="G1922" s="5">
        <v>0</v>
      </c>
      <c r="H1922" s="5">
        <f t="shared" si="172"/>
        <v>0</v>
      </c>
      <c r="I1922" s="5">
        <f>TRUNC([1]단가대비표!O663,0)</f>
        <v>283405</v>
      </c>
      <c r="J1922" s="5">
        <f t="shared" si="173"/>
        <v>566810</v>
      </c>
      <c r="K1922" s="5">
        <v>0</v>
      </c>
      <c r="L1922" s="5">
        <f t="shared" si="174"/>
        <v>0</v>
      </c>
      <c r="M1922" s="5">
        <f t="shared" si="175"/>
        <v>283405</v>
      </c>
      <c r="N1922" s="5">
        <f t="shared" si="175"/>
        <v>566810</v>
      </c>
      <c r="O1922" s="8" t="s">
        <v>20</v>
      </c>
      <c r="T1922">
        <v>0</v>
      </c>
      <c r="W1922">
        <v>3</v>
      </c>
      <c r="AC1922">
        <v>1</v>
      </c>
    </row>
    <row r="1923" spans="1:29" ht="30" customHeight="1" x14ac:dyDescent="0.3">
      <c r="A1923" s="8" t="s">
        <v>2158</v>
      </c>
      <c r="B1923" s="8" t="s">
        <v>152</v>
      </c>
      <c r="C1923" s="8" t="s">
        <v>153</v>
      </c>
      <c r="D1923" s="8" t="s">
        <v>154</v>
      </c>
      <c r="E1923" s="8" t="s">
        <v>155</v>
      </c>
      <c r="F1923" s="9">
        <v>3</v>
      </c>
      <c r="G1923" s="5">
        <v>0</v>
      </c>
      <c r="H1923" s="5">
        <f t="shared" si="172"/>
        <v>0</v>
      </c>
      <c r="I1923" s="5">
        <f>TRUNC([1]단가대비표!O671,0)</f>
        <v>157068</v>
      </c>
      <c r="J1923" s="5">
        <f t="shared" si="173"/>
        <v>471204</v>
      </c>
      <c r="K1923" s="5">
        <v>0</v>
      </c>
      <c r="L1923" s="5">
        <f t="shared" si="174"/>
        <v>0</v>
      </c>
      <c r="M1923" s="5">
        <f t="shared" si="175"/>
        <v>157068</v>
      </c>
      <c r="N1923" s="5">
        <f t="shared" si="175"/>
        <v>471204</v>
      </c>
      <c r="O1923" s="8" t="s">
        <v>20</v>
      </c>
      <c r="T1923">
        <v>0</v>
      </c>
      <c r="W1923">
        <v>3</v>
      </c>
      <c r="AC1923">
        <v>1</v>
      </c>
    </row>
    <row r="1924" spans="1:29" ht="30" customHeight="1" x14ac:dyDescent="0.3">
      <c r="A1924" s="8" t="s">
        <v>2158</v>
      </c>
      <c r="B1924" s="8" t="s">
        <v>158</v>
      </c>
      <c r="C1924" s="8" t="s">
        <v>159</v>
      </c>
      <c r="D1924" s="8" t="s">
        <v>2044</v>
      </c>
      <c r="E1924" s="8" t="s">
        <v>161</v>
      </c>
      <c r="F1924" s="9">
        <v>1</v>
      </c>
      <c r="G1924" s="5">
        <f>ROUNDDOWN(SUMIF(W1903:W1924, RIGHTB(B1924, 1), J1903:J1924)*T1924, 0)</f>
        <v>112144</v>
      </c>
      <c r="H1924" s="5">
        <f t="shared" si="172"/>
        <v>112144</v>
      </c>
      <c r="I1924" s="5">
        <v>0</v>
      </c>
      <c r="J1924" s="5">
        <f t="shared" si="173"/>
        <v>0</v>
      </c>
      <c r="K1924" s="5">
        <v>0</v>
      </c>
      <c r="L1924" s="5">
        <f t="shared" si="174"/>
        <v>0</v>
      </c>
      <c r="M1924" s="5">
        <f t="shared" si="175"/>
        <v>112144</v>
      </c>
      <c r="N1924" s="5">
        <f t="shared" si="175"/>
        <v>112144</v>
      </c>
      <c r="O1924" s="8" t="s">
        <v>20</v>
      </c>
      <c r="P1924">
        <v>1924</v>
      </c>
      <c r="R1924">
        <v>1</v>
      </c>
      <c r="S1924">
        <v>0</v>
      </c>
      <c r="T1924">
        <v>0.03</v>
      </c>
      <c r="AC1924">
        <v>1</v>
      </c>
    </row>
    <row r="1925" spans="1:29" ht="30" customHeight="1" x14ac:dyDescent="0.3">
      <c r="A1925" s="5"/>
      <c r="B1925" s="5"/>
      <c r="C1925" s="5"/>
      <c r="D1925" s="5"/>
      <c r="E1925" s="5"/>
      <c r="F1925" s="9"/>
      <c r="G1925" s="5"/>
      <c r="H1925" s="5"/>
      <c r="I1925" s="5"/>
      <c r="J1925" s="5"/>
      <c r="K1925" s="5"/>
      <c r="L1925" s="5"/>
      <c r="M1925" s="5"/>
      <c r="N1925" s="5"/>
      <c r="O1925" s="5"/>
    </row>
    <row r="1926" spans="1:29" ht="30" customHeight="1" x14ac:dyDescent="0.3">
      <c r="A1926" s="5"/>
      <c r="B1926" s="5"/>
      <c r="C1926" s="5"/>
      <c r="D1926" s="5"/>
      <c r="E1926" s="5"/>
      <c r="F1926" s="9"/>
      <c r="G1926" s="5"/>
      <c r="H1926" s="5"/>
      <c r="I1926" s="5"/>
      <c r="J1926" s="5"/>
      <c r="K1926" s="5"/>
      <c r="L1926" s="5"/>
      <c r="M1926" s="5"/>
      <c r="N1926" s="5"/>
      <c r="O1926" s="5"/>
    </row>
    <row r="1927" spans="1:29" ht="30" customHeight="1" x14ac:dyDescent="0.3">
      <c r="A1927" s="5"/>
      <c r="B1927" s="5"/>
      <c r="C1927" s="5" t="s">
        <v>162</v>
      </c>
      <c r="D1927" s="5"/>
      <c r="E1927" s="5"/>
      <c r="F1927" s="9"/>
      <c r="G1927" s="5"/>
      <c r="H1927" s="5">
        <f>SUMIF(AC1903:AC1926, 1, H1903:H1926)</f>
        <v>3292015</v>
      </c>
      <c r="I1927" s="5"/>
      <c r="J1927" s="5">
        <f>SUMIF(AC1903:AC1926, 1, J1903:J1926)</f>
        <v>3738146</v>
      </c>
      <c r="K1927" s="5"/>
      <c r="L1927" s="5">
        <f>SUMIF(AC1903:AC1926, 1, L1903:L1926)</f>
        <v>0</v>
      </c>
      <c r="M1927" s="5"/>
      <c r="N1927" s="5">
        <f>H1927+J1927+L1927</f>
        <v>7030161</v>
      </c>
      <c r="O1927" s="5"/>
    </row>
    <row r="1928" spans="1:29" ht="30" customHeight="1" x14ac:dyDescent="0.3">
      <c r="A1928" s="5"/>
      <c r="B1928" s="5"/>
      <c r="C1928" s="10" t="s">
        <v>2164</v>
      </c>
      <c r="D1928" s="10"/>
      <c r="E1928" s="10"/>
      <c r="F1928" s="11"/>
      <c r="G1928" s="10"/>
      <c r="H1928" s="10"/>
      <c r="I1928" s="10"/>
      <c r="J1928" s="10"/>
      <c r="K1928" s="10"/>
      <c r="L1928" s="10"/>
      <c r="M1928" s="10"/>
      <c r="N1928" s="10"/>
      <c r="O1928" s="10"/>
    </row>
    <row r="1929" spans="1:29" ht="30" customHeight="1" x14ac:dyDescent="0.3">
      <c r="A1929" s="8" t="s">
        <v>2165</v>
      </c>
      <c r="B1929" s="8" t="s">
        <v>2166</v>
      </c>
      <c r="C1929" s="8" t="s">
        <v>2167</v>
      </c>
      <c r="D1929" s="8" t="s">
        <v>2168</v>
      </c>
      <c r="E1929" s="8" t="s">
        <v>19</v>
      </c>
      <c r="F1929" s="9">
        <v>1</v>
      </c>
      <c r="G1929" s="5">
        <f>TRUNC([1]단가대비표!O1012,0)</f>
        <v>1127000</v>
      </c>
      <c r="H1929" s="5">
        <f t="shared" ref="H1929:H1938" si="176">TRUNC(F1929*G1929,0)</f>
        <v>1127000</v>
      </c>
      <c r="I1929" s="5">
        <v>0</v>
      </c>
      <c r="J1929" s="5">
        <f t="shared" ref="J1929:J1938" si="177">TRUNC(F1929*I1929,0)</f>
        <v>0</v>
      </c>
      <c r="K1929" s="5">
        <v>0</v>
      </c>
      <c r="L1929" s="5">
        <f t="shared" ref="L1929:L1938" si="178">TRUNC(F1929*K1929,0)</f>
        <v>0</v>
      </c>
      <c r="M1929" s="5">
        <f t="shared" ref="M1929:N1938" si="179">G1929+I1929+K1929</f>
        <v>1127000</v>
      </c>
      <c r="N1929" s="5">
        <f t="shared" si="179"/>
        <v>1127000</v>
      </c>
      <c r="O1929" s="8" t="s">
        <v>20</v>
      </c>
      <c r="T1929">
        <v>0</v>
      </c>
      <c r="AC1929">
        <v>1</v>
      </c>
    </row>
    <row r="1930" spans="1:29" ht="30" customHeight="1" x14ac:dyDescent="0.3">
      <c r="A1930" s="8" t="s">
        <v>2165</v>
      </c>
      <c r="B1930" s="8" t="s">
        <v>2169</v>
      </c>
      <c r="C1930" s="8" t="s">
        <v>2170</v>
      </c>
      <c r="D1930" s="8" t="s">
        <v>2171</v>
      </c>
      <c r="E1930" s="8" t="s">
        <v>19</v>
      </c>
      <c r="F1930" s="9">
        <v>1</v>
      </c>
      <c r="G1930" s="5">
        <f>TRUNC([1]단가대비표!O1013,0)</f>
        <v>1127000</v>
      </c>
      <c r="H1930" s="5">
        <f t="shared" si="176"/>
        <v>1127000</v>
      </c>
      <c r="I1930" s="5">
        <v>0</v>
      </c>
      <c r="J1930" s="5">
        <f t="shared" si="177"/>
        <v>0</v>
      </c>
      <c r="K1930" s="5">
        <v>0</v>
      </c>
      <c r="L1930" s="5">
        <f t="shared" si="178"/>
        <v>0</v>
      </c>
      <c r="M1930" s="5">
        <f t="shared" si="179"/>
        <v>1127000</v>
      </c>
      <c r="N1930" s="5">
        <f t="shared" si="179"/>
        <v>1127000</v>
      </c>
      <c r="O1930" s="8" t="s">
        <v>20</v>
      </c>
      <c r="T1930">
        <v>0</v>
      </c>
      <c r="AC1930">
        <v>1</v>
      </c>
    </row>
    <row r="1931" spans="1:29" ht="30" customHeight="1" x14ac:dyDescent="0.3">
      <c r="A1931" s="8" t="s">
        <v>2165</v>
      </c>
      <c r="B1931" s="8" t="s">
        <v>2172</v>
      </c>
      <c r="C1931" s="8" t="s">
        <v>2173</v>
      </c>
      <c r="D1931" s="8" t="s">
        <v>2174</v>
      </c>
      <c r="E1931" s="8" t="s">
        <v>19</v>
      </c>
      <c r="F1931" s="9">
        <v>4</v>
      </c>
      <c r="G1931" s="5">
        <f>TRUNC([1]단가대비표!O1014,0)</f>
        <v>93500</v>
      </c>
      <c r="H1931" s="5">
        <f t="shared" si="176"/>
        <v>374000</v>
      </c>
      <c r="I1931" s="5">
        <v>0</v>
      </c>
      <c r="J1931" s="5">
        <f t="shared" si="177"/>
        <v>0</v>
      </c>
      <c r="K1931" s="5">
        <v>0</v>
      </c>
      <c r="L1931" s="5">
        <f t="shared" si="178"/>
        <v>0</v>
      </c>
      <c r="M1931" s="5">
        <f t="shared" si="179"/>
        <v>93500</v>
      </c>
      <c r="N1931" s="5">
        <f t="shared" si="179"/>
        <v>374000</v>
      </c>
      <c r="O1931" s="8" t="s">
        <v>20</v>
      </c>
      <c r="T1931">
        <v>0</v>
      </c>
      <c r="AC1931">
        <v>1</v>
      </c>
    </row>
    <row r="1932" spans="1:29" ht="30" customHeight="1" x14ac:dyDescent="0.3">
      <c r="A1932" s="8" t="s">
        <v>2165</v>
      </c>
      <c r="B1932" s="8" t="s">
        <v>2175</v>
      </c>
      <c r="C1932" s="8" t="s">
        <v>2176</v>
      </c>
      <c r="D1932" s="8" t="s">
        <v>2177</v>
      </c>
      <c r="E1932" s="8" t="s">
        <v>19</v>
      </c>
      <c r="F1932" s="9">
        <v>1</v>
      </c>
      <c r="G1932" s="5">
        <f>TRUNC([1]단가대비표!O1358,0)</f>
        <v>255000</v>
      </c>
      <c r="H1932" s="5">
        <f t="shared" si="176"/>
        <v>255000</v>
      </c>
      <c r="I1932" s="5">
        <v>0</v>
      </c>
      <c r="J1932" s="5">
        <f t="shared" si="177"/>
        <v>0</v>
      </c>
      <c r="K1932" s="5">
        <v>0</v>
      </c>
      <c r="L1932" s="5">
        <f t="shared" si="178"/>
        <v>0</v>
      </c>
      <c r="M1932" s="5">
        <f t="shared" si="179"/>
        <v>255000</v>
      </c>
      <c r="N1932" s="5">
        <f t="shared" si="179"/>
        <v>255000</v>
      </c>
      <c r="O1932" s="8" t="s">
        <v>20</v>
      </c>
      <c r="T1932">
        <v>0</v>
      </c>
      <c r="AC1932">
        <v>1</v>
      </c>
    </row>
    <row r="1933" spans="1:29" ht="30" customHeight="1" x14ac:dyDescent="0.3">
      <c r="A1933" s="8" t="s">
        <v>2165</v>
      </c>
      <c r="B1933" s="8" t="s">
        <v>2178</v>
      </c>
      <c r="C1933" s="8" t="s">
        <v>2179</v>
      </c>
      <c r="D1933" s="8" t="s">
        <v>2180</v>
      </c>
      <c r="E1933" s="8" t="s">
        <v>19</v>
      </c>
      <c r="F1933" s="9">
        <v>1</v>
      </c>
      <c r="G1933" s="5">
        <f>TRUNC([1]단가대비표!O1359,0)</f>
        <v>270000</v>
      </c>
      <c r="H1933" s="5">
        <f t="shared" si="176"/>
        <v>270000</v>
      </c>
      <c r="I1933" s="5">
        <v>0</v>
      </c>
      <c r="J1933" s="5">
        <f t="shared" si="177"/>
        <v>0</v>
      </c>
      <c r="K1933" s="5">
        <v>0</v>
      </c>
      <c r="L1933" s="5">
        <f t="shared" si="178"/>
        <v>0</v>
      </c>
      <c r="M1933" s="5">
        <f t="shared" si="179"/>
        <v>270000</v>
      </c>
      <c r="N1933" s="5">
        <f t="shared" si="179"/>
        <v>270000</v>
      </c>
      <c r="O1933" s="8" t="s">
        <v>20</v>
      </c>
      <c r="T1933">
        <v>0</v>
      </c>
      <c r="AC1933">
        <v>1</v>
      </c>
    </row>
    <row r="1934" spans="1:29" ht="30" customHeight="1" x14ac:dyDescent="0.3">
      <c r="A1934" s="8" t="s">
        <v>2165</v>
      </c>
      <c r="B1934" s="8" t="s">
        <v>2181</v>
      </c>
      <c r="C1934" s="8" t="s">
        <v>2182</v>
      </c>
      <c r="D1934" s="8" t="s">
        <v>2183</v>
      </c>
      <c r="E1934" s="8" t="s">
        <v>19</v>
      </c>
      <c r="F1934" s="9">
        <v>2</v>
      </c>
      <c r="G1934" s="5">
        <f>TRUNC([1]단가대비표!O1017,0)</f>
        <v>252000</v>
      </c>
      <c r="H1934" s="5">
        <f t="shared" si="176"/>
        <v>504000</v>
      </c>
      <c r="I1934" s="5">
        <v>0</v>
      </c>
      <c r="J1934" s="5">
        <f t="shared" si="177"/>
        <v>0</v>
      </c>
      <c r="K1934" s="5">
        <v>0</v>
      </c>
      <c r="L1934" s="5">
        <f t="shared" si="178"/>
        <v>0</v>
      </c>
      <c r="M1934" s="5">
        <f t="shared" si="179"/>
        <v>252000</v>
      </c>
      <c r="N1934" s="5">
        <f t="shared" si="179"/>
        <v>504000</v>
      </c>
      <c r="O1934" s="8" t="s">
        <v>20</v>
      </c>
      <c r="T1934">
        <v>0</v>
      </c>
      <c r="AC1934">
        <v>1</v>
      </c>
    </row>
    <row r="1935" spans="1:29" ht="30" customHeight="1" x14ac:dyDescent="0.3">
      <c r="A1935" s="8" t="s">
        <v>2165</v>
      </c>
      <c r="B1935" s="8" t="s">
        <v>152</v>
      </c>
      <c r="C1935" s="8" t="s">
        <v>153</v>
      </c>
      <c r="D1935" s="8" t="s">
        <v>154</v>
      </c>
      <c r="E1935" s="8" t="s">
        <v>155</v>
      </c>
      <c r="F1935" s="9">
        <v>1</v>
      </c>
      <c r="G1935" s="5">
        <v>0</v>
      </c>
      <c r="H1935" s="5">
        <f t="shared" si="176"/>
        <v>0</v>
      </c>
      <c r="I1935" s="5">
        <f>TRUNC([1]단가대비표!O671,0)</f>
        <v>157068</v>
      </c>
      <c r="J1935" s="5">
        <f t="shared" si="177"/>
        <v>157068</v>
      </c>
      <c r="K1935" s="5">
        <v>0</v>
      </c>
      <c r="L1935" s="5">
        <f t="shared" si="178"/>
        <v>0</v>
      </c>
      <c r="M1935" s="5">
        <f t="shared" si="179"/>
        <v>157068</v>
      </c>
      <c r="N1935" s="5">
        <f t="shared" si="179"/>
        <v>157068</v>
      </c>
      <c r="O1935" s="8" t="s">
        <v>20</v>
      </c>
      <c r="T1935">
        <v>0</v>
      </c>
      <c r="W1935">
        <v>3</v>
      </c>
      <c r="AC1935">
        <v>1</v>
      </c>
    </row>
    <row r="1936" spans="1:29" ht="30" customHeight="1" x14ac:dyDescent="0.3">
      <c r="A1936" s="8" t="s">
        <v>2165</v>
      </c>
      <c r="B1936" s="8" t="s">
        <v>2078</v>
      </c>
      <c r="C1936" s="8" t="s">
        <v>153</v>
      </c>
      <c r="D1936" s="8" t="s">
        <v>2079</v>
      </c>
      <c r="E1936" s="8" t="s">
        <v>155</v>
      </c>
      <c r="F1936" s="9">
        <v>1</v>
      </c>
      <c r="G1936" s="5">
        <v>0</v>
      </c>
      <c r="H1936" s="5">
        <f t="shared" si="176"/>
        <v>0</v>
      </c>
      <c r="I1936" s="5">
        <f>TRUNC([1]단가대비표!O670,0)</f>
        <v>210465</v>
      </c>
      <c r="J1936" s="5">
        <f t="shared" si="177"/>
        <v>210465</v>
      </c>
      <c r="K1936" s="5">
        <v>0</v>
      </c>
      <c r="L1936" s="5">
        <f t="shared" si="178"/>
        <v>0</v>
      </c>
      <c r="M1936" s="5">
        <f t="shared" si="179"/>
        <v>210465</v>
      </c>
      <c r="N1936" s="5">
        <f t="shared" si="179"/>
        <v>210465</v>
      </c>
      <c r="O1936" s="8" t="s">
        <v>20</v>
      </c>
      <c r="T1936">
        <v>0</v>
      </c>
      <c r="W1936">
        <v>3</v>
      </c>
      <c r="AC1936">
        <v>1</v>
      </c>
    </row>
    <row r="1937" spans="1:29" ht="30" customHeight="1" x14ac:dyDescent="0.3">
      <c r="A1937" s="8" t="s">
        <v>2165</v>
      </c>
      <c r="B1937" s="8" t="s">
        <v>156</v>
      </c>
      <c r="C1937" s="8" t="s">
        <v>153</v>
      </c>
      <c r="D1937" s="8" t="s">
        <v>157</v>
      </c>
      <c r="E1937" s="8" t="s">
        <v>155</v>
      </c>
      <c r="F1937" s="9">
        <v>4</v>
      </c>
      <c r="G1937" s="5">
        <v>0</v>
      </c>
      <c r="H1937" s="5">
        <f t="shared" si="176"/>
        <v>0</v>
      </c>
      <c r="I1937" s="5">
        <f>TRUNC([1]단가대비표!O664,0)</f>
        <v>213337</v>
      </c>
      <c r="J1937" s="5">
        <f t="shared" si="177"/>
        <v>853348</v>
      </c>
      <c r="K1937" s="5">
        <v>0</v>
      </c>
      <c r="L1937" s="5">
        <f t="shared" si="178"/>
        <v>0</v>
      </c>
      <c r="M1937" s="5">
        <f t="shared" si="179"/>
        <v>213337</v>
      </c>
      <c r="N1937" s="5">
        <f t="shared" si="179"/>
        <v>853348</v>
      </c>
      <c r="O1937" s="8" t="s">
        <v>20</v>
      </c>
      <c r="T1937">
        <v>0</v>
      </c>
      <c r="W1937">
        <v>3</v>
      </c>
      <c r="AC1937">
        <v>1</v>
      </c>
    </row>
    <row r="1938" spans="1:29" ht="30" customHeight="1" x14ac:dyDescent="0.3">
      <c r="A1938" s="8" t="s">
        <v>2165</v>
      </c>
      <c r="B1938" s="8" t="s">
        <v>158</v>
      </c>
      <c r="C1938" s="8" t="s">
        <v>159</v>
      </c>
      <c r="D1938" s="8" t="s">
        <v>160</v>
      </c>
      <c r="E1938" s="8" t="s">
        <v>161</v>
      </c>
      <c r="F1938" s="9">
        <v>1</v>
      </c>
      <c r="G1938" s="5">
        <f>ROUNDDOWN(SUMIF(W1929:W1938, RIGHTB(B1938, 1), J1929:J1938)*T1938, 0)</f>
        <v>24417</v>
      </c>
      <c r="H1938" s="5">
        <f t="shared" si="176"/>
        <v>24417</v>
      </c>
      <c r="I1938" s="5">
        <v>0</v>
      </c>
      <c r="J1938" s="5">
        <f t="shared" si="177"/>
        <v>0</v>
      </c>
      <c r="K1938" s="5">
        <v>0</v>
      </c>
      <c r="L1938" s="5">
        <f t="shared" si="178"/>
        <v>0</v>
      </c>
      <c r="M1938" s="5">
        <f t="shared" si="179"/>
        <v>24417</v>
      </c>
      <c r="N1938" s="5">
        <f t="shared" si="179"/>
        <v>24417</v>
      </c>
      <c r="O1938" s="8" t="s">
        <v>20</v>
      </c>
      <c r="P1938">
        <v>1938</v>
      </c>
      <c r="R1938">
        <v>1</v>
      </c>
      <c r="S1938">
        <v>0</v>
      </c>
      <c r="T1938">
        <v>0.02</v>
      </c>
      <c r="AC1938">
        <v>1</v>
      </c>
    </row>
    <row r="1939" spans="1:29" ht="30" customHeight="1" x14ac:dyDescent="0.3">
      <c r="A1939" s="5"/>
      <c r="B1939" s="5"/>
      <c r="C1939" s="5"/>
      <c r="D1939" s="5"/>
      <c r="E1939" s="5"/>
      <c r="F1939" s="9"/>
      <c r="G1939" s="5"/>
      <c r="H1939" s="5"/>
      <c r="I1939" s="5"/>
      <c r="J1939" s="5"/>
      <c r="K1939" s="5"/>
      <c r="L1939" s="5"/>
      <c r="M1939" s="5"/>
      <c r="N1939" s="5"/>
      <c r="O1939" s="5"/>
    </row>
    <row r="1940" spans="1:29" ht="30" customHeight="1" x14ac:dyDescent="0.3">
      <c r="A1940" s="5"/>
      <c r="B1940" s="5"/>
      <c r="C1940" s="5"/>
      <c r="D1940" s="5"/>
      <c r="E1940" s="5"/>
      <c r="F1940" s="9"/>
      <c r="G1940" s="5"/>
      <c r="H1940" s="5"/>
      <c r="I1940" s="5"/>
      <c r="J1940" s="5"/>
      <c r="K1940" s="5"/>
      <c r="L1940" s="5"/>
      <c r="M1940" s="5"/>
      <c r="N1940" s="5"/>
      <c r="O1940" s="5"/>
    </row>
    <row r="1941" spans="1:29" ht="30" customHeight="1" x14ac:dyDescent="0.3">
      <c r="A1941" s="5"/>
      <c r="B1941" s="5"/>
      <c r="C1941" s="5"/>
      <c r="D1941" s="5"/>
      <c r="E1941" s="5"/>
      <c r="F1941" s="9"/>
      <c r="G1941" s="5"/>
      <c r="H1941" s="5"/>
      <c r="I1941" s="5"/>
      <c r="J1941" s="5"/>
      <c r="K1941" s="5"/>
      <c r="L1941" s="5"/>
      <c r="M1941" s="5"/>
      <c r="N1941" s="5"/>
      <c r="O1941" s="5"/>
    </row>
    <row r="1942" spans="1:29" ht="30" customHeight="1" x14ac:dyDescent="0.3">
      <c r="A1942" s="5"/>
      <c r="B1942" s="5"/>
      <c r="C1942" s="5"/>
      <c r="D1942" s="5"/>
      <c r="E1942" s="5"/>
      <c r="F1942" s="9"/>
      <c r="G1942" s="5"/>
      <c r="H1942" s="5"/>
      <c r="I1942" s="5"/>
      <c r="J1942" s="5"/>
      <c r="K1942" s="5"/>
      <c r="L1942" s="5"/>
      <c r="M1942" s="5"/>
      <c r="N1942" s="5"/>
      <c r="O1942" s="5"/>
    </row>
    <row r="1943" spans="1:29" ht="30" customHeight="1" x14ac:dyDescent="0.3">
      <c r="A1943" s="5"/>
      <c r="B1943" s="5"/>
      <c r="C1943" s="5"/>
      <c r="D1943" s="5"/>
      <c r="E1943" s="5"/>
      <c r="F1943" s="9"/>
      <c r="G1943" s="5"/>
      <c r="H1943" s="5"/>
      <c r="I1943" s="5"/>
      <c r="J1943" s="5"/>
      <c r="K1943" s="5"/>
      <c r="L1943" s="5"/>
      <c r="M1943" s="5"/>
      <c r="N1943" s="5"/>
      <c r="O1943" s="5"/>
    </row>
    <row r="1944" spans="1:29" ht="30" customHeight="1" x14ac:dyDescent="0.3">
      <c r="A1944" s="5"/>
      <c r="B1944" s="5"/>
      <c r="C1944" s="5"/>
      <c r="D1944" s="5"/>
      <c r="E1944" s="5"/>
      <c r="F1944" s="9"/>
      <c r="G1944" s="5"/>
      <c r="H1944" s="5"/>
      <c r="I1944" s="5"/>
      <c r="J1944" s="5"/>
      <c r="K1944" s="5"/>
      <c r="L1944" s="5"/>
      <c r="M1944" s="5"/>
      <c r="N1944" s="5"/>
      <c r="O1944" s="5"/>
    </row>
    <row r="1945" spans="1:29" ht="30" customHeight="1" x14ac:dyDescent="0.3">
      <c r="A1945" s="5"/>
      <c r="B1945" s="5"/>
      <c r="C1945" s="5"/>
      <c r="D1945" s="5"/>
      <c r="E1945" s="5"/>
      <c r="F1945" s="9"/>
      <c r="G1945" s="5"/>
      <c r="H1945" s="5"/>
      <c r="I1945" s="5"/>
      <c r="J1945" s="5"/>
      <c r="K1945" s="5"/>
      <c r="L1945" s="5"/>
      <c r="M1945" s="5"/>
      <c r="N1945" s="5"/>
      <c r="O1945" s="5"/>
    </row>
    <row r="1946" spans="1:29" ht="30" customHeight="1" x14ac:dyDescent="0.3">
      <c r="A1946" s="5"/>
      <c r="B1946" s="5"/>
      <c r="C1946" s="5"/>
      <c r="D1946" s="5"/>
      <c r="E1946" s="5"/>
      <c r="F1946" s="9"/>
      <c r="G1946" s="5"/>
      <c r="H1946" s="5"/>
      <c r="I1946" s="5"/>
      <c r="J1946" s="5"/>
      <c r="K1946" s="5"/>
      <c r="L1946" s="5"/>
      <c r="M1946" s="5"/>
      <c r="N1946" s="5"/>
      <c r="O1946" s="5"/>
    </row>
    <row r="1947" spans="1:29" ht="30" customHeight="1" x14ac:dyDescent="0.3">
      <c r="A1947" s="5"/>
      <c r="B1947" s="5"/>
      <c r="C1947" s="5"/>
      <c r="D1947" s="5"/>
      <c r="E1947" s="5"/>
      <c r="F1947" s="9"/>
      <c r="G1947" s="5"/>
      <c r="H1947" s="5"/>
      <c r="I1947" s="5"/>
      <c r="J1947" s="5"/>
      <c r="K1947" s="5"/>
      <c r="L1947" s="5"/>
      <c r="M1947" s="5"/>
      <c r="N1947" s="5"/>
      <c r="O1947" s="5"/>
    </row>
    <row r="1948" spans="1:29" ht="30" customHeight="1" x14ac:dyDescent="0.3">
      <c r="A1948" s="5"/>
      <c r="B1948" s="5"/>
      <c r="C1948" s="5"/>
      <c r="D1948" s="5"/>
      <c r="E1948" s="5"/>
      <c r="F1948" s="9"/>
      <c r="G1948" s="5"/>
      <c r="H1948" s="5"/>
      <c r="I1948" s="5"/>
      <c r="J1948" s="5"/>
      <c r="K1948" s="5"/>
      <c r="L1948" s="5"/>
      <c r="M1948" s="5"/>
      <c r="N1948" s="5"/>
      <c r="O1948" s="5"/>
    </row>
    <row r="1949" spans="1:29" ht="30" customHeight="1" x14ac:dyDescent="0.3">
      <c r="A1949" s="5"/>
      <c r="B1949" s="5"/>
      <c r="C1949" s="5"/>
      <c r="D1949" s="5"/>
      <c r="E1949" s="5"/>
      <c r="F1949" s="9"/>
      <c r="G1949" s="5"/>
      <c r="H1949" s="5"/>
      <c r="I1949" s="5"/>
      <c r="J1949" s="5"/>
      <c r="K1949" s="5"/>
      <c r="L1949" s="5"/>
      <c r="M1949" s="5"/>
      <c r="N1949" s="5"/>
      <c r="O1949" s="5"/>
    </row>
    <row r="1950" spans="1:29" ht="30" customHeight="1" x14ac:dyDescent="0.3">
      <c r="A1950" s="5"/>
      <c r="B1950" s="5"/>
      <c r="C1950" s="5"/>
      <c r="D1950" s="5"/>
      <c r="E1950" s="5"/>
      <c r="F1950" s="9"/>
      <c r="G1950" s="5"/>
      <c r="H1950" s="5"/>
      <c r="I1950" s="5"/>
      <c r="J1950" s="5"/>
      <c r="K1950" s="5"/>
      <c r="L1950" s="5"/>
      <c r="M1950" s="5"/>
      <c r="N1950" s="5"/>
      <c r="O1950" s="5"/>
    </row>
    <row r="1951" spans="1:29" ht="30" customHeight="1" x14ac:dyDescent="0.3">
      <c r="A1951" s="5"/>
      <c r="B1951" s="5"/>
      <c r="C1951" s="5"/>
      <c r="D1951" s="5"/>
      <c r="E1951" s="5"/>
      <c r="F1951" s="9"/>
      <c r="G1951" s="5"/>
      <c r="H1951" s="5"/>
      <c r="I1951" s="5"/>
      <c r="J1951" s="5"/>
      <c r="K1951" s="5"/>
      <c r="L1951" s="5"/>
      <c r="M1951" s="5"/>
      <c r="N1951" s="5"/>
      <c r="O1951" s="5"/>
    </row>
    <row r="1952" spans="1:29" ht="30" customHeight="1" x14ac:dyDescent="0.3">
      <c r="A1952" s="5"/>
      <c r="B1952" s="5"/>
      <c r="C1952" s="5"/>
      <c r="D1952" s="5"/>
      <c r="E1952" s="5"/>
      <c r="F1952" s="9"/>
      <c r="G1952" s="5"/>
      <c r="H1952" s="5"/>
      <c r="I1952" s="5"/>
      <c r="J1952" s="5"/>
      <c r="K1952" s="5"/>
      <c r="L1952" s="5"/>
      <c r="M1952" s="5"/>
      <c r="N1952" s="5"/>
      <c r="O1952" s="5"/>
    </row>
    <row r="1953" spans="1:29" ht="30" customHeight="1" x14ac:dyDescent="0.3">
      <c r="A1953" s="5"/>
      <c r="B1953" s="5"/>
      <c r="C1953" s="5" t="s">
        <v>162</v>
      </c>
      <c r="D1953" s="5"/>
      <c r="E1953" s="5"/>
      <c r="F1953" s="9"/>
      <c r="G1953" s="5"/>
      <c r="H1953" s="5">
        <f>SUMIF(AC1929:AC1952, 1, H1929:H1952)</f>
        <v>3681417</v>
      </c>
      <c r="I1953" s="5"/>
      <c r="J1953" s="5">
        <f>SUMIF(AC1929:AC1952, 1, J1929:J1952)</f>
        <v>1220881</v>
      </c>
      <c r="K1953" s="5"/>
      <c r="L1953" s="5">
        <f>SUMIF(AC1929:AC1952, 1, L1929:L1952)</f>
        <v>0</v>
      </c>
      <c r="M1953" s="5"/>
      <c r="N1953" s="5">
        <f>H1953+J1953+L1953</f>
        <v>4902298</v>
      </c>
      <c r="O1953" s="5"/>
    </row>
    <row r="1954" spans="1:29" ht="30" customHeight="1" x14ac:dyDescent="0.3">
      <c r="A1954" s="5"/>
      <c r="B1954" s="5"/>
      <c r="C1954" s="10" t="s">
        <v>2184</v>
      </c>
      <c r="D1954" s="10"/>
      <c r="E1954" s="10"/>
      <c r="F1954" s="11"/>
      <c r="G1954" s="10"/>
      <c r="H1954" s="10"/>
      <c r="I1954" s="10"/>
      <c r="J1954" s="10"/>
      <c r="K1954" s="10"/>
      <c r="L1954" s="10"/>
      <c r="M1954" s="10"/>
      <c r="N1954" s="10"/>
      <c r="O1954" s="10"/>
    </row>
    <row r="1955" spans="1:29" ht="30" customHeight="1" x14ac:dyDescent="0.3">
      <c r="A1955" s="8" t="s">
        <v>2185</v>
      </c>
      <c r="B1955" s="8" t="s">
        <v>2186</v>
      </c>
      <c r="C1955" s="8" t="s">
        <v>166</v>
      </c>
      <c r="D1955" s="8" t="s">
        <v>2187</v>
      </c>
      <c r="E1955" s="8" t="s">
        <v>168</v>
      </c>
      <c r="F1955" s="9">
        <v>11</v>
      </c>
      <c r="G1955" s="5">
        <f>TRUNC([1]단가대비표!O142,0)</f>
        <v>1473</v>
      </c>
      <c r="H1955" s="5">
        <f>TRUNC(F1955*G1955,0)</f>
        <v>16203</v>
      </c>
      <c r="I1955" s="5">
        <v>0</v>
      </c>
      <c r="J1955" s="5">
        <f>TRUNC(F1955*I1955,0)</f>
        <v>0</v>
      </c>
      <c r="K1955" s="5">
        <v>0</v>
      </c>
      <c r="L1955" s="5">
        <f>TRUNC(F1955*K1955,0)</f>
        <v>0</v>
      </c>
      <c r="M1955" s="5">
        <f t="shared" ref="M1955:N1959" si="180">G1955+I1955+K1955</f>
        <v>1473</v>
      </c>
      <c r="N1955" s="5">
        <f t="shared" si="180"/>
        <v>16203</v>
      </c>
      <c r="O1955" s="8" t="s">
        <v>20</v>
      </c>
      <c r="T1955">
        <v>0</v>
      </c>
      <c r="U1955">
        <v>1</v>
      </c>
      <c r="AC1955">
        <v>1</v>
      </c>
    </row>
    <row r="1956" spans="1:29" ht="30" customHeight="1" x14ac:dyDescent="0.3">
      <c r="A1956" s="8" t="s">
        <v>2185</v>
      </c>
      <c r="B1956" s="8" t="s">
        <v>173</v>
      </c>
      <c r="C1956" s="8" t="s">
        <v>174</v>
      </c>
      <c r="D1956" s="8" t="s">
        <v>175</v>
      </c>
      <c r="E1956" s="8" t="s">
        <v>161</v>
      </c>
      <c r="F1956" s="9">
        <v>1</v>
      </c>
      <c r="G1956" s="5">
        <f>ROUNDDOWN(SUMIF(U1955:U1959, RIGHTB(B1956, 1), H1955:H1959)*T1956, 0)</f>
        <v>486</v>
      </c>
      <c r="H1956" s="5">
        <f>TRUNC(F1956*G1956,0)</f>
        <v>486</v>
      </c>
      <c r="I1956" s="5">
        <v>0</v>
      </c>
      <c r="J1956" s="5">
        <f>TRUNC(F1956*I1956,0)</f>
        <v>0</v>
      </c>
      <c r="K1956" s="5">
        <v>0</v>
      </c>
      <c r="L1956" s="5">
        <f>TRUNC(F1956*K1956,0)</f>
        <v>0</v>
      </c>
      <c r="M1956" s="5">
        <f t="shared" si="180"/>
        <v>486</v>
      </c>
      <c r="N1956" s="5">
        <f t="shared" si="180"/>
        <v>486</v>
      </c>
      <c r="O1956" s="8" t="s">
        <v>20</v>
      </c>
      <c r="P1956">
        <v>1956</v>
      </c>
      <c r="R1956">
        <v>0</v>
      </c>
      <c r="S1956">
        <v>0</v>
      </c>
      <c r="T1956">
        <v>0.03</v>
      </c>
      <c r="AC1956">
        <v>1</v>
      </c>
    </row>
    <row r="1957" spans="1:29" ht="30" customHeight="1" x14ac:dyDescent="0.3">
      <c r="A1957" s="8" t="s">
        <v>2185</v>
      </c>
      <c r="B1957" s="8" t="s">
        <v>2188</v>
      </c>
      <c r="C1957" s="8" t="s">
        <v>177</v>
      </c>
      <c r="D1957" s="8" t="s">
        <v>2189</v>
      </c>
      <c r="E1957" s="8" t="s">
        <v>179</v>
      </c>
      <c r="F1957" s="9">
        <v>1</v>
      </c>
      <c r="G1957" s="5">
        <f>TRUNC([1]단가대비표!O204,0)</f>
        <v>6140</v>
      </c>
      <c r="H1957" s="5">
        <f>TRUNC(F1957*G1957,0)</f>
        <v>6140</v>
      </c>
      <c r="I1957" s="5">
        <v>0</v>
      </c>
      <c r="J1957" s="5">
        <f>TRUNC(F1957*I1957,0)</f>
        <v>0</v>
      </c>
      <c r="K1957" s="5">
        <v>0</v>
      </c>
      <c r="L1957" s="5">
        <f>TRUNC(F1957*K1957,0)</f>
        <v>0</v>
      </c>
      <c r="M1957" s="5">
        <f t="shared" si="180"/>
        <v>6140</v>
      </c>
      <c r="N1957" s="5">
        <f t="shared" si="180"/>
        <v>6140</v>
      </c>
      <c r="O1957" s="8" t="s">
        <v>20</v>
      </c>
      <c r="T1957">
        <v>0</v>
      </c>
      <c r="AC1957">
        <v>1</v>
      </c>
    </row>
    <row r="1958" spans="1:29" ht="30" customHeight="1" x14ac:dyDescent="0.3">
      <c r="A1958" s="8" t="s">
        <v>2185</v>
      </c>
      <c r="B1958" s="8" t="s">
        <v>2190</v>
      </c>
      <c r="C1958" s="8" t="s">
        <v>177</v>
      </c>
      <c r="D1958" s="8" t="s">
        <v>2191</v>
      </c>
      <c r="E1958" s="8" t="s">
        <v>179</v>
      </c>
      <c r="F1958" s="9">
        <v>1</v>
      </c>
      <c r="G1958" s="5">
        <f>TRUNC([1]단가대비표!O209,0)</f>
        <v>5080</v>
      </c>
      <c r="H1958" s="5">
        <f>TRUNC(F1958*G1958,0)</f>
        <v>5080</v>
      </c>
      <c r="I1958" s="5">
        <v>0</v>
      </c>
      <c r="J1958" s="5">
        <f>TRUNC(F1958*I1958,0)</f>
        <v>0</v>
      </c>
      <c r="K1958" s="5">
        <v>0</v>
      </c>
      <c r="L1958" s="5">
        <f>TRUNC(F1958*K1958,0)</f>
        <v>0</v>
      </c>
      <c r="M1958" s="5">
        <f t="shared" si="180"/>
        <v>5080</v>
      </c>
      <c r="N1958" s="5">
        <f t="shared" si="180"/>
        <v>5080</v>
      </c>
      <c r="O1958" s="8" t="s">
        <v>20</v>
      </c>
      <c r="T1958">
        <v>0</v>
      </c>
      <c r="AC1958">
        <v>1</v>
      </c>
    </row>
    <row r="1959" spans="1:29" ht="30" customHeight="1" x14ac:dyDescent="0.3">
      <c r="A1959" s="8" t="s">
        <v>2185</v>
      </c>
      <c r="B1959" s="8" t="s">
        <v>2192</v>
      </c>
      <c r="C1959" s="8" t="s">
        <v>183</v>
      </c>
      <c r="D1959" s="8" t="s">
        <v>489</v>
      </c>
      <c r="E1959" s="8" t="s">
        <v>185</v>
      </c>
      <c r="F1959" s="9">
        <v>3</v>
      </c>
      <c r="G1959" s="5" t="e">
        <f>'[2].xls].xls].xls].xls].xls].xls].xls].'!E28</f>
        <v>#REF!</v>
      </c>
      <c r="H1959" s="5" t="e">
        <f>TRUNC(F1959*G1959,0)</f>
        <v>#REF!</v>
      </c>
      <c r="I1959" s="5" t="e">
        <f>'[2].xls].xls].xls].xls].xls].xls].xls].'!F28</f>
        <v>#REF!</v>
      </c>
      <c r="J1959" s="5" t="e">
        <f>TRUNC(F1959*I1959,0)</f>
        <v>#REF!</v>
      </c>
      <c r="K1959" s="5" t="e">
        <f>'[2].xls].xls].xls].xls].xls].xls].xls].'!G28</f>
        <v>#REF!</v>
      </c>
      <c r="L1959" s="5" t="e">
        <f>TRUNC(F1959*K1959,0)</f>
        <v>#REF!</v>
      </c>
      <c r="M1959" s="5" t="e">
        <f t="shared" si="180"/>
        <v>#REF!</v>
      </c>
      <c r="N1959" s="5" t="e">
        <f t="shared" si="180"/>
        <v>#REF!</v>
      </c>
      <c r="O1959" s="8" t="s">
        <v>2192</v>
      </c>
      <c r="T1959">
        <v>0</v>
      </c>
      <c r="AC1959">
        <v>1</v>
      </c>
    </row>
    <row r="1960" spans="1:29" ht="30" customHeight="1" x14ac:dyDescent="0.3">
      <c r="A1960" s="5"/>
      <c r="B1960" s="5"/>
      <c r="C1960" s="5"/>
      <c r="D1960" s="5"/>
      <c r="E1960" s="5"/>
      <c r="F1960" s="9"/>
      <c r="G1960" s="5"/>
      <c r="H1960" s="5"/>
      <c r="I1960" s="5"/>
      <c r="J1960" s="5"/>
      <c r="K1960" s="5"/>
      <c r="L1960" s="5"/>
      <c r="M1960" s="5"/>
      <c r="N1960" s="5"/>
      <c r="O1960" s="5"/>
    </row>
    <row r="1961" spans="1:29" ht="30" customHeight="1" x14ac:dyDescent="0.3">
      <c r="A1961" s="5"/>
      <c r="B1961" s="5"/>
      <c r="C1961" s="5"/>
      <c r="D1961" s="5"/>
      <c r="E1961" s="5"/>
      <c r="F1961" s="9"/>
      <c r="G1961" s="5"/>
      <c r="H1961" s="5"/>
      <c r="I1961" s="5"/>
      <c r="J1961" s="5"/>
      <c r="K1961" s="5"/>
      <c r="L1961" s="5"/>
      <c r="M1961" s="5"/>
      <c r="N1961" s="5"/>
      <c r="O1961" s="5"/>
    </row>
    <row r="1962" spans="1:29" ht="30" customHeight="1" x14ac:dyDescent="0.3">
      <c r="A1962" s="5"/>
      <c r="B1962" s="5"/>
      <c r="C1962" s="5"/>
      <c r="D1962" s="5"/>
      <c r="E1962" s="5"/>
      <c r="F1962" s="9"/>
      <c r="G1962" s="5"/>
      <c r="H1962" s="5"/>
      <c r="I1962" s="5"/>
      <c r="J1962" s="5"/>
      <c r="K1962" s="5"/>
      <c r="L1962" s="5"/>
      <c r="M1962" s="5"/>
      <c r="N1962" s="5"/>
      <c r="O1962" s="5"/>
    </row>
    <row r="1963" spans="1:29" ht="30" customHeight="1" x14ac:dyDescent="0.3">
      <c r="A1963" s="5"/>
      <c r="B1963" s="5"/>
      <c r="C1963" s="5"/>
      <c r="D1963" s="5"/>
      <c r="E1963" s="5"/>
      <c r="F1963" s="9"/>
      <c r="G1963" s="5"/>
      <c r="H1963" s="5"/>
      <c r="I1963" s="5"/>
      <c r="J1963" s="5"/>
      <c r="K1963" s="5"/>
      <c r="L1963" s="5"/>
      <c r="M1963" s="5"/>
      <c r="N1963" s="5"/>
      <c r="O1963" s="5"/>
    </row>
    <row r="1964" spans="1:29" ht="30" customHeight="1" x14ac:dyDescent="0.3">
      <c r="A1964" s="5"/>
      <c r="B1964" s="5"/>
      <c r="C1964" s="5"/>
      <c r="D1964" s="5"/>
      <c r="E1964" s="5"/>
      <c r="F1964" s="9"/>
      <c r="G1964" s="5"/>
      <c r="H1964" s="5"/>
      <c r="I1964" s="5"/>
      <c r="J1964" s="5"/>
      <c r="K1964" s="5"/>
      <c r="L1964" s="5"/>
      <c r="M1964" s="5"/>
      <c r="N1964" s="5"/>
      <c r="O1964" s="5"/>
    </row>
    <row r="1965" spans="1:29" ht="30" customHeight="1" x14ac:dyDescent="0.3">
      <c r="A1965" s="5"/>
      <c r="B1965" s="5"/>
      <c r="C1965" s="5"/>
      <c r="D1965" s="5"/>
      <c r="E1965" s="5"/>
      <c r="F1965" s="9"/>
      <c r="G1965" s="5"/>
      <c r="H1965" s="5"/>
      <c r="I1965" s="5"/>
      <c r="J1965" s="5"/>
      <c r="K1965" s="5"/>
      <c r="L1965" s="5"/>
      <c r="M1965" s="5"/>
      <c r="N1965" s="5"/>
      <c r="O1965" s="5"/>
    </row>
    <row r="1966" spans="1:29" ht="30" customHeight="1" x14ac:dyDescent="0.3">
      <c r="A1966" s="5"/>
      <c r="B1966" s="5"/>
      <c r="C1966" s="5"/>
      <c r="D1966" s="5"/>
      <c r="E1966" s="5"/>
      <c r="F1966" s="9"/>
      <c r="G1966" s="5"/>
      <c r="H1966" s="5"/>
      <c r="I1966" s="5"/>
      <c r="J1966" s="5"/>
      <c r="K1966" s="5"/>
      <c r="L1966" s="5"/>
      <c r="M1966" s="5"/>
      <c r="N1966" s="5"/>
      <c r="O1966" s="5"/>
    </row>
    <row r="1967" spans="1:29" ht="30" customHeight="1" x14ac:dyDescent="0.3">
      <c r="A1967" s="5"/>
      <c r="B1967" s="5"/>
      <c r="C1967" s="5"/>
      <c r="D1967" s="5"/>
      <c r="E1967" s="5"/>
      <c r="F1967" s="9"/>
      <c r="G1967" s="5"/>
      <c r="H1967" s="5"/>
      <c r="I1967" s="5"/>
      <c r="J1967" s="5"/>
      <c r="K1967" s="5"/>
      <c r="L1967" s="5"/>
      <c r="M1967" s="5"/>
      <c r="N1967" s="5"/>
      <c r="O1967" s="5"/>
    </row>
    <row r="1968" spans="1:29" ht="30" customHeight="1" x14ac:dyDescent="0.3">
      <c r="A1968" s="5"/>
      <c r="B1968" s="5"/>
      <c r="C1968" s="5"/>
      <c r="D1968" s="5"/>
      <c r="E1968" s="5"/>
      <c r="F1968" s="9"/>
      <c r="G1968" s="5"/>
      <c r="H1968" s="5"/>
      <c r="I1968" s="5"/>
      <c r="J1968" s="5"/>
      <c r="K1968" s="5"/>
      <c r="L1968" s="5"/>
      <c r="M1968" s="5"/>
      <c r="N1968" s="5"/>
      <c r="O1968" s="5"/>
    </row>
    <row r="1969" spans="1:29" ht="30" customHeight="1" x14ac:dyDescent="0.3">
      <c r="A1969" s="5"/>
      <c r="B1969" s="5"/>
      <c r="C1969" s="5"/>
      <c r="D1969" s="5"/>
      <c r="E1969" s="5"/>
      <c r="F1969" s="9"/>
      <c r="G1969" s="5"/>
      <c r="H1969" s="5"/>
      <c r="I1969" s="5"/>
      <c r="J1969" s="5"/>
      <c r="K1969" s="5"/>
      <c r="L1969" s="5"/>
      <c r="M1969" s="5"/>
      <c r="N1969" s="5"/>
      <c r="O1969" s="5"/>
    </row>
    <row r="1970" spans="1:29" ht="30" customHeight="1" x14ac:dyDescent="0.3">
      <c r="A1970" s="5"/>
      <c r="B1970" s="5"/>
      <c r="C1970" s="5"/>
      <c r="D1970" s="5"/>
      <c r="E1970" s="5"/>
      <c r="F1970" s="9"/>
      <c r="G1970" s="5"/>
      <c r="H1970" s="5"/>
      <c r="I1970" s="5"/>
      <c r="J1970" s="5"/>
      <c r="K1970" s="5"/>
      <c r="L1970" s="5"/>
      <c r="M1970" s="5"/>
      <c r="N1970" s="5"/>
      <c r="O1970" s="5"/>
    </row>
    <row r="1971" spans="1:29" ht="30" customHeight="1" x14ac:dyDescent="0.3">
      <c r="A1971" s="5"/>
      <c r="B1971" s="5"/>
      <c r="C1971" s="5"/>
      <c r="D1971" s="5"/>
      <c r="E1971" s="5"/>
      <c r="F1971" s="9"/>
      <c r="G1971" s="5"/>
      <c r="H1971" s="5"/>
      <c r="I1971" s="5"/>
      <c r="J1971" s="5"/>
      <c r="K1971" s="5"/>
      <c r="L1971" s="5"/>
      <c r="M1971" s="5"/>
      <c r="N1971" s="5"/>
      <c r="O1971" s="5"/>
    </row>
    <row r="1972" spans="1:29" ht="30" customHeight="1" x14ac:dyDescent="0.3">
      <c r="A1972" s="5"/>
      <c r="B1972" s="5"/>
      <c r="C1972" s="5"/>
      <c r="D1972" s="5"/>
      <c r="E1972" s="5"/>
      <c r="F1972" s="9"/>
      <c r="G1972" s="5"/>
      <c r="H1972" s="5"/>
      <c r="I1972" s="5"/>
      <c r="J1972" s="5"/>
      <c r="K1972" s="5"/>
      <c r="L1972" s="5"/>
      <c r="M1972" s="5"/>
      <c r="N1972" s="5"/>
      <c r="O1972" s="5"/>
    </row>
    <row r="1973" spans="1:29" ht="30" customHeight="1" x14ac:dyDescent="0.3">
      <c r="A1973" s="5"/>
      <c r="B1973" s="5"/>
      <c r="C1973" s="5"/>
      <c r="D1973" s="5"/>
      <c r="E1973" s="5"/>
      <c r="F1973" s="9"/>
      <c r="G1973" s="5"/>
      <c r="H1973" s="5"/>
      <c r="I1973" s="5"/>
      <c r="J1973" s="5"/>
      <c r="K1973" s="5"/>
      <c r="L1973" s="5"/>
      <c r="M1973" s="5"/>
      <c r="N1973" s="5"/>
      <c r="O1973" s="5"/>
    </row>
    <row r="1974" spans="1:29" ht="30" customHeight="1" x14ac:dyDescent="0.3">
      <c r="A1974" s="5"/>
      <c r="B1974" s="5"/>
      <c r="C1974" s="5"/>
      <c r="D1974" s="5"/>
      <c r="E1974" s="5"/>
      <c r="F1974" s="9"/>
      <c r="G1974" s="5"/>
      <c r="H1974" s="5"/>
      <c r="I1974" s="5"/>
      <c r="J1974" s="5"/>
      <c r="K1974" s="5"/>
      <c r="L1974" s="5"/>
      <c r="M1974" s="5"/>
      <c r="N1974" s="5"/>
      <c r="O1974" s="5"/>
    </row>
    <row r="1975" spans="1:29" ht="30" customHeight="1" x14ac:dyDescent="0.3">
      <c r="A1975" s="5"/>
      <c r="B1975" s="5"/>
      <c r="C1975" s="5"/>
      <c r="D1975" s="5"/>
      <c r="E1975" s="5"/>
      <c r="F1975" s="9"/>
      <c r="G1975" s="5"/>
      <c r="H1975" s="5"/>
      <c r="I1975" s="5"/>
      <c r="J1975" s="5"/>
      <c r="K1975" s="5"/>
      <c r="L1975" s="5"/>
      <c r="M1975" s="5"/>
      <c r="N1975" s="5"/>
      <c r="O1975" s="5"/>
    </row>
    <row r="1976" spans="1:29" ht="30" customHeight="1" x14ac:dyDescent="0.3">
      <c r="A1976" s="5"/>
      <c r="B1976" s="5"/>
      <c r="C1976" s="5"/>
      <c r="D1976" s="5"/>
      <c r="E1976" s="5"/>
      <c r="F1976" s="9"/>
      <c r="G1976" s="5"/>
      <c r="H1976" s="5"/>
      <c r="I1976" s="5"/>
      <c r="J1976" s="5"/>
      <c r="K1976" s="5"/>
      <c r="L1976" s="5"/>
      <c r="M1976" s="5"/>
      <c r="N1976" s="5"/>
      <c r="O1976" s="5"/>
    </row>
    <row r="1977" spans="1:29" ht="30" customHeight="1" x14ac:dyDescent="0.3">
      <c r="A1977" s="5"/>
      <c r="B1977" s="5"/>
      <c r="C1977" s="5"/>
      <c r="D1977" s="5"/>
      <c r="E1977" s="5"/>
      <c r="F1977" s="9"/>
      <c r="G1977" s="5"/>
      <c r="H1977" s="5"/>
      <c r="I1977" s="5"/>
      <c r="J1977" s="5"/>
      <c r="K1977" s="5"/>
      <c r="L1977" s="5"/>
      <c r="M1977" s="5"/>
      <c r="N1977" s="5"/>
      <c r="O1977" s="5"/>
    </row>
    <row r="1978" spans="1:29" ht="30" customHeight="1" x14ac:dyDescent="0.3">
      <c r="A1978" s="5"/>
      <c r="B1978" s="5"/>
      <c r="C1978" s="5"/>
      <c r="D1978" s="5"/>
      <c r="E1978" s="5"/>
      <c r="F1978" s="9"/>
      <c r="G1978" s="5"/>
      <c r="H1978" s="5"/>
      <c r="I1978" s="5"/>
      <c r="J1978" s="5"/>
      <c r="K1978" s="5"/>
      <c r="L1978" s="5"/>
      <c r="M1978" s="5"/>
      <c r="N1978" s="5"/>
      <c r="O1978" s="5"/>
    </row>
    <row r="1979" spans="1:29" ht="30" customHeight="1" x14ac:dyDescent="0.3">
      <c r="A1979" s="5"/>
      <c r="B1979" s="5"/>
      <c r="C1979" s="5" t="s">
        <v>162</v>
      </c>
      <c r="D1979" s="5"/>
      <c r="E1979" s="5"/>
      <c r="F1979" s="9"/>
      <c r="G1979" s="5"/>
      <c r="H1979" s="5" t="e">
        <f>SUMIF(AC1955:AC1978, 1, H1955:H1978)</f>
        <v>#REF!</v>
      </c>
      <c r="I1979" s="5"/>
      <c r="J1979" s="5" t="e">
        <f>SUMIF(AC1955:AC1978, 1, J1955:J1978)</f>
        <v>#REF!</v>
      </c>
      <c r="K1979" s="5"/>
      <c r="L1979" s="5" t="e">
        <f>SUMIF(AC1955:AC1978, 1, L1955:L1978)</f>
        <v>#REF!</v>
      </c>
      <c r="M1979" s="5"/>
      <c r="N1979" s="5" t="e">
        <f>H1979+J1979+L1979</f>
        <v>#REF!</v>
      </c>
      <c r="O1979" s="5"/>
    </row>
    <row r="1980" spans="1:29" ht="30" customHeight="1" x14ac:dyDescent="0.3">
      <c r="A1980" s="5"/>
      <c r="B1980" s="5"/>
      <c r="C1980" s="10" t="s">
        <v>2193</v>
      </c>
      <c r="D1980" s="10"/>
      <c r="E1980" s="10"/>
      <c r="F1980" s="11"/>
      <c r="G1980" s="10"/>
      <c r="H1980" s="10"/>
      <c r="I1980" s="10"/>
      <c r="J1980" s="10"/>
      <c r="K1980" s="10"/>
      <c r="L1980" s="10"/>
      <c r="M1980" s="10"/>
      <c r="N1980" s="10"/>
      <c r="O1980" s="10"/>
    </row>
    <row r="1981" spans="1:29" ht="30" customHeight="1" x14ac:dyDescent="0.3">
      <c r="A1981" s="8" t="s">
        <v>2194</v>
      </c>
      <c r="B1981" s="8" t="s">
        <v>722</v>
      </c>
      <c r="C1981" s="8" t="s">
        <v>723</v>
      </c>
      <c r="D1981" s="8" t="s">
        <v>724</v>
      </c>
      <c r="E1981" s="8" t="s">
        <v>721</v>
      </c>
      <c r="F1981" s="9">
        <v>4</v>
      </c>
      <c r="G1981" s="5">
        <f>TRUNC([1]단가대비표!O38,0)</f>
        <v>158100</v>
      </c>
      <c r="H1981" s="5">
        <f t="shared" ref="H1981:H1990" si="181">TRUNC(F1981*G1981,0)</f>
        <v>632400</v>
      </c>
      <c r="I1981" s="5">
        <v>0</v>
      </c>
      <c r="J1981" s="5">
        <f t="shared" ref="J1981:J1990" si="182">TRUNC(F1981*I1981,0)</f>
        <v>0</v>
      </c>
      <c r="K1981" s="5">
        <v>0</v>
      </c>
      <c r="L1981" s="5">
        <f t="shared" ref="L1981:L1990" si="183">TRUNC(F1981*K1981,0)</f>
        <v>0</v>
      </c>
      <c r="M1981" s="5">
        <f t="shared" ref="M1981:N1990" si="184">G1981+I1981+K1981</f>
        <v>158100</v>
      </c>
      <c r="N1981" s="5">
        <f t="shared" si="184"/>
        <v>632400</v>
      </c>
      <c r="O1981" s="8" t="s">
        <v>20</v>
      </c>
      <c r="T1981">
        <v>0</v>
      </c>
      <c r="AC1981">
        <v>1</v>
      </c>
    </row>
    <row r="1982" spans="1:29" ht="30" customHeight="1" x14ac:dyDescent="0.3">
      <c r="A1982" s="8" t="s">
        <v>2194</v>
      </c>
      <c r="B1982" s="8" t="s">
        <v>727</v>
      </c>
      <c r="C1982" s="8" t="s">
        <v>728</v>
      </c>
      <c r="D1982" s="8" t="s">
        <v>729</v>
      </c>
      <c r="E1982" s="8" t="s">
        <v>721</v>
      </c>
      <c r="F1982" s="9">
        <v>2</v>
      </c>
      <c r="G1982" s="5">
        <f>TRUNC([1]단가대비표!O40,0)</f>
        <v>316200</v>
      </c>
      <c r="H1982" s="5">
        <f t="shared" si="181"/>
        <v>632400</v>
      </c>
      <c r="I1982" s="5">
        <v>0</v>
      </c>
      <c r="J1982" s="5">
        <f t="shared" si="182"/>
        <v>0</v>
      </c>
      <c r="K1982" s="5">
        <v>0</v>
      </c>
      <c r="L1982" s="5">
        <f t="shared" si="183"/>
        <v>0</v>
      </c>
      <c r="M1982" s="5">
        <f t="shared" si="184"/>
        <v>316200</v>
      </c>
      <c r="N1982" s="5">
        <f t="shared" si="184"/>
        <v>632400</v>
      </c>
      <c r="O1982" s="8" t="s">
        <v>20</v>
      </c>
      <c r="T1982">
        <v>0</v>
      </c>
      <c r="AC1982">
        <v>1</v>
      </c>
    </row>
    <row r="1983" spans="1:29" ht="30" customHeight="1" x14ac:dyDescent="0.3">
      <c r="A1983" s="8" t="s">
        <v>2194</v>
      </c>
      <c r="B1983" s="8" t="s">
        <v>733</v>
      </c>
      <c r="C1983" s="8" t="s">
        <v>734</v>
      </c>
      <c r="D1983" s="8" t="s">
        <v>735</v>
      </c>
      <c r="E1983" s="8" t="s">
        <v>721</v>
      </c>
      <c r="F1983" s="9">
        <v>2</v>
      </c>
      <c r="G1983" s="5">
        <f>TRUNC([1]단가대비표!O33,0)</f>
        <v>178500</v>
      </c>
      <c r="H1983" s="5">
        <f t="shared" si="181"/>
        <v>357000</v>
      </c>
      <c r="I1983" s="5">
        <v>0</v>
      </c>
      <c r="J1983" s="5">
        <f t="shared" si="182"/>
        <v>0</v>
      </c>
      <c r="K1983" s="5">
        <v>0</v>
      </c>
      <c r="L1983" s="5">
        <f t="shared" si="183"/>
        <v>0</v>
      </c>
      <c r="M1983" s="5">
        <f t="shared" si="184"/>
        <v>178500</v>
      </c>
      <c r="N1983" s="5">
        <f t="shared" si="184"/>
        <v>357000</v>
      </c>
      <c r="O1983" s="8" t="s">
        <v>20</v>
      </c>
      <c r="T1983">
        <v>0</v>
      </c>
      <c r="AC1983">
        <v>1</v>
      </c>
    </row>
    <row r="1984" spans="1:29" ht="30" customHeight="1" x14ac:dyDescent="0.3">
      <c r="A1984" s="8" t="s">
        <v>2194</v>
      </c>
      <c r="B1984" s="8" t="s">
        <v>739</v>
      </c>
      <c r="C1984" s="8" t="s">
        <v>740</v>
      </c>
      <c r="D1984" s="8" t="s">
        <v>20</v>
      </c>
      <c r="E1984" s="8" t="s">
        <v>179</v>
      </c>
      <c r="F1984" s="9">
        <v>4</v>
      </c>
      <c r="G1984" s="5">
        <f>TRUNC([1]단가대비표!O42,0)</f>
        <v>57960</v>
      </c>
      <c r="H1984" s="5">
        <f t="shared" si="181"/>
        <v>231840</v>
      </c>
      <c r="I1984" s="5">
        <v>0</v>
      </c>
      <c r="J1984" s="5">
        <f t="shared" si="182"/>
        <v>0</v>
      </c>
      <c r="K1984" s="5">
        <v>0</v>
      </c>
      <c r="L1984" s="5">
        <f t="shared" si="183"/>
        <v>0</v>
      </c>
      <c r="M1984" s="5">
        <f t="shared" si="184"/>
        <v>57960</v>
      </c>
      <c r="N1984" s="5">
        <f t="shared" si="184"/>
        <v>231840</v>
      </c>
      <c r="O1984" s="8" t="s">
        <v>20</v>
      </c>
      <c r="T1984">
        <v>0</v>
      </c>
      <c r="AC1984">
        <v>1</v>
      </c>
    </row>
    <row r="1985" spans="1:29" ht="30" customHeight="1" x14ac:dyDescent="0.3">
      <c r="A1985" s="8" t="s">
        <v>2194</v>
      </c>
      <c r="B1985" s="8" t="s">
        <v>748</v>
      </c>
      <c r="C1985" s="8" t="s">
        <v>749</v>
      </c>
      <c r="D1985" s="8" t="s">
        <v>20</v>
      </c>
      <c r="E1985" s="8" t="s">
        <v>179</v>
      </c>
      <c r="F1985" s="9">
        <v>2</v>
      </c>
      <c r="G1985" s="5">
        <f>TRUNC([1]단가대비표!O692,0)</f>
        <v>289000</v>
      </c>
      <c r="H1985" s="5">
        <f t="shared" si="181"/>
        <v>578000</v>
      </c>
      <c r="I1985" s="5">
        <v>0</v>
      </c>
      <c r="J1985" s="5">
        <f t="shared" si="182"/>
        <v>0</v>
      </c>
      <c r="K1985" s="5">
        <v>0</v>
      </c>
      <c r="L1985" s="5">
        <f t="shared" si="183"/>
        <v>0</v>
      </c>
      <c r="M1985" s="5">
        <f t="shared" si="184"/>
        <v>289000</v>
      </c>
      <c r="N1985" s="5">
        <f t="shared" si="184"/>
        <v>578000</v>
      </c>
      <c r="O1985" s="8" t="s">
        <v>20</v>
      </c>
      <c r="T1985">
        <v>0</v>
      </c>
      <c r="AC1985">
        <v>1</v>
      </c>
    </row>
    <row r="1986" spans="1:29" ht="30" customHeight="1" x14ac:dyDescent="0.3">
      <c r="A1986" s="8" t="s">
        <v>2194</v>
      </c>
      <c r="B1986" s="8" t="s">
        <v>750</v>
      </c>
      <c r="C1986" s="8" t="s">
        <v>751</v>
      </c>
      <c r="D1986" s="8" t="s">
        <v>20</v>
      </c>
      <c r="E1986" s="8" t="s">
        <v>179</v>
      </c>
      <c r="F1986" s="9">
        <v>2</v>
      </c>
      <c r="G1986" s="5">
        <f>TRUNC([1]단가대비표!O34,0)</f>
        <v>8075</v>
      </c>
      <c r="H1986" s="5">
        <f t="shared" si="181"/>
        <v>16150</v>
      </c>
      <c r="I1986" s="5">
        <v>0</v>
      </c>
      <c r="J1986" s="5">
        <f t="shared" si="182"/>
        <v>0</v>
      </c>
      <c r="K1986" s="5">
        <v>0</v>
      </c>
      <c r="L1986" s="5">
        <f t="shared" si="183"/>
        <v>0</v>
      </c>
      <c r="M1986" s="5">
        <f t="shared" si="184"/>
        <v>8075</v>
      </c>
      <c r="N1986" s="5">
        <f t="shared" si="184"/>
        <v>16150</v>
      </c>
      <c r="O1986" s="8" t="s">
        <v>20</v>
      </c>
      <c r="T1986">
        <v>0</v>
      </c>
      <c r="AC1986">
        <v>1</v>
      </c>
    </row>
    <row r="1987" spans="1:29" ht="30" customHeight="1" x14ac:dyDescent="0.3">
      <c r="A1987" s="8" t="s">
        <v>2194</v>
      </c>
      <c r="B1987" s="8" t="s">
        <v>752</v>
      </c>
      <c r="C1987" s="8" t="s">
        <v>753</v>
      </c>
      <c r="D1987" s="8" t="s">
        <v>20</v>
      </c>
      <c r="E1987" s="8" t="s">
        <v>179</v>
      </c>
      <c r="F1987" s="9">
        <v>4</v>
      </c>
      <c r="G1987" s="5">
        <f>TRUNC([1]단가대비표!O35,0)</f>
        <v>6720</v>
      </c>
      <c r="H1987" s="5">
        <f t="shared" si="181"/>
        <v>26880</v>
      </c>
      <c r="I1987" s="5">
        <v>0</v>
      </c>
      <c r="J1987" s="5">
        <f t="shared" si="182"/>
        <v>0</v>
      </c>
      <c r="K1987" s="5">
        <v>0</v>
      </c>
      <c r="L1987" s="5">
        <f t="shared" si="183"/>
        <v>0</v>
      </c>
      <c r="M1987" s="5">
        <f t="shared" si="184"/>
        <v>6720</v>
      </c>
      <c r="N1987" s="5">
        <f t="shared" si="184"/>
        <v>26880</v>
      </c>
      <c r="O1987" s="8" t="s">
        <v>20</v>
      </c>
      <c r="T1987">
        <v>0</v>
      </c>
      <c r="AC1987">
        <v>1</v>
      </c>
    </row>
    <row r="1988" spans="1:29" ht="30" customHeight="1" x14ac:dyDescent="0.3">
      <c r="A1988" s="8" t="s">
        <v>2194</v>
      </c>
      <c r="B1988" s="8" t="s">
        <v>152</v>
      </c>
      <c r="C1988" s="8" t="s">
        <v>153</v>
      </c>
      <c r="D1988" s="8" t="s">
        <v>154</v>
      </c>
      <c r="E1988" s="8" t="s">
        <v>155</v>
      </c>
      <c r="F1988" s="9">
        <v>2</v>
      </c>
      <c r="G1988" s="5">
        <v>0</v>
      </c>
      <c r="H1988" s="5">
        <f t="shared" si="181"/>
        <v>0</v>
      </c>
      <c r="I1988" s="5">
        <f>TRUNC([1]단가대비표!O671,0)</f>
        <v>157068</v>
      </c>
      <c r="J1988" s="5">
        <f t="shared" si="182"/>
        <v>314136</v>
      </c>
      <c r="K1988" s="5">
        <v>0</v>
      </c>
      <c r="L1988" s="5">
        <f t="shared" si="183"/>
        <v>0</v>
      </c>
      <c r="M1988" s="5">
        <f t="shared" si="184"/>
        <v>157068</v>
      </c>
      <c r="N1988" s="5">
        <f t="shared" si="184"/>
        <v>314136</v>
      </c>
      <c r="O1988" s="8" t="s">
        <v>20</v>
      </c>
      <c r="T1988">
        <v>0</v>
      </c>
      <c r="W1988">
        <v>3</v>
      </c>
      <c r="AC1988">
        <v>1</v>
      </c>
    </row>
    <row r="1989" spans="1:29" ht="30" customHeight="1" x14ac:dyDescent="0.3">
      <c r="A1989" s="8" t="s">
        <v>2194</v>
      </c>
      <c r="B1989" s="8" t="s">
        <v>761</v>
      </c>
      <c r="C1989" s="8" t="s">
        <v>153</v>
      </c>
      <c r="D1989" s="8" t="s">
        <v>762</v>
      </c>
      <c r="E1989" s="8" t="s">
        <v>155</v>
      </c>
      <c r="F1989" s="9">
        <v>7</v>
      </c>
      <c r="G1989" s="5">
        <v>0</v>
      </c>
      <c r="H1989" s="5">
        <f t="shared" si="181"/>
        <v>0</v>
      </c>
      <c r="I1989" s="5">
        <f>TRUNC([1]단가대비표!O673,0)</f>
        <v>202504</v>
      </c>
      <c r="J1989" s="5">
        <f t="shared" si="182"/>
        <v>1417528</v>
      </c>
      <c r="K1989" s="5">
        <v>0</v>
      </c>
      <c r="L1989" s="5">
        <f t="shared" si="183"/>
        <v>0</v>
      </c>
      <c r="M1989" s="5">
        <f t="shared" si="184"/>
        <v>202504</v>
      </c>
      <c r="N1989" s="5">
        <f t="shared" si="184"/>
        <v>1417528</v>
      </c>
      <c r="O1989" s="8" t="s">
        <v>20</v>
      </c>
      <c r="T1989">
        <v>0</v>
      </c>
      <c r="W1989">
        <v>3</v>
      </c>
      <c r="AC1989">
        <v>1</v>
      </c>
    </row>
    <row r="1990" spans="1:29" ht="30" customHeight="1" x14ac:dyDescent="0.3">
      <c r="A1990" s="8" t="s">
        <v>2194</v>
      </c>
      <c r="B1990" s="8" t="s">
        <v>158</v>
      </c>
      <c r="C1990" s="8" t="s">
        <v>159</v>
      </c>
      <c r="D1990" s="8" t="s">
        <v>2195</v>
      </c>
      <c r="E1990" s="8" t="s">
        <v>161</v>
      </c>
      <c r="F1990" s="9">
        <v>1</v>
      </c>
      <c r="G1990" s="5">
        <f>ROUNDDOWN(SUMIF(W1981:W1990, RIGHTB(B1990, 1), J1981:J1990)*T1990, 0)</f>
        <v>34633</v>
      </c>
      <c r="H1990" s="5">
        <f t="shared" si="181"/>
        <v>34633</v>
      </c>
      <c r="I1990" s="5">
        <v>0</v>
      </c>
      <c r="J1990" s="5">
        <f t="shared" si="182"/>
        <v>0</v>
      </c>
      <c r="K1990" s="5">
        <v>0</v>
      </c>
      <c r="L1990" s="5">
        <f t="shared" si="183"/>
        <v>0</v>
      </c>
      <c r="M1990" s="5">
        <f t="shared" si="184"/>
        <v>34633</v>
      </c>
      <c r="N1990" s="5">
        <f t="shared" si="184"/>
        <v>34633</v>
      </c>
      <c r="O1990" s="8" t="s">
        <v>20</v>
      </c>
      <c r="P1990">
        <v>1990</v>
      </c>
      <c r="R1990">
        <v>1</v>
      </c>
      <c r="S1990">
        <v>0</v>
      </c>
      <c r="T1990">
        <v>0.02</v>
      </c>
      <c r="AC1990">
        <v>1</v>
      </c>
    </row>
    <row r="1991" spans="1:29" ht="30" customHeight="1" x14ac:dyDescent="0.3">
      <c r="A1991" s="5"/>
      <c r="B1991" s="5"/>
      <c r="C1991" s="5"/>
      <c r="D1991" s="5"/>
      <c r="E1991" s="5"/>
      <c r="F1991" s="9"/>
      <c r="G1991" s="5"/>
      <c r="H1991" s="5"/>
      <c r="I1991" s="5"/>
      <c r="J1991" s="5"/>
      <c r="K1991" s="5"/>
      <c r="L1991" s="5"/>
      <c r="M1991" s="5"/>
      <c r="N1991" s="5"/>
      <c r="O1991" s="5"/>
    </row>
    <row r="1992" spans="1:29" ht="30" customHeight="1" x14ac:dyDescent="0.3">
      <c r="A1992" s="5"/>
      <c r="B1992" s="5"/>
      <c r="C1992" s="5"/>
      <c r="D1992" s="5"/>
      <c r="E1992" s="5"/>
      <c r="F1992" s="9"/>
      <c r="G1992" s="5"/>
      <c r="H1992" s="5"/>
      <c r="I1992" s="5"/>
      <c r="J1992" s="5"/>
      <c r="K1992" s="5"/>
      <c r="L1992" s="5"/>
      <c r="M1992" s="5"/>
      <c r="N1992" s="5"/>
      <c r="O1992" s="5"/>
    </row>
    <row r="1993" spans="1:29" ht="30" customHeight="1" x14ac:dyDescent="0.3">
      <c r="A1993" s="5"/>
      <c r="B1993" s="5"/>
      <c r="C1993" s="5"/>
      <c r="D1993" s="5"/>
      <c r="E1993" s="5"/>
      <c r="F1993" s="9"/>
      <c r="G1993" s="5"/>
      <c r="H1993" s="5"/>
      <c r="I1993" s="5"/>
      <c r="J1993" s="5"/>
      <c r="K1993" s="5"/>
      <c r="L1993" s="5"/>
      <c r="M1993" s="5"/>
      <c r="N1993" s="5"/>
      <c r="O1993" s="5"/>
    </row>
    <row r="1994" spans="1:29" ht="30" customHeight="1" x14ac:dyDescent="0.3">
      <c r="A1994" s="5"/>
      <c r="B1994" s="5"/>
      <c r="C1994" s="5"/>
      <c r="D1994" s="5"/>
      <c r="E1994" s="5"/>
      <c r="F1994" s="9"/>
      <c r="G1994" s="5"/>
      <c r="H1994" s="5"/>
      <c r="I1994" s="5"/>
      <c r="J1994" s="5"/>
      <c r="K1994" s="5"/>
      <c r="L1994" s="5"/>
      <c r="M1994" s="5"/>
      <c r="N1994" s="5"/>
      <c r="O1994" s="5"/>
    </row>
    <row r="1995" spans="1:29" ht="30" customHeight="1" x14ac:dyDescent="0.3">
      <c r="A1995" s="5"/>
      <c r="B1995" s="5"/>
      <c r="C1995" s="5"/>
      <c r="D1995" s="5"/>
      <c r="E1995" s="5"/>
      <c r="F1995" s="9"/>
      <c r="G1995" s="5"/>
      <c r="H1995" s="5"/>
      <c r="I1995" s="5"/>
      <c r="J1995" s="5"/>
      <c r="K1995" s="5"/>
      <c r="L1995" s="5"/>
      <c r="M1995" s="5"/>
      <c r="N1995" s="5"/>
      <c r="O1995" s="5"/>
    </row>
    <row r="1996" spans="1:29" ht="30" customHeight="1" x14ac:dyDescent="0.3">
      <c r="A1996" s="5"/>
      <c r="B1996" s="5"/>
      <c r="C1996" s="5"/>
      <c r="D1996" s="5"/>
      <c r="E1996" s="5"/>
      <c r="F1996" s="9"/>
      <c r="G1996" s="5"/>
      <c r="H1996" s="5"/>
      <c r="I1996" s="5"/>
      <c r="J1996" s="5"/>
      <c r="K1996" s="5"/>
      <c r="L1996" s="5"/>
      <c r="M1996" s="5"/>
      <c r="N1996" s="5"/>
      <c r="O1996" s="5"/>
    </row>
    <row r="1997" spans="1:29" ht="30" customHeight="1" x14ac:dyDescent="0.3">
      <c r="A1997" s="5"/>
      <c r="B1997" s="5"/>
      <c r="C1997" s="5"/>
      <c r="D1997" s="5"/>
      <c r="E1997" s="5"/>
      <c r="F1997" s="9"/>
      <c r="G1997" s="5"/>
      <c r="H1997" s="5"/>
      <c r="I1997" s="5"/>
      <c r="J1997" s="5"/>
      <c r="K1997" s="5"/>
      <c r="L1997" s="5"/>
      <c r="M1997" s="5"/>
      <c r="N1997" s="5"/>
      <c r="O1997" s="5"/>
    </row>
    <row r="1998" spans="1:29" ht="30" customHeight="1" x14ac:dyDescent="0.3">
      <c r="A1998" s="5"/>
      <c r="B1998" s="5"/>
      <c r="C1998" s="5"/>
      <c r="D1998" s="5"/>
      <c r="E1998" s="5"/>
      <c r="F1998" s="9"/>
      <c r="G1998" s="5"/>
      <c r="H1998" s="5"/>
      <c r="I1998" s="5"/>
      <c r="J1998" s="5"/>
      <c r="K1998" s="5"/>
      <c r="L1998" s="5"/>
      <c r="M1998" s="5"/>
      <c r="N1998" s="5"/>
      <c r="O1998" s="5"/>
    </row>
    <row r="1999" spans="1:29" ht="30" customHeight="1" x14ac:dyDescent="0.3">
      <c r="A1999" s="5"/>
      <c r="B1999" s="5"/>
      <c r="C1999" s="5"/>
      <c r="D1999" s="5"/>
      <c r="E1999" s="5"/>
      <c r="F1999" s="9"/>
      <c r="G1999" s="5"/>
      <c r="H1999" s="5"/>
      <c r="I1999" s="5"/>
      <c r="J1999" s="5"/>
      <c r="K1999" s="5"/>
      <c r="L1999" s="5"/>
      <c r="M1999" s="5"/>
      <c r="N1999" s="5"/>
      <c r="O1999" s="5"/>
    </row>
    <row r="2000" spans="1:29" ht="30" customHeight="1" x14ac:dyDescent="0.3">
      <c r="A2000" s="5"/>
      <c r="B2000" s="5"/>
      <c r="C2000" s="5"/>
      <c r="D2000" s="5"/>
      <c r="E2000" s="5"/>
      <c r="F2000" s="9"/>
      <c r="G2000" s="5"/>
      <c r="H2000" s="5"/>
      <c r="I2000" s="5"/>
      <c r="J2000" s="5"/>
      <c r="K2000" s="5"/>
      <c r="L2000" s="5"/>
      <c r="M2000" s="5"/>
      <c r="N2000" s="5"/>
      <c r="O2000" s="5"/>
    </row>
    <row r="2001" spans="1:29" ht="30" customHeight="1" x14ac:dyDescent="0.3">
      <c r="A2001" s="5"/>
      <c r="B2001" s="5"/>
      <c r="C2001" s="5"/>
      <c r="D2001" s="5"/>
      <c r="E2001" s="5"/>
      <c r="F2001" s="9"/>
      <c r="G2001" s="5"/>
      <c r="H2001" s="5"/>
      <c r="I2001" s="5"/>
      <c r="J2001" s="5"/>
      <c r="K2001" s="5"/>
      <c r="L2001" s="5"/>
      <c r="M2001" s="5"/>
      <c r="N2001" s="5"/>
      <c r="O2001" s="5"/>
    </row>
    <row r="2002" spans="1:29" ht="30" customHeight="1" x14ac:dyDescent="0.3">
      <c r="A2002" s="5"/>
      <c r="B2002" s="5"/>
      <c r="C2002" s="5"/>
      <c r="D2002" s="5"/>
      <c r="E2002" s="5"/>
      <c r="F2002" s="9"/>
      <c r="G2002" s="5"/>
      <c r="H2002" s="5"/>
      <c r="I2002" s="5"/>
      <c r="J2002" s="5"/>
      <c r="K2002" s="5"/>
      <c r="L2002" s="5"/>
      <c r="M2002" s="5"/>
      <c r="N2002" s="5"/>
      <c r="O2002" s="5"/>
    </row>
    <row r="2003" spans="1:29" ht="30" customHeight="1" x14ac:dyDescent="0.3">
      <c r="A2003" s="5"/>
      <c r="B2003" s="5"/>
      <c r="C2003" s="5"/>
      <c r="D2003" s="5"/>
      <c r="E2003" s="5"/>
      <c r="F2003" s="9"/>
      <c r="G2003" s="5"/>
      <c r="H2003" s="5"/>
      <c r="I2003" s="5"/>
      <c r="J2003" s="5"/>
      <c r="K2003" s="5"/>
      <c r="L2003" s="5"/>
      <c r="M2003" s="5"/>
      <c r="N2003" s="5"/>
      <c r="O2003" s="5"/>
    </row>
    <row r="2004" spans="1:29" ht="30" customHeight="1" x14ac:dyDescent="0.3">
      <c r="A2004" s="5"/>
      <c r="B2004" s="5"/>
      <c r="C2004" s="5"/>
      <c r="D2004" s="5"/>
      <c r="E2004" s="5"/>
      <c r="F2004" s="9"/>
      <c r="G2004" s="5"/>
      <c r="H2004" s="5"/>
      <c r="I2004" s="5"/>
      <c r="J2004" s="5"/>
      <c r="K2004" s="5"/>
      <c r="L2004" s="5"/>
      <c r="M2004" s="5"/>
      <c r="N2004" s="5"/>
      <c r="O2004" s="5"/>
    </row>
    <row r="2005" spans="1:29" ht="30" customHeight="1" x14ac:dyDescent="0.3">
      <c r="A2005" s="5"/>
      <c r="B2005" s="5"/>
      <c r="C2005" s="5" t="s">
        <v>162</v>
      </c>
      <c r="D2005" s="5"/>
      <c r="E2005" s="5"/>
      <c r="F2005" s="9"/>
      <c r="G2005" s="5"/>
      <c r="H2005" s="5">
        <f>SUMIF(AC1981:AC2004, 1, H1981:H2004)</f>
        <v>2509303</v>
      </c>
      <c r="I2005" s="5"/>
      <c r="J2005" s="5">
        <f>SUMIF(AC1981:AC2004, 1, J1981:J2004)</f>
        <v>1731664</v>
      </c>
      <c r="K2005" s="5"/>
      <c r="L2005" s="5">
        <f>SUMIF(AC1981:AC2004, 1, L1981:L2004)</f>
        <v>0</v>
      </c>
      <c r="M2005" s="5"/>
      <c r="N2005" s="5">
        <f>H2005+J2005+L2005</f>
        <v>4240967</v>
      </c>
      <c r="O2005" s="5"/>
    </row>
    <row r="2006" spans="1:29" ht="30" customHeight="1" x14ac:dyDescent="0.3">
      <c r="A2006" s="5"/>
      <c r="B2006" s="5"/>
      <c r="C2006" s="10" t="s">
        <v>2196</v>
      </c>
      <c r="D2006" s="10"/>
      <c r="E2006" s="10"/>
      <c r="F2006" s="11"/>
      <c r="G2006" s="10"/>
      <c r="H2006" s="10"/>
      <c r="I2006" s="10"/>
      <c r="J2006" s="10"/>
      <c r="K2006" s="10"/>
      <c r="L2006" s="10"/>
      <c r="M2006" s="10"/>
      <c r="N2006" s="10"/>
      <c r="O2006" s="10"/>
    </row>
    <row r="2007" spans="1:29" ht="30" customHeight="1" x14ac:dyDescent="0.3">
      <c r="A2007" s="8" t="s">
        <v>2197</v>
      </c>
      <c r="B2007" s="8" t="s">
        <v>190</v>
      </c>
      <c r="C2007" s="8" t="s">
        <v>191</v>
      </c>
      <c r="D2007" s="8" t="s">
        <v>192</v>
      </c>
      <c r="E2007" s="8" t="s">
        <v>168</v>
      </c>
      <c r="F2007" s="9">
        <v>32</v>
      </c>
      <c r="G2007" s="5">
        <f>TRUNC([1]단가대비표!O85,0)</f>
        <v>1980</v>
      </c>
      <c r="H2007" s="5">
        <f t="shared" ref="H2007:H2054" si="185">TRUNC(F2007*G2007,0)</f>
        <v>63360</v>
      </c>
      <c r="I2007" s="5">
        <v>0</v>
      </c>
      <c r="J2007" s="5">
        <f t="shared" ref="J2007:J2054" si="186">TRUNC(F2007*I2007,0)</f>
        <v>0</v>
      </c>
      <c r="K2007" s="5">
        <v>0</v>
      </c>
      <c r="L2007" s="5">
        <f t="shared" ref="L2007:L2054" si="187">TRUNC(F2007*K2007,0)</f>
        <v>0</v>
      </c>
      <c r="M2007" s="5">
        <f t="shared" ref="M2007:N2054" si="188">G2007+I2007+K2007</f>
        <v>1980</v>
      </c>
      <c r="N2007" s="5">
        <f t="shared" si="188"/>
        <v>63360</v>
      </c>
      <c r="O2007" s="8" t="s">
        <v>20</v>
      </c>
      <c r="T2007">
        <v>0</v>
      </c>
      <c r="U2007">
        <v>1</v>
      </c>
      <c r="AC2007">
        <v>1</v>
      </c>
    </row>
    <row r="2008" spans="1:29" ht="30" customHeight="1" x14ac:dyDescent="0.3">
      <c r="A2008" s="8" t="s">
        <v>2197</v>
      </c>
      <c r="B2008" s="8" t="s">
        <v>193</v>
      </c>
      <c r="C2008" s="8" t="s">
        <v>191</v>
      </c>
      <c r="D2008" s="8" t="s">
        <v>194</v>
      </c>
      <c r="E2008" s="8" t="s">
        <v>168</v>
      </c>
      <c r="F2008" s="9">
        <v>7</v>
      </c>
      <c r="G2008" s="5">
        <f>TRUNC([1]단가대비표!O86,0)</f>
        <v>3220</v>
      </c>
      <c r="H2008" s="5">
        <f t="shared" si="185"/>
        <v>22540</v>
      </c>
      <c r="I2008" s="5">
        <v>0</v>
      </c>
      <c r="J2008" s="5">
        <f t="shared" si="186"/>
        <v>0</v>
      </c>
      <c r="K2008" s="5">
        <v>0</v>
      </c>
      <c r="L2008" s="5">
        <f t="shared" si="187"/>
        <v>0</v>
      </c>
      <c r="M2008" s="5">
        <f t="shared" si="188"/>
        <v>3220</v>
      </c>
      <c r="N2008" s="5">
        <f t="shared" si="188"/>
        <v>22540</v>
      </c>
      <c r="O2008" s="8" t="s">
        <v>20</v>
      </c>
      <c r="T2008">
        <v>0</v>
      </c>
      <c r="U2008">
        <v>1</v>
      </c>
      <c r="AC2008">
        <v>1</v>
      </c>
    </row>
    <row r="2009" spans="1:29" ht="30" customHeight="1" x14ac:dyDescent="0.3">
      <c r="A2009" s="8" t="s">
        <v>2197</v>
      </c>
      <c r="B2009" s="8" t="s">
        <v>195</v>
      </c>
      <c r="C2009" s="8" t="s">
        <v>191</v>
      </c>
      <c r="D2009" s="8" t="s">
        <v>196</v>
      </c>
      <c r="E2009" s="8" t="s">
        <v>168</v>
      </c>
      <c r="F2009" s="9">
        <v>13</v>
      </c>
      <c r="G2009" s="5">
        <f>TRUNC([1]단가대비표!O87,0)</f>
        <v>4010</v>
      </c>
      <c r="H2009" s="5">
        <f t="shared" si="185"/>
        <v>52130</v>
      </c>
      <c r="I2009" s="5">
        <v>0</v>
      </c>
      <c r="J2009" s="5">
        <f t="shared" si="186"/>
        <v>0</v>
      </c>
      <c r="K2009" s="5">
        <v>0</v>
      </c>
      <c r="L2009" s="5">
        <f t="shared" si="187"/>
        <v>0</v>
      </c>
      <c r="M2009" s="5">
        <f t="shared" si="188"/>
        <v>4010</v>
      </c>
      <c r="N2009" s="5">
        <f t="shared" si="188"/>
        <v>52130</v>
      </c>
      <c r="O2009" s="8" t="s">
        <v>20</v>
      </c>
      <c r="T2009">
        <v>0</v>
      </c>
      <c r="U2009">
        <v>1</v>
      </c>
      <c r="AC2009">
        <v>1</v>
      </c>
    </row>
    <row r="2010" spans="1:29" ht="30" customHeight="1" x14ac:dyDescent="0.3">
      <c r="A2010" s="8" t="s">
        <v>2197</v>
      </c>
      <c r="B2010" s="8" t="s">
        <v>197</v>
      </c>
      <c r="C2010" s="8" t="s">
        <v>191</v>
      </c>
      <c r="D2010" s="8" t="s">
        <v>198</v>
      </c>
      <c r="E2010" s="8" t="s">
        <v>168</v>
      </c>
      <c r="F2010" s="9">
        <v>4</v>
      </c>
      <c r="G2010" s="5">
        <f>TRUNC([1]단가대비표!O88,0)</f>
        <v>5650</v>
      </c>
      <c r="H2010" s="5">
        <f t="shared" si="185"/>
        <v>22600</v>
      </c>
      <c r="I2010" s="5">
        <v>0</v>
      </c>
      <c r="J2010" s="5">
        <f t="shared" si="186"/>
        <v>0</v>
      </c>
      <c r="K2010" s="5">
        <v>0</v>
      </c>
      <c r="L2010" s="5">
        <f t="shared" si="187"/>
        <v>0</v>
      </c>
      <c r="M2010" s="5">
        <f t="shared" si="188"/>
        <v>5650</v>
      </c>
      <c r="N2010" s="5">
        <f t="shared" si="188"/>
        <v>22600</v>
      </c>
      <c r="O2010" s="8" t="s">
        <v>20</v>
      </c>
      <c r="T2010">
        <v>0</v>
      </c>
      <c r="U2010">
        <v>1</v>
      </c>
      <c r="AC2010">
        <v>1</v>
      </c>
    </row>
    <row r="2011" spans="1:29" ht="30" customHeight="1" x14ac:dyDescent="0.3">
      <c r="A2011" s="8" t="s">
        <v>2197</v>
      </c>
      <c r="B2011" s="8" t="s">
        <v>199</v>
      </c>
      <c r="C2011" s="8" t="s">
        <v>191</v>
      </c>
      <c r="D2011" s="8" t="s">
        <v>200</v>
      </c>
      <c r="E2011" s="8" t="s">
        <v>168</v>
      </c>
      <c r="F2011" s="9">
        <v>18</v>
      </c>
      <c r="G2011" s="5">
        <f>TRUNC([1]단가대비표!O89,0)</f>
        <v>6910</v>
      </c>
      <c r="H2011" s="5">
        <f t="shared" si="185"/>
        <v>124380</v>
      </c>
      <c r="I2011" s="5">
        <v>0</v>
      </c>
      <c r="J2011" s="5">
        <f t="shared" si="186"/>
        <v>0</v>
      </c>
      <c r="K2011" s="5">
        <v>0</v>
      </c>
      <c r="L2011" s="5">
        <f t="shared" si="187"/>
        <v>0</v>
      </c>
      <c r="M2011" s="5">
        <f t="shared" si="188"/>
        <v>6910</v>
      </c>
      <c r="N2011" s="5">
        <f t="shared" si="188"/>
        <v>124380</v>
      </c>
      <c r="O2011" s="8" t="s">
        <v>20</v>
      </c>
      <c r="T2011">
        <v>0</v>
      </c>
      <c r="U2011">
        <v>1</v>
      </c>
      <c r="AC2011">
        <v>1</v>
      </c>
    </row>
    <row r="2012" spans="1:29" ht="30" customHeight="1" x14ac:dyDescent="0.3">
      <c r="A2012" s="8" t="s">
        <v>2197</v>
      </c>
      <c r="B2012" s="8" t="s">
        <v>173</v>
      </c>
      <c r="C2012" s="8" t="s">
        <v>174</v>
      </c>
      <c r="D2012" s="8" t="s">
        <v>175</v>
      </c>
      <c r="E2012" s="8" t="s">
        <v>161</v>
      </c>
      <c r="F2012" s="9">
        <v>1</v>
      </c>
      <c r="G2012" s="5">
        <f>ROUNDDOWN(SUMIF(U2007:U2054, RIGHTB(B2012, 1), H2007:H2054)*T2012, 0)</f>
        <v>8550</v>
      </c>
      <c r="H2012" s="5">
        <f t="shared" si="185"/>
        <v>8550</v>
      </c>
      <c r="I2012" s="5">
        <v>0</v>
      </c>
      <c r="J2012" s="5">
        <f t="shared" si="186"/>
        <v>0</v>
      </c>
      <c r="K2012" s="5">
        <v>0</v>
      </c>
      <c r="L2012" s="5">
        <f t="shared" si="187"/>
        <v>0</v>
      </c>
      <c r="M2012" s="5">
        <f t="shared" si="188"/>
        <v>8550</v>
      </c>
      <c r="N2012" s="5">
        <f t="shared" si="188"/>
        <v>8550</v>
      </c>
      <c r="O2012" s="8" t="s">
        <v>20</v>
      </c>
      <c r="P2012">
        <v>2012</v>
      </c>
      <c r="R2012">
        <v>0</v>
      </c>
      <c r="S2012">
        <v>0</v>
      </c>
      <c r="T2012">
        <v>0.03</v>
      </c>
      <c r="AC2012">
        <v>1</v>
      </c>
    </row>
    <row r="2013" spans="1:29" ht="30" customHeight="1" x14ac:dyDescent="0.3">
      <c r="A2013" s="8" t="s">
        <v>2197</v>
      </c>
      <c r="B2013" s="8" t="s">
        <v>765</v>
      </c>
      <c r="C2013" s="8" t="s">
        <v>766</v>
      </c>
      <c r="D2013" s="8" t="s">
        <v>767</v>
      </c>
      <c r="E2013" s="8" t="s">
        <v>168</v>
      </c>
      <c r="F2013" s="9">
        <v>13</v>
      </c>
      <c r="G2013" s="5" t="e">
        <f>'[2].xls].xls].xls].xls].xls].xls].xls].'!E79</f>
        <v>#REF!</v>
      </c>
      <c r="H2013" s="5" t="e">
        <f t="shared" si="185"/>
        <v>#REF!</v>
      </c>
      <c r="I2013" s="5" t="e">
        <f>'[2].xls].xls].xls].xls].xls].xls].xls].'!F79</f>
        <v>#REF!</v>
      </c>
      <c r="J2013" s="5" t="e">
        <f t="shared" si="186"/>
        <v>#REF!</v>
      </c>
      <c r="K2013" s="5" t="e">
        <f>'[2].xls].xls].xls].xls].xls].xls].xls].'!G79</f>
        <v>#REF!</v>
      </c>
      <c r="L2013" s="5" t="e">
        <f t="shared" si="187"/>
        <v>#REF!</v>
      </c>
      <c r="M2013" s="5" t="e">
        <f t="shared" si="188"/>
        <v>#REF!</v>
      </c>
      <c r="N2013" s="5" t="e">
        <f t="shared" si="188"/>
        <v>#REF!</v>
      </c>
      <c r="O2013" s="8" t="s">
        <v>765</v>
      </c>
      <c r="T2013">
        <v>0</v>
      </c>
      <c r="AC2013">
        <v>1</v>
      </c>
    </row>
    <row r="2014" spans="1:29" ht="30" customHeight="1" x14ac:dyDescent="0.3">
      <c r="A2014" s="8" t="s">
        <v>2197</v>
      </c>
      <c r="B2014" s="8" t="s">
        <v>770</v>
      </c>
      <c r="C2014" s="8" t="s">
        <v>766</v>
      </c>
      <c r="D2014" s="8" t="s">
        <v>771</v>
      </c>
      <c r="E2014" s="8" t="s">
        <v>168</v>
      </c>
      <c r="F2014" s="9">
        <v>3</v>
      </c>
      <c r="G2014" s="5" t="e">
        <f>'[2].xls].xls].xls].xls].xls].xls].xls].'!E81</f>
        <v>#REF!</v>
      </c>
      <c r="H2014" s="5" t="e">
        <f t="shared" si="185"/>
        <v>#REF!</v>
      </c>
      <c r="I2014" s="5" t="e">
        <f>'[2].xls].xls].xls].xls].xls].xls].xls].'!F81</f>
        <v>#REF!</v>
      </c>
      <c r="J2014" s="5" t="e">
        <f t="shared" si="186"/>
        <v>#REF!</v>
      </c>
      <c r="K2014" s="5" t="e">
        <f>'[2].xls].xls].xls].xls].xls].xls].xls].'!G81</f>
        <v>#REF!</v>
      </c>
      <c r="L2014" s="5" t="e">
        <f t="shared" si="187"/>
        <v>#REF!</v>
      </c>
      <c r="M2014" s="5" t="e">
        <f t="shared" si="188"/>
        <v>#REF!</v>
      </c>
      <c r="N2014" s="5" t="e">
        <f t="shared" si="188"/>
        <v>#REF!</v>
      </c>
      <c r="O2014" s="8" t="s">
        <v>770</v>
      </c>
      <c r="T2014">
        <v>0</v>
      </c>
      <c r="AC2014">
        <v>1</v>
      </c>
    </row>
    <row r="2015" spans="1:29" ht="30" customHeight="1" x14ac:dyDescent="0.3">
      <c r="A2015" s="8" t="s">
        <v>2197</v>
      </c>
      <c r="B2015" s="8" t="s">
        <v>772</v>
      </c>
      <c r="C2015" s="8" t="s">
        <v>219</v>
      </c>
      <c r="D2015" s="8" t="s">
        <v>773</v>
      </c>
      <c r="E2015" s="8" t="s">
        <v>168</v>
      </c>
      <c r="F2015" s="9">
        <v>10</v>
      </c>
      <c r="G2015" s="5" t="e">
        <f>'[2].xls].xls].xls].xls].xls].xls].xls].'!E88</f>
        <v>#REF!</v>
      </c>
      <c r="H2015" s="5" t="e">
        <f t="shared" si="185"/>
        <v>#REF!</v>
      </c>
      <c r="I2015" s="5" t="e">
        <f>'[2].xls].xls].xls].xls].xls].xls].xls].'!F88</f>
        <v>#REF!</v>
      </c>
      <c r="J2015" s="5" t="e">
        <f t="shared" si="186"/>
        <v>#REF!</v>
      </c>
      <c r="K2015" s="5" t="e">
        <f>'[2].xls].xls].xls].xls].xls].xls].xls].'!G88</f>
        <v>#REF!</v>
      </c>
      <c r="L2015" s="5" t="e">
        <f t="shared" si="187"/>
        <v>#REF!</v>
      </c>
      <c r="M2015" s="5" t="e">
        <f t="shared" si="188"/>
        <v>#REF!</v>
      </c>
      <c r="N2015" s="5" t="e">
        <f t="shared" si="188"/>
        <v>#REF!</v>
      </c>
      <c r="O2015" s="8" t="s">
        <v>772</v>
      </c>
      <c r="T2015">
        <v>0</v>
      </c>
      <c r="AC2015">
        <v>1</v>
      </c>
    </row>
    <row r="2016" spans="1:29" ht="30" customHeight="1" x14ac:dyDescent="0.3">
      <c r="A2016" s="8" t="s">
        <v>2197</v>
      </c>
      <c r="B2016" s="8" t="s">
        <v>218</v>
      </c>
      <c r="C2016" s="8" t="s">
        <v>219</v>
      </c>
      <c r="D2016" s="8" t="s">
        <v>220</v>
      </c>
      <c r="E2016" s="8" t="s">
        <v>168</v>
      </c>
      <c r="F2016" s="9">
        <v>6</v>
      </c>
      <c r="G2016" s="5" t="e">
        <f>'[2].xls].xls].xls].xls].xls].xls].xls].'!E89</f>
        <v>#REF!</v>
      </c>
      <c r="H2016" s="5" t="e">
        <f t="shared" si="185"/>
        <v>#REF!</v>
      </c>
      <c r="I2016" s="5" t="e">
        <f>'[2].xls].xls].xls].xls].xls].xls].xls].'!F89</f>
        <v>#REF!</v>
      </c>
      <c r="J2016" s="5" t="e">
        <f t="shared" si="186"/>
        <v>#REF!</v>
      </c>
      <c r="K2016" s="5" t="e">
        <f>'[2].xls].xls].xls].xls].xls].xls].xls].'!G89</f>
        <v>#REF!</v>
      </c>
      <c r="L2016" s="5" t="e">
        <f t="shared" si="187"/>
        <v>#REF!</v>
      </c>
      <c r="M2016" s="5" t="e">
        <f t="shared" si="188"/>
        <v>#REF!</v>
      </c>
      <c r="N2016" s="5" t="e">
        <f t="shared" si="188"/>
        <v>#REF!</v>
      </c>
      <c r="O2016" s="8" t="s">
        <v>218</v>
      </c>
      <c r="T2016">
        <v>0</v>
      </c>
      <c r="AC2016">
        <v>1</v>
      </c>
    </row>
    <row r="2017" spans="1:29" ht="30" customHeight="1" x14ac:dyDescent="0.3">
      <c r="A2017" s="8" t="s">
        <v>2197</v>
      </c>
      <c r="B2017" s="8" t="s">
        <v>221</v>
      </c>
      <c r="C2017" s="8" t="s">
        <v>219</v>
      </c>
      <c r="D2017" s="8" t="s">
        <v>222</v>
      </c>
      <c r="E2017" s="8" t="s">
        <v>168</v>
      </c>
      <c r="F2017" s="9">
        <v>8</v>
      </c>
      <c r="G2017" s="5" t="e">
        <f>'[2].xls].xls].xls].xls].xls].xls].xls].'!E90</f>
        <v>#REF!</v>
      </c>
      <c r="H2017" s="5" t="e">
        <f t="shared" si="185"/>
        <v>#REF!</v>
      </c>
      <c r="I2017" s="5" t="e">
        <f>'[2].xls].xls].xls].xls].xls].xls].xls].'!F90</f>
        <v>#REF!</v>
      </c>
      <c r="J2017" s="5" t="e">
        <f t="shared" si="186"/>
        <v>#REF!</v>
      </c>
      <c r="K2017" s="5" t="e">
        <f>'[2].xls].xls].xls].xls].xls].xls].xls].'!G90</f>
        <v>#REF!</v>
      </c>
      <c r="L2017" s="5" t="e">
        <f t="shared" si="187"/>
        <v>#REF!</v>
      </c>
      <c r="M2017" s="5" t="e">
        <f t="shared" si="188"/>
        <v>#REF!</v>
      </c>
      <c r="N2017" s="5" t="e">
        <f t="shared" si="188"/>
        <v>#REF!</v>
      </c>
      <c r="O2017" s="8" t="s">
        <v>221</v>
      </c>
      <c r="T2017">
        <v>0</v>
      </c>
      <c r="AC2017">
        <v>1</v>
      </c>
    </row>
    <row r="2018" spans="1:29" ht="30" customHeight="1" x14ac:dyDescent="0.3">
      <c r="A2018" s="8" t="s">
        <v>2197</v>
      </c>
      <c r="B2018" s="8" t="s">
        <v>223</v>
      </c>
      <c r="C2018" s="8" t="s">
        <v>219</v>
      </c>
      <c r="D2018" s="8" t="s">
        <v>224</v>
      </c>
      <c r="E2018" s="8" t="s">
        <v>168</v>
      </c>
      <c r="F2018" s="9">
        <v>3</v>
      </c>
      <c r="G2018" s="5" t="e">
        <f>'[2].xls].xls].xls].xls].xls].xls].xls].'!E91</f>
        <v>#REF!</v>
      </c>
      <c r="H2018" s="5" t="e">
        <f t="shared" si="185"/>
        <v>#REF!</v>
      </c>
      <c r="I2018" s="5" t="e">
        <f>'[2].xls].xls].xls].xls].xls].xls].xls].'!F91</f>
        <v>#REF!</v>
      </c>
      <c r="J2018" s="5" t="e">
        <f t="shared" si="186"/>
        <v>#REF!</v>
      </c>
      <c r="K2018" s="5" t="e">
        <f>'[2].xls].xls].xls].xls].xls].xls].xls].'!G91</f>
        <v>#REF!</v>
      </c>
      <c r="L2018" s="5" t="e">
        <f t="shared" si="187"/>
        <v>#REF!</v>
      </c>
      <c r="M2018" s="5" t="e">
        <f t="shared" si="188"/>
        <v>#REF!</v>
      </c>
      <c r="N2018" s="5" t="e">
        <f t="shared" si="188"/>
        <v>#REF!</v>
      </c>
      <c r="O2018" s="8" t="s">
        <v>223</v>
      </c>
      <c r="T2018">
        <v>0</v>
      </c>
      <c r="AC2018">
        <v>1</v>
      </c>
    </row>
    <row r="2019" spans="1:29" ht="30" customHeight="1" x14ac:dyDescent="0.3">
      <c r="A2019" s="8" t="s">
        <v>2197</v>
      </c>
      <c r="B2019" s="8" t="s">
        <v>225</v>
      </c>
      <c r="C2019" s="8" t="s">
        <v>219</v>
      </c>
      <c r="D2019" s="8" t="s">
        <v>226</v>
      </c>
      <c r="E2019" s="8" t="s">
        <v>168</v>
      </c>
      <c r="F2019" s="9">
        <v>16</v>
      </c>
      <c r="G2019" s="5" t="e">
        <f>'[2].xls].xls].xls].xls].xls].xls].xls].'!E92</f>
        <v>#REF!</v>
      </c>
      <c r="H2019" s="5" t="e">
        <f t="shared" si="185"/>
        <v>#REF!</v>
      </c>
      <c r="I2019" s="5" t="e">
        <f>'[2].xls].xls].xls].xls].xls].xls].xls].'!F92</f>
        <v>#REF!</v>
      </c>
      <c r="J2019" s="5" t="e">
        <f t="shared" si="186"/>
        <v>#REF!</v>
      </c>
      <c r="K2019" s="5" t="e">
        <f>'[2].xls].xls].xls].xls].xls].xls].xls].'!G92</f>
        <v>#REF!</v>
      </c>
      <c r="L2019" s="5" t="e">
        <f t="shared" si="187"/>
        <v>#REF!</v>
      </c>
      <c r="M2019" s="5" t="e">
        <f t="shared" si="188"/>
        <v>#REF!</v>
      </c>
      <c r="N2019" s="5" t="e">
        <f t="shared" si="188"/>
        <v>#REF!</v>
      </c>
      <c r="O2019" s="8" t="s">
        <v>225</v>
      </c>
      <c r="T2019">
        <v>0</v>
      </c>
      <c r="AC2019">
        <v>1</v>
      </c>
    </row>
    <row r="2020" spans="1:29" ht="30" customHeight="1" x14ac:dyDescent="0.3">
      <c r="A2020" s="8" t="s">
        <v>2197</v>
      </c>
      <c r="B2020" s="8" t="s">
        <v>776</v>
      </c>
      <c r="C2020" s="8" t="s">
        <v>219</v>
      </c>
      <c r="D2020" s="8" t="s">
        <v>777</v>
      </c>
      <c r="E2020" s="8" t="s">
        <v>168</v>
      </c>
      <c r="F2020" s="9">
        <v>6</v>
      </c>
      <c r="G2020" s="5" t="e">
        <f>'[2].xls].xls].xls].xls].xls].xls].xls].'!E101</f>
        <v>#REF!</v>
      </c>
      <c r="H2020" s="5" t="e">
        <f t="shared" si="185"/>
        <v>#REF!</v>
      </c>
      <c r="I2020" s="5" t="e">
        <f>'[2].xls].xls].xls].xls].xls].xls].xls].'!F101</f>
        <v>#REF!</v>
      </c>
      <c r="J2020" s="5" t="e">
        <f t="shared" si="186"/>
        <v>#REF!</v>
      </c>
      <c r="K2020" s="5" t="e">
        <f>'[2].xls].xls].xls].xls].xls].xls].xls].'!G101</f>
        <v>#REF!</v>
      </c>
      <c r="L2020" s="5" t="e">
        <f t="shared" si="187"/>
        <v>#REF!</v>
      </c>
      <c r="M2020" s="5" t="e">
        <f t="shared" si="188"/>
        <v>#REF!</v>
      </c>
      <c r="N2020" s="5" t="e">
        <f t="shared" si="188"/>
        <v>#REF!</v>
      </c>
      <c r="O2020" s="8" t="s">
        <v>776</v>
      </c>
      <c r="T2020">
        <v>0</v>
      </c>
      <c r="AC2020">
        <v>1</v>
      </c>
    </row>
    <row r="2021" spans="1:29" ht="30" customHeight="1" x14ac:dyDescent="0.3">
      <c r="A2021" s="8" t="s">
        <v>2197</v>
      </c>
      <c r="B2021" s="8" t="s">
        <v>778</v>
      </c>
      <c r="C2021" s="8" t="s">
        <v>252</v>
      </c>
      <c r="D2021" s="8" t="s">
        <v>779</v>
      </c>
      <c r="E2021" s="8" t="s">
        <v>179</v>
      </c>
      <c r="F2021" s="9">
        <v>36</v>
      </c>
      <c r="G2021" s="5">
        <f>TRUNC([1]단가대비표!O226,0)</f>
        <v>1860</v>
      </c>
      <c r="H2021" s="5">
        <f t="shared" si="185"/>
        <v>66960</v>
      </c>
      <c r="I2021" s="5">
        <v>0</v>
      </c>
      <c r="J2021" s="5">
        <f t="shared" si="186"/>
        <v>0</v>
      </c>
      <c r="K2021" s="5">
        <v>0</v>
      </c>
      <c r="L2021" s="5">
        <f t="shared" si="187"/>
        <v>0</v>
      </c>
      <c r="M2021" s="5">
        <f t="shared" si="188"/>
        <v>1860</v>
      </c>
      <c r="N2021" s="5">
        <f t="shared" si="188"/>
        <v>66960</v>
      </c>
      <c r="O2021" s="8" t="s">
        <v>20</v>
      </c>
      <c r="T2021">
        <v>0</v>
      </c>
      <c r="AC2021">
        <v>1</v>
      </c>
    </row>
    <row r="2022" spans="1:29" ht="30" customHeight="1" x14ac:dyDescent="0.3">
      <c r="A2022" s="8" t="s">
        <v>2197</v>
      </c>
      <c r="B2022" s="8" t="s">
        <v>251</v>
      </c>
      <c r="C2022" s="8" t="s">
        <v>252</v>
      </c>
      <c r="D2022" s="8" t="s">
        <v>253</v>
      </c>
      <c r="E2022" s="8" t="s">
        <v>179</v>
      </c>
      <c r="F2022" s="9">
        <v>1</v>
      </c>
      <c r="G2022" s="5">
        <f>TRUNC([1]단가대비표!O227,0)</f>
        <v>2690</v>
      </c>
      <c r="H2022" s="5">
        <f t="shared" si="185"/>
        <v>2690</v>
      </c>
      <c r="I2022" s="5">
        <v>0</v>
      </c>
      <c r="J2022" s="5">
        <f t="shared" si="186"/>
        <v>0</v>
      </c>
      <c r="K2022" s="5">
        <v>0</v>
      </c>
      <c r="L2022" s="5">
        <f t="shared" si="187"/>
        <v>0</v>
      </c>
      <c r="M2022" s="5">
        <f t="shared" si="188"/>
        <v>2690</v>
      </c>
      <c r="N2022" s="5">
        <f t="shared" si="188"/>
        <v>2690</v>
      </c>
      <c r="O2022" s="8" t="s">
        <v>20</v>
      </c>
      <c r="T2022">
        <v>0</v>
      </c>
      <c r="AC2022">
        <v>1</v>
      </c>
    </row>
    <row r="2023" spans="1:29" ht="30" customHeight="1" x14ac:dyDescent="0.3">
      <c r="A2023" s="8" t="s">
        <v>2197</v>
      </c>
      <c r="B2023" s="8" t="s">
        <v>254</v>
      </c>
      <c r="C2023" s="8" t="s">
        <v>252</v>
      </c>
      <c r="D2023" s="8" t="s">
        <v>255</v>
      </c>
      <c r="E2023" s="8" t="s">
        <v>179</v>
      </c>
      <c r="F2023" s="9">
        <v>13</v>
      </c>
      <c r="G2023" s="5">
        <f>TRUNC([1]단가대비표!O228,0)</f>
        <v>3520</v>
      </c>
      <c r="H2023" s="5">
        <f t="shared" si="185"/>
        <v>45760</v>
      </c>
      <c r="I2023" s="5">
        <v>0</v>
      </c>
      <c r="J2023" s="5">
        <f t="shared" si="186"/>
        <v>0</v>
      </c>
      <c r="K2023" s="5">
        <v>0</v>
      </c>
      <c r="L2023" s="5">
        <f t="shared" si="187"/>
        <v>0</v>
      </c>
      <c r="M2023" s="5">
        <f t="shared" si="188"/>
        <v>3520</v>
      </c>
      <c r="N2023" s="5">
        <f t="shared" si="188"/>
        <v>45760</v>
      </c>
      <c r="O2023" s="8" t="s">
        <v>20</v>
      </c>
      <c r="T2023">
        <v>0</v>
      </c>
      <c r="AC2023">
        <v>1</v>
      </c>
    </row>
    <row r="2024" spans="1:29" ht="30" customHeight="1" x14ac:dyDescent="0.3">
      <c r="A2024" s="8" t="s">
        <v>2197</v>
      </c>
      <c r="B2024" s="8" t="s">
        <v>256</v>
      </c>
      <c r="C2024" s="8" t="s">
        <v>252</v>
      </c>
      <c r="D2024" s="8" t="s">
        <v>257</v>
      </c>
      <c r="E2024" s="8" t="s">
        <v>179</v>
      </c>
      <c r="F2024" s="9">
        <v>3</v>
      </c>
      <c r="G2024" s="5">
        <f>TRUNC([1]단가대비표!O229,0)</f>
        <v>6990</v>
      </c>
      <c r="H2024" s="5">
        <f t="shared" si="185"/>
        <v>20970</v>
      </c>
      <c r="I2024" s="5">
        <v>0</v>
      </c>
      <c r="J2024" s="5">
        <f t="shared" si="186"/>
        <v>0</v>
      </c>
      <c r="K2024" s="5">
        <v>0</v>
      </c>
      <c r="L2024" s="5">
        <f t="shared" si="187"/>
        <v>0</v>
      </c>
      <c r="M2024" s="5">
        <f t="shared" si="188"/>
        <v>6990</v>
      </c>
      <c r="N2024" s="5">
        <f t="shared" si="188"/>
        <v>20970</v>
      </c>
      <c r="O2024" s="8" t="s">
        <v>20</v>
      </c>
      <c r="T2024">
        <v>0</v>
      </c>
      <c r="AC2024">
        <v>1</v>
      </c>
    </row>
    <row r="2025" spans="1:29" ht="30" customHeight="1" x14ac:dyDescent="0.3">
      <c r="A2025" s="8" t="s">
        <v>2197</v>
      </c>
      <c r="B2025" s="8" t="s">
        <v>258</v>
      </c>
      <c r="C2025" s="8" t="s">
        <v>252</v>
      </c>
      <c r="D2025" s="8" t="s">
        <v>259</v>
      </c>
      <c r="E2025" s="8" t="s">
        <v>179</v>
      </c>
      <c r="F2025" s="9">
        <v>3</v>
      </c>
      <c r="G2025" s="5">
        <f>TRUNC([1]단가대비표!O230,0)</f>
        <v>8650</v>
      </c>
      <c r="H2025" s="5">
        <f t="shared" si="185"/>
        <v>25950</v>
      </c>
      <c r="I2025" s="5">
        <v>0</v>
      </c>
      <c r="J2025" s="5">
        <f t="shared" si="186"/>
        <v>0</v>
      </c>
      <c r="K2025" s="5">
        <v>0</v>
      </c>
      <c r="L2025" s="5">
        <f t="shared" si="187"/>
        <v>0</v>
      </c>
      <c r="M2025" s="5">
        <f t="shared" si="188"/>
        <v>8650</v>
      </c>
      <c r="N2025" s="5">
        <f t="shared" si="188"/>
        <v>25950</v>
      </c>
      <c r="O2025" s="8" t="s">
        <v>20</v>
      </c>
      <c r="T2025">
        <v>0</v>
      </c>
      <c r="AC2025">
        <v>1</v>
      </c>
    </row>
    <row r="2026" spans="1:29" ht="30" customHeight="1" x14ac:dyDescent="0.3">
      <c r="A2026" s="8" t="s">
        <v>2197</v>
      </c>
      <c r="B2026" s="8" t="s">
        <v>784</v>
      </c>
      <c r="C2026" s="8" t="s">
        <v>252</v>
      </c>
      <c r="D2026" s="8" t="s">
        <v>785</v>
      </c>
      <c r="E2026" s="8" t="s">
        <v>179</v>
      </c>
      <c r="F2026" s="9">
        <v>5</v>
      </c>
      <c r="G2026" s="5">
        <f>TRUNC([1]단가대비표!O217,0)</f>
        <v>6480</v>
      </c>
      <c r="H2026" s="5">
        <f t="shared" si="185"/>
        <v>32400</v>
      </c>
      <c r="I2026" s="5">
        <v>0</v>
      </c>
      <c r="J2026" s="5">
        <f t="shared" si="186"/>
        <v>0</v>
      </c>
      <c r="K2026" s="5">
        <v>0</v>
      </c>
      <c r="L2026" s="5">
        <f t="shared" si="187"/>
        <v>0</v>
      </c>
      <c r="M2026" s="5">
        <f t="shared" si="188"/>
        <v>6480</v>
      </c>
      <c r="N2026" s="5">
        <f t="shared" si="188"/>
        <v>32400</v>
      </c>
      <c r="O2026" s="8" t="s">
        <v>20</v>
      </c>
      <c r="T2026">
        <v>0</v>
      </c>
      <c r="AC2026">
        <v>1</v>
      </c>
    </row>
    <row r="2027" spans="1:29" ht="30" customHeight="1" x14ac:dyDescent="0.3">
      <c r="A2027" s="8" t="s">
        <v>2197</v>
      </c>
      <c r="B2027" s="8" t="s">
        <v>567</v>
      </c>
      <c r="C2027" s="8" t="s">
        <v>252</v>
      </c>
      <c r="D2027" s="8" t="s">
        <v>568</v>
      </c>
      <c r="E2027" s="8" t="s">
        <v>179</v>
      </c>
      <c r="F2027" s="9">
        <v>5</v>
      </c>
      <c r="G2027" s="5">
        <f>TRUNC([1]단가대비표!O236,0)</f>
        <v>6900</v>
      </c>
      <c r="H2027" s="5">
        <f t="shared" si="185"/>
        <v>34500</v>
      </c>
      <c r="I2027" s="5">
        <v>0</v>
      </c>
      <c r="J2027" s="5">
        <f t="shared" si="186"/>
        <v>0</v>
      </c>
      <c r="K2027" s="5">
        <v>0</v>
      </c>
      <c r="L2027" s="5">
        <f t="shared" si="187"/>
        <v>0</v>
      </c>
      <c r="M2027" s="5">
        <f t="shared" si="188"/>
        <v>6900</v>
      </c>
      <c r="N2027" s="5">
        <f t="shared" si="188"/>
        <v>34500</v>
      </c>
      <c r="O2027" s="8" t="s">
        <v>20</v>
      </c>
      <c r="T2027">
        <v>0</v>
      </c>
      <c r="AC2027">
        <v>1</v>
      </c>
    </row>
    <row r="2028" spans="1:29" ht="30" customHeight="1" x14ac:dyDescent="0.3">
      <c r="A2028" s="8" t="s">
        <v>2197</v>
      </c>
      <c r="B2028" s="8" t="s">
        <v>569</v>
      </c>
      <c r="C2028" s="8" t="s">
        <v>252</v>
      </c>
      <c r="D2028" s="8" t="s">
        <v>570</v>
      </c>
      <c r="E2028" s="8" t="s">
        <v>179</v>
      </c>
      <c r="F2028" s="9">
        <v>5</v>
      </c>
      <c r="G2028" s="5">
        <f>TRUNC([1]단가대비표!O238,0)</f>
        <v>13500</v>
      </c>
      <c r="H2028" s="5">
        <f t="shared" si="185"/>
        <v>67500</v>
      </c>
      <c r="I2028" s="5">
        <v>0</v>
      </c>
      <c r="J2028" s="5">
        <f t="shared" si="186"/>
        <v>0</v>
      </c>
      <c r="K2028" s="5">
        <v>0</v>
      </c>
      <c r="L2028" s="5">
        <f t="shared" si="187"/>
        <v>0</v>
      </c>
      <c r="M2028" s="5">
        <f t="shared" si="188"/>
        <v>13500</v>
      </c>
      <c r="N2028" s="5">
        <f t="shared" si="188"/>
        <v>67500</v>
      </c>
      <c r="O2028" s="8" t="s">
        <v>20</v>
      </c>
      <c r="T2028">
        <v>0</v>
      </c>
      <c r="AC2028">
        <v>1</v>
      </c>
    </row>
    <row r="2029" spans="1:29" ht="30" customHeight="1" x14ac:dyDescent="0.3">
      <c r="A2029" s="8" t="s">
        <v>2197</v>
      </c>
      <c r="B2029" s="8" t="s">
        <v>270</v>
      </c>
      <c r="C2029" s="8" t="s">
        <v>252</v>
      </c>
      <c r="D2029" s="8" t="s">
        <v>271</v>
      </c>
      <c r="E2029" s="8" t="s">
        <v>179</v>
      </c>
      <c r="F2029" s="9">
        <v>5</v>
      </c>
      <c r="G2029" s="5">
        <f>TRUNC([1]단가대비표!O239,0)</f>
        <v>17380</v>
      </c>
      <c r="H2029" s="5">
        <f t="shared" si="185"/>
        <v>86900</v>
      </c>
      <c r="I2029" s="5">
        <v>0</v>
      </c>
      <c r="J2029" s="5">
        <f t="shared" si="186"/>
        <v>0</v>
      </c>
      <c r="K2029" s="5">
        <v>0</v>
      </c>
      <c r="L2029" s="5">
        <f t="shared" si="187"/>
        <v>0</v>
      </c>
      <c r="M2029" s="5">
        <f t="shared" si="188"/>
        <v>17380</v>
      </c>
      <c r="N2029" s="5">
        <f t="shared" si="188"/>
        <v>86900</v>
      </c>
      <c r="O2029" s="8" t="s">
        <v>20</v>
      </c>
      <c r="T2029">
        <v>0</v>
      </c>
      <c r="AC2029">
        <v>1</v>
      </c>
    </row>
    <row r="2030" spans="1:29" ht="30" customHeight="1" x14ac:dyDescent="0.3">
      <c r="A2030" s="8" t="s">
        <v>2197</v>
      </c>
      <c r="B2030" s="8" t="s">
        <v>786</v>
      </c>
      <c r="C2030" s="8" t="s">
        <v>252</v>
      </c>
      <c r="D2030" s="8" t="s">
        <v>787</v>
      </c>
      <c r="E2030" s="8" t="s">
        <v>179</v>
      </c>
      <c r="F2030" s="9">
        <v>7</v>
      </c>
      <c r="G2030" s="5">
        <f>TRUNC([1]단가대비표!O242,0)</f>
        <v>5340</v>
      </c>
      <c r="H2030" s="5">
        <f t="shared" si="185"/>
        <v>37380</v>
      </c>
      <c r="I2030" s="5">
        <v>0</v>
      </c>
      <c r="J2030" s="5">
        <f t="shared" si="186"/>
        <v>0</v>
      </c>
      <c r="K2030" s="5">
        <v>0</v>
      </c>
      <c r="L2030" s="5">
        <f t="shared" si="187"/>
        <v>0</v>
      </c>
      <c r="M2030" s="5">
        <f t="shared" si="188"/>
        <v>5340</v>
      </c>
      <c r="N2030" s="5">
        <f t="shared" si="188"/>
        <v>37380</v>
      </c>
      <c r="O2030" s="8" t="s">
        <v>20</v>
      </c>
      <c r="T2030">
        <v>0</v>
      </c>
      <c r="AC2030">
        <v>1</v>
      </c>
    </row>
    <row r="2031" spans="1:29" ht="30" customHeight="1" x14ac:dyDescent="0.3">
      <c r="A2031" s="8" t="s">
        <v>2197</v>
      </c>
      <c r="B2031" s="8" t="s">
        <v>794</v>
      </c>
      <c r="C2031" s="8" t="s">
        <v>252</v>
      </c>
      <c r="D2031" s="8" t="s">
        <v>795</v>
      </c>
      <c r="E2031" s="8" t="s">
        <v>179</v>
      </c>
      <c r="F2031" s="9">
        <v>1</v>
      </c>
      <c r="G2031" s="5">
        <f>TRUNC([1]단가대비표!O252,0)</f>
        <v>9670</v>
      </c>
      <c r="H2031" s="5">
        <f t="shared" si="185"/>
        <v>9670</v>
      </c>
      <c r="I2031" s="5">
        <v>0</v>
      </c>
      <c r="J2031" s="5">
        <f t="shared" si="186"/>
        <v>0</v>
      </c>
      <c r="K2031" s="5">
        <v>0</v>
      </c>
      <c r="L2031" s="5">
        <f t="shared" si="187"/>
        <v>0</v>
      </c>
      <c r="M2031" s="5">
        <f t="shared" si="188"/>
        <v>9670</v>
      </c>
      <c r="N2031" s="5">
        <f t="shared" si="188"/>
        <v>9670</v>
      </c>
      <c r="O2031" s="8" t="s">
        <v>20</v>
      </c>
      <c r="T2031">
        <v>0</v>
      </c>
      <c r="AC2031">
        <v>1</v>
      </c>
    </row>
    <row r="2032" spans="1:29" ht="30" customHeight="1" x14ac:dyDescent="0.3">
      <c r="A2032" s="8" t="s">
        <v>2197</v>
      </c>
      <c r="B2032" s="8" t="s">
        <v>808</v>
      </c>
      <c r="C2032" s="8" t="s">
        <v>252</v>
      </c>
      <c r="D2032" s="8" t="s">
        <v>809</v>
      </c>
      <c r="E2032" s="8" t="s">
        <v>179</v>
      </c>
      <c r="F2032" s="9">
        <v>7</v>
      </c>
      <c r="G2032" s="5">
        <f>TRUNC([1]단가대비표!O218,0)</f>
        <v>2490</v>
      </c>
      <c r="H2032" s="5">
        <f t="shared" si="185"/>
        <v>17430</v>
      </c>
      <c r="I2032" s="5">
        <v>0</v>
      </c>
      <c r="J2032" s="5">
        <f t="shared" si="186"/>
        <v>0</v>
      </c>
      <c r="K2032" s="5">
        <v>0</v>
      </c>
      <c r="L2032" s="5">
        <f t="shared" si="187"/>
        <v>0</v>
      </c>
      <c r="M2032" s="5">
        <f t="shared" si="188"/>
        <v>2490</v>
      </c>
      <c r="N2032" s="5">
        <f t="shared" si="188"/>
        <v>17430</v>
      </c>
      <c r="O2032" s="8" t="s">
        <v>20</v>
      </c>
      <c r="T2032">
        <v>0</v>
      </c>
      <c r="AC2032">
        <v>1</v>
      </c>
    </row>
    <row r="2033" spans="1:29" ht="30" customHeight="1" x14ac:dyDescent="0.3">
      <c r="A2033" s="8" t="s">
        <v>2197</v>
      </c>
      <c r="B2033" s="8" t="s">
        <v>597</v>
      </c>
      <c r="C2033" s="8" t="s">
        <v>252</v>
      </c>
      <c r="D2033" s="8" t="s">
        <v>598</v>
      </c>
      <c r="E2033" s="8" t="s">
        <v>179</v>
      </c>
      <c r="F2033" s="9">
        <v>1</v>
      </c>
      <c r="G2033" s="5">
        <f>TRUNC([1]단가대비표!O219,0)</f>
        <v>3040</v>
      </c>
      <c r="H2033" s="5">
        <f t="shared" si="185"/>
        <v>3040</v>
      </c>
      <c r="I2033" s="5">
        <v>0</v>
      </c>
      <c r="J2033" s="5">
        <f t="shared" si="186"/>
        <v>0</v>
      </c>
      <c r="K2033" s="5">
        <v>0</v>
      </c>
      <c r="L2033" s="5">
        <f t="shared" si="187"/>
        <v>0</v>
      </c>
      <c r="M2033" s="5">
        <f t="shared" si="188"/>
        <v>3040</v>
      </c>
      <c r="N2033" s="5">
        <f t="shared" si="188"/>
        <v>3040</v>
      </c>
      <c r="O2033" s="8" t="s">
        <v>20</v>
      </c>
      <c r="T2033">
        <v>0</v>
      </c>
      <c r="AC2033">
        <v>1</v>
      </c>
    </row>
    <row r="2034" spans="1:29" ht="30" customHeight="1" x14ac:dyDescent="0.3">
      <c r="A2034" s="8" t="s">
        <v>2197</v>
      </c>
      <c r="B2034" s="8" t="s">
        <v>601</v>
      </c>
      <c r="C2034" s="8" t="s">
        <v>252</v>
      </c>
      <c r="D2034" s="8" t="s">
        <v>602</v>
      </c>
      <c r="E2034" s="8" t="s">
        <v>179</v>
      </c>
      <c r="F2034" s="9">
        <v>3</v>
      </c>
      <c r="G2034" s="5">
        <f>TRUNC([1]단가대비표!O221,0)</f>
        <v>6560</v>
      </c>
      <c r="H2034" s="5">
        <f t="shared" si="185"/>
        <v>19680</v>
      </c>
      <c r="I2034" s="5">
        <v>0</v>
      </c>
      <c r="J2034" s="5">
        <f t="shared" si="186"/>
        <v>0</v>
      </c>
      <c r="K2034" s="5">
        <v>0</v>
      </c>
      <c r="L2034" s="5">
        <f t="shared" si="187"/>
        <v>0</v>
      </c>
      <c r="M2034" s="5">
        <f t="shared" si="188"/>
        <v>6560</v>
      </c>
      <c r="N2034" s="5">
        <f t="shared" si="188"/>
        <v>19680</v>
      </c>
      <c r="O2034" s="8" t="s">
        <v>20</v>
      </c>
      <c r="T2034">
        <v>0</v>
      </c>
      <c r="AC2034">
        <v>1</v>
      </c>
    </row>
    <row r="2035" spans="1:29" ht="30" customHeight="1" x14ac:dyDescent="0.3">
      <c r="A2035" s="8" t="s">
        <v>2197</v>
      </c>
      <c r="B2035" s="8" t="s">
        <v>810</v>
      </c>
      <c r="C2035" s="8" t="s">
        <v>252</v>
      </c>
      <c r="D2035" s="8" t="s">
        <v>811</v>
      </c>
      <c r="E2035" s="8" t="s">
        <v>179</v>
      </c>
      <c r="F2035" s="9">
        <v>5</v>
      </c>
      <c r="G2035" s="5">
        <f>TRUNC([1]단가대비표!O273,0)</f>
        <v>7480</v>
      </c>
      <c r="H2035" s="5">
        <f t="shared" si="185"/>
        <v>37400</v>
      </c>
      <c r="I2035" s="5">
        <v>0</v>
      </c>
      <c r="J2035" s="5">
        <f t="shared" si="186"/>
        <v>0</v>
      </c>
      <c r="K2035" s="5">
        <v>0</v>
      </c>
      <c r="L2035" s="5">
        <f t="shared" si="187"/>
        <v>0</v>
      </c>
      <c r="M2035" s="5">
        <f t="shared" si="188"/>
        <v>7480</v>
      </c>
      <c r="N2035" s="5">
        <f t="shared" si="188"/>
        <v>37400</v>
      </c>
      <c r="O2035" s="8" t="s">
        <v>20</v>
      </c>
      <c r="T2035">
        <v>0</v>
      </c>
      <c r="AC2035">
        <v>1</v>
      </c>
    </row>
    <row r="2036" spans="1:29" ht="30" customHeight="1" x14ac:dyDescent="0.3">
      <c r="A2036" s="8" t="s">
        <v>2197</v>
      </c>
      <c r="B2036" s="8" t="s">
        <v>298</v>
      </c>
      <c r="C2036" s="8" t="s">
        <v>252</v>
      </c>
      <c r="D2036" s="8" t="s">
        <v>299</v>
      </c>
      <c r="E2036" s="8" t="s">
        <v>179</v>
      </c>
      <c r="F2036" s="9">
        <v>1</v>
      </c>
      <c r="G2036" s="5">
        <f>TRUNC([1]단가대비표!O277,0)</f>
        <v>25490</v>
      </c>
      <c r="H2036" s="5">
        <f t="shared" si="185"/>
        <v>25490</v>
      </c>
      <c r="I2036" s="5">
        <v>0</v>
      </c>
      <c r="J2036" s="5">
        <f t="shared" si="186"/>
        <v>0</v>
      </c>
      <c r="K2036" s="5">
        <v>0</v>
      </c>
      <c r="L2036" s="5">
        <f t="shared" si="187"/>
        <v>0</v>
      </c>
      <c r="M2036" s="5">
        <f t="shared" si="188"/>
        <v>25490</v>
      </c>
      <c r="N2036" s="5">
        <f t="shared" si="188"/>
        <v>25490</v>
      </c>
      <c r="O2036" s="8" t="s">
        <v>20</v>
      </c>
      <c r="T2036">
        <v>0</v>
      </c>
      <c r="AC2036">
        <v>1</v>
      </c>
    </row>
    <row r="2037" spans="1:29" ht="30" customHeight="1" x14ac:dyDescent="0.3">
      <c r="A2037" s="8" t="s">
        <v>2197</v>
      </c>
      <c r="B2037" s="8" t="s">
        <v>308</v>
      </c>
      <c r="C2037" s="8" t="s">
        <v>252</v>
      </c>
      <c r="D2037" s="8" t="s">
        <v>309</v>
      </c>
      <c r="E2037" s="8" t="s">
        <v>179</v>
      </c>
      <c r="F2037" s="9">
        <v>1</v>
      </c>
      <c r="G2037" s="5">
        <f>TRUNC([1]단가대비표!O284,0)</f>
        <v>6520</v>
      </c>
      <c r="H2037" s="5">
        <f t="shared" si="185"/>
        <v>6520</v>
      </c>
      <c r="I2037" s="5">
        <v>0</v>
      </c>
      <c r="J2037" s="5">
        <f t="shared" si="186"/>
        <v>0</v>
      </c>
      <c r="K2037" s="5">
        <v>0</v>
      </c>
      <c r="L2037" s="5">
        <f t="shared" si="187"/>
        <v>0</v>
      </c>
      <c r="M2037" s="5">
        <f t="shared" si="188"/>
        <v>6520</v>
      </c>
      <c r="N2037" s="5">
        <f t="shared" si="188"/>
        <v>6520</v>
      </c>
      <c r="O2037" s="8" t="s">
        <v>20</v>
      </c>
      <c r="T2037">
        <v>0</v>
      </c>
      <c r="AC2037">
        <v>1</v>
      </c>
    </row>
    <row r="2038" spans="1:29" ht="30" customHeight="1" x14ac:dyDescent="0.3">
      <c r="A2038" s="8" t="s">
        <v>2197</v>
      </c>
      <c r="B2038" s="8" t="s">
        <v>318</v>
      </c>
      <c r="C2038" s="8" t="s">
        <v>252</v>
      </c>
      <c r="D2038" s="8" t="s">
        <v>319</v>
      </c>
      <c r="E2038" s="8" t="s">
        <v>179</v>
      </c>
      <c r="F2038" s="9">
        <v>9</v>
      </c>
      <c r="G2038" s="5">
        <f>TRUNC([1]단가대비표!O286,0)</f>
        <v>3570</v>
      </c>
      <c r="H2038" s="5">
        <f t="shared" si="185"/>
        <v>32130</v>
      </c>
      <c r="I2038" s="5">
        <v>0</v>
      </c>
      <c r="J2038" s="5">
        <f t="shared" si="186"/>
        <v>0</v>
      </c>
      <c r="K2038" s="5">
        <v>0</v>
      </c>
      <c r="L2038" s="5">
        <f t="shared" si="187"/>
        <v>0</v>
      </c>
      <c r="M2038" s="5">
        <f t="shared" si="188"/>
        <v>3570</v>
      </c>
      <c r="N2038" s="5">
        <f t="shared" si="188"/>
        <v>32130</v>
      </c>
      <c r="O2038" s="8" t="s">
        <v>20</v>
      </c>
      <c r="T2038">
        <v>0</v>
      </c>
      <c r="AC2038">
        <v>1</v>
      </c>
    </row>
    <row r="2039" spans="1:29" ht="30" customHeight="1" x14ac:dyDescent="0.3">
      <c r="A2039" s="8" t="s">
        <v>2197</v>
      </c>
      <c r="B2039" s="8" t="s">
        <v>326</v>
      </c>
      <c r="C2039" s="8" t="s">
        <v>252</v>
      </c>
      <c r="D2039" s="8" t="s">
        <v>327</v>
      </c>
      <c r="E2039" s="8" t="s">
        <v>179</v>
      </c>
      <c r="F2039" s="9">
        <v>1</v>
      </c>
      <c r="G2039" s="5">
        <f>TRUNC([1]단가대비표!O290,0)</f>
        <v>10800</v>
      </c>
      <c r="H2039" s="5">
        <f t="shared" si="185"/>
        <v>10800</v>
      </c>
      <c r="I2039" s="5">
        <v>0</v>
      </c>
      <c r="J2039" s="5">
        <f t="shared" si="186"/>
        <v>0</v>
      </c>
      <c r="K2039" s="5">
        <v>0</v>
      </c>
      <c r="L2039" s="5">
        <f t="shared" si="187"/>
        <v>0</v>
      </c>
      <c r="M2039" s="5">
        <f t="shared" si="188"/>
        <v>10800</v>
      </c>
      <c r="N2039" s="5">
        <f t="shared" si="188"/>
        <v>10800</v>
      </c>
      <c r="O2039" s="8" t="s">
        <v>20</v>
      </c>
      <c r="T2039">
        <v>0</v>
      </c>
      <c r="AC2039">
        <v>1</v>
      </c>
    </row>
    <row r="2040" spans="1:29" ht="30" customHeight="1" x14ac:dyDescent="0.3">
      <c r="A2040" s="8" t="s">
        <v>2197</v>
      </c>
      <c r="B2040" s="8" t="s">
        <v>2198</v>
      </c>
      <c r="C2040" s="8" t="s">
        <v>615</v>
      </c>
      <c r="D2040" s="8" t="s">
        <v>379</v>
      </c>
      <c r="E2040" s="8" t="s">
        <v>179</v>
      </c>
      <c r="F2040" s="9">
        <v>4</v>
      </c>
      <c r="G2040" s="5">
        <f>TRUNC([1]단가대비표!O532,0)</f>
        <v>16000</v>
      </c>
      <c r="H2040" s="5">
        <f t="shared" si="185"/>
        <v>64000</v>
      </c>
      <c r="I2040" s="5">
        <v>0</v>
      </c>
      <c r="J2040" s="5">
        <f t="shared" si="186"/>
        <v>0</v>
      </c>
      <c r="K2040" s="5">
        <v>0</v>
      </c>
      <c r="L2040" s="5">
        <f t="shared" si="187"/>
        <v>0</v>
      </c>
      <c r="M2040" s="5">
        <f t="shared" si="188"/>
        <v>16000</v>
      </c>
      <c r="N2040" s="5">
        <f t="shared" si="188"/>
        <v>64000</v>
      </c>
      <c r="O2040" s="8" t="s">
        <v>20</v>
      </c>
      <c r="T2040">
        <v>0</v>
      </c>
      <c r="AC2040">
        <v>1</v>
      </c>
    </row>
    <row r="2041" spans="1:29" ht="30" customHeight="1" x14ac:dyDescent="0.3">
      <c r="A2041" s="8" t="s">
        <v>2197</v>
      </c>
      <c r="B2041" s="8" t="s">
        <v>386</v>
      </c>
      <c r="C2041" s="8" t="s">
        <v>374</v>
      </c>
      <c r="D2041" s="8" t="s">
        <v>387</v>
      </c>
      <c r="E2041" s="8" t="s">
        <v>179</v>
      </c>
      <c r="F2041" s="9">
        <v>1</v>
      </c>
      <c r="G2041" s="5">
        <f>TRUNC([1]단가대비표!O542,0)</f>
        <v>77300</v>
      </c>
      <c r="H2041" s="5">
        <f t="shared" si="185"/>
        <v>77300</v>
      </c>
      <c r="I2041" s="5">
        <v>0</v>
      </c>
      <c r="J2041" s="5">
        <f t="shared" si="186"/>
        <v>0</v>
      </c>
      <c r="K2041" s="5">
        <v>0</v>
      </c>
      <c r="L2041" s="5">
        <f t="shared" si="187"/>
        <v>0</v>
      </c>
      <c r="M2041" s="5">
        <f t="shared" si="188"/>
        <v>77300</v>
      </c>
      <c r="N2041" s="5">
        <f t="shared" si="188"/>
        <v>77300</v>
      </c>
      <c r="O2041" s="8" t="s">
        <v>20</v>
      </c>
      <c r="T2041">
        <v>0</v>
      </c>
      <c r="AC2041">
        <v>1</v>
      </c>
    </row>
    <row r="2042" spans="1:29" ht="30" customHeight="1" x14ac:dyDescent="0.3">
      <c r="A2042" s="8" t="s">
        <v>2197</v>
      </c>
      <c r="B2042" s="8" t="s">
        <v>451</v>
      </c>
      <c r="C2042" s="8" t="s">
        <v>452</v>
      </c>
      <c r="D2042" s="8" t="s">
        <v>453</v>
      </c>
      <c r="E2042" s="8" t="s">
        <v>428</v>
      </c>
      <c r="F2042" s="9">
        <v>4</v>
      </c>
      <c r="G2042" s="5">
        <f>TRUNC([1]단가대비표!O723,0)</f>
        <v>220</v>
      </c>
      <c r="H2042" s="5">
        <f t="shared" si="185"/>
        <v>880</v>
      </c>
      <c r="I2042" s="5">
        <v>10733</v>
      </c>
      <c r="J2042" s="5">
        <f t="shared" si="186"/>
        <v>42932</v>
      </c>
      <c r="K2042" s="5">
        <v>0</v>
      </c>
      <c r="L2042" s="5">
        <f t="shared" si="187"/>
        <v>0</v>
      </c>
      <c r="M2042" s="5">
        <f t="shared" si="188"/>
        <v>10953</v>
      </c>
      <c r="N2042" s="5">
        <f t="shared" si="188"/>
        <v>43812</v>
      </c>
      <c r="O2042" s="8" t="s">
        <v>429</v>
      </c>
      <c r="T2042">
        <v>0</v>
      </c>
      <c r="AC2042">
        <v>1</v>
      </c>
    </row>
    <row r="2043" spans="1:29" ht="30" customHeight="1" x14ac:dyDescent="0.3">
      <c r="A2043" s="8" t="s">
        <v>2197</v>
      </c>
      <c r="B2043" s="8" t="s">
        <v>454</v>
      </c>
      <c r="C2043" s="8" t="s">
        <v>452</v>
      </c>
      <c r="D2043" s="8" t="s">
        <v>427</v>
      </c>
      <c r="E2043" s="8" t="s">
        <v>428</v>
      </c>
      <c r="F2043" s="9">
        <v>1</v>
      </c>
      <c r="G2043" s="5">
        <f>TRUNC([1]단가대비표!O724,0)</f>
        <v>325</v>
      </c>
      <c r="H2043" s="5">
        <f t="shared" si="185"/>
        <v>325</v>
      </c>
      <c r="I2043" s="5">
        <v>15886</v>
      </c>
      <c r="J2043" s="5">
        <f t="shared" si="186"/>
        <v>15886</v>
      </c>
      <c r="K2043" s="5">
        <v>0</v>
      </c>
      <c r="L2043" s="5">
        <f t="shared" si="187"/>
        <v>0</v>
      </c>
      <c r="M2043" s="5">
        <f t="shared" si="188"/>
        <v>16211</v>
      </c>
      <c r="N2043" s="5">
        <f t="shared" si="188"/>
        <v>16211</v>
      </c>
      <c r="O2043" s="8" t="s">
        <v>429</v>
      </c>
      <c r="T2043">
        <v>0</v>
      </c>
      <c r="AC2043">
        <v>1</v>
      </c>
    </row>
    <row r="2044" spans="1:29" ht="30" customHeight="1" x14ac:dyDescent="0.3">
      <c r="A2044" s="8" t="s">
        <v>2197</v>
      </c>
      <c r="B2044" s="8" t="s">
        <v>821</v>
      </c>
      <c r="C2044" s="8" t="s">
        <v>483</v>
      </c>
      <c r="D2044" s="8" t="s">
        <v>184</v>
      </c>
      <c r="E2044" s="8" t="s">
        <v>185</v>
      </c>
      <c r="F2044" s="9">
        <v>6</v>
      </c>
      <c r="G2044" s="5" t="e">
        <f>'[2].xls].xls].xls].xls].xls].xls].xls].'!E47</f>
        <v>#REF!</v>
      </c>
      <c r="H2044" s="5" t="e">
        <f t="shared" si="185"/>
        <v>#REF!</v>
      </c>
      <c r="I2044" s="5" t="e">
        <f>'[2].xls].xls].xls].xls].xls].xls].xls].'!F47</f>
        <v>#REF!</v>
      </c>
      <c r="J2044" s="5" t="e">
        <f t="shared" si="186"/>
        <v>#REF!</v>
      </c>
      <c r="K2044" s="5" t="e">
        <f>'[2].xls].xls].xls].xls].xls].xls].xls].'!G47</f>
        <v>#REF!</v>
      </c>
      <c r="L2044" s="5" t="e">
        <f t="shared" si="187"/>
        <v>#REF!</v>
      </c>
      <c r="M2044" s="5" t="e">
        <f t="shared" si="188"/>
        <v>#REF!</v>
      </c>
      <c r="N2044" s="5" t="e">
        <f t="shared" si="188"/>
        <v>#REF!</v>
      </c>
      <c r="O2044" s="8" t="s">
        <v>821</v>
      </c>
      <c r="T2044">
        <v>0</v>
      </c>
      <c r="AC2044">
        <v>1</v>
      </c>
    </row>
    <row r="2045" spans="1:29" ht="30" customHeight="1" x14ac:dyDescent="0.3">
      <c r="A2045" s="8" t="s">
        <v>2197</v>
      </c>
      <c r="B2045" s="8" t="s">
        <v>482</v>
      </c>
      <c r="C2045" s="8" t="s">
        <v>483</v>
      </c>
      <c r="D2045" s="8" t="s">
        <v>484</v>
      </c>
      <c r="E2045" s="8" t="s">
        <v>185</v>
      </c>
      <c r="F2045" s="9">
        <v>6</v>
      </c>
      <c r="G2045" s="5" t="e">
        <f>'[2].xls].xls].xls].xls].xls].xls].xls].'!E48</f>
        <v>#REF!</v>
      </c>
      <c r="H2045" s="5" t="e">
        <f t="shared" si="185"/>
        <v>#REF!</v>
      </c>
      <c r="I2045" s="5" t="e">
        <f>'[2].xls].xls].xls].xls].xls].xls].xls].'!F48</f>
        <v>#REF!</v>
      </c>
      <c r="J2045" s="5" t="e">
        <f t="shared" si="186"/>
        <v>#REF!</v>
      </c>
      <c r="K2045" s="5" t="e">
        <f>'[2].xls].xls].xls].xls].xls].xls].xls].'!G48</f>
        <v>#REF!</v>
      </c>
      <c r="L2045" s="5" t="e">
        <f t="shared" si="187"/>
        <v>#REF!</v>
      </c>
      <c r="M2045" s="5" t="e">
        <f t="shared" si="188"/>
        <v>#REF!</v>
      </c>
      <c r="N2045" s="5" t="e">
        <f t="shared" si="188"/>
        <v>#REF!</v>
      </c>
      <c r="O2045" s="8" t="s">
        <v>482</v>
      </c>
      <c r="T2045">
        <v>0</v>
      </c>
      <c r="AC2045">
        <v>1</v>
      </c>
    </row>
    <row r="2046" spans="1:29" ht="30" customHeight="1" x14ac:dyDescent="0.3">
      <c r="A2046" s="8" t="s">
        <v>2197</v>
      </c>
      <c r="B2046" s="8" t="s">
        <v>485</v>
      </c>
      <c r="C2046" s="8" t="s">
        <v>483</v>
      </c>
      <c r="D2046" s="8" t="s">
        <v>444</v>
      </c>
      <c r="E2046" s="8" t="s">
        <v>185</v>
      </c>
      <c r="F2046" s="9">
        <v>2</v>
      </c>
      <c r="G2046" s="5" t="e">
        <f>'[2].xls].xls].xls].xls].xls].xls].xls].'!E49</f>
        <v>#REF!</v>
      </c>
      <c r="H2046" s="5" t="e">
        <f t="shared" si="185"/>
        <v>#REF!</v>
      </c>
      <c r="I2046" s="5" t="e">
        <f>'[2].xls].xls].xls].xls].xls].xls].xls].'!F49</f>
        <v>#REF!</v>
      </c>
      <c r="J2046" s="5" t="e">
        <f t="shared" si="186"/>
        <v>#REF!</v>
      </c>
      <c r="K2046" s="5" t="e">
        <f>'[2].xls].xls].xls].xls].xls].xls].xls].'!G49</f>
        <v>#REF!</v>
      </c>
      <c r="L2046" s="5" t="e">
        <f t="shared" si="187"/>
        <v>#REF!</v>
      </c>
      <c r="M2046" s="5" t="e">
        <f t="shared" si="188"/>
        <v>#REF!</v>
      </c>
      <c r="N2046" s="5" t="e">
        <f t="shared" si="188"/>
        <v>#REF!</v>
      </c>
      <c r="O2046" s="8" t="s">
        <v>485</v>
      </c>
      <c r="T2046">
        <v>0</v>
      </c>
      <c r="AC2046">
        <v>1</v>
      </c>
    </row>
    <row r="2047" spans="1:29" ht="30" customHeight="1" x14ac:dyDescent="0.3">
      <c r="A2047" s="8" t="s">
        <v>2197</v>
      </c>
      <c r="B2047" s="8" t="s">
        <v>486</v>
      </c>
      <c r="C2047" s="8" t="s">
        <v>483</v>
      </c>
      <c r="D2047" s="8" t="s">
        <v>487</v>
      </c>
      <c r="E2047" s="8" t="s">
        <v>185</v>
      </c>
      <c r="F2047" s="9">
        <v>1</v>
      </c>
      <c r="G2047" s="5" t="e">
        <f>'[2].xls].xls].xls].xls].xls].xls].xls].'!E50</f>
        <v>#REF!</v>
      </c>
      <c r="H2047" s="5" t="e">
        <f t="shared" si="185"/>
        <v>#REF!</v>
      </c>
      <c r="I2047" s="5" t="e">
        <f>'[2].xls].xls].xls].xls].xls].xls].xls].'!F50</f>
        <v>#REF!</v>
      </c>
      <c r="J2047" s="5" t="e">
        <f t="shared" si="186"/>
        <v>#REF!</v>
      </c>
      <c r="K2047" s="5" t="e">
        <f>'[2].xls].xls].xls].xls].xls].xls].xls].'!G50</f>
        <v>#REF!</v>
      </c>
      <c r="L2047" s="5" t="e">
        <f t="shared" si="187"/>
        <v>#REF!</v>
      </c>
      <c r="M2047" s="5" t="e">
        <f t="shared" si="188"/>
        <v>#REF!</v>
      </c>
      <c r="N2047" s="5" t="e">
        <f t="shared" si="188"/>
        <v>#REF!</v>
      </c>
      <c r="O2047" s="8" t="s">
        <v>486</v>
      </c>
      <c r="T2047">
        <v>0</v>
      </c>
      <c r="AC2047">
        <v>1</v>
      </c>
    </row>
    <row r="2048" spans="1:29" ht="30" customHeight="1" x14ac:dyDescent="0.3">
      <c r="A2048" s="8" t="s">
        <v>2197</v>
      </c>
      <c r="B2048" s="8" t="s">
        <v>488</v>
      </c>
      <c r="C2048" s="8" t="s">
        <v>483</v>
      </c>
      <c r="D2048" s="8" t="s">
        <v>489</v>
      </c>
      <c r="E2048" s="8" t="s">
        <v>185</v>
      </c>
      <c r="F2048" s="9">
        <v>9</v>
      </c>
      <c r="G2048" s="5" t="e">
        <f>'[2].xls].xls].xls].xls].xls].xls].xls].'!E51</f>
        <v>#REF!</v>
      </c>
      <c r="H2048" s="5" t="e">
        <f t="shared" si="185"/>
        <v>#REF!</v>
      </c>
      <c r="I2048" s="5" t="e">
        <f>'[2].xls].xls].xls].xls].xls].xls].xls].'!F51</f>
        <v>#REF!</v>
      </c>
      <c r="J2048" s="5" t="e">
        <f t="shared" si="186"/>
        <v>#REF!</v>
      </c>
      <c r="K2048" s="5" t="e">
        <f>'[2].xls].xls].xls].xls].xls].xls].xls].'!G51</f>
        <v>#REF!</v>
      </c>
      <c r="L2048" s="5" t="e">
        <f t="shared" si="187"/>
        <v>#REF!</v>
      </c>
      <c r="M2048" s="5" t="e">
        <f t="shared" si="188"/>
        <v>#REF!</v>
      </c>
      <c r="N2048" s="5" t="e">
        <f t="shared" si="188"/>
        <v>#REF!</v>
      </c>
      <c r="O2048" s="8" t="s">
        <v>488</v>
      </c>
      <c r="T2048">
        <v>0</v>
      </c>
      <c r="AC2048">
        <v>1</v>
      </c>
    </row>
    <row r="2049" spans="1:29" ht="30" customHeight="1" x14ac:dyDescent="0.3">
      <c r="A2049" s="8" t="s">
        <v>2197</v>
      </c>
      <c r="B2049" s="8" t="s">
        <v>2199</v>
      </c>
      <c r="C2049" s="8" t="s">
        <v>528</v>
      </c>
      <c r="D2049" s="8" t="s">
        <v>489</v>
      </c>
      <c r="E2049" s="8" t="s">
        <v>185</v>
      </c>
      <c r="F2049" s="9">
        <v>1</v>
      </c>
      <c r="G2049" s="5" t="e">
        <f>'[2].xls].xls].xls].xls].xls].xls].xls].'!E58</f>
        <v>#REF!</v>
      </c>
      <c r="H2049" s="5" t="e">
        <f t="shared" si="185"/>
        <v>#REF!</v>
      </c>
      <c r="I2049" s="5" t="e">
        <f>'[2].xls].xls].xls].xls].xls].xls].xls].'!F58</f>
        <v>#REF!</v>
      </c>
      <c r="J2049" s="5" t="e">
        <f t="shared" si="186"/>
        <v>#REF!</v>
      </c>
      <c r="K2049" s="5" t="e">
        <f>'[2].xls].xls].xls].xls].xls].xls].xls].'!G58</f>
        <v>#REF!</v>
      </c>
      <c r="L2049" s="5" t="e">
        <f t="shared" si="187"/>
        <v>#REF!</v>
      </c>
      <c r="M2049" s="5" t="e">
        <f t="shared" si="188"/>
        <v>#REF!</v>
      </c>
      <c r="N2049" s="5" t="e">
        <f t="shared" si="188"/>
        <v>#REF!</v>
      </c>
      <c r="O2049" s="8" t="s">
        <v>2199</v>
      </c>
      <c r="T2049">
        <v>0</v>
      </c>
      <c r="AC2049">
        <v>1</v>
      </c>
    </row>
    <row r="2050" spans="1:29" ht="30" customHeight="1" x14ac:dyDescent="0.3">
      <c r="A2050" s="8" t="s">
        <v>2197</v>
      </c>
      <c r="B2050" s="8" t="s">
        <v>681</v>
      </c>
      <c r="C2050" s="8" t="s">
        <v>680</v>
      </c>
      <c r="D2050" s="8" t="s">
        <v>489</v>
      </c>
      <c r="E2050" s="8" t="s">
        <v>185</v>
      </c>
      <c r="F2050" s="9">
        <v>1</v>
      </c>
      <c r="G2050" s="5">
        <f>TRUNC([1]단가대비표!O632,0)</f>
        <v>15392</v>
      </c>
      <c r="H2050" s="5">
        <f t="shared" si="185"/>
        <v>15392</v>
      </c>
      <c r="I2050" s="5">
        <v>0</v>
      </c>
      <c r="J2050" s="5">
        <f t="shared" si="186"/>
        <v>0</v>
      </c>
      <c r="K2050" s="5">
        <v>0</v>
      </c>
      <c r="L2050" s="5">
        <f t="shared" si="187"/>
        <v>0</v>
      </c>
      <c r="M2050" s="5">
        <f t="shared" si="188"/>
        <v>15392</v>
      </c>
      <c r="N2050" s="5">
        <f t="shared" si="188"/>
        <v>15392</v>
      </c>
      <c r="O2050" s="8" t="s">
        <v>20</v>
      </c>
      <c r="T2050">
        <v>0</v>
      </c>
      <c r="AC2050">
        <v>1</v>
      </c>
    </row>
    <row r="2051" spans="1:29" ht="30" customHeight="1" x14ac:dyDescent="0.3">
      <c r="A2051" s="8" t="s">
        <v>2197</v>
      </c>
      <c r="B2051" s="8" t="s">
        <v>696</v>
      </c>
      <c r="C2051" s="8" t="s">
        <v>694</v>
      </c>
      <c r="D2051" s="8" t="s">
        <v>697</v>
      </c>
      <c r="E2051" s="8" t="s">
        <v>179</v>
      </c>
      <c r="F2051" s="9">
        <v>1</v>
      </c>
      <c r="G2051" s="5">
        <f>TRUNC([1]단가대비표!O392,0)</f>
        <v>770</v>
      </c>
      <c r="H2051" s="5">
        <f t="shared" si="185"/>
        <v>770</v>
      </c>
      <c r="I2051" s="5">
        <v>0</v>
      </c>
      <c r="J2051" s="5">
        <f t="shared" si="186"/>
        <v>0</v>
      </c>
      <c r="K2051" s="5">
        <v>0</v>
      </c>
      <c r="L2051" s="5">
        <f t="shared" si="187"/>
        <v>0</v>
      </c>
      <c r="M2051" s="5">
        <f t="shared" si="188"/>
        <v>770</v>
      </c>
      <c r="N2051" s="5">
        <f t="shared" si="188"/>
        <v>770</v>
      </c>
      <c r="O2051" s="8" t="s">
        <v>20</v>
      </c>
      <c r="T2051">
        <v>0</v>
      </c>
      <c r="AC2051">
        <v>1</v>
      </c>
    </row>
    <row r="2052" spans="1:29" ht="30" customHeight="1" x14ac:dyDescent="0.3">
      <c r="A2052" s="8" t="s">
        <v>2197</v>
      </c>
      <c r="B2052" s="8" t="s">
        <v>152</v>
      </c>
      <c r="C2052" s="8" t="s">
        <v>153</v>
      </c>
      <c r="D2052" s="8" t="s">
        <v>154</v>
      </c>
      <c r="E2052" s="8" t="s">
        <v>155</v>
      </c>
      <c r="F2052" s="9">
        <v>2</v>
      </c>
      <c r="G2052" s="5">
        <v>0</v>
      </c>
      <c r="H2052" s="5">
        <f t="shared" si="185"/>
        <v>0</v>
      </c>
      <c r="I2052" s="5">
        <f>TRUNC([1]단가대비표!O671,0)</f>
        <v>157068</v>
      </c>
      <c r="J2052" s="5">
        <f t="shared" si="186"/>
        <v>314136</v>
      </c>
      <c r="K2052" s="5">
        <v>0</v>
      </c>
      <c r="L2052" s="5">
        <f t="shared" si="187"/>
        <v>0</v>
      </c>
      <c r="M2052" s="5">
        <f t="shared" si="188"/>
        <v>157068</v>
      </c>
      <c r="N2052" s="5">
        <f t="shared" si="188"/>
        <v>314136</v>
      </c>
      <c r="O2052" s="8" t="s">
        <v>20</v>
      </c>
      <c r="T2052">
        <v>0</v>
      </c>
      <c r="W2052">
        <v>3</v>
      </c>
      <c r="AC2052">
        <v>1</v>
      </c>
    </row>
    <row r="2053" spans="1:29" ht="30" customHeight="1" x14ac:dyDescent="0.3">
      <c r="A2053" s="8" t="s">
        <v>2197</v>
      </c>
      <c r="B2053" s="8" t="s">
        <v>553</v>
      </c>
      <c r="C2053" s="8" t="s">
        <v>153</v>
      </c>
      <c r="D2053" s="8" t="s">
        <v>554</v>
      </c>
      <c r="E2053" s="8" t="s">
        <v>155</v>
      </c>
      <c r="F2053" s="9">
        <v>3</v>
      </c>
      <c r="G2053" s="5">
        <v>0</v>
      </c>
      <c r="H2053" s="5">
        <f t="shared" si="185"/>
        <v>0</v>
      </c>
      <c r="I2053" s="5">
        <f>TRUNC([1]단가대비표!O668,0)</f>
        <v>214118</v>
      </c>
      <c r="J2053" s="5">
        <f t="shared" si="186"/>
        <v>642354</v>
      </c>
      <c r="K2053" s="5">
        <v>0</v>
      </c>
      <c r="L2053" s="5">
        <f t="shared" si="187"/>
        <v>0</v>
      </c>
      <c r="M2053" s="5">
        <f t="shared" si="188"/>
        <v>214118</v>
      </c>
      <c r="N2053" s="5">
        <f t="shared" si="188"/>
        <v>642354</v>
      </c>
      <c r="O2053" s="8" t="s">
        <v>20</v>
      </c>
      <c r="T2053">
        <v>0</v>
      </c>
      <c r="W2053">
        <v>3</v>
      </c>
      <c r="AC2053">
        <v>1</v>
      </c>
    </row>
    <row r="2054" spans="1:29" ht="30" customHeight="1" x14ac:dyDescent="0.3">
      <c r="A2054" s="8" t="s">
        <v>2197</v>
      </c>
      <c r="B2054" s="8" t="s">
        <v>158</v>
      </c>
      <c r="C2054" s="8" t="s">
        <v>159</v>
      </c>
      <c r="D2054" s="8" t="s">
        <v>160</v>
      </c>
      <c r="E2054" s="8" t="s">
        <v>161</v>
      </c>
      <c r="F2054" s="9">
        <v>1</v>
      </c>
      <c r="G2054" s="5">
        <f>ROUNDDOWN(SUMIF(W2007:W2054, RIGHTB(B2054, 1), J2007:J2054)*T2054, 0)</f>
        <v>19129</v>
      </c>
      <c r="H2054" s="5">
        <f t="shared" si="185"/>
        <v>19129</v>
      </c>
      <c r="I2054" s="5">
        <v>0</v>
      </c>
      <c r="J2054" s="5">
        <f t="shared" si="186"/>
        <v>0</v>
      </c>
      <c r="K2054" s="5">
        <v>0</v>
      </c>
      <c r="L2054" s="5">
        <f t="shared" si="187"/>
        <v>0</v>
      </c>
      <c r="M2054" s="5">
        <f t="shared" si="188"/>
        <v>19129</v>
      </c>
      <c r="N2054" s="5">
        <f t="shared" si="188"/>
        <v>19129</v>
      </c>
      <c r="O2054" s="8" t="s">
        <v>20</v>
      </c>
      <c r="P2054">
        <v>2054</v>
      </c>
      <c r="R2054">
        <v>1</v>
      </c>
      <c r="S2054">
        <v>0</v>
      </c>
      <c r="T2054">
        <v>0.02</v>
      </c>
      <c r="AC2054">
        <v>1</v>
      </c>
    </row>
    <row r="2055" spans="1:29" ht="30" customHeight="1" x14ac:dyDescent="0.3">
      <c r="A2055" s="5"/>
      <c r="B2055" s="5"/>
      <c r="C2055" s="5"/>
      <c r="D2055" s="5"/>
      <c r="E2055" s="5"/>
      <c r="F2055" s="9"/>
      <c r="G2055" s="5"/>
      <c r="H2055" s="5"/>
      <c r="I2055" s="5"/>
      <c r="J2055" s="5"/>
      <c r="K2055" s="5"/>
      <c r="L2055" s="5"/>
      <c r="M2055" s="5"/>
      <c r="N2055" s="5"/>
      <c r="O2055" s="5"/>
    </row>
    <row r="2056" spans="1:29" ht="30" customHeight="1" x14ac:dyDescent="0.3">
      <c r="A2056" s="5"/>
      <c r="B2056" s="5"/>
      <c r="C2056" s="5"/>
      <c r="D2056" s="5"/>
      <c r="E2056" s="5"/>
      <c r="F2056" s="9"/>
      <c r="G2056" s="5"/>
      <c r="H2056" s="5"/>
      <c r="I2056" s="5"/>
      <c r="J2056" s="5"/>
      <c r="K2056" s="5"/>
      <c r="L2056" s="5"/>
      <c r="M2056" s="5"/>
      <c r="N2056" s="5"/>
      <c r="O2056" s="5"/>
    </row>
    <row r="2057" spans="1:29" ht="30" customHeight="1" x14ac:dyDescent="0.3">
      <c r="A2057" s="5"/>
      <c r="B2057" s="5"/>
      <c r="C2057" s="5" t="s">
        <v>162</v>
      </c>
      <c r="D2057" s="5"/>
      <c r="E2057" s="5"/>
      <c r="F2057" s="9"/>
      <c r="G2057" s="5"/>
      <c r="H2057" s="5" t="e">
        <f>SUMIF(AC2007:AC2056, 1, H2007:H2056)</f>
        <v>#REF!</v>
      </c>
      <c r="I2057" s="5"/>
      <c r="J2057" s="5" t="e">
        <f>SUMIF(AC2007:AC2056, 1, J2007:J2056)</f>
        <v>#REF!</v>
      </c>
      <c r="K2057" s="5"/>
      <c r="L2057" s="5" t="e">
        <f>SUMIF(AC2007:AC2056, 1, L2007:L2056)</f>
        <v>#REF!</v>
      </c>
      <c r="M2057" s="5"/>
      <c r="N2057" s="5" t="e">
        <f>H2057+J2057+L2057</f>
        <v>#REF!</v>
      </c>
      <c r="O2057" s="5"/>
    </row>
    <row r="2058" spans="1:29" ht="30" customHeight="1" x14ac:dyDescent="0.3">
      <c r="A2058" s="5"/>
      <c r="B2058" s="5"/>
      <c r="C2058" s="10" t="s">
        <v>2200</v>
      </c>
      <c r="D2058" s="10"/>
      <c r="E2058" s="10"/>
      <c r="F2058" s="11"/>
      <c r="G2058" s="10"/>
      <c r="H2058" s="10"/>
      <c r="I2058" s="10"/>
      <c r="J2058" s="10"/>
      <c r="K2058" s="10"/>
      <c r="L2058" s="10"/>
      <c r="M2058" s="10"/>
      <c r="N2058" s="10"/>
      <c r="O2058" s="10"/>
    </row>
    <row r="2059" spans="1:29" ht="30" customHeight="1" x14ac:dyDescent="0.3">
      <c r="A2059" s="8" t="s">
        <v>2201</v>
      </c>
      <c r="B2059" s="8" t="s">
        <v>876</v>
      </c>
      <c r="C2059" s="8" t="s">
        <v>864</v>
      </c>
      <c r="D2059" s="8" t="s">
        <v>877</v>
      </c>
      <c r="E2059" s="8" t="s">
        <v>168</v>
      </c>
      <c r="F2059" s="9">
        <v>4</v>
      </c>
      <c r="G2059" s="5">
        <f>TRUNC([1]단가대비표!O119,0)</f>
        <v>1666</v>
      </c>
      <c r="H2059" s="5">
        <f t="shared" ref="H2059:H2112" si="189">TRUNC(F2059*G2059,0)</f>
        <v>6664</v>
      </c>
      <c r="I2059" s="5">
        <v>0</v>
      </c>
      <c r="J2059" s="5">
        <f t="shared" ref="J2059:J2112" si="190">TRUNC(F2059*I2059,0)</f>
        <v>0</v>
      </c>
      <c r="K2059" s="5">
        <v>0</v>
      </c>
      <c r="L2059" s="5">
        <f t="shared" ref="L2059:L2112" si="191">TRUNC(F2059*K2059,0)</f>
        <v>0</v>
      </c>
      <c r="M2059" s="5">
        <f t="shared" ref="M2059:N2090" si="192">G2059+I2059+K2059</f>
        <v>1666</v>
      </c>
      <c r="N2059" s="5">
        <f t="shared" si="192"/>
        <v>6664</v>
      </c>
      <c r="O2059" s="8" t="s">
        <v>20</v>
      </c>
      <c r="T2059">
        <v>0</v>
      </c>
      <c r="U2059">
        <v>1</v>
      </c>
      <c r="AC2059">
        <v>1</v>
      </c>
    </row>
    <row r="2060" spans="1:29" ht="30" customHeight="1" x14ac:dyDescent="0.3">
      <c r="A2060" s="8" t="s">
        <v>2201</v>
      </c>
      <c r="B2060" s="8" t="s">
        <v>878</v>
      </c>
      <c r="C2060" s="8" t="s">
        <v>864</v>
      </c>
      <c r="D2060" s="8" t="s">
        <v>879</v>
      </c>
      <c r="E2060" s="8" t="s">
        <v>168</v>
      </c>
      <c r="F2060" s="9">
        <v>3</v>
      </c>
      <c r="G2060" s="5">
        <f>TRUNC([1]단가대비표!O120,0)</f>
        <v>1878</v>
      </c>
      <c r="H2060" s="5">
        <f t="shared" si="189"/>
        <v>5634</v>
      </c>
      <c r="I2060" s="5">
        <v>0</v>
      </c>
      <c r="J2060" s="5">
        <f t="shared" si="190"/>
        <v>0</v>
      </c>
      <c r="K2060" s="5">
        <v>0</v>
      </c>
      <c r="L2060" s="5">
        <f t="shared" si="191"/>
        <v>0</v>
      </c>
      <c r="M2060" s="5">
        <f t="shared" si="192"/>
        <v>1878</v>
      </c>
      <c r="N2060" s="5">
        <f t="shared" si="192"/>
        <v>5634</v>
      </c>
      <c r="O2060" s="8" t="s">
        <v>20</v>
      </c>
      <c r="T2060">
        <v>0</v>
      </c>
      <c r="U2060">
        <v>1</v>
      </c>
      <c r="AC2060">
        <v>1</v>
      </c>
    </row>
    <row r="2061" spans="1:29" ht="30" customHeight="1" x14ac:dyDescent="0.3">
      <c r="A2061" s="8" t="s">
        <v>2201</v>
      </c>
      <c r="B2061" s="8" t="s">
        <v>880</v>
      </c>
      <c r="C2061" s="8" t="s">
        <v>864</v>
      </c>
      <c r="D2061" s="8" t="s">
        <v>881</v>
      </c>
      <c r="E2061" s="8" t="s">
        <v>168</v>
      </c>
      <c r="F2061" s="9">
        <v>8</v>
      </c>
      <c r="G2061" s="5">
        <f>TRUNC([1]단가대비표!O121,0)</f>
        <v>2666</v>
      </c>
      <c r="H2061" s="5">
        <f t="shared" si="189"/>
        <v>21328</v>
      </c>
      <c r="I2061" s="5">
        <v>0</v>
      </c>
      <c r="J2061" s="5">
        <f t="shared" si="190"/>
        <v>0</v>
      </c>
      <c r="K2061" s="5">
        <v>0</v>
      </c>
      <c r="L2061" s="5">
        <f t="shared" si="191"/>
        <v>0</v>
      </c>
      <c r="M2061" s="5">
        <f t="shared" si="192"/>
        <v>2666</v>
      </c>
      <c r="N2061" s="5">
        <f t="shared" si="192"/>
        <v>21328</v>
      </c>
      <c r="O2061" s="8" t="s">
        <v>20</v>
      </c>
      <c r="T2061">
        <v>0</v>
      </c>
      <c r="U2061">
        <v>1</v>
      </c>
      <c r="AC2061">
        <v>1</v>
      </c>
    </row>
    <row r="2062" spans="1:29" ht="30" customHeight="1" x14ac:dyDescent="0.3">
      <c r="A2062" s="8" t="s">
        <v>2201</v>
      </c>
      <c r="B2062" s="8" t="s">
        <v>882</v>
      </c>
      <c r="C2062" s="8" t="s">
        <v>864</v>
      </c>
      <c r="D2062" s="8" t="s">
        <v>883</v>
      </c>
      <c r="E2062" s="8" t="s">
        <v>168</v>
      </c>
      <c r="F2062" s="9">
        <v>17</v>
      </c>
      <c r="G2062" s="5">
        <f>TRUNC([1]단가대비표!O122,0)</f>
        <v>5296</v>
      </c>
      <c r="H2062" s="5">
        <f t="shared" si="189"/>
        <v>90032</v>
      </c>
      <c r="I2062" s="5">
        <v>0</v>
      </c>
      <c r="J2062" s="5">
        <f t="shared" si="190"/>
        <v>0</v>
      </c>
      <c r="K2062" s="5">
        <v>0</v>
      </c>
      <c r="L2062" s="5">
        <f t="shared" si="191"/>
        <v>0</v>
      </c>
      <c r="M2062" s="5">
        <f t="shared" si="192"/>
        <v>5296</v>
      </c>
      <c r="N2062" s="5">
        <f t="shared" si="192"/>
        <v>90032</v>
      </c>
      <c r="O2062" s="8" t="s">
        <v>20</v>
      </c>
      <c r="T2062">
        <v>0</v>
      </c>
      <c r="U2062">
        <v>1</v>
      </c>
      <c r="AC2062">
        <v>1</v>
      </c>
    </row>
    <row r="2063" spans="1:29" ht="30" customHeight="1" x14ac:dyDescent="0.3">
      <c r="A2063" s="8" t="s">
        <v>2201</v>
      </c>
      <c r="B2063" s="8" t="s">
        <v>884</v>
      </c>
      <c r="C2063" s="8" t="s">
        <v>864</v>
      </c>
      <c r="D2063" s="8" t="s">
        <v>885</v>
      </c>
      <c r="E2063" s="8" t="s">
        <v>168</v>
      </c>
      <c r="F2063" s="9">
        <v>32</v>
      </c>
      <c r="G2063" s="5">
        <f>TRUNC([1]단가대비표!O123,0)</f>
        <v>8068</v>
      </c>
      <c r="H2063" s="5">
        <f t="shared" si="189"/>
        <v>258176</v>
      </c>
      <c r="I2063" s="5">
        <v>0</v>
      </c>
      <c r="J2063" s="5">
        <f t="shared" si="190"/>
        <v>0</v>
      </c>
      <c r="K2063" s="5">
        <v>0</v>
      </c>
      <c r="L2063" s="5">
        <f t="shared" si="191"/>
        <v>0</v>
      </c>
      <c r="M2063" s="5">
        <f t="shared" si="192"/>
        <v>8068</v>
      </c>
      <c r="N2063" s="5">
        <f t="shared" si="192"/>
        <v>258176</v>
      </c>
      <c r="O2063" s="8" t="s">
        <v>20</v>
      </c>
      <c r="T2063">
        <v>0</v>
      </c>
      <c r="U2063">
        <v>1</v>
      </c>
      <c r="AC2063">
        <v>1</v>
      </c>
    </row>
    <row r="2064" spans="1:29" ht="30" customHeight="1" x14ac:dyDescent="0.3">
      <c r="A2064" s="8" t="s">
        <v>2201</v>
      </c>
      <c r="B2064" s="8" t="s">
        <v>888</v>
      </c>
      <c r="C2064" s="8" t="s">
        <v>864</v>
      </c>
      <c r="D2064" s="8" t="s">
        <v>889</v>
      </c>
      <c r="E2064" s="8" t="s">
        <v>168</v>
      </c>
      <c r="F2064" s="9">
        <v>57</v>
      </c>
      <c r="G2064" s="5">
        <f>TRUNC([1]단가대비표!O128,0)</f>
        <v>1240</v>
      </c>
      <c r="H2064" s="5">
        <f t="shared" si="189"/>
        <v>70680</v>
      </c>
      <c r="I2064" s="5">
        <v>0</v>
      </c>
      <c r="J2064" s="5">
        <f t="shared" si="190"/>
        <v>0</v>
      </c>
      <c r="K2064" s="5">
        <v>0</v>
      </c>
      <c r="L2064" s="5">
        <f t="shared" si="191"/>
        <v>0</v>
      </c>
      <c r="M2064" s="5">
        <f t="shared" si="192"/>
        <v>1240</v>
      </c>
      <c r="N2064" s="5">
        <f t="shared" si="192"/>
        <v>70680</v>
      </c>
      <c r="O2064" s="8" t="s">
        <v>20</v>
      </c>
      <c r="T2064">
        <v>0</v>
      </c>
      <c r="U2064">
        <v>1</v>
      </c>
      <c r="AC2064">
        <v>1</v>
      </c>
    </row>
    <row r="2065" spans="1:29" ht="30" customHeight="1" x14ac:dyDescent="0.3">
      <c r="A2065" s="8" t="s">
        <v>2201</v>
      </c>
      <c r="B2065" s="8" t="s">
        <v>173</v>
      </c>
      <c r="C2065" s="8" t="s">
        <v>174</v>
      </c>
      <c r="D2065" s="8" t="s">
        <v>175</v>
      </c>
      <c r="E2065" s="8" t="s">
        <v>161</v>
      </c>
      <c r="F2065" s="9">
        <v>1</v>
      </c>
      <c r="G2065" s="5">
        <f>ROUNDDOWN(SUMIF(U2059:U2112, RIGHTB(B2065, 1), H2059:H2112)*T2065, 0)</f>
        <v>13575</v>
      </c>
      <c r="H2065" s="5">
        <f t="shared" si="189"/>
        <v>13575</v>
      </c>
      <c r="I2065" s="5">
        <v>0</v>
      </c>
      <c r="J2065" s="5">
        <f t="shared" si="190"/>
        <v>0</v>
      </c>
      <c r="K2065" s="5">
        <v>0</v>
      </c>
      <c r="L2065" s="5">
        <f t="shared" si="191"/>
        <v>0</v>
      </c>
      <c r="M2065" s="5">
        <f t="shared" si="192"/>
        <v>13575</v>
      </c>
      <c r="N2065" s="5">
        <f t="shared" si="192"/>
        <v>13575</v>
      </c>
      <c r="O2065" s="8" t="s">
        <v>20</v>
      </c>
      <c r="P2065">
        <v>2065</v>
      </c>
      <c r="R2065">
        <v>0</v>
      </c>
      <c r="S2065">
        <v>0</v>
      </c>
      <c r="T2065">
        <v>0.03</v>
      </c>
      <c r="AC2065">
        <v>1</v>
      </c>
    </row>
    <row r="2066" spans="1:29" ht="30" customHeight="1" x14ac:dyDescent="0.3">
      <c r="A2066" s="8" t="s">
        <v>2201</v>
      </c>
      <c r="B2066" s="8" t="s">
        <v>892</v>
      </c>
      <c r="C2066" s="8" t="s">
        <v>893</v>
      </c>
      <c r="D2066" s="8" t="s">
        <v>894</v>
      </c>
      <c r="E2066" s="8" t="s">
        <v>895</v>
      </c>
      <c r="F2066" s="9">
        <v>4</v>
      </c>
      <c r="G2066" s="5">
        <f>TRUNC([1]단가대비표!O693,0)</f>
        <v>463</v>
      </c>
      <c r="H2066" s="5">
        <f t="shared" si="189"/>
        <v>1852</v>
      </c>
      <c r="I2066" s="5">
        <v>6141</v>
      </c>
      <c r="J2066" s="5">
        <f t="shared" si="190"/>
        <v>24564</v>
      </c>
      <c r="K2066" s="5">
        <v>0</v>
      </c>
      <c r="L2066" s="5">
        <f t="shared" si="191"/>
        <v>0</v>
      </c>
      <c r="M2066" s="5">
        <f t="shared" si="192"/>
        <v>6604</v>
      </c>
      <c r="N2066" s="5">
        <f t="shared" si="192"/>
        <v>26416</v>
      </c>
      <c r="O2066" s="8" t="s">
        <v>429</v>
      </c>
      <c r="T2066">
        <v>0</v>
      </c>
      <c r="AC2066">
        <v>1</v>
      </c>
    </row>
    <row r="2067" spans="1:29" ht="30" customHeight="1" x14ac:dyDescent="0.3">
      <c r="A2067" s="8" t="s">
        <v>2201</v>
      </c>
      <c r="B2067" s="8" t="s">
        <v>896</v>
      </c>
      <c r="C2067" s="8" t="s">
        <v>893</v>
      </c>
      <c r="D2067" s="8" t="s">
        <v>897</v>
      </c>
      <c r="E2067" s="8" t="s">
        <v>895</v>
      </c>
      <c r="F2067" s="9">
        <v>3</v>
      </c>
      <c r="G2067" s="5">
        <f>TRUNC([1]단가대비표!O694,0)</f>
        <v>496</v>
      </c>
      <c r="H2067" s="5">
        <f t="shared" si="189"/>
        <v>1488</v>
      </c>
      <c r="I2067" s="5">
        <v>6581</v>
      </c>
      <c r="J2067" s="5">
        <f t="shared" si="190"/>
        <v>19743</v>
      </c>
      <c r="K2067" s="5">
        <v>0</v>
      </c>
      <c r="L2067" s="5">
        <f t="shared" si="191"/>
        <v>0</v>
      </c>
      <c r="M2067" s="5">
        <f t="shared" si="192"/>
        <v>7077</v>
      </c>
      <c r="N2067" s="5">
        <f t="shared" si="192"/>
        <v>21231</v>
      </c>
      <c r="O2067" s="8" t="s">
        <v>429</v>
      </c>
      <c r="T2067">
        <v>0</v>
      </c>
      <c r="AC2067">
        <v>1</v>
      </c>
    </row>
    <row r="2068" spans="1:29" ht="30" customHeight="1" x14ac:dyDescent="0.3">
      <c r="A2068" s="8" t="s">
        <v>2201</v>
      </c>
      <c r="B2068" s="8" t="s">
        <v>898</v>
      </c>
      <c r="C2068" s="8" t="s">
        <v>893</v>
      </c>
      <c r="D2068" s="8" t="s">
        <v>899</v>
      </c>
      <c r="E2068" s="8" t="s">
        <v>895</v>
      </c>
      <c r="F2068" s="9">
        <v>101</v>
      </c>
      <c r="G2068" s="5">
        <f>TRUNC([1]단가대비표!O695,0)</f>
        <v>575</v>
      </c>
      <c r="H2068" s="5">
        <f t="shared" si="189"/>
        <v>58075</v>
      </c>
      <c r="I2068" s="5">
        <v>7631</v>
      </c>
      <c r="J2068" s="5">
        <f t="shared" si="190"/>
        <v>770731</v>
      </c>
      <c r="K2068" s="5">
        <v>0</v>
      </c>
      <c r="L2068" s="5">
        <f t="shared" si="191"/>
        <v>0</v>
      </c>
      <c r="M2068" s="5">
        <f t="shared" si="192"/>
        <v>8206</v>
      </c>
      <c r="N2068" s="5">
        <f t="shared" si="192"/>
        <v>828806</v>
      </c>
      <c r="O2068" s="8" t="s">
        <v>429</v>
      </c>
      <c r="T2068">
        <v>0</v>
      </c>
      <c r="AC2068">
        <v>1</v>
      </c>
    </row>
    <row r="2069" spans="1:29" ht="30" customHeight="1" x14ac:dyDescent="0.3">
      <c r="A2069" s="8" t="s">
        <v>2201</v>
      </c>
      <c r="B2069" s="8" t="s">
        <v>900</v>
      </c>
      <c r="C2069" s="8" t="s">
        <v>893</v>
      </c>
      <c r="D2069" s="8" t="s">
        <v>901</v>
      </c>
      <c r="E2069" s="8" t="s">
        <v>895</v>
      </c>
      <c r="F2069" s="9">
        <v>17</v>
      </c>
      <c r="G2069" s="5">
        <f>TRUNC([1]단가대비표!O696,0)</f>
        <v>829</v>
      </c>
      <c r="H2069" s="5">
        <f t="shared" si="189"/>
        <v>14093</v>
      </c>
      <c r="I2069" s="5">
        <v>11004</v>
      </c>
      <c r="J2069" s="5">
        <f t="shared" si="190"/>
        <v>187068</v>
      </c>
      <c r="K2069" s="5">
        <v>0</v>
      </c>
      <c r="L2069" s="5">
        <f t="shared" si="191"/>
        <v>0</v>
      </c>
      <c r="M2069" s="5">
        <f t="shared" si="192"/>
        <v>11833</v>
      </c>
      <c r="N2069" s="5">
        <f t="shared" si="192"/>
        <v>201161</v>
      </c>
      <c r="O2069" s="8" t="s">
        <v>429</v>
      </c>
      <c r="T2069">
        <v>0</v>
      </c>
      <c r="AC2069">
        <v>1</v>
      </c>
    </row>
    <row r="2070" spans="1:29" ht="30" customHeight="1" x14ac:dyDescent="0.3">
      <c r="A2070" s="8" t="s">
        <v>2201</v>
      </c>
      <c r="B2070" s="8" t="s">
        <v>902</v>
      </c>
      <c r="C2070" s="8" t="s">
        <v>893</v>
      </c>
      <c r="D2070" s="8" t="s">
        <v>903</v>
      </c>
      <c r="E2070" s="8" t="s">
        <v>895</v>
      </c>
      <c r="F2070" s="9">
        <v>32</v>
      </c>
      <c r="G2070" s="5">
        <f>TRUNC([1]단가대비표!O697,0)</f>
        <v>1083</v>
      </c>
      <c r="H2070" s="5">
        <f t="shared" si="189"/>
        <v>34656</v>
      </c>
      <c r="I2070" s="5">
        <v>14376</v>
      </c>
      <c r="J2070" s="5">
        <f t="shared" si="190"/>
        <v>460032</v>
      </c>
      <c r="K2070" s="5">
        <v>0</v>
      </c>
      <c r="L2070" s="5">
        <f t="shared" si="191"/>
        <v>0</v>
      </c>
      <c r="M2070" s="5">
        <f t="shared" si="192"/>
        <v>15459</v>
      </c>
      <c r="N2070" s="5">
        <f t="shared" si="192"/>
        <v>494688</v>
      </c>
      <c r="O2070" s="8" t="s">
        <v>429</v>
      </c>
      <c r="T2070">
        <v>0</v>
      </c>
      <c r="AC2070">
        <v>1</v>
      </c>
    </row>
    <row r="2071" spans="1:29" ht="30" customHeight="1" x14ac:dyDescent="0.3">
      <c r="A2071" s="8" t="s">
        <v>2201</v>
      </c>
      <c r="B2071" s="8" t="s">
        <v>911</v>
      </c>
      <c r="C2071" s="8" t="s">
        <v>912</v>
      </c>
      <c r="D2071" s="8" t="s">
        <v>346</v>
      </c>
      <c r="E2071" s="8" t="s">
        <v>179</v>
      </c>
      <c r="F2071" s="9">
        <v>2</v>
      </c>
      <c r="G2071" s="5">
        <f>TRUNC([1]단가대비표!O145,0)</f>
        <v>15800</v>
      </c>
      <c r="H2071" s="5">
        <f t="shared" si="189"/>
        <v>31600</v>
      </c>
      <c r="I2071" s="5">
        <v>0</v>
      </c>
      <c r="J2071" s="5">
        <f t="shared" si="190"/>
        <v>0</v>
      </c>
      <c r="K2071" s="5">
        <v>0</v>
      </c>
      <c r="L2071" s="5">
        <f t="shared" si="191"/>
        <v>0</v>
      </c>
      <c r="M2071" s="5">
        <f t="shared" si="192"/>
        <v>15800</v>
      </c>
      <c r="N2071" s="5">
        <f t="shared" si="192"/>
        <v>31600</v>
      </c>
      <c r="O2071" s="8" t="s">
        <v>20</v>
      </c>
      <c r="T2071">
        <v>0</v>
      </c>
      <c r="AC2071">
        <v>1</v>
      </c>
    </row>
    <row r="2072" spans="1:29" ht="30" customHeight="1" x14ac:dyDescent="0.3">
      <c r="A2072" s="8" t="s">
        <v>2201</v>
      </c>
      <c r="B2072" s="8" t="s">
        <v>969</v>
      </c>
      <c r="C2072" s="8" t="s">
        <v>694</v>
      </c>
      <c r="D2072" s="8" t="s">
        <v>970</v>
      </c>
      <c r="E2072" s="8" t="s">
        <v>179</v>
      </c>
      <c r="F2072" s="9">
        <v>2</v>
      </c>
      <c r="G2072" s="5">
        <f>TRUNC([1]단가대비표!O340,0)</f>
        <v>1150</v>
      </c>
      <c r="H2072" s="5">
        <f t="shared" si="189"/>
        <v>2300</v>
      </c>
      <c r="I2072" s="5">
        <v>0</v>
      </c>
      <c r="J2072" s="5">
        <f t="shared" si="190"/>
        <v>0</v>
      </c>
      <c r="K2072" s="5">
        <v>0</v>
      </c>
      <c r="L2072" s="5">
        <f t="shared" si="191"/>
        <v>0</v>
      </c>
      <c r="M2072" s="5">
        <f t="shared" si="192"/>
        <v>1150</v>
      </c>
      <c r="N2072" s="5">
        <f t="shared" si="192"/>
        <v>2300</v>
      </c>
      <c r="O2072" s="8" t="s">
        <v>20</v>
      </c>
      <c r="T2072">
        <v>0</v>
      </c>
      <c r="AC2072">
        <v>1</v>
      </c>
    </row>
    <row r="2073" spans="1:29" ht="30" customHeight="1" x14ac:dyDescent="0.3">
      <c r="A2073" s="8" t="s">
        <v>2201</v>
      </c>
      <c r="B2073" s="8" t="s">
        <v>971</v>
      </c>
      <c r="C2073" s="8" t="s">
        <v>694</v>
      </c>
      <c r="D2073" s="8" t="s">
        <v>972</v>
      </c>
      <c r="E2073" s="8" t="s">
        <v>179</v>
      </c>
      <c r="F2073" s="9">
        <v>30</v>
      </c>
      <c r="G2073" s="5">
        <f>TRUNC([1]단가대비표!O341,0)</f>
        <v>2000</v>
      </c>
      <c r="H2073" s="5">
        <f t="shared" si="189"/>
        <v>60000</v>
      </c>
      <c r="I2073" s="5">
        <v>0</v>
      </c>
      <c r="J2073" s="5">
        <f t="shared" si="190"/>
        <v>0</v>
      </c>
      <c r="K2073" s="5">
        <v>0</v>
      </c>
      <c r="L2073" s="5">
        <f t="shared" si="191"/>
        <v>0</v>
      </c>
      <c r="M2073" s="5">
        <f t="shared" si="192"/>
        <v>2000</v>
      </c>
      <c r="N2073" s="5">
        <f t="shared" si="192"/>
        <v>60000</v>
      </c>
      <c r="O2073" s="8" t="s">
        <v>20</v>
      </c>
      <c r="T2073">
        <v>0</v>
      </c>
      <c r="AC2073">
        <v>1</v>
      </c>
    </row>
    <row r="2074" spans="1:29" ht="30" customHeight="1" x14ac:dyDescent="0.3">
      <c r="A2074" s="8" t="s">
        <v>2201</v>
      </c>
      <c r="B2074" s="8" t="s">
        <v>975</v>
      </c>
      <c r="C2074" s="8" t="s">
        <v>694</v>
      </c>
      <c r="D2074" s="8" t="s">
        <v>976</v>
      </c>
      <c r="E2074" s="8" t="s">
        <v>179</v>
      </c>
      <c r="F2074" s="9">
        <v>4</v>
      </c>
      <c r="G2074" s="5">
        <f>TRUNC([1]단가대비표!O343,0)</f>
        <v>6920</v>
      </c>
      <c r="H2074" s="5">
        <f t="shared" si="189"/>
        <v>27680</v>
      </c>
      <c r="I2074" s="5">
        <v>0</v>
      </c>
      <c r="J2074" s="5">
        <f t="shared" si="190"/>
        <v>0</v>
      </c>
      <c r="K2074" s="5">
        <v>0</v>
      </c>
      <c r="L2074" s="5">
        <f t="shared" si="191"/>
        <v>0</v>
      </c>
      <c r="M2074" s="5">
        <f t="shared" si="192"/>
        <v>6920</v>
      </c>
      <c r="N2074" s="5">
        <f t="shared" si="192"/>
        <v>27680</v>
      </c>
      <c r="O2074" s="8" t="s">
        <v>20</v>
      </c>
      <c r="T2074">
        <v>0</v>
      </c>
      <c r="AC2074">
        <v>1</v>
      </c>
    </row>
    <row r="2075" spans="1:29" ht="30" customHeight="1" x14ac:dyDescent="0.3">
      <c r="A2075" s="8" t="s">
        <v>2201</v>
      </c>
      <c r="B2075" s="8" t="s">
        <v>979</v>
      </c>
      <c r="C2075" s="8" t="s">
        <v>694</v>
      </c>
      <c r="D2075" s="8" t="s">
        <v>980</v>
      </c>
      <c r="E2075" s="8" t="s">
        <v>179</v>
      </c>
      <c r="F2075" s="9">
        <v>10</v>
      </c>
      <c r="G2075" s="5">
        <f>TRUNC([1]단가대비표!O345,0)</f>
        <v>1770</v>
      </c>
      <c r="H2075" s="5">
        <f t="shared" si="189"/>
        <v>17700</v>
      </c>
      <c r="I2075" s="5">
        <v>0</v>
      </c>
      <c r="J2075" s="5">
        <f t="shared" si="190"/>
        <v>0</v>
      </c>
      <c r="K2075" s="5">
        <v>0</v>
      </c>
      <c r="L2075" s="5">
        <f t="shared" si="191"/>
        <v>0</v>
      </c>
      <c r="M2075" s="5">
        <f t="shared" si="192"/>
        <v>1770</v>
      </c>
      <c r="N2075" s="5">
        <f t="shared" si="192"/>
        <v>17700</v>
      </c>
      <c r="O2075" s="8" t="s">
        <v>20</v>
      </c>
      <c r="T2075">
        <v>0</v>
      </c>
      <c r="AC2075">
        <v>1</v>
      </c>
    </row>
    <row r="2076" spans="1:29" ht="30" customHeight="1" x14ac:dyDescent="0.3">
      <c r="A2076" s="8" t="s">
        <v>2201</v>
      </c>
      <c r="B2076" s="8" t="s">
        <v>981</v>
      </c>
      <c r="C2076" s="8" t="s">
        <v>694</v>
      </c>
      <c r="D2076" s="8" t="s">
        <v>982</v>
      </c>
      <c r="E2076" s="8" t="s">
        <v>179</v>
      </c>
      <c r="F2076" s="9">
        <v>5</v>
      </c>
      <c r="G2076" s="5">
        <f>TRUNC([1]단가대비표!O346,0)</f>
        <v>3140</v>
      </c>
      <c r="H2076" s="5">
        <f t="shared" si="189"/>
        <v>15700</v>
      </c>
      <c r="I2076" s="5">
        <v>0</v>
      </c>
      <c r="J2076" s="5">
        <f t="shared" si="190"/>
        <v>0</v>
      </c>
      <c r="K2076" s="5">
        <v>0</v>
      </c>
      <c r="L2076" s="5">
        <f t="shared" si="191"/>
        <v>0</v>
      </c>
      <c r="M2076" s="5">
        <f t="shared" si="192"/>
        <v>3140</v>
      </c>
      <c r="N2076" s="5">
        <f t="shared" si="192"/>
        <v>15700</v>
      </c>
      <c r="O2076" s="8" t="s">
        <v>20</v>
      </c>
      <c r="T2076">
        <v>0</v>
      </c>
      <c r="AC2076">
        <v>1</v>
      </c>
    </row>
    <row r="2077" spans="1:29" ht="30" customHeight="1" x14ac:dyDescent="0.3">
      <c r="A2077" s="8" t="s">
        <v>2201</v>
      </c>
      <c r="B2077" s="8" t="s">
        <v>983</v>
      </c>
      <c r="C2077" s="8" t="s">
        <v>694</v>
      </c>
      <c r="D2077" s="8" t="s">
        <v>984</v>
      </c>
      <c r="E2077" s="8" t="s">
        <v>179</v>
      </c>
      <c r="F2077" s="9">
        <v>14</v>
      </c>
      <c r="G2077" s="5">
        <f>TRUNC([1]단가대비표!O347,0)</f>
        <v>5240</v>
      </c>
      <c r="H2077" s="5">
        <f t="shared" si="189"/>
        <v>73360</v>
      </c>
      <c r="I2077" s="5">
        <v>0</v>
      </c>
      <c r="J2077" s="5">
        <f t="shared" si="190"/>
        <v>0</v>
      </c>
      <c r="K2077" s="5">
        <v>0</v>
      </c>
      <c r="L2077" s="5">
        <f t="shared" si="191"/>
        <v>0</v>
      </c>
      <c r="M2077" s="5">
        <f t="shared" si="192"/>
        <v>5240</v>
      </c>
      <c r="N2077" s="5">
        <f t="shared" si="192"/>
        <v>73360</v>
      </c>
      <c r="O2077" s="8" t="s">
        <v>20</v>
      </c>
      <c r="T2077">
        <v>0</v>
      </c>
      <c r="AC2077">
        <v>1</v>
      </c>
    </row>
    <row r="2078" spans="1:29" ht="30" customHeight="1" x14ac:dyDescent="0.3">
      <c r="A2078" s="8" t="s">
        <v>2201</v>
      </c>
      <c r="B2078" s="8" t="s">
        <v>987</v>
      </c>
      <c r="C2078" s="8" t="s">
        <v>694</v>
      </c>
      <c r="D2078" s="8" t="s">
        <v>988</v>
      </c>
      <c r="E2078" s="8" t="s">
        <v>179</v>
      </c>
      <c r="F2078" s="9">
        <v>4</v>
      </c>
      <c r="G2078" s="5">
        <f>TRUNC([1]단가대비표!O349,0)</f>
        <v>2920</v>
      </c>
      <c r="H2078" s="5">
        <f t="shared" si="189"/>
        <v>11680</v>
      </c>
      <c r="I2078" s="5">
        <v>0</v>
      </c>
      <c r="J2078" s="5">
        <f t="shared" si="190"/>
        <v>0</v>
      </c>
      <c r="K2078" s="5">
        <v>0</v>
      </c>
      <c r="L2078" s="5">
        <f t="shared" si="191"/>
        <v>0</v>
      </c>
      <c r="M2078" s="5">
        <f t="shared" si="192"/>
        <v>2920</v>
      </c>
      <c r="N2078" s="5">
        <f t="shared" si="192"/>
        <v>11680</v>
      </c>
      <c r="O2078" s="8" t="s">
        <v>20</v>
      </c>
      <c r="T2078">
        <v>0</v>
      </c>
      <c r="AC2078">
        <v>1</v>
      </c>
    </row>
    <row r="2079" spans="1:29" ht="30" customHeight="1" x14ac:dyDescent="0.3">
      <c r="A2079" s="8" t="s">
        <v>2201</v>
      </c>
      <c r="B2079" s="8" t="s">
        <v>989</v>
      </c>
      <c r="C2079" s="8" t="s">
        <v>694</v>
      </c>
      <c r="D2079" s="8" t="s">
        <v>990</v>
      </c>
      <c r="E2079" s="8" t="s">
        <v>179</v>
      </c>
      <c r="F2079" s="9">
        <v>2</v>
      </c>
      <c r="G2079" s="5">
        <f>TRUNC([1]단가대비표!O350,0)</f>
        <v>5040</v>
      </c>
      <c r="H2079" s="5">
        <f t="shared" si="189"/>
        <v>10080</v>
      </c>
      <c r="I2079" s="5">
        <v>0</v>
      </c>
      <c r="J2079" s="5">
        <f t="shared" si="190"/>
        <v>0</v>
      </c>
      <c r="K2079" s="5">
        <v>0</v>
      </c>
      <c r="L2079" s="5">
        <f t="shared" si="191"/>
        <v>0</v>
      </c>
      <c r="M2079" s="5">
        <f t="shared" si="192"/>
        <v>5040</v>
      </c>
      <c r="N2079" s="5">
        <f t="shared" si="192"/>
        <v>10080</v>
      </c>
      <c r="O2079" s="8" t="s">
        <v>20</v>
      </c>
      <c r="T2079">
        <v>0</v>
      </c>
      <c r="AC2079">
        <v>1</v>
      </c>
    </row>
    <row r="2080" spans="1:29" ht="30" customHeight="1" x14ac:dyDescent="0.3">
      <c r="A2080" s="8" t="s">
        <v>2201</v>
      </c>
      <c r="B2080" s="8" t="s">
        <v>991</v>
      </c>
      <c r="C2080" s="8" t="s">
        <v>694</v>
      </c>
      <c r="D2080" s="8" t="s">
        <v>992</v>
      </c>
      <c r="E2080" s="8" t="s">
        <v>179</v>
      </c>
      <c r="F2080" s="9">
        <v>2</v>
      </c>
      <c r="G2080" s="5">
        <f>TRUNC([1]단가대비표!O351,0)</f>
        <v>4780</v>
      </c>
      <c r="H2080" s="5">
        <f t="shared" si="189"/>
        <v>9560</v>
      </c>
      <c r="I2080" s="5">
        <v>0</v>
      </c>
      <c r="J2080" s="5">
        <f t="shared" si="190"/>
        <v>0</v>
      </c>
      <c r="K2080" s="5">
        <v>0</v>
      </c>
      <c r="L2080" s="5">
        <f t="shared" si="191"/>
        <v>0</v>
      </c>
      <c r="M2080" s="5">
        <f t="shared" si="192"/>
        <v>4780</v>
      </c>
      <c r="N2080" s="5">
        <f t="shared" si="192"/>
        <v>9560</v>
      </c>
      <c r="O2080" s="8" t="s">
        <v>20</v>
      </c>
      <c r="T2080">
        <v>0</v>
      </c>
      <c r="AC2080">
        <v>1</v>
      </c>
    </row>
    <row r="2081" spans="1:29" ht="30" customHeight="1" x14ac:dyDescent="0.3">
      <c r="A2081" s="8" t="s">
        <v>2201</v>
      </c>
      <c r="B2081" s="8" t="s">
        <v>993</v>
      </c>
      <c r="C2081" s="8" t="s">
        <v>694</v>
      </c>
      <c r="D2081" s="8" t="s">
        <v>994</v>
      </c>
      <c r="E2081" s="8" t="s">
        <v>179</v>
      </c>
      <c r="F2081" s="9">
        <v>2</v>
      </c>
      <c r="G2081" s="5">
        <f>TRUNC([1]단가대비표!O352,0)</f>
        <v>5780</v>
      </c>
      <c r="H2081" s="5">
        <f t="shared" si="189"/>
        <v>11560</v>
      </c>
      <c r="I2081" s="5">
        <v>0</v>
      </c>
      <c r="J2081" s="5">
        <f t="shared" si="190"/>
        <v>0</v>
      </c>
      <c r="K2081" s="5">
        <v>0</v>
      </c>
      <c r="L2081" s="5">
        <f t="shared" si="191"/>
        <v>0</v>
      </c>
      <c r="M2081" s="5">
        <f t="shared" si="192"/>
        <v>5780</v>
      </c>
      <c r="N2081" s="5">
        <f t="shared" si="192"/>
        <v>11560</v>
      </c>
      <c r="O2081" s="8" t="s">
        <v>20</v>
      </c>
      <c r="T2081">
        <v>0</v>
      </c>
      <c r="AC2081">
        <v>1</v>
      </c>
    </row>
    <row r="2082" spans="1:29" ht="30" customHeight="1" x14ac:dyDescent="0.3">
      <c r="A2082" s="8" t="s">
        <v>2201</v>
      </c>
      <c r="B2082" s="8" t="s">
        <v>2202</v>
      </c>
      <c r="C2082" s="8" t="s">
        <v>694</v>
      </c>
      <c r="D2082" s="8" t="s">
        <v>2203</v>
      </c>
      <c r="E2082" s="8" t="s">
        <v>179</v>
      </c>
      <c r="F2082" s="9">
        <v>9</v>
      </c>
      <c r="G2082" s="5">
        <f>TRUNC([1]단가대비표!O354,0)</f>
        <v>8300</v>
      </c>
      <c r="H2082" s="5">
        <f t="shared" si="189"/>
        <v>74700</v>
      </c>
      <c r="I2082" s="5">
        <v>0</v>
      </c>
      <c r="J2082" s="5">
        <f t="shared" si="190"/>
        <v>0</v>
      </c>
      <c r="K2082" s="5">
        <v>0</v>
      </c>
      <c r="L2082" s="5">
        <f t="shared" si="191"/>
        <v>0</v>
      </c>
      <c r="M2082" s="5">
        <f t="shared" si="192"/>
        <v>8300</v>
      </c>
      <c r="N2082" s="5">
        <f t="shared" si="192"/>
        <v>74700</v>
      </c>
      <c r="O2082" s="8" t="s">
        <v>20</v>
      </c>
      <c r="T2082">
        <v>0</v>
      </c>
      <c r="AC2082">
        <v>1</v>
      </c>
    </row>
    <row r="2083" spans="1:29" ht="30" customHeight="1" x14ac:dyDescent="0.3">
      <c r="A2083" s="8" t="s">
        <v>2201</v>
      </c>
      <c r="B2083" s="8" t="s">
        <v>1005</v>
      </c>
      <c r="C2083" s="8" t="s">
        <v>694</v>
      </c>
      <c r="D2083" s="8" t="s">
        <v>1006</v>
      </c>
      <c r="E2083" s="8" t="s">
        <v>179</v>
      </c>
      <c r="F2083" s="9">
        <v>6</v>
      </c>
      <c r="G2083" s="5">
        <f>TRUNC([1]단가대비표!O357,0)</f>
        <v>3210</v>
      </c>
      <c r="H2083" s="5">
        <f t="shared" si="189"/>
        <v>19260</v>
      </c>
      <c r="I2083" s="5">
        <v>0</v>
      </c>
      <c r="J2083" s="5">
        <f t="shared" si="190"/>
        <v>0</v>
      </c>
      <c r="K2083" s="5">
        <v>0</v>
      </c>
      <c r="L2083" s="5">
        <f t="shared" si="191"/>
        <v>0</v>
      </c>
      <c r="M2083" s="5">
        <f t="shared" si="192"/>
        <v>3210</v>
      </c>
      <c r="N2083" s="5">
        <f t="shared" si="192"/>
        <v>19260</v>
      </c>
      <c r="O2083" s="8" t="s">
        <v>20</v>
      </c>
      <c r="T2083">
        <v>0</v>
      </c>
      <c r="AC2083">
        <v>1</v>
      </c>
    </row>
    <row r="2084" spans="1:29" ht="30" customHeight="1" x14ac:dyDescent="0.3">
      <c r="A2084" s="8" t="s">
        <v>2201</v>
      </c>
      <c r="B2084" s="8" t="s">
        <v>1009</v>
      </c>
      <c r="C2084" s="8" t="s">
        <v>694</v>
      </c>
      <c r="D2084" s="8" t="s">
        <v>1010</v>
      </c>
      <c r="E2084" s="8" t="s">
        <v>179</v>
      </c>
      <c r="F2084" s="9">
        <v>3</v>
      </c>
      <c r="G2084" s="5">
        <f>TRUNC([1]단가대비표!O359,0)</f>
        <v>5750</v>
      </c>
      <c r="H2084" s="5">
        <f t="shared" si="189"/>
        <v>17250</v>
      </c>
      <c r="I2084" s="5">
        <v>0</v>
      </c>
      <c r="J2084" s="5">
        <f t="shared" si="190"/>
        <v>0</v>
      </c>
      <c r="K2084" s="5">
        <v>0</v>
      </c>
      <c r="L2084" s="5">
        <f t="shared" si="191"/>
        <v>0</v>
      </c>
      <c r="M2084" s="5">
        <f t="shared" si="192"/>
        <v>5750</v>
      </c>
      <c r="N2084" s="5">
        <f t="shared" si="192"/>
        <v>17250</v>
      </c>
      <c r="O2084" s="8" t="s">
        <v>20</v>
      </c>
      <c r="T2084">
        <v>0</v>
      </c>
      <c r="AC2084">
        <v>1</v>
      </c>
    </row>
    <row r="2085" spans="1:29" ht="30" customHeight="1" x14ac:dyDescent="0.3">
      <c r="A2085" s="8" t="s">
        <v>2201</v>
      </c>
      <c r="B2085" s="8" t="s">
        <v>1017</v>
      </c>
      <c r="C2085" s="8" t="s">
        <v>694</v>
      </c>
      <c r="D2085" s="8" t="s">
        <v>1018</v>
      </c>
      <c r="E2085" s="8" t="s">
        <v>179</v>
      </c>
      <c r="F2085" s="9">
        <v>7</v>
      </c>
      <c r="G2085" s="5">
        <f>TRUNC([1]단가대비표!O362,0)</f>
        <v>1980</v>
      </c>
      <c r="H2085" s="5">
        <f t="shared" si="189"/>
        <v>13860</v>
      </c>
      <c r="I2085" s="5">
        <v>0</v>
      </c>
      <c r="J2085" s="5">
        <f t="shared" si="190"/>
        <v>0</v>
      </c>
      <c r="K2085" s="5">
        <v>0</v>
      </c>
      <c r="L2085" s="5">
        <f t="shared" si="191"/>
        <v>0</v>
      </c>
      <c r="M2085" s="5">
        <f t="shared" si="192"/>
        <v>1980</v>
      </c>
      <c r="N2085" s="5">
        <f t="shared" si="192"/>
        <v>13860</v>
      </c>
      <c r="O2085" s="8" t="s">
        <v>20</v>
      </c>
      <c r="T2085">
        <v>0</v>
      </c>
      <c r="AC2085">
        <v>1</v>
      </c>
    </row>
    <row r="2086" spans="1:29" ht="30" customHeight="1" x14ac:dyDescent="0.3">
      <c r="A2086" s="8" t="s">
        <v>2201</v>
      </c>
      <c r="B2086" s="8" t="s">
        <v>1019</v>
      </c>
      <c r="C2086" s="8" t="s">
        <v>694</v>
      </c>
      <c r="D2086" s="8" t="s">
        <v>1020</v>
      </c>
      <c r="E2086" s="8" t="s">
        <v>179</v>
      </c>
      <c r="F2086" s="9">
        <v>2</v>
      </c>
      <c r="G2086" s="5">
        <f>TRUNC([1]단가대비표!O363,0)</f>
        <v>3870</v>
      </c>
      <c r="H2086" s="5">
        <f t="shared" si="189"/>
        <v>7740</v>
      </c>
      <c r="I2086" s="5">
        <v>0</v>
      </c>
      <c r="J2086" s="5">
        <f t="shared" si="190"/>
        <v>0</v>
      </c>
      <c r="K2086" s="5">
        <v>0</v>
      </c>
      <c r="L2086" s="5">
        <f t="shared" si="191"/>
        <v>0</v>
      </c>
      <c r="M2086" s="5">
        <f t="shared" si="192"/>
        <v>3870</v>
      </c>
      <c r="N2086" s="5">
        <f t="shared" si="192"/>
        <v>7740</v>
      </c>
      <c r="O2086" s="8" t="s">
        <v>20</v>
      </c>
      <c r="T2086">
        <v>0</v>
      </c>
      <c r="AC2086">
        <v>1</v>
      </c>
    </row>
    <row r="2087" spans="1:29" ht="30" customHeight="1" x14ac:dyDescent="0.3">
      <c r="A2087" s="8" t="s">
        <v>2201</v>
      </c>
      <c r="B2087" s="8" t="s">
        <v>1021</v>
      </c>
      <c r="C2087" s="8" t="s">
        <v>694</v>
      </c>
      <c r="D2087" s="8" t="s">
        <v>1022</v>
      </c>
      <c r="E2087" s="8" t="s">
        <v>179</v>
      </c>
      <c r="F2087" s="9">
        <v>2</v>
      </c>
      <c r="G2087" s="5">
        <f>TRUNC([1]단가대비표!O364,0)</f>
        <v>5130</v>
      </c>
      <c r="H2087" s="5">
        <f t="shared" si="189"/>
        <v>10260</v>
      </c>
      <c r="I2087" s="5">
        <v>0</v>
      </c>
      <c r="J2087" s="5">
        <f t="shared" si="190"/>
        <v>0</v>
      </c>
      <c r="K2087" s="5">
        <v>0</v>
      </c>
      <c r="L2087" s="5">
        <f t="shared" si="191"/>
        <v>0</v>
      </c>
      <c r="M2087" s="5">
        <f t="shared" si="192"/>
        <v>5130</v>
      </c>
      <c r="N2087" s="5">
        <f t="shared" si="192"/>
        <v>10260</v>
      </c>
      <c r="O2087" s="8" t="s">
        <v>20</v>
      </c>
      <c r="T2087">
        <v>0</v>
      </c>
      <c r="AC2087">
        <v>1</v>
      </c>
    </row>
    <row r="2088" spans="1:29" ht="30" customHeight="1" x14ac:dyDescent="0.3">
      <c r="A2088" s="8" t="s">
        <v>2201</v>
      </c>
      <c r="B2088" s="8" t="s">
        <v>1025</v>
      </c>
      <c r="C2088" s="8" t="s">
        <v>694</v>
      </c>
      <c r="D2088" s="8" t="s">
        <v>1026</v>
      </c>
      <c r="E2088" s="8" t="s">
        <v>179</v>
      </c>
      <c r="F2088" s="9">
        <v>2</v>
      </c>
      <c r="G2088" s="5">
        <f>TRUNC([1]단가대비표!O366,0)</f>
        <v>1740</v>
      </c>
      <c r="H2088" s="5">
        <f t="shared" si="189"/>
        <v>3480</v>
      </c>
      <c r="I2088" s="5">
        <v>0</v>
      </c>
      <c r="J2088" s="5">
        <f t="shared" si="190"/>
        <v>0</v>
      </c>
      <c r="K2088" s="5">
        <v>0</v>
      </c>
      <c r="L2088" s="5">
        <f t="shared" si="191"/>
        <v>0</v>
      </c>
      <c r="M2088" s="5">
        <f t="shared" si="192"/>
        <v>1740</v>
      </c>
      <c r="N2088" s="5">
        <f t="shared" si="192"/>
        <v>3480</v>
      </c>
      <c r="O2088" s="8" t="s">
        <v>20</v>
      </c>
      <c r="T2088">
        <v>0</v>
      </c>
      <c r="AC2088">
        <v>1</v>
      </c>
    </row>
    <row r="2089" spans="1:29" ht="30" customHeight="1" x14ac:dyDescent="0.3">
      <c r="A2089" s="8" t="s">
        <v>2201</v>
      </c>
      <c r="B2089" s="8" t="s">
        <v>1027</v>
      </c>
      <c r="C2089" s="8" t="s">
        <v>694</v>
      </c>
      <c r="D2089" s="8" t="s">
        <v>1028</v>
      </c>
      <c r="E2089" s="8" t="s">
        <v>179</v>
      </c>
      <c r="F2089" s="9">
        <v>2</v>
      </c>
      <c r="G2089" s="5">
        <f>TRUNC([1]단가대비표!O367,0)</f>
        <v>1880</v>
      </c>
      <c r="H2089" s="5">
        <f t="shared" si="189"/>
        <v>3760</v>
      </c>
      <c r="I2089" s="5">
        <v>0</v>
      </c>
      <c r="J2089" s="5">
        <f t="shared" si="190"/>
        <v>0</v>
      </c>
      <c r="K2089" s="5">
        <v>0</v>
      </c>
      <c r="L2089" s="5">
        <f t="shared" si="191"/>
        <v>0</v>
      </c>
      <c r="M2089" s="5">
        <f t="shared" si="192"/>
        <v>1880</v>
      </c>
      <c r="N2089" s="5">
        <f t="shared" si="192"/>
        <v>3760</v>
      </c>
      <c r="O2089" s="8" t="s">
        <v>20</v>
      </c>
      <c r="T2089">
        <v>0</v>
      </c>
      <c r="AC2089">
        <v>1</v>
      </c>
    </row>
    <row r="2090" spans="1:29" ht="30" customHeight="1" x14ac:dyDescent="0.3">
      <c r="A2090" s="8" t="s">
        <v>2201</v>
      </c>
      <c r="B2090" s="8" t="s">
        <v>1031</v>
      </c>
      <c r="C2090" s="8" t="s">
        <v>694</v>
      </c>
      <c r="D2090" s="8" t="s">
        <v>1032</v>
      </c>
      <c r="E2090" s="8" t="s">
        <v>179</v>
      </c>
      <c r="F2090" s="9">
        <v>2</v>
      </c>
      <c r="G2090" s="5">
        <f>TRUNC([1]단가대비표!O370,0)</f>
        <v>4810</v>
      </c>
      <c r="H2090" s="5">
        <f t="shared" si="189"/>
        <v>9620</v>
      </c>
      <c r="I2090" s="5">
        <v>0</v>
      </c>
      <c r="J2090" s="5">
        <f t="shared" si="190"/>
        <v>0</v>
      </c>
      <c r="K2090" s="5">
        <v>0</v>
      </c>
      <c r="L2090" s="5">
        <f t="shared" si="191"/>
        <v>0</v>
      </c>
      <c r="M2090" s="5">
        <f t="shared" si="192"/>
        <v>4810</v>
      </c>
      <c r="N2090" s="5">
        <f t="shared" si="192"/>
        <v>9620</v>
      </c>
      <c r="O2090" s="8" t="s">
        <v>20</v>
      </c>
      <c r="T2090">
        <v>0</v>
      </c>
      <c r="AC2090">
        <v>1</v>
      </c>
    </row>
    <row r="2091" spans="1:29" ht="30" customHeight="1" x14ac:dyDescent="0.3">
      <c r="A2091" s="8" t="s">
        <v>2201</v>
      </c>
      <c r="B2091" s="8" t="s">
        <v>1037</v>
      </c>
      <c r="C2091" s="8" t="s">
        <v>694</v>
      </c>
      <c r="D2091" s="8" t="s">
        <v>1038</v>
      </c>
      <c r="E2091" s="8" t="s">
        <v>179</v>
      </c>
      <c r="F2091" s="9">
        <v>2</v>
      </c>
      <c r="G2091" s="5">
        <f>TRUNC([1]단가대비표!O375,0)</f>
        <v>820</v>
      </c>
      <c r="H2091" s="5">
        <f t="shared" si="189"/>
        <v>1640</v>
      </c>
      <c r="I2091" s="5">
        <v>0</v>
      </c>
      <c r="J2091" s="5">
        <f t="shared" si="190"/>
        <v>0</v>
      </c>
      <c r="K2091" s="5">
        <v>0</v>
      </c>
      <c r="L2091" s="5">
        <f t="shared" si="191"/>
        <v>0</v>
      </c>
      <c r="M2091" s="5">
        <f t="shared" ref="M2091:N2112" si="193">G2091+I2091+K2091</f>
        <v>820</v>
      </c>
      <c r="N2091" s="5">
        <f t="shared" si="193"/>
        <v>1640</v>
      </c>
      <c r="O2091" s="8" t="s">
        <v>20</v>
      </c>
      <c r="T2091">
        <v>0</v>
      </c>
      <c r="AC2091">
        <v>1</v>
      </c>
    </row>
    <row r="2092" spans="1:29" ht="30" customHeight="1" x14ac:dyDescent="0.3">
      <c r="A2092" s="8" t="s">
        <v>2201</v>
      </c>
      <c r="B2092" s="8" t="s">
        <v>1039</v>
      </c>
      <c r="C2092" s="8" t="s">
        <v>694</v>
      </c>
      <c r="D2092" s="8" t="s">
        <v>1040</v>
      </c>
      <c r="E2092" s="8" t="s">
        <v>179</v>
      </c>
      <c r="F2092" s="9">
        <v>3</v>
      </c>
      <c r="G2092" s="5">
        <f>TRUNC([1]단가대비표!O376,0)</f>
        <v>1550</v>
      </c>
      <c r="H2092" s="5">
        <f t="shared" si="189"/>
        <v>4650</v>
      </c>
      <c r="I2092" s="5">
        <v>0</v>
      </c>
      <c r="J2092" s="5">
        <f t="shared" si="190"/>
        <v>0</v>
      </c>
      <c r="K2092" s="5">
        <v>0</v>
      </c>
      <c r="L2092" s="5">
        <f t="shared" si="191"/>
        <v>0</v>
      </c>
      <c r="M2092" s="5">
        <f t="shared" si="193"/>
        <v>1550</v>
      </c>
      <c r="N2092" s="5">
        <f t="shared" si="193"/>
        <v>4650</v>
      </c>
      <c r="O2092" s="8" t="s">
        <v>20</v>
      </c>
      <c r="T2092">
        <v>0</v>
      </c>
      <c r="AC2092">
        <v>1</v>
      </c>
    </row>
    <row r="2093" spans="1:29" ht="30" customHeight="1" x14ac:dyDescent="0.3">
      <c r="A2093" s="8" t="s">
        <v>2201</v>
      </c>
      <c r="B2093" s="8" t="s">
        <v>1041</v>
      </c>
      <c r="C2093" s="8" t="s">
        <v>694</v>
      </c>
      <c r="D2093" s="8" t="s">
        <v>1042</v>
      </c>
      <c r="E2093" s="8" t="s">
        <v>179</v>
      </c>
      <c r="F2093" s="9">
        <v>5</v>
      </c>
      <c r="G2093" s="5">
        <f>TRUNC([1]단가대비표!O377,0)</f>
        <v>2000</v>
      </c>
      <c r="H2093" s="5">
        <f t="shared" si="189"/>
        <v>10000</v>
      </c>
      <c r="I2093" s="5">
        <v>0</v>
      </c>
      <c r="J2093" s="5">
        <f t="shared" si="190"/>
        <v>0</v>
      </c>
      <c r="K2093" s="5">
        <v>0</v>
      </c>
      <c r="L2093" s="5">
        <f t="shared" si="191"/>
        <v>0</v>
      </c>
      <c r="M2093" s="5">
        <f t="shared" si="193"/>
        <v>2000</v>
      </c>
      <c r="N2093" s="5">
        <f t="shared" si="193"/>
        <v>10000</v>
      </c>
      <c r="O2093" s="8" t="s">
        <v>20</v>
      </c>
      <c r="T2093">
        <v>0</v>
      </c>
      <c r="AC2093">
        <v>1</v>
      </c>
    </row>
    <row r="2094" spans="1:29" ht="30" customHeight="1" x14ac:dyDescent="0.3">
      <c r="A2094" s="8" t="s">
        <v>2201</v>
      </c>
      <c r="B2094" s="8" t="s">
        <v>2204</v>
      </c>
      <c r="C2094" s="8" t="s">
        <v>694</v>
      </c>
      <c r="D2094" s="8" t="s">
        <v>2205</v>
      </c>
      <c r="E2094" s="8" t="s">
        <v>179</v>
      </c>
      <c r="F2094" s="9">
        <v>1</v>
      </c>
      <c r="G2094" s="5">
        <f>TRUNC([1]단가대비표!O402,0)</f>
        <v>952</v>
      </c>
      <c r="H2094" s="5">
        <f t="shared" si="189"/>
        <v>952</v>
      </c>
      <c r="I2094" s="5">
        <v>0</v>
      </c>
      <c r="J2094" s="5">
        <f t="shared" si="190"/>
        <v>0</v>
      </c>
      <c r="K2094" s="5">
        <v>0</v>
      </c>
      <c r="L2094" s="5">
        <f t="shared" si="191"/>
        <v>0</v>
      </c>
      <c r="M2094" s="5">
        <f t="shared" si="193"/>
        <v>952</v>
      </c>
      <c r="N2094" s="5">
        <f t="shared" si="193"/>
        <v>952</v>
      </c>
      <c r="O2094" s="8" t="s">
        <v>20</v>
      </c>
      <c r="T2094">
        <v>0</v>
      </c>
      <c r="AC2094">
        <v>1</v>
      </c>
    </row>
    <row r="2095" spans="1:29" ht="30" customHeight="1" x14ac:dyDescent="0.3">
      <c r="A2095" s="8" t="s">
        <v>2201</v>
      </c>
      <c r="B2095" s="8" t="s">
        <v>1056</v>
      </c>
      <c r="C2095" s="8" t="s">
        <v>1057</v>
      </c>
      <c r="D2095" s="8" t="s">
        <v>346</v>
      </c>
      <c r="E2095" s="8" t="s">
        <v>185</v>
      </c>
      <c r="F2095" s="9">
        <v>23</v>
      </c>
      <c r="G2095" s="5" t="e">
        <f>'[2].xls].xls].xls].xls].xls].xls].xls].'!E39</f>
        <v>#REF!</v>
      </c>
      <c r="H2095" s="5" t="e">
        <f t="shared" si="189"/>
        <v>#REF!</v>
      </c>
      <c r="I2095" s="5" t="e">
        <f>'[2].xls].xls].xls].xls].xls].xls].xls].'!F39</f>
        <v>#REF!</v>
      </c>
      <c r="J2095" s="5" t="e">
        <f t="shared" si="190"/>
        <v>#REF!</v>
      </c>
      <c r="K2095" s="5" t="e">
        <f>'[2].xls].xls].xls].xls].xls].xls].xls].'!G39</f>
        <v>#REF!</v>
      </c>
      <c r="L2095" s="5" t="e">
        <f t="shared" si="191"/>
        <v>#REF!</v>
      </c>
      <c r="M2095" s="5" t="e">
        <f t="shared" si="193"/>
        <v>#REF!</v>
      </c>
      <c r="N2095" s="5" t="e">
        <f t="shared" si="193"/>
        <v>#REF!</v>
      </c>
      <c r="O2095" s="8" t="s">
        <v>1056</v>
      </c>
      <c r="T2095">
        <v>0</v>
      </c>
      <c r="AC2095">
        <v>1</v>
      </c>
    </row>
    <row r="2096" spans="1:29" ht="30" customHeight="1" x14ac:dyDescent="0.3">
      <c r="A2096" s="8" t="s">
        <v>2201</v>
      </c>
      <c r="B2096" s="8" t="s">
        <v>1058</v>
      </c>
      <c r="C2096" s="8" t="s">
        <v>1057</v>
      </c>
      <c r="D2096" s="8" t="s">
        <v>447</v>
      </c>
      <c r="E2096" s="8" t="s">
        <v>185</v>
      </c>
      <c r="F2096" s="9">
        <v>5</v>
      </c>
      <c r="G2096" s="5" t="e">
        <f>'[2].xls].xls].xls].xls].xls].xls].xls].'!E40</f>
        <v>#REF!</v>
      </c>
      <c r="H2096" s="5" t="e">
        <f t="shared" si="189"/>
        <v>#REF!</v>
      </c>
      <c r="I2096" s="5" t="e">
        <f>'[2].xls].xls].xls].xls].xls].xls].xls].'!F40</f>
        <v>#REF!</v>
      </c>
      <c r="J2096" s="5" t="e">
        <f t="shared" si="190"/>
        <v>#REF!</v>
      </c>
      <c r="K2096" s="5" t="e">
        <f>'[2].xls].xls].xls].xls].xls].xls].xls].'!G40</f>
        <v>#REF!</v>
      </c>
      <c r="L2096" s="5" t="e">
        <f t="shared" si="191"/>
        <v>#REF!</v>
      </c>
      <c r="M2096" s="5" t="e">
        <f t="shared" si="193"/>
        <v>#REF!</v>
      </c>
      <c r="N2096" s="5" t="e">
        <f t="shared" si="193"/>
        <v>#REF!</v>
      </c>
      <c r="O2096" s="8" t="s">
        <v>1058</v>
      </c>
      <c r="T2096">
        <v>0</v>
      </c>
      <c r="AC2096">
        <v>1</v>
      </c>
    </row>
    <row r="2097" spans="1:29" ht="30" customHeight="1" x14ac:dyDescent="0.3">
      <c r="A2097" s="8" t="s">
        <v>2201</v>
      </c>
      <c r="B2097" s="8" t="s">
        <v>1059</v>
      </c>
      <c r="C2097" s="8" t="s">
        <v>1057</v>
      </c>
      <c r="D2097" s="8" t="s">
        <v>348</v>
      </c>
      <c r="E2097" s="8" t="s">
        <v>185</v>
      </c>
      <c r="F2097" s="9">
        <v>13</v>
      </c>
      <c r="G2097" s="5" t="e">
        <f>'[2].xls].xls].xls].xls].xls].xls].xls].'!E41</f>
        <v>#REF!</v>
      </c>
      <c r="H2097" s="5" t="e">
        <f t="shared" si="189"/>
        <v>#REF!</v>
      </c>
      <c r="I2097" s="5" t="e">
        <f>'[2].xls].xls].xls].xls].xls].xls].xls].'!F41</f>
        <v>#REF!</v>
      </c>
      <c r="J2097" s="5" t="e">
        <f t="shared" si="190"/>
        <v>#REF!</v>
      </c>
      <c r="K2097" s="5" t="e">
        <f>'[2].xls].xls].xls].xls].xls].xls].xls].'!G41</f>
        <v>#REF!</v>
      </c>
      <c r="L2097" s="5" t="e">
        <f t="shared" si="191"/>
        <v>#REF!</v>
      </c>
      <c r="M2097" s="5" t="e">
        <f t="shared" si="193"/>
        <v>#REF!</v>
      </c>
      <c r="N2097" s="5" t="e">
        <f t="shared" si="193"/>
        <v>#REF!</v>
      </c>
      <c r="O2097" s="8" t="s">
        <v>1059</v>
      </c>
      <c r="T2097">
        <v>0</v>
      </c>
      <c r="AC2097">
        <v>1</v>
      </c>
    </row>
    <row r="2098" spans="1:29" ht="30" customHeight="1" x14ac:dyDescent="0.3">
      <c r="A2098" s="8" t="s">
        <v>2201</v>
      </c>
      <c r="B2098" s="8" t="s">
        <v>1073</v>
      </c>
      <c r="C2098" s="8" t="s">
        <v>528</v>
      </c>
      <c r="D2098" s="8" t="s">
        <v>346</v>
      </c>
      <c r="E2098" s="8" t="s">
        <v>185</v>
      </c>
      <c r="F2098" s="9">
        <v>1</v>
      </c>
      <c r="G2098" s="5" t="e">
        <f>'[2].xls].xls].xls].xls].xls].xls].xls].'!E59</f>
        <v>#REF!</v>
      </c>
      <c r="H2098" s="5" t="e">
        <f t="shared" si="189"/>
        <v>#REF!</v>
      </c>
      <c r="I2098" s="5" t="e">
        <f>'[2].xls].xls].xls].xls].xls].xls].xls].'!F59</f>
        <v>#REF!</v>
      </c>
      <c r="J2098" s="5" t="e">
        <f t="shared" si="190"/>
        <v>#REF!</v>
      </c>
      <c r="K2098" s="5" t="e">
        <f>'[2].xls].xls].xls].xls].xls].xls].xls].'!G59</f>
        <v>#REF!</v>
      </c>
      <c r="L2098" s="5" t="e">
        <f t="shared" si="191"/>
        <v>#REF!</v>
      </c>
      <c r="M2098" s="5" t="e">
        <f t="shared" si="193"/>
        <v>#REF!</v>
      </c>
      <c r="N2098" s="5" t="e">
        <f t="shared" si="193"/>
        <v>#REF!</v>
      </c>
      <c r="O2098" s="8" t="s">
        <v>1073</v>
      </c>
      <c r="T2098">
        <v>0</v>
      </c>
      <c r="AC2098">
        <v>1</v>
      </c>
    </row>
    <row r="2099" spans="1:29" ht="30" customHeight="1" x14ac:dyDescent="0.3">
      <c r="A2099" s="8" t="s">
        <v>2201</v>
      </c>
      <c r="B2099" s="8" t="s">
        <v>527</v>
      </c>
      <c r="C2099" s="8" t="s">
        <v>528</v>
      </c>
      <c r="D2099" s="8" t="s">
        <v>447</v>
      </c>
      <c r="E2099" s="8" t="s">
        <v>185</v>
      </c>
      <c r="F2099" s="9">
        <v>1</v>
      </c>
      <c r="G2099" s="5" t="e">
        <f>'[2].xls].xls].xls].xls].xls].xls].xls].'!E60</f>
        <v>#REF!</v>
      </c>
      <c r="H2099" s="5" t="e">
        <f t="shared" si="189"/>
        <v>#REF!</v>
      </c>
      <c r="I2099" s="5" t="e">
        <f>'[2].xls].xls].xls].xls].xls].xls].xls].'!F60</f>
        <v>#REF!</v>
      </c>
      <c r="J2099" s="5" t="e">
        <f t="shared" si="190"/>
        <v>#REF!</v>
      </c>
      <c r="K2099" s="5" t="e">
        <f>'[2].xls].xls].xls].xls].xls].xls].xls].'!G60</f>
        <v>#REF!</v>
      </c>
      <c r="L2099" s="5" t="e">
        <f t="shared" si="191"/>
        <v>#REF!</v>
      </c>
      <c r="M2099" s="5" t="e">
        <f t="shared" si="193"/>
        <v>#REF!</v>
      </c>
      <c r="N2099" s="5" t="e">
        <f t="shared" si="193"/>
        <v>#REF!</v>
      </c>
      <c r="O2099" s="8" t="s">
        <v>527</v>
      </c>
      <c r="T2099">
        <v>0</v>
      </c>
      <c r="AC2099">
        <v>1</v>
      </c>
    </row>
    <row r="2100" spans="1:29" ht="30" customHeight="1" x14ac:dyDescent="0.3">
      <c r="A2100" s="8" t="s">
        <v>2201</v>
      </c>
      <c r="B2100" s="8" t="s">
        <v>1074</v>
      </c>
      <c r="C2100" s="8" t="s">
        <v>528</v>
      </c>
      <c r="D2100" s="8" t="s">
        <v>348</v>
      </c>
      <c r="E2100" s="8" t="s">
        <v>185</v>
      </c>
      <c r="F2100" s="9">
        <v>1</v>
      </c>
      <c r="G2100" s="5" t="e">
        <f>'[2].xls].xls].xls].xls].xls].xls].xls].'!E61</f>
        <v>#REF!</v>
      </c>
      <c r="H2100" s="5" t="e">
        <f t="shared" si="189"/>
        <v>#REF!</v>
      </c>
      <c r="I2100" s="5" t="e">
        <f>'[2].xls].xls].xls].xls].xls].xls].xls].'!F61</f>
        <v>#REF!</v>
      </c>
      <c r="J2100" s="5" t="e">
        <f t="shared" si="190"/>
        <v>#REF!</v>
      </c>
      <c r="K2100" s="5" t="e">
        <f>'[2].xls].xls].xls].xls].xls].xls].xls].'!G61</f>
        <v>#REF!</v>
      </c>
      <c r="L2100" s="5" t="e">
        <f t="shared" si="191"/>
        <v>#REF!</v>
      </c>
      <c r="M2100" s="5" t="e">
        <f t="shared" si="193"/>
        <v>#REF!</v>
      </c>
      <c r="N2100" s="5" t="e">
        <f t="shared" si="193"/>
        <v>#REF!</v>
      </c>
      <c r="O2100" s="8" t="s">
        <v>1074</v>
      </c>
      <c r="T2100">
        <v>0</v>
      </c>
      <c r="AC2100">
        <v>1</v>
      </c>
    </row>
    <row r="2101" spans="1:29" ht="30" customHeight="1" x14ac:dyDescent="0.3">
      <c r="A2101" s="8" t="s">
        <v>2201</v>
      </c>
      <c r="B2101" s="8" t="s">
        <v>1081</v>
      </c>
      <c r="C2101" s="8" t="s">
        <v>1082</v>
      </c>
      <c r="D2101" s="8" t="s">
        <v>346</v>
      </c>
      <c r="E2101" s="8" t="s">
        <v>185</v>
      </c>
      <c r="F2101" s="9">
        <v>1</v>
      </c>
      <c r="G2101" s="5">
        <f>TRUNC([1]단가대비표!O649,0)</f>
        <v>15689</v>
      </c>
      <c r="H2101" s="5">
        <f t="shared" si="189"/>
        <v>15689</v>
      </c>
      <c r="I2101" s="5">
        <v>0</v>
      </c>
      <c r="J2101" s="5">
        <f t="shared" si="190"/>
        <v>0</v>
      </c>
      <c r="K2101" s="5">
        <v>0</v>
      </c>
      <c r="L2101" s="5">
        <f t="shared" si="191"/>
        <v>0</v>
      </c>
      <c r="M2101" s="5">
        <f t="shared" si="193"/>
        <v>15689</v>
      </c>
      <c r="N2101" s="5">
        <f t="shared" si="193"/>
        <v>15689</v>
      </c>
      <c r="O2101" s="8" t="s">
        <v>20</v>
      </c>
      <c r="T2101">
        <v>0</v>
      </c>
      <c r="AC2101">
        <v>1</v>
      </c>
    </row>
    <row r="2102" spans="1:29" ht="30" customHeight="1" x14ac:dyDescent="0.3">
      <c r="A2102" s="8" t="s">
        <v>2201</v>
      </c>
      <c r="B2102" s="8" t="s">
        <v>1083</v>
      </c>
      <c r="C2102" s="8" t="s">
        <v>1082</v>
      </c>
      <c r="D2102" s="8" t="s">
        <v>187</v>
      </c>
      <c r="E2102" s="8" t="s">
        <v>185</v>
      </c>
      <c r="F2102" s="9">
        <v>1</v>
      </c>
      <c r="G2102" s="5">
        <f>TRUNC([1]단가대비표!O650,0)</f>
        <v>28614</v>
      </c>
      <c r="H2102" s="5">
        <f t="shared" si="189"/>
        <v>28614</v>
      </c>
      <c r="I2102" s="5">
        <v>0</v>
      </c>
      <c r="J2102" s="5">
        <f t="shared" si="190"/>
        <v>0</v>
      </c>
      <c r="K2102" s="5">
        <v>0</v>
      </c>
      <c r="L2102" s="5">
        <f t="shared" si="191"/>
        <v>0</v>
      </c>
      <c r="M2102" s="5">
        <f t="shared" si="193"/>
        <v>28614</v>
      </c>
      <c r="N2102" s="5">
        <f t="shared" si="193"/>
        <v>28614</v>
      </c>
      <c r="O2102" s="8" t="s">
        <v>20</v>
      </c>
      <c r="T2102">
        <v>0</v>
      </c>
      <c r="AC2102">
        <v>1</v>
      </c>
    </row>
    <row r="2103" spans="1:29" ht="30" customHeight="1" x14ac:dyDescent="0.3">
      <c r="A2103" s="8" t="s">
        <v>2201</v>
      </c>
      <c r="B2103" s="8" t="s">
        <v>1084</v>
      </c>
      <c r="C2103" s="8" t="s">
        <v>1082</v>
      </c>
      <c r="D2103" s="8" t="s">
        <v>348</v>
      </c>
      <c r="E2103" s="8" t="s">
        <v>185</v>
      </c>
      <c r="F2103" s="9">
        <v>1</v>
      </c>
      <c r="G2103" s="5">
        <f>TRUNC([1]단가대비표!O651,0)</f>
        <v>32530</v>
      </c>
      <c r="H2103" s="5">
        <f t="shared" si="189"/>
        <v>32530</v>
      </c>
      <c r="I2103" s="5">
        <v>0</v>
      </c>
      <c r="J2103" s="5">
        <f t="shared" si="190"/>
        <v>0</v>
      </c>
      <c r="K2103" s="5">
        <v>0</v>
      </c>
      <c r="L2103" s="5">
        <f t="shared" si="191"/>
        <v>0</v>
      </c>
      <c r="M2103" s="5">
        <f t="shared" si="193"/>
        <v>32530</v>
      </c>
      <c r="N2103" s="5">
        <f t="shared" si="193"/>
        <v>32530</v>
      </c>
      <c r="O2103" s="8" t="s">
        <v>20</v>
      </c>
      <c r="T2103">
        <v>0</v>
      </c>
      <c r="AC2103">
        <v>1</v>
      </c>
    </row>
    <row r="2104" spans="1:29" ht="30" customHeight="1" x14ac:dyDescent="0.3">
      <c r="A2104" s="8" t="s">
        <v>2201</v>
      </c>
      <c r="B2104" s="8" t="s">
        <v>698</v>
      </c>
      <c r="C2104" s="8" t="s">
        <v>694</v>
      </c>
      <c r="D2104" s="8" t="s">
        <v>699</v>
      </c>
      <c r="E2104" s="8" t="s">
        <v>179</v>
      </c>
      <c r="F2104" s="9">
        <v>1</v>
      </c>
      <c r="G2104" s="5">
        <f>TRUNC([1]단가대비표!O393,0)</f>
        <v>840</v>
      </c>
      <c r="H2104" s="5">
        <f t="shared" si="189"/>
        <v>840</v>
      </c>
      <c r="I2104" s="5">
        <v>0</v>
      </c>
      <c r="J2104" s="5">
        <f t="shared" si="190"/>
        <v>0</v>
      </c>
      <c r="K2104" s="5">
        <v>0</v>
      </c>
      <c r="L2104" s="5">
        <f t="shared" si="191"/>
        <v>0</v>
      </c>
      <c r="M2104" s="5">
        <f t="shared" si="193"/>
        <v>840</v>
      </c>
      <c r="N2104" s="5">
        <f t="shared" si="193"/>
        <v>840</v>
      </c>
      <c r="O2104" s="8" t="s">
        <v>20</v>
      </c>
      <c r="T2104">
        <v>0</v>
      </c>
      <c r="AC2104">
        <v>1</v>
      </c>
    </row>
    <row r="2105" spans="1:29" ht="30" customHeight="1" x14ac:dyDescent="0.3">
      <c r="A2105" s="8" t="s">
        <v>2201</v>
      </c>
      <c r="B2105" s="8" t="s">
        <v>700</v>
      </c>
      <c r="C2105" s="8" t="s">
        <v>694</v>
      </c>
      <c r="D2105" s="8" t="s">
        <v>701</v>
      </c>
      <c r="E2105" s="8" t="s">
        <v>179</v>
      </c>
      <c r="F2105" s="9">
        <v>1</v>
      </c>
      <c r="G2105" s="5">
        <f>TRUNC([1]단가대비표!O394,0)</f>
        <v>1400</v>
      </c>
      <c r="H2105" s="5">
        <f t="shared" si="189"/>
        <v>1400</v>
      </c>
      <c r="I2105" s="5">
        <v>0</v>
      </c>
      <c r="J2105" s="5">
        <f t="shared" si="190"/>
        <v>0</v>
      </c>
      <c r="K2105" s="5">
        <v>0</v>
      </c>
      <c r="L2105" s="5">
        <f t="shared" si="191"/>
        <v>0</v>
      </c>
      <c r="M2105" s="5">
        <f t="shared" si="193"/>
        <v>1400</v>
      </c>
      <c r="N2105" s="5">
        <f t="shared" si="193"/>
        <v>1400</v>
      </c>
      <c r="O2105" s="8" t="s">
        <v>20</v>
      </c>
      <c r="T2105">
        <v>0</v>
      </c>
      <c r="AC2105">
        <v>1</v>
      </c>
    </row>
    <row r="2106" spans="1:29" ht="30" customHeight="1" x14ac:dyDescent="0.3">
      <c r="A2106" s="8" t="s">
        <v>2201</v>
      </c>
      <c r="B2106" s="8" t="s">
        <v>702</v>
      </c>
      <c r="C2106" s="8" t="s">
        <v>694</v>
      </c>
      <c r="D2106" s="8" t="s">
        <v>703</v>
      </c>
      <c r="E2106" s="8" t="s">
        <v>179</v>
      </c>
      <c r="F2106" s="9">
        <v>1</v>
      </c>
      <c r="G2106" s="5">
        <f>TRUNC([1]단가대비표!O395,0)</f>
        <v>1400</v>
      </c>
      <c r="H2106" s="5">
        <f t="shared" si="189"/>
        <v>1400</v>
      </c>
      <c r="I2106" s="5">
        <v>0</v>
      </c>
      <c r="J2106" s="5">
        <f t="shared" si="190"/>
        <v>0</v>
      </c>
      <c r="K2106" s="5">
        <v>0</v>
      </c>
      <c r="L2106" s="5">
        <f t="shared" si="191"/>
        <v>0</v>
      </c>
      <c r="M2106" s="5">
        <f t="shared" si="193"/>
        <v>1400</v>
      </c>
      <c r="N2106" s="5">
        <f t="shared" si="193"/>
        <v>1400</v>
      </c>
      <c r="O2106" s="8" t="s">
        <v>20</v>
      </c>
      <c r="T2106">
        <v>0</v>
      </c>
      <c r="AC2106">
        <v>1</v>
      </c>
    </row>
    <row r="2107" spans="1:29" ht="30" customHeight="1" x14ac:dyDescent="0.3">
      <c r="A2107" s="8" t="s">
        <v>2201</v>
      </c>
      <c r="B2107" s="8" t="s">
        <v>1099</v>
      </c>
      <c r="C2107" s="8" t="s">
        <v>694</v>
      </c>
      <c r="D2107" s="8" t="s">
        <v>1100</v>
      </c>
      <c r="E2107" s="8" t="s">
        <v>179</v>
      </c>
      <c r="F2107" s="9">
        <v>2</v>
      </c>
      <c r="G2107" s="5">
        <f>TRUNC([1]단가대비표!O406,0)</f>
        <v>700</v>
      </c>
      <c r="H2107" s="5">
        <f t="shared" si="189"/>
        <v>1400</v>
      </c>
      <c r="I2107" s="5">
        <v>0</v>
      </c>
      <c r="J2107" s="5">
        <f t="shared" si="190"/>
        <v>0</v>
      </c>
      <c r="K2107" s="5">
        <v>0</v>
      </c>
      <c r="L2107" s="5">
        <f t="shared" si="191"/>
        <v>0</v>
      </c>
      <c r="M2107" s="5">
        <f t="shared" si="193"/>
        <v>700</v>
      </c>
      <c r="N2107" s="5">
        <f t="shared" si="193"/>
        <v>1400</v>
      </c>
      <c r="O2107" s="8" t="s">
        <v>20</v>
      </c>
      <c r="T2107">
        <v>0</v>
      </c>
      <c r="AC2107">
        <v>1</v>
      </c>
    </row>
    <row r="2108" spans="1:29" ht="30" customHeight="1" x14ac:dyDescent="0.3">
      <c r="A2108" s="8" t="s">
        <v>2201</v>
      </c>
      <c r="B2108" s="8" t="s">
        <v>1101</v>
      </c>
      <c r="C2108" s="8" t="s">
        <v>694</v>
      </c>
      <c r="D2108" s="8" t="s">
        <v>1102</v>
      </c>
      <c r="E2108" s="8" t="s">
        <v>179</v>
      </c>
      <c r="F2108" s="9">
        <v>2</v>
      </c>
      <c r="G2108" s="5">
        <f>TRUNC([1]단가대비표!O407,0)</f>
        <v>770</v>
      </c>
      <c r="H2108" s="5">
        <f t="shared" si="189"/>
        <v>1540</v>
      </c>
      <c r="I2108" s="5">
        <v>0</v>
      </c>
      <c r="J2108" s="5">
        <f t="shared" si="190"/>
        <v>0</v>
      </c>
      <c r="K2108" s="5">
        <v>0</v>
      </c>
      <c r="L2108" s="5">
        <f t="shared" si="191"/>
        <v>0</v>
      </c>
      <c r="M2108" s="5">
        <f t="shared" si="193"/>
        <v>770</v>
      </c>
      <c r="N2108" s="5">
        <f t="shared" si="193"/>
        <v>1540</v>
      </c>
      <c r="O2108" s="8" t="s">
        <v>20</v>
      </c>
      <c r="T2108">
        <v>0</v>
      </c>
      <c r="AC2108">
        <v>1</v>
      </c>
    </row>
    <row r="2109" spans="1:29" ht="30" customHeight="1" x14ac:dyDescent="0.3">
      <c r="A2109" s="8" t="s">
        <v>2201</v>
      </c>
      <c r="B2109" s="8" t="s">
        <v>1103</v>
      </c>
      <c r="C2109" s="8" t="s">
        <v>694</v>
      </c>
      <c r="D2109" s="8" t="s">
        <v>1104</v>
      </c>
      <c r="E2109" s="8" t="s">
        <v>179</v>
      </c>
      <c r="F2109" s="9">
        <v>4</v>
      </c>
      <c r="G2109" s="5">
        <f>TRUNC([1]단가대비표!O408,0)</f>
        <v>1400</v>
      </c>
      <c r="H2109" s="5">
        <f t="shared" si="189"/>
        <v>5600</v>
      </c>
      <c r="I2109" s="5">
        <v>0</v>
      </c>
      <c r="J2109" s="5">
        <f t="shared" si="190"/>
        <v>0</v>
      </c>
      <c r="K2109" s="5">
        <v>0</v>
      </c>
      <c r="L2109" s="5">
        <f t="shared" si="191"/>
        <v>0</v>
      </c>
      <c r="M2109" s="5">
        <f t="shared" si="193"/>
        <v>1400</v>
      </c>
      <c r="N2109" s="5">
        <f t="shared" si="193"/>
        <v>5600</v>
      </c>
      <c r="O2109" s="8" t="s">
        <v>20</v>
      </c>
      <c r="T2109">
        <v>0</v>
      </c>
      <c r="AC2109">
        <v>1</v>
      </c>
    </row>
    <row r="2110" spans="1:29" ht="30" customHeight="1" x14ac:dyDescent="0.3">
      <c r="A2110" s="8" t="s">
        <v>2201</v>
      </c>
      <c r="B2110" s="8" t="s">
        <v>152</v>
      </c>
      <c r="C2110" s="8" t="s">
        <v>153</v>
      </c>
      <c r="D2110" s="8" t="s">
        <v>154</v>
      </c>
      <c r="E2110" s="8" t="s">
        <v>155</v>
      </c>
      <c r="F2110" s="9">
        <v>1</v>
      </c>
      <c r="G2110" s="5">
        <v>0</v>
      </c>
      <c r="H2110" s="5">
        <f t="shared" si="189"/>
        <v>0</v>
      </c>
      <c r="I2110" s="5">
        <f>TRUNC([1]단가대비표!O671,0)</f>
        <v>157068</v>
      </c>
      <c r="J2110" s="5">
        <f t="shared" si="190"/>
        <v>157068</v>
      </c>
      <c r="K2110" s="5">
        <v>0</v>
      </c>
      <c r="L2110" s="5">
        <f t="shared" si="191"/>
        <v>0</v>
      </c>
      <c r="M2110" s="5">
        <f t="shared" si="193"/>
        <v>157068</v>
      </c>
      <c r="N2110" s="5">
        <f t="shared" si="193"/>
        <v>157068</v>
      </c>
      <c r="O2110" s="8" t="s">
        <v>20</v>
      </c>
      <c r="T2110">
        <v>0</v>
      </c>
      <c r="W2110">
        <v>3</v>
      </c>
      <c r="AC2110">
        <v>1</v>
      </c>
    </row>
    <row r="2111" spans="1:29" ht="30" customHeight="1" x14ac:dyDescent="0.3">
      <c r="A2111" s="8" t="s">
        <v>2201</v>
      </c>
      <c r="B2111" s="8" t="s">
        <v>553</v>
      </c>
      <c r="C2111" s="8" t="s">
        <v>153</v>
      </c>
      <c r="D2111" s="8" t="s">
        <v>554</v>
      </c>
      <c r="E2111" s="8" t="s">
        <v>155</v>
      </c>
      <c r="F2111" s="9">
        <v>1</v>
      </c>
      <c r="G2111" s="5">
        <v>0</v>
      </c>
      <c r="H2111" s="5">
        <f t="shared" si="189"/>
        <v>0</v>
      </c>
      <c r="I2111" s="5">
        <f>TRUNC([1]단가대비표!O668,0)</f>
        <v>214118</v>
      </c>
      <c r="J2111" s="5">
        <f t="shared" si="190"/>
        <v>214118</v>
      </c>
      <c r="K2111" s="5">
        <v>0</v>
      </c>
      <c r="L2111" s="5">
        <f t="shared" si="191"/>
        <v>0</v>
      </c>
      <c r="M2111" s="5">
        <f t="shared" si="193"/>
        <v>214118</v>
      </c>
      <c r="N2111" s="5">
        <f t="shared" si="193"/>
        <v>214118</v>
      </c>
      <c r="O2111" s="8" t="s">
        <v>20</v>
      </c>
      <c r="T2111">
        <v>0</v>
      </c>
      <c r="W2111">
        <v>3</v>
      </c>
      <c r="AC2111">
        <v>1</v>
      </c>
    </row>
    <row r="2112" spans="1:29" ht="30" customHeight="1" x14ac:dyDescent="0.3">
      <c r="A2112" s="8" t="s">
        <v>2201</v>
      </c>
      <c r="B2112" s="8" t="s">
        <v>158</v>
      </c>
      <c r="C2112" s="8" t="s">
        <v>159</v>
      </c>
      <c r="D2112" s="8" t="s">
        <v>160</v>
      </c>
      <c r="E2112" s="8" t="s">
        <v>161</v>
      </c>
      <c r="F2112" s="9">
        <v>1</v>
      </c>
      <c r="G2112" s="5">
        <f>ROUNDDOWN(SUMIF(W2059:W2112, RIGHTB(B2112, 1), J2059:J2112)*T2112, 0)</f>
        <v>7423</v>
      </c>
      <c r="H2112" s="5">
        <f t="shared" si="189"/>
        <v>7423</v>
      </c>
      <c r="I2112" s="5">
        <v>0</v>
      </c>
      <c r="J2112" s="5">
        <f t="shared" si="190"/>
        <v>0</v>
      </c>
      <c r="K2112" s="5">
        <v>0</v>
      </c>
      <c r="L2112" s="5">
        <f t="shared" si="191"/>
        <v>0</v>
      </c>
      <c r="M2112" s="5">
        <f t="shared" si="193"/>
        <v>7423</v>
      </c>
      <c r="N2112" s="5">
        <f t="shared" si="193"/>
        <v>7423</v>
      </c>
      <c r="O2112" s="8" t="s">
        <v>20</v>
      </c>
      <c r="P2112">
        <v>2112</v>
      </c>
      <c r="R2112">
        <v>1</v>
      </c>
      <c r="S2112">
        <v>0</v>
      </c>
      <c r="T2112">
        <v>0.02</v>
      </c>
      <c r="AC2112">
        <v>1</v>
      </c>
    </row>
    <row r="2113" spans="1:15" ht="30" customHeight="1" x14ac:dyDescent="0.3">
      <c r="A2113" s="5"/>
      <c r="B2113" s="5"/>
      <c r="C2113" s="5"/>
      <c r="D2113" s="5"/>
      <c r="E2113" s="5"/>
      <c r="F2113" s="9"/>
      <c r="G2113" s="5"/>
      <c r="H2113" s="5"/>
      <c r="I2113" s="5"/>
      <c r="J2113" s="5"/>
      <c r="K2113" s="5"/>
      <c r="L2113" s="5"/>
      <c r="M2113" s="5"/>
      <c r="N2113" s="5"/>
      <c r="O2113" s="5"/>
    </row>
    <row r="2114" spans="1:15" ht="30" customHeight="1" x14ac:dyDescent="0.3">
      <c r="A2114" s="5"/>
      <c r="B2114" s="5"/>
      <c r="C2114" s="5"/>
      <c r="D2114" s="5"/>
      <c r="E2114" s="5"/>
      <c r="F2114" s="9"/>
      <c r="G2114" s="5"/>
      <c r="H2114" s="5"/>
      <c r="I2114" s="5"/>
      <c r="J2114" s="5"/>
      <c r="K2114" s="5"/>
      <c r="L2114" s="5"/>
      <c r="M2114" s="5"/>
      <c r="N2114" s="5"/>
      <c r="O2114" s="5"/>
    </row>
    <row r="2115" spans="1:15" ht="30" customHeight="1" x14ac:dyDescent="0.3">
      <c r="A2115" s="5"/>
      <c r="B2115" s="5"/>
      <c r="C2115" s="5"/>
      <c r="D2115" s="5"/>
      <c r="E2115" s="5"/>
      <c r="F2115" s="9"/>
      <c r="G2115" s="5"/>
      <c r="H2115" s="5"/>
      <c r="I2115" s="5"/>
      <c r="J2115" s="5"/>
      <c r="K2115" s="5"/>
      <c r="L2115" s="5"/>
      <c r="M2115" s="5"/>
      <c r="N2115" s="5"/>
      <c r="O2115" s="5"/>
    </row>
    <row r="2116" spans="1:15" ht="30" customHeight="1" x14ac:dyDescent="0.3">
      <c r="A2116" s="5"/>
      <c r="B2116" s="5"/>
      <c r="C2116" s="5"/>
      <c r="D2116" s="5"/>
      <c r="E2116" s="5"/>
      <c r="F2116" s="9"/>
      <c r="G2116" s="5"/>
      <c r="H2116" s="5"/>
      <c r="I2116" s="5"/>
      <c r="J2116" s="5"/>
      <c r="K2116" s="5"/>
      <c r="L2116" s="5"/>
      <c r="M2116" s="5"/>
      <c r="N2116" s="5"/>
      <c r="O2116" s="5"/>
    </row>
    <row r="2117" spans="1:15" ht="30" customHeight="1" x14ac:dyDescent="0.3">
      <c r="A2117" s="5"/>
      <c r="B2117" s="5"/>
      <c r="C2117" s="5"/>
      <c r="D2117" s="5"/>
      <c r="E2117" s="5"/>
      <c r="F2117" s="9"/>
      <c r="G2117" s="5"/>
      <c r="H2117" s="5"/>
      <c r="I2117" s="5"/>
      <c r="J2117" s="5"/>
      <c r="K2117" s="5"/>
      <c r="L2117" s="5"/>
      <c r="M2117" s="5"/>
      <c r="N2117" s="5"/>
      <c r="O2117" s="5"/>
    </row>
    <row r="2118" spans="1:15" ht="30" customHeight="1" x14ac:dyDescent="0.3">
      <c r="A2118" s="5"/>
      <c r="B2118" s="5"/>
      <c r="C2118" s="5"/>
      <c r="D2118" s="5"/>
      <c r="E2118" s="5"/>
      <c r="F2118" s="9"/>
      <c r="G2118" s="5"/>
      <c r="H2118" s="5"/>
      <c r="I2118" s="5"/>
      <c r="J2118" s="5"/>
      <c r="K2118" s="5"/>
      <c r="L2118" s="5"/>
      <c r="M2118" s="5"/>
      <c r="N2118" s="5"/>
      <c r="O2118" s="5"/>
    </row>
    <row r="2119" spans="1:15" ht="30" customHeight="1" x14ac:dyDescent="0.3">
      <c r="A2119" s="5"/>
      <c r="B2119" s="5"/>
      <c r="C2119" s="5"/>
      <c r="D2119" s="5"/>
      <c r="E2119" s="5"/>
      <c r="F2119" s="9"/>
      <c r="G2119" s="5"/>
      <c r="H2119" s="5"/>
      <c r="I2119" s="5"/>
      <c r="J2119" s="5"/>
      <c r="K2119" s="5"/>
      <c r="L2119" s="5"/>
      <c r="M2119" s="5"/>
      <c r="N2119" s="5"/>
      <c r="O2119" s="5"/>
    </row>
    <row r="2120" spans="1:15" ht="30" customHeight="1" x14ac:dyDescent="0.3">
      <c r="A2120" s="5"/>
      <c r="B2120" s="5"/>
      <c r="C2120" s="5"/>
      <c r="D2120" s="5"/>
      <c r="E2120" s="5"/>
      <c r="F2120" s="9"/>
      <c r="G2120" s="5"/>
      <c r="H2120" s="5"/>
      <c r="I2120" s="5"/>
      <c r="J2120" s="5"/>
      <c r="K2120" s="5"/>
      <c r="L2120" s="5"/>
      <c r="M2120" s="5"/>
      <c r="N2120" s="5"/>
      <c r="O2120" s="5"/>
    </row>
    <row r="2121" spans="1:15" ht="30" customHeight="1" x14ac:dyDescent="0.3">
      <c r="A2121" s="5"/>
      <c r="B2121" s="5"/>
      <c r="C2121" s="5"/>
      <c r="D2121" s="5"/>
      <c r="E2121" s="5"/>
      <c r="F2121" s="9"/>
      <c r="G2121" s="5"/>
      <c r="H2121" s="5"/>
      <c r="I2121" s="5"/>
      <c r="J2121" s="5"/>
      <c r="K2121" s="5"/>
      <c r="L2121" s="5"/>
      <c r="M2121" s="5"/>
      <c r="N2121" s="5"/>
      <c r="O2121" s="5"/>
    </row>
    <row r="2122" spans="1:15" ht="30" customHeight="1" x14ac:dyDescent="0.3">
      <c r="A2122" s="5"/>
      <c r="B2122" s="5"/>
      <c r="C2122" s="5"/>
      <c r="D2122" s="5"/>
      <c r="E2122" s="5"/>
      <c r="F2122" s="9"/>
      <c r="G2122" s="5"/>
      <c r="H2122" s="5"/>
      <c r="I2122" s="5"/>
      <c r="J2122" s="5"/>
      <c r="K2122" s="5"/>
      <c r="L2122" s="5"/>
      <c r="M2122" s="5"/>
      <c r="N2122" s="5"/>
      <c r="O2122" s="5"/>
    </row>
    <row r="2123" spans="1:15" ht="30" customHeight="1" x14ac:dyDescent="0.3">
      <c r="A2123" s="5"/>
      <c r="B2123" s="5"/>
      <c r="C2123" s="5"/>
      <c r="D2123" s="5"/>
      <c r="E2123" s="5"/>
      <c r="F2123" s="9"/>
      <c r="G2123" s="5"/>
      <c r="H2123" s="5"/>
      <c r="I2123" s="5"/>
      <c r="J2123" s="5"/>
      <c r="K2123" s="5"/>
      <c r="L2123" s="5"/>
      <c r="M2123" s="5"/>
      <c r="N2123" s="5"/>
      <c r="O2123" s="5"/>
    </row>
    <row r="2124" spans="1:15" ht="30" customHeight="1" x14ac:dyDescent="0.3">
      <c r="A2124" s="5"/>
      <c r="B2124" s="5"/>
      <c r="C2124" s="5"/>
      <c r="D2124" s="5"/>
      <c r="E2124" s="5"/>
      <c r="F2124" s="9"/>
      <c r="G2124" s="5"/>
      <c r="H2124" s="5"/>
      <c r="I2124" s="5"/>
      <c r="J2124" s="5"/>
      <c r="K2124" s="5"/>
      <c r="L2124" s="5"/>
      <c r="M2124" s="5"/>
      <c r="N2124" s="5"/>
      <c r="O2124" s="5"/>
    </row>
    <row r="2125" spans="1:15" ht="30" customHeight="1" x14ac:dyDescent="0.3">
      <c r="A2125" s="5"/>
      <c r="B2125" s="5"/>
      <c r="C2125" s="5"/>
      <c r="D2125" s="5"/>
      <c r="E2125" s="5"/>
      <c r="F2125" s="9"/>
      <c r="G2125" s="5"/>
      <c r="H2125" s="5"/>
      <c r="I2125" s="5"/>
      <c r="J2125" s="5"/>
      <c r="K2125" s="5"/>
      <c r="L2125" s="5"/>
      <c r="M2125" s="5"/>
      <c r="N2125" s="5"/>
      <c r="O2125" s="5"/>
    </row>
    <row r="2126" spans="1:15" ht="30" customHeight="1" x14ac:dyDescent="0.3">
      <c r="A2126" s="5"/>
      <c r="B2126" s="5"/>
      <c r="C2126" s="5"/>
      <c r="D2126" s="5"/>
      <c r="E2126" s="5"/>
      <c r="F2126" s="9"/>
      <c r="G2126" s="5"/>
      <c r="H2126" s="5"/>
      <c r="I2126" s="5"/>
      <c r="J2126" s="5"/>
      <c r="K2126" s="5"/>
      <c r="L2126" s="5"/>
      <c r="M2126" s="5"/>
      <c r="N2126" s="5"/>
      <c r="O2126" s="5"/>
    </row>
    <row r="2127" spans="1:15" ht="30" customHeight="1" x14ac:dyDescent="0.3">
      <c r="A2127" s="5"/>
      <c r="B2127" s="5"/>
      <c r="C2127" s="5"/>
      <c r="D2127" s="5"/>
      <c r="E2127" s="5"/>
      <c r="F2127" s="9"/>
      <c r="G2127" s="5"/>
      <c r="H2127" s="5"/>
      <c r="I2127" s="5"/>
      <c r="J2127" s="5"/>
      <c r="K2127" s="5"/>
      <c r="L2127" s="5"/>
      <c r="M2127" s="5"/>
      <c r="N2127" s="5"/>
      <c r="O2127" s="5"/>
    </row>
    <row r="2128" spans="1:15" ht="30" customHeight="1" x14ac:dyDescent="0.3">
      <c r="A2128" s="5"/>
      <c r="B2128" s="5"/>
      <c r="C2128" s="5"/>
      <c r="D2128" s="5"/>
      <c r="E2128" s="5"/>
      <c r="F2128" s="9"/>
      <c r="G2128" s="5"/>
      <c r="H2128" s="5"/>
      <c r="I2128" s="5"/>
      <c r="J2128" s="5"/>
      <c r="K2128" s="5"/>
      <c r="L2128" s="5"/>
      <c r="M2128" s="5"/>
      <c r="N2128" s="5"/>
      <c r="O2128" s="5"/>
    </row>
    <row r="2129" spans="1:29" ht="30" customHeight="1" x14ac:dyDescent="0.3">
      <c r="A2129" s="5"/>
      <c r="B2129" s="5"/>
      <c r="C2129" s="5"/>
      <c r="D2129" s="5"/>
      <c r="E2129" s="5"/>
      <c r="F2129" s="9"/>
      <c r="G2129" s="5"/>
      <c r="H2129" s="5"/>
      <c r="I2129" s="5"/>
      <c r="J2129" s="5"/>
      <c r="K2129" s="5"/>
      <c r="L2129" s="5"/>
      <c r="M2129" s="5"/>
      <c r="N2129" s="5"/>
      <c r="O2129" s="5"/>
    </row>
    <row r="2130" spans="1:29" ht="30" customHeight="1" x14ac:dyDescent="0.3">
      <c r="A2130" s="5"/>
      <c r="B2130" s="5"/>
      <c r="C2130" s="5"/>
      <c r="D2130" s="5"/>
      <c r="E2130" s="5"/>
      <c r="F2130" s="9"/>
      <c r="G2130" s="5"/>
      <c r="H2130" s="5"/>
      <c r="I2130" s="5"/>
      <c r="J2130" s="5"/>
      <c r="K2130" s="5"/>
      <c r="L2130" s="5"/>
      <c r="M2130" s="5"/>
      <c r="N2130" s="5"/>
      <c r="O2130" s="5"/>
    </row>
    <row r="2131" spans="1:29" ht="30" customHeight="1" x14ac:dyDescent="0.3">
      <c r="A2131" s="5"/>
      <c r="B2131" s="5"/>
      <c r="C2131" s="5"/>
      <c r="D2131" s="5"/>
      <c r="E2131" s="5"/>
      <c r="F2131" s="9"/>
      <c r="G2131" s="5"/>
      <c r="H2131" s="5"/>
      <c r="I2131" s="5"/>
      <c r="J2131" s="5"/>
      <c r="K2131" s="5"/>
      <c r="L2131" s="5"/>
      <c r="M2131" s="5"/>
      <c r="N2131" s="5"/>
      <c r="O2131" s="5"/>
    </row>
    <row r="2132" spans="1:29" ht="30" customHeight="1" x14ac:dyDescent="0.3">
      <c r="A2132" s="5"/>
      <c r="B2132" s="5"/>
      <c r="C2132" s="5"/>
      <c r="D2132" s="5"/>
      <c r="E2132" s="5"/>
      <c r="F2132" s="9"/>
      <c r="G2132" s="5"/>
      <c r="H2132" s="5"/>
      <c r="I2132" s="5"/>
      <c r="J2132" s="5"/>
      <c r="K2132" s="5"/>
      <c r="L2132" s="5"/>
      <c r="M2132" s="5"/>
      <c r="N2132" s="5"/>
      <c r="O2132" s="5"/>
    </row>
    <row r="2133" spans="1:29" ht="30" customHeight="1" x14ac:dyDescent="0.3">
      <c r="A2133" s="5"/>
      <c r="B2133" s="5"/>
      <c r="C2133" s="5"/>
      <c r="D2133" s="5"/>
      <c r="E2133" s="5"/>
      <c r="F2133" s="9"/>
      <c r="G2133" s="5"/>
      <c r="H2133" s="5"/>
      <c r="I2133" s="5"/>
      <c r="J2133" s="5"/>
      <c r="K2133" s="5"/>
      <c r="L2133" s="5"/>
      <c r="M2133" s="5"/>
      <c r="N2133" s="5"/>
      <c r="O2133" s="5"/>
    </row>
    <row r="2134" spans="1:29" ht="30" customHeight="1" x14ac:dyDescent="0.3">
      <c r="A2134" s="5"/>
      <c r="B2134" s="5"/>
      <c r="C2134" s="5"/>
      <c r="D2134" s="5"/>
      <c r="E2134" s="5"/>
      <c r="F2134" s="9"/>
      <c r="G2134" s="5"/>
      <c r="H2134" s="5"/>
      <c r="I2134" s="5"/>
      <c r="J2134" s="5"/>
      <c r="K2134" s="5"/>
      <c r="L2134" s="5"/>
      <c r="M2134" s="5"/>
      <c r="N2134" s="5"/>
      <c r="O2134" s="5"/>
    </row>
    <row r="2135" spans="1:29" ht="30" customHeight="1" x14ac:dyDescent="0.3">
      <c r="A2135" s="5"/>
      <c r="B2135" s="5"/>
      <c r="C2135" s="5" t="s">
        <v>162</v>
      </c>
      <c r="D2135" s="5"/>
      <c r="E2135" s="5"/>
      <c r="F2135" s="9"/>
      <c r="G2135" s="5"/>
      <c r="H2135" s="5" t="e">
        <f>SUMIF(AC2059:AC2134, 1, H2059:H2134)</f>
        <v>#REF!</v>
      </c>
      <c r="I2135" s="5"/>
      <c r="J2135" s="5" t="e">
        <f>SUMIF(AC2059:AC2134, 1, J2059:J2134)</f>
        <v>#REF!</v>
      </c>
      <c r="K2135" s="5"/>
      <c r="L2135" s="5" t="e">
        <f>SUMIF(AC2059:AC2134, 1, L2059:L2134)</f>
        <v>#REF!</v>
      </c>
      <c r="M2135" s="5"/>
      <c r="N2135" s="5" t="e">
        <f>H2135+J2135+L2135</f>
        <v>#REF!</v>
      </c>
      <c r="O2135" s="5"/>
    </row>
    <row r="2136" spans="1:29" ht="30" customHeight="1" x14ac:dyDescent="0.3">
      <c r="A2136" s="5"/>
      <c r="B2136" s="5"/>
      <c r="C2136" s="10" t="s">
        <v>2206</v>
      </c>
      <c r="D2136" s="10"/>
      <c r="E2136" s="10"/>
      <c r="F2136" s="11"/>
      <c r="G2136" s="10"/>
      <c r="H2136" s="10"/>
      <c r="I2136" s="10"/>
      <c r="J2136" s="10"/>
      <c r="K2136" s="10"/>
      <c r="L2136" s="10"/>
      <c r="M2136" s="10"/>
      <c r="N2136" s="10"/>
      <c r="O2136" s="10"/>
    </row>
    <row r="2137" spans="1:29" ht="30" customHeight="1" x14ac:dyDescent="0.3">
      <c r="A2137" s="8" t="s">
        <v>2207</v>
      </c>
      <c r="B2137" s="8" t="s">
        <v>1211</v>
      </c>
      <c r="C2137" s="8" t="s">
        <v>864</v>
      </c>
      <c r="D2137" s="8" t="s">
        <v>1212</v>
      </c>
      <c r="E2137" s="8" t="s">
        <v>168</v>
      </c>
      <c r="F2137" s="9">
        <v>3</v>
      </c>
      <c r="G2137" s="5">
        <f>TRUNC([1]단가대비표!O125,0)</f>
        <v>4152</v>
      </c>
      <c r="H2137" s="5">
        <f t="shared" ref="H2137:H2165" si="194">TRUNC(F2137*G2137,0)</f>
        <v>12456</v>
      </c>
      <c r="I2137" s="5">
        <v>0</v>
      </c>
      <c r="J2137" s="5">
        <f t="shared" ref="J2137:J2165" si="195">TRUNC(F2137*I2137,0)</f>
        <v>0</v>
      </c>
      <c r="K2137" s="5">
        <v>0</v>
      </c>
      <c r="L2137" s="5">
        <f t="shared" ref="L2137:L2165" si="196">TRUNC(F2137*K2137,0)</f>
        <v>0</v>
      </c>
      <c r="M2137" s="5">
        <f t="shared" ref="M2137:N2165" si="197">G2137+I2137+K2137</f>
        <v>4152</v>
      </c>
      <c r="N2137" s="5">
        <f t="shared" si="197"/>
        <v>12456</v>
      </c>
      <c r="O2137" s="8" t="s">
        <v>20</v>
      </c>
      <c r="T2137">
        <v>0</v>
      </c>
      <c r="U2137">
        <v>1</v>
      </c>
      <c r="AC2137">
        <v>1</v>
      </c>
    </row>
    <row r="2138" spans="1:29" ht="30" customHeight="1" x14ac:dyDescent="0.3">
      <c r="A2138" s="8" t="s">
        <v>2207</v>
      </c>
      <c r="B2138" s="8" t="s">
        <v>1213</v>
      </c>
      <c r="C2138" s="8" t="s">
        <v>864</v>
      </c>
      <c r="D2138" s="8" t="s">
        <v>1214</v>
      </c>
      <c r="E2138" s="8" t="s">
        <v>168</v>
      </c>
      <c r="F2138" s="9">
        <v>5</v>
      </c>
      <c r="G2138" s="5">
        <f>TRUNC([1]단가대비표!O126,0)</f>
        <v>6560</v>
      </c>
      <c r="H2138" s="5">
        <f t="shared" si="194"/>
        <v>32800</v>
      </c>
      <c r="I2138" s="5">
        <v>0</v>
      </c>
      <c r="J2138" s="5">
        <f t="shared" si="195"/>
        <v>0</v>
      </c>
      <c r="K2138" s="5">
        <v>0</v>
      </c>
      <c r="L2138" s="5">
        <f t="shared" si="196"/>
        <v>0</v>
      </c>
      <c r="M2138" s="5">
        <f t="shared" si="197"/>
        <v>6560</v>
      </c>
      <c r="N2138" s="5">
        <f t="shared" si="197"/>
        <v>32800</v>
      </c>
      <c r="O2138" s="8" t="s">
        <v>20</v>
      </c>
      <c r="T2138">
        <v>0</v>
      </c>
      <c r="U2138">
        <v>1</v>
      </c>
      <c r="AC2138">
        <v>1</v>
      </c>
    </row>
    <row r="2139" spans="1:29" ht="30" customHeight="1" x14ac:dyDescent="0.3">
      <c r="A2139" s="8" t="s">
        <v>2207</v>
      </c>
      <c r="B2139" s="8" t="s">
        <v>173</v>
      </c>
      <c r="C2139" s="8" t="s">
        <v>174</v>
      </c>
      <c r="D2139" s="8" t="s">
        <v>175</v>
      </c>
      <c r="E2139" s="8" t="s">
        <v>161</v>
      </c>
      <c r="F2139" s="9">
        <v>1</v>
      </c>
      <c r="G2139" s="5">
        <f>ROUNDDOWN(SUMIF(U2137:U2165, RIGHTB(B2139, 1), H2137:H2165)*T2139, 0)</f>
        <v>1357</v>
      </c>
      <c r="H2139" s="5">
        <f t="shared" si="194"/>
        <v>1357</v>
      </c>
      <c r="I2139" s="5">
        <v>0</v>
      </c>
      <c r="J2139" s="5">
        <f t="shared" si="195"/>
        <v>0</v>
      </c>
      <c r="K2139" s="5">
        <v>0</v>
      </c>
      <c r="L2139" s="5">
        <f t="shared" si="196"/>
        <v>0</v>
      </c>
      <c r="M2139" s="5">
        <f t="shared" si="197"/>
        <v>1357</v>
      </c>
      <c r="N2139" s="5">
        <f t="shared" si="197"/>
        <v>1357</v>
      </c>
      <c r="O2139" s="8" t="s">
        <v>20</v>
      </c>
      <c r="P2139">
        <v>2139</v>
      </c>
      <c r="R2139">
        <v>0</v>
      </c>
      <c r="S2139">
        <v>0</v>
      </c>
      <c r="T2139">
        <v>0.03</v>
      </c>
      <c r="AC2139">
        <v>1</v>
      </c>
    </row>
    <row r="2140" spans="1:29" ht="30" customHeight="1" x14ac:dyDescent="0.3">
      <c r="A2140" s="8" t="s">
        <v>2207</v>
      </c>
      <c r="B2140" s="8" t="s">
        <v>902</v>
      </c>
      <c r="C2140" s="8" t="s">
        <v>893</v>
      </c>
      <c r="D2140" s="8" t="s">
        <v>903</v>
      </c>
      <c r="E2140" s="8" t="s">
        <v>895</v>
      </c>
      <c r="F2140" s="9">
        <v>3</v>
      </c>
      <c r="G2140" s="5">
        <f>TRUNC([1]단가대비표!O697,0)</f>
        <v>1083</v>
      </c>
      <c r="H2140" s="5">
        <f t="shared" si="194"/>
        <v>3249</v>
      </c>
      <c r="I2140" s="5">
        <v>14376</v>
      </c>
      <c r="J2140" s="5">
        <f t="shared" si="195"/>
        <v>43128</v>
      </c>
      <c r="K2140" s="5">
        <v>0</v>
      </c>
      <c r="L2140" s="5">
        <f t="shared" si="196"/>
        <v>0</v>
      </c>
      <c r="M2140" s="5">
        <f t="shared" si="197"/>
        <v>15459</v>
      </c>
      <c r="N2140" s="5">
        <f t="shared" si="197"/>
        <v>46377</v>
      </c>
      <c r="O2140" s="8" t="s">
        <v>429</v>
      </c>
      <c r="T2140">
        <v>0</v>
      </c>
      <c r="AC2140">
        <v>1</v>
      </c>
    </row>
    <row r="2141" spans="1:29" ht="30" customHeight="1" x14ac:dyDescent="0.3">
      <c r="A2141" s="8" t="s">
        <v>2207</v>
      </c>
      <c r="B2141" s="8" t="s">
        <v>904</v>
      </c>
      <c r="C2141" s="8" t="s">
        <v>893</v>
      </c>
      <c r="D2141" s="8" t="s">
        <v>905</v>
      </c>
      <c r="E2141" s="8" t="s">
        <v>895</v>
      </c>
      <c r="F2141" s="9">
        <v>5</v>
      </c>
      <c r="G2141" s="5">
        <f>TRUNC([1]단가대비표!O698,0)</f>
        <v>1279</v>
      </c>
      <c r="H2141" s="5">
        <f t="shared" si="194"/>
        <v>6395</v>
      </c>
      <c r="I2141" s="5">
        <v>16982</v>
      </c>
      <c r="J2141" s="5">
        <f t="shared" si="195"/>
        <v>84910</v>
      </c>
      <c r="K2141" s="5">
        <v>0</v>
      </c>
      <c r="L2141" s="5">
        <f t="shared" si="196"/>
        <v>0</v>
      </c>
      <c r="M2141" s="5">
        <f t="shared" si="197"/>
        <v>18261</v>
      </c>
      <c r="N2141" s="5">
        <f t="shared" si="197"/>
        <v>91305</v>
      </c>
      <c r="O2141" s="8" t="s">
        <v>429</v>
      </c>
      <c r="T2141">
        <v>0</v>
      </c>
      <c r="AC2141">
        <v>1</v>
      </c>
    </row>
    <row r="2142" spans="1:29" ht="30" customHeight="1" x14ac:dyDescent="0.3">
      <c r="A2142" s="8" t="s">
        <v>2207</v>
      </c>
      <c r="B2142" s="8" t="s">
        <v>1215</v>
      </c>
      <c r="C2142" s="8" t="s">
        <v>694</v>
      </c>
      <c r="D2142" s="8" t="s">
        <v>1216</v>
      </c>
      <c r="E2142" s="8" t="s">
        <v>179</v>
      </c>
      <c r="F2142" s="9">
        <v>4</v>
      </c>
      <c r="G2142" s="5">
        <f>TRUNC([1]단가대비표!O304,0)</f>
        <v>2090</v>
      </c>
      <c r="H2142" s="5">
        <f t="shared" si="194"/>
        <v>8360</v>
      </c>
      <c r="I2142" s="5">
        <v>0</v>
      </c>
      <c r="J2142" s="5">
        <f t="shared" si="195"/>
        <v>0</v>
      </c>
      <c r="K2142" s="5">
        <v>0</v>
      </c>
      <c r="L2142" s="5">
        <f t="shared" si="196"/>
        <v>0</v>
      </c>
      <c r="M2142" s="5">
        <f t="shared" si="197"/>
        <v>2090</v>
      </c>
      <c r="N2142" s="5">
        <f t="shared" si="197"/>
        <v>8360</v>
      </c>
      <c r="O2142" s="8" t="s">
        <v>20</v>
      </c>
      <c r="T2142">
        <v>0</v>
      </c>
      <c r="AC2142">
        <v>1</v>
      </c>
    </row>
    <row r="2143" spans="1:29" ht="30" customHeight="1" x14ac:dyDescent="0.3">
      <c r="A2143" s="8" t="s">
        <v>2207</v>
      </c>
      <c r="B2143" s="8" t="s">
        <v>1217</v>
      </c>
      <c r="C2143" s="8" t="s">
        <v>694</v>
      </c>
      <c r="D2143" s="8" t="s">
        <v>1218</v>
      </c>
      <c r="E2143" s="8" t="s">
        <v>179</v>
      </c>
      <c r="F2143" s="9">
        <v>4</v>
      </c>
      <c r="G2143" s="5">
        <f>TRUNC([1]단가대비표!O335,0)</f>
        <v>4650</v>
      </c>
      <c r="H2143" s="5">
        <f t="shared" si="194"/>
        <v>18600</v>
      </c>
      <c r="I2143" s="5">
        <v>0</v>
      </c>
      <c r="J2143" s="5">
        <f t="shared" si="195"/>
        <v>0</v>
      </c>
      <c r="K2143" s="5">
        <v>0</v>
      </c>
      <c r="L2143" s="5">
        <f t="shared" si="196"/>
        <v>0</v>
      </c>
      <c r="M2143" s="5">
        <f t="shared" si="197"/>
        <v>4650</v>
      </c>
      <c r="N2143" s="5">
        <f t="shared" si="197"/>
        <v>18600</v>
      </c>
      <c r="O2143" s="8" t="s">
        <v>20</v>
      </c>
      <c r="T2143">
        <v>0</v>
      </c>
      <c r="AC2143">
        <v>1</v>
      </c>
    </row>
    <row r="2144" spans="1:29" ht="30" customHeight="1" x14ac:dyDescent="0.3">
      <c r="A2144" s="8" t="s">
        <v>2207</v>
      </c>
      <c r="B2144" s="8" t="s">
        <v>1219</v>
      </c>
      <c r="C2144" s="8" t="s">
        <v>694</v>
      </c>
      <c r="D2144" s="8" t="s">
        <v>1220</v>
      </c>
      <c r="E2144" s="8" t="s">
        <v>179</v>
      </c>
      <c r="F2144" s="9">
        <v>2</v>
      </c>
      <c r="G2144" s="5">
        <f>TRUNC([1]단가대비표!O382,0)</f>
        <v>2460</v>
      </c>
      <c r="H2144" s="5">
        <f t="shared" si="194"/>
        <v>4920</v>
      </c>
      <c r="I2144" s="5">
        <v>0</v>
      </c>
      <c r="J2144" s="5">
        <f t="shared" si="195"/>
        <v>0</v>
      </c>
      <c r="K2144" s="5">
        <v>0</v>
      </c>
      <c r="L2144" s="5">
        <f t="shared" si="196"/>
        <v>0</v>
      </c>
      <c r="M2144" s="5">
        <f t="shared" si="197"/>
        <v>2460</v>
      </c>
      <c r="N2144" s="5">
        <f t="shared" si="197"/>
        <v>4920</v>
      </c>
      <c r="O2144" s="8" t="s">
        <v>20</v>
      </c>
      <c r="T2144">
        <v>0</v>
      </c>
      <c r="AC2144">
        <v>1</v>
      </c>
    </row>
    <row r="2145" spans="1:29" ht="30" customHeight="1" x14ac:dyDescent="0.3">
      <c r="A2145" s="8" t="s">
        <v>2207</v>
      </c>
      <c r="B2145" s="8" t="s">
        <v>1221</v>
      </c>
      <c r="C2145" s="8" t="s">
        <v>1222</v>
      </c>
      <c r="D2145" s="8" t="s">
        <v>1234</v>
      </c>
      <c r="E2145" s="8" t="s">
        <v>545</v>
      </c>
      <c r="F2145" s="9">
        <v>5</v>
      </c>
      <c r="G2145" s="5" t="e">
        <f>'[2].xls].xls].xls].xls].xls].xls].xls].'!E116</f>
        <v>#REF!</v>
      </c>
      <c r="H2145" s="5" t="e">
        <f t="shared" si="194"/>
        <v>#REF!</v>
      </c>
      <c r="I2145" s="5" t="e">
        <f>'[2].xls].xls].xls].xls].xls].xls].xls].'!F116</f>
        <v>#REF!</v>
      </c>
      <c r="J2145" s="5" t="e">
        <f t="shared" si="195"/>
        <v>#REF!</v>
      </c>
      <c r="K2145" s="5" t="e">
        <f>'[2].xls].xls].xls].xls].xls].xls].xls].'!G116</f>
        <v>#REF!</v>
      </c>
      <c r="L2145" s="5" t="e">
        <f t="shared" si="196"/>
        <v>#REF!</v>
      </c>
      <c r="M2145" s="5" t="e">
        <f t="shared" si="197"/>
        <v>#REF!</v>
      </c>
      <c r="N2145" s="5" t="e">
        <f t="shared" si="197"/>
        <v>#REF!</v>
      </c>
      <c r="O2145" s="8" t="s">
        <v>1221</v>
      </c>
      <c r="T2145">
        <v>0</v>
      </c>
      <c r="AC2145">
        <v>1</v>
      </c>
    </row>
    <row r="2146" spans="1:29" ht="30" customHeight="1" x14ac:dyDescent="0.3">
      <c r="A2146" s="8" t="s">
        <v>2207</v>
      </c>
      <c r="B2146" s="8" t="s">
        <v>1224</v>
      </c>
      <c r="C2146" s="8" t="s">
        <v>1222</v>
      </c>
      <c r="D2146" s="8" t="s">
        <v>1225</v>
      </c>
      <c r="E2146" s="8" t="s">
        <v>545</v>
      </c>
      <c r="F2146" s="9">
        <v>38</v>
      </c>
      <c r="G2146" s="5" t="e">
        <f>'[2].xls].xls].xls].xls].xls].xls].xls].'!E117</f>
        <v>#REF!</v>
      </c>
      <c r="H2146" s="5" t="e">
        <f t="shared" si="194"/>
        <v>#REF!</v>
      </c>
      <c r="I2146" s="5" t="e">
        <f>'[2].xls].xls].xls].xls].xls].xls].xls].'!F117</f>
        <v>#REF!</v>
      </c>
      <c r="J2146" s="5" t="e">
        <f t="shared" si="195"/>
        <v>#REF!</v>
      </c>
      <c r="K2146" s="5" t="e">
        <f>'[2].xls].xls].xls].xls].xls].xls].xls].'!G117</f>
        <v>#REF!</v>
      </c>
      <c r="L2146" s="5" t="e">
        <f t="shared" si="196"/>
        <v>#REF!</v>
      </c>
      <c r="M2146" s="5" t="e">
        <f t="shared" si="197"/>
        <v>#REF!</v>
      </c>
      <c r="N2146" s="5" t="e">
        <f t="shared" si="197"/>
        <v>#REF!</v>
      </c>
      <c r="O2146" s="8" t="s">
        <v>1224</v>
      </c>
      <c r="T2146">
        <v>0</v>
      </c>
      <c r="AC2146">
        <v>1</v>
      </c>
    </row>
    <row r="2147" spans="1:29" ht="30" customHeight="1" x14ac:dyDescent="0.3">
      <c r="A2147" s="8" t="s">
        <v>2207</v>
      </c>
      <c r="B2147" s="8" t="s">
        <v>1226</v>
      </c>
      <c r="C2147" s="8" t="s">
        <v>1222</v>
      </c>
      <c r="D2147" s="8" t="s">
        <v>1227</v>
      </c>
      <c r="E2147" s="8" t="s">
        <v>545</v>
      </c>
      <c r="F2147" s="9">
        <v>27</v>
      </c>
      <c r="G2147" s="5" t="e">
        <f>'[2].xls].xls].xls].xls].xls].xls].xls].'!E118</f>
        <v>#REF!</v>
      </c>
      <c r="H2147" s="5" t="e">
        <f t="shared" si="194"/>
        <v>#REF!</v>
      </c>
      <c r="I2147" s="5" t="e">
        <f>'[2].xls].xls].xls].xls].xls].xls].xls].'!F118</f>
        <v>#REF!</v>
      </c>
      <c r="J2147" s="5" t="e">
        <f t="shared" si="195"/>
        <v>#REF!</v>
      </c>
      <c r="K2147" s="5" t="e">
        <f>'[2].xls].xls].xls].xls].xls].xls].xls].'!G118</f>
        <v>#REF!</v>
      </c>
      <c r="L2147" s="5" t="e">
        <f t="shared" si="196"/>
        <v>#REF!</v>
      </c>
      <c r="M2147" s="5" t="e">
        <f t="shared" si="197"/>
        <v>#REF!</v>
      </c>
      <c r="N2147" s="5" t="e">
        <f t="shared" si="197"/>
        <v>#REF!</v>
      </c>
      <c r="O2147" s="8" t="s">
        <v>1226</v>
      </c>
      <c r="T2147">
        <v>0</v>
      </c>
      <c r="AC2147">
        <v>1</v>
      </c>
    </row>
    <row r="2148" spans="1:29" ht="30" customHeight="1" x14ac:dyDescent="0.3">
      <c r="A2148" s="8" t="s">
        <v>2207</v>
      </c>
      <c r="B2148" s="8" t="s">
        <v>1237</v>
      </c>
      <c r="C2148" s="8" t="s">
        <v>1238</v>
      </c>
      <c r="D2148" s="8" t="s">
        <v>1239</v>
      </c>
      <c r="E2148" s="8" t="s">
        <v>545</v>
      </c>
      <c r="F2148" s="9">
        <v>5</v>
      </c>
      <c r="G2148" s="5" t="e">
        <f>'[2].xls].xls].xls].xls].xls].xls].xls].'!E124</f>
        <v>#REF!</v>
      </c>
      <c r="H2148" s="5" t="e">
        <f t="shared" si="194"/>
        <v>#REF!</v>
      </c>
      <c r="I2148" s="5" t="e">
        <f>'[2].xls].xls].xls].xls].xls].xls].xls].'!F124</f>
        <v>#REF!</v>
      </c>
      <c r="J2148" s="5" t="e">
        <f t="shared" si="195"/>
        <v>#REF!</v>
      </c>
      <c r="K2148" s="5" t="e">
        <f>'[2].xls].xls].xls].xls].xls].xls].xls].'!G124</f>
        <v>#REF!</v>
      </c>
      <c r="L2148" s="5" t="e">
        <f t="shared" si="196"/>
        <v>#REF!</v>
      </c>
      <c r="M2148" s="5" t="e">
        <f t="shared" si="197"/>
        <v>#REF!</v>
      </c>
      <c r="N2148" s="5" t="e">
        <f t="shared" si="197"/>
        <v>#REF!</v>
      </c>
      <c r="O2148" s="8" t="s">
        <v>1237</v>
      </c>
      <c r="T2148">
        <v>0</v>
      </c>
      <c r="AC2148">
        <v>1</v>
      </c>
    </row>
    <row r="2149" spans="1:29" ht="30" customHeight="1" x14ac:dyDescent="0.3">
      <c r="A2149" s="8" t="s">
        <v>2207</v>
      </c>
      <c r="B2149" s="8" t="s">
        <v>1261</v>
      </c>
      <c r="C2149" s="8" t="s">
        <v>1262</v>
      </c>
      <c r="D2149" s="8" t="s">
        <v>1263</v>
      </c>
      <c r="E2149" s="8" t="s">
        <v>168</v>
      </c>
      <c r="F2149" s="9">
        <v>2</v>
      </c>
      <c r="G2149" s="5">
        <f>TRUNC([1]단가대비표!O16,0)</f>
        <v>2720</v>
      </c>
      <c r="H2149" s="5">
        <f t="shared" si="194"/>
        <v>5440</v>
      </c>
      <c r="I2149" s="5">
        <v>0</v>
      </c>
      <c r="J2149" s="5">
        <f t="shared" si="195"/>
        <v>0</v>
      </c>
      <c r="K2149" s="5">
        <v>0</v>
      </c>
      <c r="L2149" s="5">
        <f t="shared" si="196"/>
        <v>0</v>
      </c>
      <c r="M2149" s="5">
        <f t="shared" si="197"/>
        <v>2720</v>
      </c>
      <c r="N2149" s="5">
        <f t="shared" si="197"/>
        <v>5440</v>
      </c>
      <c r="O2149" s="8" t="s">
        <v>20</v>
      </c>
      <c r="T2149">
        <v>0</v>
      </c>
      <c r="AC2149">
        <v>1</v>
      </c>
    </row>
    <row r="2150" spans="1:29" ht="30" customHeight="1" x14ac:dyDescent="0.3">
      <c r="A2150" s="8" t="s">
        <v>2207</v>
      </c>
      <c r="B2150" s="8" t="s">
        <v>1272</v>
      </c>
      <c r="C2150" s="8" t="s">
        <v>1273</v>
      </c>
      <c r="D2150" s="8" t="s">
        <v>1274</v>
      </c>
      <c r="E2150" s="8" t="s">
        <v>179</v>
      </c>
      <c r="F2150" s="9">
        <v>2</v>
      </c>
      <c r="G2150" s="5">
        <f>TRUNC([1]단가대비표!O8,0)</f>
        <v>6000</v>
      </c>
      <c r="H2150" s="5">
        <f t="shared" si="194"/>
        <v>12000</v>
      </c>
      <c r="I2150" s="5">
        <v>0</v>
      </c>
      <c r="J2150" s="5">
        <f t="shared" si="195"/>
        <v>0</v>
      </c>
      <c r="K2150" s="5">
        <v>0</v>
      </c>
      <c r="L2150" s="5">
        <f t="shared" si="196"/>
        <v>0</v>
      </c>
      <c r="M2150" s="5">
        <f t="shared" si="197"/>
        <v>6000</v>
      </c>
      <c r="N2150" s="5">
        <f t="shared" si="197"/>
        <v>12000</v>
      </c>
      <c r="O2150" s="8" t="s">
        <v>20</v>
      </c>
      <c r="T2150">
        <v>0</v>
      </c>
      <c r="AC2150">
        <v>1</v>
      </c>
    </row>
    <row r="2151" spans="1:29" ht="30" customHeight="1" x14ac:dyDescent="0.3">
      <c r="A2151" s="8" t="s">
        <v>2207</v>
      </c>
      <c r="B2151" s="8" t="s">
        <v>1279</v>
      </c>
      <c r="C2151" s="8" t="s">
        <v>1280</v>
      </c>
      <c r="D2151" s="8" t="s">
        <v>20</v>
      </c>
      <c r="E2151" s="8" t="s">
        <v>179</v>
      </c>
      <c r="F2151" s="9">
        <v>2</v>
      </c>
      <c r="G2151" s="5">
        <f>TRUNC([1]단가대비표!O11,0)</f>
        <v>58000</v>
      </c>
      <c r="H2151" s="5">
        <f t="shared" si="194"/>
        <v>116000</v>
      </c>
      <c r="I2151" s="5">
        <v>0</v>
      </c>
      <c r="J2151" s="5">
        <f t="shared" si="195"/>
        <v>0</v>
      </c>
      <c r="K2151" s="5">
        <v>0</v>
      </c>
      <c r="L2151" s="5">
        <f t="shared" si="196"/>
        <v>0</v>
      </c>
      <c r="M2151" s="5">
        <f t="shared" si="197"/>
        <v>58000</v>
      </c>
      <c r="N2151" s="5">
        <f t="shared" si="197"/>
        <v>116000</v>
      </c>
      <c r="O2151" s="8" t="s">
        <v>20</v>
      </c>
      <c r="T2151">
        <v>0</v>
      </c>
      <c r="AC2151">
        <v>1</v>
      </c>
    </row>
    <row r="2152" spans="1:29" ht="30" customHeight="1" x14ac:dyDescent="0.3">
      <c r="A2152" s="8" t="s">
        <v>2207</v>
      </c>
      <c r="B2152" s="8" t="s">
        <v>1281</v>
      </c>
      <c r="C2152" s="8" t="s">
        <v>1282</v>
      </c>
      <c r="D2152" s="8" t="s">
        <v>348</v>
      </c>
      <c r="E2152" s="8" t="s">
        <v>179</v>
      </c>
      <c r="F2152" s="9">
        <v>8</v>
      </c>
      <c r="G2152" s="5">
        <f>TRUNC([1]단가대비표!O600,0)</f>
        <v>714</v>
      </c>
      <c r="H2152" s="5">
        <f t="shared" si="194"/>
        <v>5712</v>
      </c>
      <c r="I2152" s="5">
        <v>0</v>
      </c>
      <c r="J2152" s="5">
        <f t="shared" si="195"/>
        <v>0</v>
      </c>
      <c r="K2152" s="5">
        <v>0</v>
      </c>
      <c r="L2152" s="5">
        <f t="shared" si="196"/>
        <v>0</v>
      </c>
      <c r="M2152" s="5">
        <f t="shared" si="197"/>
        <v>714</v>
      </c>
      <c r="N2152" s="5">
        <f t="shared" si="197"/>
        <v>5712</v>
      </c>
      <c r="O2152" s="8" t="s">
        <v>20</v>
      </c>
      <c r="T2152">
        <v>0</v>
      </c>
      <c r="AC2152">
        <v>1</v>
      </c>
    </row>
    <row r="2153" spans="1:29" ht="30" customHeight="1" x14ac:dyDescent="0.3">
      <c r="A2153" s="8" t="s">
        <v>2207</v>
      </c>
      <c r="B2153" s="8" t="s">
        <v>1288</v>
      </c>
      <c r="C2153" s="8" t="s">
        <v>1289</v>
      </c>
      <c r="D2153" s="8" t="s">
        <v>1290</v>
      </c>
      <c r="E2153" s="8" t="s">
        <v>545</v>
      </c>
      <c r="F2153" s="9">
        <v>2</v>
      </c>
      <c r="G2153" s="5">
        <f>TRUNC([1]단가대비표!O607,0)</f>
        <v>7640</v>
      </c>
      <c r="H2153" s="5">
        <f t="shared" si="194"/>
        <v>15280</v>
      </c>
      <c r="I2153" s="5">
        <v>0</v>
      </c>
      <c r="J2153" s="5">
        <f t="shared" si="195"/>
        <v>0</v>
      </c>
      <c r="K2153" s="5">
        <v>0</v>
      </c>
      <c r="L2153" s="5">
        <f t="shared" si="196"/>
        <v>0</v>
      </c>
      <c r="M2153" s="5">
        <f t="shared" si="197"/>
        <v>7640</v>
      </c>
      <c r="N2153" s="5">
        <f t="shared" si="197"/>
        <v>15280</v>
      </c>
      <c r="O2153" s="8" t="s">
        <v>20</v>
      </c>
      <c r="T2153">
        <v>0</v>
      </c>
      <c r="AC2153">
        <v>1</v>
      </c>
    </row>
    <row r="2154" spans="1:29" ht="30" customHeight="1" x14ac:dyDescent="0.3">
      <c r="A2154" s="8" t="s">
        <v>2207</v>
      </c>
      <c r="B2154" s="8" t="s">
        <v>1293</v>
      </c>
      <c r="C2154" s="8" t="s">
        <v>1292</v>
      </c>
      <c r="D2154" s="8" t="s">
        <v>350</v>
      </c>
      <c r="E2154" s="8" t="s">
        <v>179</v>
      </c>
      <c r="F2154" s="9">
        <v>2</v>
      </c>
      <c r="G2154" s="5">
        <f>TRUNC([1]단가대비표!O605,0)</f>
        <v>12750</v>
      </c>
      <c r="H2154" s="5">
        <f t="shared" si="194"/>
        <v>25500</v>
      </c>
      <c r="I2154" s="5">
        <v>0</v>
      </c>
      <c r="J2154" s="5">
        <f t="shared" si="195"/>
        <v>0</v>
      </c>
      <c r="K2154" s="5">
        <v>0</v>
      </c>
      <c r="L2154" s="5">
        <f t="shared" si="196"/>
        <v>0</v>
      </c>
      <c r="M2154" s="5">
        <f t="shared" si="197"/>
        <v>12750</v>
      </c>
      <c r="N2154" s="5">
        <f t="shared" si="197"/>
        <v>25500</v>
      </c>
      <c r="O2154" s="8" t="s">
        <v>20</v>
      </c>
      <c r="T2154">
        <v>0</v>
      </c>
      <c r="AC2154">
        <v>1</v>
      </c>
    </row>
    <row r="2155" spans="1:29" ht="30" customHeight="1" x14ac:dyDescent="0.3">
      <c r="A2155" s="8" t="s">
        <v>2207</v>
      </c>
      <c r="B2155" s="8" t="s">
        <v>1059</v>
      </c>
      <c r="C2155" s="8" t="s">
        <v>1057</v>
      </c>
      <c r="D2155" s="8" t="s">
        <v>348</v>
      </c>
      <c r="E2155" s="8" t="s">
        <v>185</v>
      </c>
      <c r="F2155" s="9">
        <v>1</v>
      </c>
      <c r="G2155" s="5" t="e">
        <f>'[2].xls].xls].xls].xls].xls].xls].xls].'!E41</f>
        <v>#REF!</v>
      </c>
      <c r="H2155" s="5" t="e">
        <f t="shared" si="194"/>
        <v>#REF!</v>
      </c>
      <c r="I2155" s="5" t="e">
        <f>'[2].xls].xls].xls].xls].xls].xls].xls].'!F41</f>
        <v>#REF!</v>
      </c>
      <c r="J2155" s="5" t="e">
        <f t="shared" si="195"/>
        <v>#REF!</v>
      </c>
      <c r="K2155" s="5" t="e">
        <f>'[2].xls].xls].xls].xls].xls].xls].xls].'!G41</f>
        <v>#REF!</v>
      </c>
      <c r="L2155" s="5" t="e">
        <f t="shared" si="196"/>
        <v>#REF!</v>
      </c>
      <c r="M2155" s="5" t="e">
        <f t="shared" si="197"/>
        <v>#REF!</v>
      </c>
      <c r="N2155" s="5" t="e">
        <f t="shared" si="197"/>
        <v>#REF!</v>
      </c>
      <c r="O2155" s="8" t="s">
        <v>1059</v>
      </c>
      <c r="T2155">
        <v>0</v>
      </c>
      <c r="AC2155">
        <v>1</v>
      </c>
    </row>
    <row r="2156" spans="1:29" ht="30" customHeight="1" x14ac:dyDescent="0.3">
      <c r="A2156" s="8" t="s">
        <v>2207</v>
      </c>
      <c r="B2156" s="8" t="s">
        <v>1060</v>
      </c>
      <c r="C2156" s="8" t="s">
        <v>1057</v>
      </c>
      <c r="D2156" s="8" t="s">
        <v>350</v>
      </c>
      <c r="E2156" s="8" t="s">
        <v>185</v>
      </c>
      <c r="F2156" s="9">
        <v>1</v>
      </c>
      <c r="G2156" s="5" t="e">
        <f>'[2].xls].xls].xls].xls].xls].xls].xls].'!E42</f>
        <v>#REF!</v>
      </c>
      <c r="H2156" s="5" t="e">
        <f t="shared" si="194"/>
        <v>#REF!</v>
      </c>
      <c r="I2156" s="5" t="e">
        <f>'[2].xls].xls].xls].xls].xls].xls].xls].'!F42</f>
        <v>#REF!</v>
      </c>
      <c r="J2156" s="5" t="e">
        <f t="shared" si="195"/>
        <v>#REF!</v>
      </c>
      <c r="K2156" s="5" t="e">
        <f>'[2].xls].xls].xls].xls].xls].xls].xls].'!G42</f>
        <v>#REF!</v>
      </c>
      <c r="L2156" s="5" t="e">
        <f t="shared" si="196"/>
        <v>#REF!</v>
      </c>
      <c r="M2156" s="5" t="e">
        <f t="shared" si="197"/>
        <v>#REF!</v>
      </c>
      <c r="N2156" s="5" t="e">
        <f t="shared" si="197"/>
        <v>#REF!</v>
      </c>
      <c r="O2156" s="8" t="s">
        <v>1060</v>
      </c>
      <c r="T2156">
        <v>0</v>
      </c>
      <c r="AC2156">
        <v>1</v>
      </c>
    </row>
    <row r="2157" spans="1:29" ht="30" customHeight="1" x14ac:dyDescent="0.3">
      <c r="A2157" s="8" t="s">
        <v>2207</v>
      </c>
      <c r="B2157" s="8" t="s">
        <v>1075</v>
      </c>
      <c r="C2157" s="8" t="s">
        <v>528</v>
      </c>
      <c r="D2157" s="8" t="s">
        <v>350</v>
      </c>
      <c r="E2157" s="8" t="s">
        <v>185</v>
      </c>
      <c r="F2157" s="9">
        <v>2</v>
      </c>
      <c r="G2157" s="5" t="e">
        <f>'[2].xls].xls].xls].xls].xls].xls].xls].'!E62</f>
        <v>#REF!</v>
      </c>
      <c r="H2157" s="5" t="e">
        <f t="shared" si="194"/>
        <v>#REF!</v>
      </c>
      <c r="I2157" s="5" t="e">
        <f>'[2].xls].xls].xls].xls].xls].xls].xls].'!F62</f>
        <v>#REF!</v>
      </c>
      <c r="J2157" s="5" t="e">
        <f t="shared" si="195"/>
        <v>#REF!</v>
      </c>
      <c r="K2157" s="5" t="e">
        <f>'[2].xls].xls].xls].xls].xls].xls].xls].'!G62</f>
        <v>#REF!</v>
      </c>
      <c r="L2157" s="5" t="e">
        <f t="shared" si="196"/>
        <v>#REF!</v>
      </c>
      <c r="M2157" s="5" t="e">
        <f t="shared" si="197"/>
        <v>#REF!</v>
      </c>
      <c r="N2157" s="5" t="e">
        <f t="shared" si="197"/>
        <v>#REF!</v>
      </c>
      <c r="O2157" s="8" t="s">
        <v>1075</v>
      </c>
      <c r="T2157">
        <v>0</v>
      </c>
      <c r="AC2157">
        <v>1</v>
      </c>
    </row>
    <row r="2158" spans="1:29" ht="30" customHeight="1" x14ac:dyDescent="0.3">
      <c r="A2158" s="8" t="s">
        <v>2207</v>
      </c>
      <c r="B2158" s="8" t="s">
        <v>1295</v>
      </c>
      <c r="C2158" s="8" t="s">
        <v>1296</v>
      </c>
      <c r="D2158" s="8" t="s">
        <v>20</v>
      </c>
      <c r="E2158" s="8" t="s">
        <v>168</v>
      </c>
      <c r="F2158" s="9">
        <v>5</v>
      </c>
      <c r="G2158" s="5">
        <f>TRUNC([1]단가대비표!O662,0)</f>
        <v>81000</v>
      </c>
      <c r="H2158" s="5">
        <f t="shared" si="194"/>
        <v>405000</v>
      </c>
      <c r="I2158" s="5">
        <v>0</v>
      </c>
      <c r="J2158" s="5">
        <f t="shared" si="195"/>
        <v>0</v>
      </c>
      <c r="K2158" s="5">
        <v>0</v>
      </c>
      <c r="L2158" s="5">
        <f t="shared" si="196"/>
        <v>0</v>
      </c>
      <c r="M2158" s="5">
        <f t="shared" si="197"/>
        <v>81000</v>
      </c>
      <c r="N2158" s="5">
        <f t="shared" si="197"/>
        <v>405000</v>
      </c>
      <c r="O2158" s="8" t="s">
        <v>20</v>
      </c>
      <c r="T2158">
        <v>0</v>
      </c>
      <c r="AC2158">
        <v>1</v>
      </c>
    </row>
    <row r="2159" spans="1:29" ht="30" customHeight="1" x14ac:dyDescent="0.3">
      <c r="A2159" s="8" t="s">
        <v>2207</v>
      </c>
      <c r="B2159" s="8" t="s">
        <v>1297</v>
      </c>
      <c r="C2159" s="8" t="s">
        <v>543</v>
      </c>
      <c r="D2159" s="8" t="s">
        <v>1298</v>
      </c>
      <c r="E2159" s="8" t="s">
        <v>545</v>
      </c>
      <c r="F2159" s="9">
        <v>69</v>
      </c>
      <c r="G2159" s="5" t="e">
        <f>'[2].xls].xls].xls].xls].xls].xls].xls].'!E131</f>
        <v>#REF!</v>
      </c>
      <c r="H2159" s="5" t="e">
        <f t="shared" si="194"/>
        <v>#REF!</v>
      </c>
      <c r="I2159" s="5" t="e">
        <f>'[2].xls].xls].xls].xls].xls].xls].xls].'!F131</f>
        <v>#REF!</v>
      </c>
      <c r="J2159" s="5" t="e">
        <f t="shared" si="195"/>
        <v>#REF!</v>
      </c>
      <c r="K2159" s="5" t="e">
        <f>'[2].xls].xls].xls].xls].xls].xls].xls].'!G131</f>
        <v>#REF!</v>
      </c>
      <c r="L2159" s="5" t="e">
        <f t="shared" si="196"/>
        <v>#REF!</v>
      </c>
      <c r="M2159" s="5" t="e">
        <f t="shared" si="197"/>
        <v>#REF!</v>
      </c>
      <c r="N2159" s="5" t="e">
        <f t="shared" si="197"/>
        <v>#REF!</v>
      </c>
      <c r="O2159" s="8" t="s">
        <v>1297</v>
      </c>
      <c r="T2159">
        <v>0</v>
      </c>
      <c r="AC2159">
        <v>1</v>
      </c>
    </row>
    <row r="2160" spans="1:29" ht="30" customHeight="1" x14ac:dyDescent="0.3">
      <c r="A2160" s="8" t="s">
        <v>2207</v>
      </c>
      <c r="B2160" s="8" t="s">
        <v>2208</v>
      </c>
      <c r="C2160" s="8" t="s">
        <v>1319</v>
      </c>
      <c r="D2160" s="8" t="s">
        <v>1368</v>
      </c>
      <c r="E2160" s="8" t="s">
        <v>179</v>
      </c>
      <c r="F2160" s="9">
        <v>1</v>
      </c>
      <c r="G2160" s="5">
        <f>TRUNC([1]단가대비표!O913,0)</f>
        <v>12000</v>
      </c>
      <c r="H2160" s="5">
        <f t="shared" si="194"/>
        <v>12000</v>
      </c>
      <c r="I2160" s="5">
        <v>0</v>
      </c>
      <c r="J2160" s="5">
        <f t="shared" si="195"/>
        <v>0</v>
      </c>
      <c r="K2160" s="5">
        <v>0</v>
      </c>
      <c r="L2160" s="5">
        <f t="shared" si="196"/>
        <v>0</v>
      </c>
      <c r="M2160" s="5">
        <f t="shared" si="197"/>
        <v>12000</v>
      </c>
      <c r="N2160" s="5">
        <f t="shared" si="197"/>
        <v>12000</v>
      </c>
      <c r="O2160" s="8" t="s">
        <v>20</v>
      </c>
      <c r="T2160">
        <v>0</v>
      </c>
      <c r="AC2160">
        <v>1</v>
      </c>
    </row>
    <row r="2161" spans="1:29" ht="30" customHeight="1" x14ac:dyDescent="0.3">
      <c r="A2161" s="8" t="s">
        <v>2207</v>
      </c>
      <c r="B2161" s="8" t="s">
        <v>1332</v>
      </c>
      <c r="C2161" s="8" t="s">
        <v>1319</v>
      </c>
      <c r="D2161" s="8" t="s">
        <v>1333</v>
      </c>
      <c r="E2161" s="8" t="s">
        <v>179</v>
      </c>
      <c r="F2161" s="9">
        <v>3</v>
      </c>
      <c r="G2161" s="5">
        <f>TRUNC([1]단가대비표!O916,0)</f>
        <v>33600</v>
      </c>
      <c r="H2161" s="5">
        <f t="shared" si="194"/>
        <v>100800</v>
      </c>
      <c r="I2161" s="5">
        <v>0</v>
      </c>
      <c r="J2161" s="5">
        <f t="shared" si="195"/>
        <v>0</v>
      </c>
      <c r="K2161" s="5">
        <v>0</v>
      </c>
      <c r="L2161" s="5">
        <f t="shared" si="196"/>
        <v>0</v>
      </c>
      <c r="M2161" s="5">
        <f t="shared" si="197"/>
        <v>33600</v>
      </c>
      <c r="N2161" s="5">
        <f t="shared" si="197"/>
        <v>100800</v>
      </c>
      <c r="O2161" s="8" t="s">
        <v>20</v>
      </c>
      <c r="T2161">
        <v>0</v>
      </c>
      <c r="AC2161">
        <v>1</v>
      </c>
    </row>
    <row r="2162" spans="1:29" ht="30" customHeight="1" x14ac:dyDescent="0.3">
      <c r="A2162" s="8" t="s">
        <v>2207</v>
      </c>
      <c r="B2162" s="8" t="s">
        <v>2209</v>
      </c>
      <c r="C2162" s="8" t="s">
        <v>1339</v>
      </c>
      <c r="D2162" s="8" t="s">
        <v>1377</v>
      </c>
      <c r="E2162" s="8" t="s">
        <v>179</v>
      </c>
      <c r="F2162" s="9">
        <v>2</v>
      </c>
      <c r="G2162" s="5">
        <f>TRUNC([1]단가대비표!O1075,0)</f>
        <v>32000</v>
      </c>
      <c r="H2162" s="5">
        <f t="shared" si="194"/>
        <v>64000</v>
      </c>
      <c r="I2162" s="5">
        <v>0</v>
      </c>
      <c r="J2162" s="5">
        <f t="shared" si="195"/>
        <v>0</v>
      </c>
      <c r="K2162" s="5">
        <v>0</v>
      </c>
      <c r="L2162" s="5">
        <f t="shared" si="196"/>
        <v>0</v>
      </c>
      <c r="M2162" s="5">
        <f t="shared" si="197"/>
        <v>32000</v>
      </c>
      <c r="N2162" s="5">
        <f t="shared" si="197"/>
        <v>64000</v>
      </c>
      <c r="O2162" s="8" t="s">
        <v>20</v>
      </c>
      <c r="T2162">
        <v>0</v>
      </c>
      <c r="AC2162">
        <v>1</v>
      </c>
    </row>
    <row r="2163" spans="1:29" ht="30" customHeight="1" x14ac:dyDescent="0.3">
      <c r="A2163" s="8" t="s">
        <v>2207</v>
      </c>
      <c r="B2163" s="8" t="s">
        <v>1374</v>
      </c>
      <c r="C2163" s="8" t="s">
        <v>1365</v>
      </c>
      <c r="D2163" s="8" t="s">
        <v>1333</v>
      </c>
      <c r="E2163" s="8" t="s">
        <v>179</v>
      </c>
      <c r="F2163" s="9">
        <v>3</v>
      </c>
      <c r="G2163" s="5">
        <f>TRUNC([1]단가대비표!O926,0)</f>
        <v>47600</v>
      </c>
      <c r="H2163" s="5">
        <f t="shared" si="194"/>
        <v>142800</v>
      </c>
      <c r="I2163" s="5">
        <v>0</v>
      </c>
      <c r="J2163" s="5">
        <f t="shared" si="195"/>
        <v>0</v>
      </c>
      <c r="K2163" s="5">
        <v>0</v>
      </c>
      <c r="L2163" s="5">
        <f t="shared" si="196"/>
        <v>0</v>
      </c>
      <c r="M2163" s="5">
        <f t="shared" si="197"/>
        <v>47600</v>
      </c>
      <c r="N2163" s="5">
        <f t="shared" si="197"/>
        <v>142800</v>
      </c>
      <c r="O2163" s="8" t="s">
        <v>20</v>
      </c>
      <c r="T2163">
        <v>0</v>
      </c>
      <c r="AC2163">
        <v>1</v>
      </c>
    </row>
    <row r="2164" spans="1:29" ht="30" customHeight="1" x14ac:dyDescent="0.3">
      <c r="A2164" s="8" t="s">
        <v>2207</v>
      </c>
      <c r="B2164" s="8" t="s">
        <v>1438</v>
      </c>
      <c r="C2164" s="8" t="s">
        <v>153</v>
      </c>
      <c r="D2164" s="8" t="s">
        <v>1439</v>
      </c>
      <c r="E2164" s="8" t="s">
        <v>155</v>
      </c>
      <c r="F2164" s="9">
        <v>1</v>
      </c>
      <c r="G2164" s="5">
        <v>0</v>
      </c>
      <c r="H2164" s="5">
        <f t="shared" si="194"/>
        <v>0</v>
      </c>
      <c r="I2164" s="5">
        <f>TRUNC([1]단가대비표!O666,0)</f>
        <v>198718</v>
      </c>
      <c r="J2164" s="5">
        <f t="shared" si="195"/>
        <v>198718</v>
      </c>
      <c r="K2164" s="5">
        <v>0</v>
      </c>
      <c r="L2164" s="5">
        <f t="shared" si="196"/>
        <v>0</v>
      </c>
      <c r="M2164" s="5">
        <f t="shared" si="197"/>
        <v>198718</v>
      </c>
      <c r="N2164" s="5">
        <f t="shared" si="197"/>
        <v>198718</v>
      </c>
      <c r="O2164" s="8" t="s">
        <v>20</v>
      </c>
      <c r="T2164">
        <v>0</v>
      </c>
      <c r="W2164">
        <v>3</v>
      </c>
      <c r="AC2164">
        <v>1</v>
      </c>
    </row>
    <row r="2165" spans="1:29" ht="30" customHeight="1" x14ac:dyDescent="0.3">
      <c r="A2165" s="8" t="s">
        <v>2207</v>
      </c>
      <c r="B2165" s="8" t="s">
        <v>158</v>
      </c>
      <c r="C2165" s="8" t="s">
        <v>159</v>
      </c>
      <c r="D2165" s="8" t="s">
        <v>160</v>
      </c>
      <c r="E2165" s="8" t="s">
        <v>161</v>
      </c>
      <c r="F2165" s="9">
        <v>1</v>
      </c>
      <c r="G2165" s="5">
        <f>ROUNDDOWN(SUMIF(W2137:W2165, RIGHTB(B2165, 1), J2137:J2165)*T2165, 0)</f>
        <v>3974</v>
      </c>
      <c r="H2165" s="5">
        <f t="shared" si="194"/>
        <v>3974</v>
      </c>
      <c r="I2165" s="5">
        <v>0</v>
      </c>
      <c r="J2165" s="5">
        <f t="shared" si="195"/>
        <v>0</v>
      </c>
      <c r="K2165" s="5">
        <v>0</v>
      </c>
      <c r="L2165" s="5">
        <f t="shared" si="196"/>
        <v>0</v>
      </c>
      <c r="M2165" s="5">
        <f t="shared" si="197"/>
        <v>3974</v>
      </c>
      <c r="N2165" s="5">
        <f t="shared" si="197"/>
        <v>3974</v>
      </c>
      <c r="O2165" s="8" t="s">
        <v>20</v>
      </c>
      <c r="P2165">
        <v>2165</v>
      </c>
      <c r="R2165">
        <v>1</v>
      </c>
      <c r="S2165">
        <v>0</v>
      </c>
      <c r="T2165">
        <v>0.02</v>
      </c>
      <c r="AC2165">
        <v>1</v>
      </c>
    </row>
    <row r="2166" spans="1:29" ht="30" customHeight="1" x14ac:dyDescent="0.3">
      <c r="A2166" s="5"/>
      <c r="B2166" s="5"/>
      <c r="C2166" s="5"/>
      <c r="D2166" s="5"/>
      <c r="E2166" s="5"/>
      <c r="F2166" s="9"/>
      <c r="G2166" s="5"/>
      <c r="H2166" s="5"/>
      <c r="I2166" s="5"/>
      <c r="J2166" s="5"/>
      <c r="K2166" s="5"/>
      <c r="L2166" s="5"/>
      <c r="M2166" s="5"/>
      <c r="N2166" s="5"/>
      <c r="O2166" s="5"/>
    </row>
    <row r="2167" spans="1:29" ht="30" customHeight="1" x14ac:dyDescent="0.3">
      <c r="A2167" s="5"/>
      <c r="B2167" s="5"/>
      <c r="C2167" s="5"/>
      <c r="D2167" s="5"/>
      <c r="E2167" s="5"/>
      <c r="F2167" s="9"/>
      <c r="G2167" s="5"/>
      <c r="H2167" s="5"/>
      <c r="I2167" s="5"/>
      <c r="J2167" s="5"/>
      <c r="K2167" s="5"/>
      <c r="L2167" s="5"/>
      <c r="M2167" s="5"/>
      <c r="N2167" s="5"/>
      <c r="O2167" s="5"/>
    </row>
    <row r="2168" spans="1:29" ht="30" customHeight="1" x14ac:dyDescent="0.3">
      <c r="A2168" s="5"/>
      <c r="B2168" s="5"/>
      <c r="C2168" s="5"/>
      <c r="D2168" s="5"/>
      <c r="E2168" s="5"/>
      <c r="F2168" s="9"/>
      <c r="G2168" s="5"/>
      <c r="H2168" s="5"/>
      <c r="I2168" s="5"/>
      <c r="J2168" s="5"/>
      <c r="K2168" s="5"/>
      <c r="L2168" s="5"/>
      <c r="M2168" s="5"/>
      <c r="N2168" s="5"/>
      <c r="O2168" s="5"/>
    </row>
    <row r="2169" spans="1:29" ht="30" customHeight="1" x14ac:dyDescent="0.3">
      <c r="A2169" s="5"/>
      <c r="B2169" s="5"/>
      <c r="C2169" s="5"/>
      <c r="D2169" s="5"/>
      <c r="E2169" s="5"/>
      <c r="F2169" s="9"/>
      <c r="G2169" s="5"/>
      <c r="H2169" s="5"/>
      <c r="I2169" s="5"/>
      <c r="J2169" s="5"/>
      <c r="K2169" s="5"/>
      <c r="L2169" s="5"/>
      <c r="M2169" s="5"/>
      <c r="N2169" s="5"/>
      <c r="O2169" s="5"/>
    </row>
    <row r="2170" spans="1:29" ht="30" customHeight="1" x14ac:dyDescent="0.3">
      <c r="A2170" s="5"/>
      <c r="B2170" s="5"/>
      <c r="C2170" s="5"/>
      <c r="D2170" s="5"/>
      <c r="E2170" s="5"/>
      <c r="F2170" s="9"/>
      <c r="G2170" s="5"/>
      <c r="H2170" s="5"/>
      <c r="I2170" s="5"/>
      <c r="J2170" s="5"/>
      <c r="K2170" s="5"/>
      <c r="L2170" s="5"/>
      <c r="M2170" s="5"/>
      <c r="N2170" s="5"/>
      <c r="O2170" s="5"/>
    </row>
    <row r="2171" spans="1:29" ht="30" customHeight="1" x14ac:dyDescent="0.3">
      <c r="A2171" s="5"/>
      <c r="B2171" s="5"/>
      <c r="C2171" s="5"/>
      <c r="D2171" s="5"/>
      <c r="E2171" s="5"/>
      <c r="F2171" s="9"/>
      <c r="G2171" s="5"/>
      <c r="H2171" s="5"/>
      <c r="I2171" s="5"/>
      <c r="J2171" s="5"/>
      <c r="K2171" s="5"/>
      <c r="L2171" s="5"/>
      <c r="M2171" s="5"/>
      <c r="N2171" s="5"/>
      <c r="O2171" s="5"/>
    </row>
    <row r="2172" spans="1:29" ht="30" customHeight="1" x14ac:dyDescent="0.3">
      <c r="A2172" s="5"/>
      <c r="B2172" s="5"/>
      <c r="C2172" s="5"/>
      <c r="D2172" s="5"/>
      <c r="E2172" s="5"/>
      <c r="F2172" s="9"/>
      <c r="G2172" s="5"/>
      <c r="H2172" s="5"/>
      <c r="I2172" s="5"/>
      <c r="J2172" s="5"/>
      <c r="K2172" s="5"/>
      <c r="L2172" s="5"/>
      <c r="M2172" s="5"/>
      <c r="N2172" s="5"/>
      <c r="O2172" s="5"/>
    </row>
    <row r="2173" spans="1:29" ht="30" customHeight="1" x14ac:dyDescent="0.3">
      <c r="A2173" s="5"/>
      <c r="B2173" s="5"/>
      <c r="C2173" s="5"/>
      <c r="D2173" s="5"/>
      <c r="E2173" s="5"/>
      <c r="F2173" s="9"/>
      <c r="G2173" s="5"/>
      <c r="H2173" s="5"/>
      <c r="I2173" s="5"/>
      <c r="J2173" s="5"/>
      <c r="K2173" s="5"/>
      <c r="L2173" s="5"/>
      <c r="M2173" s="5"/>
      <c r="N2173" s="5"/>
      <c r="O2173" s="5"/>
    </row>
    <row r="2174" spans="1:29" ht="30" customHeight="1" x14ac:dyDescent="0.3">
      <c r="A2174" s="5"/>
      <c r="B2174" s="5"/>
      <c r="C2174" s="5"/>
      <c r="D2174" s="5"/>
      <c r="E2174" s="5"/>
      <c r="F2174" s="9"/>
      <c r="G2174" s="5"/>
      <c r="H2174" s="5"/>
      <c r="I2174" s="5"/>
      <c r="J2174" s="5"/>
      <c r="K2174" s="5"/>
      <c r="L2174" s="5"/>
      <c r="M2174" s="5"/>
      <c r="N2174" s="5"/>
      <c r="O2174" s="5"/>
    </row>
    <row r="2175" spans="1:29" ht="30" customHeight="1" x14ac:dyDescent="0.3">
      <c r="A2175" s="5"/>
      <c r="B2175" s="5"/>
      <c r="C2175" s="5"/>
      <c r="D2175" s="5"/>
      <c r="E2175" s="5"/>
      <c r="F2175" s="9"/>
      <c r="G2175" s="5"/>
      <c r="H2175" s="5"/>
      <c r="I2175" s="5"/>
      <c r="J2175" s="5"/>
      <c r="K2175" s="5"/>
      <c r="L2175" s="5"/>
      <c r="M2175" s="5"/>
      <c r="N2175" s="5"/>
      <c r="O2175" s="5"/>
    </row>
    <row r="2176" spans="1:29" ht="30" customHeight="1" x14ac:dyDescent="0.3">
      <c r="A2176" s="5"/>
      <c r="B2176" s="5"/>
      <c r="C2176" s="5"/>
      <c r="D2176" s="5"/>
      <c r="E2176" s="5"/>
      <c r="F2176" s="9"/>
      <c r="G2176" s="5"/>
      <c r="H2176" s="5"/>
      <c r="I2176" s="5"/>
      <c r="J2176" s="5"/>
      <c r="K2176" s="5"/>
      <c r="L2176" s="5"/>
      <c r="M2176" s="5"/>
      <c r="N2176" s="5"/>
      <c r="O2176" s="5"/>
    </row>
    <row r="2177" spans="1:29" ht="30" customHeight="1" x14ac:dyDescent="0.3">
      <c r="A2177" s="5"/>
      <c r="B2177" s="5"/>
      <c r="C2177" s="5"/>
      <c r="D2177" s="5"/>
      <c r="E2177" s="5"/>
      <c r="F2177" s="9"/>
      <c r="G2177" s="5"/>
      <c r="H2177" s="5"/>
      <c r="I2177" s="5"/>
      <c r="J2177" s="5"/>
      <c r="K2177" s="5"/>
      <c r="L2177" s="5"/>
      <c r="M2177" s="5"/>
      <c r="N2177" s="5"/>
      <c r="O2177" s="5"/>
    </row>
    <row r="2178" spans="1:29" ht="30" customHeight="1" x14ac:dyDescent="0.3">
      <c r="A2178" s="5"/>
      <c r="B2178" s="5"/>
      <c r="C2178" s="5"/>
      <c r="D2178" s="5"/>
      <c r="E2178" s="5"/>
      <c r="F2178" s="9"/>
      <c r="G2178" s="5"/>
      <c r="H2178" s="5"/>
      <c r="I2178" s="5"/>
      <c r="J2178" s="5"/>
      <c r="K2178" s="5"/>
      <c r="L2178" s="5"/>
      <c r="M2178" s="5"/>
      <c r="N2178" s="5"/>
      <c r="O2178" s="5"/>
    </row>
    <row r="2179" spans="1:29" ht="30" customHeight="1" x14ac:dyDescent="0.3">
      <c r="A2179" s="5"/>
      <c r="B2179" s="5"/>
      <c r="C2179" s="5"/>
      <c r="D2179" s="5"/>
      <c r="E2179" s="5"/>
      <c r="F2179" s="9"/>
      <c r="G2179" s="5"/>
      <c r="H2179" s="5"/>
      <c r="I2179" s="5"/>
      <c r="J2179" s="5"/>
      <c r="K2179" s="5"/>
      <c r="L2179" s="5"/>
      <c r="M2179" s="5"/>
      <c r="N2179" s="5"/>
      <c r="O2179" s="5"/>
    </row>
    <row r="2180" spans="1:29" ht="30" customHeight="1" x14ac:dyDescent="0.3">
      <c r="A2180" s="5"/>
      <c r="B2180" s="5"/>
      <c r="C2180" s="5"/>
      <c r="D2180" s="5"/>
      <c r="E2180" s="5"/>
      <c r="F2180" s="9"/>
      <c r="G2180" s="5"/>
      <c r="H2180" s="5"/>
      <c r="I2180" s="5"/>
      <c r="J2180" s="5"/>
      <c r="K2180" s="5"/>
      <c r="L2180" s="5"/>
      <c r="M2180" s="5"/>
      <c r="N2180" s="5"/>
      <c r="O2180" s="5"/>
    </row>
    <row r="2181" spans="1:29" ht="30" customHeight="1" x14ac:dyDescent="0.3">
      <c r="A2181" s="5"/>
      <c r="B2181" s="5"/>
      <c r="C2181" s="5"/>
      <c r="D2181" s="5"/>
      <c r="E2181" s="5"/>
      <c r="F2181" s="9"/>
      <c r="G2181" s="5"/>
      <c r="H2181" s="5"/>
      <c r="I2181" s="5"/>
      <c r="J2181" s="5"/>
      <c r="K2181" s="5"/>
      <c r="L2181" s="5"/>
      <c r="M2181" s="5"/>
      <c r="N2181" s="5"/>
      <c r="O2181" s="5"/>
    </row>
    <row r="2182" spans="1:29" ht="30" customHeight="1" x14ac:dyDescent="0.3">
      <c r="A2182" s="5"/>
      <c r="B2182" s="5"/>
      <c r="C2182" s="5"/>
      <c r="D2182" s="5"/>
      <c r="E2182" s="5"/>
      <c r="F2182" s="9"/>
      <c r="G2182" s="5"/>
      <c r="H2182" s="5"/>
      <c r="I2182" s="5"/>
      <c r="J2182" s="5"/>
      <c r="K2182" s="5"/>
      <c r="L2182" s="5"/>
      <c r="M2182" s="5"/>
      <c r="N2182" s="5"/>
      <c r="O2182" s="5"/>
    </row>
    <row r="2183" spans="1:29" ht="30" customHeight="1" x14ac:dyDescent="0.3">
      <c r="A2183" s="5"/>
      <c r="B2183" s="5"/>
      <c r="C2183" s="5"/>
      <c r="D2183" s="5"/>
      <c r="E2183" s="5"/>
      <c r="F2183" s="9"/>
      <c r="G2183" s="5"/>
      <c r="H2183" s="5"/>
      <c r="I2183" s="5"/>
      <c r="J2183" s="5"/>
      <c r="K2183" s="5"/>
      <c r="L2183" s="5"/>
      <c r="M2183" s="5"/>
      <c r="N2183" s="5"/>
      <c r="O2183" s="5"/>
    </row>
    <row r="2184" spans="1:29" ht="30" customHeight="1" x14ac:dyDescent="0.3">
      <c r="A2184" s="5"/>
      <c r="B2184" s="5"/>
      <c r="C2184" s="5"/>
      <c r="D2184" s="5"/>
      <c r="E2184" s="5"/>
      <c r="F2184" s="9"/>
      <c r="G2184" s="5"/>
      <c r="H2184" s="5"/>
      <c r="I2184" s="5"/>
      <c r="J2184" s="5"/>
      <c r="K2184" s="5"/>
      <c r="L2184" s="5"/>
      <c r="M2184" s="5"/>
      <c r="N2184" s="5"/>
      <c r="O2184" s="5"/>
    </row>
    <row r="2185" spans="1:29" ht="30" customHeight="1" x14ac:dyDescent="0.3">
      <c r="A2185" s="5"/>
      <c r="B2185" s="5"/>
      <c r="C2185" s="5"/>
      <c r="D2185" s="5"/>
      <c r="E2185" s="5"/>
      <c r="F2185" s="9"/>
      <c r="G2185" s="5"/>
      <c r="H2185" s="5"/>
      <c r="I2185" s="5"/>
      <c r="J2185" s="5"/>
      <c r="K2185" s="5"/>
      <c r="L2185" s="5"/>
      <c r="M2185" s="5"/>
      <c r="N2185" s="5"/>
      <c r="O2185" s="5"/>
    </row>
    <row r="2186" spans="1:29" ht="30" customHeight="1" x14ac:dyDescent="0.3">
      <c r="A2186" s="5"/>
      <c r="B2186" s="5"/>
      <c r="C2186" s="5"/>
      <c r="D2186" s="5"/>
      <c r="E2186" s="5"/>
      <c r="F2186" s="9"/>
      <c r="G2186" s="5"/>
      <c r="H2186" s="5"/>
      <c r="I2186" s="5"/>
      <c r="J2186" s="5"/>
      <c r="K2186" s="5"/>
      <c r="L2186" s="5"/>
      <c r="M2186" s="5"/>
      <c r="N2186" s="5"/>
      <c r="O2186" s="5"/>
    </row>
    <row r="2187" spans="1:29" ht="30" customHeight="1" x14ac:dyDescent="0.3">
      <c r="A2187" s="5"/>
      <c r="B2187" s="5"/>
      <c r="C2187" s="5" t="s">
        <v>162</v>
      </c>
      <c r="D2187" s="5"/>
      <c r="E2187" s="5"/>
      <c r="F2187" s="9"/>
      <c r="G2187" s="5"/>
      <c r="H2187" s="5" t="e">
        <f>SUMIF(AC2137:AC2186, 1, H2137:H2186)</f>
        <v>#REF!</v>
      </c>
      <c r="I2187" s="5"/>
      <c r="J2187" s="5" t="e">
        <f>SUMIF(AC2137:AC2186, 1, J2137:J2186)</f>
        <v>#REF!</v>
      </c>
      <c r="K2187" s="5"/>
      <c r="L2187" s="5" t="e">
        <f>SUMIF(AC2137:AC2186, 1, L2137:L2186)</f>
        <v>#REF!</v>
      </c>
      <c r="M2187" s="5"/>
      <c r="N2187" s="5" t="e">
        <f>H2187+J2187+L2187</f>
        <v>#REF!</v>
      </c>
      <c r="O2187" s="5"/>
    </row>
    <row r="2188" spans="1:29" ht="30" customHeight="1" x14ac:dyDescent="0.3">
      <c r="A2188" s="5"/>
      <c r="B2188" s="5"/>
      <c r="C2188" s="10" t="s">
        <v>2210</v>
      </c>
      <c r="D2188" s="10"/>
      <c r="E2188" s="10"/>
      <c r="F2188" s="11"/>
      <c r="G2188" s="10"/>
      <c r="H2188" s="10"/>
      <c r="I2188" s="10"/>
      <c r="J2188" s="10"/>
      <c r="K2188" s="10"/>
      <c r="L2188" s="10"/>
      <c r="M2188" s="10"/>
      <c r="N2188" s="10"/>
      <c r="O2188" s="10"/>
    </row>
    <row r="2189" spans="1:29" ht="30" customHeight="1" x14ac:dyDescent="0.3">
      <c r="A2189" s="8" t="s">
        <v>2211</v>
      </c>
      <c r="B2189" s="8" t="s">
        <v>2212</v>
      </c>
      <c r="C2189" s="8" t="s">
        <v>2213</v>
      </c>
      <c r="D2189" s="8" t="s">
        <v>117</v>
      </c>
      <c r="E2189" s="8" t="s">
        <v>19</v>
      </c>
      <c r="F2189" s="9">
        <v>1</v>
      </c>
      <c r="G2189" s="5">
        <f>TRUNC([1]단가대비표!O1018,0)</f>
        <v>59500</v>
      </c>
      <c r="H2189" s="5">
        <f t="shared" ref="H2189:H2195" si="198">TRUNC(F2189*G2189,0)</f>
        <v>59500</v>
      </c>
      <c r="I2189" s="5">
        <v>0</v>
      </c>
      <c r="J2189" s="5">
        <f t="shared" ref="J2189:J2195" si="199">TRUNC(F2189*I2189,0)</f>
        <v>0</v>
      </c>
      <c r="K2189" s="5">
        <v>0</v>
      </c>
      <c r="L2189" s="5">
        <f t="shared" ref="L2189:L2195" si="200">TRUNC(F2189*K2189,0)</f>
        <v>0</v>
      </c>
      <c r="M2189" s="5">
        <f t="shared" ref="M2189:N2195" si="201">G2189+I2189+K2189</f>
        <v>59500</v>
      </c>
      <c r="N2189" s="5">
        <f t="shared" si="201"/>
        <v>59500</v>
      </c>
      <c r="O2189" s="8" t="s">
        <v>20</v>
      </c>
      <c r="T2189">
        <v>0</v>
      </c>
      <c r="AC2189">
        <v>1</v>
      </c>
    </row>
    <row r="2190" spans="1:29" ht="30" customHeight="1" x14ac:dyDescent="0.3">
      <c r="A2190" s="8" t="s">
        <v>2211</v>
      </c>
      <c r="B2190" s="8" t="s">
        <v>2214</v>
      </c>
      <c r="C2190" s="8" t="s">
        <v>2215</v>
      </c>
      <c r="D2190" s="8" t="s">
        <v>2216</v>
      </c>
      <c r="E2190" s="8" t="s">
        <v>19</v>
      </c>
      <c r="F2190" s="9">
        <v>1</v>
      </c>
      <c r="G2190" s="5">
        <f>TRUNC([1]단가대비표!O1019,0)</f>
        <v>270000</v>
      </c>
      <c r="H2190" s="5">
        <f t="shared" si="198"/>
        <v>270000</v>
      </c>
      <c r="I2190" s="5">
        <v>0</v>
      </c>
      <c r="J2190" s="5">
        <f t="shared" si="199"/>
        <v>0</v>
      </c>
      <c r="K2190" s="5">
        <v>0</v>
      </c>
      <c r="L2190" s="5">
        <f t="shared" si="200"/>
        <v>0</v>
      </c>
      <c r="M2190" s="5">
        <f t="shared" si="201"/>
        <v>270000</v>
      </c>
      <c r="N2190" s="5">
        <f t="shared" si="201"/>
        <v>270000</v>
      </c>
      <c r="O2190" s="8" t="s">
        <v>20</v>
      </c>
      <c r="T2190">
        <v>0</v>
      </c>
      <c r="AC2190">
        <v>1</v>
      </c>
    </row>
    <row r="2191" spans="1:29" ht="30" customHeight="1" x14ac:dyDescent="0.3">
      <c r="A2191" s="8" t="s">
        <v>2211</v>
      </c>
      <c r="B2191" s="8" t="s">
        <v>2217</v>
      </c>
      <c r="C2191" s="8" t="s">
        <v>2218</v>
      </c>
      <c r="D2191" s="8" t="s">
        <v>2183</v>
      </c>
      <c r="E2191" s="8" t="s">
        <v>19</v>
      </c>
      <c r="F2191" s="9">
        <v>1</v>
      </c>
      <c r="G2191" s="5">
        <f>TRUNC([1]단가대비표!O1020,0)</f>
        <v>252000</v>
      </c>
      <c r="H2191" s="5">
        <f t="shared" si="198"/>
        <v>252000</v>
      </c>
      <c r="I2191" s="5">
        <v>0</v>
      </c>
      <c r="J2191" s="5">
        <f t="shared" si="199"/>
        <v>0</v>
      </c>
      <c r="K2191" s="5">
        <v>0</v>
      </c>
      <c r="L2191" s="5">
        <f t="shared" si="200"/>
        <v>0</v>
      </c>
      <c r="M2191" s="5">
        <f t="shared" si="201"/>
        <v>252000</v>
      </c>
      <c r="N2191" s="5">
        <f t="shared" si="201"/>
        <v>252000</v>
      </c>
      <c r="O2191" s="8" t="s">
        <v>20</v>
      </c>
      <c r="T2191">
        <v>0</v>
      </c>
      <c r="AC2191">
        <v>1</v>
      </c>
    </row>
    <row r="2192" spans="1:29" ht="30" customHeight="1" x14ac:dyDescent="0.3">
      <c r="A2192" s="8" t="s">
        <v>2211</v>
      </c>
      <c r="B2192" s="8" t="s">
        <v>152</v>
      </c>
      <c r="C2192" s="8" t="s">
        <v>153</v>
      </c>
      <c r="D2192" s="8" t="s">
        <v>154</v>
      </c>
      <c r="E2192" s="8" t="s">
        <v>155</v>
      </c>
      <c r="F2192" s="9">
        <v>1</v>
      </c>
      <c r="G2192" s="5">
        <v>0</v>
      </c>
      <c r="H2192" s="5">
        <f t="shared" si="198"/>
        <v>0</v>
      </c>
      <c r="I2192" s="5">
        <f>TRUNC([1]단가대비표!O671,0)</f>
        <v>157068</v>
      </c>
      <c r="J2192" s="5">
        <f t="shared" si="199"/>
        <v>157068</v>
      </c>
      <c r="K2192" s="5">
        <v>0</v>
      </c>
      <c r="L2192" s="5">
        <f t="shared" si="200"/>
        <v>0</v>
      </c>
      <c r="M2192" s="5">
        <f t="shared" si="201"/>
        <v>157068</v>
      </c>
      <c r="N2192" s="5">
        <f t="shared" si="201"/>
        <v>157068</v>
      </c>
      <c r="O2192" s="8" t="s">
        <v>20</v>
      </c>
      <c r="T2192">
        <v>0</v>
      </c>
      <c r="W2192">
        <v>3</v>
      </c>
      <c r="AC2192">
        <v>1</v>
      </c>
    </row>
    <row r="2193" spans="1:29" ht="30" customHeight="1" x14ac:dyDescent="0.3">
      <c r="A2193" s="8" t="s">
        <v>2211</v>
      </c>
      <c r="B2193" s="8" t="s">
        <v>2078</v>
      </c>
      <c r="C2193" s="8" t="s">
        <v>153</v>
      </c>
      <c r="D2193" s="8" t="s">
        <v>2079</v>
      </c>
      <c r="E2193" s="8" t="s">
        <v>155</v>
      </c>
      <c r="F2193" s="9">
        <v>1</v>
      </c>
      <c r="G2193" s="5">
        <v>0</v>
      </c>
      <c r="H2193" s="5">
        <f t="shared" si="198"/>
        <v>0</v>
      </c>
      <c r="I2193" s="5">
        <f>TRUNC([1]단가대비표!O670,0)</f>
        <v>210465</v>
      </c>
      <c r="J2193" s="5">
        <f t="shared" si="199"/>
        <v>210465</v>
      </c>
      <c r="K2193" s="5">
        <v>0</v>
      </c>
      <c r="L2193" s="5">
        <f t="shared" si="200"/>
        <v>0</v>
      </c>
      <c r="M2193" s="5">
        <f t="shared" si="201"/>
        <v>210465</v>
      </c>
      <c r="N2193" s="5">
        <f t="shared" si="201"/>
        <v>210465</v>
      </c>
      <c r="O2193" s="8" t="s">
        <v>20</v>
      </c>
      <c r="T2193">
        <v>0</v>
      </c>
      <c r="W2193">
        <v>3</v>
      </c>
      <c r="AC2193">
        <v>1</v>
      </c>
    </row>
    <row r="2194" spans="1:29" ht="30" customHeight="1" x14ac:dyDescent="0.3">
      <c r="A2194" s="8" t="s">
        <v>2211</v>
      </c>
      <c r="B2194" s="8" t="s">
        <v>156</v>
      </c>
      <c r="C2194" s="8" t="s">
        <v>153</v>
      </c>
      <c r="D2194" s="8" t="s">
        <v>157</v>
      </c>
      <c r="E2194" s="8" t="s">
        <v>155</v>
      </c>
      <c r="F2194" s="9">
        <v>1</v>
      </c>
      <c r="G2194" s="5">
        <v>0</v>
      </c>
      <c r="H2194" s="5">
        <f t="shared" si="198"/>
        <v>0</v>
      </c>
      <c r="I2194" s="5">
        <f>TRUNC([1]단가대비표!O664,0)</f>
        <v>213337</v>
      </c>
      <c r="J2194" s="5">
        <f t="shared" si="199"/>
        <v>213337</v>
      </c>
      <c r="K2194" s="5">
        <v>0</v>
      </c>
      <c r="L2194" s="5">
        <f t="shared" si="200"/>
        <v>0</v>
      </c>
      <c r="M2194" s="5">
        <f t="shared" si="201"/>
        <v>213337</v>
      </c>
      <c r="N2194" s="5">
        <f t="shared" si="201"/>
        <v>213337</v>
      </c>
      <c r="O2194" s="8" t="s">
        <v>20</v>
      </c>
      <c r="T2194">
        <v>0</v>
      </c>
      <c r="W2194">
        <v>3</v>
      </c>
      <c r="AC2194">
        <v>1</v>
      </c>
    </row>
    <row r="2195" spans="1:29" ht="30" customHeight="1" x14ac:dyDescent="0.3">
      <c r="A2195" s="8" t="s">
        <v>2211</v>
      </c>
      <c r="B2195" s="8" t="s">
        <v>158</v>
      </c>
      <c r="C2195" s="8" t="s">
        <v>159</v>
      </c>
      <c r="D2195" s="8" t="s">
        <v>160</v>
      </c>
      <c r="E2195" s="8" t="s">
        <v>161</v>
      </c>
      <c r="F2195" s="9">
        <v>1</v>
      </c>
      <c r="G2195" s="5">
        <f>ROUNDDOWN(SUMIF(W2189:W2195, RIGHTB(B2195, 1), J2189:J2195)*T2195, 0)</f>
        <v>11617</v>
      </c>
      <c r="H2195" s="5">
        <f t="shared" si="198"/>
        <v>11617</v>
      </c>
      <c r="I2195" s="5">
        <v>0</v>
      </c>
      <c r="J2195" s="5">
        <f t="shared" si="199"/>
        <v>0</v>
      </c>
      <c r="K2195" s="5">
        <v>0</v>
      </c>
      <c r="L2195" s="5">
        <f t="shared" si="200"/>
        <v>0</v>
      </c>
      <c r="M2195" s="5">
        <f t="shared" si="201"/>
        <v>11617</v>
      </c>
      <c r="N2195" s="5">
        <f t="shared" si="201"/>
        <v>11617</v>
      </c>
      <c r="O2195" s="8" t="s">
        <v>20</v>
      </c>
      <c r="P2195">
        <v>2195</v>
      </c>
      <c r="R2195">
        <v>1</v>
      </c>
      <c r="S2195">
        <v>0</v>
      </c>
      <c r="T2195">
        <v>0.02</v>
      </c>
      <c r="AC2195">
        <v>1</v>
      </c>
    </row>
    <row r="2196" spans="1:29" ht="30" customHeight="1" x14ac:dyDescent="0.3">
      <c r="A2196" s="5"/>
      <c r="B2196" s="5"/>
      <c r="C2196" s="5"/>
      <c r="D2196" s="5"/>
      <c r="E2196" s="5"/>
      <c r="F2196" s="9"/>
      <c r="G2196" s="5"/>
      <c r="H2196" s="5"/>
      <c r="I2196" s="5"/>
      <c r="J2196" s="5"/>
      <c r="K2196" s="5"/>
      <c r="L2196" s="5"/>
      <c r="M2196" s="5"/>
      <c r="N2196" s="5"/>
      <c r="O2196" s="5"/>
    </row>
    <row r="2197" spans="1:29" ht="30" customHeight="1" x14ac:dyDescent="0.3">
      <c r="A2197" s="5"/>
      <c r="B2197" s="5"/>
      <c r="C2197" s="5"/>
      <c r="D2197" s="5"/>
      <c r="E2197" s="5"/>
      <c r="F2197" s="9"/>
      <c r="G2197" s="5"/>
      <c r="H2197" s="5"/>
      <c r="I2197" s="5"/>
      <c r="J2197" s="5"/>
      <c r="K2197" s="5"/>
      <c r="L2197" s="5"/>
      <c r="M2197" s="5"/>
      <c r="N2197" s="5"/>
      <c r="O2197" s="5"/>
    </row>
    <row r="2198" spans="1:29" ht="30" customHeight="1" x14ac:dyDescent="0.3">
      <c r="A2198" s="5"/>
      <c r="B2198" s="5"/>
      <c r="C2198" s="5"/>
      <c r="D2198" s="5"/>
      <c r="E2198" s="5"/>
      <c r="F2198" s="9"/>
      <c r="G2198" s="5"/>
      <c r="H2198" s="5"/>
      <c r="I2198" s="5"/>
      <c r="J2198" s="5"/>
      <c r="K2198" s="5"/>
      <c r="L2198" s="5"/>
      <c r="M2198" s="5"/>
      <c r="N2198" s="5"/>
      <c r="O2198" s="5"/>
    </row>
    <row r="2199" spans="1:29" ht="30" customHeight="1" x14ac:dyDescent="0.3">
      <c r="A2199" s="5"/>
      <c r="B2199" s="5"/>
      <c r="C2199" s="5"/>
      <c r="D2199" s="5"/>
      <c r="E2199" s="5"/>
      <c r="F2199" s="9"/>
      <c r="G2199" s="5"/>
      <c r="H2199" s="5"/>
      <c r="I2199" s="5"/>
      <c r="J2199" s="5"/>
      <c r="K2199" s="5"/>
      <c r="L2199" s="5"/>
      <c r="M2199" s="5"/>
      <c r="N2199" s="5"/>
      <c r="O2199" s="5"/>
    </row>
    <row r="2200" spans="1:29" ht="30" customHeight="1" x14ac:dyDescent="0.3">
      <c r="A2200" s="5"/>
      <c r="B2200" s="5"/>
      <c r="C2200" s="5"/>
      <c r="D2200" s="5"/>
      <c r="E2200" s="5"/>
      <c r="F2200" s="9"/>
      <c r="G2200" s="5"/>
      <c r="H2200" s="5"/>
      <c r="I2200" s="5"/>
      <c r="J2200" s="5"/>
      <c r="K2200" s="5"/>
      <c r="L2200" s="5"/>
      <c r="M2200" s="5"/>
      <c r="N2200" s="5"/>
      <c r="O2200" s="5"/>
    </row>
    <row r="2201" spans="1:29" ht="30" customHeight="1" x14ac:dyDescent="0.3">
      <c r="A2201" s="5"/>
      <c r="B2201" s="5"/>
      <c r="C2201" s="5"/>
      <c r="D2201" s="5"/>
      <c r="E2201" s="5"/>
      <c r="F2201" s="9"/>
      <c r="G2201" s="5"/>
      <c r="H2201" s="5"/>
      <c r="I2201" s="5"/>
      <c r="J2201" s="5"/>
      <c r="K2201" s="5"/>
      <c r="L2201" s="5"/>
      <c r="M2201" s="5"/>
      <c r="N2201" s="5"/>
      <c r="O2201" s="5"/>
    </row>
    <row r="2202" spans="1:29" ht="30" customHeight="1" x14ac:dyDescent="0.3">
      <c r="A2202" s="5"/>
      <c r="B2202" s="5"/>
      <c r="C2202" s="5"/>
      <c r="D2202" s="5"/>
      <c r="E2202" s="5"/>
      <c r="F2202" s="9"/>
      <c r="G2202" s="5"/>
      <c r="H2202" s="5"/>
      <c r="I2202" s="5"/>
      <c r="J2202" s="5"/>
      <c r="K2202" s="5"/>
      <c r="L2202" s="5"/>
      <c r="M2202" s="5"/>
      <c r="N2202" s="5"/>
      <c r="O2202" s="5"/>
    </row>
    <row r="2203" spans="1:29" ht="30" customHeight="1" x14ac:dyDescent="0.3">
      <c r="A2203" s="5"/>
      <c r="B2203" s="5"/>
      <c r="C2203" s="5"/>
      <c r="D2203" s="5"/>
      <c r="E2203" s="5"/>
      <c r="F2203" s="9"/>
      <c r="G2203" s="5"/>
      <c r="H2203" s="5"/>
      <c r="I2203" s="5"/>
      <c r="J2203" s="5"/>
      <c r="K2203" s="5"/>
      <c r="L2203" s="5"/>
      <c r="M2203" s="5"/>
      <c r="N2203" s="5"/>
      <c r="O2203" s="5"/>
    </row>
    <row r="2204" spans="1:29" ht="30" customHeight="1" x14ac:dyDescent="0.3">
      <c r="A2204" s="5"/>
      <c r="B2204" s="5"/>
      <c r="C2204" s="5"/>
      <c r="D2204" s="5"/>
      <c r="E2204" s="5"/>
      <c r="F2204" s="9"/>
      <c r="G2204" s="5"/>
      <c r="H2204" s="5"/>
      <c r="I2204" s="5"/>
      <c r="J2204" s="5"/>
      <c r="K2204" s="5"/>
      <c r="L2204" s="5"/>
      <c r="M2204" s="5"/>
      <c r="N2204" s="5"/>
      <c r="O2204" s="5"/>
    </row>
    <row r="2205" spans="1:29" ht="30" customHeight="1" x14ac:dyDescent="0.3">
      <c r="A2205" s="5"/>
      <c r="B2205" s="5"/>
      <c r="C2205" s="5"/>
      <c r="D2205" s="5"/>
      <c r="E2205" s="5"/>
      <c r="F2205" s="9"/>
      <c r="G2205" s="5"/>
      <c r="H2205" s="5"/>
      <c r="I2205" s="5"/>
      <c r="J2205" s="5"/>
      <c r="K2205" s="5"/>
      <c r="L2205" s="5"/>
      <c r="M2205" s="5"/>
      <c r="N2205" s="5"/>
      <c r="O2205" s="5"/>
    </row>
    <row r="2206" spans="1:29" ht="30" customHeight="1" x14ac:dyDescent="0.3">
      <c r="A2206" s="5"/>
      <c r="B2206" s="5"/>
      <c r="C2206" s="5"/>
      <c r="D2206" s="5"/>
      <c r="E2206" s="5"/>
      <c r="F2206" s="9"/>
      <c r="G2206" s="5"/>
      <c r="H2206" s="5"/>
      <c r="I2206" s="5"/>
      <c r="J2206" s="5"/>
      <c r="K2206" s="5"/>
      <c r="L2206" s="5"/>
      <c r="M2206" s="5"/>
      <c r="N2206" s="5"/>
      <c r="O2206" s="5"/>
    </row>
    <row r="2207" spans="1:29" ht="30" customHeight="1" x14ac:dyDescent="0.3">
      <c r="A2207" s="5"/>
      <c r="B2207" s="5"/>
      <c r="C2207" s="5"/>
      <c r="D2207" s="5"/>
      <c r="E2207" s="5"/>
      <c r="F2207" s="9"/>
      <c r="G2207" s="5"/>
      <c r="H2207" s="5"/>
      <c r="I2207" s="5"/>
      <c r="J2207" s="5"/>
      <c r="K2207" s="5"/>
      <c r="L2207" s="5"/>
      <c r="M2207" s="5"/>
      <c r="N2207" s="5"/>
      <c r="O2207" s="5"/>
    </row>
    <row r="2208" spans="1:29" ht="30" customHeight="1" x14ac:dyDescent="0.3">
      <c r="A2208" s="5"/>
      <c r="B2208" s="5"/>
      <c r="C2208" s="5"/>
      <c r="D2208" s="5"/>
      <c r="E2208" s="5"/>
      <c r="F2208" s="9"/>
      <c r="G2208" s="5"/>
      <c r="H2208" s="5"/>
      <c r="I2208" s="5"/>
      <c r="J2208" s="5"/>
      <c r="K2208" s="5"/>
      <c r="L2208" s="5"/>
      <c r="M2208" s="5"/>
      <c r="N2208" s="5"/>
      <c r="O2208" s="5"/>
    </row>
    <row r="2209" spans="1:29" ht="30" customHeight="1" x14ac:dyDescent="0.3">
      <c r="A2209" s="5"/>
      <c r="B2209" s="5"/>
      <c r="C2209" s="5"/>
      <c r="D2209" s="5"/>
      <c r="E2209" s="5"/>
      <c r="F2209" s="9"/>
      <c r="G2209" s="5"/>
      <c r="H2209" s="5"/>
      <c r="I2209" s="5"/>
      <c r="J2209" s="5"/>
      <c r="K2209" s="5"/>
      <c r="L2209" s="5"/>
      <c r="M2209" s="5"/>
      <c r="N2209" s="5"/>
      <c r="O2209" s="5"/>
    </row>
    <row r="2210" spans="1:29" ht="30" customHeight="1" x14ac:dyDescent="0.3">
      <c r="A2210" s="5"/>
      <c r="B2210" s="5"/>
      <c r="C2210" s="5"/>
      <c r="D2210" s="5"/>
      <c r="E2210" s="5"/>
      <c r="F2210" s="9"/>
      <c r="G2210" s="5"/>
      <c r="H2210" s="5"/>
      <c r="I2210" s="5"/>
      <c r="J2210" s="5"/>
      <c r="K2210" s="5"/>
      <c r="L2210" s="5"/>
      <c r="M2210" s="5"/>
      <c r="N2210" s="5"/>
      <c r="O2210" s="5"/>
    </row>
    <row r="2211" spans="1:29" ht="30" customHeight="1" x14ac:dyDescent="0.3">
      <c r="A2211" s="5"/>
      <c r="B2211" s="5"/>
      <c r="C2211" s="5"/>
      <c r="D2211" s="5"/>
      <c r="E2211" s="5"/>
      <c r="F2211" s="9"/>
      <c r="G2211" s="5"/>
      <c r="H2211" s="5"/>
      <c r="I2211" s="5"/>
      <c r="J2211" s="5"/>
      <c r="K2211" s="5"/>
      <c r="L2211" s="5"/>
      <c r="M2211" s="5"/>
      <c r="N2211" s="5"/>
      <c r="O2211" s="5"/>
    </row>
    <row r="2212" spans="1:29" ht="30" customHeight="1" x14ac:dyDescent="0.3">
      <c r="A2212" s="5"/>
      <c r="B2212" s="5"/>
      <c r="C2212" s="5"/>
      <c r="D2212" s="5"/>
      <c r="E2212" s="5"/>
      <c r="F2212" s="9"/>
      <c r="G2212" s="5"/>
      <c r="H2212" s="5"/>
      <c r="I2212" s="5"/>
      <c r="J2212" s="5"/>
      <c r="K2212" s="5"/>
      <c r="L2212" s="5"/>
      <c r="M2212" s="5"/>
      <c r="N2212" s="5"/>
      <c r="O2212" s="5"/>
    </row>
    <row r="2213" spans="1:29" ht="30" customHeight="1" x14ac:dyDescent="0.3">
      <c r="A2213" s="5"/>
      <c r="B2213" s="5"/>
      <c r="C2213" s="5" t="s">
        <v>162</v>
      </c>
      <c r="D2213" s="5"/>
      <c r="E2213" s="5"/>
      <c r="F2213" s="9"/>
      <c r="G2213" s="5"/>
      <c r="H2213" s="5">
        <f>SUMIF(AC2189:AC2212, 1, H2189:H2212)</f>
        <v>593117</v>
      </c>
      <c r="I2213" s="5"/>
      <c r="J2213" s="5">
        <f>SUMIF(AC2189:AC2212, 1, J2189:J2212)</f>
        <v>580870</v>
      </c>
      <c r="K2213" s="5"/>
      <c r="L2213" s="5">
        <f>SUMIF(AC2189:AC2212, 1, L2189:L2212)</f>
        <v>0</v>
      </c>
      <c r="M2213" s="5"/>
      <c r="N2213" s="5">
        <f>H2213+J2213+L2213</f>
        <v>1173987</v>
      </c>
      <c r="O2213" s="5"/>
    </row>
    <row r="2214" spans="1:29" ht="30" customHeight="1" x14ac:dyDescent="0.3">
      <c r="A2214" s="5"/>
      <c r="B2214" s="5"/>
      <c r="C2214" s="10" t="s">
        <v>2219</v>
      </c>
      <c r="D2214" s="10"/>
      <c r="E2214" s="10"/>
      <c r="F2214" s="11"/>
      <c r="G2214" s="10"/>
      <c r="H2214" s="10"/>
      <c r="I2214" s="10"/>
      <c r="J2214" s="10"/>
      <c r="K2214" s="10"/>
      <c r="L2214" s="10"/>
      <c r="M2214" s="10"/>
      <c r="N2214" s="10"/>
      <c r="O2214" s="10"/>
    </row>
    <row r="2215" spans="1:29" ht="30" customHeight="1" x14ac:dyDescent="0.3">
      <c r="A2215" s="8" t="s">
        <v>2220</v>
      </c>
      <c r="B2215" s="8" t="s">
        <v>165</v>
      </c>
      <c r="C2215" s="8" t="s">
        <v>166</v>
      </c>
      <c r="D2215" s="8" t="s">
        <v>167</v>
      </c>
      <c r="E2215" s="8" t="s">
        <v>168</v>
      </c>
      <c r="F2215" s="9">
        <v>21</v>
      </c>
      <c r="G2215" s="5">
        <f>TRUNC([1]단가대비표!O138,0)</f>
        <v>418</v>
      </c>
      <c r="H2215" s="5">
        <f t="shared" ref="H2215:H2229" si="202">TRUNC(F2215*G2215,0)</f>
        <v>8778</v>
      </c>
      <c r="I2215" s="5">
        <v>0</v>
      </c>
      <c r="J2215" s="5">
        <f t="shared" ref="J2215:J2229" si="203">TRUNC(F2215*I2215,0)</f>
        <v>0</v>
      </c>
      <c r="K2215" s="5">
        <v>0</v>
      </c>
      <c r="L2215" s="5">
        <f t="shared" ref="L2215:L2229" si="204">TRUNC(F2215*K2215,0)</f>
        <v>0</v>
      </c>
      <c r="M2215" s="5">
        <f t="shared" ref="M2215:N2229" si="205">G2215+I2215+K2215</f>
        <v>418</v>
      </c>
      <c r="N2215" s="5">
        <f t="shared" si="205"/>
        <v>8778</v>
      </c>
      <c r="O2215" s="8" t="s">
        <v>20</v>
      </c>
      <c r="T2215">
        <v>0</v>
      </c>
      <c r="U2215">
        <v>1</v>
      </c>
      <c r="AC2215">
        <v>1</v>
      </c>
    </row>
    <row r="2216" spans="1:29" ht="30" customHeight="1" x14ac:dyDescent="0.3">
      <c r="A2216" s="8" t="s">
        <v>2220</v>
      </c>
      <c r="B2216" s="8" t="s">
        <v>169</v>
      </c>
      <c r="C2216" s="8" t="s">
        <v>166</v>
      </c>
      <c r="D2216" s="8" t="s">
        <v>170</v>
      </c>
      <c r="E2216" s="8" t="s">
        <v>168</v>
      </c>
      <c r="F2216" s="9">
        <v>3</v>
      </c>
      <c r="G2216" s="5">
        <f>TRUNC([1]단가대비표!O139,0)</f>
        <v>418</v>
      </c>
      <c r="H2216" s="5">
        <f t="shared" si="202"/>
        <v>1254</v>
      </c>
      <c r="I2216" s="5">
        <v>0</v>
      </c>
      <c r="J2216" s="5">
        <f t="shared" si="203"/>
        <v>0</v>
      </c>
      <c r="K2216" s="5">
        <v>0</v>
      </c>
      <c r="L2216" s="5">
        <f t="shared" si="204"/>
        <v>0</v>
      </c>
      <c r="M2216" s="5">
        <f t="shared" si="205"/>
        <v>418</v>
      </c>
      <c r="N2216" s="5">
        <f t="shared" si="205"/>
        <v>1254</v>
      </c>
      <c r="O2216" s="8" t="s">
        <v>20</v>
      </c>
      <c r="T2216">
        <v>0</v>
      </c>
      <c r="U2216">
        <v>1</v>
      </c>
      <c r="AC2216">
        <v>1</v>
      </c>
    </row>
    <row r="2217" spans="1:29" ht="30" customHeight="1" x14ac:dyDescent="0.3">
      <c r="A2217" s="8" t="s">
        <v>2220</v>
      </c>
      <c r="B2217" s="8" t="s">
        <v>2221</v>
      </c>
      <c r="C2217" s="8" t="s">
        <v>166</v>
      </c>
      <c r="D2217" s="8" t="s">
        <v>2222</v>
      </c>
      <c r="E2217" s="8" t="s">
        <v>168</v>
      </c>
      <c r="F2217" s="9">
        <v>21</v>
      </c>
      <c r="G2217" s="5">
        <f>TRUNC([1]단가대비표!O140,0)</f>
        <v>418</v>
      </c>
      <c r="H2217" s="5">
        <f t="shared" si="202"/>
        <v>8778</v>
      </c>
      <c r="I2217" s="5">
        <v>0</v>
      </c>
      <c r="J2217" s="5">
        <f t="shared" si="203"/>
        <v>0</v>
      </c>
      <c r="K2217" s="5">
        <v>0</v>
      </c>
      <c r="L2217" s="5">
        <f t="shared" si="204"/>
        <v>0</v>
      </c>
      <c r="M2217" s="5">
        <f t="shared" si="205"/>
        <v>418</v>
      </c>
      <c r="N2217" s="5">
        <f t="shared" si="205"/>
        <v>8778</v>
      </c>
      <c r="O2217" s="8" t="s">
        <v>20</v>
      </c>
      <c r="T2217">
        <v>0</v>
      </c>
      <c r="U2217">
        <v>1</v>
      </c>
      <c r="AC2217">
        <v>1</v>
      </c>
    </row>
    <row r="2218" spans="1:29" ht="30" customHeight="1" x14ac:dyDescent="0.3">
      <c r="A2218" s="8" t="s">
        <v>2220</v>
      </c>
      <c r="B2218" s="8" t="s">
        <v>2223</v>
      </c>
      <c r="C2218" s="8" t="s">
        <v>166</v>
      </c>
      <c r="D2218" s="8" t="s">
        <v>2224</v>
      </c>
      <c r="E2218" s="8" t="s">
        <v>168</v>
      </c>
      <c r="F2218" s="9">
        <v>3</v>
      </c>
      <c r="G2218" s="5">
        <f>TRUNC([1]단가대비표!O141,0)</f>
        <v>591</v>
      </c>
      <c r="H2218" s="5">
        <f t="shared" si="202"/>
        <v>1773</v>
      </c>
      <c r="I2218" s="5">
        <v>0</v>
      </c>
      <c r="J2218" s="5">
        <f t="shared" si="203"/>
        <v>0</v>
      </c>
      <c r="K2218" s="5">
        <v>0</v>
      </c>
      <c r="L2218" s="5">
        <f t="shared" si="204"/>
        <v>0</v>
      </c>
      <c r="M2218" s="5">
        <f t="shared" si="205"/>
        <v>591</v>
      </c>
      <c r="N2218" s="5">
        <f t="shared" si="205"/>
        <v>1773</v>
      </c>
      <c r="O2218" s="8" t="s">
        <v>20</v>
      </c>
      <c r="T2218">
        <v>0</v>
      </c>
      <c r="U2218">
        <v>1</v>
      </c>
      <c r="AC2218">
        <v>1</v>
      </c>
    </row>
    <row r="2219" spans="1:29" ht="30" customHeight="1" x14ac:dyDescent="0.3">
      <c r="A2219" s="8" t="s">
        <v>2220</v>
      </c>
      <c r="B2219" s="8" t="s">
        <v>173</v>
      </c>
      <c r="C2219" s="8" t="s">
        <v>174</v>
      </c>
      <c r="D2219" s="8" t="s">
        <v>175</v>
      </c>
      <c r="E2219" s="8" t="s">
        <v>161</v>
      </c>
      <c r="F2219" s="9">
        <v>1</v>
      </c>
      <c r="G2219" s="5">
        <f>ROUNDDOWN(SUMIF(U2215:U2229, RIGHTB(B2219, 1), H2215:H2229)*T2219, 0)</f>
        <v>617</v>
      </c>
      <c r="H2219" s="5">
        <f t="shared" si="202"/>
        <v>617</v>
      </c>
      <c r="I2219" s="5">
        <v>0</v>
      </c>
      <c r="J2219" s="5">
        <f t="shared" si="203"/>
        <v>0</v>
      </c>
      <c r="K2219" s="5">
        <v>0</v>
      </c>
      <c r="L2219" s="5">
        <f t="shared" si="204"/>
        <v>0</v>
      </c>
      <c r="M2219" s="5">
        <f t="shared" si="205"/>
        <v>617</v>
      </c>
      <c r="N2219" s="5">
        <f t="shared" si="205"/>
        <v>617</v>
      </c>
      <c r="O2219" s="8" t="s">
        <v>20</v>
      </c>
      <c r="P2219">
        <v>2219</v>
      </c>
      <c r="R2219">
        <v>0</v>
      </c>
      <c r="S2219">
        <v>0</v>
      </c>
      <c r="T2219">
        <v>0.03</v>
      </c>
      <c r="AC2219">
        <v>1</v>
      </c>
    </row>
    <row r="2220" spans="1:29" ht="30" customHeight="1" x14ac:dyDescent="0.3">
      <c r="A2220" s="8" t="s">
        <v>2220</v>
      </c>
      <c r="B2220" s="8" t="s">
        <v>180</v>
      </c>
      <c r="C2220" s="8" t="s">
        <v>177</v>
      </c>
      <c r="D2220" s="8" t="s">
        <v>181</v>
      </c>
      <c r="E2220" s="8" t="s">
        <v>179</v>
      </c>
      <c r="F2220" s="9">
        <v>3</v>
      </c>
      <c r="G2220" s="5">
        <f>TRUNC([1]단가대비표!O201,0)</f>
        <v>2380</v>
      </c>
      <c r="H2220" s="5">
        <f t="shared" si="202"/>
        <v>7140</v>
      </c>
      <c r="I2220" s="5">
        <v>0</v>
      </c>
      <c r="J2220" s="5">
        <f t="shared" si="203"/>
        <v>0</v>
      </c>
      <c r="K2220" s="5">
        <v>0</v>
      </c>
      <c r="L2220" s="5">
        <f t="shared" si="204"/>
        <v>0</v>
      </c>
      <c r="M2220" s="5">
        <f t="shared" si="205"/>
        <v>2380</v>
      </c>
      <c r="N2220" s="5">
        <f t="shared" si="205"/>
        <v>7140</v>
      </c>
      <c r="O2220" s="8" t="s">
        <v>20</v>
      </c>
      <c r="T2220">
        <v>0</v>
      </c>
      <c r="AC2220">
        <v>1</v>
      </c>
    </row>
    <row r="2221" spans="1:29" ht="30" customHeight="1" x14ac:dyDescent="0.3">
      <c r="A2221" s="8" t="s">
        <v>2220</v>
      </c>
      <c r="B2221" s="8" t="s">
        <v>2225</v>
      </c>
      <c r="C2221" s="8" t="s">
        <v>177</v>
      </c>
      <c r="D2221" s="8" t="s">
        <v>2226</v>
      </c>
      <c r="E2221" s="8" t="s">
        <v>179</v>
      </c>
      <c r="F2221" s="9">
        <v>2</v>
      </c>
      <c r="G2221" s="5">
        <f>TRUNC([1]단가대비표!O202,0)</f>
        <v>3050</v>
      </c>
      <c r="H2221" s="5">
        <f t="shared" si="202"/>
        <v>6100</v>
      </c>
      <c r="I2221" s="5">
        <v>0</v>
      </c>
      <c r="J2221" s="5">
        <f t="shared" si="203"/>
        <v>0</v>
      </c>
      <c r="K2221" s="5">
        <v>0</v>
      </c>
      <c r="L2221" s="5">
        <f t="shared" si="204"/>
        <v>0</v>
      </c>
      <c r="M2221" s="5">
        <f t="shared" si="205"/>
        <v>3050</v>
      </c>
      <c r="N2221" s="5">
        <f t="shared" si="205"/>
        <v>6100</v>
      </c>
      <c r="O2221" s="8" t="s">
        <v>20</v>
      </c>
      <c r="T2221">
        <v>0</v>
      </c>
      <c r="AC2221">
        <v>1</v>
      </c>
    </row>
    <row r="2222" spans="1:29" ht="30" customHeight="1" x14ac:dyDescent="0.3">
      <c r="A2222" s="8" t="s">
        <v>2220</v>
      </c>
      <c r="B2222" s="8" t="s">
        <v>2227</v>
      </c>
      <c r="C2222" s="8" t="s">
        <v>177</v>
      </c>
      <c r="D2222" s="8" t="s">
        <v>2228</v>
      </c>
      <c r="E2222" s="8" t="s">
        <v>179</v>
      </c>
      <c r="F2222" s="9">
        <v>1</v>
      </c>
      <c r="G2222" s="5">
        <f>TRUNC([1]단가대비표!O203,0)</f>
        <v>3920</v>
      </c>
      <c r="H2222" s="5">
        <f t="shared" si="202"/>
        <v>3920</v>
      </c>
      <c r="I2222" s="5">
        <v>0</v>
      </c>
      <c r="J2222" s="5">
        <f t="shared" si="203"/>
        <v>0</v>
      </c>
      <c r="K2222" s="5">
        <v>0</v>
      </c>
      <c r="L2222" s="5">
        <f t="shared" si="204"/>
        <v>0</v>
      </c>
      <c r="M2222" s="5">
        <f t="shared" si="205"/>
        <v>3920</v>
      </c>
      <c r="N2222" s="5">
        <f t="shared" si="205"/>
        <v>3920</v>
      </c>
      <c r="O2222" s="8" t="s">
        <v>20</v>
      </c>
      <c r="T2222">
        <v>0</v>
      </c>
      <c r="AC2222">
        <v>1</v>
      </c>
    </row>
    <row r="2223" spans="1:29" ht="30" customHeight="1" x14ac:dyDescent="0.3">
      <c r="A2223" s="8" t="s">
        <v>2220</v>
      </c>
      <c r="B2223" s="8" t="s">
        <v>2086</v>
      </c>
      <c r="C2223" s="8" t="s">
        <v>177</v>
      </c>
      <c r="D2223" s="8" t="s">
        <v>2087</v>
      </c>
      <c r="E2223" s="8" t="s">
        <v>179</v>
      </c>
      <c r="F2223" s="9">
        <v>2</v>
      </c>
      <c r="G2223" s="5">
        <f>TRUNC([1]단가대비표!O207,0)</f>
        <v>1880</v>
      </c>
      <c r="H2223" s="5">
        <f t="shared" si="202"/>
        <v>3760</v>
      </c>
      <c r="I2223" s="5">
        <v>0</v>
      </c>
      <c r="J2223" s="5">
        <f t="shared" si="203"/>
        <v>0</v>
      </c>
      <c r="K2223" s="5">
        <v>0</v>
      </c>
      <c r="L2223" s="5">
        <f t="shared" si="204"/>
        <v>0</v>
      </c>
      <c r="M2223" s="5">
        <f t="shared" si="205"/>
        <v>1880</v>
      </c>
      <c r="N2223" s="5">
        <f t="shared" si="205"/>
        <v>3760</v>
      </c>
      <c r="O2223" s="8" t="s">
        <v>20</v>
      </c>
      <c r="T2223">
        <v>0</v>
      </c>
      <c r="AC2223">
        <v>1</v>
      </c>
    </row>
    <row r="2224" spans="1:29" ht="30" customHeight="1" x14ac:dyDescent="0.3">
      <c r="A2224" s="8" t="s">
        <v>2220</v>
      </c>
      <c r="B2224" s="8" t="s">
        <v>2229</v>
      </c>
      <c r="C2224" s="8" t="s">
        <v>177</v>
      </c>
      <c r="D2224" s="8" t="s">
        <v>2230</v>
      </c>
      <c r="E2224" s="8" t="s">
        <v>179</v>
      </c>
      <c r="F2224" s="9">
        <v>3</v>
      </c>
      <c r="G2224" s="5">
        <f>TRUNC([1]단가대비표!O208,0)</f>
        <v>2370</v>
      </c>
      <c r="H2224" s="5">
        <f t="shared" si="202"/>
        <v>7110</v>
      </c>
      <c r="I2224" s="5">
        <v>0</v>
      </c>
      <c r="J2224" s="5">
        <f t="shared" si="203"/>
        <v>0</v>
      </c>
      <c r="K2224" s="5">
        <v>0</v>
      </c>
      <c r="L2224" s="5">
        <f t="shared" si="204"/>
        <v>0</v>
      </c>
      <c r="M2224" s="5">
        <f t="shared" si="205"/>
        <v>2370</v>
      </c>
      <c r="N2224" s="5">
        <f t="shared" si="205"/>
        <v>7110</v>
      </c>
      <c r="O2224" s="8" t="s">
        <v>20</v>
      </c>
      <c r="T2224">
        <v>0</v>
      </c>
      <c r="AC2224">
        <v>1</v>
      </c>
    </row>
    <row r="2225" spans="1:29" ht="30" customHeight="1" x14ac:dyDescent="0.3">
      <c r="A2225" s="8" t="s">
        <v>2220</v>
      </c>
      <c r="B2225" s="8" t="s">
        <v>2231</v>
      </c>
      <c r="C2225" s="8" t="s">
        <v>177</v>
      </c>
      <c r="D2225" s="8" t="s">
        <v>2232</v>
      </c>
      <c r="E2225" s="8" t="s">
        <v>179</v>
      </c>
      <c r="F2225" s="9">
        <v>1</v>
      </c>
      <c r="G2225" s="5">
        <f>TRUNC([1]단가대비표!O212,0)</f>
        <v>3760</v>
      </c>
      <c r="H2225" s="5">
        <f t="shared" si="202"/>
        <v>3760</v>
      </c>
      <c r="I2225" s="5">
        <v>0</v>
      </c>
      <c r="J2225" s="5">
        <f t="shared" si="203"/>
        <v>0</v>
      </c>
      <c r="K2225" s="5">
        <v>0</v>
      </c>
      <c r="L2225" s="5">
        <f t="shared" si="204"/>
        <v>0</v>
      </c>
      <c r="M2225" s="5">
        <f t="shared" si="205"/>
        <v>3760</v>
      </c>
      <c r="N2225" s="5">
        <f t="shared" si="205"/>
        <v>3760</v>
      </c>
      <c r="O2225" s="8" t="s">
        <v>20</v>
      </c>
      <c r="T2225">
        <v>0</v>
      </c>
      <c r="AC2225">
        <v>1</v>
      </c>
    </row>
    <row r="2226" spans="1:29" ht="30" customHeight="1" x14ac:dyDescent="0.3">
      <c r="A2226" s="8" t="s">
        <v>2220</v>
      </c>
      <c r="B2226" s="8" t="s">
        <v>2233</v>
      </c>
      <c r="C2226" s="8" t="s">
        <v>177</v>
      </c>
      <c r="D2226" s="8" t="s">
        <v>2234</v>
      </c>
      <c r="E2226" s="8" t="s">
        <v>179</v>
      </c>
      <c r="F2226" s="9">
        <v>1</v>
      </c>
      <c r="G2226" s="5">
        <f>TRUNC([1]단가대비표!O214,0)</f>
        <v>4210</v>
      </c>
      <c r="H2226" s="5">
        <f t="shared" si="202"/>
        <v>4210</v>
      </c>
      <c r="I2226" s="5">
        <v>0</v>
      </c>
      <c r="J2226" s="5">
        <f t="shared" si="203"/>
        <v>0</v>
      </c>
      <c r="K2226" s="5">
        <v>0</v>
      </c>
      <c r="L2226" s="5">
        <f t="shared" si="204"/>
        <v>0</v>
      </c>
      <c r="M2226" s="5">
        <f t="shared" si="205"/>
        <v>4210</v>
      </c>
      <c r="N2226" s="5">
        <f t="shared" si="205"/>
        <v>4210</v>
      </c>
      <c r="O2226" s="8" t="s">
        <v>20</v>
      </c>
      <c r="T2226">
        <v>0</v>
      </c>
      <c r="AC2226">
        <v>1</v>
      </c>
    </row>
    <row r="2227" spans="1:29" ht="30" customHeight="1" x14ac:dyDescent="0.3">
      <c r="A2227" s="8" t="s">
        <v>2220</v>
      </c>
      <c r="B2227" s="8" t="s">
        <v>182</v>
      </c>
      <c r="C2227" s="8" t="s">
        <v>183</v>
      </c>
      <c r="D2227" s="8" t="s">
        <v>184</v>
      </c>
      <c r="E2227" s="8" t="s">
        <v>185</v>
      </c>
      <c r="F2227" s="9">
        <v>8</v>
      </c>
      <c r="G2227" s="5" t="e">
        <f>'[2].xls].xls].xls].xls].xls].xls].xls].'!E25</f>
        <v>#REF!</v>
      </c>
      <c r="H2227" s="5" t="e">
        <f t="shared" si="202"/>
        <v>#REF!</v>
      </c>
      <c r="I2227" s="5" t="e">
        <f>'[2].xls].xls].xls].xls].xls].xls].xls].'!F25</f>
        <v>#REF!</v>
      </c>
      <c r="J2227" s="5" t="e">
        <f t="shared" si="203"/>
        <v>#REF!</v>
      </c>
      <c r="K2227" s="5" t="e">
        <f>'[2].xls].xls].xls].xls].xls].xls].xls].'!G25</f>
        <v>#REF!</v>
      </c>
      <c r="L2227" s="5" t="e">
        <f t="shared" si="204"/>
        <v>#REF!</v>
      </c>
      <c r="M2227" s="5" t="e">
        <f t="shared" si="205"/>
        <v>#REF!</v>
      </c>
      <c r="N2227" s="5" t="e">
        <f t="shared" si="205"/>
        <v>#REF!</v>
      </c>
      <c r="O2227" s="8" t="s">
        <v>182</v>
      </c>
      <c r="T2227">
        <v>0</v>
      </c>
      <c r="AC2227">
        <v>1</v>
      </c>
    </row>
    <row r="2228" spans="1:29" ht="30" customHeight="1" x14ac:dyDescent="0.3">
      <c r="A2228" s="8" t="s">
        <v>2220</v>
      </c>
      <c r="B2228" s="8" t="s">
        <v>2235</v>
      </c>
      <c r="C2228" s="8" t="s">
        <v>183</v>
      </c>
      <c r="D2228" s="8" t="s">
        <v>484</v>
      </c>
      <c r="E2228" s="8" t="s">
        <v>185</v>
      </c>
      <c r="F2228" s="9">
        <v>7</v>
      </c>
      <c r="G2228" s="5" t="e">
        <f>'[2].xls].xls].xls].xls].xls].xls].xls].'!E26</f>
        <v>#REF!</v>
      </c>
      <c r="H2228" s="5" t="e">
        <f t="shared" si="202"/>
        <v>#REF!</v>
      </c>
      <c r="I2228" s="5" t="e">
        <f>'[2].xls].xls].xls].xls].xls].xls].xls].'!F26</f>
        <v>#REF!</v>
      </c>
      <c r="J2228" s="5" t="e">
        <f t="shared" si="203"/>
        <v>#REF!</v>
      </c>
      <c r="K2228" s="5" t="e">
        <f>'[2].xls].xls].xls].xls].xls].xls].xls].'!G26</f>
        <v>#REF!</v>
      </c>
      <c r="L2228" s="5" t="e">
        <f t="shared" si="204"/>
        <v>#REF!</v>
      </c>
      <c r="M2228" s="5" t="e">
        <f t="shared" si="205"/>
        <v>#REF!</v>
      </c>
      <c r="N2228" s="5" t="e">
        <f t="shared" si="205"/>
        <v>#REF!</v>
      </c>
      <c r="O2228" s="8" t="s">
        <v>2235</v>
      </c>
      <c r="T2228">
        <v>0</v>
      </c>
      <c r="AC2228">
        <v>1</v>
      </c>
    </row>
    <row r="2229" spans="1:29" ht="30" customHeight="1" x14ac:dyDescent="0.3">
      <c r="A2229" s="8" t="s">
        <v>2220</v>
      </c>
      <c r="B2229" s="8" t="s">
        <v>2236</v>
      </c>
      <c r="C2229" s="8" t="s">
        <v>183</v>
      </c>
      <c r="D2229" s="8" t="s">
        <v>444</v>
      </c>
      <c r="E2229" s="8" t="s">
        <v>185</v>
      </c>
      <c r="F2229" s="9">
        <v>7</v>
      </c>
      <c r="G2229" s="5" t="e">
        <f>'[2].xls].xls].xls].xls].xls].xls].xls].'!E27</f>
        <v>#REF!</v>
      </c>
      <c r="H2229" s="5" t="e">
        <f t="shared" si="202"/>
        <v>#REF!</v>
      </c>
      <c r="I2229" s="5" t="e">
        <f>'[2].xls].xls].xls].xls].xls].xls].xls].'!F27</f>
        <v>#REF!</v>
      </c>
      <c r="J2229" s="5" t="e">
        <f t="shared" si="203"/>
        <v>#REF!</v>
      </c>
      <c r="K2229" s="5" t="e">
        <f>'[2].xls].xls].xls].xls].xls].xls].xls].'!G27</f>
        <v>#REF!</v>
      </c>
      <c r="L2229" s="5" t="e">
        <f t="shared" si="204"/>
        <v>#REF!</v>
      </c>
      <c r="M2229" s="5" t="e">
        <f t="shared" si="205"/>
        <v>#REF!</v>
      </c>
      <c r="N2229" s="5" t="e">
        <f t="shared" si="205"/>
        <v>#REF!</v>
      </c>
      <c r="O2229" s="8" t="s">
        <v>2236</v>
      </c>
      <c r="T2229">
        <v>0</v>
      </c>
      <c r="AC2229">
        <v>1</v>
      </c>
    </row>
    <row r="2230" spans="1:29" ht="30" customHeight="1" x14ac:dyDescent="0.3">
      <c r="A2230" s="5"/>
      <c r="B2230" s="5"/>
      <c r="C2230" s="5"/>
      <c r="D2230" s="5"/>
      <c r="E2230" s="5"/>
      <c r="F2230" s="9"/>
      <c r="G2230" s="5"/>
      <c r="H2230" s="5"/>
      <c r="I2230" s="5"/>
      <c r="J2230" s="5"/>
      <c r="K2230" s="5"/>
      <c r="L2230" s="5"/>
      <c r="M2230" s="5"/>
      <c r="N2230" s="5"/>
      <c r="O2230" s="5"/>
    </row>
    <row r="2231" spans="1:29" ht="30" customHeight="1" x14ac:dyDescent="0.3">
      <c r="A2231" s="5"/>
      <c r="B2231" s="5"/>
      <c r="C2231" s="5"/>
      <c r="D2231" s="5"/>
      <c r="E2231" s="5"/>
      <c r="F2231" s="9"/>
      <c r="G2231" s="5"/>
      <c r="H2231" s="5"/>
      <c r="I2231" s="5"/>
      <c r="J2231" s="5"/>
      <c r="K2231" s="5"/>
      <c r="L2231" s="5"/>
      <c r="M2231" s="5"/>
      <c r="N2231" s="5"/>
      <c r="O2231" s="5"/>
    </row>
    <row r="2232" spans="1:29" ht="30" customHeight="1" x14ac:dyDescent="0.3">
      <c r="A2232" s="5"/>
      <c r="B2232" s="5"/>
      <c r="C2232" s="5"/>
      <c r="D2232" s="5"/>
      <c r="E2232" s="5"/>
      <c r="F2232" s="9"/>
      <c r="G2232" s="5"/>
      <c r="H2232" s="5"/>
      <c r="I2232" s="5"/>
      <c r="J2232" s="5"/>
      <c r="K2232" s="5"/>
      <c r="L2232" s="5"/>
      <c r="M2232" s="5"/>
      <c r="N2232" s="5"/>
      <c r="O2232" s="5"/>
    </row>
    <row r="2233" spans="1:29" ht="30" customHeight="1" x14ac:dyDescent="0.3">
      <c r="A2233" s="5"/>
      <c r="B2233" s="5"/>
      <c r="C2233" s="5"/>
      <c r="D2233" s="5"/>
      <c r="E2233" s="5"/>
      <c r="F2233" s="9"/>
      <c r="G2233" s="5"/>
      <c r="H2233" s="5"/>
      <c r="I2233" s="5"/>
      <c r="J2233" s="5"/>
      <c r="K2233" s="5"/>
      <c r="L2233" s="5"/>
      <c r="M2233" s="5"/>
      <c r="N2233" s="5"/>
      <c r="O2233" s="5"/>
    </row>
    <row r="2234" spans="1:29" ht="30" customHeight="1" x14ac:dyDescent="0.3">
      <c r="A2234" s="5"/>
      <c r="B2234" s="5"/>
      <c r="C2234" s="5"/>
      <c r="D2234" s="5"/>
      <c r="E2234" s="5"/>
      <c r="F2234" s="9"/>
      <c r="G2234" s="5"/>
      <c r="H2234" s="5"/>
      <c r="I2234" s="5"/>
      <c r="J2234" s="5"/>
      <c r="K2234" s="5"/>
      <c r="L2234" s="5"/>
      <c r="M2234" s="5"/>
      <c r="N2234" s="5"/>
      <c r="O2234" s="5"/>
    </row>
    <row r="2235" spans="1:29" ht="30" customHeight="1" x14ac:dyDescent="0.3">
      <c r="A2235" s="5"/>
      <c r="B2235" s="5"/>
      <c r="C2235" s="5"/>
      <c r="D2235" s="5"/>
      <c r="E2235" s="5"/>
      <c r="F2235" s="9"/>
      <c r="G2235" s="5"/>
      <c r="H2235" s="5"/>
      <c r="I2235" s="5"/>
      <c r="J2235" s="5"/>
      <c r="K2235" s="5"/>
      <c r="L2235" s="5"/>
      <c r="M2235" s="5"/>
      <c r="N2235" s="5"/>
      <c r="O2235" s="5"/>
    </row>
    <row r="2236" spans="1:29" ht="30" customHeight="1" x14ac:dyDescent="0.3">
      <c r="A2236" s="5"/>
      <c r="B2236" s="5"/>
      <c r="C2236" s="5"/>
      <c r="D2236" s="5"/>
      <c r="E2236" s="5"/>
      <c r="F2236" s="9"/>
      <c r="G2236" s="5"/>
      <c r="H2236" s="5"/>
      <c r="I2236" s="5"/>
      <c r="J2236" s="5"/>
      <c r="K2236" s="5"/>
      <c r="L2236" s="5"/>
      <c r="M2236" s="5"/>
      <c r="N2236" s="5"/>
      <c r="O2236" s="5"/>
    </row>
    <row r="2237" spans="1:29" ht="30" customHeight="1" x14ac:dyDescent="0.3">
      <c r="A2237" s="5"/>
      <c r="B2237" s="5"/>
      <c r="C2237" s="5"/>
      <c r="D2237" s="5"/>
      <c r="E2237" s="5"/>
      <c r="F2237" s="9"/>
      <c r="G2237" s="5"/>
      <c r="H2237" s="5"/>
      <c r="I2237" s="5"/>
      <c r="J2237" s="5"/>
      <c r="K2237" s="5"/>
      <c r="L2237" s="5"/>
      <c r="M2237" s="5"/>
      <c r="N2237" s="5"/>
      <c r="O2237" s="5"/>
    </row>
    <row r="2238" spans="1:29" ht="30" customHeight="1" x14ac:dyDescent="0.3">
      <c r="A2238" s="5"/>
      <c r="B2238" s="5"/>
      <c r="C2238" s="5"/>
      <c r="D2238" s="5"/>
      <c r="E2238" s="5"/>
      <c r="F2238" s="9"/>
      <c r="G2238" s="5"/>
      <c r="H2238" s="5"/>
      <c r="I2238" s="5"/>
      <c r="J2238" s="5"/>
      <c r="K2238" s="5"/>
      <c r="L2238" s="5"/>
      <c r="M2238" s="5"/>
      <c r="N2238" s="5"/>
      <c r="O2238" s="5"/>
    </row>
    <row r="2239" spans="1:29" ht="30" customHeight="1" x14ac:dyDescent="0.3">
      <c r="A2239" s="5"/>
      <c r="B2239" s="5"/>
      <c r="C2239" s="5" t="s">
        <v>162</v>
      </c>
      <c r="D2239" s="5"/>
      <c r="E2239" s="5"/>
      <c r="F2239" s="9"/>
      <c r="G2239" s="5"/>
      <c r="H2239" s="5" t="e">
        <f>SUMIF(AC2215:AC2238, 1, H2215:H2238)</f>
        <v>#REF!</v>
      </c>
      <c r="I2239" s="5"/>
      <c r="J2239" s="5" t="e">
        <f>SUMIF(AC2215:AC2238, 1, J2215:J2238)</f>
        <v>#REF!</v>
      </c>
      <c r="K2239" s="5"/>
      <c r="L2239" s="5" t="e">
        <f>SUMIF(AC2215:AC2238, 1, L2215:L2238)</f>
        <v>#REF!</v>
      </c>
      <c r="M2239" s="5"/>
      <c r="N2239" s="5" t="e">
        <f>H2239+J2239+L2239</f>
        <v>#REF!</v>
      </c>
      <c r="O2239" s="5"/>
    </row>
    <row r="2240" spans="1:29" ht="30" customHeight="1" x14ac:dyDescent="0.3">
      <c r="A2240" s="5"/>
      <c r="B2240" s="5"/>
      <c r="C2240" s="10" t="s">
        <v>2237</v>
      </c>
      <c r="D2240" s="10"/>
      <c r="E2240" s="10"/>
      <c r="F2240" s="11"/>
      <c r="G2240" s="10"/>
      <c r="H2240" s="10"/>
      <c r="I2240" s="10"/>
      <c r="J2240" s="10"/>
      <c r="K2240" s="10"/>
      <c r="L2240" s="10"/>
      <c r="M2240" s="10"/>
      <c r="N2240" s="10"/>
      <c r="O2240" s="10"/>
    </row>
    <row r="2241" spans="1:29" ht="30" customHeight="1" x14ac:dyDescent="0.3">
      <c r="A2241" s="8" t="s">
        <v>2238</v>
      </c>
      <c r="B2241" s="8" t="s">
        <v>718</v>
      </c>
      <c r="C2241" s="8" t="s">
        <v>719</v>
      </c>
      <c r="D2241" s="8" t="s">
        <v>720</v>
      </c>
      <c r="E2241" s="8" t="s">
        <v>721</v>
      </c>
      <c r="F2241" s="9">
        <v>1</v>
      </c>
      <c r="G2241" s="5">
        <f>TRUNC([1]단가대비표!O36,0)</f>
        <v>198900</v>
      </c>
      <c r="H2241" s="5">
        <f t="shared" ref="H2241:H2247" si="206">TRUNC(F2241*G2241,0)</f>
        <v>198900</v>
      </c>
      <c r="I2241" s="5">
        <v>0</v>
      </c>
      <c r="J2241" s="5">
        <f t="shared" ref="J2241:J2247" si="207">TRUNC(F2241*I2241,0)</f>
        <v>0</v>
      </c>
      <c r="K2241" s="5">
        <v>0</v>
      </c>
      <c r="L2241" s="5">
        <f t="shared" ref="L2241:L2247" si="208">TRUNC(F2241*K2241,0)</f>
        <v>0</v>
      </c>
      <c r="M2241" s="5">
        <f t="shared" ref="M2241:N2247" si="209">G2241+I2241+K2241</f>
        <v>198900</v>
      </c>
      <c r="N2241" s="5">
        <f t="shared" si="209"/>
        <v>198900</v>
      </c>
      <c r="O2241" s="8" t="s">
        <v>20</v>
      </c>
      <c r="T2241">
        <v>0</v>
      </c>
      <c r="AC2241">
        <v>1</v>
      </c>
    </row>
    <row r="2242" spans="1:29" ht="30" customHeight="1" x14ac:dyDescent="0.3">
      <c r="A2242" s="8" t="s">
        <v>2238</v>
      </c>
      <c r="B2242" s="8" t="s">
        <v>733</v>
      </c>
      <c r="C2242" s="8" t="s">
        <v>734</v>
      </c>
      <c r="D2242" s="8" t="s">
        <v>735</v>
      </c>
      <c r="E2242" s="8" t="s">
        <v>721</v>
      </c>
      <c r="F2242" s="9">
        <v>1</v>
      </c>
      <c r="G2242" s="5">
        <f>TRUNC([1]단가대비표!O33,0)</f>
        <v>178500</v>
      </c>
      <c r="H2242" s="5">
        <f t="shared" si="206"/>
        <v>178500</v>
      </c>
      <c r="I2242" s="5">
        <v>0</v>
      </c>
      <c r="J2242" s="5">
        <f t="shared" si="207"/>
        <v>0</v>
      </c>
      <c r="K2242" s="5">
        <v>0</v>
      </c>
      <c r="L2242" s="5">
        <f t="shared" si="208"/>
        <v>0</v>
      </c>
      <c r="M2242" s="5">
        <f t="shared" si="209"/>
        <v>178500</v>
      </c>
      <c r="N2242" s="5">
        <f t="shared" si="209"/>
        <v>178500</v>
      </c>
      <c r="O2242" s="8" t="s">
        <v>20</v>
      </c>
      <c r="T2242">
        <v>0</v>
      </c>
      <c r="AC2242">
        <v>1</v>
      </c>
    </row>
    <row r="2243" spans="1:29" ht="30" customHeight="1" x14ac:dyDescent="0.3">
      <c r="A2243" s="8" t="s">
        <v>2238</v>
      </c>
      <c r="B2243" s="8" t="s">
        <v>750</v>
      </c>
      <c r="C2243" s="8" t="s">
        <v>751</v>
      </c>
      <c r="D2243" s="8" t="s">
        <v>20</v>
      </c>
      <c r="E2243" s="8" t="s">
        <v>179</v>
      </c>
      <c r="F2243" s="9">
        <v>1</v>
      </c>
      <c r="G2243" s="5">
        <f>TRUNC([1]단가대비표!O34,0)</f>
        <v>8075</v>
      </c>
      <c r="H2243" s="5">
        <f t="shared" si="206"/>
        <v>8075</v>
      </c>
      <c r="I2243" s="5">
        <v>0</v>
      </c>
      <c r="J2243" s="5">
        <f t="shared" si="207"/>
        <v>0</v>
      </c>
      <c r="K2243" s="5">
        <v>0</v>
      </c>
      <c r="L2243" s="5">
        <f t="shared" si="208"/>
        <v>0</v>
      </c>
      <c r="M2243" s="5">
        <f t="shared" si="209"/>
        <v>8075</v>
      </c>
      <c r="N2243" s="5">
        <f t="shared" si="209"/>
        <v>8075</v>
      </c>
      <c r="O2243" s="8" t="s">
        <v>20</v>
      </c>
      <c r="T2243">
        <v>0</v>
      </c>
      <c r="AC2243">
        <v>1</v>
      </c>
    </row>
    <row r="2244" spans="1:29" ht="30" customHeight="1" x14ac:dyDescent="0.3">
      <c r="A2244" s="8" t="s">
        <v>2238</v>
      </c>
      <c r="B2244" s="8" t="s">
        <v>752</v>
      </c>
      <c r="C2244" s="8" t="s">
        <v>753</v>
      </c>
      <c r="D2244" s="8" t="s">
        <v>20</v>
      </c>
      <c r="E2244" s="8" t="s">
        <v>179</v>
      </c>
      <c r="F2244" s="9">
        <v>1</v>
      </c>
      <c r="G2244" s="5">
        <f>TRUNC([1]단가대비표!O35,0)</f>
        <v>6720</v>
      </c>
      <c r="H2244" s="5">
        <f t="shared" si="206"/>
        <v>6720</v>
      </c>
      <c r="I2244" s="5">
        <v>0</v>
      </c>
      <c r="J2244" s="5">
        <f t="shared" si="207"/>
        <v>0</v>
      </c>
      <c r="K2244" s="5">
        <v>0</v>
      </c>
      <c r="L2244" s="5">
        <f t="shared" si="208"/>
        <v>0</v>
      </c>
      <c r="M2244" s="5">
        <f t="shared" si="209"/>
        <v>6720</v>
      </c>
      <c r="N2244" s="5">
        <f t="shared" si="209"/>
        <v>6720</v>
      </c>
      <c r="O2244" s="8" t="s">
        <v>20</v>
      </c>
      <c r="T2244">
        <v>0</v>
      </c>
      <c r="AC2244">
        <v>1</v>
      </c>
    </row>
    <row r="2245" spans="1:29" ht="30" customHeight="1" x14ac:dyDescent="0.3">
      <c r="A2245" s="8" t="s">
        <v>2238</v>
      </c>
      <c r="B2245" s="8" t="s">
        <v>152</v>
      </c>
      <c r="C2245" s="8" t="s">
        <v>153</v>
      </c>
      <c r="D2245" s="8" t="s">
        <v>154</v>
      </c>
      <c r="E2245" s="8" t="s">
        <v>155</v>
      </c>
      <c r="F2245" s="9">
        <v>1</v>
      </c>
      <c r="G2245" s="5">
        <v>0</v>
      </c>
      <c r="H2245" s="5">
        <f t="shared" si="206"/>
        <v>0</v>
      </c>
      <c r="I2245" s="5">
        <f>TRUNC([1]단가대비표!O671,0)</f>
        <v>157068</v>
      </c>
      <c r="J2245" s="5">
        <f t="shared" si="207"/>
        <v>157068</v>
      </c>
      <c r="K2245" s="5">
        <v>0</v>
      </c>
      <c r="L2245" s="5">
        <f t="shared" si="208"/>
        <v>0</v>
      </c>
      <c r="M2245" s="5">
        <f t="shared" si="209"/>
        <v>157068</v>
      </c>
      <c r="N2245" s="5">
        <f t="shared" si="209"/>
        <v>157068</v>
      </c>
      <c r="O2245" s="8" t="s">
        <v>20</v>
      </c>
      <c r="T2245">
        <v>0</v>
      </c>
      <c r="W2245">
        <v>3</v>
      </c>
      <c r="AC2245">
        <v>1</v>
      </c>
    </row>
    <row r="2246" spans="1:29" ht="30" customHeight="1" x14ac:dyDescent="0.3">
      <c r="A2246" s="8" t="s">
        <v>2238</v>
      </c>
      <c r="B2246" s="8" t="s">
        <v>761</v>
      </c>
      <c r="C2246" s="8" t="s">
        <v>153</v>
      </c>
      <c r="D2246" s="8" t="s">
        <v>762</v>
      </c>
      <c r="E2246" s="8" t="s">
        <v>155</v>
      </c>
      <c r="F2246" s="9">
        <v>1</v>
      </c>
      <c r="G2246" s="5">
        <v>0</v>
      </c>
      <c r="H2246" s="5">
        <f t="shared" si="206"/>
        <v>0</v>
      </c>
      <c r="I2246" s="5">
        <f>TRUNC([1]단가대비표!O673,0)</f>
        <v>202504</v>
      </c>
      <c r="J2246" s="5">
        <f t="shared" si="207"/>
        <v>202504</v>
      </c>
      <c r="K2246" s="5">
        <v>0</v>
      </c>
      <c r="L2246" s="5">
        <f t="shared" si="208"/>
        <v>0</v>
      </c>
      <c r="M2246" s="5">
        <f t="shared" si="209"/>
        <v>202504</v>
      </c>
      <c r="N2246" s="5">
        <f t="shared" si="209"/>
        <v>202504</v>
      </c>
      <c r="O2246" s="8" t="s">
        <v>20</v>
      </c>
      <c r="T2246">
        <v>0</v>
      </c>
      <c r="W2246">
        <v>3</v>
      </c>
      <c r="AC2246">
        <v>1</v>
      </c>
    </row>
    <row r="2247" spans="1:29" ht="30" customHeight="1" x14ac:dyDescent="0.3">
      <c r="A2247" s="8" t="s">
        <v>2238</v>
      </c>
      <c r="B2247" s="8" t="s">
        <v>158</v>
      </c>
      <c r="C2247" s="8" t="s">
        <v>159</v>
      </c>
      <c r="D2247" s="8" t="s">
        <v>160</v>
      </c>
      <c r="E2247" s="8" t="s">
        <v>161</v>
      </c>
      <c r="F2247" s="9">
        <v>1</v>
      </c>
      <c r="G2247" s="5">
        <f>ROUNDDOWN(SUMIF(W2241:W2247, RIGHTB(B2247, 1), J2241:J2247)*T2247, 0)</f>
        <v>7191</v>
      </c>
      <c r="H2247" s="5">
        <f t="shared" si="206"/>
        <v>7191</v>
      </c>
      <c r="I2247" s="5">
        <v>0</v>
      </c>
      <c r="J2247" s="5">
        <f t="shared" si="207"/>
        <v>0</v>
      </c>
      <c r="K2247" s="5">
        <v>0</v>
      </c>
      <c r="L2247" s="5">
        <f t="shared" si="208"/>
        <v>0</v>
      </c>
      <c r="M2247" s="5">
        <f t="shared" si="209"/>
        <v>7191</v>
      </c>
      <c r="N2247" s="5">
        <f t="shared" si="209"/>
        <v>7191</v>
      </c>
      <c r="O2247" s="8" t="s">
        <v>20</v>
      </c>
      <c r="P2247">
        <v>2247</v>
      </c>
      <c r="R2247">
        <v>1</v>
      </c>
      <c r="S2247">
        <v>0</v>
      </c>
      <c r="T2247">
        <v>0.02</v>
      </c>
      <c r="AC2247">
        <v>1</v>
      </c>
    </row>
    <row r="2248" spans="1:29" ht="30" customHeight="1" x14ac:dyDescent="0.3">
      <c r="A2248" s="5"/>
      <c r="B2248" s="5"/>
      <c r="C2248" s="5"/>
      <c r="D2248" s="5"/>
      <c r="E2248" s="5"/>
      <c r="F2248" s="9"/>
      <c r="G2248" s="5"/>
      <c r="H2248" s="5"/>
      <c r="I2248" s="5"/>
      <c r="J2248" s="5"/>
      <c r="K2248" s="5"/>
      <c r="L2248" s="5"/>
      <c r="M2248" s="5"/>
      <c r="N2248" s="5"/>
      <c r="O2248" s="5"/>
    </row>
    <row r="2249" spans="1:29" ht="30" customHeight="1" x14ac:dyDescent="0.3">
      <c r="A2249" s="5"/>
      <c r="B2249" s="5"/>
      <c r="C2249" s="5"/>
      <c r="D2249" s="5"/>
      <c r="E2249" s="5"/>
      <c r="F2249" s="9"/>
      <c r="G2249" s="5"/>
      <c r="H2249" s="5"/>
      <c r="I2249" s="5"/>
      <c r="J2249" s="5"/>
      <c r="K2249" s="5"/>
      <c r="L2249" s="5"/>
      <c r="M2249" s="5"/>
      <c r="N2249" s="5"/>
      <c r="O2249" s="5"/>
    </row>
    <row r="2250" spans="1:29" ht="30" customHeight="1" x14ac:dyDescent="0.3">
      <c r="A2250" s="5"/>
      <c r="B2250" s="5"/>
      <c r="C2250" s="5"/>
      <c r="D2250" s="5"/>
      <c r="E2250" s="5"/>
      <c r="F2250" s="9"/>
      <c r="G2250" s="5"/>
      <c r="H2250" s="5"/>
      <c r="I2250" s="5"/>
      <c r="J2250" s="5"/>
      <c r="K2250" s="5"/>
      <c r="L2250" s="5"/>
      <c r="M2250" s="5"/>
      <c r="N2250" s="5"/>
      <c r="O2250" s="5"/>
    </row>
    <row r="2251" spans="1:29" ht="30" customHeight="1" x14ac:dyDescent="0.3">
      <c r="A2251" s="5"/>
      <c r="B2251" s="5"/>
      <c r="C2251" s="5"/>
      <c r="D2251" s="5"/>
      <c r="E2251" s="5"/>
      <c r="F2251" s="9"/>
      <c r="G2251" s="5"/>
      <c r="H2251" s="5"/>
      <c r="I2251" s="5"/>
      <c r="J2251" s="5"/>
      <c r="K2251" s="5"/>
      <c r="L2251" s="5"/>
      <c r="M2251" s="5"/>
      <c r="N2251" s="5"/>
      <c r="O2251" s="5"/>
    </row>
    <row r="2252" spans="1:29" ht="30" customHeight="1" x14ac:dyDescent="0.3">
      <c r="A2252" s="5"/>
      <c r="B2252" s="5"/>
      <c r="C2252" s="5"/>
      <c r="D2252" s="5"/>
      <c r="E2252" s="5"/>
      <c r="F2252" s="9"/>
      <c r="G2252" s="5"/>
      <c r="H2252" s="5"/>
      <c r="I2252" s="5"/>
      <c r="J2252" s="5"/>
      <c r="K2252" s="5"/>
      <c r="L2252" s="5"/>
      <c r="M2252" s="5"/>
      <c r="N2252" s="5"/>
      <c r="O2252" s="5"/>
    </row>
    <row r="2253" spans="1:29" ht="30" customHeight="1" x14ac:dyDescent="0.3">
      <c r="A2253" s="5"/>
      <c r="B2253" s="5"/>
      <c r="C2253" s="5"/>
      <c r="D2253" s="5"/>
      <c r="E2253" s="5"/>
      <c r="F2253" s="9"/>
      <c r="G2253" s="5"/>
      <c r="H2253" s="5"/>
      <c r="I2253" s="5"/>
      <c r="J2253" s="5"/>
      <c r="K2253" s="5"/>
      <c r="L2253" s="5"/>
      <c r="M2253" s="5"/>
      <c r="N2253" s="5"/>
      <c r="O2253" s="5"/>
    </row>
    <row r="2254" spans="1:29" ht="30" customHeight="1" x14ac:dyDescent="0.3">
      <c r="A2254" s="5"/>
      <c r="B2254" s="5"/>
      <c r="C2254" s="5"/>
      <c r="D2254" s="5"/>
      <c r="E2254" s="5"/>
      <c r="F2254" s="9"/>
      <c r="G2254" s="5"/>
      <c r="H2254" s="5"/>
      <c r="I2254" s="5"/>
      <c r="J2254" s="5"/>
      <c r="K2254" s="5"/>
      <c r="L2254" s="5"/>
      <c r="M2254" s="5"/>
      <c r="N2254" s="5"/>
      <c r="O2254" s="5"/>
    </row>
    <row r="2255" spans="1:29" ht="30" customHeight="1" x14ac:dyDescent="0.3">
      <c r="A2255" s="5"/>
      <c r="B2255" s="5"/>
      <c r="C2255" s="5"/>
      <c r="D2255" s="5"/>
      <c r="E2255" s="5"/>
      <c r="F2255" s="9"/>
      <c r="G2255" s="5"/>
      <c r="H2255" s="5"/>
      <c r="I2255" s="5"/>
      <c r="J2255" s="5"/>
      <c r="K2255" s="5"/>
      <c r="L2255" s="5"/>
      <c r="M2255" s="5"/>
      <c r="N2255" s="5"/>
      <c r="O2255" s="5"/>
    </row>
    <row r="2256" spans="1:29" ht="30" customHeight="1" x14ac:dyDescent="0.3">
      <c r="A2256" s="5"/>
      <c r="B2256" s="5"/>
      <c r="C2256" s="5"/>
      <c r="D2256" s="5"/>
      <c r="E2256" s="5"/>
      <c r="F2256" s="9"/>
      <c r="G2256" s="5"/>
      <c r="H2256" s="5"/>
      <c r="I2256" s="5"/>
      <c r="J2256" s="5"/>
      <c r="K2256" s="5"/>
      <c r="L2256" s="5"/>
      <c r="M2256" s="5"/>
      <c r="N2256" s="5"/>
      <c r="O2256" s="5"/>
    </row>
    <row r="2257" spans="1:29" ht="30" customHeight="1" x14ac:dyDescent="0.3">
      <c r="A2257" s="5"/>
      <c r="B2257" s="5"/>
      <c r="C2257" s="5"/>
      <c r="D2257" s="5"/>
      <c r="E2257" s="5"/>
      <c r="F2257" s="9"/>
      <c r="G2257" s="5"/>
      <c r="H2257" s="5"/>
      <c r="I2257" s="5"/>
      <c r="J2257" s="5"/>
      <c r="K2257" s="5"/>
      <c r="L2257" s="5"/>
      <c r="M2257" s="5"/>
      <c r="N2257" s="5"/>
      <c r="O2257" s="5"/>
    </row>
    <row r="2258" spans="1:29" ht="30" customHeight="1" x14ac:dyDescent="0.3">
      <c r="A2258" s="5"/>
      <c r="B2258" s="5"/>
      <c r="C2258" s="5"/>
      <c r="D2258" s="5"/>
      <c r="E2258" s="5"/>
      <c r="F2258" s="9"/>
      <c r="G2258" s="5"/>
      <c r="H2258" s="5"/>
      <c r="I2258" s="5"/>
      <c r="J2258" s="5"/>
      <c r="K2258" s="5"/>
      <c r="L2258" s="5"/>
      <c r="M2258" s="5"/>
      <c r="N2258" s="5"/>
      <c r="O2258" s="5"/>
    </row>
    <row r="2259" spans="1:29" ht="30" customHeight="1" x14ac:dyDescent="0.3">
      <c r="A2259" s="5"/>
      <c r="B2259" s="5"/>
      <c r="C2259" s="5"/>
      <c r="D2259" s="5"/>
      <c r="E2259" s="5"/>
      <c r="F2259" s="9"/>
      <c r="G2259" s="5"/>
      <c r="H2259" s="5"/>
      <c r="I2259" s="5"/>
      <c r="J2259" s="5"/>
      <c r="K2259" s="5"/>
      <c r="L2259" s="5"/>
      <c r="M2259" s="5"/>
      <c r="N2259" s="5"/>
      <c r="O2259" s="5"/>
    </row>
    <row r="2260" spans="1:29" ht="30" customHeight="1" x14ac:dyDescent="0.3">
      <c r="A2260" s="5"/>
      <c r="B2260" s="5"/>
      <c r="C2260" s="5"/>
      <c r="D2260" s="5"/>
      <c r="E2260" s="5"/>
      <c r="F2260" s="9"/>
      <c r="G2260" s="5"/>
      <c r="H2260" s="5"/>
      <c r="I2260" s="5"/>
      <c r="J2260" s="5"/>
      <c r="K2260" s="5"/>
      <c r="L2260" s="5"/>
      <c r="M2260" s="5"/>
      <c r="N2260" s="5"/>
      <c r="O2260" s="5"/>
    </row>
    <row r="2261" spans="1:29" ht="30" customHeight="1" x14ac:dyDescent="0.3">
      <c r="A2261" s="5"/>
      <c r="B2261" s="5"/>
      <c r="C2261" s="5"/>
      <c r="D2261" s="5"/>
      <c r="E2261" s="5"/>
      <c r="F2261" s="9"/>
      <c r="G2261" s="5"/>
      <c r="H2261" s="5"/>
      <c r="I2261" s="5"/>
      <c r="J2261" s="5"/>
      <c r="K2261" s="5"/>
      <c r="L2261" s="5"/>
      <c r="M2261" s="5"/>
      <c r="N2261" s="5"/>
      <c r="O2261" s="5"/>
    </row>
    <row r="2262" spans="1:29" ht="30" customHeight="1" x14ac:dyDescent="0.3">
      <c r="A2262" s="5"/>
      <c r="B2262" s="5"/>
      <c r="C2262" s="5"/>
      <c r="D2262" s="5"/>
      <c r="E2262" s="5"/>
      <c r="F2262" s="9"/>
      <c r="G2262" s="5"/>
      <c r="H2262" s="5"/>
      <c r="I2262" s="5"/>
      <c r="J2262" s="5"/>
      <c r="K2262" s="5"/>
      <c r="L2262" s="5"/>
      <c r="M2262" s="5"/>
      <c r="N2262" s="5"/>
      <c r="O2262" s="5"/>
    </row>
    <row r="2263" spans="1:29" ht="30" customHeight="1" x14ac:dyDescent="0.3">
      <c r="A2263" s="5"/>
      <c r="B2263" s="5"/>
      <c r="C2263" s="5"/>
      <c r="D2263" s="5"/>
      <c r="E2263" s="5"/>
      <c r="F2263" s="9"/>
      <c r="G2263" s="5"/>
      <c r="H2263" s="5"/>
      <c r="I2263" s="5"/>
      <c r="J2263" s="5"/>
      <c r="K2263" s="5"/>
      <c r="L2263" s="5"/>
      <c r="M2263" s="5"/>
      <c r="N2263" s="5"/>
      <c r="O2263" s="5"/>
    </row>
    <row r="2264" spans="1:29" ht="30" customHeight="1" x14ac:dyDescent="0.3">
      <c r="A2264" s="5"/>
      <c r="B2264" s="5"/>
      <c r="C2264" s="5"/>
      <c r="D2264" s="5"/>
      <c r="E2264" s="5"/>
      <c r="F2264" s="9"/>
      <c r="G2264" s="5"/>
      <c r="H2264" s="5"/>
      <c r="I2264" s="5"/>
      <c r="J2264" s="5"/>
      <c r="K2264" s="5"/>
      <c r="L2264" s="5"/>
      <c r="M2264" s="5"/>
      <c r="N2264" s="5"/>
      <c r="O2264" s="5"/>
    </row>
    <row r="2265" spans="1:29" ht="30" customHeight="1" x14ac:dyDescent="0.3">
      <c r="A2265" s="5"/>
      <c r="B2265" s="5"/>
      <c r="C2265" s="5" t="s">
        <v>162</v>
      </c>
      <c r="D2265" s="5"/>
      <c r="E2265" s="5"/>
      <c r="F2265" s="9"/>
      <c r="G2265" s="5"/>
      <c r="H2265" s="5">
        <f>SUMIF(AC2241:AC2264, 1, H2241:H2264)</f>
        <v>399386</v>
      </c>
      <c r="I2265" s="5"/>
      <c r="J2265" s="5">
        <f>SUMIF(AC2241:AC2264, 1, J2241:J2264)</f>
        <v>359572</v>
      </c>
      <c r="K2265" s="5"/>
      <c r="L2265" s="5">
        <f>SUMIF(AC2241:AC2264, 1, L2241:L2264)</f>
        <v>0</v>
      </c>
      <c r="M2265" s="5"/>
      <c r="N2265" s="5">
        <f>H2265+J2265+L2265</f>
        <v>758958</v>
      </c>
      <c r="O2265" s="5"/>
    </row>
    <row r="2266" spans="1:29" ht="30" customHeight="1" x14ac:dyDescent="0.3">
      <c r="A2266" s="5"/>
      <c r="B2266" s="5"/>
      <c r="C2266" s="10" t="s">
        <v>2239</v>
      </c>
      <c r="D2266" s="10"/>
      <c r="E2266" s="10"/>
      <c r="F2266" s="11"/>
      <c r="G2266" s="10"/>
      <c r="H2266" s="10"/>
      <c r="I2266" s="10"/>
      <c r="J2266" s="10"/>
      <c r="K2266" s="10"/>
      <c r="L2266" s="10"/>
      <c r="M2266" s="10"/>
      <c r="N2266" s="10"/>
      <c r="O2266" s="10"/>
    </row>
    <row r="2267" spans="1:29" ht="30" customHeight="1" x14ac:dyDescent="0.3">
      <c r="A2267" s="8" t="s">
        <v>2240</v>
      </c>
      <c r="B2267" s="8" t="s">
        <v>190</v>
      </c>
      <c r="C2267" s="8" t="s">
        <v>191</v>
      </c>
      <c r="D2267" s="8" t="s">
        <v>192</v>
      </c>
      <c r="E2267" s="8" t="s">
        <v>168</v>
      </c>
      <c r="F2267" s="9">
        <v>17</v>
      </c>
      <c r="G2267" s="5">
        <f>TRUNC([1]단가대비표!O85,0)</f>
        <v>1980</v>
      </c>
      <c r="H2267" s="5">
        <f t="shared" ref="H2267:H2295" si="210">TRUNC(F2267*G2267,0)</f>
        <v>33660</v>
      </c>
      <c r="I2267" s="5">
        <v>0</v>
      </c>
      <c r="J2267" s="5">
        <f t="shared" ref="J2267:J2295" si="211">TRUNC(F2267*I2267,0)</f>
        <v>0</v>
      </c>
      <c r="K2267" s="5">
        <v>0</v>
      </c>
      <c r="L2267" s="5">
        <f t="shared" ref="L2267:L2295" si="212">TRUNC(F2267*K2267,0)</f>
        <v>0</v>
      </c>
      <c r="M2267" s="5">
        <f t="shared" ref="M2267:N2295" si="213">G2267+I2267+K2267</f>
        <v>1980</v>
      </c>
      <c r="N2267" s="5">
        <f t="shared" si="213"/>
        <v>33660</v>
      </c>
      <c r="O2267" s="8" t="s">
        <v>20</v>
      </c>
      <c r="T2267">
        <v>0</v>
      </c>
      <c r="U2267">
        <v>1</v>
      </c>
      <c r="AC2267">
        <v>1</v>
      </c>
    </row>
    <row r="2268" spans="1:29" ht="30" customHeight="1" x14ac:dyDescent="0.3">
      <c r="A2268" s="8" t="s">
        <v>2240</v>
      </c>
      <c r="B2268" s="8" t="s">
        <v>193</v>
      </c>
      <c r="C2268" s="8" t="s">
        <v>191</v>
      </c>
      <c r="D2268" s="8" t="s">
        <v>194</v>
      </c>
      <c r="E2268" s="8" t="s">
        <v>168</v>
      </c>
      <c r="F2268" s="9">
        <v>7</v>
      </c>
      <c r="G2268" s="5">
        <f>TRUNC([1]단가대비표!O86,0)</f>
        <v>3220</v>
      </c>
      <c r="H2268" s="5">
        <f t="shared" si="210"/>
        <v>22540</v>
      </c>
      <c r="I2268" s="5">
        <v>0</v>
      </c>
      <c r="J2268" s="5">
        <f t="shared" si="211"/>
        <v>0</v>
      </c>
      <c r="K2268" s="5">
        <v>0</v>
      </c>
      <c r="L2268" s="5">
        <f t="shared" si="212"/>
        <v>0</v>
      </c>
      <c r="M2268" s="5">
        <f t="shared" si="213"/>
        <v>3220</v>
      </c>
      <c r="N2268" s="5">
        <f t="shared" si="213"/>
        <v>22540</v>
      </c>
      <c r="O2268" s="8" t="s">
        <v>20</v>
      </c>
      <c r="T2268">
        <v>0</v>
      </c>
      <c r="U2268">
        <v>1</v>
      </c>
      <c r="AC2268">
        <v>1</v>
      </c>
    </row>
    <row r="2269" spans="1:29" ht="30" customHeight="1" x14ac:dyDescent="0.3">
      <c r="A2269" s="8" t="s">
        <v>2240</v>
      </c>
      <c r="B2269" s="8" t="s">
        <v>173</v>
      </c>
      <c r="C2269" s="8" t="s">
        <v>174</v>
      </c>
      <c r="D2269" s="8" t="s">
        <v>175</v>
      </c>
      <c r="E2269" s="8" t="s">
        <v>161</v>
      </c>
      <c r="F2269" s="9">
        <v>1</v>
      </c>
      <c r="G2269" s="5">
        <f>ROUNDDOWN(SUMIF(U2267:U2295, RIGHTB(B2269, 1), H2267:H2295)*T2269, 0)</f>
        <v>1686</v>
      </c>
      <c r="H2269" s="5">
        <f t="shared" si="210"/>
        <v>1686</v>
      </c>
      <c r="I2269" s="5">
        <v>0</v>
      </c>
      <c r="J2269" s="5">
        <f t="shared" si="211"/>
        <v>0</v>
      </c>
      <c r="K2269" s="5">
        <v>0</v>
      </c>
      <c r="L2269" s="5">
        <f t="shared" si="212"/>
        <v>0</v>
      </c>
      <c r="M2269" s="5">
        <f t="shared" si="213"/>
        <v>1686</v>
      </c>
      <c r="N2269" s="5">
        <f t="shared" si="213"/>
        <v>1686</v>
      </c>
      <c r="O2269" s="8" t="s">
        <v>20</v>
      </c>
      <c r="P2269">
        <v>2269</v>
      </c>
      <c r="R2269">
        <v>0</v>
      </c>
      <c r="S2269">
        <v>0</v>
      </c>
      <c r="T2269">
        <v>0.03</v>
      </c>
      <c r="AC2269">
        <v>1</v>
      </c>
    </row>
    <row r="2270" spans="1:29" ht="30" customHeight="1" x14ac:dyDescent="0.3">
      <c r="A2270" s="8" t="s">
        <v>2240</v>
      </c>
      <c r="B2270" s="8" t="s">
        <v>765</v>
      </c>
      <c r="C2270" s="8" t="s">
        <v>766</v>
      </c>
      <c r="D2270" s="8" t="s">
        <v>767</v>
      </c>
      <c r="E2270" s="8" t="s">
        <v>168</v>
      </c>
      <c r="F2270" s="9">
        <v>9</v>
      </c>
      <c r="G2270" s="5" t="e">
        <f>'[2].xls].xls].xls].xls].xls].xls].xls].'!E79</f>
        <v>#REF!</v>
      </c>
      <c r="H2270" s="5" t="e">
        <f t="shared" si="210"/>
        <v>#REF!</v>
      </c>
      <c r="I2270" s="5" t="e">
        <f>'[2].xls].xls].xls].xls].xls].xls].xls].'!F79</f>
        <v>#REF!</v>
      </c>
      <c r="J2270" s="5" t="e">
        <f t="shared" si="211"/>
        <v>#REF!</v>
      </c>
      <c r="K2270" s="5" t="e">
        <f>'[2].xls].xls].xls].xls].xls].xls].xls].'!G79</f>
        <v>#REF!</v>
      </c>
      <c r="L2270" s="5" t="e">
        <f t="shared" si="212"/>
        <v>#REF!</v>
      </c>
      <c r="M2270" s="5" t="e">
        <f t="shared" si="213"/>
        <v>#REF!</v>
      </c>
      <c r="N2270" s="5" t="e">
        <f t="shared" si="213"/>
        <v>#REF!</v>
      </c>
      <c r="O2270" s="8" t="s">
        <v>765</v>
      </c>
      <c r="T2270">
        <v>0</v>
      </c>
      <c r="AC2270">
        <v>1</v>
      </c>
    </row>
    <row r="2271" spans="1:29" ht="30" customHeight="1" x14ac:dyDescent="0.3">
      <c r="A2271" s="8" t="s">
        <v>2240</v>
      </c>
      <c r="B2271" s="8" t="s">
        <v>2097</v>
      </c>
      <c r="C2271" s="8" t="s">
        <v>766</v>
      </c>
      <c r="D2271" s="8" t="s">
        <v>2098</v>
      </c>
      <c r="E2271" s="8" t="s">
        <v>168</v>
      </c>
      <c r="F2271" s="9">
        <v>5</v>
      </c>
      <c r="G2271" s="5" t="e">
        <f>'[2].xls].xls].xls].xls].xls].xls].xls].'!E83</f>
        <v>#REF!</v>
      </c>
      <c r="H2271" s="5" t="e">
        <f t="shared" si="210"/>
        <v>#REF!</v>
      </c>
      <c r="I2271" s="5" t="e">
        <f>'[2].xls].xls].xls].xls].xls].xls].xls].'!F83</f>
        <v>#REF!</v>
      </c>
      <c r="J2271" s="5" t="e">
        <f t="shared" si="211"/>
        <v>#REF!</v>
      </c>
      <c r="K2271" s="5" t="e">
        <f>'[2].xls].xls].xls].xls].xls].xls].xls].'!G83</f>
        <v>#REF!</v>
      </c>
      <c r="L2271" s="5" t="e">
        <f t="shared" si="212"/>
        <v>#REF!</v>
      </c>
      <c r="M2271" s="5" t="e">
        <f t="shared" si="213"/>
        <v>#REF!</v>
      </c>
      <c r="N2271" s="5" t="e">
        <f t="shared" si="213"/>
        <v>#REF!</v>
      </c>
      <c r="O2271" s="8" t="s">
        <v>2097</v>
      </c>
      <c r="T2271">
        <v>0</v>
      </c>
      <c r="AC2271">
        <v>1</v>
      </c>
    </row>
    <row r="2272" spans="1:29" ht="30" customHeight="1" x14ac:dyDescent="0.3">
      <c r="A2272" s="8" t="s">
        <v>2240</v>
      </c>
      <c r="B2272" s="8" t="s">
        <v>772</v>
      </c>
      <c r="C2272" s="8" t="s">
        <v>219</v>
      </c>
      <c r="D2272" s="8" t="s">
        <v>773</v>
      </c>
      <c r="E2272" s="8" t="s">
        <v>168</v>
      </c>
      <c r="F2272" s="9">
        <v>4</v>
      </c>
      <c r="G2272" s="5" t="e">
        <f>'[2].xls].xls].xls].xls].xls].xls].xls].'!E88</f>
        <v>#REF!</v>
      </c>
      <c r="H2272" s="5" t="e">
        <f t="shared" si="210"/>
        <v>#REF!</v>
      </c>
      <c r="I2272" s="5" t="e">
        <f>'[2].xls].xls].xls].xls].xls].xls].xls].'!F88</f>
        <v>#REF!</v>
      </c>
      <c r="J2272" s="5" t="e">
        <f t="shared" si="211"/>
        <v>#REF!</v>
      </c>
      <c r="K2272" s="5" t="e">
        <f>'[2].xls].xls].xls].xls].xls].xls].xls].'!G88</f>
        <v>#REF!</v>
      </c>
      <c r="L2272" s="5" t="e">
        <f t="shared" si="212"/>
        <v>#REF!</v>
      </c>
      <c r="M2272" s="5" t="e">
        <f t="shared" si="213"/>
        <v>#REF!</v>
      </c>
      <c r="N2272" s="5" t="e">
        <f t="shared" si="213"/>
        <v>#REF!</v>
      </c>
      <c r="O2272" s="8" t="s">
        <v>772</v>
      </c>
      <c r="T2272">
        <v>0</v>
      </c>
      <c r="AC2272">
        <v>1</v>
      </c>
    </row>
    <row r="2273" spans="1:29" ht="30" customHeight="1" x14ac:dyDescent="0.3">
      <c r="A2273" s="8" t="s">
        <v>2240</v>
      </c>
      <c r="B2273" s="8" t="s">
        <v>218</v>
      </c>
      <c r="C2273" s="8" t="s">
        <v>219</v>
      </c>
      <c r="D2273" s="8" t="s">
        <v>220</v>
      </c>
      <c r="E2273" s="8" t="s">
        <v>168</v>
      </c>
      <c r="F2273" s="9">
        <v>1</v>
      </c>
      <c r="G2273" s="5" t="e">
        <f>'[2].xls].xls].xls].xls].xls].xls].xls].'!E89</f>
        <v>#REF!</v>
      </c>
      <c r="H2273" s="5" t="e">
        <f t="shared" si="210"/>
        <v>#REF!</v>
      </c>
      <c r="I2273" s="5" t="e">
        <f>'[2].xls].xls].xls].xls].xls].xls].xls].'!F89</f>
        <v>#REF!</v>
      </c>
      <c r="J2273" s="5" t="e">
        <f t="shared" si="211"/>
        <v>#REF!</v>
      </c>
      <c r="K2273" s="5" t="e">
        <f>'[2].xls].xls].xls].xls].xls].xls].xls].'!G89</f>
        <v>#REF!</v>
      </c>
      <c r="L2273" s="5" t="e">
        <f t="shared" si="212"/>
        <v>#REF!</v>
      </c>
      <c r="M2273" s="5" t="e">
        <f t="shared" si="213"/>
        <v>#REF!</v>
      </c>
      <c r="N2273" s="5" t="e">
        <f t="shared" si="213"/>
        <v>#REF!</v>
      </c>
      <c r="O2273" s="8" t="s">
        <v>218</v>
      </c>
      <c r="T2273">
        <v>0</v>
      </c>
      <c r="AC2273">
        <v>1</v>
      </c>
    </row>
    <row r="2274" spans="1:29" ht="30" customHeight="1" x14ac:dyDescent="0.3">
      <c r="A2274" s="8" t="s">
        <v>2240</v>
      </c>
      <c r="B2274" s="8" t="s">
        <v>776</v>
      </c>
      <c r="C2274" s="8" t="s">
        <v>219</v>
      </c>
      <c r="D2274" s="8" t="s">
        <v>777</v>
      </c>
      <c r="E2274" s="8" t="s">
        <v>168</v>
      </c>
      <c r="F2274" s="9">
        <v>2</v>
      </c>
      <c r="G2274" s="5" t="e">
        <f>'[2].xls].xls].xls].xls].xls].xls].xls].'!E101</f>
        <v>#REF!</v>
      </c>
      <c r="H2274" s="5" t="e">
        <f t="shared" si="210"/>
        <v>#REF!</v>
      </c>
      <c r="I2274" s="5" t="e">
        <f>'[2].xls].xls].xls].xls].xls].xls].xls].'!F101</f>
        <v>#REF!</v>
      </c>
      <c r="J2274" s="5" t="e">
        <f t="shared" si="211"/>
        <v>#REF!</v>
      </c>
      <c r="K2274" s="5" t="e">
        <f>'[2].xls].xls].xls].xls].xls].xls].xls].'!G101</f>
        <v>#REF!</v>
      </c>
      <c r="L2274" s="5" t="e">
        <f t="shared" si="212"/>
        <v>#REF!</v>
      </c>
      <c r="M2274" s="5" t="e">
        <f t="shared" si="213"/>
        <v>#REF!</v>
      </c>
      <c r="N2274" s="5" t="e">
        <f t="shared" si="213"/>
        <v>#REF!</v>
      </c>
      <c r="O2274" s="8" t="s">
        <v>776</v>
      </c>
      <c r="T2274">
        <v>0</v>
      </c>
      <c r="AC2274">
        <v>1</v>
      </c>
    </row>
    <row r="2275" spans="1:29" ht="30" customHeight="1" x14ac:dyDescent="0.3">
      <c r="A2275" s="8" t="s">
        <v>2240</v>
      </c>
      <c r="B2275" s="8" t="s">
        <v>778</v>
      </c>
      <c r="C2275" s="8" t="s">
        <v>252</v>
      </c>
      <c r="D2275" s="8" t="s">
        <v>779</v>
      </c>
      <c r="E2275" s="8" t="s">
        <v>179</v>
      </c>
      <c r="F2275" s="9">
        <v>18</v>
      </c>
      <c r="G2275" s="5">
        <f>TRUNC([1]단가대비표!O226,0)</f>
        <v>1860</v>
      </c>
      <c r="H2275" s="5">
        <f t="shared" si="210"/>
        <v>33480</v>
      </c>
      <c r="I2275" s="5">
        <v>0</v>
      </c>
      <c r="J2275" s="5">
        <f t="shared" si="211"/>
        <v>0</v>
      </c>
      <c r="K2275" s="5">
        <v>0</v>
      </c>
      <c r="L2275" s="5">
        <f t="shared" si="212"/>
        <v>0</v>
      </c>
      <c r="M2275" s="5">
        <f t="shared" si="213"/>
        <v>1860</v>
      </c>
      <c r="N2275" s="5">
        <f t="shared" si="213"/>
        <v>33480</v>
      </c>
      <c r="O2275" s="8" t="s">
        <v>20</v>
      </c>
      <c r="T2275">
        <v>0</v>
      </c>
      <c r="AC2275">
        <v>1</v>
      </c>
    </row>
    <row r="2276" spans="1:29" ht="30" customHeight="1" x14ac:dyDescent="0.3">
      <c r="A2276" s="8" t="s">
        <v>2240</v>
      </c>
      <c r="B2276" s="8" t="s">
        <v>251</v>
      </c>
      <c r="C2276" s="8" t="s">
        <v>252</v>
      </c>
      <c r="D2276" s="8" t="s">
        <v>253</v>
      </c>
      <c r="E2276" s="8" t="s">
        <v>179</v>
      </c>
      <c r="F2276" s="9">
        <v>4</v>
      </c>
      <c r="G2276" s="5">
        <f>TRUNC([1]단가대비표!O227,0)</f>
        <v>2690</v>
      </c>
      <c r="H2276" s="5">
        <f t="shared" si="210"/>
        <v>10760</v>
      </c>
      <c r="I2276" s="5">
        <v>0</v>
      </c>
      <c r="J2276" s="5">
        <f t="shared" si="211"/>
        <v>0</v>
      </c>
      <c r="K2276" s="5">
        <v>0</v>
      </c>
      <c r="L2276" s="5">
        <f t="shared" si="212"/>
        <v>0</v>
      </c>
      <c r="M2276" s="5">
        <f t="shared" si="213"/>
        <v>2690</v>
      </c>
      <c r="N2276" s="5">
        <f t="shared" si="213"/>
        <v>10760</v>
      </c>
      <c r="O2276" s="8" t="s">
        <v>20</v>
      </c>
      <c r="T2276">
        <v>0</v>
      </c>
      <c r="AC2276">
        <v>1</v>
      </c>
    </row>
    <row r="2277" spans="1:29" ht="30" customHeight="1" x14ac:dyDescent="0.3">
      <c r="A2277" s="8" t="s">
        <v>2240</v>
      </c>
      <c r="B2277" s="8" t="s">
        <v>780</v>
      </c>
      <c r="C2277" s="8" t="s">
        <v>252</v>
      </c>
      <c r="D2277" s="8" t="s">
        <v>781</v>
      </c>
      <c r="E2277" s="8" t="s">
        <v>179</v>
      </c>
      <c r="F2277" s="9">
        <v>1</v>
      </c>
      <c r="G2277" s="5">
        <f>TRUNC([1]단가대비표!O215,0)</f>
        <v>3910</v>
      </c>
      <c r="H2277" s="5">
        <f t="shared" si="210"/>
        <v>3910</v>
      </c>
      <c r="I2277" s="5">
        <v>0</v>
      </c>
      <c r="J2277" s="5">
        <f t="shared" si="211"/>
        <v>0</v>
      </c>
      <c r="K2277" s="5">
        <v>0</v>
      </c>
      <c r="L2277" s="5">
        <f t="shared" si="212"/>
        <v>0</v>
      </c>
      <c r="M2277" s="5">
        <f t="shared" si="213"/>
        <v>3910</v>
      </c>
      <c r="N2277" s="5">
        <f t="shared" si="213"/>
        <v>3910</v>
      </c>
      <c r="O2277" s="8" t="s">
        <v>20</v>
      </c>
      <c r="T2277">
        <v>0</v>
      </c>
      <c r="AC2277">
        <v>1</v>
      </c>
    </row>
    <row r="2278" spans="1:29" ht="30" customHeight="1" x14ac:dyDescent="0.3">
      <c r="A2278" s="8" t="s">
        <v>2240</v>
      </c>
      <c r="B2278" s="8" t="s">
        <v>2241</v>
      </c>
      <c r="C2278" s="8" t="s">
        <v>252</v>
      </c>
      <c r="D2278" s="8" t="s">
        <v>2242</v>
      </c>
      <c r="E2278" s="8" t="s">
        <v>179</v>
      </c>
      <c r="F2278" s="9">
        <v>1</v>
      </c>
      <c r="G2278" s="5">
        <f>TRUNC([1]단가대비표!O235,0)</f>
        <v>4750</v>
      </c>
      <c r="H2278" s="5">
        <f t="shared" si="210"/>
        <v>4750</v>
      </c>
      <c r="I2278" s="5">
        <v>0</v>
      </c>
      <c r="J2278" s="5">
        <f t="shared" si="211"/>
        <v>0</v>
      </c>
      <c r="K2278" s="5">
        <v>0</v>
      </c>
      <c r="L2278" s="5">
        <f t="shared" si="212"/>
        <v>0</v>
      </c>
      <c r="M2278" s="5">
        <f t="shared" si="213"/>
        <v>4750</v>
      </c>
      <c r="N2278" s="5">
        <f t="shared" si="213"/>
        <v>4750</v>
      </c>
      <c r="O2278" s="8" t="s">
        <v>20</v>
      </c>
      <c r="T2278">
        <v>0</v>
      </c>
      <c r="AC2278">
        <v>1</v>
      </c>
    </row>
    <row r="2279" spans="1:29" ht="30" customHeight="1" x14ac:dyDescent="0.3">
      <c r="A2279" s="8" t="s">
        <v>2240</v>
      </c>
      <c r="B2279" s="8" t="s">
        <v>567</v>
      </c>
      <c r="C2279" s="8" t="s">
        <v>252</v>
      </c>
      <c r="D2279" s="8" t="s">
        <v>568</v>
      </c>
      <c r="E2279" s="8" t="s">
        <v>179</v>
      </c>
      <c r="F2279" s="9">
        <v>1</v>
      </c>
      <c r="G2279" s="5">
        <f>TRUNC([1]단가대비표!O236,0)</f>
        <v>6900</v>
      </c>
      <c r="H2279" s="5">
        <f t="shared" si="210"/>
        <v>6900</v>
      </c>
      <c r="I2279" s="5">
        <v>0</v>
      </c>
      <c r="J2279" s="5">
        <f t="shared" si="211"/>
        <v>0</v>
      </c>
      <c r="K2279" s="5">
        <v>0</v>
      </c>
      <c r="L2279" s="5">
        <f t="shared" si="212"/>
        <v>0</v>
      </c>
      <c r="M2279" s="5">
        <f t="shared" si="213"/>
        <v>6900</v>
      </c>
      <c r="N2279" s="5">
        <f t="shared" si="213"/>
        <v>6900</v>
      </c>
      <c r="O2279" s="8" t="s">
        <v>20</v>
      </c>
      <c r="T2279">
        <v>0</v>
      </c>
      <c r="AC2279">
        <v>1</v>
      </c>
    </row>
    <row r="2280" spans="1:29" ht="30" customHeight="1" x14ac:dyDescent="0.3">
      <c r="A2280" s="8" t="s">
        <v>2240</v>
      </c>
      <c r="B2280" s="8" t="s">
        <v>786</v>
      </c>
      <c r="C2280" s="8" t="s">
        <v>252</v>
      </c>
      <c r="D2280" s="8" t="s">
        <v>787</v>
      </c>
      <c r="E2280" s="8" t="s">
        <v>179</v>
      </c>
      <c r="F2280" s="9">
        <v>3</v>
      </c>
      <c r="G2280" s="5">
        <f>TRUNC([1]단가대비표!O242,0)</f>
        <v>5340</v>
      </c>
      <c r="H2280" s="5">
        <f t="shared" si="210"/>
        <v>16020</v>
      </c>
      <c r="I2280" s="5">
        <v>0</v>
      </c>
      <c r="J2280" s="5">
        <f t="shared" si="211"/>
        <v>0</v>
      </c>
      <c r="K2280" s="5">
        <v>0</v>
      </c>
      <c r="L2280" s="5">
        <f t="shared" si="212"/>
        <v>0</v>
      </c>
      <c r="M2280" s="5">
        <f t="shared" si="213"/>
        <v>5340</v>
      </c>
      <c r="N2280" s="5">
        <f t="shared" si="213"/>
        <v>16020</v>
      </c>
      <c r="O2280" s="8" t="s">
        <v>20</v>
      </c>
      <c r="T2280">
        <v>0</v>
      </c>
      <c r="AC2280">
        <v>1</v>
      </c>
    </row>
    <row r="2281" spans="1:29" ht="30" customHeight="1" x14ac:dyDescent="0.3">
      <c r="A2281" s="8" t="s">
        <v>2240</v>
      </c>
      <c r="B2281" s="8" t="s">
        <v>788</v>
      </c>
      <c r="C2281" s="8" t="s">
        <v>252</v>
      </c>
      <c r="D2281" s="8" t="s">
        <v>789</v>
      </c>
      <c r="E2281" s="8" t="s">
        <v>179</v>
      </c>
      <c r="F2281" s="9">
        <v>1</v>
      </c>
      <c r="G2281" s="5">
        <f>TRUNC([1]단가대비표!O245,0)</f>
        <v>2950</v>
      </c>
      <c r="H2281" s="5">
        <f t="shared" si="210"/>
        <v>2950</v>
      </c>
      <c r="I2281" s="5">
        <v>0</v>
      </c>
      <c r="J2281" s="5">
        <f t="shared" si="211"/>
        <v>0</v>
      </c>
      <c r="K2281" s="5">
        <v>0</v>
      </c>
      <c r="L2281" s="5">
        <f t="shared" si="212"/>
        <v>0</v>
      </c>
      <c r="M2281" s="5">
        <f t="shared" si="213"/>
        <v>2950</v>
      </c>
      <c r="N2281" s="5">
        <f t="shared" si="213"/>
        <v>2950</v>
      </c>
      <c r="O2281" s="8" t="s">
        <v>20</v>
      </c>
      <c r="T2281">
        <v>0</v>
      </c>
      <c r="AC2281">
        <v>1</v>
      </c>
    </row>
    <row r="2282" spans="1:29" ht="30" customHeight="1" x14ac:dyDescent="0.3">
      <c r="A2282" s="8" t="s">
        <v>2240</v>
      </c>
      <c r="B2282" s="8" t="s">
        <v>808</v>
      </c>
      <c r="C2282" s="8" t="s">
        <v>252</v>
      </c>
      <c r="D2282" s="8" t="s">
        <v>809</v>
      </c>
      <c r="E2282" s="8" t="s">
        <v>179</v>
      </c>
      <c r="F2282" s="9">
        <v>3</v>
      </c>
      <c r="G2282" s="5">
        <f>TRUNC([1]단가대비표!O218,0)</f>
        <v>2490</v>
      </c>
      <c r="H2282" s="5">
        <f t="shared" si="210"/>
        <v>7470</v>
      </c>
      <c r="I2282" s="5">
        <v>0</v>
      </c>
      <c r="J2282" s="5">
        <f t="shared" si="211"/>
        <v>0</v>
      </c>
      <c r="K2282" s="5">
        <v>0</v>
      </c>
      <c r="L2282" s="5">
        <f t="shared" si="212"/>
        <v>0</v>
      </c>
      <c r="M2282" s="5">
        <f t="shared" si="213"/>
        <v>2490</v>
      </c>
      <c r="N2282" s="5">
        <f t="shared" si="213"/>
        <v>7470</v>
      </c>
      <c r="O2282" s="8" t="s">
        <v>20</v>
      </c>
      <c r="T2282">
        <v>0</v>
      </c>
      <c r="AC2282">
        <v>1</v>
      </c>
    </row>
    <row r="2283" spans="1:29" ht="30" customHeight="1" x14ac:dyDescent="0.3">
      <c r="A2283" s="8" t="s">
        <v>2240</v>
      </c>
      <c r="B2283" s="8" t="s">
        <v>810</v>
      </c>
      <c r="C2283" s="8" t="s">
        <v>252</v>
      </c>
      <c r="D2283" s="8" t="s">
        <v>811</v>
      </c>
      <c r="E2283" s="8" t="s">
        <v>179</v>
      </c>
      <c r="F2283" s="9">
        <v>3</v>
      </c>
      <c r="G2283" s="5">
        <f>TRUNC([1]단가대비표!O273,0)</f>
        <v>7480</v>
      </c>
      <c r="H2283" s="5">
        <f t="shared" si="210"/>
        <v>22440</v>
      </c>
      <c r="I2283" s="5">
        <v>0</v>
      </c>
      <c r="J2283" s="5">
        <f t="shared" si="211"/>
        <v>0</v>
      </c>
      <c r="K2283" s="5">
        <v>0</v>
      </c>
      <c r="L2283" s="5">
        <f t="shared" si="212"/>
        <v>0</v>
      </c>
      <c r="M2283" s="5">
        <f t="shared" si="213"/>
        <v>7480</v>
      </c>
      <c r="N2283" s="5">
        <f t="shared" si="213"/>
        <v>22440</v>
      </c>
      <c r="O2283" s="8" t="s">
        <v>20</v>
      </c>
      <c r="T2283">
        <v>0</v>
      </c>
      <c r="AC2283">
        <v>1</v>
      </c>
    </row>
    <row r="2284" spans="1:29" ht="30" customHeight="1" x14ac:dyDescent="0.3">
      <c r="A2284" s="8" t="s">
        <v>2240</v>
      </c>
      <c r="B2284" s="8" t="s">
        <v>605</v>
      </c>
      <c r="C2284" s="8" t="s">
        <v>252</v>
      </c>
      <c r="D2284" s="8" t="s">
        <v>606</v>
      </c>
      <c r="E2284" s="8" t="s">
        <v>179</v>
      </c>
      <c r="F2284" s="9">
        <v>1</v>
      </c>
      <c r="G2284" s="5">
        <f>TRUNC([1]단가대비표!O274,0)</f>
        <v>9830</v>
      </c>
      <c r="H2284" s="5">
        <f t="shared" si="210"/>
        <v>9830</v>
      </c>
      <c r="I2284" s="5">
        <v>0</v>
      </c>
      <c r="J2284" s="5">
        <f t="shared" si="211"/>
        <v>0</v>
      </c>
      <c r="K2284" s="5">
        <v>0</v>
      </c>
      <c r="L2284" s="5">
        <f t="shared" si="212"/>
        <v>0</v>
      </c>
      <c r="M2284" s="5">
        <f t="shared" si="213"/>
        <v>9830</v>
      </c>
      <c r="N2284" s="5">
        <f t="shared" si="213"/>
        <v>9830</v>
      </c>
      <c r="O2284" s="8" t="s">
        <v>20</v>
      </c>
      <c r="T2284">
        <v>0</v>
      </c>
      <c r="AC2284">
        <v>1</v>
      </c>
    </row>
    <row r="2285" spans="1:29" ht="30" customHeight="1" x14ac:dyDescent="0.3">
      <c r="A2285" s="8" t="s">
        <v>2240</v>
      </c>
      <c r="B2285" s="8" t="s">
        <v>318</v>
      </c>
      <c r="C2285" s="8" t="s">
        <v>252</v>
      </c>
      <c r="D2285" s="8" t="s">
        <v>319</v>
      </c>
      <c r="E2285" s="8" t="s">
        <v>179</v>
      </c>
      <c r="F2285" s="9">
        <v>5</v>
      </c>
      <c r="G2285" s="5">
        <f>TRUNC([1]단가대비표!O286,0)</f>
        <v>3570</v>
      </c>
      <c r="H2285" s="5">
        <f t="shared" si="210"/>
        <v>17850</v>
      </c>
      <c r="I2285" s="5">
        <v>0</v>
      </c>
      <c r="J2285" s="5">
        <f t="shared" si="211"/>
        <v>0</v>
      </c>
      <c r="K2285" s="5">
        <v>0</v>
      </c>
      <c r="L2285" s="5">
        <f t="shared" si="212"/>
        <v>0</v>
      </c>
      <c r="M2285" s="5">
        <f t="shared" si="213"/>
        <v>3570</v>
      </c>
      <c r="N2285" s="5">
        <f t="shared" si="213"/>
        <v>17850</v>
      </c>
      <c r="O2285" s="8" t="s">
        <v>20</v>
      </c>
      <c r="T2285">
        <v>0</v>
      </c>
      <c r="AC2285">
        <v>1</v>
      </c>
    </row>
    <row r="2286" spans="1:29" ht="30" customHeight="1" x14ac:dyDescent="0.3">
      <c r="A2286" s="8" t="s">
        <v>2240</v>
      </c>
      <c r="B2286" s="8" t="s">
        <v>320</v>
      </c>
      <c r="C2286" s="8" t="s">
        <v>252</v>
      </c>
      <c r="D2286" s="8" t="s">
        <v>321</v>
      </c>
      <c r="E2286" s="8" t="s">
        <v>179</v>
      </c>
      <c r="F2286" s="9">
        <v>1</v>
      </c>
      <c r="G2286" s="5">
        <f>TRUNC([1]단가대비표!O287,0)</f>
        <v>4920</v>
      </c>
      <c r="H2286" s="5">
        <f t="shared" si="210"/>
        <v>4920</v>
      </c>
      <c r="I2286" s="5">
        <v>0</v>
      </c>
      <c r="J2286" s="5">
        <f t="shared" si="211"/>
        <v>0</v>
      </c>
      <c r="K2286" s="5">
        <v>0</v>
      </c>
      <c r="L2286" s="5">
        <f t="shared" si="212"/>
        <v>0</v>
      </c>
      <c r="M2286" s="5">
        <f t="shared" si="213"/>
        <v>4920</v>
      </c>
      <c r="N2286" s="5">
        <f t="shared" si="213"/>
        <v>4920</v>
      </c>
      <c r="O2286" s="8" t="s">
        <v>20</v>
      </c>
      <c r="T2286">
        <v>0</v>
      </c>
      <c r="AC2286">
        <v>1</v>
      </c>
    </row>
    <row r="2287" spans="1:29" ht="30" customHeight="1" x14ac:dyDescent="0.3">
      <c r="A2287" s="8" t="s">
        <v>2240</v>
      </c>
      <c r="B2287" s="8" t="s">
        <v>2198</v>
      </c>
      <c r="C2287" s="8" t="s">
        <v>615</v>
      </c>
      <c r="D2287" s="8" t="s">
        <v>379</v>
      </c>
      <c r="E2287" s="8" t="s">
        <v>179</v>
      </c>
      <c r="F2287" s="9">
        <v>2</v>
      </c>
      <c r="G2287" s="5">
        <f>TRUNC([1]단가대비표!O532,0)</f>
        <v>16000</v>
      </c>
      <c r="H2287" s="5">
        <f t="shared" si="210"/>
        <v>32000</v>
      </c>
      <c r="I2287" s="5">
        <v>0</v>
      </c>
      <c r="J2287" s="5">
        <f t="shared" si="211"/>
        <v>0</v>
      </c>
      <c r="K2287" s="5">
        <v>0</v>
      </c>
      <c r="L2287" s="5">
        <f t="shared" si="212"/>
        <v>0</v>
      </c>
      <c r="M2287" s="5">
        <f t="shared" si="213"/>
        <v>16000</v>
      </c>
      <c r="N2287" s="5">
        <f t="shared" si="213"/>
        <v>32000</v>
      </c>
      <c r="O2287" s="8" t="s">
        <v>20</v>
      </c>
      <c r="T2287">
        <v>0</v>
      </c>
      <c r="AC2287">
        <v>1</v>
      </c>
    </row>
    <row r="2288" spans="1:29" ht="30" customHeight="1" x14ac:dyDescent="0.3">
      <c r="A2288" s="8" t="s">
        <v>2240</v>
      </c>
      <c r="B2288" s="8" t="s">
        <v>380</v>
      </c>
      <c r="C2288" s="8" t="s">
        <v>374</v>
      </c>
      <c r="D2288" s="8" t="s">
        <v>381</v>
      </c>
      <c r="E2288" s="8" t="s">
        <v>179</v>
      </c>
      <c r="F2288" s="9">
        <v>1</v>
      </c>
      <c r="G2288" s="5">
        <f>TRUNC([1]단가대비표!O539,0)</f>
        <v>48350</v>
      </c>
      <c r="H2288" s="5">
        <f t="shared" si="210"/>
        <v>48350</v>
      </c>
      <c r="I2288" s="5">
        <v>0</v>
      </c>
      <c r="J2288" s="5">
        <f t="shared" si="211"/>
        <v>0</v>
      </c>
      <c r="K2288" s="5">
        <v>0</v>
      </c>
      <c r="L2288" s="5">
        <f t="shared" si="212"/>
        <v>0</v>
      </c>
      <c r="M2288" s="5">
        <f t="shared" si="213"/>
        <v>48350</v>
      </c>
      <c r="N2288" s="5">
        <f t="shared" si="213"/>
        <v>48350</v>
      </c>
      <c r="O2288" s="8" t="s">
        <v>20</v>
      </c>
      <c r="T2288">
        <v>0</v>
      </c>
      <c r="AC2288">
        <v>1</v>
      </c>
    </row>
    <row r="2289" spans="1:29" ht="30" customHeight="1" x14ac:dyDescent="0.3">
      <c r="A2289" s="8" t="s">
        <v>2240</v>
      </c>
      <c r="B2289" s="8" t="s">
        <v>451</v>
      </c>
      <c r="C2289" s="8" t="s">
        <v>452</v>
      </c>
      <c r="D2289" s="8" t="s">
        <v>453</v>
      </c>
      <c r="E2289" s="8" t="s">
        <v>428</v>
      </c>
      <c r="F2289" s="9">
        <v>3</v>
      </c>
      <c r="G2289" s="5">
        <f>TRUNC([1]단가대비표!O723,0)</f>
        <v>220</v>
      </c>
      <c r="H2289" s="5">
        <f t="shared" si="210"/>
        <v>660</v>
      </c>
      <c r="I2289" s="5">
        <v>10733</v>
      </c>
      <c r="J2289" s="5">
        <f t="shared" si="211"/>
        <v>32199</v>
      </c>
      <c r="K2289" s="5">
        <v>0</v>
      </c>
      <c r="L2289" s="5">
        <f t="shared" si="212"/>
        <v>0</v>
      </c>
      <c r="M2289" s="5">
        <f t="shared" si="213"/>
        <v>10953</v>
      </c>
      <c r="N2289" s="5">
        <f t="shared" si="213"/>
        <v>32859</v>
      </c>
      <c r="O2289" s="8" t="s">
        <v>429</v>
      </c>
      <c r="T2289">
        <v>0</v>
      </c>
      <c r="AC2289">
        <v>1</v>
      </c>
    </row>
    <row r="2290" spans="1:29" ht="30" customHeight="1" x14ac:dyDescent="0.3">
      <c r="A2290" s="8" t="s">
        <v>2240</v>
      </c>
      <c r="B2290" s="8" t="s">
        <v>821</v>
      </c>
      <c r="C2290" s="8" t="s">
        <v>483</v>
      </c>
      <c r="D2290" s="8" t="s">
        <v>184</v>
      </c>
      <c r="E2290" s="8" t="s">
        <v>185</v>
      </c>
      <c r="F2290" s="9">
        <v>3</v>
      </c>
      <c r="G2290" s="5" t="e">
        <f>'[2].xls].xls].xls].xls].xls].xls].xls].'!E47</f>
        <v>#REF!</v>
      </c>
      <c r="H2290" s="5" t="e">
        <f t="shared" si="210"/>
        <v>#REF!</v>
      </c>
      <c r="I2290" s="5" t="e">
        <f>'[2].xls].xls].xls].xls].xls].xls].xls].'!F47</f>
        <v>#REF!</v>
      </c>
      <c r="J2290" s="5" t="e">
        <f t="shared" si="211"/>
        <v>#REF!</v>
      </c>
      <c r="K2290" s="5" t="e">
        <f>'[2].xls].xls].xls].xls].xls].xls].xls].'!G47</f>
        <v>#REF!</v>
      </c>
      <c r="L2290" s="5" t="e">
        <f t="shared" si="212"/>
        <v>#REF!</v>
      </c>
      <c r="M2290" s="5" t="e">
        <f t="shared" si="213"/>
        <v>#REF!</v>
      </c>
      <c r="N2290" s="5" t="e">
        <f t="shared" si="213"/>
        <v>#REF!</v>
      </c>
      <c r="O2290" s="8" t="s">
        <v>821</v>
      </c>
      <c r="T2290">
        <v>0</v>
      </c>
      <c r="AC2290">
        <v>1</v>
      </c>
    </row>
    <row r="2291" spans="1:29" ht="30" customHeight="1" x14ac:dyDescent="0.3">
      <c r="A2291" s="8" t="s">
        <v>2240</v>
      </c>
      <c r="B2291" s="8" t="s">
        <v>482</v>
      </c>
      <c r="C2291" s="8" t="s">
        <v>483</v>
      </c>
      <c r="D2291" s="8" t="s">
        <v>484</v>
      </c>
      <c r="E2291" s="8" t="s">
        <v>185</v>
      </c>
      <c r="F2291" s="9">
        <v>1</v>
      </c>
      <c r="G2291" s="5" t="e">
        <f>'[2].xls].xls].xls].xls].xls].xls].xls].'!E48</f>
        <v>#REF!</v>
      </c>
      <c r="H2291" s="5" t="e">
        <f t="shared" si="210"/>
        <v>#REF!</v>
      </c>
      <c r="I2291" s="5" t="e">
        <f>'[2].xls].xls].xls].xls].xls].xls].xls].'!F48</f>
        <v>#REF!</v>
      </c>
      <c r="J2291" s="5" t="e">
        <f t="shared" si="211"/>
        <v>#REF!</v>
      </c>
      <c r="K2291" s="5" t="e">
        <f>'[2].xls].xls].xls].xls].xls].xls].xls].'!G48</f>
        <v>#REF!</v>
      </c>
      <c r="L2291" s="5" t="e">
        <f t="shared" si="212"/>
        <v>#REF!</v>
      </c>
      <c r="M2291" s="5" t="e">
        <f t="shared" si="213"/>
        <v>#REF!</v>
      </c>
      <c r="N2291" s="5" t="e">
        <f t="shared" si="213"/>
        <v>#REF!</v>
      </c>
      <c r="O2291" s="8" t="s">
        <v>482</v>
      </c>
      <c r="T2291">
        <v>0</v>
      </c>
      <c r="AC2291">
        <v>1</v>
      </c>
    </row>
    <row r="2292" spans="1:29" ht="30" customHeight="1" x14ac:dyDescent="0.3">
      <c r="A2292" s="8" t="s">
        <v>2240</v>
      </c>
      <c r="B2292" s="8" t="s">
        <v>2243</v>
      </c>
      <c r="C2292" s="8" t="s">
        <v>528</v>
      </c>
      <c r="D2292" s="8" t="s">
        <v>484</v>
      </c>
      <c r="E2292" s="8" t="s">
        <v>185</v>
      </c>
      <c r="F2292" s="9">
        <v>1</v>
      </c>
      <c r="G2292" s="5" t="e">
        <f>'[2].xls].xls].xls].xls].xls].xls].xls].'!E56</f>
        <v>#REF!</v>
      </c>
      <c r="H2292" s="5" t="e">
        <f t="shared" si="210"/>
        <v>#REF!</v>
      </c>
      <c r="I2292" s="5" t="e">
        <f>'[2].xls].xls].xls].xls].xls].xls].xls].'!F56</f>
        <v>#REF!</v>
      </c>
      <c r="J2292" s="5" t="e">
        <f t="shared" si="211"/>
        <v>#REF!</v>
      </c>
      <c r="K2292" s="5" t="e">
        <f>'[2].xls].xls].xls].xls].xls].xls].xls].'!G56</f>
        <v>#REF!</v>
      </c>
      <c r="L2292" s="5" t="e">
        <f t="shared" si="212"/>
        <v>#REF!</v>
      </c>
      <c r="M2292" s="5" t="e">
        <f t="shared" si="213"/>
        <v>#REF!</v>
      </c>
      <c r="N2292" s="5" t="e">
        <f t="shared" si="213"/>
        <v>#REF!</v>
      </c>
      <c r="O2292" s="8" t="s">
        <v>2243</v>
      </c>
      <c r="T2292">
        <v>0</v>
      </c>
      <c r="AC2292">
        <v>1</v>
      </c>
    </row>
    <row r="2293" spans="1:29" ht="30" customHeight="1" x14ac:dyDescent="0.3">
      <c r="A2293" s="8" t="s">
        <v>2240</v>
      </c>
      <c r="B2293" s="8" t="s">
        <v>152</v>
      </c>
      <c r="C2293" s="8" t="s">
        <v>153</v>
      </c>
      <c r="D2293" s="8" t="s">
        <v>154</v>
      </c>
      <c r="E2293" s="8" t="s">
        <v>155</v>
      </c>
      <c r="F2293" s="9">
        <v>1</v>
      </c>
      <c r="G2293" s="5">
        <v>0</v>
      </c>
      <c r="H2293" s="5">
        <f t="shared" si="210"/>
        <v>0</v>
      </c>
      <c r="I2293" s="5">
        <f>TRUNC([1]단가대비표!O671,0)</f>
        <v>157068</v>
      </c>
      <c r="J2293" s="5">
        <f t="shared" si="211"/>
        <v>157068</v>
      </c>
      <c r="K2293" s="5">
        <v>0</v>
      </c>
      <c r="L2293" s="5">
        <f t="shared" si="212"/>
        <v>0</v>
      </c>
      <c r="M2293" s="5">
        <f t="shared" si="213"/>
        <v>157068</v>
      </c>
      <c r="N2293" s="5">
        <f t="shared" si="213"/>
        <v>157068</v>
      </c>
      <c r="O2293" s="8" t="s">
        <v>20</v>
      </c>
      <c r="T2293">
        <v>0</v>
      </c>
      <c r="W2293">
        <v>3</v>
      </c>
      <c r="AC2293">
        <v>1</v>
      </c>
    </row>
    <row r="2294" spans="1:29" ht="30" customHeight="1" x14ac:dyDescent="0.3">
      <c r="A2294" s="8" t="s">
        <v>2240</v>
      </c>
      <c r="B2294" s="8" t="s">
        <v>553</v>
      </c>
      <c r="C2294" s="8" t="s">
        <v>153</v>
      </c>
      <c r="D2294" s="8" t="s">
        <v>554</v>
      </c>
      <c r="E2294" s="8" t="s">
        <v>155</v>
      </c>
      <c r="F2294" s="9">
        <v>1</v>
      </c>
      <c r="G2294" s="5">
        <v>0</v>
      </c>
      <c r="H2294" s="5">
        <f t="shared" si="210"/>
        <v>0</v>
      </c>
      <c r="I2294" s="5">
        <f>TRUNC([1]단가대비표!O668,0)</f>
        <v>214118</v>
      </c>
      <c r="J2294" s="5">
        <f t="shared" si="211"/>
        <v>214118</v>
      </c>
      <c r="K2294" s="5">
        <v>0</v>
      </c>
      <c r="L2294" s="5">
        <f t="shared" si="212"/>
        <v>0</v>
      </c>
      <c r="M2294" s="5">
        <f t="shared" si="213"/>
        <v>214118</v>
      </c>
      <c r="N2294" s="5">
        <f t="shared" si="213"/>
        <v>214118</v>
      </c>
      <c r="O2294" s="8" t="s">
        <v>20</v>
      </c>
      <c r="T2294">
        <v>0</v>
      </c>
      <c r="W2294">
        <v>3</v>
      </c>
      <c r="AC2294">
        <v>1</v>
      </c>
    </row>
    <row r="2295" spans="1:29" ht="30" customHeight="1" x14ac:dyDescent="0.3">
      <c r="A2295" s="8" t="s">
        <v>2240</v>
      </c>
      <c r="B2295" s="8" t="s">
        <v>158</v>
      </c>
      <c r="C2295" s="8" t="s">
        <v>159</v>
      </c>
      <c r="D2295" s="8" t="s">
        <v>160</v>
      </c>
      <c r="E2295" s="8" t="s">
        <v>161</v>
      </c>
      <c r="F2295" s="9">
        <v>1</v>
      </c>
      <c r="G2295" s="5">
        <f>ROUNDDOWN(SUMIF(W2267:W2295, RIGHTB(B2295, 1), J2267:J2295)*T2295, 0)</f>
        <v>7423</v>
      </c>
      <c r="H2295" s="5">
        <f t="shared" si="210"/>
        <v>7423</v>
      </c>
      <c r="I2295" s="5">
        <v>0</v>
      </c>
      <c r="J2295" s="5">
        <f t="shared" si="211"/>
        <v>0</v>
      </c>
      <c r="K2295" s="5">
        <v>0</v>
      </c>
      <c r="L2295" s="5">
        <f t="shared" si="212"/>
        <v>0</v>
      </c>
      <c r="M2295" s="5">
        <f t="shared" si="213"/>
        <v>7423</v>
      </c>
      <c r="N2295" s="5">
        <f t="shared" si="213"/>
        <v>7423</v>
      </c>
      <c r="O2295" s="8" t="s">
        <v>20</v>
      </c>
      <c r="P2295">
        <v>2295</v>
      </c>
      <c r="R2295">
        <v>1</v>
      </c>
      <c r="S2295">
        <v>0</v>
      </c>
      <c r="T2295">
        <v>0.02</v>
      </c>
      <c r="AC2295">
        <v>1</v>
      </c>
    </row>
    <row r="2296" spans="1:29" ht="30" customHeight="1" x14ac:dyDescent="0.3">
      <c r="A2296" s="5"/>
      <c r="B2296" s="5"/>
      <c r="C2296" s="5"/>
      <c r="D2296" s="5"/>
      <c r="E2296" s="5"/>
      <c r="F2296" s="9"/>
      <c r="G2296" s="5"/>
      <c r="H2296" s="5"/>
      <c r="I2296" s="5"/>
      <c r="J2296" s="5"/>
      <c r="K2296" s="5"/>
      <c r="L2296" s="5"/>
      <c r="M2296" s="5"/>
      <c r="N2296" s="5"/>
      <c r="O2296" s="5"/>
    </row>
    <row r="2297" spans="1:29" ht="30" customHeight="1" x14ac:dyDescent="0.3">
      <c r="A2297" s="5"/>
      <c r="B2297" s="5"/>
      <c r="C2297" s="5"/>
      <c r="D2297" s="5"/>
      <c r="E2297" s="5"/>
      <c r="F2297" s="9"/>
      <c r="G2297" s="5"/>
      <c r="H2297" s="5"/>
      <c r="I2297" s="5"/>
      <c r="J2297" s="5"/>
      <c r="K2297" s="5"/>
      <c r="L2297" s="5"/>
      <c r="M2297" s="5"/>
      <c r="N2297" s="5"/>
      <c r="O2297" s="5"/>
    </row>
    <row r="2298" spans="1:29" ht="30" customHeight="1" x14ac:dyDescent="0.3">
      <c r="A2298" s="5"/>
      <c r="B2298" s="5"/>
      <c r="C2298" s="5"/>
      <c r="D2298" s="5"/>
      <c r="E2298" s="5"/>
      <c r="F2298" s="9"/>
      <c r="G2298" s="5"/>
      <c r="H2298" s="5"/>
      <c r="I2298" s="5"/>
      <c r="J2298" s="5"/>
      <c r="K2298" s="5"/>
      <c r="L2298" s="5"/>
      <c r="M2298" s="5"/>
      <c r="N2298" s="5"/>
      <c r="O2298" s="5"/>
    </row>
    <row r="2299" spans="1:29" ht="30" customHeight="1" x14ac:dyDescent="0.3">
      <c r="A2299" s="5"/>
      <c r="B2299" s="5"/>
      <c r="C2299" s="5"/>
      <c r="D2299" s="5"/>
      <c r="E2299" s="5"/>
      <c r="F2299" s="9"/>
      <c r="G2299" s="5"/>
      <c r="H2299" s="5"/>
      <c r="I2299" s="5"/>
      <c r="J2299" s="5"/>
      <c r="K2299" s="5"/>
      <c r="L2299" s="5"/>
      <c r="M2299" s="5"/>
      <c r="N2299" s="5"/>
      <c r="O2299" s="5"/>
    </row>
    <row r="2300" spans="1:29" ht="30" customHeight="1" x14ac:dyDescent="0.3">
      <c r="A2300" s="5"/>
      <c r="B2300" s="5"/>
      <c r="C2300" s="5"/>
      <c r="D2300" s="5"/>
      <c r="E2300" s="5"/>
      <c r="F2300" s="9"/>
      <c r="G2300" s="5"/>
      <c r="H2300" s="5"/>
      <c r="I2300" s="5"/>
      <c r="J2300" s="5"/>
      <c r="K2300" s="5"/>
      <c r="L2300" s="5"/>
      <c r="M2300" s="5"/>
      <c r="N2300" s="5"/>
      <c r="O2300" s="5"/>
    </row>
    <row r="2301" spans="1:29" ht="30" customHeight="1" x14ac:dyDescent="0.3">
      <c r="A2301" s="5"/>
      <c r="B2301" s="5"/>
      <c r="C2301" s="5"/>
      <c r="D2301" s="5"/>
      <c r="E2301" s="5"/>
      <c r="F2301" s="9"/>
      <c r="G2301" s="5"/>
      <c r="H2301" s="5"/>
      <c r="I2301" s="5"/>
      <c r="J2301" s="5"/>
      <c r="K2301" s="5"/>
      <c r="L2301" s="5"/>
      <c r="M2301" s="5"/>
      <c r="N2301" s="5"/>
      <c r="O2301" s="5"/>
    </row>
    <row r="2302" spans="1:29" ht="30" customHeight="1" x14ac:dyDescent="0.3">
      <c r="A2302" s="5"/>
      <c r="B2302" s="5"/>
      <c r="C2302" s="5"/>
      <c r="D2302" s="5"/>
      <c r="E2302" s="5"/>
      <c r="F2302" s="9"/>
      <c r="G2302" s="5"/>
      <c r="H2302" s="5"/>
      <c r="I2302" s="5"/>
      <c r="J2302" s="5"/>
      <c r="K2302" s="5"/>
      <c r="L2302" s="5"/>
      <c r="M2302" s="5"/>
      <c r="N2302" s="5"/>
      <c r="O2302" s="5"/>
    </row>
    <row r="2303" spans="1:29" ht="30" customHeight="1" x14ac:dyDescent="0.3">
      <c r="A2303" s="5"/>
      <c r="B2303" s="5"/>
      <c r="C2303" s="5"/>
      <c r="D2303" s="5"/>
      <c r="E2303" s="5"/>
      <c r="F2303" s="9"/>
      <c r="G2303" s="5"/>
      <c r="H2303" s="5"/>
      <c r="I2303" s="5"/>
      <c r="J2303" s="5"/>
      <c r="K2303" s="5"/>
      <c r="L2303" s="5"/>
      <c r="M2303" s="5"/>
      <c r="N2303" s="5"/>
      <c r="O2303" s="5"/>
    </row>
    <row r="2304" spans="1:29" ht="30" customHeight="1" x14ac:dyDescent="0.3">
      <c r="A2304" s="5"/>
      <c r="B2304" s="5"/>
      <c r="C2304" s="5"/>
      <c r="D2304" s="5"/>
      <c r="E2304" s="5"/>
      <c r="F2304" s="9"/>
      <c r="G2304" s="5"/>
      <c r="H2304" s="5"/>
      <c r="I2304" s="5"/>
      <c r="J2304" s="5"/>
      <c r="K2304" s="5"/>
      <c r="L2304" s="5"/>
      <c r="M2304" s="5"/>
      <c r="N2304" s="5"/>
      <c r="O2304" s="5"/>
    </row>
    <row r="2305" spans="1:29" ht="30" customHeight="1" x14ac:dyDescent="0.3">
      <c r="A2305" s="5"/>
      <c r="B2305" s="5"/>
      <c r="C2305" s="5"/>
      <c r="D2305" s="5"/>
      <c r="E2305" s="5"/>
      <c r="F2305" s="9"/>
      <c r="G2305" s="5"/>
      <c r="H2305" s="5"/>
      <c r="I2305" s="5"/>
      <c r="J2305" s="5"/>
      <c r="K2305" s="5"/>
      <c r="L2305" s="5"/>
      <c r="M2305" s="5"/>
      <c r="N2305" s="5"/>
      <c r="O2305" s="5"/>
    </row>
    <row r="2306" spans="1:29" ht="30" customHeight="1" x14ac:dyDescent="0.3">
      <c r="A2306" s="5"/>
      <c r="B2306" s="5"/>
      <c r="C2306" s="5"/>
      <c r="D2306" s="5"/>
      <c r="E2306" s="5"/>
      <c r="F2306" s="9"/>
      <c r="G2306" s="5"/>
      <c r="H2306" s="5"/>
      <c r="I2306" s="5"/>
      <c r="J2306" s="5"/>
      <c r="K2306" s="5"/>
      <c r="L2306" s="5"/>
      <c r="M2306" s="5"/>
      <c r="N2306" s="5"/>
      <c r="O2306" s="5"/>
    </row>
    <row r="2307" spans="1:29" ht="30" customHeight="1" x14ac:dyDescent="0.3">
      <c r="A2307" s="5"/>
      <c r="B2307" s="5"/>
      <c r="C2307" s="5"/>
      <c r="D2307" s="5"/>
      <c r="E2307" s="5"/>
      <c r="F2307" s="9"/>
      <c r="G2307" s="5"/>
      <c r="H2307" s="5"/>
      <c r="I2307" s="5"/>
      <c r="J2307" s="5"/>
      <c r="K2307" s="5"/>
      <c r="L2307" s="5"/>
      <c r="M2307" s="5"/>
      <c r="N2307" s="5"/>
      <c r="O2307" s="5"/>
    </row>
    <row r="2308" spans="1:29" ht="30" customHeight="1" x14ac:dyDescent="0.3">
      <c r="A2308" s="5"/>
      <c r="B2308" s="5"/>
      <c r="C2308" s="5"/>
      <c r="D2308" s="5"/>
      <c r="E2308" s="5"/>
      <c r="F2308" s="9"/>
      <c r="G2308" s="5"/>
      <c r="H2308" s="5"/>
      <c r="I2308" s="5"/>
      <c r="J2308" s="5"/>
      <c r="K2308" s="5"/>
      <c r="L2308" s="5"/>
      <c r="M2308" s="5"/>
      <c r="N2308" s="5"/>
      <c r="O2308" s="5"/>
    </row>
    <row r="2309" spans="1:29" ht="30" customHeight="1" x14ac:dyDescent="0.3">
      <c r="A2309" s="5"/>
      <c r="B2309" s="5"/>
      <c r="C2309" s="5"/>
      <c r="D2309" s="5"/>
      <c r="E2309" s="5"/>
      <c r="F2309" s="9"/>
      <c r="G2309" s="5"/>
      <c r="H2309" s="5"/>
      <c r="I2309" s="5"/>
      <c r="J2309" s="5"/>
      <c r="K2309" s="5"/>
      <c r="L2309" s="5"/>
      <c r="M2309" s="5"/>
      <c r="N2309" s="5"/>
      <c r="O2309" s="5"/>
    </row>
    <row r="2310" spans="1:29" ht="30" customHeight="1" x14ac:dyDescent="0.3">
      <c r="A2310" s="5"/>
      <c r="B2310" s="5"/>
      <c r="C2310" s="5"/>
      <c r="D2310" s="5"/>
      <c r="E2310" s="5"/>
      <c r="F2310" s="9"/>
      <c r="G2310" s="5"/>
      <c r="H2310" s="5"/>
      <c r="I2310" s="5"/>
      <c r="J2310" s="5"/>
      <c r="K2310" s="5"/>
      <c r="L2310" s="5"/>
      <c r="M2310" s="5"/>
      <c r="N2310" s="5"/>
      <c r="O2310" s="5"/>
    </row>
    <row r="2311" spans="1:29" ht="30" customHeight="1" x14ac:dyDescent="0.3">
      <c r="A2311" s="5"/>
      <c r="B2311" s="5"/>
      <c r="C2311" s="5"/>
      <c r="D2311" s="5"/>
      <c r="E2311" s="5"/>
      <c r="F2311" s="9"/>
      <c r="G2311" s="5"/>
      <c r="H2311" s="5"/>
      <c r="I2311" s="5"/>
      <c r="J2311" s="5"/>
      <c r="K2311" s="5"/>
      <c r="L2311" s="5"/>
      <c r="M2311" s="5"/>
      <c r="N2311" s="5"/>
      <c r="O2311" s="5"/>
    </row>
    <row r="2312" spans="1:29" ht="30" customHeight="1" x14ac:dyDescent="0.3">
      <c r="A2312" s="5"/>
      <c r="B2312" s="5"/>
      <c r="C2312" s="5"/>
      <c r="D2312" s="5"/>
      <c r="E2312" s="5"/>
      <c r="F2312" s="9"/>
      <c r="G2312" s="5"/>
      <c r="H2312" s="5"/>
      <c r="I2312" s="5"/>
      <c r="J2312" s="5"/>
      <c r="K2312" s="5"/>
      <c r="L2312" s="5"/>
      <c r="M2312" s="5"/>
      <c r="N2312" s="5"/>
      <c r="O2312" s="5"/>
    </row>
    <row r="2313" spans="1:29" ht="30" customHeight="1" x14ac:dyDescent="0.3">
      <c r="A2313" s="5"/>
      <c r="B2313" s="5"/>
      <c r="C2313" s="5"/>
      <c r="D2313" s="5"/>
      <c r="E2313" s="5"/>
      <c r="F2313" s="9"/>
      <c r="G2313" s="5"/>
      <c r="H2313" s="5"/>
      <c r="I2313" s="5"/>
      <c r="J2313" s="5"/>
      <c r="K2313" s="5"/>
      <c r="L2313" s="5"/>
      <c r="M2313" s="5"/>
      <c r="N2313" s="5"/>
      <c r="O2313" s="5"/>
    </row>
    <row r="2314" spans="1:29" ht="30" customHeight="1" x14ac:dyDescent="0.3">
      <c r="A2314" s="5"/>
      <c r="B2314" s="5"/>
      <c r="C2314" s="5"/>
      <c r="D2314" s="5"/>
      <c r="E2314" s="5"/>
      <c r="F2314" s="9"/>
      <c r="G2314" s="5"/>
      <c r="H2314" s="5"/>
      <c r="I2314" s="5"/>
      <c r="J2314" s="5"/>
      <c r="K2314" s="5"/>
      <c r="L2314" s="5"/>
      <c r="M2314" s="5"/>
      <c r="N2314" s="5"/>
      <c r="O2314" s="5"/>
    </row>
    <row r="2315" spans="1:29" ht="30" customHeight="1" x14ac:dyDescent="0.3">
      <c r="A2315" s="5"/>
      <c r="B2315" s="5"/>
      <c r="C2315" s="5"/>
      <c r="D2315" s="5"/>
      <c r="E2315" s="5"/>
      <c r="F2315" s="9"/>
      <c r="G2315" s="5"/>
      <c r="H2315" s="5"/>
      <c r="I2315" s="5"/>
      <c r="J2315" s="5"/>
      <c r="K2315" s="5"/>
      <c r="L2315" s="5"/>
      <c r="M2315" s="5"/>
      <c r="N2315" s="5"/>
      <c r="O2315" s="5"/>
    </row>
    <row r="2316" spans="1:29" ht="30" customHeight="1" x14ac:dyDescent="0.3">
      <c r="A2316" s="5"/>
      <c r="B2316" s="5"/>
      <c r="C2316" s="5"/>
      <c r="D2316" s="5"/>
      <c r="E2316" s="5"/>
      <c r="F2316" s="9"/>
      <c r="G2316" s="5"/>
      <c r="H2316" s="5"/>
      <c r="I2316" s="5"/>
      <c r="J2316" s="5"/>
      <c r="K2316" s="5"/>
      <c r="L2316" s="5"/>
      <c r="M2316" s="5"/>
      <c r="N2316" s="5"/>
      <c r="O2316" s="5"/>
    </row>
    <row r="2317" spans="1:29" ht="30" customHeight="1" x14ac:dyDescent="0.3">
      <c r="A2317" s="5"/>
      <c r="B2317" s="5"/>
      <c r="C2317" s="5" t="s">
        <v>162</v>
      </c>
      <c r="D2317" s="5"/>
      <c r="E2317" s="5"/>
      <c r="F2317" s="9"/>
      <c r="G2317" s="5"/>
      <c r="H2317" s="5" t="e">
        <f>SUMIF(AC2267:AC2316, 1, H2267:H2316)</f>
        <v>#REF!</v>
      </c>
      <c r="I2317" s="5"/>
      <c r="J2317" s="5" t="e">
        <f>SUMIF(AC2267:AC2316, 1, J2267:J2316)</f>
        <v>#REF!</v>
      </c>
      <c r="K2317" s="5"/>
      <c r="L2317" s="5" t="e">
        <f>SUMIF(AC2267:AC2316, 1, L2267:L2316)</f>
        <v>#REF!</v>
      </c>
      <c r="M2317" s="5"/>
      <c r="N2317" s="5" t="e">
        <f>H2317+J2317+L2317</f>
        <v>#REF!</v>
      </c>
      <c r="O2317" s="5"/>
    </row>
    <row r="2318" spans="1:29" ht="30" customHeight="1" x14ac:dyDescent="0.3">
      <c r="A2318" s="5"/>
      <c r="B2318" s="5"/>
      <c r="C2318" s="10" t="s">
        <v>2244</v>
      </c>
      <c r="D2318" s="10"/>
      <c r="E2318" s="10"/>
      <c r="F2318" s="11"/>
      <c r="G2318" s="10"/>
      <c r="H2318" s="10"/>
      <c r="I2318" s="10"/>
      <c r="J2318" s="10"/>
      <c r="K2318" s="10"/>
      <c r="L2318" s="10"/>
      <c r="M2318" s="10"/>
      <c r="N2318" s="10"/>
      <c r="O2318" s="10"/>
    </row>
    <row r="2319" spans="1:29" ht="30" customHeight="1" x14ac:dyDescent="0.3">
      <c r="A2319" s="8" t="s">
        <v>2245</v>
      </c>
      <c r="B2319" s="8" t="s">
        <v>2109</v>
      </c>
      <c r="C2319" s="8" t="s">
        <v>864</v>
      </c>
      <c r="D2319" s="8" t="s">
        <v>2110</v>
      </c>
      <c r="E2319" s="8" t="s">
        <v>168</v>
      </c>
      <c r="F2319" s="9">
        <v>3</v>
      </c>
      <c r="G2319" s="5">
        <f>TRUNC([1]단가대비표!O111,0)</f>
        <v>1442</v>
      </c>
      <c r="H2319" s="5">
        <f t="shared" ref="H2319:H2346" si="214">TRUNC(F2319*G2319,0)</f>
        <v>4326</v>
      </c>
      <c r="I2319" s="5">
        <v>0</v>
      </c>
      <c r="J2319" s="5">
        <f t="shared" ref="J2319:J2346" si="215">TRUNC(F2319*I2319,0)</f>
        <v>0</v>
      </c>
      <c r="K2319" s="5">
        <v>0</v>
      </c>
      <c r="L2319" s="5">
        <f t="shared" ref="L2319:L2346" si="216">TRUNC(F2319*K2319,0)</f>
        <v>0</v>
      </c>
      <c r="M2319" s="5">
        <f t="shared" ref="M2319:N2346" si="217">G2319+I2319+K2319</f>
        <v>1442</v>
      </c>
      <c r="N2319" s="5">
        <f t="shared" si="217"/>
        <v>4326</v>
      </c>
      <c r="O2319" s="8" t="s">
        <v>20</v>
      </c>
      <c r="T2319">
        <v>0</v>
      </c>
      <c r="U2319">
        <v>1</v>
      </c>
      <c r="AC2319">
        <v>1</v>
      </c>
    </row>
    <row r="2320" spans="1:29" ht="30" customHeight="1" x14ac:dyDescent="0.3">
      <c r="A2320" s="8" t="s">
        <v>2245</v>
      </c>
      <c r="B2320" s="8" t="s">
        <v>863</v>
      </c>
      <c r="C2320" s="8" t="s">
        <v>864</v>
      </c>
      <c r="D2320" s="8" t="s">
        <v>865</v>
      </c>
      <c r="E2320" s="8" t="s">
        <v>168</v>
      </c>
      <c r="F2320" s="9">
        <v>5</v>
      </c>
      <c r="G2320" s="5">
        <f>TRUNC([1]단가대비표!O113,0)</f>
        <v>2666</v>
      </c>
      <c r="H2320" s="5">
        <f t="shared" si="214"/>
        <v>13330</v>
      </c>
      <c r="I2320" s="5">
        <v>0</v>
      </c>
      <c r="J2320" s="5">
        <f t="shared" si="215"/>
        <v>0</v>
      </c>
      <c r="K2320" s="5">
        <v>0</v>
      </c>
      <c r="L2320" s="5">
        <f t="shared" si="216"/>
        <v>0</v>
      </c>
      <c r="M2320" s="5">
        <f t="shared" si="217"/>
        <v>2666</v>
      </c>
      <c r="N2320" s="5">
        <f t="shared" si="217"/>
        <v>13330</v>
      </c>
      <c r="O2320" s="8" t="s">
        <v>20</v>
      </c>
      <c r="T2320">
        <v>0</v>
      </c>
      <c r="U2320">
        <v>1</v>
      </c>
      <c r="AC2320">
        <v>1</v>
      </c>
    </row>
    <row r="2321" spans="1:29" ht="30" customHeight="1" x14ac:dyDescent="0.3">
      <c r="A2321" s="8" t="s">
        <v>2245</v>
      </c>
      <c r="B2321" s="8" t="s">
        <v>866</v>
      </c>
      <c r="C2321" s="8" t="s">
        <v>864</v>
      </c>
      <c r="D2321" s="8" t="s">
        <v>867</v>
      </c>
      <c r="E2321" s="8" t="s">
        <v>168</v>
      </c>
      <c r="F2321" s="9">
        <v>5</v>
      </c>
      <c r="G2321" s="5">
        <f>TRUNC([1]단가대비표!O114,0)</f>
        <v>5296</v>
      </c>
      <c r="H2321" s="5">
        <f t="shared" si="214"/>
        <v>26480</v>
      </c>
      <c r="I2321" s="5">
        <v>0</v>
      </c>
      <c r="J2321" s="5">
        <f t="shared" si="215"/>
        <v>0</v>
      </c>
      <c r="K2321" s="5">
        <v>0</v>
      </c>
      <c r="L2321" s="5">
        <f t="shared" si="216"/>
        <v>0</v>
      </c>
      <c r="M2321" s="5">
        <f t="shared" si="217"/>
        <v>5296</v>
      </c>
      <c r="N2321" s="5">
        <f t="shared" si="217"/>
        <v>26480</v>
      </c>
      <c r="O2321" s="8" t="s">
        <v>20</v>
      </c>
      <c r="T2321">
        <v>0</v>
      </c>
      <c r="U2321">
        <v>1</v>
      </c>
      <c r="AC2321">
        <v>1</v>
      </c>
    </row>
    <row r="2322" spans="1:29" ht="30" customHeight="1" x14ac:dyDescent="0.3">
      <c r="A2322" s="8" t="s">
        <v>2245</v>
      </c>
      <c r="B2322" s="8" t="s">
        <v>868</v>
      </c>
      <c r="C2322" s="8" t="s">
        <v>864</v>
      </c>
      <c r="D2322" s="8" t="s">
        <v>869</v>
      </c>
      <c r="E2322" s="8" t="s">
        <v>168</v>
      </c>
      <c r="F2322" s="9">
        <v>8</v>
      </c>
      <c r="G2322" s="5">
        <f>TRUNC([1]단가대비표!O115,0)</f>
        <v>8068</v>
      </c>
      <c r="H2322" s="5">
        <f t="shared" si="214"/>
        <v>64544</v>
      </c>
      <c r="I2322" s="5">
        <v>0</v>
      </c>
      <c r="J2322" s="5">
        <f t="shared" si="215"/>
        <v>0</v>
      </c>
      <c r="K2322" s="5">
        <v>0</v>
      </c>
      <c r="L2322" s="5">
        <f t="shared" si="216"/>
        <v>0</v>
      </c>
      <c r="M2322" s="5">
        <f t="shared" si="217"/>
        <v>8068</v>
      </c>
      <c r="N2322" s="5">
        <f t="shared" si="217"/>
        <v>64544</v>
      </c>
      <c r="O2322" s="8" t="s">
        <v>20</v>
      </c>
      <c r="T2322">
        <v>0</v>
      </c>
      <c r="U2322">
        <v>1</v>
      </c>
      <c r="AC2322">
        <v>1</v>
      </c>
    </row>
    <row r="2323" spans="1:29" ht="30" customHeight="1" x14ac:dyDescent="0.3">
      <c r="A2323" s="8" t="s">
        <v>2245</v>
      </c>
      <c r="B2323" s="8" t="s">
        <v>173</v>
      </c>
      <c r="C2323" s="8" t="s">
        <v>174</v>
      </c>
      <c r="D2323" s="8" t="s">
        <v>175</v>
      </c>
      <c r="E2323" s="8" t="s">
        <v>161</v>
      </c>
      <c r="F2323" s="9">
        <v>1</v>
      </c>
      <c r="G2323" s="5">
        <f>ROUNDDOWN(SUMIF(U2319:U2346, RIGHTB(B2323, 1), H2319:H2346)*T2323, 0)</f>
        <v>3260</v>
      </c>
      <c r="H2323" s="5">
        <f t="shared" si="214"/>
        <v>3260</v>
      </c>
      <c r="I2323" s="5">
        <v>0</v>
      </c>
      <c r="J2323" s="5">
        <f t="shared" si="215"/>
        <v>0</v>
      </c>
      <c r="K2323" s="5">
        <v>0</v>
      </c>
      <c r="L2323" s="5">
        <f t="shared" si="216"/>
        <v>0</v>
      </c>
      <c r="M2323" s="5">
        <f t="shared" si="217"/>
        <v>3260</v>
      </c>
      <c r="N2323" s="5">
        <f t="shared" si="217"/>
        <v>3260</v>
      </c>
      <c r="O2323" s="8" t="s">
        <v>20</v>
      </c>
      <c r="P2323">
        <v>2323</v>
      </c>
      <c r="R2323">
        <v>0</v>
      </c>
      <c r="S2323">
        <v>0</v>
      </c>
      <c r="T2323">
        <v>0.03</v>
      </c>
      <c r="AC2323">
        <v>1</v>
      </c>
    </row>
    <row r="2324" spans="1:29" ht="30" customHeight="1" x14ac:dyDescent="0.3">
      <c r="A2324" s="8" t="s">
        <v>2245</v>
      </c>
      <c r="B2324" s="8" t="s">
        <v>892</v>
      </c>
      <c r="C2324" s="8" t="s">
        <v>893</v>
      </c>
      <c r="D2324" s="8" t="s">
        <v>894</v>
      </c>
      <c r="E2324" s="8" t="s">
        <v>895</v>
      </c>
      <c r="F2324" s="9">
        <v>3</v>
      </c>
      <c r="G2324" s="5">
        <f>TRUNC([1]단가대비표!O693,0)</f>
        <v>463</v>
      </c>
      <c r="H2324" s="5">
        <f t="shared" si="214"/>
        <v>1389</v>
      </c>
      <c r="I2324" s="5">
        <v>6141</v>
      </c>
      <c r="J2324" s="5">
        <f t="shared" si="215"/>
        <v>18423</v>
      </c>
      <c r="K2324" s="5">
        <v>0</v>
      </c>
      <c r="L2324" s="5">
        <f t="shared" si="216"/>
        <v>0</v>
      </c>
      <c r="M2324" s="5">
        <f t="shared" si="217"/>
        <v>6604</v>
      </c>
      <c r="N2324" s="5">
        <f t="shared" si="217"/>
        <v>19812</v>
      </c>
      <c r="O2324" s="8" t="s">
        <v>429</v>
      </c>
      <c r="T2324">
        <v>0</v>
      </c>
      <c r="AC2324">
        <v>1</v>
      </c>
    </row>
    <row r="2325" spans="1:29" ht="30" customHeight="1" x14ac:dyDescent="0.3">
      <c r="A2325" s="8" t="s">
        <v>2245</v>
      </c>
      <c r="B2325" s="8" t="s">
        <v>898</v>
      </c>
      <c r="C2325" s="8" t="s">
        <v>893</v>
      </c>
      <c r="D2325" s="8" t="s">
        <v>899</v>
      </c>
      <c r="E2325" s="8" t="s">
        <v>895</v>
      </c>
      <c r="F2325" s="9">
        <v>5</v>
      </c>
      <c r="G2325" s="5">
        <f>TRUNC([1]단가대비표!O695,0)</f>
        <v>575</v>
      </c>
      <c r="H2325" s="5">
        <f t="shared" si="214"/>
        <v>2875</v>
      </c>
      <c r="I2325" s="5">
        <v>7631</v>
      </c>
      <c r="J2325" s="5">
        <f t="shared" si="215"/>
        <v>38155</v>
      </c>
      <c r="K2325" s="5">
        <v>0</v>
      </c>
      <c r="L2325" s="5">
        <f t="shared" si="216"/>
        <v>0</v>
      </c>
      <c r="M2325" s="5">
        <f t="shared" si="217"/>
        <v>8206</v>
      </c>
      <c r="N2325" s="5">
        <f t="shared" si="217"/>
        <v>41030</v>
      </c>
      <c r="O2325" s="8" t="s">
        <v>429</v>
      </c>
      <c r="T2325">
        <v>0</v>
      </c>
      <c r="AC2325">
        <v>1</v>
      </c>
    </row>
    <row r="2326" spans="1:29" ht="30" customHeight="1" x14ac:dyDescent="0.3">
      <c r="A2326" s="8" t="s">
        <v>2245</v>
      </c>
      <c r="B2326" s="8" t="s">
        <v>900</v>
      </c>
      <c r="C2326" s="8" t="s">
        <v>893</v>
      </c>
      <c r="D2326" s="8" t="s">
        <v>901</v>
      </c>
      <c r="E2326" s="8" t="s">
        <v>895</v>
      </c>
      <c r="F2326" s="9">
        <v>5</v>
      </c>
      <c r="G2326" s="5">
        <f>TRUNC([1]단가대비표!O696,0)</f>
        <v>829</v>
      </c>
      <c r="H2326" s="5">
        <f t="shared" si="214"/>
        <v>4145</v>
      </c>
      <c r="I2326" s="5">
        <v>11004</v>
      </c>
      <c r="J2326" s="5">
        <f t="shared" si="215"/>
        <v>55020</v>
      </c>
      <c r="K2326" s="5">
        <v>0</v>
      </c>
      <c r="L2326" s="5">
        <f t="shared" si="216"/>
        <v>0</v>
      </c>
      <c r="M2326" s="5">
        <f t="shared" si="217"/>
        <v>11833</v>
      </c>
      <c r="N2326" s="5">
        <f t="shared" si="217"/>
        <v>59165</v>
      </c>
      <c r="O2326" s="8" t="s">
        <v>429</v>
      </c>
      <c r="T2326">
        <v>0</v>
      </c>
      <c r="AC2326">
        <v>1</v>
      </c>
    </row>
    <row r="2327" spans="1:29" ht="30" customHeight="1" x14ac:dyDescent="0.3">
      <c r="A2327" s="8" t="s">
        <v>2245</v>
      </c>
      <c r="B2327" s="8" t="s">
        <v>902</v>
      </c>
      <c r="C2327" s="8" t="s">
        <v>893</v>
      </c>
      <c r="D2327" s="8" t="s">
        <v>903</v>
      </c>
      <c r="E2327" s="8" t="s">
        <v>895</v>
      </c>
      <c r="F2327" s="9">
        <v>8</v>
      </c>
      <c r="G2327" s="5">
        <f>TRUNC([1]단가대비표!O697,0)</f>
        <v>1083</v>
      </c>
      <c r="H2327" s="5">
        <f t="shared" si="214"/>
        <v>8664</v>
      </c>
      <c r="I2327" s="5">
        <v>14376</v>
      </c>
      <c r="J2327" s="5">
        <f t="shared" si="215"/>
        <v>115008</v>
      </c>
      <c r="K2327" s="5">
        <v>0</v>
      </c>
      <c r="L2327" s="5">
        <f t="shared" si="216"/>
        <v>0</v>
      </c>
      <c r="M2327" s="5">
        <f t="shared" si="217"/>
        <v>15459</v>
      </c>
      <c r="N2327" s="5">
        <f t="shared" si="217"/>
        <v>123672</v>
      </c>
      <c r="O2327" s="8" t="s">
        <v>429</v>
      </c>
      <c r="T2327">
        <v>0</v>
      </c>
      <c r="AC2327">
        <v>1</v>
      </c>
    </row>
    <row r="2328" spans="1:29" ht="30" customHeight="1" x14ac:dyDescent="0.3">
      <c r="A2328" s="8" t="s">
        <v>2245</v>
      </c>
      <c r="B2328" s="8" t="s">
        <v>911</v>
      </c>
      <c r="C2328" s="8" t="s">
        <v>912</v>
      </c>
      <c r="D2328" s="8" t="s">
        <v>346</v>
      </c>
      <c r="E2328" s="8" t="s">
        <v>179</v>
      </c>
      <c r="F2328" s="9">
        <v>1</v>
      </c>
      <c r="G2328" s="5">
        <f>TRUNC([1]단가대비표!O145,0)</f>
        <v>15800</v>
      </c>
      <c r="H2328" s="5">
        <f t="shared" si="214"/>
        <v>15800</v>
      </c>
      <c r="I2328" s="5">
        <v>0</v>
      </c>
      <c r="J2328" s="5">
        <f t="shared" si="215"/>
        <v>0</v>
      </c>
      <c r="K2328" s="5">
        <v>0</v>
      </c>
      <c r="L2328" s="5">
        <f t="shared" si="216"/>
        <v>0</v>
      </c>
      <c r="M2328" s="5">
        <f t="shared" si="217"/>
        <v>15800</v>
      </c>
      <c r="N2328" s="5">
        <f t="shared" si="217"/>
        <v>15800</v>
      </c>
      <c r="O2328" s="8" t="s">
        <v>20</v>
      </c>
      <c r="T2328">
        <v>0</v>
      </c>
      <c r="AC2328">
        <v>1</v>
      </c>
    </row>
    <row r="2329" spans="1:29" ht="30" customHeight="1" x14ac:dyDescent="0.3">
      <c r="A2329" s="8" t="s">
        <v>2245</v>
      </c>
      <c r="B2329" s="8" t="s">
        <v>2117</v>
      </c>
      <c r="C2329" s="8" t="s">
        <v>694</v>
      </c>
      <c r="D2329" s="8" t="s">
        <v>2118</v>
      </c>
      <c r="E2329" s="8" t="s">
        <v>179</v>
      </c>
      <c r="F2329" s="9">
        <v>1</v>
      </c>
      <c r="G2329" s="5">
        <f>TRUNC([1]단가대비표!O302,0)</f>
        <v>390</v>
      </c>
      <c r="H2329" s="5">
        <f t="shared" si="214"/>
        <v>390</v>
      </c>
      <c r="I2329" s="5">
        <v>0</v>
      </c>
      <c r="J2329" s="5">
        <f t="shared" si="215"/>
        <v>0</v>
      </c>
      <c r="K2329" s="5">
        <v>0</v>
      </c>
      <c r="L2329" s="5">
        <f t="shared" si="216"/>
        <v>0</v>
      </c>
      <c r="M2329" s="5">
        <f t="shared" si="217"/>
        <v>390</v>
      </c>
      <c r="N2329" s="5">
        <f t="shared" si="217"/>
        <v>390</v>
      </c>
      <c r="O2329" s="8" t="s">
        <v>20</v>
      </c>
      <c r="T2329">
        <v>0</v>
      </c>
      <c r="AC2329">
        <v>1</v>
      </c>
    </row>
    <row r="2330" spans="1:29" ht="30" customHeight="1" x14ac:dyDescent="0.3">
      <c r="A2330" s="8" t="s">
        <v>2245</v>
      </c>
      <c r="B2330" s="8" t="s">
        <v>915</v>
      </c>
      <c r="C2330" s="8" t="s">
        <v>694</v>
      </c>
      <c r="D2330" s="8" t="s">
        <v>916</v>
      </c>
      <c r="E2330" s="8" t="s">
        <v>179</v>
      </c>
      <c r="F2330" s="9">
        <v>1</v>
      </c>
      <c r="G2330" s="5">
        <f>TRUNC([1]단가대비표!O303,0)</f>
        <v>420</v>
      </c>
      <c r="H2330" s="5">
        <f t="shared" si="214"/>
        <v>420</v>
      </c>
      <c r="I2330" s="5">
        <v>0</v>
      </c>
      <c r="J2330" s="5">
        <f t="shared" si="215"/>
        <v>0</v>
      </c>
      <c r="K2330" s="5">
        <v>0</v>
      </c>
      <c r="L2330" s="5">
        <f t="shared" si="216"/>
        <v>0</v>
      </c>
      <c r="M2330" s="5">
        <f t="shared" si="217"/>
        <v>420</v>
      </c>
      <c r="N2330" s="5">
        <f t="shared" si="217"/>
        <v>420</v>
      </c>
      <c r="O2330" s="8" t="s">
        <v>20</v>
      </c>
      <c r="T2330">
        <v>0</v>
      </c>
      <c r="AC2330">
        <v>1</v>
      </c>
    </row>
    <row r="2331" spans="1:29" ht="30" customHeight="1" x14ac:dyDescent="0.3">
      <c r="A2331" s="8" t="s">
        <v>2245</v>
      </c>
      <c r="B2331" s="8" t="s">
        <v>1215</v>
      </c>
      <c r="C2331" s="8" t="s">
        <v>694</v>
      </c>
      <c r="D2331" s="8" t="s">
        <v>1216</v>
      </c>
      <c r="E2331" s="8" t="s">
        <v>179</v>
      </c>
      <c r="F2331" s="9">
        <v>1</v>
      </c>
      <c r="G2331" s="5">
        <f>TRUNC([1]단가대비표!O304,0)</f>
        <v>2090</v>
      </c>
      <c r="H2331" s="5">
        <f t="shared" si="214"/>
        <v>2090</v>
      </c>
      <c r="I2331" s="5">
        <v>0</v>
      </c>
      <c r="J2331" s="5">
        <f t="shared" si="215"/>
        <v>0</v>
      </c>
      <c r="K2331" s="5">
        <v>0</v>
      </c>
      <c r="L2331" s="5">
        <f t="shared" si="216"/>
        <v>0</v>
      </c>
      <c r="M2331" s="5">
        <f t="shared" si="217"/>
        <v>2090</v>
      </c>
      <c r="N2331" s="5">
        <f t="shared" si="217"/>
        <v>2090</v>
      </c>
      <c r="O2331" s="8" t="s">
        <v>20</v>
      </c>
      <c r="T2331">
        <v>0</v>
      </c>
      <c r="AC2331">
        <v>1</v>
      </c>
    </row>
    <row r="2332" spans="1:29" ht="30" customHeight="1" x14ac:dyDescent="0.3">
      <c r="A2332" s="8" t="s">
        <v>2245</v>
      </c>
      <c r="B2332" s="8" t="s">
        <v>2119</v>
      </c>
      <c r="C2332" s="8" t="s">
        <v>694</v>
      </c>
      <c r="D2332" s="8" t="s">
        <v>2120</v>
      </c>
      <c r="E2332" s="8" t="s">
        <v>179</v>
      </c>
      <c r="F2332" s="9">
        <v>2</v>
      </c>
      <c r="G2332" s="5">
        <f>TRUNC([1]단가대비표!O306,0)</f>
        <v>530</v>
      </c>
      <c r="H2332" s="5">
        <f t="shared" si="214"/>
        <v>1060</v>
      </c>
      <c r="I2332" s="5">
        <v>0</v>
      </c>
      <c r="J2332" s="5">
        <f t="shared" si="215"/>
        <v>0</v>
      </c>
      <c r="K2332" s="5">
        <v>0</v>
      </c>
      <c r="L2332" s="5">
        <f t="shared" si="216"/>
        <v>0</v>
      </c>
      <c r="M2332" s="5">
        <f t="shared" si="217"/>
        <v>530</v>
      </c>
      <c r="N2332" s="5">
        <f t="shared" si="217"/>
        <v>1060</v>
      </c>
      <c r="O2332" s="8" t="s">
        <v>20</v>
      </c>
      <c r="T2332">
        <v>0</v>
      </c>
      <c r="AC2332">
        <v>1</v>
      </c>
    </row>
    <row r="2333" spans="1:29" ht="30" customHeight="1" x14ac:dyDescent="0.3">
      <c r="A2333" s="8" t="s">
        <v>2245</v>
      </c>
      <c r="B2333" s="8" t="s">
        <v>919</v>
      </c>
      <c r="C2333" s="8" t="s">
        <v>694</v>
      </c>
      <c r="D2333" s="8" t="s">
        <v>920</v>
      </c>
      <c r="E2333" s="8" t="s">
        <v>179</v>
      </c>
      <c r="F2333" s="9">
        <v>6</v>
      </c>
      <c r="G2333" s="5">
        <f>TRUNC([1]단가대비표!O307,0)</f>
        <v>860</v>
      </c>
      <c r="H2333" s="5">
        <f t="shared" si="214"/>
        <v>5160</v>
      </c>
      <c r="I2333" s="5">
        <v>0</v>
      </c>
      <c r="J2333" s="5">
        <f t="shared" si="215"/>
        <v>0</v>
      </c>
      <c r="K2333" s="5">
        <v>0</v>
      </c>
      <c r="L2333" s="5">
        <f t="shared" si="216"/>
        <v>0</v>
      </c>
      <c r="M2333" s="5">
        <f t="shared" si="217"/>
        <v>860</v>
      </c>
      <c r="N2333" s="5">
        <f t="shared" si="217"/>
        <v>5160</v>
      </c>
      <c r="O2333" s="8" t="s">
        <v>20</v>
      </c>
      <c r="T2333">
        <v>0</v>
      </c>
      <c r="AC2333">
        <v>1</v>
      </c>
    </row>
    <row r="2334" spans="1:29" ht="30" customHeight="1" x14ac:dyDescent="0.3">
      <c r="A2334" s="8" t="s">
        <v>2245</v>
      </c>
      <c r="B2334" s="8" t="s">
        <v>921</v>
      </c>
      <c r="C2334" s="8" t="s">
        <v>694</v>
      </c>
      <c r="D2334" s="8" t="s">
        <v>922</v>
      </c>
      <c r="E2334" s="8" t="s">
        <v>179</v>
      </c>
      <c r="F2334" s="9">
        <v>7</v>
      </c>
      <c r="G2334" s="5">
        <f>TRUNC([1]단가대비표!O308,0)</f>
        <v>1620</v>
      </c>
      <c r="H2334" s="5">
        <f t="shared" si="214"/>
        <v>11340</v>
      </c>
      <c r="I2334" s="5">
        <v>0</v>
      </c>
      <c r="J2334" s="5">
        <f t="shared" si="215"/>
        <v>0</v>
      </c>
      <c r="K2334" s="5">
        <v>0</v>
      </c>
      <c r="L2334" s="5">
        <f t="shared" si="216"/>
        <v>0</v>
      </c>
      <c r="M2334" s="5">
        <f t="shared" si="217"/>
        <v>1620</v>
      </c>
      <c r="N2334" s="5">
        <f t="shared" si="217"/>
        <v>11340</v>
      </c>
      <c r="O2334" s="8" t="s">
        <v>20</v>
      </c>
      <c r="T2334">
        <v>0</v>
      </c>
      <c r="AC2334">
        <v>1</v>
      </c>
    </row>
    <row r="2335" spans="1:29" ht="30" customHeight="1" x14ac:dyDescent="0.3">
      <c r="A2335" s="8" t="s">
        <v>2245</v>
      </c>
      <c r="B2335" s="8" t="s">
        <v>2125</v>
      </c>
      <c r="C2335" s="8" t="s">
        <v>694</v>
      </c>
      <c r="D2335" s="8" t="s">
        <v>2126</v>
      </c>
      <c r="E2335" s="8" t="s">
        <v>179</v>
      </c>
      <c r="F2335" s="9">
        <v>1</v>
      </c>
      <c r="G2335" s="5">
        <f>TRUNC([1]단가대비표!O316,0)</f>
        <v>420</v>
      </c>
      <c r="H2335" s="5">
        <f t="shared" si="214"/>
        <v>420</v>
      </c>
      <c r="I2335" s="5">
        <v>0</v>
      </c>
      <c r="J2335" s="5">
        <f t="shared" si="215"/>
        <v>0</v>
      </c>
      <c r="K2335" s="5">
        <v>0</v>
      </c>
      <c r="L2335" s="5">
        <f t="shared" si="216"/>
        <v>0</v>
      </c>
      <c r="M2335" s="5">
        <f t="shared" si="217"/>
        <v>420</v>
      </c>
      <c r="N2335" s="5">
        <f t="shared" si="217"/>
        <v>420</v>
      </c>
      <c r="O2335" s="8" t="s">
        <v>20</v>
      </c>
      <c r="T2335">
        <v>0</v>
      </c>
      <c r="AC2335">
        <v>1</v>
      </c>
    </row>
    <row r="2336" spans="1:29" ht="30" customHeight="1" x14ac:dyDescent="0.3">
      <c r="A2336" s="8" t="s">
        <v>2245</v>
      </c>
      <c r="B2336" s="8" t="s">
        <v>2131</v>
      </c>
      <c r="C2336" s="8" t="s">
        <v>694</v>
      </c>
      <c r="D2336" s="8" t="s">
        <v>2132</v>
      </c>
      <c r="E2336" s="8" t="s">
        <v>179</v>
      </c>
      <c r="F2336" s="9">
        <v>1</v>
      </c>
      <c r="G2336" s="5">
        <f>TRUNC([1]단가대비표!O320,0)</f>
        <v>1680</v>
      </c>
      <c r="H2336" s="5">
        <f t="shared" si="214"/>
        <v>1680</v>
      </c>
      <c r="I2336" s="5">
        <v>0</v>
      </c>
      <c r="J2336" s="5">
        <f t="shared" si="215"/>
        <v>0</v>
      </c>
      <c r="K2336" s="5">
        <v>0</v>
      </c>
      <c r="L2336" s="5">
        <f t="shared" si="216"/>
        <v>0</v>
      </c>
      <c r="M2336" s="5">
        <f t="shared" si="217"/>
        <v>1680</v>
      </c>
      <c r="N2336" s="5">
        <f t="shared" si="217"/>
        <v>1680</v>
      </c>
      <c r="O2336" s="8" t="s">
        <v>20</v>
      </c>
      <c r="T2336">
        <v>0</v>
      </c>
      <c r="AC2336">
        <v>1</v>
      </c>
    </row>
    <row r="2337" spans="1:29" ht="30" customHeight="1" x14ac:dyDescent="0.3">
      <c r="A2337" s="8" t="s">
        <v>2245</v>
      </c>
      <c r="B2337" s="8" t="s">
        <v>2133</v>
      </c>
      <c r="C2337" s="8" t="s">
        <v>694</v>
      </c>
      <c r="D2337" s="8" t="s">
        <v>2134</v>
      </c>
      <c r="E2337" s="8" t="s">
        <v>179</v>
      </c>
      <c r="F2337" s="9">
        <v>2</v>
      </c>
      <c r="G2337" s="5">
        <f>TRUNC([1]단가대비표!O321,0)</f>
        <v>1280</v>
      </c>
      <c r="H2337" s="5">
        <f t="shared" si="214"/>
        <v>2560</v>
      </c>
      <c r="I2337" s="5">
        <v>0</v>
      </c>
      <c r="J2337" s="5">
        <f t="shared" si="215"/>
        <v>0</v>
      </c>
      <c r="K2337" s="5">
        <v>0</v>
      </c>
      <c r="L2337" s="5">
        <f t="shared" si="216"/>
        <v>0</v>
      </c>
      <c r="M2337" s="5">
        <f t="shared" si="217"/>
        <v>1280</v>
      </c>
      <c r="N2337" s="5">
        <f t="shared" si="217"/>
        <v>2560</v>
      </c>
      <c r="O2337" s="8" t="s">
        <v>20</v>
      </c>
      <c r="T2337">
        <v>0</v>
      </c>
      <c r="AC2337">
        <v>1</v>
      </c>
    </row>
    <row r="2338" spans="1:29" ht="30" customHeight="1" x14ac:dyDescent="0.3">
      <c r="A2338" s="8" t="s">
        <v>2245</v>
      </c>
      <c r="B2338" s="8" t="s">
        <v>935</v>
      </c>
      <c r="C2338" s="8" t="s">
        <v>694</v>
      </c>
      <c r="D2338" s="8" t="s">
        <v>936</v>
      </c>
      <c r="E2338" s="8" t="s">
        <v>179</v>
      </c>
      <c r="F2338" s="9">
        <v>2</v>
      </c>
      <c r="G2338" s="5">
        <f>TRUNC([1]단가대비표!O322,0)</f>
        <v>3310</v>
      </c>
      <c r="H2338" s="5">
        <f t="shared" si="214"/>
        <v>6620</v>
      </c>
      <c r="I2338" s="5">
        <v>0</v>
      </c>
      <c r="J2338" s="5">
        <f t="shared" si="215"/>
        <v>0</v>
      </c>
      <c r="K2338" s="5">
        <v>0</v>
      </c>
      <c r="L2338" s="5">
        <f t="shared" si="216"/>
        <v>0</v>
      </c>
      <c r="M2338" s="5">
        <f t="shared" si="217"/>
        <v>3310</v>
      </c>
      <c r="N2338" s="5">
        <f t="shared" si="217"/>
        <v>6620</v>
      </c>
      <c r="O2338" s="8" t="s">
        <v>20</v>
      </c>
      <c r="T2338">
        <v>0</v>
      </c>
      <c r="AC2338">
        <v>1</v>
      </c>
    </row>
    <row r="2339" spans="1:29" ht="30" customHeight="1" x14ac:dyDescent="0.3">
      <c r="A2339" s="8" t="s">
        <v>2245</v>
      </c>
      <c r="B2339" s="8" t="s">
        <v>2147</v>
      </c>
      <c r="C2339" s="8" t="s">
        <v>694</v>
      </c>
      <c r="D2339" s="8" t="s">
        <v>2148</v>
      </c>
      <c r="E2339" s="8" t="s">
        <v>179</v>
      </c>
      <c r="F2339" s="9">
        <v>2</v>
      </c>
      <c r="G2339" s="5">
        <f>TRUNC([1]단가대비표!O387,0)</f>
        <v>1600</v>
      </c>
      <c r="H2339" s="5">
        <f t="shared" si="214"/>
        <v>3200</v>
      </c>
      <c r="I2339" s="5">
        <v>0</v>
      </c>
      <c r="J2339" s="5">
        <f t="shared" si="215"/>
        <v>0</v>
      </c>
      <c r="K2339" s="5">
        <v>0</v>
      </c>
      <c r="L2339" s="5">
        <f t="shared" si="216"/>
        <v>0</v>
      </c>
      <c r="M2339" s="5">
        <f t="shared" si="217"/>
        <v>1600</v>
      </c>
      <c r="N2339" s="5">
        <f t="shared" si="217"/>
        <v>3200</v>
      </c>
      <c r="O2339" s="8" t="s">
        <v>20</v>
      </c>
      <c r="T2339">
        <v>0</v>
      </c>
      <c r="AC2339">
        <v>1</v>
      </c>
    </row>
    <row r="2340" spans="1:29" ht="30" customHeight="1" x14ac:dyDescent="0.3">
      <c r="A2340" s="8" t="s">
        <v>2245</v>
      </c>
      <c r="B2340" s="8" t="s">
        <v>965</v>
      </c>
      <c r="C2340" s="8" t="s">
        <v>694</v>
      </c>
      <c r="D2340" s="8" t="s">
        <v>966</v>
      </c>
      <c r="E2340" s="8" t="s">
        <v>179</v>
      </c>
      <c r="F2340" s="9">
        <v>2</v>
      </c>
      <c r="G2340" s="5">
        <f>TRUNC([1]단가대비표!O388,0)</f>
        <v>2400</v>
      </c>
      <c r="H2340" s="5">
        <f t="shared" si="214"/>
        <v>4800</v>
      </c>
      <c r="I2340" s="5">
        <v>0</v>
      </c>
      <c r="J2340" s="5">
        <f t="shared" si="215"/>
        <v>0</v>
      </c>
      <c r="K2340" s="5">
        <v>0</v>
      </c>
      <c r="L2340" s="5">
        <f t="shared" si="216"/>
        <v>0</v>
      </c>
      <c r="M2340" s="5">
        <f t="shared" si="217"/>
        <v>2400</v>
      </c>
      <c r="N2340" s="5">
        <f t="shared" si="217"/>
        <v>4800</v>
      </c>
      <c r="O2340" s="8" t="s">
        <v>20</v>
      </c>
      <c r="T2340">
        <v>0</v>
      </c>
      <c r="AC2340">
        <v>1</v>
      </c>
    </row>
    <row r="2341" spans="1:29" ht="30" customHeight="1" x14ac:dyDescent="0.3">
      <c r="A2341" s="8" t="s">
        <v>2245</v>
      </c>
      <c r="B2341" s="8" t="s">
        <v>2149</v>
      </c>
      <c r="C2341" s="8" t="s">
        <v>694</v>
      </c>
      <c r="D2341" s="8" t="s">
        <v>2150</v>
      </c>
      <c r="E2341" s="8" t="s">
        <v>179</v>
      </c>
      <c r="F2341" s="9">
        <v>1</v>
      </c>
      <c r="G2341" s="5">
        <f>TRUNC([1]단가대비표!O379,0)</f>
        <v>1620</v>
      </c>
      <c r="H2341" s="5">
        <f t="shared" si="214"/>
        <v>1620</v>
      </c>
      <c r="I2341" s="5">
        <v>0</v>
      </c>
      <c r="J2341" s="5">
        <f t="shared" si="215"/>
        <v>0</v>
      </c>
      <c r="K2341" s="5">
        <v>0</v>
      </c>
      <c r="L2341" s="5">
        <f t="shared" si="216"/>
        <v>0</v>
      </c>
      <c r="M2341" s="5">
        <f t="shared" si="217"/>
        <v>1620</v>
      </c>
      <c r="N2341" s="5">
        <f t="shared" si="217"/>
        <v>1620</v>
      </c>
      <c r="O2341" s="8" t="s">
        <v>20</v>
      </c>
      <c r="T2341">
        <v>0</v>
      </c>
      <c r="AC2341">
        <v>1</v>
      </c>
    </row>
    <row r="2342" spans="1:29" ht="30" customHeight="1" x14ac:dyDescent="0.3">
      <c r="A2342" s="8" t="s">
        <v>2245</v>
      </c>
      <c r="B2342" s="8" t="s">
        <v>527</v>
      </c>
      <c r="C2342" s="8" t="s">
        <v>528</v>
      </c>
      <c r="D2342" s="8" t="s">
        <v>447</v>
      </c>
      <c r="E2342" s="8" t="s">
        <v>185</v>
      </c>
      <c r="F2342" s="9">
        <v>1</v>
      </c>
      <c r="G2342" s="5" t="e">
        <f>'[2].xls].xls].xls].xls].xls].xls].xls].'!E60</f>
        <v>#REF!</v>
      </c>
      <c r="H2342" s="5" t="e">
        <f t="shared" si="214"/>
        <v>#REF!</v>
      </c>
      <c r="I2342" s="5" t="e">
        <f>'[2].xls].xls].xls].xls].xls].xls].xls].'!F60</f>
        <v>#REF!</v>
      </c>
      <c r="J2342" s="5" t="e">
        <f t="shared" si="215"/>
        <v>#REF!</v>
      </c>
      <c r="K2342" s="5" t="e">
        <f>'[2].xls].xls].xls].xls].xls].xls].xls].'!G60</f>
        <v>#REF!</v>
      </c>
      <c r="L2342" s="5" t="e">
        <f t="shared" si="216"/>
        <v>#REF!</v>
      </c>
      <c r="M2342" s="5" t="e">
        <f t="shared" si="217"/>
        <v>#REF!</v>
      </c>
      <c r="N2342" s="5" t="e">
        <f t="shared" si="217"/>
        <v>#REF!</v>
      </c>
      <c r="O2342" s="8" t="s">
        <v>527</v>
      </c>
      <c r="T2342">
        <v>0</v>
      </c>
      <c r="AC2342">
        <v>1</v>
      </c>
    </row>
    <row r="2343" spans="1:29" ht="30" customHeight="1" x14ac:dyDescent="0.3">
      <c r="A2343" s="8" t="s">
        <v>2245</v>
      </c>
      <c r="B2343" s="8" t="s">
        <v>1074</v>
      </c>
      <c r="C2343" s="8" t="s">
        <v>528</v>
      </c>
      <c r="D2343" s="8" t="s">
        <v>348</v>
      </c>
      <c r="E2343" s="8" t="s">
        <v>185</v>
      </c>
      <c r="F2343" s="9">
        <v>1</v>
      </c>
      <c r="G2343" s="5" t="e">
        <f>'[2].xls].xls].xls].xls].xls].xls].xls].'!E61</f>
        <v>#REF!</v>
      </c>
      <c r="H2343" s="5" t="e">
        <f t="shared" si="214"/>
        <v>#REF!</v>
      </c>
      <c r="I2343" s="5" t="e">
        <f>'[2].xls].xls].xls].xls].xls].xls].xls].'!F61</f>
        <v>#REF!</v>
      </c>
      <c r="J2343" s="5" t="e">
        <f t="shared" si="215"/>
        <v>#REF!</v>
      </c>
      <c r="K2343" s="5" t="e">
        <f>'[2].xls].xls].xls].xls].xls].xls].xls].'!G61</f>
        <v>#REF!</v>
      </c>
      <c r="L2343" s="5" t="e">
        <f t="shared" si="216"/>
        <v>#REF!</v>
      </c>
      <c r="M2343" s="5" t="e">
        <f t="shared" si="217"/>
        <v>#REF!</v>
      </c>
      <c r="N2343" s="5" t="e">
        <f t="shared" si="217"/>
        <v>#REF!</v>
      </c>
      <c r="O2343" s="8" t="s">
        <v>1074</v>
      </c>
      <c r="T2343">
        <v>0</v>
      </c>
      <c r="AC2343">
        <v>1</v>
      </c>
    </row>
    <row r="2344" spans="1:29" ht="30" customHeight="1" x14ac:dyDescent="0.3">
      <c r="A2344" s="8" t="s">
        <v>2245</v>
      </c>
      <c r="B2344" s="8" t="s">
        <v>152</v>
      </c>
      <c r="C2344" s="8" t="s">
        <v>153</v>
      </c>
      <c r="D2344" s="8" t="s">
        <v>154</v>
      </c>
      <c r="E2344" s="8" t="s">
        <v>155</v>
      </c>
      <c r="F2344" s="9">
        <v>1</v>
      </c>
      <c r="G2344" s="5">
        <v>0</v>
      </c>
      <c r="H2344" s="5">
        <f t="shared" si="214"/>
        <v>0</v>
      </c>
      <c r="I2344" s="5">
        <f>TRUNC([1]단가대비표!O671,0)</f>
        <v>157068</v>
      </c>
      <c r="J2344" s="5">
        <f t="shared" si="215"/>
        <v>157068</v>
      </c>
      <c r="K2344" s="5">
        <v>0</v>
      </c>
      <c r="L2344" s="5">
        <f t="shared" si="216"/>
        <v>0</v>
      </c>
      <c r="M2344" s="5">
        <f t="shared" si="217"/>
        <v>157068</v>
      </c>
      <c r="N2344" s="5">
        <f t="shared" si="217"/>
        <v>157068</v>
      </c>
      <c r="O2344" s="8" t="s">
        <v>20</v>
      </c>
      <c r="T2344">
        <v>0</v>
      </c>
      <c r="W2344">
        <v>3</v>
      </c>
      <c r="AC2344">
        <v>1</v>
      </c>
    </row>
    <row r="2345" spans="1:29" ht="30" customHeight="1" x14ac:dyDescent="0.3">
      <c r="A2345" s="8" t="s">
        <v>2245</v>
      </c>
      <c r="B2345" s="8" t="s">
        <v>553</v>
      </c>
      <c r="C2345" s="8" t="s">
        <v>153</v>
      </c>
      <c r="D2345" s="8" t="s">
        <v>554</v>
      </c>
      <c r="E2345" s="8" t="s">
        <v>155</v>
      </c>
      <c r="F2345" s="9">
        <v>1</v>
      </c>
      <c r="G2345" s="5">
        <v>0</v>
      </c>
      <c r="H2345" s="5">
        <f t="shared" si="214"/>
        <v>0</v>
      </c>
      <c r="I2345" s="5">
        <f>TRUNC([1]단가대비표!O668,0)</f>
        <v>214118</v>
      </c>
      <c r="J2345" s="5">
        <f t="shared" si="215"/>
        <v>214118</v>
      </c>
      <c r="K2345" s="5">
        <v>0</v>
      </c>
      <c r="L2345" s="5">
        <f t="shared" si="216"/>
        <v>0</v>
      </c>
      <c r="M2345" s="5">
        <f t="shared" si="217"/>
        <v>214118</v>
      </c>
      <c r="N2345" s="5">
        <f t="shared" si="217"/>
        <v>214118</v>
      </c>
      <c r="O2345" s="8" t="s">
        <v>20</v>
      </c>
      <c r="T2345">
        <v>0</v>
      </c>
      <c r="W2345">
        <v>3</v>
      </c>
      <c r="AC2345">
        <v>1</v>
      </c>
    </row>
    <row r="2346" spans="1:29" ht="30" customHeight="1" x14ac:dyDescent="0.3">
      <c r="A2346" s="8" t="s">
        <v>2245</v>
      </c>
      <c r="B2346" s="8" t="s">
        <v>158</v>
      </c>
      <c r="C2346" s="8" t="s">
        <v>159</v>
      </c>
      <c r="D2346" s="8" t="s">
        <v>160</v>
      </c>
      <c r="E2346" s="8" t="s">
        <v>161</v>
      </c>
      <c r="F2346" s="9">
        <v>1</v>
      </c>
      <c r="G2346" s="5">
        <f>ROUNDDOWN(SUMIF(W2319:W2346, RIGHTB(B2346, 1), J2319:J2346)*T2346, 0)</f>
        <v>7423</v>
      </c>
      <c r="H2346" s="5">
        <f t="shared" si="214"/>
        <v>7423</v>
      </c>
      <c r="I2346" s="5">
        <v>0</v>
      </c>
      <c r="J2346" s="5">
        <f t="shared" si="215"/>
        <v>0</v>
      </c>
      <c r="K2346" s="5">
        <v>0</v>
      </c>
      <c r="L2346" s="5">
        <f t="shared" si="216"/>
        <v>0</v>
      </c>
      <c r="M2346" s="5">
        <f t="shared" si="217"/>
        <v>7423</v>
      </c>
      <c r="N2346" s="5">
        <f t="shared" si="217"/>
        <v>7423</v>
      </c>
      <c r="O2346" s="8" t="s">
        <v>20</v>
      </c>
      <c r="P2346">
        <v>2346</v>
      </c>
      <c r="R2346">
        <v>1</v>
      </c>
      <c r="S2346">
        <v>0</v>
      </c>
      <c r="T2346">
        <v>0.02</v>
      </c>
      <c r="AC2346">
        <v>1</v>
      </c>
    </row>
    <row r="2347" spans="1:29" ht="30" customHeight="1" x14ac:dyDescent="0.3">
      <c r="A2347" s="5"/>
      <c r="B2347" s="5"/>
      <c r="C2347" s="5"/>
      <c r="D2347" s="5"/>
      <c r="E2347" s="5"/>
      <c r="F2347" s="9"/>
      <c r="G2347" s="5"/>
      <c r="H2347" s="5"/>
      <c r="I2347" s="5"/>
      <c r="J2347" s="5"/>
      <c r="K2347" s="5"/>
      <c r="L2347" s="5"/>
      <c r="M2347" s="5"/>
      <c r="N2347" s="5"/>
      <c r="O2347" s="5"/>
    </row>
    <row r="2348" spans="1:29" ht="30" customHeight="1" x14ac:dyDescent="0.3">
      <c r="A2348" s="5"/>
      <c r="B2348" s="5"/>
      <c r="C2348" s="5"/>
      <c r="D2348" s="5"/>
      <c r="E2348" s="5"/>
      <c r="F2348" s="9"/>
      <c r="G2348" s="5"/>
      <c r="H2348" s="5"/>
      <c r="I2348" s="5"/>
      <c r="J2348" s="5"/>
      <c r="K2348" s="5"/>
      <c r="L2348" s="5"/>
      <c r="M2348" s="5"/>
      <c r="N2348" s="5"/>
      <c r="O2348" s="5"/>
    </row>
    <row r="2349" spans="1:29" ht="30" customHeight="1" x14ac:dyDescent="0.3">
      <c r="A2349" s="5"/>
      <c r="B2349" s="5"/>
      <c r="C2349" s="5"/>
      <c r="D2349" s="5"/>
      <c r="E2349" s="5"/>
      <c r="F2349" s="9"/>
      <c r="G2349" s="5"/>
      <c r="H2349" s="5"/>
      <c r="I2349" s="5"/>
      <c r="J2349" s="5"/>
      <c r="K2349" s="5"/>
      <c r="L2349" s="5"/>
      <c r="M2349" s="5"/>
      <c r="N2349" s="5"/>
      <c r="O2349" s="5"/>
    </row>
    <row r="2350" spans="1:29" ht="30" customHeight="1" x14ac:dyDescent="0.3">
      <c r="A2350" s="5"/>
      <c r="B2350" s="5"/>
      <c r="C2350" s="5"/>
      <c r="D2350" s="5"/>
      <c r="E2350" s="5"/>
      <c r="F2350" s="9"/>
      <c r="G2350" s="5"/>
      <c r="H2350" s="5"/>
      <c r="I2350" s="5"/>
      <c r="J2350" s="5"/>
      <c r="K2350" s="5"/>
      <c r="L2350" s="5"/>
      <c r="M2350" s="5"/>
      <c r="N2350" s="5"/>
      <c r="O2350" s="5"/>
    </row>
    <row r="2351" spans="1:29" ht="30" customHeight="1" x14ac:dyDescent="0.3">
      <c r="A2351" s="5"/>
      <c r="B2351" s="5"/>
      <c r="C2351" s="5"/>
      <c r="D2351" s="5"/>
      <c r="E2351" s="5"/>
      <c r="F2351" s="9"/>
      <c r="G2351" s="5"/>
      <c r="H2351" s="5"/>
      <c r="I2351" s="5"/>
      <c r="J2351" s="5"/>
      <c r="K2351" s="5"/>
      <c r="L2351" s="5"/>
      <c r="M2351" s="5"/>
      <c r="N2351" s="5"/>
      <c r="O2351" s="5"/>
    </row>
    <row r="2352" spans="1:29" ht="30" customHeight="1" x14ac:dyDescent="0.3">
      <c r="A2352" s="5"/>
      <c r="B2352" s="5"/>
      <c r="C2352" s="5"/>
      <c r="D2352" s="5"/>
      <c r="E2352" s="5"/>
      <c r="F2352" s="9"/>
      <c r="G2352" s="5"/>
      <c r="H2352" s="5"/>
      <c r="I2352" s="5"/>
      <c r="J2352" s="5"/>
      <c r="K2352" s="5"/>
      <c r="L2352" s="5"/>
      <c r="M2352" s="5"/>
      <c r="N2352" s="5"/>
      <c r="O2352" s="5"/>
    </row>
    <row r="2353" spans="1:15" ht="30" customHeight="1" x14ac:dyDescent="0.3">
      <c r="A2353" s="5"/>
      <c r="B2353" s="5"/>
      <c r="C2353" s="5"/>
      <c r="D2353" s="5"/>
      <c r="E2353" s="5"/>
      <c r="F2353" s="9"/>
      <c r="G2353" s="5"/>
      <c r="H2353" s="5"/>
      <c r="I2353" s="5"/>
      <c r="J2353" s="5"/>
      <c r="K2353" s="5"/>
      <c r="L2353" s="5"/>
      <c r="M2353" s="5"/>
      <c r="N2353" s="5"/>
      <c r="O2353" s="5"/>
    </row>
    <row r="2354" spans="1:15" ht="30" customHeight="1" x14ac:dyDescent="0.3">
      <c r="A2354" s="5"/>
      <c r="B2354" s="5"/>
      <c r="C2354" s="5"/>
      <c r="D2354" s="5"/>
      <c r="E2354" s="5"/>
      <c r="F2354" s="9"/>
      <c r="G2354" s="5"/>
      <c r="H2354" s="5"/>
      <c r="I2354" s="5"/>
      <c r="J2354" s="5"/>
      <c r="K2354" s="5"/>
      <c r="L2354" s="5"/>
      <c r="M2354" s="5"/>
      <c r="N2354" s="5"/>
      <c r="O2354" s="5"/>
    </row>
    <row r="2355" spans="1:15" ht="30" customHeight="1" x14ac:dyDescent="0.3">
      <c r="A2355" s="5"/>
      <c r="B2355" s="5"/>
      <c r="C2355" s="5"/>
      <c r="D2355" s="5"/>
      <c r="E2355" s="5"/>
      <c r="F2355" s="9"/>
      <c r="G2355" s="5"/>
      <c r="H2355" s="5"/>
      <c r="I2355" s="5"/>
      <c r="J2355" s="5"/>
      <c r="K2355" s="5"/>
      <c r="L2355" s="5"/>
      <c r="M2355" s="5"/>
      <c r="N2355" s="5"/>
      <c r="O2355" s="5"/>
    </row>
    <row r="2356" spans="1:15" ht="30" customHeight="1" x14ac:dyDescent="0.3">
      <c r="A2356" s="5"/>
      <c r="B2356" s="5"/>
      <c r="C2356" s="5"/>
      <c r="D2356" s="5"/>
      <c r="E2356" s="5"/>
      <c r="F2356" s="9"/>
      <c r="G2356" s="5"/>
      <c r="H2356" s="5"/>
      <c r="I2356" s="5"/>
      <c r="J2356" s="5"/>
      <c r="K2356" s="5"/>
      <c r="L2356" s="5"/>
      <c r="M2356" s="5"/>
      <c r="N2356" s="5"/>
      <c r="O2356" s="5"/>
    </row>
    <row r="2357" spans="1:15" ht="30" customHeight="1" x14ac:dyDescent="0.3">
      <c r="A2357" s="5"/>
      <c r="B2357" s="5"/>
      <c r="C2357" s="5"/>
      <c r="D2357" s="5"/>
      <c r="E2357" s="5"/>
      <c r="F2357" s="9"/>
      <c r="G2357" s="5"/>
      <c r="H2357" s="5"/>
      <c r="I2357" s="5"/>
      <c r="J2357" s="5"/>
      <c r="K2357" s="5"/>
      <c r="L2357" s="5"/>
      <c r="M2357" s="5"/>
      <c r="N2357" s="5"/>
      <c r="O2357" s="5"/>
    </row>
    <row r="2358" spans="1:15" ht="30" customHeight="1" x14ac:dyDescent="0.3">
      <c r="A2358" s="5"/>
      <c r="B2358" s="5"/>
      <c r="C2358" s="5"/>
      <c r="D2358" s="5"/>
      <c r="E2358" s="5"/>
      <c r="F2358" s="9"/>
      <c r="G2358" s="5"/>
      <c r="H2358" s="5"/>
      <c r="I2358" s="5"/>
      <c r="J2358" s="5"/>
      <c r="K2358" s="5"/>
      <c r="L2358" s="5"/>
      <c r="M2358" s="5"/>
      <c r="N2358" s="5"/>
      <c r="O2358" s="5"/>
    </row>
    <row r="2359" spans="1:15" ht="30" customHeight="1" x14ac:dyDescent="0.3">
      <c r="A2359" s="5"/>
      <c r="B2359" s="5"/>
      <c r="C2359" s="5"/>
      <c r="D2359" s="5"/>
      <c r="E2359" s="5"/>
      <c r="F2359" s="9"/>
      <c r="G2359" s="5"/>
      <c r="H2359" s="5"/>
      <c r="I2359" s="5"/>
      <c r="J2359" s="5"/>
      <c r="K2359" s="5"/>
      <c r="L2359" s="5"/>
      <c r="M2359" s="5"/>
      <c r="N2359" s="5"/>
      <c r="O2359" s="5"/>
    </row>
    <row r="2360" spans="1:15" ht="30" customHeight="1" x14ac:dyDescent="0.3">
      <c r="A2360" s="5"/>
      <c r="B2360" s="5"/>
      <c r="C2360" s="5"/>
      <c r="D2360" s="5"/>
      <c r="E2360" s="5"/>
      <c r="F2360" s="9"/>
      <c r="G2360" s="5"/>
      <c r="H2360" s="5"/>
      <c r="I2360" s="5"/>
      <c r="J2360" s="5"/>
      <c r="K2360" s="5"/>
      <c r="L2360" s="5"/>
      <c r="M2360" s="5"/>
      <c r="N2360" s="5"/>
      <c r="O2360" s="5"/>
    </row>
    <row r="2361" spans="1:15" ht="30" customHeight="1" x14ac:dyDescent="0.3">
      <c r="A2361" s="5"/>
      <c r="B2361" s="5"/>
      <c r="C2361" s="5"/>
      <c r="D2361" s="5"/>
      <c r="E2361" s="5"/>
      <c r="F2361" s="9"/>
      <c r="G2361" s="5"/>
      <c r="H2361" s="5"/>
      <c r="I2361" s="5"/>
      <c r="J2361" s="5"/>
      <c r="K2361" s="5"/>
      <c r="L2361" s="5"/>
      <c r="M2361" s="5"/>
      <c r="N2361" s="5"/>
      <c r="O2361" s="5"/>
    </row>
    <row r="2362" spans="1:15" ht="30" customHeight="1" x14ac:dyDescent="0.3">
      <c r="A2362" s="5"/>
      <c r="B2362" s="5"/>
      <c r="C2362" s="5"/>
      <c r="D2362" s="5"/>
      <c r="E2362" s="5"/>
      <c r="F2362" s="9"/>
      <c r="G2362" s="5"/>
      <c r="H2362" s="5"/>
      <c r="I2362" s="5"/>
      <c r="J2362" s="5"/>
      <c r="K2362" s="5"/>
      <c r="L2362" s="5"/>
      <c r="M2362" s="5"/>
      <c r="N2362" s="5"/>
      <c r="O2362" s="5"/>
    </row>
    <row r="2363" spans="1:15" ht="30" customHeight="1" x14ac:dyDescent="0.3">
      <c r="A2363" s="5"/>
      <c r="B2363" s="5"/>
      <c r="C2363" s="5"/>
      <c r="D2363" s="5"/>
      <c r="E2363" s="5"/>
      <c r="F2363" s="9"/>
      <c r="G2363" s="5"/>
      <c r="H2363" s="5"/>
      <c r="I2363" s="5"/>
      <c r="J2363" s="5"/>
      <c r="K2363" s="5"/>
      <c r="L2363" s="5"/>
      <c r="M2363" s="5"/>
      <c r="N2363" s="5"/>
      <c r="O2363" s="5"/>
    </row>
    <row r="2364" spans="1:15" ht="30" customHeight="1" x14ac:dyDescent="0.3">
      <c r="A2364" s="5"/>
      <c r="B2364" s="5"/>
      <c r="C2364" s="5"/>
      <c r="D2364" s="5"/>
      <c r="E2364" s="5"/>
      <c r="F2364" s="9"/>
      <c r="G2364" s="5"/>
      <c r="H2364" s="5"/>
      <c r="I2364" s="5"/>
      <c r="J2364" s="5"/>
      <c r="K2364" s="5"/>
      <c r="L2364" s="5"/>
      <c r="M2364" s="5"/>
      <c r="N2364" s="5"/>
      <c r="O2364" s="5"/>
    </row>
    <row r="2365" spans="1:15" ht="30" customHeight="1" x14ac:dyDescent="0.3">
      <c r="A2365" s="5"/>
      <c r="B2365" s="5"/>
      <c r="C2365" s="5"/>
      <c r="D2365" s="5"/>
      <c r="E2365" s="5"/>
      <c r="F2365" s="9"/>
      <c r="G2365" s="5"/>
      <c r="H2365" s="5"/>
      <c r="I2365" s="5"/>
      <c r="J2365" s="5"/>
      <c r="K2365" s="5"/>
      <c r="L2365" s="5"/>
      <c r="M2365" s="5"/>
      <c r="N2365" s="5"/>
      <c r="O2365" s="5"/>
    </row>
    <row r="2366" spans="1:15" ht="30" customHeight="1" x14ac:dyDescent="0.3">
      <c r="A2366" s="5"/>
      <c r="B2366" s="5"/>
      <c r="C2366" s="5"/>
      <c r="D2366" s="5"/>
      <c r="E2366" s="5"/>
      <c r="F2366" s="9"/>
      <c r="G2366" s="5"/>
      <c r="H2366" s="5"/>
      <c r="I2366" s="5"/>
      <c r="J2366" s="5"/>
      <c r="K2366" s="5"/>
      <c r="L2366" s="5"/>
      <c r="M2366" s="5"/>
      <c r="N2366" s="5"/>
      <c r="O2366" s="5"/>
    </row>
    <row r="2367" spans="1:15" ht="30" customHeight="1" x14ac:dyDescent="0.3">
      <c r="A2367" s="5"/>
      <c r="B2367" s="5"/>
      <c r="C2367" s="5"/>
      <c r="D2367" s="5"/>
      <c r="E2367" s="5"/>
      <c r="F2367" s="9"/>
      <c r="G2367" s="5"/>
      <c r="H2367" s="5"/>
      <c r="I2367" s="5"/>
      <c r="J2367" s="5"/>
      <c r="K2367" s="5"/>
      <c r="L2367" s="5"/>
      <c r="M2367" s="5"/>
      <c r="N2367" s="5"/>
      <c r="O2367" s="5"/>
    </row>
    <row r="2368" spans="1:15" ht="30" customHeight="1" x14ac:dyDescent="0.3">
      <c r="A2368" s="5"/>
      <c r="B2368" s="5"/>
      <c r="C2368" s="5"/>
      <c r="D2368" s="5"/>
      <c r="E2368" s="5"/>
      <c r="F2368" s="9"/>
      <c r="G2368" s="5"/>
      <c r="H2368" s="5"/>
      <c r="I2368" s="5"/>
      <c r="J2368" s="5"/>
      <c r="K2368" s="5"/>
      <c r="L2368" s="5"/>
      <c r="M2368" s="5"/>
      <c r="N2368" s="5"/>
      <c r="O2368" s="5"/>
    </row>
    <row r="2369" spans="1:29" ht="30" customHeight="1" x14ac:dyDescent="0.3">
      <c r="A2369" s="5"/>
      <c r="B2369" s="5"/>
      <c r="C2369" s="5" t="s">
        <v>162</v>
      </c>
      <c r="D2369" s="5"/>
      <c r="E2369" s="5"/>
      <c r="F2369" s="9"/>
      <c r="G2369" s="5"/>
      <c r="H2369" s="5" t="e">
        <f>SUMIF(AC2319:AC2368, 1, H2319:H2368)</f>
        <v>#REF!</v>
      </c>
      <c r="I2369" s="5"/>
      <c r="J2369" s="5" t="e">
        <f>SUMIF(AC2319:AC2368, 1, J2319:J2368)</f>
        <v>#REF!</v>
      </c>
      <c r="K2369" s="5"/>
      <c r="L2369" s="5" t="e">
        <f>SUMIF(AC2319:AC2368, 1, L2319:L2368)</f>
        <v>#REF!</v>
      </c>
      <c r="M2369" s="5"/>
      <c r="N2369" s="5" t="e">
        <f>H2369+J2369+L2369</f>
        <v>#REF!</v>
      </c>
      <c r="O2369" s="5"/>
    </row>
    <row r="2370" spans="1:29" ht="30" customHeight="1" x14ac:dyDescent="0.3">
      <c r="A2370" s="5"/>
      <c r="B2370" s="5"/>
      <c r="C2370" s="10" t="s">
        <v>2246</v>
      </c>
      <c r="D2370" s="10"/>
      <c r="E2370" s="10"/>
      <c r="F2370" s="11"/>
      <c r="G2370" s="10"/>
      <c r="H2370" s="10"/>
      <c r="I2370" s="10"/>
      <c r="J2370" s="10"/>
      <c r="K2370" s="10"/>
      <c r="L2370" s="10"/>
      <c r="M2370" s="10"/>
      <c r="N2370" s="10"/>
      <c r="O2370" s="10"/>
    </row>
    <row r="2371" spans="1:29" ht="30" customHeight="1" x14ac:dyDescent="0.3">
      <c r="A2371" s="8" t="s">
        <v>2247</v>
      </c>
      <c r="B2371" s="8" t="s">
        <v>1211</v>
      </c>
      <c r="C2371" s="8" t="s">
        <v>864</v>
      </c>
      <c r="D2371" s="8" t="s">
        <v>1212</v>
      </c>
      <c r="E2371" s="8" t="s">
        <v>168</v>
      </c>
      <c r="F2371" s="9">
        <v>3</v>
      </c>
      <c r="G2371" s="5">
        <f>TRUNC([1]단가대비표!O125,0)</f>
        <v>4152</v>
      </c>
      <c r="H2371" s="5">
        <f t="shared" ref="H2371:H2381" si="218">TRUNC(F2371*G2371,0)</f>
        <v>12456</v>
      </c>
      <c r="I2371" s="5">
        <v>0</v>
      </c>
      <c r="J2371" s="5">
        <f t="shared" ref="J2371:J2381" si="219">TRUNC(F2371*I2371,0)</f>
        <v>0</v>
      </c>
      <c r="K2371" s="5">
        <v>0</v>
      </c>
      <c r="L2371" s="5">
        <f t="shared" ref="L2371:L2381" si="220">TRUNC(F2371*K2371,0)</f>
        <v>0</v>
      </c>
      <c r="M2371" s="5">
        <f t="shared" ref="M2371:N2381" si="221">G2371+I2371+K2371</f>
        <v>4152</v>
      </c>
      <c r="N2371" s="5">
        <f t="shared" si="221"/>
        <v>12456</v>
      </c>
      <c r="O2371" s="8" t="s">
        <v>20</v>
      </c>
      <c r="T2371">
        <v>0</v>
      </c>
      <c r="U2371">
        <v>1</v>
      </c>
      <c r="AC2371">
        <v>1</v>
      </c>
    </row>
    <row r="2372" spans="1:29" ht="30" customHeight="1" x14ac:dyDescent="0.3">
      <c r="A2372" s="8" t="s">
        <v>2247</v>
      </c>
      <c r="B2372" s="8" t="s">
        <v>173</v>
      </c>
      <c r="C2372" s="8" t="s">
        <v>174</v>
      </c>
      <c r="D2372" s="8" t="s">
        <v>175</v>
      </c>
      <c r="E2372" s="8" t="s">
        <v>161</v>
      </c>
      <c r="F2372" s="9">
        <v>1</v>
      </c>
      <c r="G2372" s="5">
        <f>ROUNDDOWN(SUMIF(U2371:U2381, RIGHTB(B2372, 1), H2371:H2381)*T2372, 0)</f>
        <v>373</v>
      </c>
      <c r="H2372" s="5">
        <f t="shared" si="218"/>
        <v>373</v>
      </c>
      <c r="I2372" s="5">
        <v>0</v>
      </c>
      <c r="J2372" s="5">
        <f t="shared" si="219"/>
        <v>0</v>
      </c>
      <c r="K2372" s="5">
        <v>0</v>
      </c>
      <c r="L2372" s="5">
        <f t="shared" si="220"/>
        <v>0</v>
      </c>
      <c r="M2372" s="5">
        <f t="shared" si="221"/>
        <v>373</v>
      </c>
      <c r="N2372" s="5">
        <f t="shared" si="221"/>
        <v>373</v>
      </c>
      <c r="O2372" s="8" t="s">
        <v>20</v>
      </c>
      <c r="P2372">
        <v>2372</v>
      </c>
      <c r="R2372">
        <v>0</v>
      </c>
      <c r="S2372">
        <v>0</v>
      </c>
      <c r="T2372">
        <v>0.03</v>
      </c>
      <c r="AC2372">
        <v>1</v>
      </c>
    </row>
    <row r="2373" spans="1:29" ht="30" customHeight="1" x14ac:dyDescent="0.3">
      <c r="A2373" s="8" t="s">
        <v>2247</v>
      </c>
      <c r="B2373" s="8" t="s">
        <v>902</v>
      </c>
      <c r="C2373" s="8" t="s">
        <v>893</v>
      </c>
      <c r="D2373" s="8" t="s">
        <v>903</v>
      </c>
      <c r="E2373" s="8" t="s">
        <v>895</v>
      </c>
      <c r="F2373" s="9">
        <v>3</v>
      </c>
      <c r="G2373" s="5">
        <f>TRUNC([1]단가대비표!O697,0)</f>
        <v>1083</v>
      </c>
      <c r="H2373" s="5">
        <f t="shared" si="218"/>
        <v>3249</v>
      </c>
      <c r="I2373" s="5">
        <v>14376</v>
      </c>
      <c r="J2373" s="5">
        <f t="shared" si="219"/>
        <v>43128</v>
      </c>
      <c r="K2373" s="5">
        <v>0</v>
      </c>
      <c r="L2373" s="5">
        <f t="shared" si="220"/>
        <v>0</v>
      </c>
      <c r="M2373" s="5">
        <f t="shared" si="221"/>
        <v>15459</v>
      </c>
      <c r="N2373" s="5">
        <f t="shared" si="221"/>
        <v>46377</v>
      </c>
      <c r="O2373" s="8" t="s">
        <v>429</v>
      </c>
      <c r="T2373">
        <v>0</v>
      </c>
      <c r="AC2373">
        <v>1</v>
      </c>
    </row>
    <row r="2374" spans="1:29" ht="30" customHeight="1" x14ac:dyDescent="0.3">
      <c r="A2374" s="8" t="s">
        <v>2247</v>
      </c>
      <c r="B2374" s="8" t="s">
        <v>1215</v>
      </c>
      <c r="C2374" s="8" t="s">
        <v>694</v>
      </c>
      <c r="D2374" s="8" t="s">
        <v>1216</v>
      </c>
      <c r="E2374" s="8" t="s">
        <v>179</v>
      </c>
      <c r="F2374" s="9">
        <v>1</v>
      </c>
      <c r="G2374" s="5">
        <f>TRUNC([1]단가대비표!O304,0)</f>
        <v>2090</v>
      </c>
      <c r="H2374" s="5">
        <f t="shared" si="218"/>
        <v>2090</v>
      </c>
      <c r="I2374" s="5">
        <v>0</v>
      </c>
      <c r="J2374" s="5">
        <f t="shared" si="219"/>
        <v>0</v>
      </c>
      <c r="K2374" s="5">
        <v>0</v>
      </c>
      <c r="L2374" s="5">
        <f t="shared" si="220"/>
        <v>0</v>
      </c>
      <c r="M2374" s="5">
        <f t="shared" si="221"/>
        <v>2090</v>
      </c>
      <c r="N2374" s="5">
        <f t="shared" si="221"/>
        <v>2090</v>
      </c>
      <c r="O2374" s="8" t="s">
        <v>20</v>
      </c>
      <c r="T2374">
        <v>0</v>
      </c>
      <c r="AC2374">
        <v>1</v>
      </c>
    </row>
    <row r="2375" spans="1:29" ht="30" customHeight="1" x14ac:dyDescent="0.3">
      <c r="A2375" s="8" t="s">
        <v>2247</v>
      </c>
      <c r="B2375" s="8" t="s">
        <v>1261</v>
      </c>
      <c r="C2375" s="8" t="s">
        <v>1262</v>
      </c>
      <c r="D2375" s="8" t="s">
        <v>1263</v>
      </c>
      <c r="E2375" s="8" t="s">
        <v>168</v>
      </c>
      <c r="F2375" s="9">
        <v>1</v>
      </c>
      <c r="G2375" s="5">
        <f>TRUNC([1]단가대비표!O16,0)</f>
        <v>2720</v>
      </c>
      <c r="H2375" s="5">
        <f t="shared" si="218"/>
        <v>2720</v>
      </c>
      <c r="I2375" s="5">
        <v>0</v>
      </c>
      <c r="J2375" s="5">
        <f t="shared" si="219"/>
        <v>0</v>
      </c>
      <c r="K2375" s="5">
        <v>0</v>
      </c>
      <c r="L2375" s="5">
        <f t="shared" si="220"/>
        <v>0</v>
      </c>
      <c r="M2375" s="5">
        <f t="shared" si="221"/>
        <v>2720</v>
      </c>
      <c r="N2375" s="5">
        <f t="shared" si="221"/>
        <v>2720</v>
      </c>
      <c r="O2375" s="8" t="s">
        <v>20</v>
      </c>
      <c r="T2375">
        <v>0</v>
      </c>
      <c r="AC2375">
        <v>1</v>
      </c>
    </row>
    <row r="2376" spans="1:29" ht="30" customHeight="1" x14ac:dyDescent="0.3">
      <c r="A2376" s="8" t="s">
        <v>2247</v>
      </c>
      <c r="B2376" s="8" t="s">
        <v>1281</v>
      </c>
      <c r="C2376" s="8" t="s">
        <v>1282</v>
      </c>
      <c r="D2376" s="8" t="s">
        <v>348</v>
      </c>
      <c r="E2376" s="8" t="s">
        <v>179</v>
      </c>
      <c r="F2376" s="9">
        <v>2</v>
      </c>
      <c r="G2376" s="5">
        <f>TRUNC([1]단가대비표!O600,0)</f>
        <v>714</v>
      </c>
      <c r="H2376" s="5">
        <f t="shared" si="218"/>
        <v>1428</v>
      </c>
      <c r="I2376" s="5">
        <v>0</v>
      </c>
      <c r="J2376" s="5">
        <f t="shared" si="219"/>
        <v>0</v>
      </c>
      <c r="K2376" s="5">
        <v>0</v>
      </c>
      <c r="L2376" s="5">
        <f t="shared" si="220"/>
        <v>0</v>
      </c>
      <c r="M2376" s="5">
        <f t="shared" si="221"/>
        <v>714</v>
      </c>
      <c r="N2376" s="5">
        <f t="shared" si="221"/>
        <v>1428</v>
      </c>
      <c r="O2376" s="8" t="s">
        <v>20</v>
      </c>
      <c r="T2376">
        <v>0</v>
      </c>
      <c r="AC2376">
        <v>1</v>
      </c>
    </row>
    <row r="2377" spans="1:29" ht="30" customHeight="1" x14ac:dyDescent="0.3">
      <c r="A2377" s="8" t="s">
        <v>2247</v>
      </c>
      <c r="B2377" s="8" t="s">
        <v>1291</v>
      </c>
      <c r="C2377" s="8" t="s">
        <v>1292</v>
      </c>
      <c r="D2377" s="8" t="s">
        <v>348</v>
      </c>
      <c r="E2377" s="8" t="s">
        <v>179</v>
      </c>
      <c r="F2377" s="9">
        <v>1</v>
      </c>
      <c r="G2377" s="5">
        <f>TRUNC([1]단가대비표!O604,0)</f>
        <v>5100</v>
      </c>
      <c r="H2377" s="5">
        <f t="shared" si="218"/>
        <v>5100</v>
      </c>
      <c r="I2377" s="5">
        <v>0</v>
      </c>
      <c r="J2377" s="5">
        <f t="shared" si="219"/>
        <v>0</v>
      </c>
      <c r="K2377" s="5">
        <v>0</v>
      </c>
      <c r="L2377" s="5">
        <f t="shared" si="220"/>
        <v>0</v>
      </c>
      <c r="M2377" s="5">
        <f t="shared" si="221"/>
        <v>5100</v>
      </c>
      <c r="N2377" s="5">
        <f t="shared" si="221"/>
        <v>5100</v>
      </c>
      <c r="O2377" s="8" t="s">
        <v>20</v>
      </c>
      <c r="T2377">
        <v>0</v>
      </c>
      <c r="AC2377">
        <v>1</v>
      </c>
    </row>
    <row r="2378" spans="1:29" ht="30" customHeight="1" x14ac:dyDescent="0.3">
      <c r="A2378" s="8" t="s">
        <v>2247</v>
      </c>
      <c r="B2378" s="8" t="s">
        <v>1059</v>
      </c>
      <c r="C2378" s="8" t="s">
        <v>1057</v>
      </c>
      <c r="D2378" s="8" t="s">
        <v>348</v>
      </c>
      <c r="E2378" s="8" t="s">
        <v>185</v>
      </c>
      <c r="F2378" s="9">
        <v>1</v>
      </c>
      <c r="G2378" s="5" t="e">
        <f>'[2].xls].xls].xls].xls].xls].xls].xls].'!E41</f>
        <v>#REF!</v>
      </c>
      <c r="H2378" s="5" t="e">
        <f t="shared" si="218"/>
        <v>#REF!</v>
      </c>
      <c r="I2378" s="5" t="e">
        <f>'[2].xls].xls].xls].xls].xls].xls].xls].'!F41</f>
        <v>#REF!</v>
      </c>
      <c r="J2378" s="5" t="e">
        <f t="shared" si="219"/>
        <v>#REF!</v>
      </c>
      <c r="K2378" s="5" t="e">
        <f>'[2].xls].xls].xls].xls].xls].xls].xls].'!G41</f>
        <v>#REF!</v>
      </c>
      <c r="L2378" s="5" t="e">
        <f t="shared" si="220"/>
        <v>#REF!</v>
      </c>
      <c r="M2378" s="5" t="e">
        <f t="shared" si="221"/>
        <v>#REF!</v>
      </c>
      <c r="N2378" s="5" t="e">
        <f t="shared" si="221"/>
        <v>#REF!</v>
      </c>
      <c r="O2378" s="8" t="s">
        <v>1059</v>
      </c>
      <c r="T2378">
        <v>0</v>
      </c>
      <c r="AC2378">
        <v>1</v>
      </c>
    </row>
    <row r="2379" spans="1:29" ht="30" customHeight="1" x14ac:dyDescent="0.3">
      <c r="A2379" s="8" t="s">
        <v>2247</v>
      </c>
      <c r="B2379" s="8" t="s">
        <v>1074</v>
      </c>
      <c r="C2379" s="8" t="s">
        <v>528</v>
      </c>
      <c r="D2379" s="8" t="s">
        <v>348</v>
      </c>
      <c r="E2379" s="8" t="s">
        <v>185</v>
      </c>
      <c r="F2379" s="9">
        <v>1</v>
      </c>
      <c r="G2379" s="5" t="e">
        <f>'[2].xls].xls].xls].xls].xls].xls].xls].'!E61</f>
        <v>#REF!</v>
      </c>
      <c r="H2379" s="5" t="e">
        <f t="shared" si="218"/>
        <v>#REF!</v>
      </c>
      <c r="I2379" s="5" t="e">
        <f>'[2].xls].xls].xls].xls].xls].xls].xls].'!F61</f>
        <v>#REF!</v>
      </c>
      <c r="J2379" s="5" t="e">
        <f t="shared" si="219"/>
        <v>#REF!</v>
      </c>
      <c r="K2379" s="5" t="e">
        <f>'[2].xls].xls].xls].xls].xls].xls].xls].'!G61</f>
        <v>#REF!</v>
      </c>
      <c r="L2379" s="5" t="e">
        <f t="shared" si="220"/>
        <v>#REF!</v>
      </c>
      <c r="M2379" s="5" t="e">
        <f t="shared" si="221"/>
        <v>#REF!</v>
      </c>
      <c r="N2379" s="5" t="e">
        <f t="shared" si="221"/>
        <v>#REF!</v>
      </c>
      <c r="O2379" s="8" t="s">
        <v>1074</v>
      </c>
      <c r="T2379">
        <v>0</v>
      </c>
      <c r="AC2379">
        <v>1</v>
      </c>
    </row>
    <row r="2380" spans="1:29" ht="30" customHeight="1" x14ac:dyDescent="0.3">
      <c r="A2380" s="8" t="s">
        <v>2247</v>
      </c>
      <c r="B2380" s="8" t="s">
        <v>1438</v>
      </c>
      <c r="C2380" s="8" t="s">
        <v>153</v>
      </c>
      <c r="D2380" s="8" t="s">
        <v>1439</v>
      </c>
      <c r="E2380" s="8" t="s">
        <v>155</v>
      </c>
      <c r="F2380" s="9">
        <v>1</v>
      </c>
      <c r="G2380" s="5">
        <v>0</v>
      </c>
      <c r="H2380" s="5">
        <f t="shared" si="218"/>
        <v>0</v>
      </c>
      <c r="I2380" s="5">
        <f>TRUNC([1]단가대비표!O666,0)</f>
        <v>198718</v>
      </c>
      <c r="J2380" s="5">
        <f t="shared" si="219"/>
        <v>198718</v>
      </c>
      <c r="K2380" s="5">
        <v>0</v>
      </c>
      <c r="L2380" s="5">
        <f t="shared" si="220"/>
        <v>0</v>
      </c>
      <c r="M2380" s="5">
        <f t="shared" si="221"/>
        <v>198718</v>
      </c>
      <c r="N2380" s="5">
        <f t="shared" si="221"/>
        <v>198718</v>
      </c>
      <c r="O2380" s="8" t="s">
        <v>20</v>
      </c>
      <c r="T2380">
        <v>0</v>
      </c>
      <c r="W2380">
        <v>3</v>
      </c>
      <c r="AC2380">
        <v>1</v>
      </c>
    </row>
    <row r="2381" spans="1:29" ht="30" customHeight="1" x14ac:dyDescent="0.3">
      <c r="A2381" s="8" t="s">
        <v>2247</v>
      </c>
      <c r="B2381" s="8" t="s">
        <v>158</v>
      </c>
      <c r="C2381" s="8" t="s">
        <v>159</v>
      </c>
      <c r="D2381" s="8" t="s">
        <v>160</v>
      </c>
      <c r="E2381" s="8" t="s">
        <v>161</v>
      </c>
      <c r="F2381" s="9">
        <v>1</v>
      </c>
      <c r="G2381" s="5">
        <f>ROUNDDOWN(SUMIF(W2371:W2381, RIGHTB(B2381, 1), J2371:J2381)*T2381, 0)</f>
        <v>3974</v>
      </c>
      <c r="H2381" s="5">
        <f t="shared" si="218"/>
        <v>3974</v>
      </c>
      <c r="I2381" s="5">
        <v>0</v>
      </c>
      <c r="J2381" s="5">
        <f t="shared" si="219"/>
        <v>0</v>
      </c>
      <c r="K2381" s="5">
        <v>0</v>
      </c>
      <c r="L2381" s="5">
        <f t="shared" si="220"/>
        <v>0</v>
      </c>
      <c r="M2381" s="5">
        <f t="shared" si="221"/>
        <v>3974</v>
      </c>
      <c r="N2381" s="5">
        <f t="shared" si="221"/>
        <v>3974</v>
      </c>
      <c r="O2381" s="8" t="s">
        <v>20</v>
      </c>
      <c r="P2381">
        <v>2381</v>
      </c>
      <c r="R2381">
        <v>1</v>
      </c>
      <c r="S2381">
        <v>0</v>
      </c>
      <c r="T2381">
        <v>0.02</v>
      </c>
      <c r="AC2381">
        <v>1</v>
      </c>
    </row>
    <row r="2382" spans="1:29" ht="30" customHeight="1" x14ac:dyDescent="0.3">
      <c r="A2382" s="5"/>
      <c r="B2382" s="5"/>
      <c r="C2382" s="5"/>
      <c r="D2382" s="5"/>
      <c r="E2382" s="5"/>
      <c r="F2382" s="9"/>
      <c r="G2382" s="5"/>
      <c r="H2382" s="5"/>
      <c r="I2382" s="5"/>
      <c r="J2382" s="5"/>
      <c r="K2382" s="5"/>
      <c r="L2382" s="5"/>
      <c r="M2382" s="5"/>
      <c r="N2382" s="5"/>
      <c r="O2382" s="5"/>
    </row>
    <row r="2383" spans="1:29" ht="30" customHeight="1" x14ac:dyDescent="0.3">
      <c r="A2383" s="5"/>
      <c r="B2383" s="5"/>
      <c r="C2383" s="5"/>
      <c r="D2383" s="5"/>
      <c r="E2383" s="5"/>
      <c r="F2383" s="9"/>
      <c r="G2383" s="5"/>
      <c r="H2383" s="5"/>
      <c r="I2383" s="5"/>
      <c r="J2383" s="5"/>
      <c r="K2383" s="5"/>
      <c r="L2383" s="5"/>
      <c r="M2383" s="5"/>
      <c r="N2383" s="5"/>
      <c r="O2383" s="5"/>
    </row>
    <row r="2384" spans="1:29" ht="30" customHeight="1" x14ac:dyDescent="0.3">
      <c r="A2384" s="5"/>
      <c r="B2384" s="5"/>
      <c r="C2384" s="5"/>
      <c r="D2384" s="5"/>
      <c r="E2384" s="5"/>
      <c r="F2384" s="9"/>
      <c r="G2384" s="5"/>
      <c r="H2384" s="5"/>
      <c r="I2384" s="5"/>
      <c r="J2384" s="5"/>
      <c r="K2384" s="5"/>
      <c r="L2384" s="5"/>
      <c r="M2384" s="5"/>
      <c r="N2384" s="5"/>
      <c r="O2384" s="5"/>
    </row>
    <row r="2385" spans="1:29" ht="30" customHeight="1" x14ac:dyDescent="0.3">
      <c r="A2385" s="5"/>
      <c r="B2385" s="5"/>
      <c r="C2385" s="5"/>
      <c r="D2385" s="5"/>
      <c r="E2385" s="5"/>
      <c r="F2385" s="9"/>
      <c r="G2385" s="5"/>
      <c r="H2385" s="5"/>
      <c r="I2385" s="5"/>
      <c r="J2385" s="5"/>
      <c r="K2385" s="5"/>
      <c r="L2385" s="5"/>
      <c r="M2385" s="5"/>
      <c r="N2385" s="5"/>
      <c r="O2385" s="5"/>
    </row>
    <row r="2386" spans="1:29" ht="30" customHeight="1" x14ac:dyDescent="0.3">
      <c r="A2386" s="5"/>
      <c r="B2386" s="5"/>
      <c r="C2386" s="5"/>
      <c r="D2386" s="5"/>
      <c r="E2386" s="5"/>
      <c r="F2386" s="9"/>
      <c r="G2386" s="5"/>
      <c r="H2386" s="5"/>
      <c r="I2386" s="5"/>
      <c r="J2386" s="5"/>
      <c r="K2386" s="5"/>
      <c r="L2386" s="5"/>
      <c r="M2386" s="5"/>
      <c r="N2386" s="5"/>
      <c r="O2386" s="5"/>
    </row>
    <row r="2387" spans="1:29" ht="30" customHeight="1" x14ac:dyDescent="0.3">
      <c r="A2387" s="5"/>
      <c r="B2387" s="5"/>
      <c r="C2387" s="5"/>
      <c r="D2387" s="5"/>
      <c r="E2387" s="5"/>
      <c r="F2387" s="9"/>
      <c r="G2387" s="5"/>
      <c r="H2387" s="5"/>
      <c r="I2387" s="5"/>
      <c r="J2387" s="5"/>
      <c r="K2387" s="5"/>
      <c r="L2387" s="5"/>
      <c r="M2387" s="5"/>
      <c r="N2387" s="5"/>
      <c r="O2387" s="5"/>
    </row>
    <row r="2388" spans="1:29" ht="30" customHeight="1" x14ac:dyDescent="0.3">
      <c r="A2388" s="5"/>
      <c r="B2388" s="5"/>
      <c r="C2388" s="5"/>
      <c r="D2388" s="5"/>
      <c r="E2388" s="5"/>
      <c r="F2388" s="9"/>
      <c r="G2388" s="5"/>
      <c r="H2388" s="5"/>
      <c r="I2388" s="5"/>
      <c r="J2388" s="5"/>
      <c r="K2388" s="5"/>
      <c r="L2388" s="5"/>
      <c r="M2388" s="5"/>
      <c r="N2388" s="5"/>
      <c r="O2388" s="5"/>
    </row>
    <row r="2389" spans="1:29" ht="30" customHeight="1" x14ac:dyDescent="0.3">
      <c r="A2389" s="5"/>
      <c r="B2389" s="5"/>
      <c r="C2389" s="5"/>
      <c r="D2389" s="5"/>
      <c r="E2389" s="5"/>
      <c r="F2389" s="9"/>
      <c r="G2389" s="5"/>
      <c r="H2389" s="5"/>
      <c r="I2389" s="5"/>
      <c r="J2389" s="5"/>
      <c r="K2389" s="5"/>
      <c r="L2389" s="5"/>
      <c r="M2389" s="5"/>
      <c r="N2389" s="5"/>
      <c r="O2389" s="5"/>
    </row>
    <row r="2390" spans="1:29" ht="30" customHeight="1" x14ac:dyDescent="0.3">
      <c r="A2390" s="5"/>
      <c r="B2390" s="5"/>
      <c r="C2390" s="5"/>
      <c r="D2390" s="5"/>
      <c r="E2390" s="5"/>
      <c r="F2390" s="9"/>
      <c r="G2390" s="5"/>
      <c r="H2390" s="5"/>
      <c r="I2390" s="5"/>
      <c r="J2390" s="5"/>
      <c r="K2390" s="5"/>
      <c r="L2390" s="5"/>
      <c r="M2390" s="5"/>
      <c r="N2390" s="5"/>
      <c r="O2390" s="5"/>
    </row>
    <row r="2391" spans="1:29" ht="30" customHeight="1" x14ac:dyDescent="0.3">
      <c r="A2391" s="5"/>
      <c r="B2391" s="5"/>
      <c r="C2391" s="5"/>
      <c r="D2391" s="5"/>
      <c r="E2391" s="5"/>
      <c r="F2391" s="9"/>
      <c r="G2391" s="5"/>
      <c r="H2391" s="5"/>
      <c r="I2391" s="5"/>
      <c r="J2391" s="5"/>
      <c r="K2391" s="5"/>
      <c r="L2391" s="5"/>
      <c r="M2391" s="5"/>
      <c r="N2391" s="5"/>
      <c r="O2391" s="5"/>
    </row>
    <row r="2392" spans="1:29" ht="30" customHeight="1" x14ac:dyDescent="0.3">
      <c r="A2392" s="5"/>
      <c r="B2392" s="5"/>
      <c r="C2392" s="5"/>
      <c r="D2392" s="5"/>
      <c r="E2392" s="5"/>
      <c r="F2392" s="9"/>
      <c r="G2392" s="5"/>
      <c r="H2392" s="5"/>
      <c r="I2392" s="5"/>
      <c r="J2392" s="5"/>
      <c r="K2392" s="5"/>
      <c r="L2392" s="5"/>
      <c r="M2392" s="5"/>
      <c r="N2392" s="5"/>
      <c r="O2392" s="5"/>
    </row>
    <row r="2393" spans="1:29" ht="30" customHeight="1" x14ac:dyDescent="0.3">
      <c r="A2393" s="5"/>
      <c r="B2393" s="5"/>
      <c r="C2393" s="5"/>
      <c r="D2393" s="5"/>
      <c r="E2393" s="5"/>
      <c r="F2393" s="9"/>
      <c r="G2393" s="5"/>
      <c r="H2393" s="5"/>
      <c r="I2393" s="5"/>
      <c r="J2393" s="5"/>
      <c r="K2393" s="5"/>
      <c r="L2393" s="5"/>
      <c r="M2393" s="5"/>
      <c r="N2393" s="5"/>
      <c r="O2393" s="5"/>
    </row>
    <row r="2394" spans="1:29" ht="30" customHeight="1" x14ac:dyDescent="0.3">
      <c r="A2394" s="5"/>
      <c r="B2394" s="5"/>
      <c r="C2394" s="5"/>
      <c r="D2394" s="5"/>
      <c r="E2394" s="5"/>
      <c r="F2394" s="9"/>
      <c r="G2394" s="5"/>
      <c r="H2394" s="5"/>
      <c r="I2394" s="5"/>
      <c r="J2394" s="5"/>
      <c r="K2394" s="5"/>
      <c r="L2394" s="5"/>
      <c r="M2394" s="5"/>
      <c r="N2394" s="5"/>
      <c r="O2394" s="5"/>
    </row>
    <row r="2395" spans="1:29" ht="30" customHeight="1" x14ac:dyDescent="0.3">
      <c r="A2395" s="5"/>
      <c r="B2395" s="5"/>
      <c r="C2395" s="5" t="s">
        <v>162</v>
      </c>
      <c r="D2395" s="5"/>
      <c r="E2395" s="5"/>
      <c r="F2395" s="9"/>
      <c r="G2395" s="5"/>
      <c r="H2395" s="5" t="e">
        <f>SUMIF(AC2371:AC2394, 1, H2371:H2394)</f>
        <v>#REF!</v>
      </c>
      <c r="I2395" s="5"/>
      <c r="J2395" s="5" t="e">
        <f>SUMIF(AC2371:AC2394, 1, J2371:J2394)</f>
        <v>#REF!</v>
      </c>
      <c r="K2395" s="5"/>
      <c r="L2395" s="5" t="e">
        <f>SUMIF(AC2371:AC2394, 1, L2371:L2394)</f>
        <v>#REF!</v>
      </c>
      <c r="M2395" s="5"/>
      <c r="N2395" s="5" t="e">
        <f>H2395+J2395+L2395</f>
        <v>#REF!</v>
      </c>
      <c r="O2395" s="5"/>
    </row>
    <row r="2396" spans="1:29" ht="30" customHeight="1" x14ac:dyDescent="0.3">
      <c r="A2396" s="5"/>
      <c r="B2396" s="5"/>
      <c r="C2396" s="10" t="s">
        <v>2248</v>
      </c>
      <c r="D2396" s="10"/>
      <c r="E2396" s="10"/>
      <c r="F2396" s="11"/>
      <c r="G2396" s="10"/>
      <c r="H2396" s="10"/>
      <c r="I2396" s="10"/>
      <c r="J2396" s="10"/>
      <c r="K2396" s="10"/>
      <c r="L2396" s="10"/>
      <c r="M2396" s="10"/>
      <c r="N2396" s="10"/>
      <c r="O2396" s="10"/>
    </row>
    <row r="2397" spans="1:29" ht="30" customHeight="1" x14ac:dyDescent="0.3">
      <c r="A2397" s="8" t="s">
        <v>2249</v>
      </c>
      <c r="B2397" s="8" t="s">
        <v>2250</v>
      </c>
      <c r="C2397" s="8" t="s">
        <v>2251</v>
      </c>
      <c r="D2397" s="8" t="s">
        <v>2252</v>
      </c>
      <c r="E2397" s="8" t="s">
        <v>19</v>
      </c>
      <c r="F2397" s="9">
        <v>1</v>
      </c>
      <c r="G2397" s="5">
        <f>TRUNC([1]단가대비표!O1363,0)</f>
        <v>800000</v>
      </c>
      <c r="H2397" s="5">
        <f>TRUNC(F2397*G2397,0)</f>
        <v>800000</v>
      </c>
      <c r="I2397" s="5">
        <v>0</v>
      </c>
      <c r="J2397" s="5">
        <f>TRUNC(F2397*I2397,0)</f>
        <v>0</v>
      </c>
      <c r="K2397" s="5">
        <v>0</v>
      </c>
      <c r="L2397" s="5">
        <f>TRUNC(F2397*K2397,0)</f>
        <v>0</v>
      </c>
      <c r="M2397" s="5">
        <f>G2397+I2397+K2397</f>
        <v>800000</v>
      </c>
      <c r="N2397" s="5">
        <f>H2397+J2397+L2397</f>
        <v>800000</v>
      </c>
      <c r="O2397" s="8" t="s">
        <v>20</v>
      </c>
      <c r="T2397">
        <v>0</v>
      </c>
      <c r="AC2397">
        <v>1</v>
      </c>
    </row>
    <row r="2398" spans="1:29" ht="30" customHeight="1" x14ac:dyDescent="0.3">
      <c r="A2398" s="5"/>
      <c r="B2398" s="5"/>
      <c r="C2398" s="5"/>
      <c r="D2398" s="5"/>
      <c r="E2398" s="5"/>
      <c r="F2398" s="9"/>
      <c r="G2398" s="5"/>
      <c r="H2398" s="5"/>
      <c r="I2398" s="5"/>
      <c r="J2398" s="5"/>
      <c r="K2398" s="5"/>
      <c r="L2398" s="5"/>
      <c r="M2398" s="5"/>
      <c r="N2398" s="5"/>
      <c r="O2398" s="5"/>
    </row>
    <row r="2399" spans="1:29" ht="30" customHeight="1" x14ac:dyDescent="0.3">
      <c r="A2399" s="5"/>
      <c r="B2399" s="5"/>
      <c r="C2399" s="5"/>
      <c r="D2399" s="5"/>
      <c r="E2399" s="5"/>
      <c r="F2399" s="9"/>
      <c r="G2399" s="5"/>
      <c r="H2399" s="5"/>
      <c r="I2399" s="5"/>
      <c r="J2399" s="5"/>
      <c r="K2399" s="5"/>
      <c r="L2399" s="5"/>
      <c r="M2399" s="5"/>
      <c r="N2399" s="5"/>
      <c r="O2399" s="5"/>
    </row>
    <row r="2400" spans="1:29" ht="30" customHeight="1" x14ac:dyDescent="0.3">
      <c r="A2400" s="5"/>
      <c r="B2400" s="5"/>
      <c r="C2400" s="5"/>
      <c r="D2400" s="5"/>
      <c r="E2400" s="5"/>
      <c r="F2400" s="9"/>
      <c r="G2400" s="5"/>
      <c r="H2400" s="5"/>
      <c r="I2400" s="5"/>
      <c r="J2400" s="5"/>
      <c r="K2400" s="5"/>
      <c r="L2400" s="5"/>
      <c r="M2400" s="5"/>
      <c r="N2400" s="5"/>
      <c r="O2400" s="5"/>
    </row>
    <row r="2401" spans="1:15" ht="30" customHeight="1" x14ac:dyDescent="0.3">
      <c r="A2401" s="5"/>
      <c r="B2401" s="5"/>
      <c r="C2401" s="5"/>
      <c r="D2401" s="5"/>
      <c r="E2401" s="5"/>
      <c r="F2401" s="9"/>
      <c r="G2401" s="5"/>
      <c r="H2401" s="5"/>
      <c r="I2401" s="5"/>
      <c r="J2401" s="5"/>
      <c r="K2401" s="5"/>
      <c r="L2401" s="5"/>
      <c r="M2401" s="5"/>
      <c r="N2401" s="5"/>
      <c r="O2401" s="5"/>
    </row>
    <row r="2402" spans="1:15" ht="30" customHeight="1" x14ac:dyDescent="0.3">
      <c r="A2402" s="5"/>
      <c r="B2402" s="5"/>
      <c r="C2402" s="5"/>
      <c r="D2402" s="5"/>
      <c r="E2402" s="5"/>
      <c r="F2402" s="9"/>
      <c r="G2402" s="5"/>
      <c r="H2402" s="5"/>
      <c r="I2402" s="5"/>
      <c r="J2402" s="5"/>
      <c r="K2402" s="5"/>
      <c r="L2402" s="5"/>
      <c r="M2402" s="5"/>
      <c r="N2402" s="5"/>
      <c r="O2402" s="5"/>
    </row>
    <row r="2403" spans="1:15" ht="30" customHeight="1" x14ac:dyDescent="0.3">
      <c r="A2403" s="5"/>
      <c r="B2403" s="5"/>
      <c r="C2403" s="5"/>
      <c r="D2403" s="5"/>
      <c r="E2403" s="5"/>
      <c r="F2403" s="9"/>
      <c r="G2403" s="5"/>
      <c r="H2403" s="5"/>
      <c r="I2403" s="5"/>
      <c r="J2403" s="5"/>
      <c r="K2403" s="5"/>
      <c r="L2403" s="5"/>
      <c r="M2403" s="5"/>
      <c r="N2403" s="5"/>
      <c r="O2403" s="5"/>
    </row>
    <row r="2404" spans="1:15" ht="30" customHeight="1" x14ac:dyDescent="0.3">
      <c r="A2404" s="5"/>
      <c r="B2404" s="5"/>
      <c r="C2404" s="5"/>
      <c r="D2404" s="5"/>
      <c r="E2404" s="5"/>
      <c r="F2404" s="9"/>
      <c r="G2404" s="5"/>
      <c r="H2404" s="5"/>
      <c r="I2404" s="5"/>
      <c r="J2404" s="5"/>
      <c r="K2404" s="5"/>
      <c r="L2404" s="5"/>
      <c r="M2404" s="5"/>
      <c r="N2404" s="5"/>
      <c r="O2404" s="5"/>
    </row>
    <row r="2405" spans="1:15" ht="30" customHeight="1" x14ac:dyDescent="0.3">
      <c r="A2405" s="5"/>
      <c r="B2405" s="5"/>
      <c r="C2405" s="5"/>
      <c r="D2405" s="5"/>
      <c r="E2405" s="5"/>
      <c r="F2405" s="9"/>
      <c r="G2405" s="5"/>
      <c r="H2405" s="5"/>
      <c r="I2405" s="5"/>
      <c r="J2405" s="5"/>
      <c r="K2405" s="5"/>
      <c r="L2405" s="5"/>
      <c r="M2405" s="5"/>
      <c r="N2405" s="5"/>
      <c r="O2405" s="5"/>
    </row>
    <row r="2406" spans="1:15" ht="30" customHeight="1" x14ac:dyDescent="0.3">
      <c r="A2406" s="5"/>
      <c r="B2406" s="5"/>
      <c r="C2406" s="5"/>
      <c r="D2406" s="5"/>
      <c r="E2406" s="5"/>
      <c r="F2406" s="9"/>
      <c r="G2406" s="5"/>
      <c r="H2406" s="5"/>
      <c r="I2406" s="5"/>
      <c r="J2406" s="5"/>
      <c r="K2406" s="5"/>
      <c r="L2406" s="5"/>
      <c r="M2406" s="5"/>
      <c r="N2406" s="5"/>
      <c r="O2406" s="5"/>
    </row>
    <row r="2407" spans="1:15" ht="30" customHeight="1" x14ac:dyDescent="0.3">
      <c r="A2407" s="5"/>
      <c r="B2407" s="5"/>
      <c r="C2407" s="5"/>
      <c r="D2407" s="5"/>
      <c r="E2407" s="5"/>
      <c r="F2407" s="9"/>
      <c r="G2407" s="5"/>
      <c r="H2407" s="5"/>
      <c r="I2407" s="5"/>
      <c r="J2407" s="5"/>
      <c r="K2407" s="5"/>
      <c r="L2407" s="5"/>
      <c r="M2407" s="5"/>
      <c r="N2407" s="5"/>
      <c r="O2407" s="5"/>
    </row>
    <row r="2408" spans="1:15" ht="30" customHeight="1" x14ac:dyDescent="0.3">
      <c r="A2408" s="5"/>
      <c r="B2408" s="5"/>
      <c r="C2408" s="5"/>
      <c r="D2408" s="5"/>
      <c r="E2408" s="5"/>
      <c r="F2408" s="9"/>
      <c r="G2408" s="5"/>
      <c r="H2408" s="5"/>
      <c r="I2408" s="5"/>
      <c r="J2408" s="5"/>
      <c r="K2408" s="5"/>
      <c r="L2408" s="5"/>
      <c r="M2408" s="5"/>
      <c r="N2408" s="5"/>
      <c r="O2408" s="5"/>
    </row>
    <row r="2409" spans="1:15" ht="30" customHeight="1" x14ac:dyDescent="0.3">
      <c r="A2409" s="5"/>
      <c r="B2409" s="5"/>
      <c r="C2409" s="5"/>
      <c r="D2409" s="5"/>
      <c r="E2409" s="5"/>
      <c r="F2409" s="9"/>
      <c r="G2409" s="5"/>
      <c r="H2409" s="5"/>
      <c r="I2409" s="5"/>
      <c r="J2409" s="5"/>
      <c r="K2409" s="5"/>
      <c r="L2409" s="5"/>
      <c r="M2409" s="5"/>
      <c r="N2409" s="5"/>
      <c r="O2409" s="5"/>
    </row>
    <row r="2410" spans="1:15" ht="30" customHeight="1" x14ac:dyDescent="0.3">
      <c r="A2410" s="5"/>
      <c r="B2410" s="5"/>
      <c r="C2410" s="5"/>
      <c r="D2410" s="5"/>
      <c r="E2410" s="5"/>
      <c r="F2410" s="9"/>
      <c r="G2410" s="5"/>
      <c r="H2410" s="5"/>
      <c r="I2410" s="5"/>
      <c r="J2410" s="5"/>
      <c r="K2410" s="5"/>
      <c r="L2410" s="5"/>
      <c r="M2410" s="5"/>
      <c r="N2410" s="5"/>
      <c r="O2410" s="5"/>
    </row>
    <row r="2411" spans="1:15" ht="30" customHeight="1" x14ac:dyDescent="0.3">
      <c r="A2411" s="5"/>
      <c r="B2411" s="5"/>
      <c r="C2411" s="5"/>
      <c r="D2411" s="5"/>
      <c r="E2411" s="5"/>
      <c r="F2411" s="9"/>
      <c r="G2411" s="5"/>
      <c r="H2411" s="5"/>
      <c r="I2411" s="5"/>
      <c r="J2411" s="5"/>
      <c r="K2411" s="5"/>
      <c r="L2411" s="5"/>
      <c r="M2411" s="5"/>
      <c r="N2411" s="5"/>
      <c r="O2411" s="5"/>
    </row>
    <row r="2412" spans="1:15" ht="30" customHeight="1" x14ac:dyDescent="0.3">
      <c r="A2412" s="5"/>
      <c r="B2412" s="5"/>
      <c r="C2412" s="5"/>
      <c r="D2412" s="5"/>
      <c r="E2412" s="5"/>
      <c r="F2412" s="9"/>
      <c r="G2412" s="5"/>
      <c r="H2412" s="5"/>
      <c r="I2412" s="5"/>
      <c r="J2412" s="5"/>
      <c r="K2412" s="5"/>
      <c r="L2412" s="5"/>
      <c r="M2412" s="5"/>
      <c r="N2412" s="5"/>
      <c r="O2412" s="5"/>
    </row>
    <row r="2413" spans="1:15" ht="30" customHeight="1" x14ac:dyDescent="0.3">
      <c r="A2413" s="5"/>
      <c r="B2413" s="5"/>
      <c r="C2413" s="5"/>
      <c r="D2413" s="5"/>
      <c r="E2413" s="5"/>
      <c r="F2413" s="9"/>
      <c r="G2413" s="5"/>
      <c r="H2413" s="5"/>
      <c r="I2413" s="5"/>
      <c r="J2413" s="5"/>
      <c r="K2413" s="5"/>
      <c r="L2413" s="5"/>
      <c r="M2413" s="5"/>
      <c r="N2413" s="5"/>
      <c r="O2413" s="5"/>
    </row>
    <row r="2414" spans="1:15" ht="30" customHeight="1" x14ac:dyDescent="0.3">
      <c r="A2414" s="5"/>
      <c r="B2414" s="5"/>
      <c r="C2414" s="5"/>
      <c r="D2414" s="5"/>
      <c r="E2414" s="5"/>
      <c r="F2414" s="9"/>
      <c r="G2414" s="5"/>
      <c r="H2414" s="5"/>
      <c r="I2414" s="5"/>
      <c r="J2414" s="5"/>
      <c r="K2414" s="5"/>
      <c r="L2414" s="5"/>
      <c r="M2414" s="5"/>
      <c r="N2414" s="5"/>
      <c r="O2414" s="5"/>
    </row>
    <row r="2415" spans="1:15" ht="30" customHeight="1" x14ac:dyDescent="0.3">
      <c r="A2415" s="5"/>
      <c r="B2415" s="5"/>
      <c r="C2415" s="5"/>
      <c r="D2415" s="5"/>
      <c r="E2415" s="5"/>
      <c r="F2415" s="9"/>
      <c r="G2415" s="5"/>
      <c r="H2415" s="5"/>
      <c r="I2415" s="5"/>
      <c r="J2415" s="5"/>
      <c r="K2415" s="5"/>
      <c r="L2415" s="5"/>
      <c r="M2415" s="5"/>
      <c r="N2415" s="5"/>
      <c r="O2415" s="5"/>
    </row>
    <row r="2416" spans="1:15" ht="30" customHeight="1" x14ac:dyDescent="0.3">
      <c r="A2416" s="5"/>
      <c r="B2416" s="5"/>
      <c r="C2416" s="5"/>
      <c r="D2416" s="5"/>
      <c r="E2416" s="5"/>
      <c r="F2416" s="9"/>
      <c r="G2416" s="5"/>
      <c r="H2416" s="5"/>
      <c r="I2416" s="5"/>
      <c r="J2416" s="5"/>
      <c r="K2416" s="5"/>
      <c r="L2416" s="5"/>
      <c r="M2416" s="5"/>
      <c r="N2416" s="5"/>
      <c r="O2416" s="5"/>
    </row>
    <row r="2417" spans="1:29" ht="30" customHeight="1" x14ac:dyDescent="0.3">
      <c r="A2417" s="5"/>
      <c r="B2417" s="5"/>
      <c r="C2417" s="5"/>
      <c r="D2417" s="5"/>
      <c r="E2417" s="5"/>
      <c r="F2417" s="9"/>
      <c r="G2417" s="5"/>
      <c r="H2417" s="5"/>
      <c r="I2417" s="5"/>
      <c r="J2417" s="5"/>
      <c r="K2417" s="5"/>
      <c r="L2417" s="5"/>
      <c r="M2417" s="5"/>
      <c r="N2417" s="5"/>
      <c r="O2417" s="5"/>
    </row>
    <row r="2418" spans="1:29" ht="30" customHeight="1" x14ac:dyDescent="0.3">
      <c r="A2418" s="5"/>
      <c r="B2418" s="5"/>
      <c r="C2418" s="5"/>
      <c r="D2418" s="5"/>
      <c r="E2418" s="5"/>
      <c r="F2418" s="9"/>
      <c r="G2418" s="5"/>
      <c r="H2418" s="5"/>
      <c r="I2418" s="5"/>
      <c r="J2418" s="5"/>
      <c r="K2418" s="5"/>
      <c r="L2418" s="5"/>
      <c r="M2418" s="5"/>
      <c r="N2418" s="5"/>
      <c r="O2418" s="5"/>
    </row>
    <row r="2419" spans="1:29" ht="30" customHeight="1" x14ac:dyDescent="0.3">
      <c r="A2419" s="5"/>
      <c r="B2419" s="5"/>
      <c r="C2419" s="5"/>
      <c r="D2419" s="5"/>
      <c r="E2419" s="5"/>
      <c r="F2419" s="9"/>
      <c r="G2419" s="5"/>
      <c r="H2419" s="5"/>
      <c r="I2419" s="5"/>
      <c r="J2419" s="5"/>
      <c r="K2419" s="5"/>
      <c r="L2419" s="5"/>
      <c r="M2419" s="5"/>
      <c r="N2419" s="5"/>
      <c r="O2419" s="5"/>
    </row>
    <row r="2420" spans="1:29" ht="30" customHeight="1" x14ac:dyDescent="0.3">
      <c r="A2420" s="5"/>
      <c r="B2420" s="5"/>
      <c r="C2420" s="5"/>
      <c r="D2420" s="5"/>
      <c r="E2420" s="5"/>
      <c r="F2420" s="9"/>
      <c r="G2420" s="5"/>
      <c r="H2420" s="5"/>
      <c r="I2420" s="5"/>
      <c r="J2420" s="5"/>
      <c r="K2420" s="5"/>
      <c r="L2420" s="5"/>
      <c r="M2420" s="5"/>
      <c r="N2420" s="5"/>
      <c r="O2420" s="5"/>
    </row>
    <row r="2421" spans="1:29" ht="30" customHeight="1" x14ac:dyDescent="0.3">
      <c r="A2421" s="5"/>
      <c r="B2421" s="5"/>
      <c r="C2421" s="5" t="s">
        <v>162</v>
      </c>
      <c r="D2421" s="5"/>
      <c r="E2421" s="5"/>
      <c r="F2421" s="9"/>
      <c r="G2421" s="5"/>
      <c r="H2421" s="5">
        <f>SUMIF(AC2397:AC2420, 1, H2397:H2420)</f>
        <v>800000</v>
      </c>
      <c r="I2421" s="5"/>
      <c r="J2421" s="5">
        <f>SUMIF(AC2397:AC2420, 1, J2397:J2420)</f>
        <v>0</v>
      </c>
      <c r="K2421" s="5"/>
      <c r="L2421" s="5">
        <f>SUMIF(AC2397:AC2420, 1, L2397:L2420)</f>
        <v>0</v>
      </c>
      <c r="M2421" s="5"/>
      <c r="N2421" s="5">
        <f>H2421+J2421+L2421</f>
        <v>800000</v>
      </c>
      <c r="O2421" s="5"/>
    </row>
    <row r="2422" spans="1:29" ht="30" customHeight="1" x14ac:dyDescent="0.3">
      <c r="A2422" s="5"/>
      <c r="B2422" s="5"/>
      <c r="C2422" s="10" t="s">
        <v>2253</v>
      </c>
      <c r="D2422" s="10"/>
      <c r="E2422" s="10"/>
      <c r="F2422" s="11"/>
      <c r="G2422" s="10"/>
      <c r="H2422" s="10"/>
      <c r="I2422" s="10"/>
      <c r="J2422" s="10"/>
      <c r="K2422" s="10"/>
      <c r="L2422" s="10"/>
      <c r="M2422" s="10"/>
      <c r="N2422" s="10"/>
      <c r="O2422" s="10"/>
    </row>
    <row r="2423" spans="1:29" ht="30" customHeight="1" x14ac:dyDescent="0.3">
      <c r="A2423" s="8" t="s">
        <v>2254</v>
      </c>
      <c r="B2423" s="8" t="s">
        <v>2255</v>
      </c>
      <c r="C2423" s="8" t="s">
        <v>2256</v>
      </c>
      <c r="D2423" s="8" t="s">
        <v>108</v>
      </c>
      <c r="E2423" s="8" t="s">
        <v>19</v>
      </c>
      <c r="F2423" s="9">
        <v>1</v>
      </c>
      <c r="G2423" s="5">
        <f>TRUNC([1]단가대비표!O1360,0)</f>
        <v>93500</v>
      </c>
      <c r="H2423" s="5">
        <f t="shared" ref="H2423:H2430" si="222">TRUNC(F2423*G2423,0)</f>
        <v>93500</v>
      </c>
      <c r="I2423" s="5">
        <v>0</v>
      </c>
      <c r="J2423" s="5">
        <f t="shared" ref="J2423:J2430" si="223">TRUNC(F2423*I2423,0)</f>
        <v>0</v>
      </c>
      <c r="K2423" s="5">
        <v>0</v>
      </c>
      <c r="L2423" s="5">
        <f t="shared" ref="L2423:L2430" si="224">TRUNC(F2423*K2423,0)</f>
        <v>0</v>
      </c>
      <c r="M2423" s="5">
        <f t="shared" ref="M2423:N2430" si="225">G2423+I2423+K2423</f>
        <v>93500</v>
      </c>
      <c r="N2423" s="5">
        <f t="shared" si="225"/>
        <v>93500</v>
      </c>
      <c r="O2423" s="8" t="s">
        <v>20</v>
      </c>
      <c r="T2423">
        <v>0</v>
      </c>
      <c r="AC2423">
        <v>1</v>
      </c>
    </row>
    <row r="2424" spans="1:29" ht="30" customHeight="1" x14ac:dyDescent="0.3">
      <c r="A2424" s="8" t="s">
        <v>2254</v>
      </c>
      <c r="B2424" s="8" t="s">
        <v>2257</v>
      </c>
      <c r="C2424" s="8" t="s">
        <v>2258</v>
      </c>
      <c r="D2424" s="8" t="s">
        <v>117</v>
      </c>
      <c r="E2424" s="8" t="s">
        <v>19</v>
      </c>
      <c r="F2424" s="9">
        <v>19</v>
      </c>
      <c r="G2424" s="5">
        <f>TRUNC([1]단가대비표!O1021,0)</f>
        <v>59500</v>
      </c>
      <c r="H2424" s="5">
        <f t="shared" si="222"/>
        <v>1130500</v>
      </c>
      <c r="I2424" s="5">
        <v>0</v>
      </c>
      <c r="J2424" s="5">
        <f t="shared" si="223"/>
        <v>0</v>
      </c>
      <c r="K2424" s="5">
        <v>0</v>
      </c>
      <c r="L2424" s="5">
        <f t="shared" si="224"/>
        <v>0</v>
      </c>
      <c r="M2424" s="5">
        <f t="shared" si="225"/>
        <v>59500</v>
      </c>
      <c r="N2424" s="5">
        <f t="shared" si="225"/>
        <v>1130500</v>
      </c>
      <c r="O2424" s="8" t="s">
        <v>20</v>
      </c>
      <c r="T2424">
        <v>0</v>
      </c>
      <c r="AC2424">
        <v>1</v>
      </c>
    </row>
    <row r="2425" spans="1:29" ht="30" customHeight="1" x14ac:dyDescent="0.3">
      <c r="A2425" s="8" t="s">
        <v>2254</v>
      </c>
      <c r="B2425" s="8" t="s">
        <v>2259</v>
      </c>
      <c r="C2425" s="8" t="s">
        <v>2260</v>
      </c>
      <c r="D2425" s="8" t="s">
        <v>108</v>
      </c>
      <c r="E2425" s="8" t="s">
        <v>19</v>
      </c>
      <c r="F2425" s="9">
        <v>1</v>
      </c>
      <c r="G2425" s="5">
        <f>TRUNC([1]단가대비표!O1361,0)</f>
        <v>93500</v>
      </c>
      <c r="H2425" s="5">
        <f t="shared" si="222"/>
        <v>93500</v>
      </c>
      <c r="I2425" s="5">
        <v>0</v>
      </c>
      <c r="J2425" s="5">
        <f t="shared" si="223"/>
        <v>0</v>
      </c>
      <c r="K2425" s="5">
        <v>0</v>
      </c>
      <c r="L2425" s="5">
        <f t="shared" si="224"/>
        <v>0</v>
      </c>
      <c r="M2425" s="5">
        <f t="shared" si="225"/>
        <v>93500</v>
      </c>
      <c r="N2425" s="5">
        <f t="shared" si="225"/>
        <v>93500</v>
      </c>
      <c r="O2425" s="8" t="s">
        <v>20</v>
      </c>
      <c r="T2425">
        <v>0</v>
      </c>
      <c r="AC2425">
        <v>1</v>
      </c>
    </row>
    <row r="2426" spans="1:29" ht="30" customHeight="1" x14ac:dyDescent="0.3">
      <c r="A2426" s="8" t="s">
        <v>2254</v>
      </c>
      <c r="B2426" s="8" t="s">
        <v>2261</v>
      </c>
      <c r="C2426" s="8" t="s">
        <v>2262</v>
      </c>
      <c r="D2426" s="8" t="s">
        <v>45</v>
      </c>
      <c r="E2426" s="8" t="s">
        <v>19</v>
      </c>
      <c r="F2426" s="9">
        <v>1</v>
      </c>
      <c r="G2426" s="5">
        <f>TRUNC([1]단가대비표!O1025,0)</f>
        <v>0</v>
      </c>
      <c r="H2426" s="5">
        <f t="shared" si="222"/>
        <v>0</v>
      </c>
      <c r="I2426" s="5">
        <v>0</v>
      </c>
      <c r="J2426" s="5">
        <f t="shared" si="223"/>
        <v>0</v>
      </c>
      <c r="K2426" s="5">
        <v>0</v>
      </c>
      <c r="L2426" s="5">
        <f t="shared" si="224"/>
        <v>0</v>
      </c>
      <c r="M2426" s="5">
        <f t="shared" si="225"/>
        <v>0</v>
      </c>
      <c r="N2426" s="5">
        <f t="shared" si="225"/>
        <v>0</v>
      </c>
      <c r="O2426" s="8" t="s">
        <v>20</v>
      </c>
      <c r="T2426">
        <v>0</v>
      </c>
      <c r="AC2426">
        <v>1</v>
      </c>
    </row>
    <row r="2427" spans="1:29" ht="30" customHeight="1" x14ac:dyDescent="0.3">
      <c r="A2427" s="8" t="s">
        <v>2254</v>
      </c>
      <c r="B2427" s="8" t="s">
        <v>2263</v>
      </c>
      <c r="C2427" s="8" t="s">
        <v>2264</v>
      </c>
      <c r="D2427" s="8" t="s">
        <v>60</v>
      </c>
      <c r="E2427" s="8" t="s">
        <v>19</v>
      </c>
      <c r="F2427" s="9">
        <v>2</v>
      </c>
      <c r="G2427" s="5">
        <f>TRUNC([1]단가대비표!O1026,0)</f>
        <v>0</v>
      </c>
      <c r="H2427" s="5">
        <f t="shared" si="222"/>
        <v>0</v>
      </c>
      <c r="I2427" s="5">
        <v>0</v>
      </c>
      <c r="J2427" s="5">
        <f t="shared" si="223"/>
        <v>0</v>
      </c>
      <c r="K2427" s="5">
        <v>0</v>
      </c>
      <c r="L2427" s="5">
        <f t="shared" si="224"/>
        <v>0</v>
      </c>
      <c r="M2427" s="5">
        <f t="shared" si="225"/>
        <v>0</v>
      </c>
      <c r="N2427" s="5">
        <f t="shared" si="225"/>
        <v>0</v>
      </c>
      <c r="O2427" s="8" t="s">
        <v>20</v>
      </c>
      <c r="T2427">
        <v>0</v>
      </c>
      <c r="AC2427">
        <v>1</v>
      </c>
    </row>
    <row r="2428" spans="1:29" ht="30" customHeight="1" x14ac:dyDescent="0.3">
      <c r="A2428" s="8" t="s">
        <v>2254</v>
      </c>
      <c r="B2428" s="8" t="s">
        <v>152</v>
      </c>
      <c r="C2428" s="8" t="s">
        <v>153</v>
      </c>
      <c r="D2428" s="8" t="s">
        <v>154</v>
      </c>
      <c r="E2428" s="8" t="s">
        <v>155</v>
      </c>
      <c r="F2428" s="9">
        <v>3</v>
      </c>
      <c r="G2428" s="5">
        <v>0</v>
      </c>
      <c r="H2428" s="5">
        <f t="shared" si="222"/>
        <v>0</v>
      </c>
      <c r="I2428" s="5">
        <f>TRUNC([1]단가대비표!O671,0)</f>
        <v>157068</v>
      </c>
      <c r="J2428" s="5">
        <f t="shared" si="223"/>
        <v>471204</v>
      </c>
      <c r="K2428" s="5">
        <v>0</v>
      </c>
      <c r="L2428" s="5">
        <f t="shared" si="224"/>
        <v>0</v>
      </c>
      <c r="M2428" s="5">
        <f t="shared" si="225"/>
        <v>157068</v>
      </c>
      <c r="N2428" s="5">
        <f t="shared" si="225"/>
        <v>471204</v>
      </c>
      <c r="O2428" s="8" t="s">
        <v>20</v>
      </c>
      <c r="T2428">
        <v>0</v>
      </c>
      <c r="W2428">
        <v>3</v>
      </c>
      <c r="AC2428">
        <v>1</v>
      </c>
    </row>
    <row r="2429" spans="1:29" ht="30" customHeight="1" x14ac:dyDescent="0.3">
      <c r="A2429" s="8" t="s">
        <v>2254</v>
      </c>
      <c r="B2429" s="8" t="s">
        <v>156</v>
      </c>
      <c r="C2429" s="8" t="s">
        <v>153</v>
      </c>
      <c r="D2429" s="8" t="s">
        <v>157</v>
      </c>
      <c r="E2429" s="8" t="s">
        <v>155</v>
      </c>
      <c r="F2429" s="9">
        <v>9</v>
      </c>
      <c r="G2429" s="5">
        <v>0</v>
      </c>
      <c r="H2429" s="5">
        <f t="shared" si="222"/>
        <v>0</v>
      </c>
      <c r="I2429" s="5">
        <f>TRUNC([1]단가대비표!O664,0)</f>
        <v>213337</v>
      </c>
      <c r="J2429" s="5">
        <f t="shared" si="223"/>
        <v>1920033</v>
      </c>
      <c r="K2429" s="5">
        <v>0</v>
      </c>
      <c r="L2429" s="5">
        <f t="shared" si="224"/>
        <v>0</v>
      </c>
      <c r="M2429" s="5">
        <f t="shared" si="225"/>
        <v>213337</v>
      </c>
      <c r="N2429" s="5">
        <f t="shared" si="225"/>
        <v>1920033</v>
      </c>
      <c r="O2429" s="8" t="s">
        <v>20</v>
      </c>
      <c r="T2429">
        <v>0</v>
      </c>
      <c r="W2429">
        <v>3</v>
      </c>
      <c r="AC2429">
        <v>1</v>
      </c>
    </row>
    <row r="2430" spans="1:29" ht="30" customHeight="1" x14ac:dyDescent="0.3">
      <c r="A2430" s="8" t="s">
        <v>2254</v>
      </c>
      <c r="B2430" s="8" t="s">
        <v>158</v>
      </c>
      <c r="C2430" s="8" t="s">
        <v>159</v>
      </c>
      <c r="D2430" s="8" t="s">
        <v>160</v>
      </c>
      <c r="E2430" s="8" t="s">
        <v>161</v>
      </c>
      <c r="F2430" s="9">
        <v>1</v>
      </c>
      <c r="G2430" s="5">
        <f>ROUNDDOWN(SUMIF(W2423:W2430, RIGHTB(B2430, 1), J2423:J2430)*T2430, 0)</f>
        <v>47824</v>
      </c>
      <c r="H2430" s="5">
        <f t="shared" si="222"/>
        <v>47824</v>
      </c>
      <c r="I2430" s="5">
        <v>0</v>
      </c>
      <c r="J2430" s="5">
        <f t="shared" si="223"/>
        <v>0</v>
      </c>
      <c r="K2430" s="5">
        <v>0</v>
      </c>
      <c r="L2430" s="5">
        <f t="shared" si="224"/>
        <v>0</v>
      </c>
      <c r="M2430" s="5">
        <f t="shared" si="225"/>
        <v>47824</v>
      </c>
      <c r="N2430" s="5">
        <f t="shared" si="225"/>
        <v>47824</v>
      </c>
      <c r="O2430" s="8" t="s">
        <v>20</v>
      </c>
      <c r="P2430">
        <v>2430</v>
      </c>
      <c r="R2430">
        <v>1</v>
      </c>
      <c r="S2430">
        <v>0</v>
      </c>
      <c r="T2430">
        <v>0.02</v>
      </c>
      <c r="AC2430">
        <v>1</v>
      </c>
    </row>
    <row r="2431" spans="1:29" ht="30" customHeight="1" x14ac:dyDescent="0.3">
      <c r="A2431" s="5"/>
      <c r="B2431" s="5"/>
      <c r="C2431" s="5"/>
      <c r="D2431" s="5"/>
      <c r="E2431" s="5"/>
      <c r="F2431" s="9"/>
      <c r="G2431" s="5"/>
      <c r="H2431" s="5"/>
      <c r="I2431" s="5"/>
      <c r="J2431" s="5"/>
      <c r="K2431" s="5"/>
      <c r="L2431" s="5"/>
      <c r="M2431" s="5"/>
      <c r="N2431" s="5"/>
      <c r="O2431" s="5"/>
    </row>
    <row r="2432" spans="1:29" ht="30" customHeight="1" x14ac:dyDescent="0.3">
      <c r="A2432" s="5"/>
      <c r="B2432" s="5"/>
      <c r="C2432" s="5"/>
      <c r="D2432" s="5"/>
      <c r="E2432" s="5"/>
      <c r="F2432" s="9"/>
      <c r="G2432" s="5"/>
      <c r="H2432" s="5"/>
      <c r="I2432" s="5"/>
      <c r="J2432" s="5"/>
      <c r="K2432" s="5"/>
      <c r="L2432" s="5"/>
      <c r="M2432" s="5"/>
      <c r="N2432" s="5"/>
      <c r="O2432" s="5"/>
    </row>
    <row r="2433" spans="1:15" ht="30" customHeight="1" x14ac:dyDescent="0.3">
      <c r="A2433" s="5"/>
      <c r="B2433" s="5"/>
      <c r="C2433" s="5"/>
      <c r="D2433" s="5"/>
      <c r="E2433" s="5"/>
      <c r="F2433" s="9"/>
      <c r="G2433" s="5"/>
      <c r="H2433" s="5"/>
      <c r="I2433" s="5"/>
      <c r="J2433" s="5"/>
      <c r="K2433" s="5"/>
      <c r="L2433" s="5"/>
      <c r="M2433" s="5"/>
      <c r="N2433" s="5"/>
      <c r="O2433" s="5"/>
    </row>
    <row r="2434" spans="1:15" ht="30" customHeight="1" x14ac:dyDescent="0.3">
      <c r="A2434" s="5"/>
      <c r="B2434" s="5"/>
      <c r="C2434" s="5"/>
      <c r="D2434" s="5"/>
      <c r="E2434" s="5"/>
      <c r="F2434" s="9"/>
      <c r="G2434" s="5"/>
      <c r="H2434" s="5"/>
      <c r="I2434" s="5"/>
      <c r="J2434" s="5"/>
      <c r="K2434" s="5"/>
      <c r="L2434" s="5"/>
      <c r="M2434" s="5"/>
      <c r="N2434" s="5"/>
      <c r="O2434" s="5"/>
    </row>
    <row r="2435" spans="1:15" ht="30" customHeight="1" x14ac:dyDescent="0.3">
      <c r="A2435" s="5"/>
      <c r="B2435" s="5"/>
      <c r="C2435" s="5"/>
      <c r="D2435" s="5"/>
      <c r="E2435" s="5"/>
      <c r="F2435" s="9"/>
      <c r="G2435" s="5"/>
      <c r="H2435" s="5"/>
      <c r="I2435" s="5"/>
      <c r="J2435" s="5"/>
      <c r="K2435" s="5"/>
      <c r="L2435" s="5"/>
      <c r="M2435" s="5"/>
      <c r="N2435" s="5"/>
      <c r="O2435" s="5"/>
    </row>
    <row r="2436" spans="1:15" ht="30" customHeight="1" x14ac:dyDescent="0.3">
      <c r="A2436" s="5"/>
      <c r="B2436" s="5"/>
      <c r="C2436" s="5"/>
      <c r="D2436" s="5"/>
      <c r="E2436" s="5"/>
      <c r="F2436" s="9"/>
      <c r="G2436" s="5"/>
      <c r="H2436" s="5"/>
      <c r="I2436" s="5"/>
      <c r="J2436" s="5"/>
      <c r="K2436" s="5"/>
      <c r="L2436" s="5"/>
      <c r="M2436" s="5"/>
      <c r="N2436" s="5"/>
      <c r="O2436" s="5"/>
    </row>
    <row r="2437" spans="1:15" ht="30" customHeight="1" x14ac:dyDescent="0.3">
      <c r="A2437" s="5"/>
      <c r="B2437" s="5"/>
      <c r="C2437" s="5"/>
      <c r="D2437" s="5"/>
      <c r="E2437" s="5"/>
      <c r="F2437" s="9"/>
      <c r="G2437" s="5"/>
      <c r="H2437" s="5"/>
      <c r="I2437" s="5"/>
      <c r="J2437" s="5"/>
      <c r="K2437" s="5"/>
      <c r="L2437" s="5"/>
      <c r="M2437" s="5"/>
      <c r="N2437" s="5"/>
      <c r="O2437" s="5"/>
    </row>
    <row r="2438" spans="1:15" ht="30" customHeight="1" x14ac:dyDescent="0.3">
      <c r="A2438" s="5"/>
      <c r="B2438" s="5"/>
      <c r="C2438" s="5"/>
      <c r="D2438" s="5"/>
      <c r="E2438" s="5"/>
      <c r="F2438" s="9"/>
      <c r="G2438" s="5"/>
      <c r="H2438" s="5"/>
      <c r="I2438" s="5"/>
      <c r="J2438" s="5"/>
      <c r="K2438" s="5"/>
      <c r="L2438" s="5"/>
      <c r="M2438" s="5"/>
      <c r="N2438" s="5"/>
      <c r="O2438" s="5"/>
    </row>
    <row r="2439" spans="1:15" ht="30" customHeight="1" x14ac:dyDescent="0.3">
      <c r="A2439" s="5"/>
      <c r="B2439" s="5"/>
      <c r="C2439" s="5"/>
      <c r="D2439" s="5"/>
      <c r="E2439" s="5"/>
      <c r="F2439" s="9"/>
      <c r="G2439" s="5"/>
      <c r="H2439" s="5"/>
      <c r="I2439" s="5"/>
      <c r="J2439" s="5"/>
      <c r="K2439" s="5"/>
      <c r="L2439" s="5"/>
      <c r="M2439" s="5"/>
      <c r="N2439" s="5"/>
      <c r="O2439" s="5"/>
    </row>
    <row r="2440" spans="1:15" ht="30" customHeight="1" x14ac:dyDescent="0.3">
      <c r="A2440" s="5"/>
      <c r="B2440" s="5"/>
      <c r="C2440" s="5"/>
      <c r="D2440" s="5"/>
      <c r="E2440" s="5"/>
      <c r="F2440" s="9"/>
      <c r="G2440" s="5"/>
      <c r="H2440" s="5"/>
      <c r="I2440" s="5"/>
      <c r="J2440" s="5"/>
      <c r="K2440" s="5"/>
      <c r="L2440" s="5"/>
      <c r="M2440" s="5"/>
      <c r="N2440" s="5"/>
      <c r="O2440" s="5"/>
    </row>
    <row r="2441" spans="1:15" ht="30" customHeight="1" x14ac:dyDescent="0.3">
      <c r="A2441" s="5"/>
      <c r="B2441" s="5"/>
      <c r="C2441" s="5"/>
      <c r="D2441" s="5"/>
      <c r="E2441" s="5"/>
      <c r="F2441" s="9"/>
      <c r="G2441" s="5"/>
      <c r="H2441" s="5"/>
      <c r="I2441" s="5"/>
      <c r="J2441" s="5"/>
      <c r="K2441" s="5"/>
      <c r="L2441" s="5"/>
      <c r="M2441" s="5"/>
      <c r="N2441" s="5"/>
      <c r="O2441" s="5"/>
    </row>
    <row r="2442" spans="1:15" ht="30" customHeight="1" x14ac:dyDescent="0.3">
      <c r="A2442" s="5"/>
      <c r="B2442" s="5"/>
      <c r="C2442" s="5"/>
      <c r="D2442" s="5"/>
      <c r="E2442" s="5"/>
      <c r="F2442" s="9"/>
      <c r="G2442" s="5"/>
      <c r="H2442" s="5"/>
      <c r="I2442" s="5"/>
      <c r="J2442" s="5"/>
      <c r="K2442" s="5"/>
      <c r="L2442" s="5"/>
      <c r="M2442" s="5"/>
      <c r="N2442" s="5"/>
      <c r="O2442" s="5"/>
    </row>
    <row r="2443" spans="1:15" ht="30" customHeight="1" x14ac:dyDescent="0.3">
      <c r="A2443" s="5"/>
      <c r="B2443" s="5"/>
      <c r="C2443" s="5"/>
      <c r="D2443" s="5"/>
      <c r="E2443" s="5"/>
      <c r="F2443" s="9"/>
      <c r="G2443" s="5"/>
      <c r="H2443" s="5"/>
      <c r="I2443" s="5"/>
      <c r="J2443" s="5"/>
      <c r="K2443" s="5"/>
      <c r="L2443" s="5"/>
      <c r="M2443" s="5"/>
      <c r="N2443" s="5"/>
      <c r="O2443" s="5"/>
    </row>
    <row r="2444" spans="1:15" ht="30" customHeight="1" x14ac:dyDescent="0.3">
      <c r="A2444" s="5"/>
      <c r="B2444" s="5"/>
      <c r="C2444" s="5"/>
      <c r="D2444" s="5"/>
      <c r="E2444" s="5"/>
      <c r="F2444" s="9"/>
      <c r="G2444" s="5"/>
      <c r="H2444" s="5"/>
      <c r="I2444" s="5"/>
      <c r="J2444" s="5"/>
      <c r="K2444" s="5"/>
      <c r="L2444" s="5"/>
      <c r="M2444" s="5"/>
      <c r="N2444" s="5"/>
      <c r="O2444" s="5"/>
    </row>
    <row r="2445" spans="1:15" ht="30" customHeight="1" x14ac:dyDescent="0.3">
      <c r="A2445" s="5"/>
      <c r="B2445" s="5"/>
      <c r="C2445" s="5"/>
      <c r="D2445" s="5"/>
      <c r="E2445" s="5"/>
      <c r="F2445" s="9"/>
      <c r="G2445" s="5"/>
      <c r="H2445" s="5"/>
      <c r="I2445" s="5"/>
      <c r="J2445" s="5"/>
      <c r="K2445" s="5"/>
      <c r="L2445" s="5"/>
      <c r="M2445" s="5"/>
      <c r="N2445" s="5"/>
      <c r="O2445" s="5"/>
    </row>
    <row r="2446" spans="1:15" ht="30" customHeight="1" x14ac:dyDescent="0.3">
      <c r="A2446" s="5"/>
      <c r="B2446" s="5"/>
      <c r="C2446" s="5"/>
      <c r="D2446" s="5"/>
      <c r="E2446" s="5"/>
      <c r="F2446" s="9"/>
      <c r="G2446" s="5"/>
      <c r="H2446" s="5"/>
      <c r="I2446" s="5"/>
      <c r="J2446" s="5"/>
      <c r="K2446" s="5"/>
      <c r="L2446" s="5"/>
      <c r="M2446" s="5"/>
      <c r="N2446" s="5"/>
      <c r="O2446" s="5"/>
    </row>
    <row r="2447" spans="1:15" ht="30" customHeight="1" x14ac:dyDescent="0.3">
      <c r="A2447" s="5"/>
      <c r="B2447" s="5"/>
      <c r="C2447" s="5" t="s">
        <v>162</v>
      </c>
      <c r="D2447" s="5"/>
      <c r="E2447" s="5"/>
      <c r="F2447" s="9"/>
      <c r="G2447" s="5"/>
      <c r="H2447" s="5">
        <f>SUMIF(AC2423:AC2446, 1, H2423:H2446)</f>
        <v>1365324</v>
      </c>
      <c r="I2447" s="5"/>
      <c r="J2447" s="5">
        <f>SUMIF(AC2423:AC2446, 1, J2423:J2446)</f>
        <v>2391237</v>
      </c>
      <c r="K2447" s="5"/>
      <c r="L2447" s="5">
        <f>SUMIF(AC2423:AC2446, 1, L2423:L2446)</f>
        <v>0</v>
      </c>
      <c r="M2447" s="5"/>
      <c r="N2447" s="5">
        <f>H2447+J2447+L2447</f>
        <v>3756561</v>
      </c>
      <c r="O2447" s="5"/>
    </row>
    <row r="2448" spans="1:15" ht="30" customHeight="1" x14ac:dyDescent="0.3">
      <c r="A2448" s="5"/>
      <c r="B2448" s="5"/>
      <c r="C2448" s="6" t="s">
        <v>2265</v>
      </c>
      <c r="D2448" s="6"/>
      <c r="E2448" s="6"/>
      <c r="F2448" s="7"/>
      <c r="G2448" s="6"/>
      <c r="H2448" s="6"/>
      <c r="I2448" s="6"/>
      <c r="J2448" s="6"/>
      <c r="K2448" s="6"/>
      <c r="L2448" s="6"/>
      <c r="M2448" s="6"/>
      <c r="N2448" s="6"/>
      <c r="O2448" s="6"/>
    </row>
    <row r="2449" spans="1:29" ht="30" customHeight="1" x14ac:dyDescent="0.3">
      <c r="A2449" s="8" t="s">
        <v>2266</v>
      </c>
      <c r="B2449" s="8" t="s">
        <v>171</v>
      </c>
      <c r="C2449" s="8" t="s">
        <v>166</v>
      </c>
      <c r="D2449" s="8" t="s">
        <v>172</v>
      </c>
      <c r="E2449" s="8" t="s">
        <v>168</v>
      </c>
      <c r="F2449" s="9">
        <v>205</v>
      </c>
      <c r="G2449" s="5">
        <f>TRUNC([1]단가대비표!O144,0)</f>
        <v>5281</v>
      </c>
      <c r="H2449" s="5">
        <f t="shared" ref="H2449:H2459" si="226">TRUNC(F2449*G2449,0)</f>
        <v>1082605</v>
      </c>
      <c r="I2449" s="5">
        <v>0</v>
      </c>
      <c r="J2449" s="5">
        <f t="shared" ref="J2449:J2459" si="227">TRUNC(F2449*I2449,0)</f>
        <v>0</v>
      </c>
      <c r="K2449" s="5">
        <v>0</v>
      </c>
      <c r="L2449" s="5">
        <f t="shared" ref="L2449:L2459" si="228">TRUNC(F2449*K2449,0)</f>
        <v>0</v>
      </c>
      <c r="M2449" s="5">
        <f t="shared" ref="M2449:N2459" si="229">G2449+I2449+K2449</f>
        <v>5281</v>
      </c>
      <c r="N2449" s="5">
        <f t="shared" si="229"/>
        <v>1082605</v>
      </c>
      <c r="O2449" s="8" t="s">
        <v>20</v>
      </c>
      <c r="T2449">
        <v>0</v>
      </c>
      <c r="U2449">
        <v>1</v>
      </c>
      <c r="AC2449">
        <v>1</v>
      </c>
    </row>
    <row r="2450" spans="1:29" ht="30" customHeight="1" x14ac:dyDescent="0.3">
      <c r="A2450" s="8" t="s">
        <v>2266</v>
      </c>
      <c r="B2450" s="8" t="s">
        <v>173</v>
      </c>
      <c r="C2450" s="8" t="s">
        <v>174</v>
      </c>
      <c r="D2450" s="8" t="s">
        <v>175</v>
      </c>
      <c r="E2450" s="8" t="s">
        <v>161</v>
      </c>
      <c r="F2450" s="9">
        <v>1</v>
      </c>
      <c r="G2450" s="5">
        <f>ROUNDDOWN(SUMIF(U2449:U2459, RIGHTB(B2450, 1), H2449:H2459)*T2450, 0)</f>
        <v>32478</v>
      </c>
      <c r="H2450" s="5">
        <f t="shared" si="226"/>
        <v>32478</v>
      </c>
      <c r="I2450" s="5">
        <v>0</v>
      </c>
      <c r="J2450" s="5">
        <f t="shared" si="227"/>
        <v>0</v>
      </c>
      <c r="K2450" s="5">
        <v>0</v>
      </c>
      <c r="L2450" s="5">
        <f t="shared" si="228"/>
        <v>0</v>
      </c>
      <c r="M2450" s="5">
        <f t="shared" si="229"/>
        <v>32478</v>
      </c>
      <c r="N2450" s="5">
        <f t="shared" si="229"/>
        <v>32478</v>
      </c>
      <c r="O2450" s="8" t="s">
        <v>20</v>
      </c>
      <c r="P2450">
        <v>2450</v>
      </c>
      <c r="R2450">
        <v>0</v>
      </c>
      <c r="S2450">
        <v>0</v>
      </c>
      <c r="T2450">
        <v>0.03</v>
      </c>
      <c r="AC2450">
        <v>1</v>
      </c>
    </row>
    <row r="2451" spans="1:29" ht="30" customHeight="1" x14ac:dyDescent="0.3">
      <c r="A2451" s="8" t="s">
        <v>2266</v>
      </c>
      <c r="B2451" s="8" t="s">
        <v>176</v>
      </c>
      <c r="C2451" s="8" t="s">
        <v>177</v>
      </c>
      <c r="D2451" s="8" t="s">
        <v>178</v>
      </c>
      <c r="E2451" s="8" t="s">
        <v>179</v>
      </c>
      <c r="F2451" s="9">
        <v>9</v>
      </c>
      <c r="G2451" s="5">
        <f>TRUNC([1]단가대비표!O200,0)</f>
        <v>10210</v>
      </c>
      <c r="H2451" s="5">
        <f t="shared" si="226"/>
        <v>91890</v>
      </c>
      <c r="I2451" s="5">
        <v>0</v>
      </c>
      <c r="J2451" s="5">
        <f t="shared" si="227"/>
        <v>0</v>
      </c>
      <c r="K2451" s="5">
        <v>0</v>
      </c>
      <c r="L2451" s="5">
        <f t="shared" si="228"/>
        <v>0</v>
      </c>
      <c r="M2451" s="5">
        <f t="shared" si="229"/>
        <v>10210</v>
      </c>
      <c r="N2451" s="5">
        <f t="shared" si="229"/>
        <v>91890</v>
      </c>
      <c r="O2451" s="8" t="s">
        <v>20</v>
      </c>
      <c r="T2451">
        <v>0</v>
      </c>
      <c r="AC2451">
        <v>1</v>
      </c>
    </row>
    <row r="2452" spans="1:29" ht="30" customHeight="1" x14ac:dyDescent="0.3">
      <c r="A2452" s="8" t="s">
        <v>2266</v>
      </c>
      <c r="B2452" s="8" t="s">
        <v>2267</v>
      </c>
      <c r="C2452" s="8" t="s">
        <v>177</v>
      </c>
      <c r="D2452" s="8" t="s">
        <v>2268</v>
      </c>
      <c r="E2452" s="8" t="s">
        <v>179</v>
      </c>
      <c r="F2452" s="9">
        <v>7</v>
      </c>
      <c r="G2452" s="5">
        <f>TRUNC([1]단가대비표!O206,0)</f>
        <v>14320</v>
      </c>
      <c r="H2452" s="5">
        <f t="shared" si="226"/>
        <v>100240</v>
      </c>
      <c r="I2452" s="5">
        <v>0</v>
      </c>
      <c r="J2452" s="5">
        <f t="shared" si="227"/>
        <v>0</v>
      </c>
      <c r="K2452" s="5">
        <v>0</v>
      </c>
      <c r="L2452" s="5">
        <f t="shared" si="228"/>
        <v>0</v>
      </c>
      <c r="M2452" s="5">
        <f t="shared" si="229"/>
        <v>14320</v>
      </c>
      <c r="N2452" s="5">
        <f t="shared" si="229"/>
        <v>100240</v>
      </c>
      <c r="O2452" s="8" t="s">
        <v>20</v>
      </c>
      <c r="T2452">
        <v>0</v>
      </c>
      <c r="AC2452">
        <v>1</v>
      </c>
    </row>
    <row r="2453" spans="1:29" ht="30" customHeight="1" x14ac:dyDescent="0.3">
      <c r="A2453" s="8" t="s">
        <v>2266</v>
      </c>
      <c r="B2453" s="8" t="s">
        <v>2269</v>
      </c>
      <c r="C2453" s="8" t="s">
        <v>177</v>
      </c>
      <c r="D2453" s="8" t="s">
        <v>2270</v>
      </c>
      <c r="E2453" s="8" t="s">
        <v>179</v>
      </c>
      <c r="F2453" s="9">
        <v>1</v>
      </c>
      <c r="G2453" s="5">
        <f>TRUNC([1]단가대비표!O211,0)</f>
        <v>41900</v>
      </c>
      <c r="H2453" s="5">
        <f t="shared" si="226"/>
        <v>41900</v>
      </c>
      <c r="I2453" s="5">
        <v>0</v>
      </c>
      <c r="J2453" s="5">
        <f t="shared" si="227"/>
        <v>0</v>
      </c>
      <c r="K2453" s="5">
        <v>0</v>
      </c>
      <c r="L2453" s="5">
        <f t="shared" si="228"/>
        <v>0</v>
      </c>
      <c r="M2453" s="5">
        <f t="shared" si="229"/>
        <v>41900</v>
      </c>
      <c r="N2453" s="5">
        <f t="shared" si="229"/>
        <v>41900</v>
      </c>
      <c r="O2453" s="8" t="s">
        <v>20</v>
      </c>
      <c r="T2453">
        <v>0</v>
      </c>
      <c r="AC2453">
        <v>1</v>
      </c>
    </row>
    <row r="2454" spans="1:29" ht="30" customHeight="1" x14ac:dyDescent="0.3">
      <c r="A2454" s="8" t="s">
        <v>2266</v>
      </c>
      <c r="B2454" s="8" t="s">
        <v>2271</v>
      </c>
      <c r="C2454" s="8" t="s">
        <v>177</v>
      </c>
      <c r="D2454" s="8" t="s">
        <v>2272</v>
      </c>
      <c r="E2454" s="8" t="s">
        <v>179</v>
      </c>
      <c r="F2454" s="9">
        <v>4</v>
      </c>
      <c r="G2454" s="5">
        <f>TRUNC([1]단가대비표!O213,0)</f>
        <v>26810</v>
      </c>
      <c r="H2454" s="5">
        <f t="shared" si="226"/>
        <v>107240</v>
      </c>
      <c r="I2454" s="5">
        <v>0</v>
      </c>
      <c r="J2454" s="5">
        <f t="shared" si="227"/>
        <v>0</v>
      </c>
      <c r="K2454" s="5">
        <v>0</v>
      </c>
      <c r="L2454" s="5">
        <f t="shared" si="228"/>
        <v>0</v>
      </c>
      <c r="M2454" s="5">
        <f t="shared" si="229"/>
        <v>26810</v>
      </c>
      <c r="N2454" s="5">
        <f t="shared" si="229"/>
        <v>107240</v>
      </c>
      <c r="O2454" s="8" t="s">
        <v>20</v>
      </c>
      <c r="T2454">
        <v>0</v>
      </c>
      <c r="AC2454">
        <v>1</v>
      </c>
    </row>
    <row r="2455" spans="1:29" ht="30" customHeight="1" x14ac:dyDescent="0.3">
      <c r="A2455" s="8" t="s">
        <v>2266</v>
      </c>
      <c r="B2455" s="8" t="s">
        <v>2273</v>
      </c>
      <c r="C2455" s="8" t="s">
        <v>183</v>
      </c>
      <c r="D2455" s="8" t="s">
        <v>640</v>
      </c>
      <c r="E2455" s="8" t="s">
        <v>185</v>
      </c>
      <c r="F2455" s="9">
        <v>30</v>
      </c>
      <c r="G2455" s="5" t="e">
        <f>'[2].xls].xls].xls].xls].xls].xls].xls].'!E30</f>
        <v>#REF!</v>
      </c>
      <c r="H2455" s="5" t="e">
        <f t="shared" si="226"/>
        <v>#REF!</v>
      </c>
      <c r="I2455" s="5" t="e">
        <f>'[2].xls].xls].xls].xls].xls].xls].xls].'!F30</f>
        <v>#REF!</v>
      </c>
      <c r="J2455" s="5" t="e">
        <f t="shared" si="227"/>
        <v>#REF!</v>
      </c>
      <c r="K2455" s="5" t="e">
        <f>'[2].xls].xls].xls].xls].xls].xls].xls].'!G30</f>
        <v>#REF!</v>
      </c>
      <c r="L2455" s="5" t="e">
        <f t="shared" si="228"/>
        <v>#REF!</v>
      </c>
      <c r="M2455" s="5" t="e">
        <f t="shared" si="229"/>
        <v>#REF!</v>
      </c>
      <c r="N2455" s="5" t="e">
        <f t="shared" si="229"/>
        <v>#REF!</v>
      </c>
      <c r="O2455" s="8" t="s">
        <v>2273</v>
      </c>
      <c r="T2455">
        <v>0</v>
      </c>
      <c r="AC2455">
        <v>1</v>
      </c>
    </row>
    <row r="2456" spans="1:29" ht="30" customHeight="1" x14ac:dyDescent="0.3">
      <c r="A2456" s="8" t="s">
        <v>2266</v>
      </c>
      <c r="B2456" s="8" t="s">
        <v>186</v>
      </c>
      <c r="C2456" s="8" t="s">
        <v>183</v>
      </c>
      <c r="D2456" s="8" t="s">
        <v>187</v>
      </c>
      <c r="E2456" s="8" t="s">
        <v>185</v>
      </c>
      <c r="F2456" s="9">
        <v>45</v>
      </c>
      <c r="G2456" s="5" t="e">
        <f>'[2].xls].xls].xls].xls].xls].xls].xls].'!E31</f>
        <v>#REF!</v>
      </c>
      <c r="H2456" s="5" t="e">
        <f t="shared" si="226"/>
        <v>#REF!</v>
      </c>
      <c r="I2456" s="5" t="e">
        <f>'[2].xls].xls].xls].xls].xls].xls].xls].'!F31</f>
        <v>#REF!</v>
      </c>
      <c r="J2456" s="5" t="e">
        <f t="shared" si="227"/>
        <v>#REF!</v>
      </c>
      <c r="K2456" s="5" t="e">
        <f>'[2].xls].xls].xls].xls].xls].xls].xls].'!G31</f>
        <v>#REF!</v>
      </c>
      <c r="L2456" s="5" t="e">
        <f t="shared" si="228"/>
        <v>#REF!</v>
      </c>
      <c r="M2456" s="5" t="e">
        <f t="shared" si="229"/>
        <v>#REF!</v>
      </c>
      <c r="N2456" s="5" t="e">
        <f t="shared" si="229"/>
        <v>#REF!</v>
      </c>
      <c r="O2456" s="8" t="s">
        <v>186</v>
      </c>
      <c r="T2456">
        <v>0</v>
      </c>
      <c r="AC2456">
        <v>1</v>
      </c>
    </row>
    <row r="2457" spans="1:29" ht="30" customHeight="1" x14ac:dyDescent="0.3">
      <c r="A2457" s="8" t="s">
        <v>2266</v>
      </c>
      <c r="B2457" s="8" t="s">
        <v>2274</v>
      </c>
      <c r="C2457" s="8" t="s">
        <v>391</v>
      </c>
      <c r="D2457" s="8" t="s">
        <v>2275</v>
      </c>
      <c r="E2457" s="8" t="s">
        <v>179</v>
      </c>
      <c r="F2457" s="9">
        <v>2</v>
      </c>
      <c r="G2457" s="5">
        <f>TRUNC([1]단가대비표!O525,0)</f>
        <v>72000</v>
      </c>
      <c r="H2457" s="5">
        <f t="shared" si="226"/>
        <v>144000</v>
      </c>
      <c r="I2457" s="5">
        <v>0</v>
      </c>
      <c r="J2457" s="5">
        <f t="shared" si="227"/>
        <v>0</v>
      </c>
      <c r="K2457" s="5">
        <v>0</v>
      </c>
      <c r="L2457" s="5">
        <f t="shared" si="228"/>
        <v>0</v>
      </c>
      <c r="M2457" s="5">
        <f t="shared" si="229"/>
        <v>72000</v>
      </c>
      <c r="N2457" s="5">
        <f t="shared" si="229"/>
        <v>144000</v>
      </c>
      <c r="O2457" s="8" t="s">
        <v>20</v>
      </c>
      <c r="T2457">
        <v>0</v>
      </c>
      <c r="AC2457">
        <v>1</v>
      </c>
    </row>
    <row r="2458" spans="1:29" ht="30" customHeight="1" x14ac:dyDescent="0.3">
      <c r="A2458" s="8" t="s">
        <v>2266</v>
      </c>
      <c r="B2458" s="8" t="s">
        <v>457</v>
      </c>
      <c r="C2458" s="8" t="s">
        <v>452</v>
      </c>
      <c r="D2458" s="8" t="s">
        <v>458</v>
      </c>
      <c r="E2458" s="8" t="s">
        <v>428</v>
      </c>
      <c r="F2458" s="9">
        <v>2</v>
      </c>
      <c r="G2458" s="5">
        <f>TRUNC([1]단가대비표!O726,0)</f>
        <v>878</v>
      </c>
      <c r="H2458" s="5">
        <f t="shared" si="226"/>
        <v>1756</v>
      </c>
      <c r="I2458" s="5">
        <v>43003</v>
      </c>
      <c r="J2458" s="5">
        <f t="shared" si="227"/>
        <v>86006</v>
      </c>
      <c r="K2458" s="5">
        <v>0</v>
      </c>
      <c r="L2458" s="5">
        <f t="shared" si="228"/>
        <v>0</v>
      </c>
      <c r="M2458" s="5">
        <f t="shared" si="229"/>
        <v>43881</v>
      </c>
      <c r="N2458" s="5">
        <f t="shared" si="229"/>
        <v>87762</v>
      </c>
      <c r="O2458" s="8" t="s">
        <v>429</v>
      </c>
      <c r="T2458">
        <v>0</v>
      </c>
      <c r="AC2458">
        <v>1</v>
      </c>
    </row>
    <row r="2459" spans="1:29" ht="30" customHeight="1" x14ac:dyDescent="0.3">
      <c r="A2459" s="8" t="s">
        <v>2266</v>
      </c>
      <c r="B2459" s="8" t="s">
        <v>2276</v>
      </c>
      <c r="C2459" s="8" t="s">
        <v>2277</v>
      </c>
      <c r="D2459" s="8" t="s">
        <v>447</v>
      </c>
      <c r="E2459" s="8" t="s">
        <v>179</v>
      </c>
      <c r="F2459" s="9">
        <v>1</v>
      </c>
      <c r="G2459" s="5">
        <f>TRUNC([1]단가대비표!O684,0)</f>
        <v>599000</v>
      </c>
      <c r="H2459" s="5">
        <f t="shared" si="226"/>
        <v>599000</v>
      </c>
      <c r="I2459" s="5">
        <v>0</v>
      </c>
      <c r="J2459" s="5">
        <f t="shared" si="227"/>
        <v>0</v>
      </c>
      <c r="K2459" s="5">
        <v>0</v>
      </c>
      <c r="L2459" s="5">
        <f t="shared" si="228"/>
        <v>0</v>
      </c>
      <c r="M2459" s="5">
        <f t="shared" si="229"/>
        <v>599000</v>
      </c>
      <c r="N2459" s="5">
        <f t="shared" si="229"/>
        <v>599000</v>
      </c>
      <c r="O2459" s="8" t="s">
        <v>20</v>
      </c>
      <c r="T2459">
        <v>0</v>
      </c>
      <c r="AC2459">
        <v>1</v>
      </c>
    </row>
    <row r="2460" spans="1:29" ht="30" customHeight="1" x14ac:dyDescent="0.3">
      <c r="A2460" s="5"/>
      <c r="B2460" s="5"/>
      <c r="C2460" s="5"/>
      <c r="D2460" s="5"/>
      <c r="E2460" s="5"/>
      <c r="F2460" s="9"/>
      <c r="G2460" s="5"/>
      <c r="H2460" s="5"/>
      <c r="I2460" s="5"/>
      <c r="J2460" s="5"/>
      <c r="K2460" s="5"/>
      <c r="L2460" s="5"/>
      <c r="M2460" s="5"/>
      <c r="N2460" s="5"/>
      <c r="O2460" s="5"/>
    </row>
    <row r="2461" spans="1:29" ht="30" customHeight="1" x14ac:dyDescent="0.3">
      <c r="A2461" s="5"/>
      <c r="B2461" s="5"/>
      <c r="C2461" s="5"/>
      <c r="D2461" s="5"/>
      <c r="E2461" s="5"/>
      <c r="F2461" s="9"/>
      <c r="G2461" s="5"/>
      <c r="H2461" s="5"/>
      <c r="I2461" s="5"/>
      <c r="J2461" s="5"/>
      <c r="K2461" s="5"/>
      <c r="L2461" s="5"/>
      <c r="M2461" s="5"/>
      <c r="N2461" s="5"/>
      <c r="O2461" s="5"/>
    </row>
    <row r="2462" spans="1:29" ht="30" customHeight="1" x14ac:dyDescent="0.3">
      <c r="A2462" s="5"/>
      <c r="B2462" s="5"/>
      <c r="C2462" s="5"/>
      <c r="D2462" s="5"/>
      <c r="E2462" s="5"/>
      <c r="F2462" s="9"/>
      <c r="G2462" s="5"/>
      <c r="H2462" s="5"/>
      <c r="I2462" s="5"/>
      <c r="J2462" s="5"/>
      <c r="K2462" s="5"/>
      <c r="L2462" s="5"/>
      <c r="M2462" s="5"/>
      <c r="N2462" s="5"/>
      <c r="O2462" s="5"/>
    </row>
    <row r="2463" spans="1:29" ht="30" customHeight="1" x14ac:dyDescent="0.3">
      <c r="A2463" s="5"/>
      <c r="B2463" s="5"/>
      <c r="C2463" s="5"/>
      <c r="D2463" s="5"/>
      <c r="E2463" s="5"/>
      <c r="F2463" s="9"/>
      <c r="G2463" s="5"/>
      <c r="H2463" s="5"/>
      <c r="I2463" s="5"/>
      <c r="J2463" s="5"/>
      <c r="K2463" s="5"/>
      <c r="L2463" s="5"/>
      <c r="M2463" s="5"/>
      <c r="N2463" s="5"/>
      <c r="O2463" s="5"/>
    </row>
    <row r="2464" spans="1:29" ht="30" customHeight="1" x14ac:dyDescent="0.3">
      <c r="A2464" s="5"/>
      <c r="B2464" s="5"/>
      <c r="C2464" s="5"/>
      <c r="D2464" s="5"/>
      <c r="E2464" s="5"/>
      <c r="F2464" s="9"/>
      <c r="G2464" s="5"/>
      <c r="H2464" s="5"/>
      <c r="I2464" s="5"/>
      <c r="J2464" s="5"/>
      <c r="K2464" s="5"/>
      <c r="L2464" s="5"/>
      <c r="M2464" s="5"/>
      <c r="N2464" s="5"/>
      <c r="O2464" s="5"/>
    </row>
    <row r="2465" spans="1:29" ht="30" customHeight="1" x14ac:dyDescent="0.3">
      <c r="A2465" s="5"/>
      <c r="B2465" s="5"/>
      <c r="C2465" s="5"/>
      <c r="D2465" s="5"/>
      <c r="E2465" s="5"/>
      <c r="F2465" s="9"/>
      <c r="G2465" s="5"/>
      <c r="H2465" s="5"/>
      <c r="I2465" s="5"/>
      <c r="J2465" s="5"/>
      <c r="K2465" s="5"/>
      <c r="L2465" s="5"/>
      <c r="M2465" s="5"/>
      <c r="N2465" s="5"/>
      <c r="O2465" s="5"/>
    </row>
    <row r="2466" spans="1:29" ht="30" customHeight="1" x14ac:dyDescent="0.3">
      <c r="A2466" s="5"/>
      <c r="B2466" s="5"/>
      <c r="C2466" s="5"/>
      <c r="D2466" s="5"/>
      <c r="E2466" s="5"/>
      <c r="F2466" s="9"/>
      <c r="G2466" s="5"/>
      <c r="H2466" s="5"/>
      <c r="I2466" s="5"/>
      <c r="J2466" s="5"/>
      <c r="K2466" s="5"/>
      <c r="L2466" s="5"/>
      <c r="M2466" s="5"/>
      <c r="N2466" s="5"/>
      <c r="O2466" s="5"/>
    </row>
    <row r="2467" spans="1:29" ht="30" customHeight="1" x14ac:dyDescent="0.3">
      <c r="A2467" s="5"/>
      <c r="B2467" s="5"/>
      <c r="C2467" s="5"/>
      <c r="D2467" s="5"/>
      <c r="E2467" s="5"/>
      <c r="F2467" s="9"/>
      <c r="G2467" s="5"/>
      <c r="H2467" s="5"/>
      <c r="I2467" s="5"/>
      <c r="J2467" s="5"/>
      <c r="K2467" s="5"/>
      <c r="L2467" s="5"/>
      <c r="M2467" s="5"/>
      <c r="N2467" s="5"/>
      <c r="O2467" s="5"/>
    </row>
    <row r="2468" spans="1:29" ht="30" customHeight="1" x14ac:dyDescent="0.3">
      <c r="A2468" s="5"/>
      <c r="B2468" s="5"/>
      <c r="C2468" s="5"/>
      <c r="D2468" s="5"/>
      <c r="E2468" s="5"/>
      <c r="F2468" s="9"/>
      <c r="G2468" s="5"/>
      <c r="H2468" s="5"/>
      <c r="I2468" s="5"/>
      <c r="J2468" s="5"/>
      <c r="K2468" s="5"/>
      <c r="L2468" s="5"/>
      <c r="M2468" s="5"/>
      <c r="N2468" s="5"/>
      <c r="O2468" s="5"/>
    </row>
    <row r="2469" spans="1:29" ht="30" customHeight="1" x14ac:dyDescent="0.3">
      <c r="A2469" s="5"/>
      <c r="B2469" s="5"/>
      <c r="C2469" s="5"/>
      <c r="D2469" s="5"/>
      <c r="E2469" s="5"/>
      <c r="F2469" s="9"/>
      <c r="G2469" s="5"/>
      <c r="H2469" s="5"/>
      <c r="I2469" s="5"/>
      <c r="J2469" s="5"/>
      <c r="K2469" s="5"/>
      <c r="L2469" s="5"/>
      <c r="M2469" s="5"/>
      <c r="N2469" s="5"/>
      <c r="O2469" s="5"/>
    </row>
    <row r="2470" spans="1:29" ht="30" customHeight="1" x14ac:dyDescent="0.3">
      <c r="A2470" s="5"/>
      <c r="B2470" s="5"/>
      <c r="C2470" s="5"/>
      <c r="D2470" s="5"/>
      <c r="E2470" s="5"/>
      <c r="F2470" s="9"/>
      <c r="G2470" s="5"/>
      <c r="H2470" s="5"/>
      <c r="I2470" s="5"/>
      <c r="J2470" s="5"/>
      <c r="K2470" s="5"/>
      <c r="L2470" s="5"/>
      <c r="M2470" s="5"/>
      <c r="N2470" s="5"/>
      <c r="O2470" s="5"/>
    </row>
    <row r="2471" spans="1:29" ht="30" customHeight="1" x14ac:dyDescent="0.3">
      <c r="A2471" s="5"/>
      <c r="B2471" s="5"/>
      <c r="C2471" s="5"/>
      <c r="D2471" s="5"/>
      <c r="E2471" s="5"/>
      <c r="F2471" s="9"/>
      <c r="G2471" s="5"/>
      <c r="H2471" s="5"/>
      <c r="I2471" s="5"/>
      <c r="J2471" s="5"/>
      <c r="K2471" s="5"/>
      <c r="L2471" s="5"/>
      <c r="M2471" s="5"/>
      <c r="N2471" s="5"/>
      <c r="O2471" s="5"/>
    </row>
    <row r="2472" spans="1:29" ht="30" customHeight="1" x14ac:dyDescent="0.3">
      <c r="A2472" s="5"/>
      <c r="B2472" s="5"/>
      <c r="C2472" s="5"/>
      <c r="D2472" s="5"/>
      <c r="E2472" s="5"/>
      <c r="F2472" s="9"/>
      <c r="G2472" s="5"/>
      <c r="H2472" s="5"/>
      <c r="I2472" s="5"/>
      <c r="J2472" s="5"/>
      <c r="K2472" s="5"/>
      <c r="L2472" s="5"/>
      <c r="M2472" s="5"/>
      <c r="N2472" s="5"/>
      <c r="O2472" s="5"/>
    </row>
    <row r="2473" spans="1:29" ht="30" customHeight="1" x14ac:dyDescent="0.3">
      <c r="A2473" s="5"/>
      <c r="B2473" s="5"/>
      <c r="C2473" s="5" t="s">
        <v>162</v>
      </c>
      <c r="D2473" s="5"/>
      <c r="E2473" s="5"/>
      <c r="F2473" s="9"/>
      <c r="G2473" s="5"/>
      <c r="H2473" s="5" t="e">
        <f>SUMIF(AC2449:AC2472, 1, H2449:H2472)</f>
        <v>#REF!</v>
      </c>
      <c r="I2473" s="5"/>
      <c r="J2473" s="5" t="e">
        <f>SUMIF(AC2449:AC2472, 1, J2449:J2472)</f>
        <v>#REF!</v>
      </c>
      <c r="K2473" s="5"/>
      <c r="L2473" s="5" t="e">
        <f>SUMIF(AC2449:AC2472, 1, L2449:L2472)</f>
        <v>#REF!</v>
      </c>
      <c r="M2473" s="5"/>
      <c r="N2473" s="5" t="e">
        <f>H2473+J2473+L2473</f>
        <v>#REF!</v>
      </c>
      <c r="O2473" s="5"/>
    </row>
    <row r="2474" spans="1:29" ht="30" customHeight="1" x14ac:dyDescent="0.3">
      <c r="A2474" s="5"/>
      <c r="B2474" s="5"/>
      <c r="C2474" s="10" t="s">
        <v>2278</v>
      </c>
      <c r="D2474" s="10"/>
      <c r="E2474" s="10"/>
      <c r="F2474" s="11"/>
      <c r="G2474" s="10"/>
      <c r="H2474" s="10"/>
      <c r="I2474" s="10"/>
      <c r="J2474" s="10"/>
      <c r="K2474" s="10"/>
      <c r="L2474" s="10"/>
      <c r="M2474" s="10"/>
      <c r="N2474" s="10"/>
      <c r="O2474" s="10"/>
    </row>
    <row r="2475" spans="1:29" ht="30" customHeight="1" x14ac:dyDescent="0.3">
      <c r="A2475" s="8" t="s">
        <v>2279</v>
      </c>
      <c r="B2475" s="8" t="s">
        <v>193</v>
      </c>
      <c r="C2475" s="8" t="s">
        <v>191</v>
      </c>
      <c r="D2475" s="8" t="s">
        <v>194</v>
      </c>
      <c r="E2475" s="8" t="s">
        <v>168</v>
      </c>
      <c r="F2475" s="9">
        <v>709</v>
      </c>
      <c r="G2475" s="5">
        <f>TRUNC([1]단가대비표!O86,0)</f>
        <v>3220</v>
      </c>
      <c r="H2475" s="5">
        <f t="shared" ref="H2475:H2538" si="230">TRUNC(F2475*G2475,0)</f>
        <v>2282980</v>
      </c>
      <c r="I2475" s="5">
        <v>0</v>
      </c>
      <c r="J2475" s="5">
        <f t="shared" ref="J2475:J2538" si="231">TRUNC(F2475*I2475,0)</f>
        <v>0</v>
      </c>
      <c r="K2475" s="5">
        <v>0</v>
      </c>
      <c r="L2475" s="5">
        <f t="shared" ref="L2475:L2538" si="232">TRUNC(F2475*K2475,0)</f>
        <v>0</v>
      </c>
      <c r="M2475" s="5">
        <f t="shared" ref="M2475:N2506" si="233">G2475+I2475+K2475</f>
        <v>3220</v>
      </c>
      <c r="N2475" s="5">
        <f t="shared" si="233"/>
        <v>2282980</v>
      </c>
      <c r="O2475" s="8" t="s">
        <v>20</v>
      </c>
      <c r="T2475">
        <v>0</v>
      </c>
      <c r="U2475">
        <v>1</v>
      </c>
      <c r="AC2475">
        <v>1</v>
      </c>
    </row>
    <row r="2476" spans="1:29" ht="30" customHeight="1" x14ac:dyDescent="0.3">
      <c r="A2476" s="8" t="s">
        <v>2279</v>
      </c>
      <c r="B2476" s="8" t="s">
        <v>195</v>
      </c>
      <c r="C2476" s="8" t="s">
        <v>191</v>
      </c>
      <c r="D2476" s="8" t="s">
        <v>196</v>
      </c>
      <c r="E2476" s="8" t="s">
        <v>168</v>
      </c>
      <c r="F2476" s="9">
        <v>79</v>
      </c>
      <c r="G2476" s="5">
        <f>TRUNC([1]단가대비표!O87,0)</f>
        <v>4010</v>
      </c>
      <c r="H2476" s="5">
        <f t="shared" si="230"/>
        <v>316790</v>
      </c>
      <c r="I2476" s="5">
        <v>0</v>
      </c>
      <c r="J2476" s="5">
        <f t="shared" si="231"/>
        <v>0</v>
      </c>
      <c r="K2476" s="5">
        <v>0</v>
      </c>
      <c r="L2476" s="5">
        <f t="shared" si="232"/>
        <v>0</v>
      </c>
      <c r="M2476" s="5">
        <f t="shared" si="233"/>
        <v>4010</v>
      </c>
      <c r="N2476" s="5">
        <f t="shared" si="233"/>
        <v>316790</v>
      </c>
      <c r="O2476" s="8" t="s">
        <v>20</v>
      </c>
      <c r="T2476">
        <v>0</v>
      </c>
      <c r="U2476">
        <v>1</v>
      </c>
      <c r="AC2476">
        <v>1</v>
      </c>
    </row>
    <row r="2477" spans="1:29" ht="30" customHeight="1" x14ac:dyDescent="0.3">
      <c r="A2477" s="8" t="s">
        <v>2279</v>
      </c>
      <c r="B2477" s="8" t="s">
        <v>197</v>
      </c>
      <c r="C2477" s="8" t="s">
        <v>191</v>
      </c>
      <c r="D2477" s="8" t="s">
        <v>198</v>
      </c>
      <c r="E2477" s="8" t="s">
        <v>168</v>
      </c>
      <c r="F2477" s="9">
        <v>131</v>
      </c>
      <c r="G2477" s="5">
        <f>TRUNC([1]단가대비표!O88,0)</f>
        <v>5650</v>
      </c>
      <c r="H2477" s="5">
        <f t="shared" si="230"/>
        <v>740150</v>
      </c>
      <c r="I2477" s="5">
        <v>0</v>
      </c>
      <c r="J2477" s="5">
        <f t="shared" si="231"/>
        <v>0</v>
      </c>
      <c r="K2477" s="5">
        <v>0</v>
      </c>
      <c r="L2477" s="5">
        <f t="shared" si="232"/>
        <v>0</v>
      </c>
      <c r="M2477" s="5">
        <f t="shared" si="233"/>
        <v>5650</v>
      </c>
      <c r="N2477" s="5">
        <f t="shared" si="233"/>
        <v>740150</v>
      </c>
      <c r="O2477" s="8" t="s">
        <v>20</v>
      </c>
      <c r="T2477">
        <v>0</v>
      </c>
      <c r="U2477">
        <v>1</v>
      </c>
      <c r="AC2477">
        <v>1</v>
      </c>
    </row>
    <row r="2478" spans="1:29" ht="30" customHeight="1" x14ac:dyDescent="0.3">
      <c r="A2478" s="8" t="s">
        <v>2279</v>
      </c>
      <c r="B2478" s="8" t="s">
        <v>199</v>
      </c>
      <c r="C2478" s="8" t="s">
        <v>191</v>
      </c>
      <c r="D2478" s="8" t="s">
        <v>200</v>
      </c>
      <c r="E2478" s="8" t="s">
        <v>168</v>
      </c>
      <c r="F2478" s="9">
        <v>13</v>
      </c>
      <c r="G2478" s="5">
        <f>TRUNC([1]단가대비표!O89,0)</f>
        <v>6910</v>
      </c>
      <c r="H2478" s="5">
        <f t="shared" si="230"/>
        <v>89830</v>
      </c>
      <c r="I2478" s="5">
        <v>0</v>
      </c>
      <c r="J2478" s="5">
        <f t="shared" si="231"/>
        <v>0</v>
      </c>
      <c r="K2478" s="5">
        <v>0</v>
      </c>
      <c r="L2478" s="5">
        <f t="shared" si="232"/>
        <v>0</v>
      </c>
      <c r="M2478" s="5">
        <f t="shared" si="233"/>
        <v>6910</v>
      </c>
      <c r="N2478" s="5">
        <f t="shared" si="233"/>
        <v>89830</v>
      </c>
      <c r="O2478" s="8" t="s">
        <v>20</v>
      </c>
      <c r="T2478">
        <v>0</v>
      </c>
      <c r="U2478">
        <v>1</v>
      </c>
      <c r="AC2478">
        <v>1</v>
      </c>
    </row>
    <row r="2479" spans="1:29" ht="30" customHeight="1" x14ac:dyDescent="0.3">
      <c r="A2479" s="8" t="s">
        <v>2279</v>
      </c>
      <c r="B2479" s="8" t="s">
        <v>201</v>
      </c>
      <c r="C2479" s="8" t="s">
        <v>191</v>
      </c>
      <c r="D2479" s="8" t="s">
        <v>202</v>
      </c>
      <c r="E2479" s="8" t="s">
        <v>168</v>
      </c>
      <c r="F2479" s="9">
        <v>38</v>
      </c>
      <c r="G2479" s="5">
        <f>TRUNC([1]단가대비표!O90,0)</f>
        <v>7960</v>
      </c>
      <c r="H2479" s="5">
        <f t="shared" si="230"/>
        <v>302480</v>
      </c>
      <c r="I2479" s="5">
        <v>0</v>
      </c>
      <c r="J2479" s="5">
        <f t="shared" si="231"/>
        <v>0</v>
      </c>
      <c r="K2479" s="5">
        <v>0</v>
      </c>
      <c r="L2479" s="5">
        <f t="shared" si="232"/>
        <v>0</v>
      </c>
      <c r="M2479" s="5">
        <f t="shared" si="233"/>
        <v>7960</v>
      </c>
      <c r="N2479" s="5">
        <f t="shared" si="233"/>
        <v>302480</v>
      </c>
      <c r="O2479" s="8" t="s">
        <v>20</v>
      </c>
      <c r="T2479">
        <v>0</v>
      </c>
      <c r="U2479">
        <v>1</v>
      </c>
      <c r="AC2479">
        <v>1</v>
      </c>
    </row>
    <row r="2480" spans="1:29" ht="30" customHeight="1" x14ac:dyDescent="0.3">
      <c r="A2480" s="8" t="s">
        <v>2279</v>
      </c>
      <c r="B2480" s="8" t="s">
        <v>203</v>
      </c>
      <c r="C2480" s="8" t="s">
        <v>191</v>
      </c>
      <c r="D2480" s="8" t="s">
        <v>204</v>
      </c>
      <c r="E2480" s="8" t="s">
        <v>168</v>
      </c>
      <c r="F2480" s="9">
        <v>65</v>
      </c>
      <c r="G2480" s="5">
        <f>TRUNC([1]단가대비표!O91,0)</f>
        <v>12350</v>
      </c>
      <c r="H2480" s="5">
        <f t="shared" si="230"/>
        <v>802750</v>
      </c>
      <c r="I2480" s="5">
        <v>0</v>
      </c>
      <c r="J2480" s="5">
        <f t="shared" si="231"/>
        <v>0</v>
      </c>
      <c r="K2480" s="5">
        <v>0</v>
      </c>
      <c r="L2480" s="5">
        <f t="shared" si="232"/>
        <v>0</v>
      </c>
      <c r="M2480" s="5">
        <f t="shared" si="233"/>
        <v>12350</v>
      </c>
      <c r="N2480" s="5">
        <f t="shared" si="233"/>
        <v>802750</v>
      </c>
      <c r="O2480" s="8" t="s">
        <v>20</v>
      </c>
      <c r="T2480">
        <v>0</v>
      </c>
      <c r="U2480">
        <v>1</v>
      </c>
      <c r="AC2480">
        <v>1</v>
      </c>
    </row>
    <row r="2481" spans="1:29" ht="30" customHeight="1" x14ac:dyDescent="0.3">
      <c r="A2481" s="8" t="s">
        <v>2279</v>
      </c>
      <c r="B2481" s="8" t="s">
        <v>173</v>
      </c>
      <c r="C2481" s="8" t="s">
        <v>174</v>
      </c>
      <c r="D2481" s="8" t="s">
        <v>175</v>
      </c>
      <c r="E2481" s="8" t="s">
        <v>161</v>
      </c>
      <c r="F2481" s="9">
        <v>1</v>
      </c>
      <c r="G2481" s="5">
        <f>ROUNDDOWN(SUMIF(U2475:U2575, RIGHTB(B2481, 1), H2475:H2575)*T2481, 0)</f>
        <v>136049</v>
      </c>
      <c r="H2481" s="5">
        <f t="shared" si="230"/>
        <v>136049</v>
      </c>
      <c r="I2481" s="5">
        <v>0</v>
      </c>
      <c r="J2481" s="5">
        <f t="shared" si="231"/>
        <v>0</v>
      </c>
      <c r="K2481" s="5">
        <v>0</v>
      </c>
      <c r="L2481" s="5">
        <f t="shared" si="232"/>
        <v>0</v>
      </c>
      <c r="M2481" s="5">
        <f t="shared" si="233"/>
        <v>136049</v>
      </c>
      <c r="N2481" s="5">
        <f t="shared" si="233"/>
        <v>136049</v>
      </c>
      <c r="O2481" s="8" t="s">
        <v>20</v>
      </c>
      <c r="P2481">
        <v>2481</v>
      </c>
      <c r="R2481">
        <v>0</v>
      </c>
      <c r="S2481">
        <v>0</v>
      </c>
      <c r="T2481">
        <v>0.03</v>
      </c>
      <c r="AC2481">
        <v>1</v>
      </c>
    </row>
    <row r="2482" spans="1:29" ht="30" customHeight="1" x14ac:dyDescent="0.3">
      <c r="A2482" s="8" t="s">
        <v>2279</v>
      </c>
      <c r="B2482" s="8" t="s">
        <v>218</v>
      </c>
      <c r="C2482" s="8" t="s">
        <v>219</v>
      </c>
      <c r="D2482" s="8" t="s">
        <v>220</v>
      </c>
      <c r="E2482" s="8" t="s">
        <v>168</v>
      </c>
      <c r="F2482" s="9">
        <v>237</v>
      </c>
      <c r="G2482" s="5" t="e">
        <f>'[2].xls].xls].xls].xls].xls].xls].xls].'!E89</f>
        <v>#REF!</v>
      </c>
      <c r="H2482" s="5" t="e">
        <f t="shared" si="230"/>
        <v>#REF!</v>
      </c>
      <c r="I2482" s="5" t="e">
        <f>'[2].xls].xls].xls].xls].xls].xls].xls].'!F89</f>
        <v>#REF!</v>
      </c>
      <c r="J2482" s="5" t="e">
        <f t="shared" si="231"/>
        <v>#REF!</v>
      </c>
      <c r="K2482" s="5" t="e">
        <f>'[2].xls].xls].xls].xls].xls].xls].xls].'!G89</f>
        <v>#REF!</v>
      </c>
      <c r="L2482" s="5" t="e">
        <f t="shared" si="232"/>
        <v>#REF!</v>
      </c>
      <c r="M2482" s="5" t="e">
        <f t="shared" si="233"/>
        <v>#REF!</v>
      </c>
      <c r="N2482" s="5" t="e">
        <f t="shared" si="233"/>
        <v>#REF!</v>
      </c>
      <c r="O2482" s="8" t="s">
        <v>218</v>
      </c>
      <c r="T2482">
        <v>0</v>
      </c>
      <c r="AC2482">
        <v>1</v>
      </c>
    </row>
    <row r="2483" spans="1:29" ht="30" customHeight="1" x14ac:dyDescent="0.3">
      <c r="A2483" s="8" t="s">
        <v>2279</v>
      </c>
      <c r="B2483" s="8" t="s">
        <v>221</v>
      </c>
      <c r="C2483" s="8" t="s">
        <v>219</v>
      </c>
      <c r="D2483" s="8" t="s">
        <v>222</v>
      </c>
      <c r="E2483" s="8" t="s">
        <v>168</v>
      </c>
      <c r="F2483" s="9">
        <v>49</v>
      </c>
      <c r="G2483" s="5" t="e">
        <f>'[2].xls].xls].xls].xls].xls].xls].xls].'!E90</f>
        <v>#REF!</v>
      </c>
      <c r="H2483" s="5" t="e">
        <f t="shared" si="230"/>
        <v>#REF!</v>
      </c>
      <c r="I2483" s="5" t="e">
        <f>'[2].xls].xls].xls].xls].xls].xls].xls].'!F90</f>
        <v>#REF!</v>
      </c>
      <c r="J2483" s="5" t="e">
        <f t="shared" si="231"/>
        <v>#REF!</v>
      </c>
      <c r="K2483" s="5" t="e">
        <f>'[2].xls].xls].xls].xls].xls].xls].xls].'!G90</f>
        <v>#REF!</v>
      </c>
      <c r="L2483" s="5" t="e">
        <f t="shared" si="232"/>
        <v>#REF!</v>
      </c>
      <c r="M2483" s="5" t="e">
        <f t="shared" si="233"/>
        <v>#REF!</v>
      </c>
      <c r="N2483" s="5" t="e">
        <f t="shared" si="233"/>
        <v>#REF!</v>
      </c>
      <c r="O2483" s="8" t="s">
        <v>221</v>
      </c>
      <c r="T2483">
        <v>0</v>
      </c>
      <c r="AC2483">
        <v>1</v>
      </c>
    </row>
    <row r="2484" spans="1:29" ht="30" customHeight="1" x14ac:dyDescent="0.3">
      <c r="A2484" s="8" t="s">
        <v>2279</v>
      </c>
      <c r="B2484" s="8" t="s">
        <v>223</v>
      </c>
      <c r="C2484" s="8" t="s">
        <v>219</v>
      </c>
      <c r="D2484" s="8" t="s">
        <v>224</v>
      </c>
      <c r="E2484" s="8" t="s">
        <v>168</v>
      </c>
      <c r="F2484" s="9">
        <v>28</v>
      </c>
      <c r="G2484" s="5" t="e">
        <f>'[2].xls].xls].xls].xls].xls].xls].xls].'!E91</f>
        <v>#REF!</v>
      </c>
      <c r="H2484" s="5" t="e">
        <f t="shared" si="230"/>
        <v>#REF!</v>
      </c>
      <c r="I2484" s="5" t="e">
        <f>'[2].xls].xls].xls].xls].xls].xls].xls].'!F91</f>
        <v>#REF!</v>
      </c>
      <c r="J2484" s="5" t="e">
        <f t="shared" si="231"/>
        <v>#REF!</v>
      </c>
      <c r="K2484" s="5" t="e">
        <f>'[2].xls].xls].xls].xls].xls].xls].xls].'!G91</f>
        <v>#REF!</v>
      </c>
      <c r="L2484" s="5" t="e">
        <f t="shared" si="232"/>
        <v>#REF!</v>
      </c>
      <c r="M2484" s="5" t="e">
        <f t="shared" si="233"/>
        <v>#REF!</v>
      </c>
      <c r="N2484" s="5" t="e">
        <f t="shared" si="233"/>
        <v>#REF!</v>
      </c>
      <c r="O2484" s="8" t="s">
        <v>223</v>
      </c>
      <c r="T2484">
        <v>0</v>
      </c>
      <c r="AC2484">
        <v>1</v>
      </c>
    </row>
    <row r="2485" spans="1:29" ht="30" customHeight="1" x14ac:dyDescent="0.3">
      <c r="A2485" s="8" t="s">
        <v>2279</v>
      </c>
      <c r="B2485" s="8" t="s">
        <v>559</v>
      </c>
      <c r="C2485" s="8" t="s">
        <v>219</v>
      </c>
      <c r="D2485" s="8" t="s">
        <v>560</v>
      </c>
      <c r="E2485" s="8" t="s">
        <v>168</v>
      </c>
      <c r="F2485" s="9">
        <v>404</v>
      </c>
      <c r="G2485" s="5" t="e">
        <f>'[2].xls].xls].xls].xls].xls].xls].xls].'!E102</f>
        <v>#REF!</v>
      </c>
      <c r="H2485" s="5" t="e">
        <f t="shared" si="230"/>
        <v>#REF!</v>
      </c>
      <c r="I2485" s="5" t="e">
        <f>'[2].xls].xls].xls].xls].xls].xls].xls].'!F102</f>
        <v>#REF!</v>
      </c>
      <c r="J2485" s="5" t="e">
        <f t="shared" si="231"/>
        <v>#REF!</v>
      </c>
      <c r="K2485" s="5" t="e">
        <f>'[2].xls].xls].xls].xls].xls].xls].xls].'!G102</f>
        <v>#REF!</v>
      </c>
      <c r="L2485" s="5" t="e">
        <f t="shared" si="232"/>
        <v>#REF!</v>
      </c>
      <c r="M2485" s="5" t="e">
        <f t="shared" si="233"/>
        <v>#REF!</v>
      </c>
      <c r="N2485" s="5" t="e">
        <f t="shared" si="233"/>
        <v>#REF!</v>
      </c>
      <c r="O2485" s="8" t="s">
        <v>559</v>
      </c>
      <c r="T2485">
        <v>0</v>
      </c>
      <c r="AC2485">
        <v>1</v>
      </c>
    </row>
    <row r="2486" spans="1:29" ht="30" customHeight="1" x14ac:dyDescent="0.3">
      <c r="A2486" s="8" t="s">
        <v>2279</v>
      </c>
      <c r="B2486" s="8" t="s">
        <v>237</v>
      </c>
      <c r="C2486" s="8" t="s">
        <v>219</v>
      </c>
      <c r="D2486" s="8" t="s">
        <v>238</v>
      </c>
      <c r="E2486" s="8" t="s">
        <v>168</v>
      </c>
      <c r="F2486" s="9">
        <v>22</v>
      </c>
      <c r="G2486" s="5" t="e">
        <f>'[2].xls].xls].xls].xls].xls].xls].xls].'!E103</f>
        <v>#REF!</v>
      </c>
      <c r="H2486" s="5" t="e">
        <f t="shared" si="230"/>
        <v>#REF!</v>
      </c>
      <c r="I2486" s="5" t="e">
        <f>'[2].xls].xls].xls].xls].xls].xls].xls].'!F103</f>
        <v>#REF!</v>
      </c>
      <c r="J2486" s="5" t="e">
        <f t="shared" si="231"/>
        <v>#REF!</v>
      </c>
      <c r="K2486" s="5" t="e">
        <f>'[2].xls].xls].xls].xls].xls].xls].xls].'!G103</f>
        <v>#REF!</v>
      </c>
      <c r="L2486" s="5" t="e">
        <f t="shared" si="232"/>
        <v>#REF!</v>
      </c>
      <c r="M2486" s="5" t="e">
        <f t="shared" si="233"/>
        <v>#REF!</v>
      </c>
      <c r="N2486" s="5" t="e">
        <f t="shared" si="233"/>
        <v>#REF!</v>
      </c>
      <c r="O2486" s="8" t="s">
        <v>237</v>
      </c>
      <c r="T2486">
        <v>0</v>
      </c>
      <c r="AC2486">
        <v>1</v>
      </c>
    </row>
    <row r="2487" spans="1:29" ht="30" customHeight="1" x14ac:dyDescent="0.3">
      <c r="A2487" s="8" t="s">
        <v>2279</v>
      </c>
      <c r="B2487" s="8" t="s">
        <v>239</v>
      </c>
      <c r="C2487" s="8" t="s">
        <v>219</v>
      </c>
      <c r="D2487" s="8" t="s">
        <v>240</v>
      </c>
      <c r="E2487" s="8" t="s">
        <v>168</v>
      </c>
      <c r="F2487" s="9">
        <v>92</v>
      </c>
      <c r="G2487" s="5" t="e">
        <f>'[2].xls].xls].xls].xls].xls].xls].xls].'!E104</f>
        <v>#REF!</v>
      </c>
      <c r="H2487" s="5" t="e">
        <f t="shared" si="230"/>
        <v>#REF!</v>
      </c>
      <c r="I2487" s="5" t="e">
        <f>'[2].xls].xls].xls].xls].xls].xls].xls].'!F104</f>
        <v>#REF!</v>
      </c>
      <c r="J2487" s="5" t="e">
        <f t="shared" si="231"/>
        <v>#REF!</v>
      </c>
      <c r="K2487" s="5" t="e">
        <f>'[2].xls].xls].xls].xls].xls].xls].xls].'!G104</f>
        <v>#REF!</v>
      </c>
      <c r="L2487" s="5" t="e">
        <f t="shared" si="232"/>
        <v>#REF!</v>
      </c>
      <c r="M2487" s="5" t="e">
        <f t="shared" si="233"/>
        <v>#REF!</v>
      </c>
      <c r="N2487" s="5" t="e">
        <f t="shared" si="233"/>
        <v>#REF!</v>
      </c>
      <c r="O2487" s="8" t="s">
        <v>239</v>
      </c>
      <c r="T2487">
        <v>0</v>
      </c>
      <c r="AC2487">
        <v>1</v>
      </c>
    </row>
    <row r="2488" spans="1:29" ht="30" customHeight="1" x14ac:dyDescent="0.3">
      <c r="A2488" s="8" t="s">
        <v>2279</v>
      </c>
      <c r="B2488" s="8" t="s">
        <v>241</v>
      </c>
      <c r="C2488" s="8" t="s">
        <v>219</v>
      </c>
      <c r="D2488" s="8" t="s">
        <v>242</v>
      </c>
      <c r="E2488" s="8" t="s">
        <v>168</v>
      </c>
      <c r="F2488" s="9">
        <v>11</v>
      </c>
      <c r="G2488" s="5" t="e">
        <f>'[2].xls].xls].xls].xls].xls].xls].xls].'!E105</f>
        <v>#REF!</v>
      </c>
      <c r="H2488" s="5" t="e">
        <f t="shared" si="230"/>
        <v>#REF!</v>
      </c>
      <c r="I2488" s="5" t="e">
        <f>'[2].xls].xls].xls].xls].xls].xls].xls].'!F105</f>
        <v>#REF!</v>
      </c>
      <c r="J2488" s="5" t="e">
        <f t="shared" si="231"/>
        <v>#REF!</v>
      </c>
      <c r="K2488" s="5" t="e">
        <f>'[2].xls].xls].xls].xls].xls].xls].xls].'!G105</f>
        <v>#REF!</v>
      </c>
      <c r="L2488" s="5" t="e">
        <f t="shared" si="232"/>
        <v>#REF!</v>
      </c>
      <c r="M2488" s="5" t="e">
        <f t="shared" si="233"/>
        <v>#REF!</v>
      </c>
      <c r="N2488" s="5" t="e">
        <f t="shared" si="233"/>
        <v>#REF!</v>
      </c>
      <c r="O2488" s="8" t="s">
        <v>241</v>
      </c>
      <c r="T2488">
        <v>0</v>
      </c>
      <c r="AC2488">
        <v>1</v>
      </c>
    </row>
    <row r="2489" spans="1:29" ht="30" customHeight="1" x14ac:dyDescent="0.3">
      <c r="A2489" s="8" t="s">
        <v>2279</v>
      </c>
      <c r="B2489" s="8" t="s">
        <v>561</v>
      </c>
      <c r="C2489" s="8" t="s">
        <v>219</v>
      </c>
      <c r="D2489" s="8" t="s">
        <v>562</v>
      </c>
      <c r="E2489" s="8" t="s">
        <v>168</v>
      </c>
      <c r="F2489" s="9">
        <v>2</v>
      </c>
      <c r="G2489" s="5" t="e">
        <f>'[2].xls].xls].xls].xls].xls].xls].xls].'!E106</f>
        <v>#REF!</v>
      </c>
      <c r="H2489" s="5" t="e">
        <f t="shared" si="230"/>
        <v>#REF!</v>
      </c>
      <c r="I2489" s="5" t="e">
        <f>'[2].xls].xls].xls].xls].xls].xls].xls].'!F106</f>
        <v>#REF!</v>
      </c>
      <c r="J2489" s="5" t="e">
        <f t="shared" si="231"/>
        <v>#REF!</v>
      </c>
      <c r="K2489" s="5" t="e">
        <f>'[2].xls].xls].xls].xls].xls].xls].xls].'!G106</f>
        <v>#REF!</v>
      </c>
      <c r="L2489" s="5" t="e">
        <f t="shared" si="232"/>
        <v>#REF!</v>
      </c>
      <c r="M2489" s="5" t="e">
        <f t="shared" si="233"/>
        <v>#REF!</v>
      </c>
      <c r="N2489" s="5" t="e">
        <f t="shared" si="233"/>
        <v>#REF!</v>
      </c>
      <c r="O2489" s="8" t="s">
        <v>561</v>
      </c>
      <c r="T2489">
        <v>0</v>
      </c>
      <c r="AC2489">
        <v>1</v>
      </c>
    </row>
    <row r="2490" spans="1:29" ht="30" customHeight="1" x14ac:dyDescent="0.3">
      <c r="A2490" s="8" t="s">
        <v>2279</v>
      </c>
      <c r="B2490" s="8" t="s">
        <v>243</v>
      </c>
      <c r="C2490" s="8" t="s">
        <v>219</v>
      </c>
      <c r="D2490" s="8" t="s">
        <v>244</v>
      </c>
      <c r="E2490" s="8" t="s">
        <v>168</v>
      </c>
      <c r="F2490" s="9">
        <v>33</v>
      </c>
      <c r="G2490" s="5" t="e">
        <f>'[2].xls].xls].xls].xls].xls].xls].xls].'!E107</f>
        <v>#REF!</v>
      </c>
      <c r="H2490" s="5" t="e">
        <f t="shared" si="230"/>
        <v>#REF!</v>
      </c>
      <c r="I2490" s="5" t="e">
        <f>'[2].xls].xls].xls].xls].xls].xls].xls].'!F107</f>
        <v>#REF!</v>
      </c>
      <c r="J2490" s="5" t="e">
        <f t="shared" si="231"/>
        <v>#REF!</v>
      </c>
      <c r="K2490" s="5" t="e">
        <f>'[2].xls].xls].xls].xls].xls].xls].xls].'!G107</f>
        <v>#REF!</v>
      </c>
      <c r="L2490" s="5" t="e">
        <f t="shared" si="232"/>
        <v>#REF!</v>
      </c>
      <c r="M2490" s="5" t="e">
        <f t="shared" si="233"/>
        <v>#REF!</v>
      </c>
      <c r="N2490" s="5" t="e">
        <f t="shared" si="233"/>
        <v>#REF!</v>
      </c>
      <c r="O2490" s="8" t="s">
        <v>243</v>
      </c>
      <c r="T2490">
        <v>0</v>
      </c>
      <c r="AC2490">
        <v>1</v>
      </c>
    </row>
    <row r="2491" spans="1:29" ht="30" customHeight="1" x14ac:dyDescent="0.3">
      <c r="A2491" s="8" t="s">
        <v>2279</v>
      </c>
      <c r="B2491" s="8" t="s">
        <v>245</v>
      </c>
      <c r="C2491" s="8" t="s">
        <v>219</v>
      </c>
      <c r="D2491" s="8" t="s">
        <v>246</v>
      </c>
      <c r="E2491" s="8" t="s">
        <v>168</v>
      </c>
      <c r="F2491" s="9">
        <v>59</v>
      </c>
      <c r="G2491" s="5" t="e">
        <f>'[2].xls].xls].xls].xls].xls].xls].xls].'!E108</f>
        <v>#REF!</v>
      </c>
      <c r="H2491" s="5" t="e">
        <f t="shared" si="230"/>
        <v>#REF!</v>
      </c>
      <c r="I2491" s="5" t="e">
        <f>'[2].xls].xls].xls].xls].xls].xls].xls].'!F108</f>
        <v>#REF!</v>
      </c>
      <c r="J2491" s="5" t="e">
        <f t="shared" si="231"/>
        <v>#REF!</v>
      </c>
      <c r="K2491" s="5" t="e">
        <f>'[2].xls].xls].xls].xls].xls].xls].xls].'!G108</f>
        <v>#REF!</v>
      </c>
      <c r="L2491" s="5" t="e">
        <f t="shared" si="232"/>
        <v>#REF!</v>
      </c>
      <c r="M2491" s="5" t="e">
        <f t="shared" si="233"/>
        <v>#REF!</v>
      </c>
      <c r="N2491" s="5" t="e">
        <f t="shared" si="233"/>
        <v>#REF!</v>
      </c>
      <c r="O2491" s="8" t="s">
        <v>245</v>
      </c>
      <c r="T2491">
        <v>0</v>
      </c>
      <c r="AC2491">
        <v>1</v>
      </c>
    </row>
    <row r="2492" spans="1:29" ht="30" customHeight="1" x14ac:dyDescent="0.3">
      <c r="A2492" s="8" t="s">
        <v>2279</v>
      </c>
      <c r="B2492" s="8" t="s">
        <v>251</v>
      </c>
      <c r="C2492" s="8" t="s">
        <v>252</v>
      </c>
      <c r="D2492" s="8" t="s">
        <v>253</v>
      </c>
      <c r="E2492" s="8" t="s">
        <v>179</v>
      </c>
      <c r="F2492" s="9">
        <v>284</v>
      </c>
      <c r="G2492" s="5">
        <f>TRUNC([1]단가대비표!O227,0)</f>
        <v>2690</v>
      </c>
      <c r="H2492" s="5">
        <f t="shared" si="230"/>
        <v>763960</v>
      </c>
      <c r="I2492" s="5">
        <v>0</v>
      </c>
      <c r="J2492" s="5">
        <f t="shared" si="231"/>
        <v>0</v>
      </c>
      <c r="K2492" s="5">
        <v>0</v>
      </c>
      <c r="L2492" s="5">
        <f t="shared" si="232"/>
        <v>0</v>
      </c>
      <c r="M2492" s="5">
        <f t="shared" si="233"/>
        <v>2690</v>
      </c>
      <c r="N2492" s="5">
        <f t="shared" si="233"/>
        <v>763960</v>
      </c>
      <c r="O2492" s="8" t="s">
        <v>20</v>
      </c>
      <c r="T2492">
        <v>0</v>
      </c>
      <c r="AC2492">
        <v>1</v>
      </c>
    </row>
    <row r="2493" spans="1:29" ht="30" customHeight="1" x14ac:dyDescent="0.3">
      <c r="A2493" s="8" t="s">
        <v>2279</v>
      </c>
      <c r="B2493" s="8" t="s">
        <v>254</v>
      </c>
      <c r="C2493" s="8" t="s">
        <v>252</v>
      </c>
      <c r="D2493" s="8" t="s">
        <v>255</v>
      </c>
      <c r="E2493" s="8" t="s">
        <v>179</v>
      </c>
      <c r="F2493" s="9">
        <v>13</v>
      </c>
      <c r="G2493" s="5">
        <f>TRUNC([1]단가대비표!O228,0)</f>
        <v>3520</v>
      </c>
      <c r="H2493" s="5">
        <f t="shared" si="230"/>
        <v>45760</v>
      </c>
      <c r="I2493" s="5">
        <v>0</v>
      </c>
      <c r="J2493" s="5">
        <f t="shared" si="231"/>
        <v>0</v>
      </c>
      <c r="K2493" s="5">
        <v>0</v>
      </c>
      <c r="L2493" s="5">
        <f t="shared" si="232"/>
        <v>0</v>
      </c>
      <c r="M2493" s="5">
        <f t="shared" si="233"/>
        <v>3520</v>
      </c>
      <c r="N2493" s="5">
        <f t="shared" si="233"/>
        <v>45760</v>
      </c>
      <c r="O2493" s="8" t="s">
        <v>20</v>
      </c>
      <c r="T2493">
        <v>0</v>
      </c>
      <c r="AC2493">
        <v>1</v>
      </c>
    </row>
    <row r="2494" spans="1:29" ht="30" customHeight="1" x14ac:dyDescent="0.3">
      <c r="A2494" s="8" t="s">
        <v>2279</v>
      </c>
      <c r="B2494" s="8" t="s">
        <v>256</v>
      </c>
      <c r="C2494" s="8" t="s">
        <v>252</v>
      </c>
      <c r="D2494" s="8" t="s">
        <v>257</v>
      </c>
      <c r="E2494" s="8" t="s">
        <v>179</v>
      </c>
      <c r="F2494" s="9">
        <v>42</v>
      </c>
      <c r="G2494" s="5">
        <f>TRUNC([1]단가대비표!O229,0)</f>
        <v>6990</v>
      </c>
      <c r="H2494" s="5">
        <f t="shared" si="230"/>
        <v>293580</v>
      </c>
      <c r="I2494" s="5">
        <v>0</v>
      </c>
      <c r="J2494" s="5">
        <f t="shared" si="231"/>
        <v>0</v>
      </c>
      <c r="K2494" s="5">
        <v>0</v>
      </c>
      <c r="L2494" s="5">
        <f t="shared" si="232"/>
        <v>0</v>
      </c>
      <c r="M2494" s="5">
        <f t="shared" si="233"/>
        <v>6990</v>
      </c>
      <c r="N2494" s="5">
        <f t="shared" si="233"/>
        <v>293580</v>
      </c>
      <c r="O2494" s="8" t="s">
        <v>20</v>
      </c>
      <c r="T2494">
        <v>0</v>
      </c>
      <c r="AC2494">
        <v>1</v>
      </c>
    </row>
    <row r="2495" spans="1:29" ht="30" customHeight="1" x14ac:dyDescent="0.3">
      <c r="A2495" s="8" t="s">
        <v>2279</v>
      </c>
      <c r="B2495" s="8" t="s">
        <v>260</v>
      </c>
      <c r="C2495" s="8" t="s">
        <v>252</v>
      </c>
      <c r="D2495" s="8" t="s">
        <v>261</v>
      </c>
      <c r="E2495" s="8" t="s">
        <v>179</v>
      </c>
      <c r="F2495" s="9">
        <v>12</v>
      </c>
      <c r="G2495" s="5">
        <f>TRUNC([1]단가대비표!O231,0)</f>
        <v>11460</v>
      </c>
      <c r="H2495" s="5">
        <f t="shared" si="230"/>
        <v>137520</v>
      </c>
      <c r="I2495" s="5">
        <v>0</v>
      </c>
      <c r="J2495" s="5">
        <f t="shared" si="231"/>
        <v>0</v>
      </c>
      <c r="K2495" s="5">
        <v>0</v>
      </c>
      <c r="L2495" s="5">
        <f t="shared" si="232"/>
        <v>0</v>
      </c>
      <c r="M2495" s="5">
        <f t="shared" si="233"/>
        <v>11460</v>
      </c>
      <c r="N2495" s="5">
        <f t="shared" si="233"/>
        <v>137520</v>
      </c>
      <c r="O2495" s="8" t="s">
        <v>20</v>
      </c>
      <c r="T2495">
        <v>0</v>
      </c>
      <c r="AC2495">
        <v>1</v>
      </c>
    </row>
    <row r="2496" spans="1:29" ht="30" customHeight="1" x14ac:dyDescent="0.3">
      <c r="A2496" s="8" t="s">
        <v>2279</v>
      </c>
      <c r="B2496" s="8" t="s">
        <v>262</v>
      </c>
      <c r="C2496" s="8" t="s">
        <v>252</v>
      </c>
      <c r="D2496" s="8" t="s">
        <v>263</v>
      </c>
      <c r="E2496" s="8" t="s">
        <v>179</v>
      </c>
      <c r="F2496" s="9">
        <v>3</v>
      </c>
      <c r="G2496" s="5">
        <f>TRUNC([1]단가대비표!O232,0)</f>
        <v>14620</v>
      </c>
      <c r="H2496" s="5">
        <f t="shared" si="230"/>
        <v>43860</v>
      </c>
      <c r="I2496" s="5">
        <v>0</v>
      </c>
      <c r="J2496" s="5">
        <f t="shared" si="231"/>
        <v>0</v>
      </c>
      <c r="K2496" s="5">
        <v>0</v>
      </c>
      <c r="L2496" s="5">
        <f t="shared" si="232"/>
        <v>0</v>
      </c>
      <c r="M2496" s="5">
        <f t="shared" si="233"/>
        <v>14620</v>
      </c>
      <c r="N2496" s="5">
        <f t="shared" si="233"/>
        <v>43860</v>
      </c>
      <c r="O2496" s="8" t="s">
        <v>20</v>
      </c>
      <c r="T2496">
        <v>0</v>
      </c>
      <c r="AC2496">
        <v>1</v>
      </c>
    </row>
    <row r="2497" spans="1:29" ht="30" customHeight="1" x14ac:dyDescent="0.3">
      <c r="A2497" s="8" t="s">
        <v>2279</v>
      </c>
      <c r="B2497" s="8" t="s">
        <v>567</v>
      </c>
      <c r="C2497" s="8" t="s">
        <v>252</v>
      </c>
      <c r="D2497" s="8" t="s">
        <v>568</v>
      </c>
      <c r="E2497" s="8" t="s">
        <v>179</v>
      </c>
      <c r="F2497" s="9">
        <v>13</v>
      </c>
      <c r="G2497" s="5">
        <f>TRUNC([1]단가대비표!O236,0)</f>
        <v>6900</v>
      </c>
      <c r="H2497" s="5">
        <f t="shared" si="230"/>
        <v>89700</v>
      </c>
      <c r="I2497" s="5">
        <v>0</v>
      </c>
      <c r="J2497" s="5">
        <f t="shared" si="231"/>
        <v>0</v>
      </c>
      <c r="K2497" s="5">
        <v>0</v>
      </c>
      <c r="L2497" s="5">
        <f t="shared" si="232"/>
        <v>0</v>
      </c>
      <c r="M2497" s="5">
        <f t="shared" si="233"/>
        <v>6900</v>
      </c>
      <c r="N2497" s="5">
        <f t="shared" si="233"/>
        <v>89700</v>
      </c>
      <c r="O2497" s="8" t="s">
        <v>20</v>
      </c>
      <c r="T2497">
        <v>0</v>
      </c>
      <c r="AC2497">
        <v>1</v>
      </c>
    </row>
    <row r="2498" spans="1:29" ht="30" customHeight="1" x14ac:dyDescent="0.3">
      <c r="A2498" s="8" t="s">
        <v>2279</v>
      </c>
      <c r="B2498" s="8" t="s">
        <v>268</v>
      </c>
      <c r="C2498" s="8" t="s">
        <v>252</v>
      </c>
      <c r="D2498" s="8" t="s">
        <v>269</v>
      </c>
      <c r="E2498" s="8" t="s">
        <v>179</v>
      </c>
      <c r="F2498" s="9">
        <v>36</v>
      </c>
      <c r="G2498" s="5">
        <f>TRUNC([1]단가대비표!O237,0)</f>
        <v>10110</v>
      </c>
      <c r="H2498" s="5">
        <f t="shared" si="230"/>
        <v>363960</v>
      </c>
      <c r="I2498" s="5">
        <v>0</v>
      </c>
      <c r="J2498" s="5">
        <f t="shared" si="231"/>
        <v>0</v>
      </c>
      <c r="K2498" s="5">
        <v>0</v>
      </c>
      <c r="L2498" s="5">
        <f t="shared" si="232"/>
        <v>0</v>
      </c>
      <c r="M2498" s="5">
        <f t="shared" si="233"/>
        <v>10110</v>
      </c>
      <c r="N2498" s="5">
        <f t="shared" si="233"/>
        <v>363960</v>
      </c>
      <c r="O2498" s="8" t="s">
        <v>20</v>
      </c>
      <c r="T2498">
        <v>0</v>
      </c>
      <c r="AC2498">
        <v>1</v>
      </c>
    </row>
    <row r="2499" spans="1:29" ht="30" customHeight="1" x14ac:dyDescent="0.3">
      <c r="A2499" s="8" t="s">
        <v>2279</v>
      </c>
      <c r="B2499" s="8" t="s">
        <v>569</v>
      </c>
      <c r="C2499" s="8" t="s">
        <v>252</v>
      </c>
      <c r="D2499" s="8" t="s">
        <v>570</v>
      </c>
      <c r="E2499" s="8" t="s">
        <v>179</v>
      </c>
      <c r="F2499" s="9">
        <v>25</v>
      </c>
      <c r="G2499" s="5">
        <f>TRUNC([1]단가대비표!O238,0)</f>
        <v>13500</v>
      </c>
      <c r="H2499" s="5">
        <f t="shared" si="230"/>
        <v>337500</v>
      </c>
      <c r="I2499" s="5">
        <v>0</v>
      </c>
      <c r="J2499" s="5">
        <f t="shared" si="231"/>
        <v>0</v>
      </c>
      <c r="K2499" s="5">
        <v>0</v>
      </c>
      <c r="L2499" s="5">
        <f t="shared" si="232"/>
        <v>0</v>
      </c>
      <c r="M2499" s="5">
        <f t="shared" si="233"/>
        <v>13500</v>
      </c>
      <c r="N2499" s="5">
        <f t="shared" si="233"/>
        <v>337500</v>
      </c>
      <c r="O2499" s="8" t="s">
        <v>20</v>
      </c>
      <c r="T2499">
        <v>0</v>
      </c>
      <c r="AC2499">
        <v>1</v>
      </c>
    </row>
    <row r="2500" spans="1:29" ht="30" customHeight="1" x14ac:dyDescent="0.3">
      <c r="A2500" s="8" t="s">
        <v>2279</v>
      </c>
      <c r="B2500" s="8" t="s">
        <v>270</v>
      </c>
      <c r="C2500" s="8" t="s">
        <v>252</v>
      </c>
      <c r="D2500" s="8" t="s">
        <v>271</v>
      </c>
      <c r="E2500" s="8" t="s">
        <v>179</v>
      </c>
      <c r="F2500" s="9">
        <v>4</v>
      </c>
      <c r="G2500" s="5">
        <f>TRUNC([1]단가대비표!O239,0)</f>
        <v>17380</v>
      </c>
      <c r="H2500" s="5">
        <f t="shared" si="230"/>
        <v>69520</v>
      </c>
      <c r="I2500" s="5">
        <v>0</v>
      </c>
      <c r="J2500" s="5">
        <f t="shared" si="231"/>
        <v>0</v>
      </c>
      <c r="K2500" s="5">
        <v>0</v>
      </c>
      <c r="L2500" s="5">
        <f t="shared" si="232"/>
        <v>0</v>
      </c>
      <c r="M2500" s="5">
        <f t="shared" si="233"/>
        <v>17380</v>
      </c>
      <c r="N2500" s="5">
        <f t="shared" si="233"/>
        <v>69520</v>
      </c>
      <c r="O2500" s="8" t="s">
        <v>20</v>
      </c>
      <c r="T2500">
        <v>0</v>
      </c>
      <c r="AC2500">
        <v>1</v>
      </c>
    </row>
    <row r="2501" spans="1:29" ht="30" customHeight="1" x14ac:dyDescent="0.3">
      <c r="A2501" s="8" t="s">
        <v>2279</v>
      </c>
      <c r="B2501" s="8" t="s">
        <v>571</v>
      </c>
      <c r="C2501" s="8" t="s">
        <v>252</v>
      </c>
      <c r="D2501" s="8" t="s">
        <v>572</v>
      </c>
      <c r="E2501" s="8" t="s">
        <v>179</v>
      </c>
      <c r="F2501" s="9">
        <v>8</v>
      </c>
      <c r="G2501" s="5">
        <f>TRUNC([1]단가대비표!O240,0)</f>
        <v>23220</v>
      </c>
      <c r="H2501" s="5">
        <f t="shared" si="230"/>
        <v>185760</v>
      </c>
      <c r="I2501" s="5">
        <v>0</v>
      </c>
      <c r="J2501" s="5">
        <f t="shared" si="231"/>
        <v>0</v>
      </c>
      <c r="K2501" s="5">
        <v>0</v>
      </c>
      <c r="L2501" s="5">
        <f t="shared" si="232"/>
        <v>0</v>
      </c>
      <c r="M2501" s="5">
        <f t="shared" si="233"/>
        <v>23220</v>
      </c>
      <c r="N2501" s="5">
        <f t="shared" si="233"/>
        <v>185760</v>
      </c>
      <c r="O2501" s="8" t="s">
        <v>20</v>
      </c>
      <c r="T2501">
        <v>0</v>
      </c>
      <c r="AC2501">
        <v>1</v>
      </c>
    </row>
    <row r="2502" spans="1:29" ht="30" customHeight="1" x14ac:dyDescent="0.3">
      <c r="A2502" s="8" t="s">
        <v>2279</v>
      </c>
      <c r="B2502" s="8" t="s">
        <v>272</v>
      </c>
      <c r="C2502" s="8" t="s">
        <v>252</v>
      </c>
      <c r="D2502" s="8" t="s">
        <v>273</v>
      </c>
      <c r="E2502" s="8" t="s">
        <v>179</v>
      </c>
      <c r="F2502" s="9">
        <v>5</v>
      </c>
      <c r="G2502" s="5">
        <f>TRUNC([1]단가대비표!O241,0)</f>
        <v>28800</v>
      </c>
      <c r="H2502" s="5">
        <f t="shared" si="230"/>
        <v>144000</v>
      </c>
      <c r="I2502" s="5">
        <v>0</v>
      </c>
      <c r="J2502" s="5">
        <f t="shared" si="231"/>
        <v>0</v>
      </c>
      <c r="K2502" s="5">
        <v>0</v>
      </c>
      <c r="L2502" s="5">
        <f t="shared" si="232"/>
        <v>0</v>
      </c>
      <c r="M2502" s="5">
        <f t="shared" si="233"/>
        <v>28800</v>
      </c>
      <c r="N2502" s="5">
        <f t="shared" si="233"/>
        <v>144000</v>
      </c>
      <c r="O2502" s="8" t="s">
        <v>20</v>
      </c>
      <c r="T2502">
        <v>0</v>
      </c>
      <c r="AC2502">
        <v>1</v>
      </c>
    </row>
    <row r="2503" spans="1:29" ht="30" customHeight="1" x14ac:dyDescent="0.3">
      <c r="A2503" s="8" t="s">
        <v>2279</v>
      </c>
      <c r="B2503" s="8" t="s">
        <v>573</v>
      </c>
      <c r="C2503" s="8" t="s">
        <v>252</v>
      </c>
      <c r="D2503" s="8" t="s">
        <v>574</v>
      </c>
      <c r="E2503" s="8" t="s">
        <v>179</v>
      </c>
      <c r="F2503" s="9">
        <v>7</v>
      </c>
      <c r="G2503" s="5">
        <f>TRUNC([1]단가대비표!O247,0)</f>
        <v>5080</v>
      </c>
      <c r="H2503" s="5">
        <f t="shared" si="230"/>
        <v>35560</v>
      </c>
      <c r="I2503" s="5">
        <v>0</v>
      </c>
      <c r="J2503" s="5">
        <f t="shared" si="231"/>
        <v>0</v>
      </c>
      <c r="K2503" s="5">
        <v>0</v>
      </c>
      <c r="L2503" s="5">
        <f t="shared" si="232"/>
        <v>0</v>
      </c>
      <c r="M2503" s="5">
        <f t="shared" si="233"/>
        <v>5080</v>
      </c>
      <c r="N2503" s="5">
        <f t="shared" si="233"/>
        <v>35560</v>
      </c>
      <c r="O2503" s="8" t="s">
        <v>20</v>
      </c>
      <c r="T2503">
        <v>0</v>
      </c>
      <c r="AC2503">
        <v>1</v>
      </c>
    </row>
    <row r="2504" spans="1:29" ht="30" customHeight="1" x14ac:dyDescent="0.3">
      <c r="A2504" s="8" t="s">
        <v>2279</v>
      </c>
      <c r="B2504" s="8" t="s">
        <v>790</v>
      </c>
      <c r="C2504" s="8" t="s">
        <v>252</v>
      </c>
      <c r="D2504" s="8" t="s">
        <v>791</v>
      </c>
      <c r="E2504" s="8" t="s">
        <v>179</v>
      </c>
      <c r="F2504" s="9">
        <v>3</v>
      </c>
      <c r="G2504" s="5">
        <f>TRUNC([1]단가대비표!O248,0)</f>
        <v>6240</v>
      </c>
      <c r="H2504" s="5">
        <f t="shared" si="230"/>
        <v>18720</v>
      </c>
      <c r="I2504" s="5">
        <v>0</v>
      </c>
      <c r="J2504" s="5">
        <f t="shared" si="231"/>
        <v>0</v>
      </c>
      <c r="K2504" s="5">
        <v>0</v>
      </c>
      <c r="L2504" s="5">
        <f t="shared" si="232"/>
        <v>0</v>
      </c>
      <c r="M2504" s="5">
        <f t="shared" si="233"/>
        <v>6240</v>
      </c>
      <c r="N2504" s="5">
        <f t="shared" si="233"/>
        <v>18720</v>
      </c>
      <c r="O2504" s="8" t="s">
        <v>20</v>
      </c>
      <c r="T2504">
        <v>0</v>
      </c>
      <c r="AC2504">
        <v>1</v>
      </c>
    </row>
    <row r="2505" spans="1:29" ht="30" customHeight="1" x14ac:dyDescent="0.3">
      <c r="A2505" s="8" t="s">
        <v>2279</v>
      </c>
      <c r="B2505" s="8" t="s">
        <v>575</v>
      </c>
      <c r="C2505" s="8" t="s">
        <v>252</v>
      </c>
      <c r="D2505" s="8" t="s">
        <v>576</v>
      </c>
      <c r="E2505" s="8" t="s">
        <v>179</v>
      </c>
      <c r="F2505" s="9">
        <v>9</v>
      </c>
      <c r="G2505" s="5">
        <f>TRUNC([1]단가대비표!O250,0)</f>
        <v>8570</v>
      </c>
      <c r="H2505" s="5">
        <f t="shared" si="230"/>
        <v>77130</v>
      </c>
      <c r="I2505" s="5">
        <v>0</v>
      </c>
      <c r="J2505" s="5">
        <f t="shared" si="231"/>
        <v>0</v>
      </c>
      <c r="K2505" s="5">
        <v>0</v>
      </c>
      <c r="L2505" s="5">
        <f t="shared" si="232"/>
        <v>0</v>
      </c>
      <c r="M2505" s="5">
        <f t="shared" si="233"/>
        <v>8570</v>
      </c>
      <c r="N2505" s="5">
        <f t="shared" si="233"/>
        <v>77130</v>
      </c>
      <c r="O2505" s="8" t="s">
        <v>20</v>
      </c>
      <c r="T2505">
        <v>0</v>
      </c>
      <c r="AC2505">
        <v>1</v>
      </c>
    </row>
    <row r="2506" spans="1:29" ht="30" customHeight="1" x14ac:dyDescent="0.3">
      <c r="A2506" s="8" t="s">
        <v>2279</v>
      </c>
      <c r="B2506" s="8" t="s">
        <v>282</v>
      </c>
      <c r="C2506" s="8" t="s">
        <v>252</v>
      </c>
      <c r="D2506" s="8" t="s">
        <v>283</v>
      </c>
      <c r="E2506" s="8" t="s">
        <v>179</v>
      </c>
      <c r="F2506" s="9">
        <v>3</v>
      </c>
      <c r="G2506" s="5">
        <f>TRUNC([1]단가대비표!O254,0)</f>
        <v>11040</v>
      </c>
      <c r="H2506" s="5">
        <f t="shared" si="230"/>
        <v>33120</v>
      </c>
      <c r="I2506" s="5">
        <v>0</v>
      </c>
      <c r="J2506" s="5">
        <f t="shared" si="231"/>
        <v>0</v>
      </c>
      <c r="K2506" s="5">
        <v>0</v>
      </c>
      <c r="L2506" s="5">
        <f t="shared" si="232"/>
        <v>0</v>
      </c>
      <c r="M2506" s="5">
        <f t="shared" si="233"/>
        <v>11040</v>
      </c>
      <c r="N2506" s="5">
        <f t="shared" si="233"/>
        <v>33120</v>
      </c>
      <c r="O2506" s="8" t="s">
        <v>20</v>
      </c>
      <c r="T2506">
        <v>0</v>
      </c>
      <c r="AC2506">
        <v>1</v>
      </c>
    </row>
    <row r="2507" spans="1:29" ht="30" customHeight="1" x14ac:dyDescent="0.3">
      <c r="A2507" s="8" t="s">
        <v>2279</v>
      </c>
      <c r="B2507" s="8" t="s">
        <v>800</v>
      </c>
      <c r="C2507" s="8" t="s">
        <v>252</v>
      </c>
      <c r="D2507" s="8" t="s">
        <v>801</v>
      </c>
      <c r="E2507" s="8" t="s">
        <v>179</v>
      </c>
      <c r="F2507" s="9">
        <v>1</v>
      </c>
      <c r="G2507" s="5">
        <f>TRUNC([1]단가대비표!O258,0)</f>
        <v>13200</v>
      </c>
      <c r="H2507" s="5">
        <f t="shared" si="230"/>
        <v>13200</v>
      </c>
      <c r="I2507" s="5">
        <v>0</v>
      </c>
      <c r="J2507" s="5">
        <f t="shared" si="231"/>
        <v>0</v>
      </c>
      <c r="K2507" s="5">
        <v>0</v>
      </c>
      <c r="L2507" s="5">
        <f t="shared" si="232"/>
        <v>0</v>
      </c>
      <c r="M2507" s="5">
        <f t="shared" ref="M2507:N2538" si="234">G2507+I2507+K2507</f>
        <v>13200</v>
      </c>
      <c r="N2507" s="5">
        <f t="shared" si="234"/>
        <v>13200</v>
      </c>
      <c r="O2507" s="8" t="s">
        <v>20</v>
      </c>
      <c r="T2507">
        <v>0</v>
      </c>
      <c r="AC2507">
        <v>1</v>
      </c>
    </row>
    <row r="2508" spans="1:29" ht="30" customHeight="1" x14ac:dyDescent="0.3">
      <c r="A2508" s="8" t="s">
        <v>2279</v>
      </c>
      <c r="B2508" s="8" t="s">
        <v>284</v>
      </c>
      <c r="C2508" s="8" t="s">
        <v>252</v>
      </c>
      <c r="D2508" s="8" t="s">
        <v>285</v>
      </c>
      <c r="E2508" s="8" t="s">
        <v>179</v>
      </c>
      <c r="F2508" s="9">
        <v>4</v>
      </c>
      <c r="G2508" s="5">
        <f>TRUNC([1]단가대비표!O259,0)</f>
        <v>13440</v>
      </c>
      <c r="H2508" s="5">
        <f t="shared" si="230"/>
        <v>53760</v>
      </c>
      <c r="I2508" s="5">
        <v>0</v>
      </c>
      <c r="J2508" s="5">
        <f t="shared" si="231"/>
        <v>0</v>
      </c>
      <c r="K2508" s="5">
        <v>0</v>
      </c>
      <c r="L2508" s="5">
        <f t="shared" si="232"/>
        <v>0</v>
      </c>
      <c r="M2508" s="5">
        <f t="shared" si="234"/>
        <v>13440</v>
      </c>
      <c r="N2508" s="5">
        <f t="shared" si="234"/>
        <v>53760</v>
      </c>
      <c r="O2508" s="8" t="s">
        <v>20</v>
      </c>
      <c r="T2508">
        <v>0</v>
      </c>
      <c r="AC2508">
        <v>1</v>
      </c>
    </row>
    <row r="2509" spans="1:29" ht="30" customHeight="1" x14ac:dyDescent="0.3">
      <c r="A2509" s="8" t="s">
        <v>2279</v>
      </c>
      <c r="B2509" s="8" t="s">
        <v>581</v>
      </c>
      <c r="C2509" s="8" t="s">
        <v>252</v>
      </c>
      <c r="D2509" s="8" t="s">
        <v>582</v>
      </c>
      <c r="E2509" s="8" t="s">
        <v>179</v>
      </c>
      <c r="F2509" s="9">
        <v>3</v>
      </c>
      <c r="G2509" s="5">
        <f>TRUNC([1]단가대비표!O261,0)</f>
        <v>14258</v>
      </c>
      <c r="H2509" s="5">
        <f t="shared" si="230"/>
        <v>42774</v>
      </c>
      <c r="I2509" s="5">
        <v>0</v>
      </c>
      <c r="J2509" s="5">
        <f t="shared" si="231"/>
        <v>0</v>
      </c>
      <c r="K2509" s="5">
        <v>0</v>
      </c>
      <c r="L2509" s="5">
        <f t="shared" si="232"/>
        <v>0</v>
      </c>
      <c r="M2509" s="5">
        <f t="shared" si="234"/>
        <v>14258</v>
      </c>
      <c r="N2509" s="5">
        <f t="shared" si="234"/>
        <v>42774</v>
      </c>
      <c r="O2509" s="8" t="s">
        <v>20</v>
      </c>
      <c r="T2509">
        <v>0</v>
      </c>
      <c r="AC2509">
        <v>1</v>
      </c>
    </row>
    <row r="2510" spans="1:29" ht="30" customHeight="1" x14ac:dyDescent="0.3">
      <c r="A2510" s="8" t="s">
        <v>2279</v>
      </c>
      <c r="B2510" s="8" t="s">
        <v>583</v>
      </c>
      <c r="C2510" s="8" t="s">
        <v>252</v>
      </c>
      <c r="D2510" s="8" t="s">
        <v>584</v>
      </c>
      <c r="E2510" s="8" t="s">
        <v>179</v>
      </c>
      <c r="F2510" s="9">
        <v>3</v>
      </c>
      <c r="G2510" s="5">
        <f>TRUNC([1]단가대비표!O264,0)</f>
        <v>15008</v>
      </c>
      <c r="H2510" s="5">
        <f t="shared" si="230"/>
        <v>45024</v>
      </c>
      <c r="I2510" s="5">
        <v>0</v>
      </c>
      <c r="J2510" s="5">
        <f t="shared" si="231"/>
        <v>0</v>
      </c>
      <c r="K2510" s="5">
        <v>0</v>
      </c>
      <c r="L2510" s="5">
        <f t="shared" si="232"/>
        <v>0</v>
      </c>
      <c r="M2510" s="5">
        <f t="shared" si="234"/>
        <v>15008</v>
      </c>
      <c r="N2510" s="5">
        <f t="shared" si="234"/>
        <v>45024</v>
      </c>
      <c r="O2510" s="8" t="s">
        <v>20</v>
      </c>
      <c r="T2510">
        <v>0</v>
      </c>
      <c r="AC2510">
        <v>1</v>
      </c>
    </row>
    <row r="2511" spans="1:29" ht="30" customHeight="1" x14ac:dyDescent="0.3">
      <c r="A2511" s="8" t="s">
        <v>2279</v>
      </c>
      <c r="B2511" s="8" t="s">
        <v>597</v>
      </c>
      <c r="C2511" s="8" t="s">
        <v>252</v>
      </c>
      <c r="D2511" s="8" t="s">
        <v>598</v>
      </c>
      <c r="E2511" s="8" t="s">
        <v>179</v>
      </c>
      <c r="F2511" s="9">
        <v>7</v>
      </c>
      <c r="G2511" s="5">
        <f>TRUNC([1]단가대비표!O219,0)</f>
        <v>3040</v>
      </c>
      <c r="H2511" s="5">
        <f t="shared" si="230"/>
        <v>21280</v>
      </c>
      <c r="I2511" s="5">
        <v>0</v>
      </c>
      <c r="J2511" s="5">
        <f t="shared" si="231"/>
        <v>0</v>
      </c>
      <c r="K2511" s="5">
        <v>0</v>
      </c>
      <c r="L2511" s="5">
        <f t="shared" si="232"/>
        <v>0</v>
      </c>
      <c r="M2511" s="5">
        <f t="shared" si="234"/>
        <v>3040</v>
      </c>
      <c r="N2511" s="5">
        <f t="shared" si="234"/>
        <v>21280</v>
      </c>
      <c r="O2511" s="8" t="s">
        <v>20</v>
      </c>
      <c r="T2511">
        <v>0</v>
      </c>
      <c r="AC2511">
        <v>1</v>
      </c>
    </row>
    <row r="2512" spans="1:29" ht="30" customHeight="1" x14ac:dyDescent="0.3">
      <c r="A2512" s="8" t="s">
        <v>2279</v>
      </c>
      <c r="B2512" s="8" t="s">
        <v>599</v>
      </c>
      <c r="C2512" s="8" t="s">
        <v>252</v>
      </c>
      <c r="D2512" s="8" t="s">
        <v>600</v>
      </c>
      <c r="E2512" s="8" t="s">
        <v>179</v>
      </c>
      <c r="F2512" s="9">
        <v>6</v>
      </c>
      <c r="G2512" s="5">
        <f>TRUNC([1]단가대비표!O220,0)</f>
        <v>3920</v>
      </c>
      <c r="H2512" s="5">
        <f t="shared" si="230"/>
        <v>23520</v>
      </c>
      <c r="I2512" s="5">
        <v>0</v>
      </c>
      <c r="J2512" s="5">
        <f t="shared" si="231"/>
        <v>0</v>
      </c>
      <c r="K2512" s="5">
        <v>0</v>
      </c>
      <c r="L2512" s="5">
        <f t="shared" si="232"/>
        <v>0</v>
      </c>
      <c r="M2512" s="5">
        <f t="shared" si="234"/>
        <v>3920</v>
      </c>
      <c r="N2512" s="5">
        <f t="shared" si="234"/>
        <v>23520</v>
      </c>
      <c r="O2512" s="8" t="s">
        <v>20</v>
      </c>
      <c r="T2512">
        <v>0</v>
      </c>
      <c r="AC2512">
        <v>1</v>
      </c>
    </row>
    <row r="2513" spans="1:29" ht="30" customHeight="1" x14ac:dyDescent="0.3">
      <c r="A2513" s="8" t="s">
        <v>2279</v>
      </c>
      <c r="B2513" s="8" t="s">
        <v>601</v>
      </c>
      <c r="C2513" s="8" t="s">
        <v>252</v>
      </c>
      <c r="D2513" s="8" t="s">
        <v>602</v>
      </c>
      <c r="E2513" s="8" t="s">
        <v>179</v>
      </c>
      <c r="F2513" s="9">
        <v>3</v>
      </c>
      <c r="G2513" s="5">
        <f>TRUNC([1]단가대비표!O221,0)</f>
        <v>6560</v>
      </c>
      <c r="H2513" s="5">
        <f t="shared" si="230"/>
        <v>19680</v>
      </c>
      <c r="I2513" s="5">
        <v>0</v>
      </c>
      <c r="J2513" s="5">
        <f t="shared" si="231"/>
        <v>0</v>
      </c>
      <c r="K2513" s="5">
        <v>0</v>
      </c>
      <c r="L2513" s="5">
        <f t="shared" si="232"/>
        <v>0</v>
      </c>
      <c r="M2513" s="5">
        <f t="shared" si="234"/>
        <v>6560</v>
      </c>
      <c r="N2513" s="5">
        <f t="shared" si="234"/>
        <v>19680</v>
      </c>
      <c r="O2513" s="8" t="s">
        <v>20</v>
      </c>
      <c r="T2513">
        <v>0</v>
      </c>
      <c r="AC2513">
        <v>1</v>
      </c>
    </row>
    <row r="2514" spans="1:29" ht="30" customHeight="1" x14ac:dyDescent="0.3">
      <c r="A2514" s="8" t="s">
        <v>2279</v>
      </c>
      <c r="B2514" s="8" t="s">
        <v>605</v>
      </c>
      <c r="C2514" s="8" t="s">
        <v>252</v>
      </c>
      <c r="D2514" s="8" t="s">
        <v>606</v>
      </c>
      <c r="E2514" s="8" t="s">
        <v>179</v>
      </c>
      <c r="F2514" s="9">
        <v>70</v>
      </c>
      <c r="G2514" s="5">
        <f>TRUNC([1]단가대비표!O274,0)</f>
        <v>9830</v>
      </c>
      <c r="H2514" s="5">
        <f t="shared" si="230"/>
        <v>688100</v>
      </c>
      <c r="I2514" s="5">
        <v>0</v>
      </c>
      <c r="J2514" s="5">
        <f t="shared" si="231"/>
        <v>0</v>
      </c>
      <c r="K2514" s="5">
        <v>0</v>
      </c>
      <c r="L2514" s="5">
        <f t="shared" si="232"/>
        <v>0</v>
      </c>
      <c r="M2514" s="5">
        <f t="shared" si="234"/>
        <v>9830</v>
      </c>
      <c r="N2514" s="5">
        <f t="shared" si="234"/>
        <v>688100</v>
      </c>
      <c r="O2514" s="8" t="s">
        <v>20</v>
      </c>
      <c r="T2514">
        <v>0</v>
      </c>
      <c r="AC2514">
        <v>1</v>
      </c>
    </row>
    <row r="2515" spans="1:29" ht="30" customHeight="1" x14ac:dyDescent="0.3">
      <c r="A2515" s="8" t="s">
        <v>2279</v>
      </c>
      <c r="B2515" s="8" t="s">
        <v>296</v>
      </c>
      <c r="C2515" s="8" t="s">
        <v>252</v>
      </c>
      <c r="D2515" s="8" t="s">
        <v>297</v>
      </c>
      <c r="E2515" s="8" t="s">
        <v>179</v>
      </c>
      <c r="F2515" s="9">
        <v>16</v>
      </c>
      <c r="G2515" s="5">
        <f>TRUNC([1]단가대비표!O276,0)</f>
        <v>17440</v>
      </c>
      <c r="H2515" s="5">
        <f t="shared" si="230"/>
        <v>279040</v>
      </c>
      <c r="I2515" s="5">
        <v>0</v>
      </c>
      <c r="J2515" s="5">
        <f t="shared" si="231"/>
        <v>0</v>
      </c>
      <c r="K2515" s="5">
        <v>0</v>
      </c>
      <c r="L2515" s="5">
        <f t="shared" si="232"/>
        <v>0</v>
      </c>
      <c r="M2515" s="5">
        <f t="shared" si="234"/>
        <v>17440</v>
      </c>
      <c r="N2515" s="5">
        <f t="shared" si="234"/>
        <v>279040</v>
      </c>
      <c r="O2515" s="8" t="s">
        <v>20</v>
      </c>
      <c r="T2515">
        <v>0</v>
      </c>
      <c r="AC2515">
        <v>1</v>
      </c>
    </row>
    <row r="2516" spans="1:29" ht="30" customHeight="1" x14ac:dyDescent="0.3">
      <c r="A2516" s="8" t="s">
        <v>2279</v>
      </c>
      <c r="B2516" s="8" t="s">
        <v>300</v>
      </c>
      <c r="C2516" s="8" t="s">
        <v>252</v>
      </c>
      <c r="D2516" s="8" t="s">
        <v>301</v>
      </c>
      <c r="E2516" s="8" t="s">
        <v>179</v>
      </c>
      <c r="F2516" s="9">
        <v>6</v>
      </c>
      <c r="G2516" s="5">
        <f>TRUNC([1]단가대비표!O278,0)</f>
        <v>35170</v>
      </c>
      <c r="H2516" s="5">
        <f t="shared" si="230"/>
        <v>211020</v>
      </c>
      <c r="I2516" s="5">
        <v>0</v>
      </c>
      <c r="J2516" s="5">
        <f t="shared" si="231"/>
        <v>0</v>
      </c>
      <c r="K2516" s="5">
        <v>0</v>
      </c>
      <c r="L2516" s="5">
        <f t="shared" si="232"/>
        <v>0</v>
      </c>
      <c r="M2516" s="5">
        <f t="shared" si="234"/>
        <v>35170</v>
      </c>
      <c r="N2516" s="5">
        <f t="shared" si="234"/>
        <v>211020</v>
      </c>
      <c r="O2516" s="8" t="s">
        <v>20</v>
      </c>
      <c r="T2516">
        <v>0</v>
      </c>
      <c r="AC2516">
        <v>1</v>
      </c>
    </row>
    <row r="2517" spans="1:29" ht="30" customHeight="1" x14ac:dyDescent="0.3">
      <c r="A2517" s="8" t="s">
        <v>2279</v>
      </c>
      <c r="B2517" s="8" t="s">
        <v>302</v>
      </c>
      <c r="C2517" s="8" t="s">
        <v>252</v>
      </c>
      <c r="D2517" s="8" t="s">
        <v>303</v>
      </c>
      <c r="E2517" s="8" t="s">
        <v>179</v>
      </c>
      <c r="F2517" s="9">
        <v>54</v>
      </c>
      <c r="G2517" s="5">
        <f>TRUNC([1]단가대비표!O281,0)</f>
        <v>2120</v>
      </c>
      <c r="H2517" s="5">
        <f t="shared" si="230"/>
        <v>114480</v>
      </c>
      <c r="I2517" s="5">
        <v>0</v>
      </c>
      <c r="J2517" s="5">
        <f t="shared" si="231"/>
        <v>0</v>
      </c>
      <c r="K2517" s="5">
        <v>0</v>
      </c>
      <c r="L2517" s="5">
        <f t="shared" si="232"/>
        <v>0</v>
      </c>
      <c r="M2517" s="5">
        <f t="shared" si="234"/>
        <v>2120</v>
      </c>
      <c r="N2517" s="5">
        <f t="shared" si="234"/>
        <v>114480</v>
      </c>
      <c r="O2517" s="8" t="s">
        <v>20</v>
      </c>
      <c r="T2517">
        <v>0</v>
      </c>
      <c r="AC2517">
        <v>1</v>
      </c>
    </row>
    <row r="2518" spans="1:29" ht="30" customHeight="1" x14ac:dyDescent="0.3">
      <c r="A2518" s="8" t="s">
        <v>2279</v>
      </c>
      <c r="B2518" s="8" t="s">
        <v>306</v>
      </c>
      <c r="C2518" s="8" t="s">
        <v>252</v>
      </c>
      <c r="D2518" s="8" t="s">
        <v>307</v>
      </c>
      <c r="E2518" s="8" t="s">
        <v>179</v>
      </c>
      <c r="F2518" s="9">
        <v>11</v>
      </c>
      <c r="G2518" s="5">
        <f>TRUNC([1]단가대비표!O283,0)</f>
        <v>5030</v>
      </c>
      <c r="H2518" s="5">
        <f t="shared" si="230"/>
        <v>55330</v>
      </c>
      <c r="I2518" s="5">
        <v>0</v>
      </c>
      <c r="J2518" s="5">
        <f t="shared" si="231"/>
        <v>0</v>
      </c>
      <c r="K2518" s="5">
        <v>0</v>
      </c>
      <c r="L2518" s="5">
        <f t="shared" si="232"/>
        <v>0</v>
      </c>
      <c r="M2518" s="5">
        <f t="shared" si="234"/>
        <v>5030</v>
      </c>
      <c r="N2518" s="5">
        <f t="shared" si="234"/>
        <v>55330</v>
      </c>
      <c r="O2518" s="8" t="s">
        <v>20</v>
      </c>
      <c r="T2518">
        <v>0</v>
      </c>
      <c r="AC2518">
        <v>1</v>
      </c>
    </row>
    <row r="2519" spans="1:29" ht="30" customHeight="1" x14ac:dyDescent="0.3">
      <c r="A2519" s="8" t="s">
        <v>2279</v>
      </c>
      <c r="B2519" s="8" t="s">
        <v>310</v>
      </c>
      <c r="C2519" s="8" t="s">
        <v>252</v>
      </c>
      <c r="D2519" s="8" t="s">
        <v>311</v>
      </c>
      <c r="E2519" s="8" t="s">
        <v>179</v>
      </c>
      <c r="F2519" s="9">
        <v>1</v>
      </c>
      <c r="G2519" s="5">
        <f>TRUNC([1]단가대비표!O285,0)</f>
        <v>9720</v>
      </c>
      <c r="H2519" s="5">
        <f t="shared" si="230"/>
        <v>9720</v>
      </c>
      <c r="I2519" s="5">
        <v>0</v>
      </c>
      <c r="J2519" s="5">
        <f t="shared" si="231"/>
        <v>0</v>
      </c>
      <c r="K2519" s="5">
        <v>0</v>
      </c>
      <c r="L2519" s="5">
        <f t="shared" si="232"/>
        <v>0</v>
      </c>
      <c r="M2519" s="5">
        <f t="shared" si="234"/>
        <v>9720</v>
      </c>
      <c r="N2519" s="5">
        <f t="shared" si="234"/>
        <v>9720</v>
      </c>
      <c r="O2519" s="8" t="s">
        <v>20</v>
      </c>
      <c r="T2519">
        <v>0</v>
      </c>
      <c r="AC2519">
        <v>1</v>
      </c>
    </row>
    <row r="2520" spans="1:29" ht="30" customHeight="1" x14ac:dyDescent="0.3">
      <c r="A2520" s="8" t="s">
        <v>2279</v>
      </c>
      <c r="B2520" s="8" t="s">
        <v>312</v>
      </c>
      <c r="C2520" s="8" t="s">
        <v>252</v>
      </c>
      <c r="D2520" s="8" t="s">
        <v>313</v>
      </c>
      <c r="E2520" s="8" t="s">
        <v>179</v>
      </c>
      <c r="F2520" s="9">
        <v>9</v>
      </c>
      <c r="G2520" s="5">
        <f>TRUNC([1]단가대비표!O292,0)</f>
        <v>10374</v>
      </c>
      <c r="H2520" s="5">
        <f t="shared" si="230"/>
        <v>93366</v>
      </c>
      <c r="I2520" s="5">
        <v>0</v>
      </c>
      <c r="J2520" s="5">
        <f t="shared" si="231"/>
        <v>0</v>
      </c>
      <c r="K2520" s="5">
        <v>0</v>
      </c>
      <c r="L2520" s="5">
        <f t="shared" si="232"/>
        <v>0</v>
      </c>
      <c r="M2520" s="5">
        <f t="shared" si="234"/>
        <v>10374</v>
      </c>
      <c r="N2520" s="5">
        <f t="shared" si="234"/>
        <v>93366</v>
      </c>
      <c r="O2520" s="8" t="s">
        <v>20</v>
      </c>
      <c r="T2520">
        <v>0</v>
      </c>
      <c r="AC2520">
        <v>1</v>
      </c>
    </row>
    <row r="2521" spans="1:29" ht="30" customHeight="1" x14ac:dyDescent="0.3">
      <c r="A2521" s="8" t="s">
        <v>2279</v>
      </c>
      <c r="B2521" s="8" t="s">
        <v>320</v>
      </c>
      <c r="C2521" s="8" t="s">
        <v>252</v>
      </c>
      <c r="D2521" s="8" t="s">
        <v>321</v>
      </c>
      <c r="E2521" s="8" t="s">
        <v>179</v>
      </c>
      <c r="F2521" s="9">
        <v>74</v>
      </c>
      <c r="G2521" s="5">
        <f>TRUNC([1]단가대비표!O287,0)</f>
        <v>4920</v>
      </c>
      <c r="H2521" s="5">
        <f t="shared" si="230"/>
        <v>364080</v>
      </c>
      <c r="I2521" s="5">
        <v>0</v>
      </c>
      <c r="J2521" s="5">
        <f t="shared" si="231"/>
        <v>0</v>
      </c>
      <c r="K2521" s="5">
        <v>0</v>
      </c>
      <c r="L2521" s="5">
        <f t="shared" si="232"/>
        <v>0</v>
      </c>
      <c r="M2521" s="5">
        <f t="shared" si="234"/>
        <v>4920</v>
      </c>
      <c r="N2521" s="5">
        <f t="shared" si="234"/>
        <v>364080</v>
      </c>
      <c r="O2521" s="8" t="s">
        <v>20</v>
      </c>
      <c r="T2521">
        <v>0</v>
      </c>
      <c r="AC2521">
        <v>1</v>
      </c>
    </row>
    <row r="2522" spans="1:29" ht="30" customHeight="1" x14ac:dyDescent="0.3">
      <c r="A2522" s="8" t="s">
        <v>2279</v>
      </c>
      <c r="B2522" s="8" t="s">
        <v>324</v>
      </c>
      <c r="C2522" s="8" t="s">
        <v>252</v>
      </c>
      <c r="D2522" s="8" t="s">
        <v>325</v>
      </c>
      <c r="E2522" s="8" t="s">
        <v>179</v>
      </c>
      <c r="F2522" s="9">
        <v>16</v>
      </c>
      <c r="G2522" s="5">
        <f>TRUNC([1]단가대비표!O289,0)</f>
        <v>7910</v>
      </c>
      <c r="H2522" s="5">
        <f t="shared" si="230"/>
        <v>126560</v>
      </c>
      <c r="I2522" s="5">
        <v>0</v>
      </c>
      <c r="J2522" s="5">
        <f t="shared" si="231"/>
        <v>0</v>
      </c>
      <c r="K2522" s="5">
        <v>0</v>
      </c>
      <c r="L2522" s="5">
        <f t="shared" si="232"/>
        <v>0</v>
      </c>
      <c r="M2522" s="5">
        <f t="shared" si="234"/>
        <v>7910</v>
      </c>
      <c r="N2522" s="5">
        <f t="shared" si="234"/>
        <v>126560</v>
      </c>
      <c r="O2522" s="8" t="s">
        <v>20</v>
      </c>
      <c r="T2522">
        <v>0</v>
      </c>
      <c r="AC2522">
        <v>1</v>
      </c>
    </row>
    <row r="2523" spans="1:29" ht="30" customHeight="1" x14ac:dyDescent="0.3">
      <c r="A2523" s="8" t="s">
        <v>2279</v>
      </c>
      <c r="B2523" s="8" t="s">
        <v>328</v>
      </c>
      <c r="C2523" s="8" t="s">
        <v>252</v>
      </c>
      <c r="D2523" s="8" t="s">
        <v>329</v>
      </c>
      <c r="E2523" s="8" t="s">
        <v>179</v>
      </c>
      <c r="F2523" s="9">
        <v>6</v>
      </c>
      <c r="G2523" s="5">
        <f>TRUNC([1]단가대비표!O291,0)</f>
        <v>15070</v>
      </c>
      <c r="H2523" s="5">
        <f t="shared" si="230"/>
        <v>90420</v>
      </c>
      <c r="I2523" s="5">
        <v>0</v>
      </c>
      <c r="J2523" s="5">
        <f t="shared" si="231"/>
        <v>0</v>
      </c>
      <c r="K2523" s="5">
        <v>0</v>
      </c>
      <c r="L2523" s="5">
        <f t="shared" si="232"/>
        <v>0</v>
      </c>
      <c r="M2523" s="5">
        <f t="shared" si="234"/>
        <v>15070</v>
      </c>
      <c r="N2523" s="5">
        <f t="shared" si="234"/>
        <v>90420</v>
      </c>
      <c r="O2523" s="8" t="s">
        <v>20</v>
      </c>
      <c r="T2523">
        <v>0</v>
      </c>
      <c r="AC2523">
        <v>1</v>
      </c>
    </row>
    <row r="2524" spans="1:29" ht="30" customHeight="1" x14ac:dyDescent="0.3">
      <c r="A2524" s="8" t="s">
        <v>2279</v>
      </c>
      <c r="B2524" s="8" t="s">
        <v>332</v>
      </c>
      <c r="C2524" s="8" t="s">
        <v>252</v>
      </c>
      <c r="D2524" s="8" t="s">
        <v>333</v>
      </c>
      <c r="E2524" s="8" t="s">
        <v>179</v>
      </c>
      <c r="F2524" s="9">
        <v>12</v>
      </c>
      <c r="G2524" s="5">
        <f>TRUNC([1]단가대비표!O296,0)</f>
        <v>28970</v>
      </c>
      <c r="H2524" s="5">
        <f t="shared" si="230"/>
        <v>347640</v>
      </c>
      <c r="I2524" s="5">
        <v>0</v>
      </c>
      <c r="J2524" s="5">
        <f t="shared" si="231"/>
        <v>0</v>
      </c>
      <c r="K2524" s="5">
        <v>0</v>
      </c>
      <c r="L2524" s="5">
        <f t="shared" si="232"/>
        <v>0</v>
      </c>
      <c r="M2524" s="5">
        <f t="shared" si="234"/>
        <v>28970</v>
      </c>
      <c r="N2524" s="5">
        <f t="shared" si="234"/>
        <v>347640</v>
      </c>
      <c r="O2524" s="8" t="s">
        <v>20</v>
      </c>
      <c r="T2524">
        <v>0</v>
      </c>
      <c r="AC2524">
        <v>1</v>
      </c>
    </row>
    <row r="2525" spans="1:29" ht="30" customHeight="1" x14ac:dyDescent="0.3">
      <c r="A2525" s="8" t="s">
        <v>2279</v>
      </c>
      <c r="B2525" s="8" t="s">
        <v>336</v>
      </c>
      <c r="C2525" s="8" t="s">
        <v>252</v>
      </c>
      <c r="D2525" s="8" t="s">
        <v>337</v>
      </c>
      <c r="E2525" s="8" t="s">
        <v>179</v>
      </c>
      <c r="F2525" s="9">
        <v>4</v>
      </c>
      <c r="G2525" s="5">
        <f>TRUNC([1]단가대비표!O298,0)</f>
        <v>63300</v>
      </c>
      <c r="H2525" s="5">
        <f t="shared" si="230"/>
        <v>253200</v>
      </c>
      <c r="I2525" s="5">
        <v>0</v>
      </c>
      <c r="J2525" s="5">
        <f t="shared" si="231"/>
        <v>0</v>
      </c>
      <c r="K2525" s="5">
        <v>0</v>
      </c>
      <c r="L2525" s="5">
        <f t="shared" si="232"/>
        <v>0</v>
      </c>
      <c r="M2525" s="5">
        <f t="shared" si="234"/>
        <v>63300</v>
      </c>
      <c r="N2525" s="5">
        <f t="shared" si="234"/>
        <v>253200</v>
      </c>
      <c r="O2525" s="8" t="s">
        <v>20</v>
      </c>
      <c r="T2525">
        <v>0</v>
      </c>
      <c r="AC2525">
        <v>1</v>
      </c>
    </row>
    <row r="2526" spans="1:29" ht="30" customHeight="1" x14ac:dyDescent="0.3">
      <c r="A2526" s="8" t="s">
        <v>2279</v>
      </c>
      <c r="B2526" s="8" t="s">
        <v>614</v>
      </c>
      <c r="C2526" s="8" t="s">
        <v>615</v>
      </c>
      <c r="D2526" s="8" t="s">
        <v>381</v>
      </c>
      <c r="E2526" s="8" t="s">
        <v>179</v>
      </c>
      <c r="F2526" s="9">
        <v>44</v>
      </c>
      <c r="G2526" s="5">
        <f>TRUNC([1]단가대비표!O533,0)</f>
        <v>18400</v>
      </c>
      <c r="H2526" s="5">
        <f t="shared" si="230"/>
        <v>809600</v>
      </c>
      <c r="I2526" s="5">
        <v>0</v>
      </c>
      <c r="J2526" s="5">
        <f t="shared" si="231"/>
        <v>0</v>
      </c>
      <c r="K2526" s="5">
        <v>0</v>
      </c>
      <c r="L2526" s="5">
        <f t="shared" si="232"/>
        <v>0</v>
      </c>
      <c r="M2526" s="5">
        <f t="shared" si="234"/>
        <v>18400</v>
      </c>
      <c r="N2526" s="5">
        <f t="shared" si="234"/>
        <v>809600</v>
      </c>
      <c r="O2526" s="8" t="s">
        <v>20</v>
      </c>
      <c r="T2526">
        <v>0</v>
      </c>
      <c r="AC2526">
        <v>1</v>
      </c>
    </row>
    <row r="2527" spans="1:29" ht="30" customHeight="1" x14ac:dyDescent="0.3">
      <c r="A2527" s="8" t="s">
        <v>2279</v>
      </c>
      <c r="B2527" s="8" t="s">
        <v>380</v>
      </c>
      <c r="C2527" s="8" t="s">
        <v>374</v>
      </c>
      <c r="D2527" s="8" t="s">
        <v>381</v>
      </c>
      <c r="E2527" s="8" t="s">
        <v>179</v>
      </c>
      <c r="F2527" s="9">
        <v>2</v>
      </c>
      <c r="G2527" s="5">
        <f>TRUNC([1]단가대비표!O539,0)</f>
        <v>48350</v>
      </c>
      <c r="H2527" s="5">
        <f t="shared" si="230"/>
        <v>96700</v>
      </c>
      <c r="I2527" s="5">
        <v>0</v>
      </c>
      <c r="J2527" s="5">
        <f t="shared" si="231"/>
        <v>0</v>
      </c>
      <c r="K2527" s="5">
        <v>0</v>
      </c>
      <c r="L2527" s="5">
        <f t="shared" si="232"/>
        <v>0</v>
      </c>
      <c r="M2527" s="5">
        <f t="shared" si="234"/>
        <v>48350</v>
      </c>
      <c r="N2527" s="5">
        <f t="shared" si="234"/>
        <v>96700</v>
      </c>
      <c r="O2527" s="8" t="s">
        <v>20</v>
      </c>
      <c r="T2527">
        <v>0</v>
      </c>
      <c r="AC2527">
        <v>1</v>
      </c>
    </row>
    <row r="2528" spans="1:29" ht="30" customHeight="1" x14ac:dyDescent="0.3">
      <c r="A2528" s="8" t="s">
        <v>2279</v>
      </c>
      <c r="B2528" s="8" t="s">
        <v>384</v>
      </c>
      <c r="C2528" s="8" t="s">
        <v>374</v>
      </c>
      <c r="D2528" s="8" t="s">
        <v>385</v>
      </c>
      <c r="E2528" s="8" t="s">
        <v>179</v>
      </c>
      <c r="F2528" s="9">
        <v>6</v>
      </c>
      <c r="G2528" s="5">
        <f>TRUNC([1]단가대비표!O541,0)</f>
        <v>61200</v>
      </c>
      <c r="H2528" s="5">
        <f t="shared" si="230"/>
        <v>367200</v>
      </c>
      <c r="I2528" s="5">
        <v>0</v>
      </c>
      <c r="J2528" s="5">
        <f t="shared" si="231"/>
        <v>0</v>
      </c>
      <c r="K2528" s="5">
        <v>0</v>
      </c>
      <c r="L2528" s="5">
        <f t="shared" si="232"/>
        <v>0</v>
      </c>
      <c r="M2528" s="5">
        <f t="shared" si="234"/>
        <v>61200</v>
      </c>
      <c r="N2528" s="5">
        <f t="shared" si="234"/>
        <v>367200</v>
      </c>
      <c r="O2528" s="8" t="s">
        <v>20</v>
      </c>
      <c r="T2528">
        <v>0</v>
      </c>
      <c r="AC2528">
        <v>1</v>
      </c>
    </row>
    <row r="2529" spans="1:29" ht="30" customHeight="1" x14ac:dyDescent="0.3">
      <c r="A2529" s="8" t="s">
        <v>2279</v>
      </c>
      <c r="B2529" s="8" t="s">
        <v>388</v>
      </c>
      <c r="C2529" s="8" t="s">
        <v>374</v>
      </c>
      <c r="D2529" s="8" t="s">
        <v>389</v>
      </c>
      <c r="E2529" s="8" t="s">
        <v>179</v>
      </c>
      <c r="F2529" s="9">
        <v>2</v>
      </c>
      <c r="G2529" s="5">
        <f>TRUNC([1]단가대비표!O543,0)</f>
        <v>81600</v>
      </c>
      <c r="H2529" s="5">
        <f t="shared" si="230"/>
        <v>163200</v>
      </c>
      <c r="I2529" s="5">
        <v>0</v>
      </c>
      <c r="J2529" s="5">
        <f t="shared" si="231"/>
        <v>0</v>
      </c>
      <c r="K2529" s="5">
        <v>0</v>
      </c>
      <c r="L2529" s="5">
        <f t="shared" si="232"/>
        <v>0</v>
      </c>
      <c r="M2529" s="5">
        <f t="shared" si="234"/>
        <v>81600</v>
      </c>
      <c r="N2529" s="5">
        <f t="shared" si="234"/>
        <v>163200</v>
      </c>
      <c r="O2529" s="8" t="s">
        <v>20</v>
      </c>
      <c r="T2529">
        <v>0</v>
      </c>
      <c r="AC2529">
        <v>1</v>
      </c>
    </row>
    <row r="2530" spans="1:29" ht="30" customHeight="1" x14ac:dyDescent="0.3">
      <c r="A2530" s="8" t="s">
        <v>2279</v>
      </c>
      <c r="B2530" s="8" t="s">
        <v>2280</v>
      </c>
      <c r="C2530" s="8" t="s">
        <v>617</v>
      </c>
      <c r="D2530" s="8" t="s">
        <v>385</v>
      </c>
      <c r="E2530" s="8" t="s">
        <v>179</v>
      </c>
      <c r="F2530" s="9">
        <v>3</v>
      </c>
      <c r="G2530" s="5">
        <f>TRUNC([1]단가대비표!O516,0)</f>
        <v>56900</v>
      </c>
      <c r="H2530" s="5">
        <f t="shared" si="230"/>
        <v>170700</v>
      </c>
      <c r="I2530" s="5">
        <v>0</v>
      </c>
      <c r="J2530" s="5">
        <f t="shared" si="231"/>
        <v>0</v>
      </c>
      <c r="K2530" s="5">
        <v>0</v>
      </c>
      <c r="L2530" s="5">
        <f t="shared" si="232"/>
        <v>0</v>
      </c>
      <c r="M2530" s="5">
        <f t="shared" si="234"/>
        <v>56900</v>
      </c>
      <c r="N2530" s="5">
        <f t="shared" si="234"/>
        <v>170700</v>
      </c>
      <c r="O2530" s="8" t="s">
        <v>20</v>
      </c>
      <c r="T2530">
        <v>0</v>
      </c>
      <c r="AC2530">
        <v>1</v>
      </c>
    </row>
    <row r="2531" spans="1:29" ht="30" customHeight="1" x14ac:dyDescent="0.3">
      <c r="A2531" s="8" t="s">
        <v>2279</v>
      </c>
      <c r="B2531" s="8" t="s">
        <v>624</v>
      </c>
      <c r="C2531" s="8" t="s">
        <v>617</v>
      </c>
      <c r="D2531" s="8" t="s">
        <v>389</v>
      </c>
      <c r="E2531" s="8" t="s">
        <v>179</v>
      </c>
      <c r="F2531" s="9">
        <v>1</v>
      </c>
      <c r="G2531" s="5">
        <f>TRUNC([1]단가대비표!O518,0)</f>
        <v>77300</v>
      </c>
      <c r="H2531" s="5">
        <f t="shared" si="230"/>
        <v>77300</v>
      </c>
      <c r="I2531" s="5">
        <v>0</v>
      </c>
      <c r="J2531" s="5">
        <f t="shared" si="231"/>
        <v>0</v>
      </c>
      <c r="K2531" s="5">
        <v>0</v>
      </c>
      <c r="L2531" s="5">
        <f t="shared" si="232"/>
        <v>0</v>
      </c>
      <c r="M2531" s="5">
        <f t="shared" si="234"/>
        <v>77300</v>
      </c>
      <c r="N2531" s="5">
        <f t="shared" si="234"/>
        <v>77300</v>
      </c>
      <c r="O2531" s="8" t="s">
        <v>20</v>
      </c>
      <c r="T2531">
        <v>0</v>
      </c>
      <c r="AC2531">
        <v>1</v>
      </c>
    </row>
    <row r="2532" spans="1:29" ht="30" customHeight="1" x14ac:dyDescent="0.3">
      <c r="A2532" s="8" t="s">
        <v>2279</v>
      </c>
      <c r="B2532" s="8" t="s">
        <v>2281</v>
      </c>
      <c r="C2532" s="8" t="s">
        <v>412</v>
      </c>
      <c r="D2532" s="8" t="s">
        <v>385</v>
      </c>
      <c r="E2532" s="8" t="s">
        <v>179</v>
      </c>
      <c r="F2532" s="9">
        <v>3</v>
      </c>
      <c r="G2532" s="5">
        <f>TRUNC([1]단가대비표!O157,0)</f>
        <v>62260</v>
      </c>
      <c r="H2532" s="5">
        <f t="shared" si="230"/>
        <v>186780</v>
      </c>
      <c r="I2532" s="5">
        <v>0</v>
      </c>
      <c r="J2532" s="5">
        <f t="shared" si="231"/>
        <v>0</v>
      </c>
      <c r="K2532" s="5">
        <v>0</v>
      </c>
      <c r="L2532" s="5">
        <f t="shared" si="232"/>
        <v>0</v>
      </c>
      <c r="M2532" s="5">
        <f t="shared" si="234"/>
        <v>62260</v>
      </c>
      <c r="N2532" s="5">
        <f t="shared" si="234"/>
        <v>186780</v>
      </c>
      <c r="O2532" s="8" t="s">
        <v>20</v>
      </c>
      <c r="T2532">
        <v>0</v>
      </c>
      <c r="AC2532">
        <v>1</v>
      </c>
    </row>
    <row r="2533" spans="1:29" ht="30" customHeight="1" x14ac:dyDescent="0.3">
      <c r="A2533" s="8" t="s">
        <v>2279</v>
      </c>
      <c r="B2533" s="8" t="s">
        <v>633</v>
      </c>
      <c r="C2533" s="8" t="s">
        <v>412</v>
      </c>
      <c r="D2533" s="8" t="s">
        <v>389</v>
      </c>
      <c r="E2533" s="8" t="s">
        <v>179</v>
      </c>
      <c r="F2533" s="9">
        <v>1</v>
      </c>
      <c r="G2533" s="5">
        <f>TRUNC([1]단가대비표!O159,0)</f>
        <v>77340</v>
      </c>
      <c r="H2533" s="5">
        <f t="shared" si="230"/>
        <v>77340</v>
      </c>
      <c r="I2533" s="5">
        <v>0</v>
      </c>
      <c r="J2533" s="5">
        <f t="shared" si="231"/>
        <v>0</v>
      </c>
      <c r="K2533" s="5">
        <v>0</v>
      </c>
      <c r="L2533" s="5">
        <f t="shared" si="232"/>
        <v>0</v>
      </c>
      <c r="M2533" s="5">
        <f t="shared" si="234"/>
        <v>77340</v>
      </c>
      <c r="N2533" s="5">
        <f t="shared" si="234"/>
        <v>77340</v>
      </c>
      <c r="O2533" s="8" t="s">
        <v>20</v>
      </c>
      <c r="T2533">
        <v>0</v>
      </c>
      <c r="AC2533">
        <v>1</v>
      </c>
    </row>
    <row r="2534" spans="1:29" ht="30" customHeight="1" x14ac:dyDescent="0.3">
      <c r="A2534" s="8" t="s">
        <v>2279</v>
      </c>
      <c r="B2534" s="8" t="s">
        <v>634</v>
      </c>
      <c r="C2534" s="8" t="s">
        <v>635</v>
      </c>
      <c r="D2534" s="8" t="s">
        <v>484</v>
      </c>
      <c r="E2534" s="8" t="s">
        <v>179</v>
      </c>
      <c r="F2534" s="9">
        <v>22</v>
      </c>
      <c r="G2534" s="5">
        <f>TRUNC([1]단가대비표!O519,0)</f>
        <v>178500</v>
      </c>
      <c r="H2534" s="5">
        <f t="shared" si="230"/>
        <v>3927000</v>
      </c>
      <c r="I2534" s="5">
        <v>0</v>
      </c>
      <c r="J2534" s="5">
        <f t="shared" si="231"/>
        <v>0</v>
      </c>
      <c r="K2534" s="5">
        <v>0</v>
      </c>
      <c r="L2534" s="5">
        <f t="shared" si="232"/>
        <v>0</v>
      </c>
      <c r="M2534" s="5">
        <f t="shared" si="234"/>
        <v>178500</v>
      </c>
      <c r="N2534" s="5">
        <f t="shared" si="234"/>
        <v>3927000</v>
      </c>
      <c r="O2534" s="8" t="s">
        <v>20</v>
      </c>
      <c r="T2534">
        <v>0</v>
      </c>
      <c r="AC2534">
        <v>1</v>
      </c>
    </row>
    <row r="2535" spans="1:29" ht="30" customHeight="1" x14ac:dyDescent="0.3">
      <c r="A2535" s="8" t="s">
        <v>2279</v>
      </c>
      <c r="B2535" s="8" t="s">
        <v>2282</v>
      </c>
      <c r="C2535" s="8" t="s">
        <v>637</v>
      </c>
      <c r="D2535" s="8" t="s">
        <v>487</v>
      </c>
      <c r="E2535" s="8" t="s">
        <v>179</v>
      </c>
      <c r="F2535" s="9">
        <v>3</v>
      </c>
      <c r="G2535" s="5">
        <f>TRUNC([1]단가대비표!O520,0)</f>
        <v>1202000</v>
      </c>
      <c r="H2535" s="5">
        <f t="shared" si="230"/>
        <v>3606000</v>
      </c>
      <c r="I2535" s="5">
        <v>0</v>
      </c>
      <c r="J2535" s="5">
        <f t="shared" si="231"/>
        <v>0</v>
      </c>
      <c r="K2535" s="5">
        <v>0</v>
      </c>
      <c r="L2535" s="5">
        <f t="shared" si="232"/>
        <v>0</v>
      </c>
      <c r="M2535" s="5">
        <f t="shared" si="234"/>
        <v>1202000</v>
      </c>
      <c r="N2535" s="5">
        <f t="shared" si="234"/>
        <v>3606000</v>
      </c>
      <c r="O2535" s="8" t="s">
        <v>20</v>
      </c>
      <c r="T2535">
        <v>0</v>
      </c>
      <c r="AC2535">
        <v>1</v>
      </c>
    </row>
    <row r="2536" spans="1:29" ht="30" customHeight="1" x14ac:dyDescent="0.3">
      <c r="A2536" s="8" t="s">
        <v>2279</v>
      </c>
      <c r="B2536" s="8" t="s">
        <v>638</v>
      </c>
      <c r="C2536" s="8" t="s">
        <v>637</v>
      </c>
      <c r="D2536" s="8" t="s">
        <v>346</v>
      </c>
      <c r="E2536" s="8" t="s">
        <v>179</v>
      </c>
      <c r="F2536" s="9">
        <v>1</v>
      </c>
      <c r="G2536" s="5">
        <f>TRUNC([1]단가대비표!O522,0)</f>
        <v>1761000</v>
      </c>
      <c r="H2536" s="5">
        <f t="shared" si="230"/>
        <v>1761000</v>
      </c>
      <c r="I2536" s="5">
        <v>0</v>
      </c>
      <c r="J2536" s="5">
        <f t="shared" si="231"/>
        <v>0</v>
      </c>
      <c r="K2536" s="5">
        <v>0</v>
      </c>
      <c r="L2536" s="5">
        <f t="shared" si="232"/>
        <v>0</v>
      </c>
      <c r="M2536" s="5">
        <f t="shared" si="234"/>
        <v>1761000</v>
      </c>
      <c r="N2536" s="5">
        <f t="shared" si="234"/>
        <v>1761000</v>
      </c>
      <c r="O2536" s="8" t="s">
        <v>20</v>
      </c>
      <c r="T2536">
        <v>0</v>
      </c>
      <c r="AC2536">
        <v>1</v>
      </c>
    </row>
    <row r="2537" spans="1:29" ht="30" customHeight="1" x14ac:dyDescent="0.3">
      <c r="A2537" s="8" t="s">
        <v>2279</v>
      </c>
      <c r="B2537" s="8" t="s">
        <v>451</v>
      </c>
      <c r="C2537" s="8" t="s">
        <v>452</v>
      </c>
      <c r="D2537" s="8" t="s">
        <v>453</v>
      </c>
      <c r="E2537" s="8" t="s">
        <v>428</v>
      </c>
      <c r="F2537" s="9">
        <v>68</v>
      </c>
      <c r="G2537" s="5">
        <f>TRUNC([1]단가대비표!O723,0)</f>
        <v>220</v>
      </c>
      <c r="H2537" s="5">
        <f t="shared" si="230"/>
        <v>14960</v>
      </c>
      <c r="I2537" s="5">
        <v>10733</v>
      </c>
      <c r="J2537" s="5">
        <f t="shared" si="231"/>
        <v>729844</v>
      </c>
      <c r="K2537" s="5">
        <v>0</v>
      </c>
      <c r="L2537" s="5">
        <f t="shared" si="232"/>
        <v>0</v>
      </c>
      <c r="M2537" s="5">
        <f t="shared" si="234"/>
        <v>10953</v>
      </c>
      <c r="N2537" s="5">
        <f t="shared" si="234"/>
        <v>744804</v>
      </c>
      <c r="O2537" s="8" t="s">
        <v>429</v>
      </c>
      <c r="T2537">
        <v>0</v>
      </c>
      <c r="AC2537">
        <v>1</v>
      </c>
    </row>
    <row r="2538" spans="1:29" ht="30" customHeight="1" x14ac:dyDescent="0.3">
      <c r="A2538" s="8" t="s">
        <v>2279</v>
      </c>
      <c r="B2538" s="8" t="s">
        <v>454</v>
      </c>
      <c r="C2538" s="8" t="s">
        <v>452</v>
      </c>
      <c r="D2538" s="8" t="s">
        <v>427</v>
      </c>
      <c r="E2538" s="8" t="s">
        <v>428</v>
      </c>
      <c r="F2538" s="9">
        <v>20</v>
      </c>
      <c r="G2538" s="5">
        <f>TRUNC([1]단가대비표!O724,0)</f>
        <v>325</v>
      </c>
      <c r="H2538" s="5">
        <f t="shared" si="230"/>
        <v>6500</v>
      </c>
      <c r="I2538" s="5">
        <v>15886</v>
      </c>
      <c r="J2538" s="5">
        <f t="shared" si="231"/>
        <v>317720</v>
      </c>
      <c r="K2538" s="5">
        <v>0</v>
      </c>
      <c r="L2538" s="5">
        <f t="shared" si="232"/>
        <v>0</v>
      </c>
      <c r="M2538" s="5">
        <f t="shared" si="234"/>
        <v>16211</v>
      </c>
      <c r="N2538" s="5">
        <f t="shared" si="234"/>
        <v>324220</v>
      </c>
      <c r="O2538" s="8" t="s">
        <v>429</v>
      </c>
      <c r="T2538">
        <v>0</v>
      </c>
      <c r="AC2538">
        <v>1</v>
      </c>
    </row>
    <row r="2539" spans="1:29" ht="30" customHeight="1" x14ac:dyDescent="0.3">
      <c r="A2539" s="8" t="s">
        <v>2279</v>
      </c>
      <c r="B2539" s="8" t="s">
        <v>645</v>
      </c>
      <c r="C2539" s="8" t="s">
        <v>643</v>
      </c>
      <c r="D2539" s="8" t="s">
        <v>640</v>
      </c>
      <c r="E2539" s="8" t="s">
        <v>185</v>
      </c>
      <c r="F2539" s="9">
        <v>2</v>
      </c>
      <c r="G2539" s="5" t="e">
        <f>'[2].xls].xls].xls].xls].xls].xls].xls].'!E73</f>
        <v>#REF!</v>
      </c>
      <c r="H2539" s="5" t="e">
        <f t="shared" ref="H2539:H2570" si="235">TRUNC(F2539*G2539,0)</f>
        <v>#REF!</v>
      </c>
      <c r="I2539" s="5" t="e">
        <f>'[2].xls].xls].xls].xls].xls].xls].xls].'!F73</f>
        <v>#REF!</v>
      </c>
      <c r="J2539" s="5" t="e">
        <f t="shared" ref="J2539:J2570" si="236">TRUNC(F2539*I2539,0)</f>
        <v>#REF!</v>
      </c>
      <c r="K2539" s="5" t="e">
        <f>'[2].xls].xls].xls].xls].xls].xls].xls].'!G73</f>
        <v>#REF!</v>
      </c>
      <c r="L2539" s="5" t="e">
        <f t="shared" ref="L2539:L2570" si="237">TRUNC(F2539*K2539,0)</f>
        <v>#REF!</v>
      </c>
      <c r="M2539" s="5" t="e">
        <f t="shared" ref="M2539:N2575" si="238">G2539+I2539+K2539</f>
        <v>#REF!</v>
      </c>
      <c r="N2539" s="5" t="e">
        <f t="shared" si="238"/>
        <v>#REF!</v>
      </c>
      <c r="O2539" s="8" t="s">
        <v>645</v>
      </c>
      <c r="T2539">
        <v>0</v>
      </c>
      <c r="AC2539">
        <v>1</v>
      </c>
    </row>
    <row r="2540" spans="1:29" ht="30" customHeight="1" x14ac:dyDescent="0.3">
      <c r="A2540" s="8" t="s">
        <v>2279</v>
      </c>
      <c r="B2540" s="8" t="s">
        <v>647</v>
      </c>
      <c r="C2540" s="8" t="s">
        <v>648</v>
      </c>
      <c r="D2540" s="8" t="s">
        <v>20</v>
      </c>
      <c r="E2540" s="8" t="s">
        <v>185</v>
      </c>
      <c r="F2540" s="9">
        <v>2</v>
      </c>
      <c r="G2540" s="5" t="e">
        <f>'[2].xls].xls].xls].xls].xls].xls].xls].'!E142</f>
        <v>#REF!</v>
      </c>
      <c r="H2540" s="5" t="e">
        <f t="shared" si="235"/>
        <v>#REF!</v>
      </c>
      <c r="I2540" s="5" t="e">
        <f>'[2].xls].xls].xls].xls].xls].xls].xls].'!F142</f>
        <v>#REF!</v>
      </c>
      <c r="J2540" s="5" t="e">
        <f t="shared" si="236"/>
        <v>#REF!</v>
      </c>
      <c r="K2540" s="5" t="e">
        <f>'[2].xls].xls].xls].xls].xls].xls].xls].'!G142</f>
        <v>#REF!</v>
      </c>
      <c r="L2540" s="5" t="e">
        <f t="shared" si="237"/>
        <v>#REF!</v>
      </c>
      <c r="M2540" s="5" t="e">
        <f t="shared" si="238"/>
        <v>#REF!</v>
      </c>
      <c r="N2540" s="5" t="e">
        <f t="shared" si="238"/>
        <v>#REF!</v>
      </c>
      <c r="O2540" s="8" t="s">
        <v>647</v>
      </c>
      <c r="T2540">
        <v>0</v>
      </c>
      <c r="AC2540">
        <v>1</v>
      </c>
    </row>
    <row r="2541" spans="1:29" ht="30" customHeight="1" x14ac:dyDescent="0.3">
      <c r="A2541" s="8" t="s">
        <v>2279</v>
      </c>
      <c r="B2541" s="8" t="s">
        <v>480</v>
      </c>
      <c r="C2541" s="8" t="s">
        <v>481</v>
      </c>
      <c r="D2541" s="8" t="s">
        <v>184</v>
      </c>
      <c r="E2541" s="8" t="s">
        <v>185</v>
      </c>
      <c r="F2541" s="9">
        <v>2</v>
      </c>
      <c r="G2541" s="5" t="e">
        <f>'[2].xls].xls].xls].xls].xls].xls].xls].'!E115</f>
        <v>#REF!</v>
      </c>
      <c r="H2541" s="5" t="e">
        <f t="shared" si="235"/>
        <v>#REF!</v>
      </c>
      <c r="I2541" s="5" t="e">
        <f>'[2].xls].xls].xls].xls].xls].xls].xls].'!F115</f>
        <v>#REF!</v>
      </c>
      <c r="J2541" s="5" t="e">
        <f t="shared" si="236"/>
        <v>#REF!</v>
      </c>
      <c r="K2541" s="5" t="e">
        <f>'[2].xls].xls].xls].xls].xls].xls].xls].'!G115</f>
        <v>#REF!</v>
      </c>
      <c r="L2541" s="5" t="e">
        <f t="shared" si="237"/>
        <v>#REF!</v>
      </c>
      <c r="M2541" s="5" t="e">
        <f t="shared" si="238"/>
        <v>#REF!</v>
      </c>
      <c r="N2541" s="5" t="e">
        <f t="shared" si="238"/>
        <v>#REF!</v>
      </c>
      <c r="O2541" s="8" t="s">
        <v>480</v>
      </c>
      <c r="T2541">
        <v>0</v>
      </c>
      <c r="AC2541">
        <v>1</v>
      </c>
    </row>
    <row r="2542" spans="1:29" ht="30" customHeight="1" x14ac:dyDescent="0.3">
      <c r="A2542" s="8" t="s">
        <v>2279</v>
      </c>
      <c r="B2542" s="8" t="s">
        <v>482</v>
      </c>
      <c r="C2542" s="8" t="s">
        <v>483</v>
      </c>
      <c r="D2542" s="8" t="s">
        <v>484</v>
      </c>
      <c r="E2542" s="8" t="s">
        <v>185</v>
      </c>
      <c r="F2542" s="9">
        <v>606</v>
      </c>
      <c r="G2542" s="5" t="e">
        <f>'[2].xls].xls].xls].xls].xls].xls].xls].'!E48</f>
        <v>#REF!</v>
      </c>
      <c r="H2542" s="5" t="e">
        <f t="shared" si="235"/>
        <v>#REF!</v>
      </c>
      <c r="I2542" s="5" t="e">
        <f>'[2].xls].xls].xls].xls].xls].xls].xls].'!F48</f>
        <v>#REF!</v>
      </c>
      <c r="J2542" s="5" t="e">
        <f t="shared" si="236"/>
        <v>#REF!</v>
      </c>
      <c r="K2542" s="5" t="e">
        <f>'[2].xls].xls].xls].xls].xls].xls].xls].'!G48</f>
        <v>#REF!</v>
      </c>
      <c r="L2542" s="5" t="e">
        <f t="shared" si="237"/>
        <v>#REF!</v>
      </c>
      <c r="M2542" s="5" t="e">
        <f t="shared" si="238"/>
        <v>#REF!</v>
      </c>
      <c r="N2542" s="5" t="e">
        <f t="shared" si="238"/>
        <v>#REF!</v>
      </c>
      <c r="O2542" s="8" t="s">
        <v>482</v>
      </c>
      <c r="T2542">
        <v>0</v>
      </c>
      <c r="AC2542">
        <v>1</v>
      </c>
    </row>
    <row r="2543" spans="1:29" ht="30" customHeight="1" x14ac:dyDescent="0.3">
      <c r="A2543" s="8" t="s">
        <v>2279</v>
      </c>
      <c r="B2543" s="8" t="s">
        <v>649</v>
      </c>
      <c r="C2543" s="8" t="s">
        <v>494</v>
      </c>
      <c r="D2543" s="8" t="s">
        <v>650</v>
      </c>
      <c r="E2543" s="8" t="s">
        <v>179</v>
      </c>
      <c r="F2543" s="9">
        <v>14</v>
      </c>
      <c r="G2543" s="5">
        <f>TRUNC([1]단가대비표!O559,0)</f>
        <v>370</v>
      </c>
      <c r="H2543" s="5">
        <f t="shared" si="235"/>
        <v>5180</v>
      </c>
      <c r="I2543" s="5">
        <v>0</v>
      </c>
      <c r="J2543" s="5">
        <f t="shared" si="236"/>
        <v>0</v>
      </c>
      <c r="K2543" s="5">
        <v>0</v>
      </c>
      <c r="L2543" s="5">
        <f t="shared" si="237"/>
        <v>0</v>
      </c>
      <c r="M2543" s="5">
        <f t="shared" si="238"/>
        <v>370</v>
      </c>
      <c r="N2543" s="5">
        <f t="shared" si="238"/>
        <v>5180</v>
      </c>
      <c r="O2543" s="8" t="s">
        <v>20</v>
      </c>
      <c r="T2543">
        <v>0</v>
      </c>
      <c r="AC2543">
        <v>1</v>
      </c>
    </row>
    <row r="2544" spans="1:29" ht="30" customHeight="1" x14ac:dyDescent="0.3">
      <c r="A2544" s="8" t="s">
        <v>2279</v>
      </c>
      <c r="B2544" s="8" t="s">
        <v>493</v>
      </c>
      <c r="C2544" s="8" t="s">
        <v>494</v>
      </c>
      <c r="D2544" s="8" t="s">
        <v>495</v>
      </c>
      <c r="E2544" s="8" t="s">
        <v>179</v>
      </c>
      <c r="F2544" s="9">
        <v>9</v>
      </c>
      <c r="G2544" s="5">
        <f>TRUNC([1]단가대비표!O560,0)</f>
        <v>410</v>
      </c>
      <c r="H2544" s="5">
        <f t="shared" si="235"/>
        <v>3690</v>
      </c>
      <c r="I2544" s="5">
        <v>0</v>
      </c>
      <c r="J2544" s="5">
        <f t="shared" si="236"/>
        <v>0</v>
      </c>
      <c r="K2544" s="5">
        <v>0</v>
      </c>
      <c r="L2544" s="5">
        <f t="shared" si="237"/>
        <v>0</v>
      </c>
      <c r="M2544" s="5">
        <f t="shared" si="238"/>
        <v>410</v>
      </c>
      <c r="N2544" s="5">
        <f t="shared" si="238"/>
        <v>3690</v>
      </c>
      <c r="O2544" s="8" t="s">
        <v>20</v>
      </c>
      <c r="T2544">
        <v>0</v>
      </c>
      <c r="AC2544">
        <v>1</v>
      </c>
    </row>
    <row r="2545" spans="1:29" ht="30" customHeight="1" x14ac:dyDescent="0.3">
      <c r="A2545" s="8" t="s">
        <v>2279</v>
      </c>
      <c r="B2545" s="8" t="s">
        <v>496</v>
      </c>
      <c r="C2545" s="8" t="s">
        <v>494</v>
      </c>
      <c r="D2545" s="8" t="s">
        <v>497</v>
      </c>
      <c r="E2545" s="8" t="s">
        <v>179</v>
      </c>
      <c r="F2545" s="9">
        <v>2</v>
      </c>
      <c r="G2545" s="5">
        <f>TRUNC([1]단가대비표!O561,0)</f>
        <v>450</v>
      </c>
      <c r="H2545" s="5">
        <f t="shared" si="235"/>
        <v>900</v>
      </c>
      <c r="I2545" s="5">
        <v>0</v>
      </c>
      <c r="J2545" s="5">
        <f t="shared" si="236"/>
        <v>0</v>
      </c>
      <c r="K2545" s="5">
        <v>0</v>
      </c>
      <c r="L2545" s="5">
        <f t="shared" si="237"/>
        <v>0</v>
      </c>
      <c r="M2545" s="5">
        <f t="shared" si="238"/>
        <v>450</v>
      </c>
      <c r="N2545" s="5">
        <f t="shared" si="238"/>
        <v>900</v>
      </c>
      <c r="O2545" s="8" t="s">
        <v>20</v>
      </c>
      <c r="T2545">
        <v>0</v>
      </c>
      <c r="AC2545">
        <v>1</v>
      </c>
    </row>
    <row r="2546" spans="1:29" ht="30" customHeight="1" x14ac:dyDescent="0.3">
      <c r="A2546" s="8" t="s">
        <v>2279</v>
      </c>
      <c r="B2546" s="8" t="s">
        <v>498</v>
      </c>
      <c r="C2546" s="8" t="s">
        <v>494</v>
      </c>
      <c r="D2546" s="8" t="s">
        <v>499</v>
      </c>
      <c r="E2546" s="8" t="s">
        <v>179</v>
      </c>
      <c r="F2546" s="9">
        <v>2</v>
      </c>
      <c r="G2546" s="5">
        <f>TRUNC([1]단가대비표!O562,0)</f>
        <v>520</v>
      </c>
      <c r="H2546" s="5">
        <f t="shared" si="235"/>
        <v>1040</v>
      </c>
      <c r="I2546" s="5">
        <v>0</v>
      </c>
      <c r="J2546" s="5">
        <f t="shared" si="236"/>
        <v>0</v>
      </c>
      <c r="K2546" s="5">
        <v>0</v>
      </c>
      <c r="L2546" s="5">
        <f t="shared" si="237"/>
        <v>0</v>
      </c>
      <c r="M2546" s="5">
        <f t="shared" si="238"/>
        <v>520</v>
      </c>
      <c r="N2546" s="5">
        <f t="shared" si="238"/>
        <v>1040</v>
      </c>
      <c r="O2546" s="8" t="s">
        <v>20</v>
      </c>
      <c r="T2546">
        <v>0</v>
      </c>
      <c r="AC2546">
        <v>1</v>
      </c>
    </row>
    <row r="2547" spans="1:29" ht="30" customHeight="1" x14ac:dyDescent="0.3">
      <c r="A2547" s="8" t="s">
        <v>2279</v>
      </c>
      <c r="B2547" s="8" t="s">
        <v>500</v>
      </c>
      <c r="C2547" s="8" t="s">
        <v>494</v>
      </c>
      <c r="D2547" s="8" t="s">
        <v>501</v>
      </c>
      <c r="E2547" s="8" t="s">
        <v>179</v>
      </c>
      <c r="F2547" s="9">
        <v>2</v>
      </c>
      <c r="G2547" s="5">
        <f>TRUNC([1]단가대비표!O563,0)</f>
        <v>630</v>
      </c>
      <c r="H2547" s="5">
        <f t="shared" si="235"/>
        <v>1260</v>
      </c>
      <c r="I2547" s="5">
        <v>0</v>
      </c>
      <c r="J2547" s="5">
        <f t="shared" si="236"/>
        <v>0</v>
      </c>
      <c r="K2547" s="5">
        <v>0</v>
      </c>
      <c r="L2547" s="5">
        <f t="shared" si="237"/>
        <v>0</v>
      </c>
      <c r="M2547" s="5">
        <f t="shared" si="238"/>
        <v>630</v>
      </c>
      <c r="N2547" s="5">
        <f t="shared" si="238"/>
        <v>1260</v>
      </c>
      <c r="O2547" s="8" t="s">
        <v>20</v>
      </c>
      <c r="T2547">
        <v>0</v>
      </c>
      <c r="AC2547">
        <v>1</v>
      </c>
    </row>
    <row r="2548" spans="1:29" ht="30" customHeight="1" x14ac:dyDescent="0.3">
      <c r="A2548" s="8" t="s">
        <v>2279</v>
      </c>
      <c r="B2548" s="8" t="s">
        <v>659</v>
      </c>
      <c r="C2548" s="8" t="s">
        <v>507</v>
      </c>
      <c r="D2548" s="8" t="s">
        <v>660</v>
      </c>
      <c r="E2548" s="8" t="s">
        <v>179</v>
      </c>
      <c r="F2548" s="9">
        <v>2</v>
      </c>
      <c r="G2548" s="5">
        <f>TRUNC([1]단가대비표!O167,0)</f>
        <v>26380</v>
      </c>
      <c r="H2548" s="5">
        <f t="shared" si="235"/>
        <v>52760</v>
      </c>
      <c r="I2548" s="5">
        <v>0</v>
      </c>
      <c r="J2548" s="5">
        <f t="shared" si="236"/>
        <v>0</v>
      </c>
      <c r="K2548" s="5">
        <v>0</v>
      </c>
      <c r="L2548" s="5">
        <f t="shared" si="237"/>
        <v>0</v>
      </c>
      <c r="M2548" s="5">
        <f t="shared" si="238"/>
        <v>26380</v>
      </c>
      <c r="N2548" s="5">
        <f t="shared" si="238"/>
        <v>52760</v>
      </c>
      <c r="O2548" s="8" t="s">
        <v>20</v>
      </c>
      <c r="T2548">
        <v>0</v>
      </c>
      <c r="AC2548">
        <v>1</v>
      </c>
    </row>
    <row r="2549" spans="1:29" ht="30" customHeight="1" x14ac:dyDescent="0.3">
      <c r="A2549" s="8" t="s">
        <v>2279</v>
      </c>
      <c r="B2549" s="8" t="s">
        <v>669</v>
      </c>
      <c r="C2549" s="8" t="s">
        <v>507</v>
      </c>
      <c r="D2549" s="8" t="s">
        <v>670</v>
      </c>
      <c r="E2549" s="8" t="s">
        <v>179</v>
      </c>
      <c r="F2549" s="9">
        <v>4</v>
      </c>
      <c r="G2549" s="5">
        <f>TRUNC([1]단가대비표!O175,0)</f>
        <v>12180</v>
      </c>
      <c r="H2549" s="5">
        <f t="shared" si="235"/>
        <v>48720</v>
      </c>
      <c r="I2549" s="5">
        <v>0</v>
      </c>
      <c r="J2549" s="5">
        <f t="shared" si="236"/>
        <v>0</v>
      </c>
      <c r="K2549" s="5">
        <v>0</v>
      </c>
      <c r="L2549" s="5">
        <f t="shared" si="237"/>
        <v>0</v>
      </c>
      <c r="M2549" s="5">
        <f t="shared" si="238"/>
        <v>12180</v>
      </c>
      <c r="N2549" s="5">
        <f t="shared" si="238"/>
        <v>48720</v>
      </c>
      <c r="O2549" s="8" t="s">
        <v>20</v>
      </c>
      <c r="T2549">
        <v>0</v>
      </c>
      <c r="AC2549">
        <v>1</v>
      </c>
    </row>
    <row r="2550" spans="1:29" ht="30" customHeight="1" x14ac:dyDescent="0.3">
      <c r="A2550" s="8" t="s">
        <v>2279</v>
      </c>
      <c r="B2550" s="8" t="s">
        <v>513</v>
      </c>
      <c r="C2550" s="8" t="s">
        <v>507</v>
      </c>
      <c r="D2550" s="8" t="s">
        <v>514</v>
      </c>
      <c r="E2550" s="8" t="s">
        <v>179</v>
      </c>
      <c r="F2550" s="9">
        <v>7</v>
      </c>
      <c r="G2550" s="5">
        <f>TRUNC([1]단가대비표!O179,0)</f>
        <v>7510</v>
      </c>
      <c r="H2550" s="5">
        <f t="shared" si="235"/>
        <v>52570</v>
      </c>
      <c r="I2550" s="5">
        <v>0</v>
      </c>
      <c r="J2550" s="5">
        <f t="shared" si="236"/>
        <v>0</v>
      </c>
      <c r="K2550" s="5">
        <v>0</v>
      </c>
      <c r="L2550" s="5">
        <f t="shared" si="237"/>
        <v>0</v>
      </c>
      <c r="M2550" s="5">
        <f t="shared" si="238"/>
        <v>7510</v>
      </c>
      <c r="N2550" s="5">
        <f t="shared" si="238"/>
        <v>52570</v>
      </c>
      <c r="O2550" s="8" t="s">
        <v>20</v>
      </c>
      <c r="T2550">
        <v>0</v>
      </c>
      <c r="AC2550">
        <v>1</v>
      </c>
    </row>
    <row r="2551" spans="1:29" ht="30" customHeight="1" x14ac:dyDescent="0.3">
      <c r="A2551" s="8" t="s">
        <v>2279</v>
      </c>
      <c r="B2551" s="8" t="s">
        <v>515</v>
      </c>
      <c r="C2551" s="8" t="s">
        <v>507</v>
      </c>
      <c r="D2551" s="8" t="s">
        <v>516</v>
      </c>
      <c r="E2551" s="8" t="s">
        <v>179</v>
      </c>
      <c r="F2551" s="9">
        <v>23</v>
      </c>
      <c r="G2551" s="5">
        <f>TRUNC([1]단가대비표!O180,0)</f>
        <v>8270</v>
      </c>
      <c r="H2551" s="5">
        <f t="shared" si="235"/>
        <v>190210</v>
      </c>
      <c r="I2551" s="5">
        <v>0</v>
      </c>
      <c r="J2551" s="5">
        <f t="shared" si="236"/>
        <v>0</v>
      </c>
      <c r="K2551" s="5">
        <v>0</v>
      </c>
      <c r="L2551" s="5">
        <f t="shared" si="237"/>
        <v>0</v>
      </c>
      <c r="M2551" s="5">
        <f t="shared" si="238"/>
        <v>8270</v>
      </c>
      <c r="N2551" s="5">
        <f t="shared" si="238"/>
        <v>190210</v>
      </c>
      <c r="O2551" s="8" t="s">
        <v>20</v>
      </c>
      <c r="T2551">
        <v>0</v>
      </c>
      <c r="AC2551">
        <v>1</v>
      </c>
    </row>
    <row r="2552" spans="1:29" ht="30" customHeight="1" x14ac:dyDescent="0.3">
      <c r="A2552" s="8" t="s">
        <v>2279</v>
      </c>
      <c r="B2552" s="8" t="s">
        <v>517</v>
      </c>
      <c r="C2552" s="8" t="s">
        <v>507</v>
      </c>
      <c r="D2552" s="8" t="s">
        <v>518</v>
      </c>
      <c r="E2552" s="8" t="s">
        <v>179</v>
      </c>
      <c r="F2552" s="9">
        <v>1</v>
      </c>
      <c r="G2552" s="5">
        <f>TRUNC([1]단가대비표!O181,0)</f>
        <v>8270</v>
      </c>
      <c r="H2552" s="5">
        <f t="shared" si="235"/>
        <v>8270</v>
      </c>
      <c r="I2552" s="5">
        <v>0</v>
      </c>
      <c r="J2552" s="5">
        <f t="shared" si="236"/>
        <v>0</v>
      </c>
      <c r="K2552" s="5">
        <v>0</v>
      </c>
      <c r="L2552" s="5">
        <f t="shared" si="237"/>
        <v>0</v>
      </c>
      <c r="M2552" s="5">
        <f t="shared" si="238"/>
        <v>8270</v>
      </c>
      <c r="N2552" s="5">
        <f t="shared" si="238"/>
        <v>8270</v>
      </c>
      <c r="O2552" s="8" t="s">
        <v>20</v>
      </c>
      <c r="T2552">
        <v>0</v>
      </c>
      <c r="AC2552">
        <v>1</v>
      </c>
    </row>
    <row r="2553" spans="1:29" ht="30" customHeight="1" x14ac:dyDescent="0.3">
      <c r="A2553" s="8" t="s">
        <v>2279</v>
      </c>
      <c r="B2553" s="8" t="s">
        <v>519</v>
      </c>
      <c r="C2553" s="8" t="s">
        <v>507</v>
      </c>
      <c r="D2553" s="8" t="s">
        <v>520</v>
      </c>
      <c r="E2553" s="8" t="s">
        <v>179</v>
      </c>
      <c r="F2553" s="9">
        <v>8</v>
      </c>
      <c r="G2553" s="5">
        <f>TRUNC([1]단가대비표!O182,0)</f>
        <v>9770</v>
      </c>
      <c r="H2553" s="5">
        <f t="shared" si="235"/>
        <v>78160</v>
      </c>
      <c r="I2553" s="5">
        <v>0</v>
      </c>
      <c r="J2553" s="5">
        <f t="shared" si="236"/>
        <v>0</v>
      </c>
      <c r="K2553" s="5">
        <v>0</v>
      </c>
      <c r="L2553" s="5">
        <f t="shared" si="237"/>
        <v>0</v>
      </c>
      <c r="M2553" s="5">
        <f t="shared" si="238"/>
        <v>9770</v>
      </c>
      <c r="N2553" s="5">
        <f t="shared" si="238"/>
        <v>78160</v>
      </c>
      <c r="O2553" s="8" t="s">
        <v>20</v>
      </c>
      <c r="T2553">
        <v>0</v>
      </c>
      <c r="AC2553">
        <v>1</v>
      </c>
    </row>
    <row r="2554" spans="1:29" ht="30" customHeight="1" x14ac:dyDescent="0.3">
      <c r="A2554" s="8" t="s">
        <v>2279</v>
      </c>
      <c r="B2554" s="8" t="s">
        <v>521</v>
      </c>
      <c r="C2554" s="8" t="s">
        <v>507</v>
      </c>
      <c r="D2554" s="8" t="s">
        <v>522</v>
      </c>
      <c r="E2554" s="8" t="s">
        <v>179</v>
      </c>
      <c r="F2554" s="9">
        <v>16</v>
      </c>
      <c r="G2554" s="5">
        <f>TRUNC([1]단가대비표!O183,0)</f>
        <v>10510</v>
      </c>
      <c r="H2554" s="5">
        <f t="shared" si="235"/>
        <v>168160</v>
      </c>
      <c r="I2554" s="5">
        <v>0</v>
      </c>
      <c r="J2554" s="5">
        <f t="shared" si="236"/>
        <v>0</v>
      </c>
      <c r="K2554" s="5">
        <v>0</v>
      </c>
      <c r="L2554" s="5">
        <f t="shared" si="237"/>
        <v>0</v>
      </c>
      <c r="M2554" s="5">
        <f t="shared" si="238"/>
        <v>10510</v>
      </c>
      <c r="N2554" s="5">
        <f t="shared" si="238"/>
        <v>168160</v>
      </c>
      <c r="O2554" s="8" t="s">
        <v>20</v>
      </c>
      <c r="T2554">
        <v>0</v>
      </c>
      <c r="AC2554">
        <v>1</v>
      </c>
    </row>
    <row r="2555" spans="1:29" ht="30" customHeight="1" x14ac:dyDescent="0.3">
      <c r="A2555" s="8" t="s">
        <v>2279</v>
      </c>
      <c r="B2555" s="8" t="s">
        <v>679</v>
      </c>
      <c r="C2555" s="8" t="s">
        <v>680</v>
      </c>
      <c r="D2555" s="8" t="s">
        <v>487</v>
      </c>
      <c r="E2555" s="8" t="s">
        <v>185</v>
      </c>
      <c r="F2555" s="9">
        <v>10</v>
      </c>
      <c r="G2555" s="5">
        <f>TRUNC([1]단가대비표!O631,0)</f>
        <v>13941</v>
      </c>
      <c r="H2555" s="5">
        <f t="shared" si="235"/>
        <v>139410</v>
      </c>
      <c r="I2555" s="5">
        <v>0</v>
      </c>
      <c r="J2555" s="5">
        <f t="shared" si="236"/>
        <v>0</v>
      </c>
      <c r="K2555" s="5">
        <v>0</v>
      </c>
      <c r="L2555" s="5">
        <f t="shared" si="237"/>
        <v>0</v>
      </c>
      <c r="M2555" s="5">
        <f t="shared" si="238"/>
        <v>13941</v>
      </c>
      <c r="N2555" s="5">
        <f t="shared" si="238"/>
        <v>139410</v>
      </c>
      <c r="O2555" s="8" t="s">
        <v>20</v>
      </c>
      <c r="T2555">
        <v>0</v>
      </c>
      <c r="AC2555">
        <v>1</v>
      </c>
    </row>
    <row r="2556" spans="1:29" ht="30" customHeight="1" x14ac:dyDescent="0.3">
      <c r="A2556" s="8" t="s">
        <v>2279</v>
      </c>
      <c r="B2556" s="8" t="s">
        <v>682</v>
      </c>
      <c r="C2556" s="8" t="s">
        <v>680</v>
      </c>
      <c r="D2556" s="8" t="s">
        <v>346</v>
      </c>
      <c r="E2556" s="8" t="s">
        <v>185</v>
      </c>
      <c r="F2556" s="9">
        <v>2</v>
      </c>
      <c r="G2556" s="5">
        <f>TRUNC([1]단가대비표!O633,0)</f>
        <v>16074</v>
      </c>
      <c r="H2556" s="5">
        <f t="shared" si="235"/>
        <v>32148</v>
      </c>
      <c r="I2556" s="5">
        <v>0</v>
      </c>
      <c r="J2556" s="5">
        <f t="shared" si="236"/>
        <v>0</v>
      </c>
      <c r="K2556" s="5">
        <v>0</v>
      </c>
      <c r="L2556" s="5">
        <f t="shared" si="237"/>
        <v>0</v>
      </c>
      <c r="M2556" s="5">
        <f t="shared" si="238"/>
        <v>16074</v>
      </c>
      <c r="N2556" s="5">
        <f t="shared" si="238"/>
        <v>32148</v>
      </c>
      <c r="O2556" s="8" t="s">
        <v>20</v>
      </c>
      <c r="T2556">
        <v>0</v>
      </c>
      <c r="AC2556">
        <v>1</v>
      </c>
    </row>
    <row r="2557" spans="1:29" ht="30" customHeight="1" x14ac:dyDescent="0.3">
      <c r="A2557" s="8" t="s">
        <v>2279</v>
      </c>
      <c r="B2557" s="8" t="s">
        <v>841</v>
      </c>
      <c r="C2557" s="8" t="s">
        <v>687</v>
      </c>
      <c r="D2557" s="8" t="s">
        <v>487</v>
      </c>
      <c r="E2557" s="8" t="s">
        <v>185</v>
      </c>
      <c r="F2557" s="9">
        <v>6</v>
      </c>
      <c r="G2557" s="5">
        <f>TRUNC([1]단가대비표!O641,0)</f>
        <v>12179</v>
      </c>
      <c r="H2557" s="5">
        <f t="shared" si="235"/>
        <v>73074</v>
      </c>
      <c r="I2557" s="5">
        <v>0</v>
      </c>
      <c r="J2557" s="5">
        <f t="shared" si="236"/>
        <v>0</v>
      </c>
      <c r="K2557" s="5">
        <v>0</v>
      </c>
      <c r="L2557" s="5">
        <f t="shared" si="237"/>
        <v>0</v>
      </c>
      <c r="M2557" s="5">
        <f t="shared" si="238"/>
        <v>12179</v>
      </c>
      <c r="N2557" s="5">
        <f t="shared" si="238"/>
        <v>73074</v>
      </c>
      <c r="O2557" s="8" t="s">
        <v>20</v>
      </c>
      <c r="T2557">
        <v>0</v>
      </c>
      <c r="AC2557">
        <v>1</v>
      </c>
    </row>
    <row r="2558" spans="1:29" ht="30" customHeight="1" x14ac:dyDescent="0.3">
      <c r="A2558" s="8" t="s">
        <v>2279</v>
      </c>
      <c r="B2558" s="8" t="s">
        <v>842</v>
      </c>
      <c r="C2558" s="8" t="s">
        <v>687</v>
      </c>
      <c r="D2558" s="8" t="s">
        <v>489</v>
      </c>
      <c r="E2558" s="8" t="s">
        <v>185</v>
      </c>
      <c r="F2558" s="9">
        <v>2</v>
      </c>
      <c r="G2558" s="5">
        <f>TRUNC([1]단가대비표!O642,0)</f>
        <v>13094</v>
      </c>
      <c r="H2558" s="5">
        <f t="shared" si="235"/>
        <v>26188</v>
      </c>
      <c r="I2558" s="5">
        <v>0</v>
      </c>
      <c r="J2558" s="5">
        <f t="shared" si="236"/>
        <v>0</v>
      </c>
      <c r="K2558" s="5">
        <v>0</v>
      </c>
      <c r="L2558" s="5">
        <f t="shared" si="237"/>
        <v>0</v>
      </c>
      <c r="M2558" s="5">
        <f t="shared" si="238"/>
        <v>13094</v>
      </c>
      <c r="N2558" s="5">
        <f t="shared" si="238"/>
        <v>26188</v>
      </c>
      <c r="O2558" s="8" t="s">
        <v>20</v>
      </c>
      <c r="T2558">
        <v>0</v>
      </c>
      <c r="AC2558">
        <v>1</v>
      </c>
    </row>
    <row r="2559" spans="1:29" ht="30" customHeight="1" x14ac:dyDescent="0.3">
      <c r="A2559" s="8" t="s">
        <v>2279</v>
      </c>
      <c r="B2559" s="8" t="s">
        <v>686</v>
      </c>
      <c r="C2559" s="8" t="s">
        <v>687</v>
      </c>
      <c r="D2559" s="8" t="s">
        <v>346</v>
      </c>
      <c r="E2559" s="8" t="s">
        <v>185</v>
      </c>
      <c r="F2559" s="9">
        <v>2</v>
      </c>
      <c r="G2559" s="5">
        <f>TRUNC([1]단가대비표!O643,0)</f>
        <v>13168</v>
      </c>
      <c r="H2559" s="5">
        <f t="shared" si="235"/>
        <v>26336</v>
      </c>
      <c r="I2559" s="5">
        <v>0</v>
      </c>
      <c r="J2559" s="5">
        <f t="shared" si="236"/>
        <v>0</v>
      </c>
      <c r="K2559" s="5">
        <v>0</v>
      </c>
      <c r="L2559" s="5">
        <f t="shared" si="237"/>
        <v>0</v>
      </c>
      <c r="M2559" s="5">
        <f t="shared" si="238"/>
        <v>13168</v>
      </c>
      <c r="N2559" s="5">
        <f t="shared" si="238"/>
        <v>26336</v>
      </c>
      <c r="O2559" s="8" t="s">
        <v>20</v>
      </c>
      <c r="T2559">
        <v>0</v>
      </c>
      <c r="AC2559">
        <v>1</v>
      </c>
    </row>
    <row r="2560" spans="1:29" ht="30" customHeight="1" x14ac:dyDescent="0.3">
      <c r="A2560" s="8" t="s">
        <v>2279</v>
      </c>
      <c r="B2560" s="8" t="s">
        <v>688</v>
      </c>
      <c r="C2560" s="8" t="s">
        <v>687</v>
      </c>
      <c r="D2560" s="8" t="s">
        <v>640</v>
      </c>
      <c r="E2560" s="8" t="s">
        <v>185</v>
      </c>
      <c r="F2560" s="9">
        <v>2</v>
      </c>
      <c r="G2560" s="5">
        <f>TRUNC([1]단가대비표!O644,0)</f>
        <v>14281</v>
      </c>
      <c r="H2560" s="5">
        <f t="shared" si="235"/>
        <v>28562</v>
      </c>
      <c r="I2560" s="5">
        <v>0</v>
      </c>
      <c r="J2560" s="5">
        <f t="shared" si="236"/>
        <v>0</v>
      </c>
      <c r="K2560" s="5">
        <v>0</v>
      </c>
      <c r="L2560" s="5">
        <f t="shared" si="237"/>
        <v>0</v>
      </c>
      <c r="M2560" s="5">
        <f t="shared" si="238"/>
        <v>14281</v>
      </c>
      <c r="N2560" s="5">
        <f t="shared" si="238"/>
        <v>28562</v>
      </c>
      <c r="O2560" s="8" t="s">
        <v>20</v>
      </c>
      <c r="T2560">
        <v>0</v>
      </c>
      <c r="AC2560">
        <v>1</v>
      </c>
    </row>
    <row r="2561" spans="1:29" ht="30" customHeight="1" x14ac:dyDescent="0.3">
      <c r="A2561" s="8" t="s">
        <v>2279</v>
      </c>
      <c r="B2561" s="8" t="s">
        <v>693</v>
      </c>
      <c r="C2561" s="8" t="s">
        <v>694</v>
      </c>
      <c r="D2561" s="8" t="s">
        <v>695</v>
      </c>
      <c r="E2561" s="8" t="s">
        <v>179</v>
      </c>
      <c r="F2561" s="9">
        <v>10</v>
      </c>
      <c r="G2561" s="5">
        <f>TRUNC([1]단가대비표!O391,0)</f>
        <v>700</v>
      </c>
      <c r="H2561" s="5">
        <f t="shared" si="235"/>
        <v>7000</v>
      </c>
      <c r="I2561" s="5">
        <v>0</v>
      </c>
      <c r="J2561" s="5">
        <f t="shared" si="236"/>
        <v>0</v>
      </c>
      <c r="K2561" s="5">
        <v>0</v>
      </c>
      <c r="L2561" s="5">
        <f t="shared" si="237"/>
        <v>0</v>
      </c>
      <c r="M2561" s="5">
        <f t="shared" si="238"/>
        <v>700</v>
      </c>
      <c r="N2561" s="5">
        <f t="shared" si="238"/>
        <v>7000</v>
      </c>
      <c r="O2561" s="8" t="s">
        <v>20</v>
      </c>
      <c r="T2561">
        <v>0</v>
      </c>
      <c r="AC2561">
        <v>1</v>
      </c>
    </row>
    <row r="2562" spans="1:29" ht="30" customHeight="1" x14ac:dyDescent="0.3">
      <c r="A2562" s="8" t="s">
        <v>2279</v>
      </c>
      <c r="B2562" s="8" t="s">
        <v>698</v>
      </c>
      <c r="C2562" s="8" t="s">
        <v>694</v>
      </c>
      <c r="D2562" s="8" t="s">
        <v>699</v>
      </c>
      <c r="E2562" s="8" t="s">
        <v>179</v>
      </c>
      <c r="F2562" s="9">
        <v>2</v>
      </c>
      <c r="G2562" s="5">
        <f>TRUNC([1]단가대비표!O393,0)</f>
        <v>840</v>
      </c>
      <c r="H2562" s="5">
        <f t="shared" si="235"/>
        <v>1680</v>
      </c>
      <c r="I2562" s="5">
        <v>0</v>
      </c>
      <c r="J2562" s="5">
        <f t="shared" si="236"/>
        <v>0</v>
      </c>
      <c r="K2562" s="5">
        <v>0</v>
      </c>
      <c r="L2562" s="5">
        <f t="shared" si="237"/>
        <v>0</v>
      </c>
      <c r="M2562" s="5">
        <f t="shared" si="238"/>
        <v>840</v>
      </c>
      <c r="N2562" s="5">
        <f t="shared" si="238"/>
        <v>1680</v>
      </c>
      <c r="O2562" s="8" t="s">
        <v>20</v>
      </c>
      <c r="T2562">
        <v>0</v>
      </c>
      <c r="AC2562">
        <v>1</v>
      </c>
    </row>
    <row r="2563" spans="1:29" ht="30" customHeight="1" x14ac:dyDescent="0.3">
      <c r="A2563" s="8" t="s">
        <v>2279</v>
      </c>
      <c r="B2563" s="8" t="s">
        <v>852</v>
      </c>
      <c r="C2563" s="8" t="s">
        <v>694</v>
      </c>
      <c r="D2563" s="8" t="s">
        <v>853</v>
      </c>
      <c r="E2563" s="8" t="s">
        <v>179</v>
      </c>
      <c r="F2563" s="9">
        <v>6</v>
      </c>
      <c r="G2563" s="5">
        <f>TRUNC([1]단가대비표!O410,0)</f>
        <v>840</v>
      </c>
      <c r="H2563" s="5">
        <f t="shared" si="235"/>
        <v>5040</v>
      </c>
      <c r="I2563" s="5">
        <v>0</v>
      </c>
      <c r="J2563" s="5">
        <f t="shared" si="236"/>
        <v>0</v>
      </c>
      <c r="K2563" s="5">
        <v>0</v>
      </c>
      <c r="L2563" s="5">
        <f t="shared" si="237"/>
        <v>0</v>
      </c>
      <c r="M2563" s="5">
        <f t="shared" si="238"/>
        <v>840</v>
      </c>
      <c r="N2563" s="5">
        <f t="shared" si="238"/>
        <v>5040</v>
      </c>
      <c r="O2563" s="8" t="s">
        <v>20</v>
      </c>
      <c r="T2563">
        <v>0</v>
      </c>
      <c r="AC2563">
        <v>1</v>
      </c>
    </row>
    <row r="2564" spans="1:29" ht="30" customHeight="1" x14ac:dyDescent="0.3">
      <c r="A2564" s="8" t="s">
        <v>2279</v>
      </c>
      <c r="B2564" s="8" t="s">
        <v>854</v>
      </c>
      <c r="C2564" s="8" t="s">
        <v>694</v>
      </c>
      <c r="D2564" s="8" t="s">
        <v>855</v>
      </c>
      <c r="E2564" s="8" t="s">
        <v>179</v>
      </c>
      <c r="F2564" s="9">
        <v>2</v>
      </c>
      <c r="G2564" s="5">
        <f>TRUNC([1]단가대비표!O411,0)</f>
        <v>840</v>
      </c>
      <c r="H2564" s="5">
        <f t="shared" si="235"/>
        <v>1680</v>
      </c>
      <c r="I2564" s="5">
        <v>0</v>
      </c>
      <c r="J2564" s="5">
        <f t="shared" si="236"/>
        <v>0</v>
      </c>
      <c r="K2564" s="5">
        <v>0</v>
      </c>
      <c r="L2564" s="5">
        <f t="shared" si="237"/>
        <v>0</v>
      </c>
      <c r="M2564" s="5">
        <f t="shared" si="238"/>
        <v>840</v>
      </c>
      <c r="N2564" s="5">
        <f t="shared" si="238"/>
        <v>1680</v>
      </c>
      <c r="O2564" s="8" t="s">
        <v>20</v>
      </c>
      <c r="T2564">
        <v>0</v>
      </c>
      <c r="AC2564">
        <v>1</v>
      </c>
    </row>
    <row r="2565" spans="1:29" ht="30" customHeight="1" x14ac:dyDescent="0.3">
      <c r="A2565" s="8" t="s">
        <v>2279</v>
      </c>
      <c r="B2565" s="8" t="s">
        <v>706</v>
      </c>
      <c r="C2565" s="8" t="s">
        <v>694</v>
      </c>
      <c r="D2565" s="8" t="s">
        <v>707</v>
      </c>
      <c r="E2565" s="8" t="s">
        <v>179</v>
      </c>
      <c r="F2565" s="9">
        <v>2</v>
      </c>
      <c r="G2565" s="5">
        <f>TRUNC([1]단가대비표!O412,0)</f>
        <v>840</v>
      </c>
      <c r="H2565" s="5">
        <f t="shared" si="235"/>
        <v>1680</v>
      </c>
      <c r="I2565" s="5">
        <v>0</v>
      </c>
      <c r="J2565" s="5">
        <f t="shared" si="236"/>
        <v>0</v>
      </c>
      <c r="K2565" s="5">
        <v>0</v>
      </c>
      <c r="L2565" s="5">
        <f t="shared" si="237"/>
        <v>0</v>
      </c>
      <c r="M2565" s="5">
        <f t="shared" si="238"/>
        <v>840</v>
      </c>
      <c r="N2565" s="5">
        <f t="shared" si="238"/>
        <v>1680</v>
      </c>
      <c r="O2565" s="8" t="s">
        <v>20</v>
      </c>
      <c r="T2565">
        <v>0</v>
      </c>
      <c r="AC2565">
        <v>1</v>
      </c>
    </row>
    <row r="2566" spans="1:29" ht="30" customHeight="1" x14ac:dyDescent="0.3">
      <c r="A2566" s="8" t="s">
        <v>2279</v>
      </c>
      <c r="B2566" s="8" t="s">
        <v>708</v>
      </c>
      <c r="C2566" s="8" t="s">
        <v>694</v>
      </c>
      <c r="D2566" s="8" t="s">
        <v>709</v>
      </c>
      <c r="E2566" s="8" t="s">
        <v>179</v>
      </c>
      <c r="F2566" s="9">
        <v>2</v>
      </c>
      <c r="G2566" s="5">
        <f>TRUNC([1]단가대비표!O413,0)</f>
        <v>840</v>
      </c>
      <c r="H2566" s="5">
        <f t="shared" si="235"/>
        <v>1680</v>
      </c>
      <c r="I2566" s="5">
        <v>0</v>
      </c>
      <c r="J2566" s="5">
        <f t="shared" si="236"/>
        <v>0</v>
      </c>
      <c r="K2566" s="5">
        <v>0</v>
      </c>
      <c r="L2566" s="5">
        <f t="shared" si="237"/>
        <v>0</v>
      </c>
      <c r="M2566" s="5">
        <f t="shared" si="238"/>
        <v>840</v>
      </c>
      <c r="N2566" s="5">
        <f t="shared" si="238"/>
        <v>1680</v>
      </c>
      <c r="O2566" s="8" t="s">
        <v>20</v>
      </c>
      <c r="T2566">
        <v>0</v>
      </c>
      <c r="AC2566">
        <v>1</v>
      </c>
    </row>
    <row r="2567" spans="1:29" ht="30" customHeight="1" x14ac:dyDescent="0.3">
      <c r="A2567" s="8" t="s">
        <v>2279</v>
      </c>
      <c r="B2567" s="8" t="s">
        <v>529</v>
      </c>
      <c r="C2567" s="8" t="s">
        <v>530</v>
      </c>
      <c r="D2567" s="8" t="s">
        <v>531</v>
      </c>
      <c r="E2567" s="8" t="s">
        <v>532</v>
      </c>
      <c r="F2567" s="9">
        <v>1672</v>
      </c>
      <c r="G2567" s="5">
        <f>TRUNC([1]단가대비표!O755,0)</f>
        <v>1159</v>
      </c>
      <c r="H2567" s="5">
        <f t="shared" si="235"/>
        <v>1937848</v>
      </c>
      <c r="I2567" s="5">
        <v>0</v>
      </c>
      <c r="J2567" s="5">
        <f t="shared" si="236"/>
        <v>0</v>
      </c>
      <c r="K2567" s="5">
        <v>0</v>
      </c>
      <c r="L2567" s="5">
        <f t="shared" si="237"/>
        <v>0</v>
      </c>
      <c r="M2567" s="5">
        <f t="shared" si="238"/>
        <v>1159</v>
      </c>
      <c r="N2567" s="5">
        <f t="shared" si="238"/>
        <v>1937848</v>
      </c>
      <c r="O2567" s="8" t="s">
        <v>20</v>
      </c>
      <c r="T2567">
        <v>0</v>
      </c>
      <c r="AC2567">
        <v>1</v>
      </c>
    </row>
    <row r="2568" spans="1:29" ht="30" customHeight="1" x14ac:dyDescent="0.3">
      <c r="A2568" s="8" t="s">
        <v>2279</v>
      </c>
      <c r="B2568" s="8" t="s">
        <v>533</v>
      </c>
      <c r="C2568" s="8" t="s">
        <v>534</v>
      </c>
      <c r="D2568" s="8" t="s">
        <v>535</v>
      </c>
      <c r="E2568" s="8" t="s">
        <v>532</v>
      </c>
      <c r="F2568" s="9">
        <v>1224</v>
      </c>
      <c r="G2568" s="5">
        <f>TRUNC([1]단가대비표!O759,0)</f>
        <v>1159</v>
      </c>
      <c r="H2568" s="5">
        <f t="shared" si="235"/>
        <v>1418616</v>
      </c>
      <c r="I2568" s="5">
        <v>0</v>
      </c>
      <c r="J2568" s="5">
        <f t="shared" si="236"/>
        <v>0</v>
      </c>
      <c r="K2568" s="5">
        <v>0</v>
      </c>
      <c r="L2568" s="5">
        <f t="shared" si="237"/>
        <v>0</v>
      </c>
      <c r="M2568" s="5">
        <f t="shared" si="238"/>
        <v>1159</v>
      </c>
      <c r="N2568" s="5">
        <f t="shared" si="238"/>
        <v>1418616</v>
      </c>
      <c r="O2568" s="8" t="s">
        <v>20</v>
      </c>
      <c r="T2568">
        <v>0</v>
      </c>
      <c r="AC2568">
        <v>1</v>
      </c>
    </row>
    <row r="2569" spans="1:29" ht="30" customHeight="1" x14ac:dyDescent="0.3">
      <c r="A2569" s="8" t="s">
        <v>2279</v>
      </c>
      <c r="B2569" s="8" t="s">
        <v>536</v>
      </c>
      <c r="C2569" s="8" t="s">
        <v>537</v>
      </c>
      <c r="D2569" s="8" t="s">
        <v>538</v>
      </c>
      <c r="E2569" s="8" t="s">
        <v>185</v>
      </c>
      <c r="F2569" s="9">
        <v>170</v>
      </c>
      <c r="G2569" s="5" t="e">
        <f>'[2].xls].xls].xls].xls].xls].xls].xls].'!E127</f>
        <v>#REF!</v>
      </c>
      <c r="H2569" s="5" t="e">
        <f t="shared" si="235"/>
        <v>#REF!</v>
      </c>
      <c r="I2569" s="5" t="e">
        <f>'[2].xls].xls].xls].xls].xls].xls].xls].'!F127</f>
        <v>#REF!</v>
      </c>
      <c r="J2569" s="5" t="e">
        <f t="shared" si="236"/>
        <v>#REF!</v>
      </c>
      <c r="K2569" s="5" t="e">
        <f>'[2].xls].xls].xls].xls].xls].xls].xls].'!G127</f>
        <v>#REF!</v>
      </c>
      <c r="L2569" s="5" t="e">
        <f t="shared" si="237"/>
        <v>#REF!</v>
      </c>
      <c r="M2569" s="5" t="e">
        <f t="shared" si="238"/>
        <v>#REF!</v>
      </c>
      <c r="N2569" s="5" t="e">
        <f t="shared" si="238"/>
        <v>#REF!</v>
      </c>
      <c r="O2569" s="8" t="s">
        <v>536</v>
      </c>
      <c r="T2569">
        <v>0</v>
      </c>
      <c r="AC2569">
        <v>1</v>
      </c>
    </row>
    <row r="2570" spans="1:29" ht="30" customHeight="1" x14ac:dyDescent="0.3">
      <c r="A2570" s="8" t="s">
        <v>2279</v>
      </c>
      <c r="B2570" s="8" t="s">
        <v>542</v>
      </c>
      <c r="C2570" s="8" t="s">
        <v>543</v>
      </c>
      <c r="D2570" s="8" t="s">
        <v>544</v>
      </c>
      <c r="E2570" s="8" t="s">
        <v>545</v>
      </c>
      <c r="F2570" s="9">
        <v>119</v>
      </c>
      <c r="G2570" s="5" t="e">
        <f>'[2].xls].xls].xls].xls].xls].xls].xls].'!E130</f>
        <v>#REF!</v>
      </c>
      <c r="H2570" s="5" t="e">
        <f t="shared" si="235"/>
        <v>#REF!</v>
      </c>
      <c r="I2570" s="5" t="e">
        <f>'[2].xls].xls].xls].xls].xls].xls].xls].'!F130</f>
        <v>#REF!</v>
      </c>
      <c r="J2570" s="5" t="e">
        <f t="shared" si="236"/>
        <v>#REF!</v>
      </c>
      <c r="K2570" s="5" t="e">
        <f>'[2].xls].xls].xls].xls].xls].xls].xls].'!G130</f>
        <v>#REF!</v>
      </c>
      <c r="L2570" s="5" t="e">
        <f t="shared" si="237"/>
        <v>#REF!</v>
      </c>
      <c r="M2570" s="5" t="e">
        <f t="shared" si="238"/>
        <v>#REF!</v>
      </c>
      <c r="N2570" s="5" t="e">
        <f t="shared" si="238"/>
        <v>#REF!</v>
      </c>
      <c r="O2570" s="8" t="s">
        <v>542</v>
      </c>
      <c r="T2570">
        <v>0</v>
      </c>
      <c r="AC2570">
        <v>1</v>
      </c>
    </row>
    <row r="2571" spans="1:29" ht="30" customHeight="1" x14ac:dyDescent="0.3">
      <c r="A2571" s="8" t="s">
        <v>2279</v>
      </c>
      <c r="B2571" s="8" t="s">
        <v>546</v>
      </c>
      <c r="C2571" s="8" t="s">
        <v>547</v>
      </c>
      <c r="D2571" s="8" t="s">
        <v>548</v>
      </c>
      <c r="E2571" s="8" t="s">
        <v>545</v>
      </c>
      <c r="F2571" s="9">
        <v>119</v>
      </c>
      <c r="G2571" s="5" t="e">
        <f>'[2].xls].xls].xls].xls].xls].xls].xls].'!E133</f>
        <v>#REF!</v>
      </c>
      <c r="H2571" s="5" t="e">
        <f>TRUNC(F2571*G2571,0)</f>
        <v>#REF!</v>
      </c>
      <c r="I2571" s="5" t="e">
        <f>'[2].xls].xls].xls].xls].xls].xls].xls].'!F133</f>
        <v>#REF!</v>
      </c>
      <c r="J2571" s="5" t="e">
        <f>TRUNC(F2571*I2571,0)</f>
        <v>#REF!</v>
      </c>
      <c r="K2571" s="5" t="e">
        <f>'[2].xls].xls].xls].xls].xls].xls].xls].'!G133</f>
        <v>#REF!</v>
      </c>
      <c r="L2571" s="5" t="e">
        <f>TRUNC(F2571*K2571,0)</f>
        <v>#REF!</v>
      </c>
      <c r="M2571" s="5" t="e">
        <f t="shared" si="238"/>
        <v>#REF!</v>
      </c>
      <c r="N2571" s="5" t="e">
        <f t="shared" si="238"/>
        <v>#REF!</v>
      </c>
      <c r="O2571" s="8" t="s">
        <v>546</v>
      </c>
      <c r="T2571">
        <v>0</v>
      </c>
      <c r="AC2571">
        <v>1</v>
      </c>
    </row>
    <row r="2572" spans="1:29" ht="30" customHeight="1" x14ac:dyDescent="0.3">
      <c r="A2572" s="8" t="s">
        <v>2279</v>
      </c>
      <c r="B2572" s="8" t="s">
        <v>549</v>
      </c>
      <c r="C2572" s="8" t="s">
        <v>550</v>
      </c>
      <c r="D2572" s="8" t="s">
        <v>551</v>
      </c>
      <c r="E2572" s="8" t="s">
        <v>552</v>
      </c>
      <c r="F2572" s="9">
        <v>2.75</v>
      </c>
      <c r="G2572" s="5" t="e">
        <f>'[2].xls].xls].xls].xls].xls].xls].xls].'!E128</f>
        <v>#REF!</v>
      </c>
      <c r="H2572" s="5" t="e">
        <f>TRUNC(F2572*G2572,0)</f>
        <v>#REF!</v>
      </c>
      <c r="I2572" s="5" t="e">
        <f>'[2].xls].xls].xls].xls].xls].xls].xls].'!F128</f>
        <v>#REF!</v>
      </c>
      <c r="J2572" s="5" t="e">
        <f>TRUNC(F2572*I2572,0)</f>
        <v>#REF!</v>
      </c>
      <c r="K2572" s="5" t="e">
        <f>'[2].xls].xls].xls].xls].xls].xls].xls].'!G128</f>
        <v>#REF!</v>
      </c>
      <c r="L2572" s="5" t="e">
        <f>TRUNC(F2572*K2572,0)</f>
        <v>#REF!</v>
      </c>
      <c r="M2572" s="5" t="e">
        <f t="shared" si="238"/>
        <v>#REF!</v>
      </c>
      <c r="N2572" s="5" t="e">
        <f t="shared" si="238"/>
        <v>#REF!</v>
      </c>
      <c r="O2572" s="8" t="s">
        <v>549</v>
      </c>
      <c r="T2572">
        <v>0</v>
      </c>
      <c r="AC2572">
        <v>1</v>
      </c>
    </row>
    <row r="2573" spans="1:29" ht="30" customHeight="1" x14ac:dyDescent="0.3">
      <c r="A2573" s="8" t="s">
        <v>2279</v>
      </c>
      <c r="B2573" s="8" t="s">
        <v>152</v>
      </c>
      <c r="C2573" s="8" t="s">
        <v>153</v>
      </c>
      <c r="D2573" s="8" t="s">
        <v>154</v>
      </c>
      <c r="E2573" s="8" t="s">
        <v>155</v>
      </c>
      <c r="F2573" s="9">
        <v>26</v>
      </c>
      <c r="G2573" s="5">
        <v>0</v>
      </c>
      <c r="H2573" s="5">
        <f>TRUNC(F2573*G2573,0)</f>
        <v>0</v>
      </c>
      <c r="I2573" s="5">
        <f>TRUNC([1]단가대비표!O671,0)</f>
        <v>157068</v>
      </c>
      <c r="J2573" s="5">
        <f>TRUNC(F2573*I2573,0)</f>
        <v>4083768</v>
      </c>
      <c r="K2573" s="5">
        <v>0</v>
      </c>
      <c r="L2573" s="5">
        <f>TRUNC(F2573*K2573,0)</f>
        <v>0</v>
      </c>
      <c r="M2573" s="5">
        <f t="shared" si="238"/>
        <v>157068</v>
      </c>
      <c r="N2573" s="5">
        <f t="shared" si="238"/>
        <v>4083768</v>
      </c>
      <c r="O2573" s="8" t="s">
        <v>20</v>
      </c>
      <c r="T2573">
        <v>0</v>
      </c>
      <c r="W2573">
        <v>3</v>
      </c>
      <c r="AC2573">
        <v>1</v>
      </c>
    </row>
    <row r="2574" spans="1:29" ht="30" customHeight="1" x14ac:dyDescent="0.3">
      <c r="A2574" s="8" t="s">
        <v>2279</v>
      </c>
      <c r="B2574" s="8" t="s">
        <v>553</v>
      </c>
      <c r="C2574" s="8" t="s">
        <v>153</v>
      </c>
      <c r="D2574" s="8" t="s">
        <v>554</v>
      </c>
      <c r="E2574" s="8" t="s">
        <v>155</v>
      </c>
      <c r="F2574" s="9">
        <v>51</v>
      </c>
      <c r="G2574" s="5">
        <v>0</v>
      </c>
      <c r="H2574" s="5">
        <f>TRUNC(F2574*G2574,0)</f>
        <v>0</v>
      </c>
      <c r="I2574" s="5">
        <f>TRUNC([1]단가대비표!O668,0)</f>
        <v>214118</v>
      </c>
      <c r="J2574" s="5">
        <f>TRUNC(F2574*I2574,0)</f>
        <v>10920018</v>
      </c>
      <c r="K2574" s="5">
        <v>0</v>
      </c>
      <c r="L2574" s="5">
        <f>TRUNC(F2574*K2574,0)</f>
        <v>0</v>
      </c>
      <c r="M2574" s="5">
        <f t="shared" si="238"/>
        <v>214118</v>
      </c>
      <c r="N2574" s="5">
        <f t="shared" si="238"/>
        <v>10920018</v>
      </c>
      <c r="O2574" s="8" t="s">
        <v>20</v>
      </c>
      <c r="T2574">
        <v>0</v>
      </c>
      <c r="W2574">
        <v>3</v>
      </c>
      <c r="AC2574">
        <v>1</v>
      </c>
    </row>
    <row r="2575" spans="1:29" ht="30" customHeight="1" x14ac:dyDescent="0.3">
      <c r="A2575" s="8" t="s">
        <v>2279</v>
      </c>
      <c r="B2575" s="8" t="s">
        <v>158</v>
      </c>
      <c r="C2575" s="8" t="s">
        <v>159</v>
      </c>
      <c r="D2575" s="8" t="s">
        <v>160</v>
      </c>
      <c r="E2575" s="8" t="s">
        <v>161</v>
      </c>
      <c r="F2575" s="9">
        <v>1</v>
      </c>
      <c r="G2575" s="5">
        <f>ROUNDDOWN(SUMIF(W2475:W2575, RIGHTB(B2575, 1), J2475:J2575)*T2575, 0)</f>
        <v>300075</v>
      </c>
      <c r="H2575" s="5">
        <f>TRUNC(F2575*G2575,0)</f>
        <v>300075</v>
      </c>
      <c r="I2575" s="5">
        <v>0</v>
      </c>
      <c r="J2575" s="5">
        <f>TRUNC(F2575*I2575,0)</f>
        <v>0</v>
      </c>
      <c r="K2575" s="5">
        <v>0</v>
      </c>
      <c r="L2575" s="5">
        <f>TRUNC(F2575*K2575,0)</f>
        <v>0</v>
      </c>
      <c r="M2575" s="5">
        <f t="shared" si="238"/>
        <v>300075</v>
      </c>
      <c r="N2575" s="5">
        <f t="shared" si="238"/>
        <v>300075</v>
      </c>
      <c r="O2575" s="8" t="s">
        <v>20</v>
      </c>
      <c r="P2575">
        <v>2575</v>
      </c>
      <c r="R2575">
        <v>1</v>
      </c>
      <c r="S2575">
        <v>0</v>
      </c>
      <c r="T2575">
        <v>0.02</v>
      </c>
      <c r="AC2575">
        <v>1</v>
      </c>
    </row>
    <row r="2576" spans="1:29" ht="30" customHeight="1" x14ac:dyDescent="0.3">
      <c r="A2576" s="5"/>
      <c r="B2576" s="5"/>
      <c r="C2576" s="5"/>
      <c r="D2576" s="5"/>
      <c r="E2576" s="5"/>
      <c r="F2576" s="9"/>
      <c r="G2576" s="5"/>
      <c r="H2576" s="5"/>
      <c r="I2576" s="5"/>
      <c r="J2576" s="5"/>
      <c r="K2576" s="5"/>
      <c r="L2576" s="5"/>
      <c r="M2576" s="5"/>
      <c r="N2576" s="5"/>
      <c r="O2576" s="5"/>
    </row>
    <row r="2577" spans="1:29" ht="30" customHeight="1" x14ac:dyDescent="0.3">
      <c r="A2577" s="5"/>
      <c r="B2577" s="5"/>
      <c r="C2577" s="5" t="s">
        <v>162</v>
      </c>
      <c r="D2577" s="5"/>
      <c r="E2577" s="5"/>
      <c r="F2577" s="9"/>
      <c r="G2577" s="5"/>
      <c r="H2577" s="5" t="e">
        <f>SUMIF(AC2475:AC2576, 1, H2475:H2576)</f>
        <v>#REF!</v>
      </c>
      <c r="I2577" s="5"/>
      <c r="J2577" s="5" t="e">
        <f>SUMIF(AC2475:AC2576, 1, J2475:J2576)</f>
        <v>#REF!</v>
      </c>
      <c r="K2577" s="5"/>
      <c r="L2577" s="5" t="e">
        <f>SUMIF(AC2475:AC2576, 1, L2475:L2576)</f>
        <v>#REF!</v>
      </c>
      <c r="M2577" s="5"/>
      <c r="N2577" s="5" t="e">
        <f>H2577+J2577+L2577</f>
        <v>#REF!</v>
      </c>
      <c r="O2577" s="5"/>
    </row>
    <row r="2578" spans="1:29" ht="30" customHeight="1" x14ac:dyDescent="0.3">
      <c r="A2578" s="5"/>
      <c r="B2578" s="5"/>
      <c r="C2578" s="10" t="s">
        <v>2283</v>
      </c>
      <c r="D2578" s="10"/>
      <c r="E2578" s="10"/>
      <c r="F2578" s="11"/>
      <c r="G2578" s="10"/>
      <c r="H2578" s="10"/>
      <c r="I2578" s="10"/>
      <c r="J2578" s="10"/>
      <c r="K2578" s="10"/>
      <c r="L2578" s="10"/>
      <c r="M2578" s="10"/>
      <c r="N2578" s="10"/>
      <c r="O2578" s="10"/>
    </row>
    <row r="2579" spans="1:29" ht="30" customHeight="1" x14ac:dyDescent="0.3">
      <c r="A2579" s="8" t="s">
        <v>2284</v>
      </c>
      <c r="B2579" s="8" t="s">
        <v>718</v>
      </c>
      <c r="C2579" s="8" t="s">
        <v>719</v>
      </c>
      <c r="D2579" s="8" t="s">
        <v>720</v>
      </c>
      <c r="E2579" s="8" t="s">
        <v>721</v>
      </c>
      <c r="F2579" s="9">
        <v>17</v>
      </c>
      <c r="G2579" s="5">
        <f>TRUNC([1]단가대비표!O36,0)</f>
        <v>198900</v>
      </c>
      <c r="H2579" s="5">
        <f t="shared" ref="H2579:H2593" si="239">TRUNC(F2579*G2579,0)</f>
        <v>3381300</v>
      </c>
      <c r="I2579" s="5">
        <v>0</v>
      </c>
      <c r="J2579" s="5">
        <f t="shared" ref="J2579:J2593" si="240">TRUNC(F2579*I2579,0)</f>
        <v>0</v>
      </c>
      <c r="K2579" s="5">
        <v>0</v>
      </c>
      <c r="L2579" s="5">
        <f t="shared" ref="L2579:L2593" si="241">TRUNC(F2579*K2579,0)</f>
        <v>0</v>
      </c>
      <c r="M2579" s="5">
        <f t="shared" ref="M2579:N2593" si="242">G2579+I2579+K2579</f>
        <v>198900</v>
      </c>
      <c r="N2579" s="5">
        <f t="shared" si="242"/>
        <v>3381300</v>
      </c>
      <c r="O2579" s="8" t="s">
        <v>20</v>
      </c>
      <c r="T2579">
        <v>0</v>
      </c>
      <c r="AC2579">
        <v>1</v>
      </c>
    </row>
    <row r="2580" spans="1:29" ht="30" customHeight="1" x14ac:dyDescent="0.3">
      <c r="A2580" s="8" t="s">
        <v>2284</v>
      </c>
      <c r="B2580" s="8" t="s">
        <v>725</v>
      </c>
      <c r="C2580" s="8" t="s">
        <v>726</v>
      </c>
      <c r="D2580" s="8" t="s">
        <v>724</v>
      </c>
      <c r="E2580" s="8" t="s">
        <v>721</v>
      </c>
      <c r="F2580" s="9">
        <v>1</v>
      </c>
      <c r="G2580" s="5">
        <f>TRUNC([1]단가대비표!O39,0)</f>
        <v>322000</v>
      </c>
      <c r="H2580" s="5">
        <f t="shared" si="239"/>
        <v>322000</v>
      </c>
      <c r="I2580" s="5">
        <v>0</v>
      </c>
      <c r="J2580" s="5">
        <f t="shared" si="240"/>
        <v>0</v>
      </c>
      <c r="K2580" s="5">
        <v>0</v>
      </c>
      <c r="L2580" s="5">
        <f t="shared" si="241"/>
        <v>0</v>
      </c>
      <c r="M2580" s="5">
        <f t="shared" si="242"/>
        <v>322000</v>
      </c>
      <c r="N2580" s="5">
        <f t="shared" si="242"/>
        <v>322000</v>
      </c>
      <c r="O2580" s="8" t="s">
        <v>20</v>
      </c>
      <c r="T2580">
        <v>0</v>
      </c>
      <c r="AC2580">
        <v>1</v>
      </c>
    </row>
    <row r="2581" spans="1:29" ht="30" customHeight="1" x14ac:dyDescent="0.3">
      <c r="A2581" s="8" t="s">
        <v>2284</v>
      </c>
      <c r="B2581" s="8" t="s">
        <v>730</v>
      </c>
      <c r="C2581" s="8" t="s">
        <v>731</v>
      </c>
      <c r="D2581" s="8" t="s">
        <v>732</v>
      </c>
      <c r="E2581" s="8" t="s">
        <v>721</v>
      </c>
      <c r="F2581" s="9">
        <v>1</v>
      </c>
      <c r="G2581" s="5">
        <f>TRUNC([1]단가대비표!O32,0)</f>
        <v>254000</v>
      </c>
      <c r="H2581" s="5">
        <f t="shared" si="239"/>
        <v>254000</v>
      </c>
      <c r="I2581" s="5">
        <v>0</v>
      </c>
      <c r="J2581" s="5">
        <f t="shared" si="240"/>
        <v>0</v>
      </c>
      <c r="K2581" s="5">
        <v>0</v>
      </c>
      <c r="L2581" s="5">
        <f t="shared" si="241"/>
        <v>0</v>
      </c>
      <c r="M2581" s="5">
        <f t="shared" si="242"/>
        <v>254000</v>
      </c>
      <c r="N2581" s="5">
        <f t="shared" si="242"/>
        <v>254000</v>
      </c>
      <c r="O2581" s="8" t="s">
        <v>20</v>
      </c>
      <c r="T2581">
        <v>0</v>
      </c>
      <c r="AC2581">
        <v>1</v>
      </c>
    </row>
    <row r="2582" spans="1:29" ht="30" customHeight="1" x14ac:dyDescent="0.3">
      <c r="A2582" s="8" t="s">
        <v>2284</v>
      </c>
      <c r="B2582" s="8" t="s">
        <v>733</v>
      </c>
      <c r="C2582" s="8" t="s">
        <v>734</v>
      </c>
      <c r="D2582" s="8" t="s">
        <v>735</v>
      </c>
      <c r="E2582" s="8" t="s">
        <v>721</v>
      </c>
      <c r="F2582" s="9">
        <v>17</v>
      </c>
      <c r="G2582" s="5">
        <f>TRUNC([1]단가대비표!O33,0)</f>
        <v>178500</v>
      </c>
      <c r="H2582" s="5">
        <f t="shared" si="239"/>
        <v>3034500</v>
      </c>
      <c r="I2582" s="5">
        <v>0</v>
      </c>
      <c r="J2582" s="5">
        <f t="shared" si="240"/>
        <v>0</v>
      </c>
      <c r="K2582" s="5">
        <v>0</v>
      </c>
      <c r="L2582" s="5">
        <f t="shared" si="241"/>
        <v>0</v>
      </c>
      <c r="M2582" s="5">
        <f t="shared" si="242"/>
        <v>178500</v>
      </c>
      <c r="N2582" s="5">
        <f t="shared" si="242"/>
        <v>3034500</v>
      </c>
      <c r="O2582" s="8" t="s">
        <v>20</v>
      </c>
      <c r="T2582">
        <v>0</v>
      </c>
      <c r="AC2582">
        <v>1</v>
      </c>
    </row>
    <row r="2583" spans="1:29" ht="30" customHeight="1" x14ac:dyDescent="0.3">
      <c r="A2583" s="8" t="s">
        <v>2284</v>
      </c>
      <c r="B2583" s="8" t="s">
        <v>741</v>
      </c>
      <c r="C2583" s="8" t="s">
        <v>742</v>
      </c>
      <c r="D2583" s="8" t="s">
        <v>20</v>
      </c>
      <c r="E2583" s="8" t="s">
        <v>179</v>
      </c>
      <c r="F2583" s="9">
        <v>18</v>
      </c>
      <c r="G2583" s="5">
        <f>TRUNC([1]단가대비표!O44,0)</f>
        <v>160700</v>
      </c>
      <c r="H2583" s="5">
        <f t="shared" si="239"/>
        <v>2892600</v>
      </c>
      <c r="I2583" s="5">
        <v>0</v>
      </c>
      <c r="J2583" s="5">
        <f t="shared" si="240"/>
        <v>0</v>
      </c>
      <c r="K2583" s="5">
        <v>0</v>
      </c>
      <c r="L2583" s="5">
        <f t="shared" si="241"/>
        <v>0</v>
      </c>
      <c r="M2583" s="5">
        <f t="shared" si="242"/>
        <v>160700</v>
      </c>
      <c r="N2583" s="5">
        <f t="shared" si="242"/>
        <v>2892600</v>
      </c>
      <c r="O2583" s="8" t="s">
        <v>20</v>
      </c>
      <c r="T2583">
        <v>0</v>
      </c>
      <c r="AC2583">
        <v>1</v>
      </c>
    </row>
    <row r="2584" spans="1:29" ht="30" customHeight="1" x14ac:dyDescent="0.3">
      <c r="A2584" s="8" t="s">
        <v>2284</v>
      </c>
      <c r="B2584" s="8" t="s">
        <v>743</v>
      </c>
      <c r="C2584" s="8" t="s">
        <v>744</v>
      </c>
      <c r="D2584" s="8" t="s">
        <v>745</v>
      </c>
      <c r="E2584" s="8" t="s">
        <v>179</v>
      </c>
      <c r="F2584" s="9">
        <v>4</v>
      </c>
      <c r="G2584" s="5">
        <f>TRUNC([1]단가대비표!O43,0)</f>
        <v>11900</v>
      </c>
      <c r="H2584" s="5">
        <f t="shared" si="239"/>
        <v>47600</v>
      </c>
      <c r="I2584" s="5">
        <v>0</v>
      </c>
      <c r="J2584" s="5">
        <f t="shared" si="240"/>
        <v>0</v>
      </c>
      <c r="K2584" s="5">
        <v>0</v>
      </c>
      <c r="L2584" s="5">
        <f t="shared" si="241"/>
        <v>0</v>
      </c>
      <c r="M2584" s="5">
        <f t="shared" si="242"/>
        <v>11900</v>
      </c>
      <c r="N2584" s="5">
        <f t="shared" si="242"/>
        <v>47600</v>
      </c>
      <c r="O2584" s="8" t="s">
        <v>20</v>
      </c>
      <c r="T2584">
        <v>0</v>
      </c>
      <c r="AC2584">
        <v>1</v>
      </c>
    </row>
    <row r="2585" spans="1:29" ht="30" customHeight="1" x14ac:dyDescent="0.3">
      <c r="A2585" s="8" t="s">
        <v>2284</v>
      </c>
      <c r="B2585" s="8" t="s">
        <v>750</v>
      </c>
      <c r="C2585" s="8" t="s">
        <v>751</v>
      </c>
      <c r="D2585" s="8" t="s">
        <v>20</v>
      </c>
      <c r="E2585" s="8" t="s">
        <v>179</v>
      </c>
      <c r="F2585" s="9">
        <v>18</v>
      </c>
      <c r="G2585" s="5">
        <f>TRUNC([1]단가대비표!O34,0)</f>
        <v>8075</v>
      </c>
      <c r="H2585" s="5">
        <f t="shared" si="239"/>
        <v>145350</v>
      </c>
      <c r="I2585" s="5">
        <v>0</v>
      </c>
      <c r="J2585" s="5">
        <f t="shared" si="240"/>
        <v>0</v>
      </c>
      <c r="K2585" s="5">
        <v>0</v>
      </c>
      <c r="L2585" s="5">
        <f t="shared" si="241"/>
        <v>0</v>
      </c>
      <c r="M2585" s="5">
        <f t="shared" si="242"/>
        <v>8075</v>
      </c>
      <c r="N2585" s="5">
        <f t="shared" si="242"/>
        <v>145350</v>
      </c>
      <c r="O2585" s="8" t="s">
        <v>20</v>
      </c>
      <c r="T2585">
        <v>0</v>
      </c>
      <c r="AC2585">
        <v>1</v>
      </c>
    </row>
    <row r="2586" spans="1:29" ht="30" customHeight="1" x14ac:dyDescent="0.3">
      <c r="A2586" s="8" t="s">
        <v>2284</v>
      </c>
      <c r="B2586" s="8" t="s">
        <v>752</v>
      </c>
      <c r="C2586" s="8" t="s">
        <v>753</v>
      </c>
      <c r="D2586" s="8" t="s">
        <v>20</v>
      </c>
      <c r="E2586" s="8" t="s">
        <v>179</v>
      </c>
      <c r="F2586" s="9">
        <v>18</v>
      </c>
      <c r="G2586" s="5">
        <f>TRUNC([1]단가대비표!O35,0)</f>
        <v>6720</v>
      </c>
      <c r="H2586" s="5">
        <f t="shared" si="239"/>
        <v>120960</v>
      </c>
      <c r="I2586" s="5">
        <v>0</v>
      </c>
      <c r="J2586" s="5">
        <f t="shared" si="240"/>
        <v>0</v>
      </c>
      <c r="K2586" s="5">
        <v>0</v>
      </c>
      <c r="L2586" s="5">
        <f t="shared" si="241"/>
        <v>0</v>
      </c>
      <c r="M2586" s="5">
        <f t="shared" si="242"/>
        <v>6720</v>
      </c>
      <c r="N2586" s="5">
        <f t="shared" si="242"/>
        <v>120960</v>
      </c>
      <c r="O2586" s="8" t="s">
        <v>20</v>
      </c>
      <c r="T2586">
        <v>0</v>
      </c>
      <c r="AC2586">
        <v>1</v>
      </c>
    </row>
    <row r="2587" spans="1:29" ht="30" customHeight="1" x14ac:dyDescent="0.3">
      <c r="A2587" s="8" t="s">
        <v>2284</v>
      </c>
      <c r="B2587" s="8" t="s">
        <v>754</v>
      </c>
      <c r="C2587" s="8" t="s">
        <v>755</v>
      </c>
      <c r="D2587" s="8" t="s">
        <v>756</v>
      </c>
      <c r="E2587" s="8" t="s">
        <v>179</v>
      </c>
      <c r="F2587" s="9">
        <v>1</v>
      </c>
      <c r="G2587" s="5">
        <f>TRUNC([1]단가대비표!O47,0)</f>
        <v>79050</v>
      </c>
      <c r="H2587" s="5">
        <f t="shared" si="239"/>
        <v>79050</v>
      </c>
      <c r="I2587" s="5">
        <v>0</v>
      </c>
      <c r="J2587" s="5">
        <f t="shared" si="240"/>
        <v>0</v>
      </c>
      <c r="K2587" s="5">
        <v>0</v>
      </c>
      <c r="L2587" s="5">
        <f t="shared" si="241"/>
        <v>0</v>
      </c>
      <c r="M2587" s="5">
        <f t="shared" si="242"/>
        <v>79050</v>
      </c>
      <c r="N2587" s="5">
        <f t="shared" si="242"/>
        <v>79050</v>
      </c>
      <c r="O2587" s="8" t="s">
        <v>20</v>
      </c>
      <c r="T2587">
        <v>0</v>
      </c>
      <c r="AC2587">
        <v>1</v>
      </c>
    </row>
    <row r="2588" spans="1:29" ht="30" customHeight="1" x14ac:dyDescent="0.3">
      <c r="A2588" s="8" t="s">
        <v>2284</v>
      </c>
      <c r="B2588" s="8" t="s">
        <v>757</v>
      </c>
      <c r="C2588" s="8" t="s">
        <v>755</v>
      </c>
      <c r="D2588" s="8" t="s">
        <v>758</v>
      </c>
      <c r="E2588" s="8" t="s">
        <v>179</v>
      </c>
      <c r="F2588" s="9">
        <v>1</v>
      </c>
      <c r="G2588" s="5">
        <f>TRUNC([1]단가대비표!O48,0)</f>
        <v>131750</v>
      </c>
      <c r="H2588" s="5">
        <f t="shared" si="239"/>
        <v>131750</v>
      </c>
      <c r="I2588" s="5">
        <v>0</v>
      </c>
      <c r="J2588" s="5">
        <f t="shared" si="240"/>
        <v>0</v>
      </c>
      <c r="K2588" s="5">
        <v>0</v>
      </c>
      <c r="L2588" s="5">
        <f t="shared" si="241"/>
        <v>0</v>
      </c>
      <c r="M2588" s="5">
        <f t="shared" si="242"/>
        <v>131750</v>
      </c>
      <c r="N2588" s="5">
        <f t="shared" si="242"/>
        <v>131750</v>
      </c>
      <c r="O2588" s="8" t="s">
        <v>20</v>
      </c>
      <c r="T2588">
        <v>0</v>
      </c>
      <c r="AC2588">
        <v>1</v>
      </c>
    </row>
    <row r="2589" spans="1:29" ht="30" customHeight="1" x14ac:dyDescent="0.3">
      <c r="A2589" s="8" t="s">
        <v>2284</v>
      </c>
      <c r="B2589" s="8" t="s">
        <v>759</v>
      </c>
      <c r="C2589" s="8" t="s">
        <v>760</v>
      </c>
      <c r="D2589" s="8" t="s">
        <v>20</v>
      </c>
      <c r="E2589" s="8" t="s">
        <v>179</v>
      </c>
      <c r="F2589" s="9">
        <v>1</v>
      </c>
      <c r="G2589" s="5">
        <f>TRUNC([1]단가대비표!O46,0)</f>
        <v>170000</v>
      </c>
      <c r="H2589" s="5">
        <f t="shared" si="239"/>
        <v>170000</v>
      </c>
      <c r="I2589" s="5">
        <v>0</v>
      </c>
      <c r="J2589" s="5">
        <f t="shared" si="240"/>
        <v>0</v>
      </c>
      <c r="K2589" s="5">
        <v>0</v>
      </c>
      <c r="L2589" s="5">
        <f t="shared" si="241"/>
        <v>0</v>
      </c>
      <c r="M2589" s="5">
        <f t="shared" si="242"/>
        <v>170000</v>
      </c>
      <c r="N2589" s="5">
        <f t="shared" si="242"/>
        <v>170000</v>
      </c>
      <c r="O2589" s="8" t="s">
        <v>20</v>
      </c>
      <c r="T2589">
        <v>0</v>
      </c>
      <c r="AC2589">
        <v>1</v>
      </c>
    </row>
    <row r="2590" spans="1:29" ht="30" customHeight="1" x14ac:dyDescent="0.3">
      <c r="A2590" s="8" t="s">
        <v>2284</v>
      </c>
      <c r="B2590" s="8" t="s">
        <v>2285</v>
      </c>
      <c r="C2590" s="8" t="s">
        <v>2286</v>
      </c>
      <c r="D2590" s="8" t="s">
        <v>20</v>
      </c>
      <c r="E2590" s="8" t="s">
        <v>179</v>
      </c>
      <c r="F2590" s="9">
        <v>1</v>
      </c>
      <c r="G2590" s="5">
        <f>TRUNC([1]단가대비표!O49,0)</f>
        <v>130000</v>
      </c>
      <c r="H2590" s="5">
        <f t="shared" si="239"/>
        <v>130000</v>
      </c>
      <c r="I2590" s="5">
        <v>0</v>
      </c>
      <c r="J2590" s="5">
        <f t="shared" si="240"/>
        <v>0</v>
      </c>
      <c r="K2590" s="5">
        <v>0</v>
      </c>
      <c r="L2590" s="5">
        <f t="shared" si="241"/>
        <v>0</v>
      </c>
      <c r="M2590" s="5">
        <f t="shared" si="242"/>
        <v>130000</v>
      </c>
      <c r="N2590" s="5">
        <f t="shared" si="242"/>
        <v>130000</v>
      </c>
      <c r="O2590" s="8" t="s">
        <v>20</v>
      </c>
      <c r="T2590">
        <v>0</v>
      </c>
      <c r="AC2590">
        <v>1</v>
      </c>
    </row>
    <row r="2591" spans="1:29" ht="30" customHeight="1" x14ac:dyDescent="0.3">
      <c r="A2591" s="8" t="s">
        <v>2284</v>
      </c>
      <c r="B2591" s="8" t="s">
        <v>152</v>
      </c>
      <c r="C2591" s="8" t="s">
        <v>153</v>
      </c>
      <c r="D2591" s="8" t="s">
        <v>154</v>
      </c>
      <c r="E2591" s="8" t="s">
        <v>155</v>
      </c>
      <c r="F2591" s="9">
        <v>10</v>
      </c>
      <c r="G2591" s="5">
        <v>0</v>
      </c>
      <c r="H2591" s="5">
        <f t="shared" si="239"/>
        <v>0</v>
      </c>
      <c r="I2591" s="5">
        <f>TRUNC([1]단가대비표!O671,0)</f>
        <v>157068</v>
      </c>
      <c r="J2591" s="5">
        <f t="shared" si="240"/>
        <v>1570680</v>
      </c>
      <c r="K2591" s="5">
        <v>0</v>
      </c>
      <c r="L2591" s="5">
        <f t="shared" si="241"/>
        <v>0</v>
      </c>
      <c r="M2591" s="5">
        <f t="shared" si="242"/>
        <v>157068</v>
      </c>
      <c r="N2591" s="5">
        <f t="shared" si="242"/>
        <v>1570680</v>
      </c>
      <c r="O2591" s="8" t="s">
        <v>20</v>
      </c>
      <c r="T2591">
        <v>0</v>
      </c>
      <c r="W2591">
        <v>3</v>
      </c>
      <c r="AC2591">
        <v>1</v>
      </c>
    </row>
    <row r="2592" spans="1:29" ht="30" customHeight="1" x14ac:dyDescent="0.3">
      <c r="A2592" s="8" t="s">
        <v>2284</v>
      </c>
      <c r="B2592" s="8" t="s">
        <v>761</v>
      </c>
      <c r="C2592" s="8" t="s">
        <v>153</v>
      </c>
      <c r="D2592" s="8" t="s">
        <v>762</v>
      </c>
      <c r="E2592" s="8" t="s">
        <v>155</v>
      </c>
      <c r="F2592" s="9">
        <v>42</v>
      </c>
      <c r="G2592" s="5">
        <v>0</v>
      </c>
      <c r="H2592" s="5">
        <f t="shared" si="239"/>
        <v>0</v>
      </c>
      <c r="I2592" s="5">
        <f>TRUNC([1]단가대비표!O673,0)</f>
        <v>202504</v>
      </c>
      <c r="J2592" s="5">
        <f t="shared" si="240"/>
        <v>8505168</v>
      </c>
      <c r="K2592" s="5">
        <v>0</v>
      </c>
      <c r="L2592" s="5">
        <f t="shared" si="241"/>
        <v>0</v>
      </c>
      <c r="M2592" s="5">
        <f t="shared" si="242"/>
        <v>202504</v>
      </c>
      <c r="N2592" s="5">
        <f t="shared" si="242"/>
        <v>8505168</v>
      </c>
      <c r="O2592" s="8" t="s">
        <v>20</v>
      </c>
      <c r="T2592">
        <v>0</v>
      </c>
      <c r="W2592">
        <v>3</v>
      </c>
      <c r="AC2592">
        <v>1</v>
      </c>
    </row>
    <row r="2593" spans="1:29" ht="30" customHeight="1" x14ac:dyDescent="0.3">
      <c r="A2593" s="8" t="s">
        <v>2284</v>
      </c>
      <c r="B2593" s="8" t="s">
        <v>158</v>
      </c>
      <c r="C2593" s="8" t="s">
        <v>159</v>
      </c>
      <c r="D2593" s="8" t="s">
        <v>160</v>
      </c>
      <c r="E2593" s="8" t="s">
        <v>161</v>
      </c>
      <c r="F2593" s="9">
        <v>1</v>
      </c>
      <c r="G2593" s="5">
        <f>ROUNDDOWN(SUMIF(W2579:W2593, RIGHTB(B2593, 1), J2579:J2593)*T2593, 0)</f>
        <v>201516</v>
      </c>
      <c r="H2593" s="5">
        <f t="shared" si="239"/>
        <v>201516</v>
      </c>
      <c r="I2593" s="5">
        <v>0</v>
      </c>
      <c r="J2593" s="5">
        <f t="shared" si="240"/>
        <v>0</v>
      </c>
      <c r="K2593" s="5">
        <v>0</v>
      </c>
      <c r="L2593" s="5">
        <f t="shared" si="241"/>
        <v>0</v>
      </c>
      <c r="M2593" s="5">
        <f t="shared" si="242"/>
        <v>201516</v>
      </c>
      <c r="N2593" s="5">
        <f t="shared" si="242"/>
        <v>201516</v>
      </c>
      <c r="O2593" s="8" t="s">
        <v>20</v>
      </c>
      <c r="P2593">
        <v>2593</v>
      </c>
      <c r="R2593">
        <v>1</v>
      </c>
      <c r="S2593">
        <v>0</v>
      </c>
      <c r="T2593">
        <v>0.02</v>
      </c>
      <c r="AC2593">
        <v>1</v>
      </c>
    </row>
    <row r="2594" spans="1:29" ht="30" customHeight="1" x14ac:dyDescent="0.3">
      <c r="A2594" s="5"/>
      <c r="B2594" s="5"/>
      <c r="C2594" s="5"/>
      <c r="D2594" s="5"/>
      <c r="E2594" s="5"/>
      <c r="F2594" s="9"/>
      <c r="G2594" s="5"/>
      <c r="H2594" s="5"/>
      <c r="I2594" s="5"/>
      <c r="J2594" s="5"/>
      <c r="K2594" s="5"/>
      <c r="L2594" s="5"/>
      <c r="M2594" s="5"/>
      <c r="N2594" s="5"/>
      <c r="O2594" s="5"/>
    </row>
    <row r="2595" spans="1:29" ht="30" customHeight="1" x14ac:dyDescent="0.3">
      <c r="A2595" s="5"/>
      <c r="B2595" s="5"/>
      <c r="C2595" s="5"/>
      <c r="D2595" s="5"/>
      <c r="E2595" s="5"/>
      <c r="F2595" s="9"/>
      <c r="G2595" s="5"/>
      <c r="H2595" s="5"/>
      <c r="I2595" s="5"/>
      <c r="J2595" s="5"/>
      <c r="K2595" s="5"/>
      <c r="L2595" s="5"/>
      <c r="M2595" s="5"/>
      <c r="N2595" s="5"/>
      <c r="O2595" s="5"/>
    </row>
    <row r="2596" spans="1:29" ht="30" customHeight="1" x14ac:dyDescent="0.3">
      <c r="A2596" s="5"/>
      <c r="B2596" s="5"/>
      <c r="C2596" s="5"/>
      <c r="D2596" s="5"/>
      <c r="E2596" s="5"/>
      <c r="F2596" s="9"/>
      <c r="G2596" s="5"/>
      <c r="H2596" s="5"/>
      <c r="I2596" s="5"/>
      <c r="J2596" s="5"/>
      <c r="K2596" s="5"/>
      <c r="L2596" s="5"/>
      <c r="M2596" s="5"/>
      <c r="N2596" s="5"/>
      <c r="O2596" s="5"/>
    </row>
    <row r="2597" spans="1:29" ht="30" customHeight="1" x14ac:dyDescent="0.3">
      <c r="A2597" s="5"/>
      <c r="B2597" s="5"/>
      <c r="C2597" s="5"/>
      <c r="D2597" s="5"/>
      <c r="E2597" s="5"/>
      <c r="F2597" s="9"/>
      <c r="G2597" s="5"/>
      <c r="H2597" s="5"/>
      <c r="I2597" s="5"/>
      <c r="J2597" s="5"/>
      <c r="K2597" s="5"/>
      <c r="L2597" s="5"/>
      <c r="M2597" s="5"/>
      <c r="N2597" s="5"/>
      <c r="O2597" s="5"/>
    </row>
    <row r="2598" spans="1:29" ht="30" customHeight="1" x14ac:dyDescent="0.3">
      <c r="A2598" s="5"/>
      <c r="B2598" s="5"/>
      <c r="C2598" s="5"/>
      <c r="D2598" s="5"/>
      <c r="E2598" s="5"/>
      <c r="F2598" s="9"/>
      <c r="G2598" s="5"/>
      <c r="H2598" s="5"/>
      <c r="I2598" s="5"/>
      <c r="J2598" s="5"/>
      <c r="K2598" s="5"/>
      <c r="L2598" s="5"/>
      <c r="M2598" s="5"/>
      <c r="N2598" s="5"/>
      <c r="O2598" s="5"/>
    </row>
    <row r="2599" spans="1:29" ht="30" customHeight="1" x14ac:dyDescent="0.3">
      <c r="A2599" s="5"/>
      <c r="B2599" s="5"/>
      <c r="C2599" s="5"/>
      <c r="D2599" s="5"/>
      <c r="E2599" s="5"/>
      <c r="F2599" s="9"/>
      <c r="G2599" s="5"/>
      <c r="H2599" s="5"/>
      <c r="I2599" s="5"/>
      <c r="J2599" s="5"/>
      <c r="K2599" s="5"/>
      <c r="L2599" s="5"/>
      <c r="M2599" s="5"/>
      <c r="N2599" s="5"/>
      <c r="O2599" s="5"/>
    </row>
    <row r="2600" spans="1:29" ht="30" customHeight="1" x14ac:dyDescent="0.3">
      <c r="A2600" s="5"/>
      <c r="B2600" s="5"/>
      <c r="C2600" s="5"/>
      <c r="D2600" s="5"/>
      <c r="E2600" s="5"/>
      <c r="F2600" s="9"/>
      <c r="G2600" s="5"/>
      <c r="H2600" s="5"/>
      <c r="I2600" s="5"/>
      <c r="J2600" s="5"/>
      <c r="K2600" s="5"/>
      <c r="L2600" s="5"/>
      <c r="M2600" s="5"/>
      <c r="N2600" s="5"/>
      <c r="O2600" s="5"/>
    </row>
    <row r="2601" spans="1:29" ht="30" customHeight="1" x14ac:dyDescent="0.3">
      <c r="A2601" s="5"/>
      <c r="B2601" s="5"/>
      <c r="C2601" s="5"/>
      <c r="D2601" s="5"/>
      <c r="E2601" s="5"/>
      <c r="F2601" s="9"/>
      <c r="G2601" s="5"/>
      <c r="H2601" s="5"/>
      <c r="I2601" s="5"/>
      <c r="J2601" s="5"/>
      <c r="K2601" s="5"/>
      <c r="L2601" s="5"/>
      <c r="M2601" s="5"/>
      <c r="N2601" s="5"/>
      <c r="O2601" s="5"/>
    </row>
    <row r="2602" spans="1:29" ht="30" customHeight="1" x14ac:dyDescent="0.3">
      <c r="A2602" s="5"/>
      <c r="B2602" s="5"/>
      <c r="C2602" s="5"/>
      <c r="D2602" s="5"/>
      <c r="E2602" s="5"/>
      <c r="F2602" s="9"/>
      <c r="G2602" s="5"/>
      <c r="H2602" s="5"/>
      <c r="I2602" s="5"/>
      <c r="J2602" s="5"/>
      <c r="K2602" s="5"/>
      <c r="L2602" s="5"/>
      <c r="M2602" s="5"/>
      <c r="N2602" s="5"/>
      <c r="O2602" s="5"/>
    </row>
    <row r="2603" spans="1:29" ht="30" customHeight="1" x14ac:dyDescent="0.3">
      <c r="A2603" s="5"/>
      <c r="B2603" s="5"/>
      <c r="C2603" s="5" t="s">
        <v>162</v>
      </c>
      <c r="D2603" s="5"/>
      <c r="E2603" s="5"/>
      <c r="F2603" s="9"/>
      <c r="G2603" s="5"/>
      <c r="H2603" s="5">
        <f>SUMIF(AC2579:AC2602, 1, H2579:H2602)</f>
        <v>10910626</v>
      </c>
      <c r="I2603" s="5"/>
      <c r="J2603" s="5">
        <f>SUMIF(AC2579:AC2602, 1, J2579:J2602)</f>
        <v>10075848</v>
      </c>
      <c r="K2603" s="5"/>
      <c r="L2603" s="5">
        <f>SUMIF(AC2579:AC2602, 1, L2579:L2602)</f>
        <v>0</v>
      </c>
      <c r="M2603" s="5"/>
      <c r="N2603" s="5">
        <f>H2603+J2603+L2603</f>
        <v>20986474</v>
      </c>
      <c r="O2603" s="5"/>
    </row>
    <row r="2604" spans="1:29" ht="30" customHeight="1" x14ac:dyDescent="0.3">
      <c r="A2604" s="5"/>
      <c r="B2604" s="5"/>
      <c r="C2604" s="10" t="s">
        <v>2287</v>
      </c>
      <c r="D2604" s="10"/>
      <c r="E2604" s="10"/>
      <c r="F2604" s="11"/>
      <c r="G2604" s="10"/>
      <c r="H2604" s="10"/>
      <c r="I2604" s="10"/>
      <c r="J2604" s="10"/>
      <c r="K2604" s="10"/>
      <c r="L2604" s="10"/>
      <c r="M2604" s="10"/>
      <c r="N2604" s="10"/>
      <c r="O2604" s="10"/>
    </row>
    <row r="2605" spans="1:29" ht="30" customHeight="1" x14ac:dyDescent="0.3">
      <c r="A2605" s="8" t="s">
        <v>2288</v>
      </c>
      <c r="B2605" s="8" t="s">
        <v>190</v>
      </c>
      <c r="C2605" s="8" t="s">
        <v>191</v>
      </c>
      <c r="D2605" s="8" t="s">
        <v>192</v>
      </c>
      <c r="E2605" s="8" t="s">
        <v>168</v>
      </c>
      <c r="F2605" s="9">
        <v>299</v>
      </c>
      <c r="G2605" s="5">
        <f>TRUNC([1]단가대비표!O85,0)</f>
        <v>1980</v>
      </c>
      <c r="H2605" s="5">
        <f t="shared" ref="H2605:H2668" si="243">TRUNC(F2605*G2605,0)</f>
        <v>592020</v>
      </c>
      <c r="I2605" s="5">
        <v>0</v>
      </c>
      <c r="J2605" s="5">
        <f t="shared" ref="J2605:J2668" si="244">TRUNC(F2605*I2605,0)</f>
        <v>0</v>
      </c>
      <c r="K2605" s="5">
        <v>0</v>
      </c>
      <c r="L2605" s="5">
        <f t="shared" ref="L2605:L2668" si="245">TRUNC(F2605*K2605,0)</f>
        <v>0</v>
      </c>
      <c r="M2605" s="5">
        <f t="shared" ref="M2605:N2636" si="246">G2605+I2605+K2605</f>
        <v>1980</v>
      </c>
      <c r="N2605" s="5">
        <f t="shared" si="246"/>
        <v>592020</v>
      </c>
      <c r="O2605" s="8" t="s">
        <v>20</v>
      </c>
      <c r="T2605">
        <v>0</v>
      </c>
      <c r="U2605">
        <v>1</v>
      </c>
      <c r="AC2605">
        <v>1</v>
      </c>
    </row>
    <row r="2606" spans="1:29" ht="30" customHeight="1" x14ac:dyDescent="0.3">
      <c r="A2606" s="8" t="s">
        <v>2288</v>
      </c>
      <c r="B2606" s="8" t="s">
        <v>193</v>
      </c>
      <c r="C2606" s="8" t="s">
        <v>191</v>
      </c>
      <c r="D2606" s="8" t="s">
        <v>194</v>
      </c>
      <c r="E2606" s="8" t="s">
        <v>168</v>
      </c>
      <c r="F2606" s="9">
        <v>172</v>
      </c>
      <c r="G2606" s="5">
        <f>TRUNC([1]단가대비표!O86,0)</f>
        <v>3220</v>
      </c>
      <c r="H2606" s="5">
        <f t="shared" si="243"/>
        <v>553840</v>
      </c>
      <c r="I2606" s="5">
        <v>0</v>
      </c>
      <c r="J2606" s="5">
        <f t="shared" si="244"/>
        <v>0</v>
      </c>
      <c r="K2606" s="5">
        <v>0</v>
      </c>
      <c r="L2606" s="5">
        <f t="shared" si="245"/>
        <v>0</v>
      </c>
      <c r="M2606" s="5">
        <f t="shared" si="246"/>
        <v>3220</v>
      </c>
      <c r="N2606" s="5">
        <f t="shared" si="246"/>
        <v>553840</v>
      </c>
      <c r="O2606" s="8" t="s">
        <v>20</v>
      </c>
      <c r="T2606">
        <v>0</v>
      </c>
      <c r="U2606">
        <v>1</v>
      </c>
      <c r="AC2606">
        <v>1</v>
      </c>
    </row>
    <row r="2607" spans="1:29" ht="30" customHeight="1" x14ac:dyDescent="0.3">
      <c r="A2607" s="8" t="s">
        <v>2288</v>
      </c>
      <c r="B2607" s="8" t="s">
        <v>195</v>
      </c>
      <c r="C2607" s="8" t="s">
        <v>191</v>
      </c>
      <c r="D2607" s="8" t="s">
        <v>196</v>
      </c>
      <c r="E2607" s="8" t="s">
        <v>168</v>
      </c>
      <c r="F2607" s="9">
        <v>136</v>
      </c>
      <c r="G2607" s="5">
        <f>TRUNC([1]단가대비표!O87,0)</f>
        <v>4010</v>
      </c>
      <c r="H2607" s="5">
        <f t="shared" si="243"/>
        <v>545360</v>
      </c>
      <c r="I2607" s="5">
        <v>0</v>
      </c>
      <c r="J2607" s="5">
        <f t="shared" si="244"/>
        <v>0</v>
      </c>
      <c r="K2607" s="5">
        <v>0</v>
      </c>
      <c r="L2607" s="5">
        <f t="shared" si="245"/>
        <v>0</v>
      </c>
      <c r="M2607" s="5">
        <f t="shared" si="246"/>
        <v>4010</v>
      </c>
      <c r="N2607" s="5">
        <f t="shared" si="246"/>
        <v>545360</v>
      </c>
      <c r="O2607" s="8" t="s">
        <v>20</v>
      </c>
      <c r="T2607">
        <v>0</v>
      </c>
      <c r="U2607">
        <v>1</v>
      </c>
      <c r="AC2607">
        <v>1</v>
      </c>
    </row>
    <row r="2608" spans="1:29" ht="30" customHeight="1" x14ac:dyDescent="0.3">
      <c r="A2608" s="8" t="s">
        <v>2288</v>
      </c>
      <c r="B2608" s="8" t="s">
        <v>197</v>
      </c>
      <c r="C2608" s="8" t="s">
        <v>191</v>
      </c>
      <c r="D2608" s="8" t="s">
        <v>198</v>
      </c>
      <c r="E2608" s="8" t="s">
        <v>168</v>
      </c>
      <c r="F2608" s="9">
        <v>76</v>
      </c>
      <c r="G2608" s="5">
        <f>TRUNC([1]단가대비표!O88,0)</f>
        <v>5650</v>
      </c>
      <c r="H2608" s="5">
        <f t="shared" si="243"/>
        <v>429400</v>
      </c>
      <c r="I2608" s="5">
        <v>0</v>
      </c>
      <c r="J2608" s="5">
        <f t="shared" si="244"/>
        <v>0</v>
      </c>
      <c r="K2608" s="5">
        <v>0</v>
      </c>
      <c r="L2608" s="5">
        <f t="shared" si="245"/>
        <v>0</v>
      </c>
      <c r="M2608" s="5">
        <f t="shared" si="246"/>
        <v>5650</v>
      </c>
      <c r="N2608" s="5">
        <f t="shared" si="246"/>
        <v>429400</v>
      </c>
      <c r="O2608" s="8" t="s">
        <v>20</v>
      </c>
      <c r="T2608">
        <v>0</v>
      </c>
      <c r="U2608">
        <v>1</v>
      </c>
      <c r="AC2608">
        <v>1</v>
      </c>
    </row>
    <row r="2609" spans="1:29" ht="30" customHeight="1" x14ac:dyDescent="0.3">
      <c r="A2609" s="8" t="s">
        <v>2288</v>
      </c>
      <c r="B2609" s="8" t="s">
        <v>199</v>
      </c>
      <c r="C2609" s="8" t="s">
        <v>191</v>
      </c>
      <c r="D2609" s="8" t="s">
        <v>200</v>
      </c>
      <c r="E2609" s="8" t="s">
        <v>168</v>
      </c>
      <c r="F2609" s="9">
        <v>10</v>
      </c>
      <c r="G2609" s="5">
        <f>TRUNC([1]단가대비표!O89,0)</f>
        <v>6910</v>
      </c>
      <c r="H2609" s="5">
        <f t="shared" si="243"/>
        <v>69100</v>
      </c>
      <c r="I2609" s="5">
        <v>0</v>
      </c>
      <c r="J2609" s="5">
        <f t="shared" si="244"/>
        <v>0</v>
      </c>
      <c r="K2609" s="5">
        <v>0</v>
      </c>
      <c r="L2609" s="5">
        <f t="shared" si="245"/>
        <v>0</v>
      </c>
      <c r="M2609" s="5">
        <f t="shared" si="246"/>
        <v>6910</v>
      </c>
      <c r="N2609" s="5">
        <f t="shared" si="246"/>
        <v>69100</v>
      </c>
      <c r="O2609" s="8" t="s">
        <v>20</v>
      </c>
      <c r="T2609">
        <v>0</v>
      </c>
      <c r="U2609">
        <v>1</v>
      </c>
      <c r="AC2609">
        <v>1</v>
      </c>
    </row>
    <row r="2610" spans="1:29" ht="30" customHeight="1" x14ac:dyDescent="0.3">
      <c r="A2610" s="8" t="s">
        <v>2288</v>
      </c>
      <c r="B2610" s="8" t="s">
        <v>201</v>
      </c>
      <c r="C2610" s="8" t="s">
        <v>191</v>
      </c>
      <c r="D2610" s="8" t="s">
        <v>202</v>
      </c>
      <c r="E2610" s="8" t="s">
        <v>168</v>
      </c>
      <c r="F2610" s="9">
        <v>47</v>
      </c>
      <c r="G2610" s="5">
        <f>TRUNC([1]단가대비표!O90,0)</f>
        <v>7960</v>
      </c>
      <c r="H2610" s="5">
        <f t="shared" si="243"/>
        <v>374120</v>
      </c>
      <c r="I2610" s="5">
        <v>0</v>
      </c>
      <c r="J2610" s="5">
        <f t="shared" si="244"/>
        <v>0</v>
      </c>
      <c r="K2610" s="5">
        <v>0</v>
      </c>
      <c r="L2610" s="5">
        <f t="shared" si="245"/>
        <v>0</v>
      </c>
      <c r="M2610" s="5">
        <f t="shared" si="246"/>
        <v>7960</v>
      </c>
      <c r="N2610" s="5">
        <f t="shared" si="246"/>
        <v>374120</v>
      </c>
      <c r="O2610" s="8" t="s">
        <v>20</v>
      </c>
      <c r="T2610">
        <v>0</v>
      </c>
      <c r="U2610">
        <v>1</v>
      </c>
      <c r="AC2610">
        <v>1</v>
      </c>
    </row>
    <row r="2611" spans="1:29" ht="30" customHeight="1" x14ac:dyDescent="0.3">
      <c r="A2611" s="8" t="s">
        <v>2288</v>
      </c>
      <c r="B2611" s="8" t="s">
        <v>203</v>
      </c>
      <c r="C2611" s="8" t="s">
        <v>191</v>
      </c>
      <c r="D2611" s="8" t="s">
        <v>204</v>
      </c>
      <c r="E2611" s="8" t="s">
        <v>168</v>
      </c>
      <c r="F2611" s="9">
        <v>24</v>
      </c>
      <c r="G2611" s="5">
        <f>TRUNC([1]단가대비표!O91,0)</f>
        <v>12350</v>
      </c>
      <c r="H2611" s="5">
        <f t="shared" si="243"/>
        <v>296400</v>
      </c>
      <c r="I2611" s="5">
        <v>0</v>
      </c>
      <c r="J2611" s="5">
        <f t="shared" si="244"/>
        <v>0</v>
      </c>
      <c r="K2611" s="5">
        <v>0</v>
      </c>
      <c r="L2611" s="5">
        <f t="shared" si="245"/>
        <v>0</v>
      </c>
      <c r="M2611" s="5">
        <f t="shared" si="246"/>
        <v>12350</v>
      </c>
      <c r="N2611" s="5">
        <f t="shared" si="246"/>
        <v>296400</v>
      </c>
      <c r="O2611" s="8" t="s">
        <v>20</v>
      </c>
      <c r="T2611">
        <v>0</v>
      </c>
      <c r="U2611">
        <v>1</v>
      </c>
      <c r="AC2611">
        <v>1</v>
      </c>
    </row>
    <row r="2612" spans="1:29" ht="30" customHeight="1" x14ac:dyDescent="0.3">
      <c r="A2612" s="8" t="s">
        <v>2288</v>
      </c>
      <c r="B2612" s="8" t="s">
        <v>173</v>
      </c>
      <c r="C2612" s="8" t="s">
        <v>174</v>
      </c>
      <c r="D2612" s="8" t="s">
        <v>175</v>
      </c>
      <c r="E2612" s="8" t="s">
        <v>161</v>
      </c>
      <c r="F2612" s="9">
        <v>1</v>
      </c>
      <c r="G2612" s="5">
        <f>ROUNDDOWN(SUMIF(U2605:U2726, RIGHTB(B2612, 1), H2605:H2726)*T2612, 0)</f>
        <v>85807</v>
      </c>
      <c r="H2612" s="5">
        <f t="shared" si="243"/>
        <v>85807</v>
      </c>
      <c r="I2612" s="5">
        <v>0</v>
      </c>
      <c r="J2612" s="5">
        <f t="shared" si="244"/>
        <v>0</v>
      </c>
      <c r="K2612" s="5">
        <v>0</v>
      </c>
      <c r="L2612" s="5">
        <f t="shared" si="245"/>
        <v>0</v>
      </c>
      <c r="M2612" s="5">
        <f t="shared" si="246"/>
        <v>85807</v>
      </c>
      <c r="N2612" s="5">
        <f t="shared" si="246"/>
        <v>85807</v>
      </c>
      <c r="O2612" s="8" t="s">
        <v>20</v>
      </c>
      <c r="P2612">
        <v>2612</v>
      </c>
      <c r="R2612">
        <v>0</v>
      </c>
      <c r="S2612">
        <v>0</v>
      </c>
      <c r="T2612">
        <v>0.03</v>
      </c>
      <c r="AC2612">
        <v>1</v>
      </c>
    </row>
    <row r="2613" spans="1:29" ht="30" customHeight="1" x14ac:dyDescent="0.3">
      <c r="A2613" s="8" t="s">
        <v>2288</v>
      </c>
      <c r="B2613" s="8" t="s">
        <v>765</v>
      </c>
      <c r="C2613" s="8" t="s">
        <v>766</v>
      </c>
      <c r="D2613" s="8" t="s">
        <v>767</v>
      </c>
      <c r="E2613" s="8" t="s">
        <v>168</v>
      </c>
      <c r="F2613" s="9">
        <v>87</v>
      </c>
      <c r="G2613" s="5" t="e">
        <f>'[2].xls].xls].xls].xls].xls].xls].xls].'!E79</f>
        <v>#REF!</v>
      </c>
      <c r="H2613" s="5" t="e">
        <f t="shared" si="243"/>
        <v>#REF!</v>
      </c>
      <c r="I2613" s="5" t="e">
        <f>'[2].xls].xls].xls].xls].xls].xls].xls].'!F79</f>
        <v>#REF!</v>
      </c>
      <c r="J2613" s="5" t="e">
        <f t="shared" si="244"/>
        <v>#REF!</v>
      </c>
      <c r="K2613" s="5" t="e">
        <f>'[2].xls].xls].xls].xls].xls].xls].xls].'!G79</f>
        <v>#REF!</v>
      </c>
      <c r="L2613" s="5" t="e">
        <f t="shared" si="245"/>
        <v>#REF!</v>
      </c>
      <c r="M2613" s="5" t="e">
        <f t="shared" si="246"/>
        <v>#REF!</v>
      </c>
      <c r="N2613" s="5" t="e">
        <f t="shared" si="246"/>
        <v>#REF!</v>
      </c>
      <c r="O2613" s="8" t="s">
        <v>765</v>
      </c>
      <c r="T2613">
        <v>0</v>
      </c>
      <c r="AC2613">
        <v>1</v>
      </c>
    </row>
    <row r="2614" spans="1:29" ht="30" customHeight="1" x14ac:dyDescent="0.3">
      <c r="A2614" s="8" t="s">
        <v>2288</v>
      </c>
      <c r="B2614" s="8" t="s">
        <v>770</v>
      </c>
      <c r="C2614" s="8" t="s">
        <v>766</v>
      </c>
      <c r="D2614" s="8" t="s">
        <v>771</v>
      </c>
      <c r="E2614" s="8" t="s">
        <v>168</v>
      </c>
      <c r="F2614" s="9">
        <v>1</v>
      </c>
      <c r="G2614" s="5" t="e">
        <f>'[2].xls].xls].xls].xls].xls].xls].xls].'!E81</f>
        <v>#REF!</v>
      </c>
      <c r="H2614" s="5" t="e">
        <f t="shared" si="243"/>
        <v>#REF!</v>
      </c>
      <c r="I2614" s="5" t="e">
        <f>'[2].xls].xls].xls].xls].xls].xls].xls].'!F81</f>
        <v>#REF!</v>
      </c>
      <c r="J2614" s="5" t="e">
        <f t="shared" si="244"/>
        <v>#REF!</v>
      </c>
      <c r="K2614" s="5" t="e">
        <f>'[2].xls].xls].xls].xls].xls].xls].xls].'!G81</f>
        <v>#REF!</v>
      </c>
      <c r="L2614" s="5" t="e">
        <f t="shared" si="245"/>
        <v>#REF!</v>
      </c>
      <c r="M2614" s="5" t="e">
        <f t="shared" si="246"/>
        <v>#REF!</v>
      </c>
      <c r="N2614" s="5" t="e">
        <f t="shared" si="246"/>
        <v>#REF!</v>
      </c>
      <c r="O2614" s="8" t="s">
        <v>770</v>
      </c>
      <c r="T2614">
        <v>0</v>
      </c>
      <c r="AC2614">
        <v>1</v>
      </c>
    </row>
    <row r="2615" spans="1:29" ht="30" customHeight="1" x14ac:dyDescent="0.3">
      <c r="A2615" s="8" t="s">
        <v>2288</v>
      </c>
      <c r="B2615" s="8" t="s">
        <v>772</v>
      </c>
      <c r="C2615" s="8" t="s">
        <v>219</v>
      </c>
      <c r="D2615" s="8" t="s">
        <v>773</v>
      </c>
      <c r="E2615" s="8" t="s">
        <v>168</v>
      </c>
      <c r="F2615" s="9">
        <v>112</v>
      </c>
      <c r="G2615" s="5" t="e">
        <f>'[2].xls].xls].xls].xls].xls].xls].xls].'!E88</f>
        <v>#REF!</v>
      </c>
      <c r="H2615" s="5" t="e">
        <f t="shared" si="243"/>
        <v>#REF!</v>
      </c>
      <c r="I2615" s="5" t="e">
        <f>'[2].xls].xls].xls].xls].xls].xls].xls].'!F88</f>
        <v>#REF!</v>
      </c>
      <c r="J2615" s="5" t="e">
        <f t="shared" si="244"/>
        <v>#REF!</v>
      </c>
      <c r="K2615" s="5" t="e">
        <f>'[2].xls].xls].xls].xls].xls].xls].xls].'!G88</f>
        <v>#REF!</v>
      </c>
      <c r="L2615" s="5" t="e">
        <f t="shared" si="245"/>
        <v>#REF!</v>
      </c>
      <c r="M2615" s="5" t="e">
        <f t="shared" si="246"/>
        <v>#REF!</v>
      </c>
      <c r="N2615" s="5" t="e">
        <f t="shared" si="246"/>
        <v>#REF!</v>
      </c>
      <c r="O2615" s="8" t="s">
        <v>772</v>
      </c>
      <c r="T2615">
        <v>0</v>
      </c>
      <c r="AC2615">
        <v>1</v>
      </c>
    </row>
    <row r="2616" spans="1:29" ht="30" customHeight="1" x14ac:dyDescent="0.3">
      <c r="A2616" s="8" t="s">
        <v>2288</v>
      </c>
      <c r="B2616" s="8" t="s">
        <v>221</v>
      </c>
      <c r="C2616" s="8" t="s">
        <v>219</v>
      </c>
      <c r="D2616" s="8" t="s">
        <v>222</v>
      </c>
      <c r="E2616" s="8" t="s">
        <v>168</v>
      </c>
      <c r="F2616" s="9">
        <v>95</v>
      </c>
      <c r="G2616" s="5" t="e">
        <f>'[2].xls].xls].xls].xls].xls].xls].xls].'!E90</f>
        <v>#REF!</v>
      </c>
      <c r="H2616" s="5" t="e">
        <f t="shared" si="243"/>
        <v>#REF!</v>
      </c>
      <c r="I2616" s="5" t="e">
        <f>'[2].xls].xls].xls].xls].xls].xls].xls].'!F90</f>
        <v>#REF!</v>
      </c>
      <c r="J2616" s="5" t="e">
        <f t="shared" si="244"/>
        <v>#REF!</v>
      </c>
      <c r="K2616" s="5" t="e">
        <f>'[2].xls].xls].xls].xls].xls].xls].xls].'!G90</f>
        <v>#REF!</v>
      </c>
      <c r="L2616" s="5" t="e">
        <f t="shared" si="245"/>
        <v>#REF!</v>
      </c>
      <c r="M2616" s="5" t="e">
        <f t="shared" si="246"/>
        <v>#REF!</v>
      </c>
      <c r="N2616" s="5" t="e">
        <f t="shared" si="246"/>
        <v>#REF!</v>
      </c>
      <c r="O2616" s="8" t="s">
        <v>221</v>
      </c>
      <c r="T2616">
        <v>0</v>
      </c>
      <c r="AC2616">
        <v>1</v>
      </c>
    </row>
    <row r="2617" spans="1:29" ht="30" customHeight="1" x14ac:dyDescent="0.3">
      <c r="A2617" s="8" t="s">
        <v>2288</v>
      </c>
      <c r="B2617" s="8" t="s">
        <v>223</v>
      </c>
      <c r="C2617" s="8" t="s">
        <v>219</v>
      </c>
      <c r="D2617" s="8" t="s">
        <v>224</v>
      </c>
      <c r="E2617" s="8" t="s">
        <v>168</v>
      </c>
      <c r="F2617" s="9">
        <v>21</v>
      </c>
      <c r="G2617" s="5" t="e">
        <f>'[2].xls].xls].xls].xls].xls].xls].xls].'!E91</f>
        <v>#REF!</v>
      </c>
      <c r="H2617" s="5" t="e">
        <f t="shared" si="243"/>
        <v>#REF!</v>
      </c>
      <c r="I2617" s="5" t="e">
        <f>'[2].xls].xls].xls].xls].xls].xls].xls].'!F91</f>
        <v>#REF!</v>
      </c>
      <c r="J2617" s="5" t="e">
        <f t="shared" si="244"/>
        <v>#REF!</v>
      </c>
      <c r="K2617" s="5" t="e">
        <f>'[2].xls].xls].xls].xls].xls].xls].xls].'!G91</f>
        <v>#REF!</v>
      </c>
      <c r="L2617" s="5" t="e">
        <f t="shared" si="245"/>
        <v>#REF!</v>
      </c>
      <c r="M2617" s="5" t="e">
        <f t="shared" si="246"/>
        <v>#REF!</v>
      </c>
      <c r="N2617" s="5" t="e">
        <f t="shared" si="246"/>
        <v>#REF!</v>
      </c>
      <c r="O2617" s="8" t="s">
        <v>223</v>
      </c>
      <c r="T2617">
        <v>0</v>
      </c>
      <c r="AC2617">
        <v>1</v>
      </c>
    </row>
    <row r="2618" spans="1:29" ht="30" customHeight="1" x14ac:dyDescent="0.3">
      <c r="A2618" s="8" t="s">
        <v>2288</v>
      </c>
      <c r="B2618" s="8" t="s">
        <v>225</v>
      </c>
      <c r="C2618" s="8" t="s">
        <v>219</v>
      </c>
      <c r="D2618" s="8" t="s">
        <v>226</v>
      </c>
      <c r="E2618" s="8" t="s">
        <v>168</v>
      </c>
      <c r="F2618" s="9">
        <v>5</v>
      </c>
      <c r="G2618" s="5" t="e">
        <f>'[2].xls].xls].xls].xls].xls].xls].xls].'!E92</f>
        <v>#REF!</v>
      </c>
      <c r="H2618" s="5" t="e">
        <f t="shared" si="243"/>
        <v>#REF!</v>
      </c>
      <c r="I2618" s="5" t="e">
        <f>'[2].xls].xls].xls].xls].xls].xls].xls].'!F92</f>
        <v>#REF!</v>
      </c>
      <c r="J2618" s="5" t="e">
        <f t="shared" si="244"/>
        <v>#REF!</v>
      </c>
      <c r="K2618" s="5" t="e">
        <f>'[2].xls].xls].xls].xls].xls].xls].xls].'!G92</f>
        <v>#REF!</v>
      </c>
      <c r="L2618" s="5" t="e">
        <f t="shared" si="245"/>
        <v>#REF!</v>
      </c>
      <c r="M2618" s="5" t="e">
        <f t="shared" si="246"/>
        <v>#REF!</v>
      </c>
      <c r="N2618" s="5" t="e">
        <f t="shared" si="246"/>
        <v>#REF!</v>
      </c>
      <c r="O2618" s="8" t="s">
        <v>225</v>
      </c>
      <c r="T2618">
        <v>0</v>
      </c>
      <c r="AC2618">
        <v>1</v>
      </c>
    </row>
    <row r="2619" spans="1:29" ht="30" customHeight="1" x14ac:dyDescent="0.3">
      <c r="A2619" s="8" t="s">
        <v>2288</v>
      </c>
      <c r="B2619" s="8" t="s">
        <v>227</v>
      </c>
      <c r="C2619" s="8" t="s">
        <v>219</v>
      </c>
      <c r="D2619" s="8" t="s">
        <v>228</v>
      </c>
      <c r="E2619" s="8" t="s">
        <v>168</v>
      </c>
      <c r="F2619" s="9">
        <v>26</v>
      </c>
      <c r="G2619" s="5" t="e">
        <f>'[2].xls].xls].xls].xls].xls].xls].xls].'!E93</f>
        <v>#REF!</v>
      </c>
      <c r="H2619" s="5" t="e">
        <f t="shared" si="243"/>
        <v>#REF!</v>
      </c>
      <c r="I2619" s="5" t="e">
        <f>'[2].xls].xls].xls].xls].xls].xls].xls].'!F93</f>
        <v>#REF!</v>
      </c>
      <c r="J2619" s="5" t="e">
        <f t="shared" si="244"/>
        <v>#REF!</v>
      </c>
      <c r="K2619" s="5" t="e">
        <f>'[2].xls].xls].xls].xls].xls].xls].xls].'!G93</f>
        <v>#REF!</v>
      </c>
      <c r="L2619" s="5" t="e">
        <f t="shared" si="245"/>
        <v>#REF!</v>
      </c>
      <c r="M2619" s="5" t="e">
        <f t="shared" si="246"/>
        <v>#REF!</v>
      </c>
      <c r="N2619" s="5" t="e">
        <f t="shared" si="246"/>
        <v>#REF!</v>
      </c>
      <c r="O2619" s="8" t="s">
        <v>227</v>
      </c>
      <c r="T2619">
        <v>0</v>
      </c>
      <c r="AC2619">
        <v>1</v>
      </c>
    </row>
    <row r="2620" spans="1:29" ht="30" customHeight="1" x14ac:dyDescent="0.3">
      <c r="A2620" s="8" t="s">
        <v>2288</v>
      </c>
      <c r="B2620" s="8" t="s">
        <v>229</v>
      </c>
      <c r="C2620" s="8" t="s">
        <v>219</v>
      </c>
      <c r="D2620" s="8" t="s">
        <v>230</v>
      </c>
      <c r="E2620" s="8" t="s">
        <v>168</v>
      </c>
      <c r="F2620" s="9">
        <v>21</v>
      </c>
      <c r="G2620" s="5" t="e">
        <f>'[2].xls].xls].xls].xls].xls].xls].xls].'!E94</f>
        <v>#REF!</v>
      </c>
      <c r="H2620" s="5" t="e">
        <f t="shared" si="243"/>
        <v>#REF!</v>
      </c>
      <c r="I2620" s="5" t="e">
        <f>'[2].xls].xls].xls].xls].xls].xls].xls].'!F94</f>
        <v>#REF!</v>
      </c>
      <c r="J2620" s="5" t="e">
        <f t="shared" si="244"/>
        <v>#REF!</v>
      </c>
      <c r="K2620" s="5" t="e">
        <f>'[2].xls].xls].xls].xls].xls].xls].xls].'!G94</f>
        <v>#REF!</v>
      </c>
      <c r="L2620" s="5" t="e">
        <f t="shared" si="245"/>
        <v>#REF!</v>
      </c>
      <c r="M2620" s="5" t="e">
        <f t="shared" si="246"/>
        <v>#REF!</v>
      </c>
      <c r="N2620" s="5" t="e">
        <f t="shared" si="246"/>
        <v>#REF!</v>
      </c>
      <c r="O2620" s="8" t="s">
        <v>229</v>
      </c>
      <c r="T2620">
        <v>0</v>
      </c>
      <c r="AC2620">
        <v>1</v>
      </c>
    </row>
    <row r="2621" spans="1:29" ht="30" customHeight="1" x14ac:dyDescent="0.3">
      <c r="A2621" s="8" t="s">
        <v>2288</v>
      </c>
      <c r="B2621" s="8" t="s">
        <v>776</v>
      </c>
      <c r="C2621" s="8" t="s">
        <v>219</v>
      </c>
      <c r="D2621" s="8" t="s">
        <v>777</v>
      </c>
      <c r="E2621" s="8" t="s">
        <v>168</v>
      </c>
      <c r="F2621" s="9">
        <v>73</v>
      </c>
      <c r="G2621" s="5" t="e">
        <f>'[2].xls].xls].xls].xls].xls].xls].xls].'!E101</f>
        <v>#REF!</v>
      </c>
      <c r="H2621" s="5" t="e">
        <f t="shared" si="243"/>
        <v>#REF!</v>
      </c>
      <c r="I2621" s="5" t="e">
        <f>'[2].xls].xls].xls].xls].xls].xls].xls].'!F101</f>
        <v>#REF!</v>
      </c>
      <c r="J2621" s="5" t="e">
        <f t="shared" si="244"/>
        <v>#REF!</v>
      </c>
      <c r="K2621" s="5" t="e">
        <f>'[2].xls].xls].xls].xls].xls].xls].xls].'!G101</f>
        <v>#REF!</v>
      </c>
      <c r="L2621" s="5" t="e">
        <f t="shared" si="245"/>
        <v>#REF!</v>
      </c>
      <c r="M2621" s="5" t="e">
        <f t="shared" si="246"/>
        <v>#REF!</v>
      </c>
      <c r="N2621" s="5" t="e">
        <f t="shared" si="246"/>
        <v>#REF!</v>
      </c>
      <c r="O2621" s="8" t="s">
        <v>776</v>
      </c>
      <c r="T2621">
        <v>0</v>
      </c>
      <c r="AC2621">
        <v>1</v>
      </c>
    </row>
    <row r="2622" spans="1:29" ht="30" customHeight="1" x14ac:dyDescent="0.3">
      <c r="A2622" s="8" t="s">
        <v>2288</v>
      </c>
      <c r="B2622" s="8" t="s">
        <v>559</v>
      </c>
      <c r="C2622" s="8" t="s">
        <v>219</v>
      </c>
      <c r="D2622" s="8" t="s">
        <v>560</v>
      </c>
      <c r="E2622" s="8" t="s">
        <v>168</v>
      </c>
      <c r="F2622" s="9">
        <v>153</v>
      </c>
      <c r="G2622" s="5" t="e">
        <f>'[2].xls].xls].xls].xls].xls].xls].xls].'!E102</f>
        <v>#REF!</v>
      </c>
      <c r="H2622" s="5" t="e">
        <f t="shared" si="243"/>
        <v>#REF!</v>
      </c>
      <c r="I2622" s="5" t="e">
        <f>'[2].xls].xls].xls].xls].xls].xls].xls].'!F102</f>
        <v>#REF!</v>
      </c>
      <c r="J2622" s="5" t="e">
        <f t="shared" si="244"/>
        <v>#REF!</v>
      </c>
      <c r="K2622" s="5" t="e">
        <f>'[2].xls].xls].xls].xls].xls].xls].xls].'!G102</f>
        <v>#REF!</v>
      </c>
      <c r="L2622" s="5" t="e">
        <f t="shared" si="245"/>
        <v>#REF!</v>
      </c>
      <c r="M2622" s="5" t="e">
        <f t="shared" si="246"/>
        <v>#REF!</v>
      </c>
      <c r="N2622" s="5" t="e">
        <f t="shared" si="246"/>
        <v>#REF!</v>
      </c>
      <c r="O2622" s="8" t="s">
        <v>559</v>
      </c>
      <c r="T2622">
        <v>0</v>
      </c>
      <c r="AC2622">
        <v>1</v>
      </c>
    </row>
    <row r="2623" spans="1:29" ht="30" customHeight="1" x14ac:dyDescent="0.3">
      <c r="A2623" s="8" t="s">
        <v>2288</v>
      </c>
      <c r="B2623" s="8" t="s">
        <v>237</v>
      </c>
      <c r="C2623" s="8" t="s">
        <v>219</v>
      </c>
      <c r="D2623" s="8" t="s">
        <v>238</v>
      </c>
      <c r="E2623" s="8" t="s">
        <v>168</v>
      </c>
      <c r="F2623" s="9">
        <v>28</v>
      </c>
      <c r="G2623" s="5" t="e">
        <f>'[2].xls].xls].xls].xls].xls].xls].xls].'!E103</f>
        <v>#REF!</v>
      </c>
      <c r="H2623" s="5" t="e">
        <f t="shared" si="243"/>
        <v>#REF!</v>
      </c>
      <c r="I2623" s="5" t="e">
        <f>'[2].xls].xls].xls].xls].xls].xls].xls].'!F103</f>
        <v>#REF!</v>
      </c>
      <c r="J2623" s="5" t="e">
        <f t="shared" si="244"/>
        <v>#REF!</v>
      </c>
      <c r="K2623" s="5" t="e">
        <f>'[2].xls].xls].xls].xls].xls].xls].xls].'!G103</f>
        <v>#REF!</v>
      </c>
      <c r="L2623" s="5" t="e">
        <f t="shared" si="245"/>
        <v>#REF!</v>
      </c>
      <c r="M2623" s="5" t="e">
        <f t="shared" si="246"/>
        <v>#REF!</v>
      </c>
      <c r="N2623" s="5" t="e">
        <f t="shared" si="246"/>
        <v>#REF!</v>
      </c>
      <c r="O2623" s="8" t="s">
        <v>237</v>
      </c>
      <c r="T2623">
        <v>0</v>
      </c>
      <c r="AC2623">
        <v>1</v>
      </c>
    </row>
    <row r="2624" spans="1:29" ht="30" customHeight="1" x14ac:dyDescent="0.3">
      <c r="A2624" s="8" t="s">
        <v>2288</v>
      </c>
      <c r="B2624" s="8" t="s">
        <v>239</v>
      </c>
      <c r="C2624" s="8" t="s">
        <v>219</v>
      </c>
      <c r="D2624" s="8" t="s">
        <v>240</v>
      </c>
      <c r="E2624" s="8" t="s">
        <v>168</v>
      </c>
      <c r="F2624" s="9">
        <v>48</v>
      </c>
      <c r="G2624" s="5" t="e">
        <f>'[2].xls].xls].xls].xls].xls].xls].xls].'!E104</f>
        <v>#REF!</v>
      </c>
      <c r="H2624" s="5" t="e">
        <f t="shared" si="243"/>
        <v>#REF!</v>
      </c>
      <c r="I2624" s="5" t="e">
        <f>'[2].xls].xls].xls].xls].xls].xls].xls].'!F104</f>
        <v>#REF!</v>
      </c>
      <c r="J2624" s="5" t="e">
        <f t="shared" si="244"/>
        <v>#REF!</v>
      </c>
      <c r="K2624" s="5" t="e">
        <f>'[2].xls].xls].xls].xls].xls].xls].xls].'!G104</f>
        <v>#REF!</v>
      </c>
      <c r="L2624" s="5" t="e">
        <f t="shared" si="245"/>
        <v>#REF!</v>
      </c>
      <c r="M2624" s="5" t="e">
        <f t="shared" si="246"/>
        <v>#REF!</v>
      </c>
      <c r="N2624" s="5" t="e">
        <f t="shared" si="246"/>
        <v>#REF!</v>
      </c>
      <c r="O2624" s="8" t="s">
        <v>239</v>
      </c>
      <c r="T2624">
        <v>0</v>
      </c>
      <c r="AC2624">
        <v>1</v>
      </c>
    </row>
    <row r="2625" spans="1:29" ht="30" customHeight="1" x14ac:dyDescent="0.3">
      <c r="A2625" s="8" t="s">
        <v>2288</v>
      </c>
      <c r="B2625" s="8" t="s">
        <v>241</v>
      </c>
      <c r="C2625" s="8" t="s">
        <v>219</v>
      </c>
      <c r="D2625" s="8" t="s">
        <v>242</v>
      </c>
      <c r="E2625" s="8" t="s">
        <v>168</v>
      </c>
      <c r="F2625" s="9">
        <v>5</v>
      </c>
      <c r="G2625" s="5" t="e">
        <f>'[2].xls].xls].xls].xls].xls].xls].xls].'!E105</f>
        <v>#REF!</v>
      </c>
      <c r="H2625" s="5" t="e">
        <f t="shared" si="243"/>
        <v>#REF!</v>
      </c>
      <c r="I2625" s="5" t="e">
        <f>'[2].xls].xls].xls].xls].xls].xls].xls].'!F105</f>
        <v>#REF!</v>
      </c>
      <c r="J2625" s="5" t="e">
        <f t="shared" si="244"/>
        <v>#REF!</v>
      </c>
      <c r="K2625" s="5" t="e">
        <f>'[2].xls].xls].xls].xls].xls].xls].xls].'!G105</f>
        <v>#REF!</v>
      </c>
      <c r="L2625" s="5" t="e">
        <f t="shared" si="245"/>
        <v>#REF!</v>
      </c>
      <c r="M2625" s="5" t="e">
        <f t="shared" si="246"/>
        <v>#REF!</v>
      </c>
      <c r="N2625" s="5" t="e">
        <f t="shared" si="246"/>
        <v>#REF!</v>
      </c>
      <c r="O2625" s="8" t="s">
        <v>241</v>
      </c>
      <c r="T2625">
        <v>0</v>
      </c>
      <c r="AC2625">
        <v>1</v>
      </c>
    </row>
    <row r="2626" spans="1:29" ht="30" customHeight="1" x14ac:dyDescent="0.3">
      <c r="A2626" s="8" t="s">
        <v>2288</v>
      </c>
      <c r="B2626" s="8" t="s">
        <v>243</v>
      </c>
      <c r="C2626" s="8" t="s">
        <v>219</v>
      </c>
      <c r="D2626" s="8" t="s">
        <v>244</v>
      </c>
      <c r="E2626" s="8" t="s">
        <v>168</v>
      </c>
      <c r="F2626" s="9">
        <v>17</v>
      </c>
      <c r="G2626" s="5" t="e">
        <f>'[2].xls].xls].xls].xls].xls].xls].xls].'!E107</f>
        <v>#REF!</v>
      </c>
      <c r="H2626" s="5" t="e">
        <f t="shared" si="243"/>
        <v>#REF!</v>
      </c>
      <c r="I2626" s="5" t="e">
        <f>'[2].xls].xls].xls].xls].xls].xls].xls].'!F107</f>
        <v>#REF!</v>
      </c>
      <c r="J2626" s="5" t="e">
        <f t="shared" si="244"/>
        <v>#REF!</v>
      </c>
      <c r="K2626" s="5" t="e">
        <f>'[2].xls].xls].xls].xls].xls].xls].xls].'!G107</f>
        <v>#REF!</v>
      </c>
      <c r="L2626" s="5" t="e">
        <f t="shared" si="245"/>
        <v>#REF!</v>
      </c>
      <c r="M2626" s="5" t="e">
        <f t="shared" si="246"/>
        <v>#REF!</v>
      </c>
      <c r="N2626" s="5" t="e">
        <f t="shared" si="246"/>
        <v>#REF!</v>
      </c>
      <c r="O2626" s="8" t="s">
        <v>243</v>
      </c>
      <c r="T2626">
        <v>0</v>
      </c>
      <c r="AC2626">
        <v>1</v>
      </c>
    </row>
    <row r="2627" spans="1:29" ht="30" customHeight="1" x14ac:dyDescent="0.3">
      <c r="A2627" s="8" t="s">
        <v>2288</v>
      </c>
      <c r="B2627" s="8" t="s">
        <v>778</v>
      </c>
      <c r="C2627" s="8" t="s">
        <v>252</v>
      </c>
      <c r="D2627" s="8" t="s">
        <v>779</v>
      </c>
      <c r="E2627" s="8" t="s">
        <v>179</v>
      </c>
      <c r="F2627" s="9">
        <v>287</v>
      </c>
      <c r="G2627" s="5">
        <f>TRUNC([1]단가대비표!O226,0)</f>
        <v>1860</v>
      </c>
      <c r="H2627" s="5">
        <f t="shared" si="243"/>
        <v>533820</v>
      </c>
      <c r="I2627" s="5">
        <v>0</v>
      </c>
      <c r="J2627" s="5">
        <f t="shared" si="244"/>
        <v>0</v>
      </c>
      <c r="K2627" s="5">
        <v>0</v>
      </c>
      <c r="L2627" s="5">
        <f t="shared" si="245"/>
        <v>0</v>
      </c>
      <c r="M2627" s="5">
        <f t="shared" si="246"/>
        <v>1860</v>
      </c>
      <c r="N2627" s="5">
        <f t="shared" si="246"/>
        <v>533820</v>
      </c>
      <c r="O2627" s="8" t="s">
        <v>20</v>
      </c>
      <c r="T2627">
        <v>0</v>
      </c>
      <c r="AC2627">
        <v>1</v>
      </c>
    </row>
    <row r="2628" spans="1:29" ht="30" customHeight="1" x14ac:dyDescent="0.3">
      <c r="A2628" s="8" t="s">
        <v>2288</v>
      </c>
      <c r="B2628" s="8" t="s">
        <v>251</v>
      </c>
      <c r="C2628" s="8" t="s">
        <v>252</v>
      </c>
      <c r="D2628" s="8" t="s">
        <v>253</v>
      </c>
      <c r="E2628" s="8" t="s">
        <v>179</v>
      </c>
      <c r="F2628" s="9">
        <v>68</v>
      </c>
      <c r="G2628" s="5">
        <f>TRUNC([1]단가대비표!O227,0)</f>
        <v>2690</v>
      </c>
      <c r="H2628" s="5">
        <f t="shared" si="243"/>
        <v>182920</v>
      </c>
      <c r="I2628" s="5">
        <v>0</v>
      </c>
      <c r="J2628" s="5">
        <f t="shared" si="244"/>
        <v>0</v>
      </c>
      <c r="K2628" s="5">
        <v>0</v>
      </c>
      <c r="L2628" s="5">
        <f t="shared" si="245"/>
        <v>0</v>
      </c>
      <c r="M2628" s="5">
        <f t="shared" si="246"/>
        <v>2690</v>
      </c>
      <c r="N2628" s="5">
        <f t="shared" si="246"/>
        <v>182920</v>
      </c>
      <c r="O2628" s="8" t="s">
        <v>20</v>
      </c>
      <c r="T2628">
        <v>0</v>
      </c>
      <c r="AC2628">
        <v>1</v>
      </c>
    </row>
    <row r="2629" spans="1:29" ht="30" customHeight="1" x14ac:dyDescent="0.3">
      <c r="A2629" s="8" t="s">
        <v>2288</v>
      </c>
      <c r="B2629" s="8" t="s">
        <v>254</v>
      </c>
      <c r="C2629" s="8" t="s">
        <v>252</v>
      </c>
      <c r="D2629" s="8" t="s">
        <v>255</v>
      </c>
      <c r="E2629" s="8" t="s">
        <v>179</v>
      </c>
      <c r="F2629" s="9">
        <v>42</v>
      </c>
      <c r="G2629" s="5">
        <f>TRUNC([1]단가대비표!O228,0)</f>
        <v>3520</v>
      </c>
      <c r="H2629" s="5">
        <f t="shared" si="243"/>
        <v>147840</v>
      </c>
      <c r="I2629" s="5">
        <v>0</v>
      </c>
      <c r="J2629" s="5">
        <f t="shared" si="244"/>
        <v>0</v>
      </c>
      <c r="K2629" s="5">
        <v>0</v>
      </c>
      <c r="L2629" s="5">
        <f t="shared" si="245"/>
        <v>0</v>
      </c>
      <c r="M2629" s="5">
        <f t="shared" si="246"/>
        <v>3520</v>
      </c>
      <c r="N2629" s="5">
        <f t="shared" si="246"/>
        <v>147840</v>
      </c>
      <c r="O2629" s="8" t="s">
        <v>20</v>
      </c>
      <c r="T2629">
        <v>0</v>
      </c>
      <c r="AC2629">
        <v>1</v>
      </c>
    </row>
    <row r="2630" spans="1:29" ht="30" customHeight="1" x14ac:dyDescent="0.3">
      <c r="A2630" s="8" t="s">
        <v>2288</v>
      </c>
      <c r="B2630" s="8" t="s">
        <v>256</v>
      </c>
      <c r="C2630" s="8" t="s">
        <v>252</v>
      </c>
      <c r="D2630" s="8" t="s">
        <v>257</v>
      </c>
      <c r="E2630" s="8" t="s">
        <v>179</v>
      </c>
      <c r="F2630" s="9">
        <v>16</v>
      </c>
      <c r="G2630" s="5">
        <f>TRUNC([1]단가대비표!O229,0)</f>
        <v>6990</v>
      </c>
      <c r="H2630" s="5">
        <f t="shared" si="243"/>
        <v>111840</v>
      </c>
      <c r="I2630" s="5">
        <v>0</v>
      </c>
      <c r="J2630" s="5">
        <f t="shared" si="244"/>
        <v>0</v>
      </c>
      <c r="K2630" s="5">
        <v>0</v>
      </c>
      <c r="L2630" s="5">
        <f t="shared" si="245"/>
        <v>0</v>
      </c>
      <c r="M2630" s="5">
        <f t="shared" si="246"/>
        <v>6990</v>
      </c>
      <c r="N2630" s="5">
        <f t="shared" si="246"/>
        <v>111840</v>
      </c>
      <c r="O2630" s="8" t="s">
        <v>20</v>
      </c>
      <c r="T2630">
        <v>0</v>
      </c>
      <c r="AC2630">
        <v>1</v>
      </c>
    </row>
    <row r="2631" spans="1:29" ht="30" customHeight="1" x14ac:dyDescent="0.3">
      <c r="A2631" s="8" t="s">
        <v>2288</v>
      </c>
      <c r="B2631" s="8" t="s">
        <v>258</v>
      </c>
      <c r="C2631" s="8" t="s">
        <v>252</v>
      </c>
      <c r="D2631" s="8" t="s">
        <v>259</v>
      </c>
      <c r="E2631" s="8" t="s">
        <v>179</v>
      </c>
      <c r="F2631" s="9">
        <v>4</v>
      </c>
      <c r="G2631" s="5">
        <f>TRUNC([1]단가대비표!O230,0)</f>
        <v>8650</v>
      </c>
      <c r="H2631" s="5">
        <f t="shared" si="243"/>
        <v>34600</v>
      </c>
      <c r="I2631" s="5">
        <v>0</v>
      </c>
      <c r="J2631" s="5">
        <f t="shared" si="244"/>
        <v>0</v>
      </c>
      <c r="K2631" s="5">
        <v>0</v>
      </c>
      <c r="L2631" s="5">
        <f t="shared" si="245"/>
        <v>0</v>
      </c>
      <c r="M2631" s="5">
        <f t="shared" si="246"/>
        <v>8650</v>
      </c>
      <c r="N2631" s="5">
        <f t="shared" si="246"/>
        <v>34600</v>
      </c>
      <c r="O2631" s="8" t="s">
        <v>20</v>
      </c>
      <c r="T2631">
        <v>0</v>
      </c>
      <c r="AC2631">
        <v>1</v>
      </c>
    </row>
    <row r="2632" spans="1:29" ht="30" customHeight="1" x14ac:dyDescent="0.3">
      <c r="A2632" s="8" t="s">
        <v>2288</v>
      </c>
      <c r="B2632" s="8" t="s">
        <v>260</v>
      </c>
      <c r="C2632" s="8" t="s">
        <v>252</v>
      </c>
      <c r="D2632" s="8" t="s">
        <v>261</v>
      </c>
      <c r="E2632" s="8" t="s">
        <v>179</v>
      </c>
      <c r="F2632" s="9">
        <v>8</v>
      </c>
      <c r="G2632" s="5">
        <f>TRUNC([1]단가대비표!O231,0)</f>
        <v>11460</v>
      </c>
      <c r="H2632" s="5">
        <f t="shared" si="243"/>
        <v>91680</v>
      </c>
      <c r="I2632" s="5">
        <v>0</v>
      </c>
      <c r="J2632" s="5">
        <f t="shared" si="244"/>
        <v>0</v>
      </c>
      <c r="K2632" s="5">
        <v>0</v>
      </c>
      <c r="L2632" s="5">
        <f t="shared" si="245"/>
        <v>0</v>
      </c>
      <c r="M2632" s="5">
        <f t="shared" si="246"/>
        <v>11460</v>
      </c>
      <c r="N2632" s="5">
        <f t="shared" si="246"/>
        <v>91680</v>
      </c>
      <c r="O2632" s="8" t="s">
        <v>20</v>
      </c>
      <c r="T2632">
        <v>0</v>
      </c>
      <c r="AC2632">
        <v>1</v>
      </c>
    </row>
    <row r="2633" spans="1:29" ht="30" customHeight="1" x14ac:dyDescent="0.3">
      <c r="A2633" s="8" t="s">
        <v>2288</v>
      </c>
      <c r="B2633" s="8" t="s">
        <v>262</v>
      </c>
      <c r="C2633" s="8" t="s">
        <v>252</v>
      </c>
      <c r="D2633" s="8" t="s">
        <v>263</v>
      </c>
      <c r="E2633" s="8" t="s">
        <v>179</v>
      </c>
      <c r="F2633" s="9">
        <v>1</v>
      </c>
      <c r="G2633" s="5">
        <f>TRUNC([1]단가대비표!O232,0)</f>
        <v>14620</v>
      </c>
      <c r="H2633" s="5">
        <f t="shared" si="243"/>
        <v>14620</v>
      </c>
      <c r="I2633" s="5">
        <v>0</v>
      </c>
      <c r="J2633" s="5">
        <f t="shared" si="244"/>
        <v>0</v>
      </c>
      <c r="K2633" s="5">
        <v>0</v>
      </c>
      <c r="L2633" s="5">
        <f t="shared" si="245"/>
        <v>0</v>
      </c>
      <c r="M2633" s="5">
        <f t="shared" si="246"/>
        <v>14620</v>
      </c>
      <c r="N2633" s="5">
        <f t="shared" si="246"/>
        <v>14620</v>
      </c>
      <c r="O2633" s="8" t="s">
        <v>20</v>
      </c>
      <c r="T2633">
        <v>0</v>
      </c>
      <c r="AC2633">
        <v>1</v>
      </c>
    </row>
    <row r="2634" spans="1:29" ht="30" customHeight="1" x14ac:dyDescent="0.3">
      <c r="A2634" s="8" t="s">
        <v>2288</v>
      </c>
      <c r="B2634" s="8" t="s">
        <v>780</v>
      </c>
      <c r="C2634" s="8" t="s">
        <v>252</v>
      </c>
      <c r="D2634" s="8" t="s">
        <v>781</v>
      </c>
      <c r="E2634" s="8" t="s">
        <v>179</v>
      </c>
      <c r="F2634" s="9">
        <v>18</v>
      </c>
      <c r="G2634" s="5">
        <f>TRUNC([1]단가대비표!O215,0)</f>
        <v>3910</v>
      </c>
      <c r="H2634" s="5">
        <f t="shared" si="243"/>
        <v>70380</v>
      </c>
      <c r="I2634" s="5">
        <v>0</v>
      </c>
      <c r="J2634" s="5">
        <f t="shared" si="244"/>
        <v>0</v>
      </c>
      <c r="K2634" s="5">
        <v>0</v>
      </c>
      <c r="L2634" s="5">
        <f t="shared" si="245"/>
        <v>0</v>
      </c>
      <c r="M2634" s="5">
        <f t="shared" si="246"/>
        <v>3910</v>
      </c>
      <c r="N2634" s="5">
        <f t="shared" si="246"/>
        <v>70380</v>
      </c>
      <c r="O2634" s="8" t="s">
        <v>20</v>
      </c>
      <c r="T2634">
        <v>0</v>
      </c>
      <c r="AC2634">
        <v>1</v>
      </c>
    </row>
    <row r="2635" spans="1:29" ht="30" customHeight="1" x14ac:dyDescent="0.3">
      <c r="A2635" s="8" t="s">
        <v>2288</v>
      </c>
      <c r="B2635" s="8" t="s">
        <v>784</v>
      </c>
      <c r="C2635" s="8" t="s">
        <v>252</v>
      </c>
      <c r="D2635" s="8" t="s">
        <v>785</v>
      </c>
      <c r="E2635" s="8" t="s">
        <v>179</v>
      </c>
      <c r="F2635" s="9">
        <v>1</v>
      </c>
      <c r="G2635" s="5">
        <f>TRUNC([1]단가대비표!O217,0)</f>
        <v>6480</v>
      </c>
      <c r="H2635" s="5">
        <f t="shared" si="243"/>
        <v>6480</v>
      </c>
      <c r="I2635" s="5">
        <v>0</v>
      </c>
      <c r="J2635" s="5">
        <f t="shared" si="244"/>
        <v>0</v>
      </c>
      <c r="K2635" s="5">
        <v>0</v>
      </c>
      <c r="L2635" s="5">
        <f t="shared" si="245"/>
        <v>0</v>
      </c>
      <c r="M2635" s="5">
        <f t="shared" si="246"/>
        <v>6480</v>
      </c>
      <c r="N2635" s="5">
        <f t="shared" si="246"/>
        <v>6480</v>
      </c>
      <c r="O2635" s="8" t="s">
        <v>20</v>
      </c>
      <c r="T2635">
        <v>0</v>
      </c>
      <c r="AC2635">
        <v>1</v>
      </c>
    </row>
    <row r="2636" spans="1:29" ht="30" customHeight="1" x14ac:dyDescent="0.3">
      <c r="A2636" s="8" t="s">
        <v>2288</v>
      </c>
      <c r="B2636" s="8" t="s">
        <v>567</v>
      </c>
      <c r="C2636" s="8" t="s">
        <v>252</v>
      </c>
      <c r="D2636" s="8" t="s">
        <v>568</v>
      </c>
      <c r="E2636" s="8" t="s">
        <v>179</v>
      </c>
      <c r="F2636" s="9">
        <v>51</v>
      </c>
      <c r="G2636" s="5">
        <f>TRUNC([1]단가대비표!O236,0)</f>
        <v>6900</v>
      </c>
      <c r="H2636" s="5">
        <f t="shared" si="243"/>
        <v>351900</v>
      </c>
      <c r="I2636" s="5">
        <v>0</v>
      </c>
      <c r="J2636" s="5">
        <f t="shared" si="244"/>
        <v>0</v>
      </c>
      <c r="K2636" s="5">
        <v>0</v>
      </c>
      <c r="L2636" s="5">
        <f t="shared" si="245"/>
        <v>0</v>
      </c>
      <c r="M2636" s="5">
        <f t="shared" si="246"/>
        <v>6900</v>
      </c>
      <c r="N2636" s="5">
        <f t="shared" si="246"/>
        <v>351900</v>
      </c>
      <c r="O2636" s="8" t="s">
        <v>20</v>
      </c>
      <c r="T2636">
        <v>0</v>
      </c>
      <c r="AC2636">
        <v>1</v>
      </c>
    </row>
    <row r="2637" spans="1:29" ht="30" customHeight="1" x14ac:dyDescent="0.3">
      <c r="A2637" s="8" t="s">
        <v>2288</v>
      </c>
      <c r="B2637" s="8" t="s">
        <v>268</v>
      </c>
      <c r="C2637" s="8" t="s">
        <v>252</v>
      </c>
      <c r="D2637" s="8" t="s">
        <v>269</v>
      </c>
      <c r="E2637" s="8" t="s">
        <v>179</v>
      </c>
      <c r="F2637" s="9">
        <v>73</v>
      </c>
      <c r="G2637" s="5">
        <f>TRUNC([1]단가대비표!O237,0)</f>
        <v>10110</v>
      </c>
      <c r="H2637" s="5">
        <f t="shared" si="243"/>
        <v>738030</v>
      </c>
      <c r="I2637" s="5">
        <v>0</v>
      </c>
      <c r="J2637" s="5">
        <f t="shared" si="244"/>
        <v>0</v>
      </c>
      <c r="K2637" s="5">
        <v>0</v>
      </c>
      <c r="L2637" s="5">
        <f t="shared" si="245"/>
        <v>0</v>
      </c>
      <c r="M2637" s="5">
        <f t="shared" ref="M2637:N2668" si="247">G2637+I2637+K2637</f>
        <v>10110</v>
      </c>
      <c r="N2637" s="5">
        <f t="shared" si="247"/>
        <v>738030</v>
      </c>
      <c r="O2637" s="8" t="s">
        <v>20</v>
      </c>
      <c r="T2637">
        <v>0</v>
      </c>
      <c r="AC2637">
        <v>1</v>
      </c>
    </row>
    <row r="2638" spans="1:29" ht="30" customHeight="1" x14ac:dyDescent="0.3">
      <c r="A2638" s="8" t="s">
        <v>2288</v>
      </c>
      <c r="B2638" s="8" t="s">
        <v>569</v>
      </c>
      <c r="C2638" s="8" t="s">
        <v>252</v>
      </c>
      <c r="D2638" s="8" t="s">
        <v>570</v>
      </c>
      <c r="E2638" s="8" t="s">
        <v>179</v>
      </c>
      <c r="F2638" s="9">
        <v>22</v>
      </c>
      <c r="G2638" s="5">
        <f>TRUNC([1]단가대비표!O238,0)</f>
        <v>13500</v>
      </c>
      <c r="H2638" s="5">
        <f t="shared" si="243"/>
        <v>297000</v>
      </c>
      <c r="I2638" s="5">
        <v>0</v>
      </c>
      <c r="J2638" s="5">
        <f t="shared" si="244"/>
        <v>0</v>
      </c>
      <c r="K2638" s="5">
        <v>0</v>
      </c>
      <c r="L2638" s="5">
        <f t="shared" si="245"/>
        <v>0</v>
      </c>
      <c r="M2638" s="5">
        <f t="shared" si="247"/>
        <v>13500</v>
      </c>
      <c r="N2638" s="5">
        <f t="shared" si="247"/>
        <v>297000</v>
      </c>
      <c r="O2638" s="8" t="s">
        <v>20</v>
      </c>
      <c r="T2638">
        <v>0</v>
      </c>
      <c r="AC2638">
        <v>1</v>
      </c>
    </row>
    <row r="2639" spans="1:29" ht="30" customHeight="1" x14ac:dyDescent="0.3">
      <c r="A2639" s="8" t="s">
        <v>2288</v>
      </c>
      <c r="B2639" s="8" t="s">
        <v>270</v>
      </c>
      <c r="C2639" s="8" t="s">
        <v>252</v>
      </c>
      <c r="D2639" s="8" t="s">
        <v>271</v>
      </c>
      <c r="E2639" s="8" t="s">
        <v>179</v>
      </c>
      <c r="F2639" s="9">
        <v>5</v>
      </c>
      <c r="G2639" s="5">
        <f>TRUNC([1]단가대비표!O239,0)</f>
        <v>17380</v>
      </c>
      <c r="H2639" s="5">
        <f t="shared" si="243"/>
        <v>86900</v>
      </c>
      <c r="I2639" s="5">
        <v>0</v>
      </c>
      <c r="J2639" s="5">
        <f t="shared" si="244"/>
        <v>0</v>
      </c>
      <c r="K2639" s="5">
        <v>0</v>
      </c>
      <c r="L2639" s="5">
        <f t="shared" si="245"/>
        <v>0</v>
      </c>
      <c r="M2639" s="5">
        <f t="shared" si="247"/>
        <v>17380</v>
      </c>
      <c r="N2639" s="5">
        <f t="shared" si="247"/>
        <v>86900</v>
      </c>
      <c r="O2639" s="8" t="s">
        <v>20</v>
      </c>
      <c r="T2639">
        <v>0</v>
      </c>
      <c r="AC2639">
        <v>1</v>
      </c>
    </row>
    <row r="2640" spans="1:29" ht="30" customHeight="1" x14ac:dyDescent="0.3">
      <c r="A2640" s="8" t="s">
        <v>2288</v>
      </c>
      <c r="B2640" s="8" t="s">
        <v>571</v>
      </c>
      <c r="C2640" s="8" t="s">
        <v>252</v>
      </c>
      <c r="D2640" s="8" t="s">
        <v>572</v>
      </c>
      <c r="E2640" s="8" t="s">
        <v>179</v>
      </c>
      <c r="F2640" s="9">
        <v>13</v>
      </c>
      <c r="G2640" s="5">
        <f>TRUNC([1]단가대비표!O240,0)</f>
        <v>23220</v>
      </c>
      <c r="H2640" s="5">
        <f t="shared" si="243"/>
        <v>301860</v>
      </c>
      <c r="I2640" s="5">
        <v>0</v>
      </c>
      <c r="J2640" s="5">
        <f t="shared" si="244"/>
        <v>0</v>
      </c>
      <c r="K2640" s="5">
        <v>0</v>
      </c>
      <c r="L2640" s="5">
        <f t="shared" si="245"/>
        <v>0</v>
      </c>
      <c r="M2640" s="5">
        <f t="shared" si="247"/>
        <v>23220</v>
      </c>
      <c r="N2640" s="5">
        <f t="shared" si="247"/>
        <v>301860</v>
      </c>
      <c r="O2640" s="8" t="s">
        <v>20</v>
      </c>
      <c r="T2640">
        <v>0</v>
      </c>
      <c r="AC2640">
        <v>1</v>
      </c>
    </row>
    <row r="2641" spans="1:29" ht="30" customHeight="1" x14ac:dyDescent="0.3">
      <c r="A2641" s="8" t="s">
        <v>2288</v>
      </c>
      <c r="B2641" s="8" t="s">
        <v>272</v>
      </c>
      <c r="C2641" s="8" t="s">
        <v>252</v>
      </c>
      <c r="D2641" s="8" t="s">
        <v>273</v>
      </c>
      <c r="E2641" s="8" t="s">
        <v>179</v>
      </c>
      <c r="F2641" s="9">
        <v>4</v>
      </c>
      <c r="G2641" s="5">
        <f>TRUNC([1]단가대비표!O241,0)</f>
        <v>28800</v>
      </c>
      <c r="H2641" s="5">
        <f t="shared" si="243"/>
        <v>115200</v>
      </c>
      <c r="I2641" s="5">
        <v>0</v>
      </c>
      <c r="J2641" s="5">
        <f t="shared" si="244"/>
        <v>0</v>
      </c>
      <c r="K2641" s="5">
        <v>0</v>
      </c>
      <c r="L2641" s="5">
        <f t="shared" si="245"/>
        <v>0</v>
      </c>
      <c r="M2641" s="5">
        <f t="shared" si="247"/>
        <v>28800</v>
      </c>
      <c r="N2641" s="5">
        <f t="shared" si="247"/>
        <v>115200</v>
      </c>
      <c r="O2641" s="8" t="s">
        <v>20</v>
      </c>
      <c r="T2641">
        <v>0</v>
      </c>
      <c r="AC2641">
        <v>1</v>
      </c>
    </row>
    <row r="2642" spans="1:29" ht="30" customHeight="1" x14ac:dyDescent="0.3">
      <c r="A2642" s="8" t="s">
        <v>2288</v>
      </c>
      <c r="B2642" s="8" t="s">
        <v>786</v>
      </c>
      <c r="C2642" s="8" t="s">
        <v>252</v>
      </c>
      <c r="D2642" s="8" t="s">
        <v>787</v>
      </c>
      <c r="E2642" s="8" t="s">
        <v>179</v>
      </c>
      <c r="F2642" s="9">
        <v>76</v>
      </c>
      <c r="G2642" s="5">
        <f>TRUNC([1]단가대비표!O242,0)</f>
        <v>5340</v>
      </c>
      <c r="H2642" s="5">
        <f t="shared" si="243"/>
        <v>405840</v>
      </c>
      <c r="I2642" s="5">
        <v>0</v>
      </c>
      <c r="J2642" s="5">
        <f t="shared" si="244"/>
        <v>0</v>
      </c>
      <c r="K2642" s="5">
        <v>0</v>
      </c>
      <c r="L2642" s="5">
        <f t="shared" si="245"/>
        <v>0</v>
      </c>
      <c r="M2642" s="5">
        <f t="shared" si="247"/>
        <v>5340</v>
      </c>
      <c r="N2642" s="5">
        <f t="shared" si="247"/>
        <v>405840</v>
      </c>
      <c r="O2642" s="8" t="s">
        <v>20</v>
      </c>
      <c r="T2642">
        <v>0</v>
      </c>
      <c r="AC2642">
        <v>1</v>
      </c>
    </row>
    <row r="2643" spans="1:29" ht="30" customHeight="1" x14ac:dyDescent="0.3">
      <c r="A2643" s="8" t="s">
        <v>2288</v>
      </c>
      <c r="B2643" s="8" t="s">
        <v>278</v>
      </c>
      <c r="C2643" s="8" t="s">
        <v>252</v>
      </c>
      <c r="D2643" s="8" t="s">
        <v>279</v>
      </c>
      <c r="E2643" s="8" t="s">
        <v>179</v>
      </c>
      <c r="F2643" s="9">
        <v>1</v>
      </c>
      <c r="G2643" s="5">
        <f>TRUNC([1]단가대비표!O246,0)</f>
        <v>4810</v>
      </c>
      <c r="H2643" s="5">
        <f t="shared" si="243"/>
        <v>4810</v>
      </c>
      <c r="I2643" s="5">
        <v>0</v>
      </c>
      <c r="J2643" s="5">
        <f t="shared" si="244"/>
        <v>0</v>
      </c>
      <c r="K2643" s="5">
        <v>0</v>
      </c>
      <c r="L2643" s="5">
        <f t="shared" si="245"/>
        <v>0</v>
      </c>
      <c r="M2643" s="5">
        <f t="shared" si="247"/>
        <v>4810</v>
      </c>
      <c r="N2643" s="5">
        <f t="shared" si="247"/>
        <v>4810</v>
      </c>
      <c r="O2643" s="8" t="s">
        <v>20</v>
      </c>
      <c r="T2643">
        <v>0</v>
      </c>
      <c r="AC2643">
        <v>1</v>
      </c>
    </row>
    <row r="2644" spans="1:29" ht="30" customHeight="1" x14ac:dyDescent="0.3">
      <c r="A2644" s="8" t="s">
        <v>2288</v>
      </c>
      <c r="B2644" s="8" t="s">
        <v>573</v>
      </c>
      <c r="C2644" s="8" t="s">
        <v>252</v>
      </c>
      <c r="D2644" s="8" t="s">
        <v>574</v>
      </c>
      <c r="E2644" s="8" t="s">
        <v>179</v>
      </c>
      <c r="F2644" s="9">
        <v>4</v>
      </c>
      <c r="G2644" s="5">
        <f>TRUNC([1]단가대비표!O247,0)</f>
        <v>5080</v>
      </c>
      <c r="H2644" s="5">
        <f t="shared" si="243"/>
        <v>20320</v>
      </c>
      <c r="I2644" s="5">
        <v>0</v>
      </c>
      <c r="J2644" s="5">
        <f t="shared" si="244"/>
        <v>0</v>
      </c>
      <c r="K2644" s="5">
        <v>0</v>
      </c>
      <c r="L2644" s="5">
        <f t="shared" si="245"/>
        <v>0</v>
      </c>
      <c r="M2644" s="5">
        <f t="shared" si="247"/>
        <v>5080</v>
      </c>
      <c r="N2644" s="5">
        <f t="shared" si="247"/>
        <v>20320</v>
      </c>
      <c r="O2644" s="8" t="s">
        <v>20</v>
      </c>
      <c r="T2644">
        <v>0</v>
      </c>
      <c r="AC2644">
        <v>1</v>
      </c>
    </row>
    <row r="2645" spans="1:29" ht="30" customHeight="1" x14ac:dyDescent="0.3">
      <c r="A2645" s="8" t="s">
        <v>2288</v>
      </c>
      <c r="B2645" s="8" t="s">
        <v>792</v>
      </c>
      <c r="C2645" s="8" t="s">
        <v>252</v>
      </c>
      <c r="D2645" s="8" t="s">
        <v>793</v>
      </c>
      <c r="E2645" s="8" t="s">
        <v>179</v>
      </c>
      <c r="F2645" s="9">
        <v>1</v>
      </c>
      <c r="G2645" s="5">
        <f>TRUNC([1]단가대비표!O249,0)</f>
        <v>7970</v>
      </c>
      <c r="H2645" s="5">
        <f t="shared" si="243"/>
        <v>7970</v>
      </c>
      <c r="I2645" s="5">
        <v>0</v>
      </c>
      <c r="J2645" s="5">
        <f t="shared" si="244"/>
        <v>0</v>
      </c>
      <c r="K2645" s="5">
        <v>0</v>
      </c>
      <c r="L2645" s="5">
        <f t="shared" si="245"/>
        <v>0</v>
      </c>
      <c r="M2645" s="5">
        <f t="shared" si="247"/>
        <v>7970</v>
      </c>
      <c r="N2645" s="5">
        <f t="shared" si="247"/>
        <v>7970</v>
      </c>
      <c r="O2645" s="8" t="s">
        <v>20</v>
      </c>
      <c r="T2645">
        <v>0</v>
      </c>
      <c r="AC2645">
        <v>1</v>
      </c>
    </row>
    <row r="2646" spans="1:29" ht="30" customHeight="1" x14ac:dyDescent="0.3">
      <c r="A2646" s="8" t="s">
        <v>2288</v>
      </c>
      <c r="B2646" s="8" t="s">
        <v>575</v>
      </c>
      <c r="C2646" s="8" t="s">
        <v>252</v>
      </c>
      <c r="D2646" s="8" t="s">
        <v>576</v>
      </c>
      <c r="E2646" s="8" t="s">
        <v>179</v>
      </c>
      <c r="F2646" s="9">
        <v>12</v>
      </c>
      <c r="G2646" s="5">
        <f>TRUNC([1]단가대비표!O250,0)</f>
        <v>8570</v>
      </c>
      <c r="H2646" s="5">
        <f t="shared" si="243"/>
        <v>102840</v>
      </c>
      <c r="I2646" s="5">
        <v>0</v>
      </c>
      <c r="J2646" s="5">
        <f t="shared" si="244"/>
        <v>0</v>
      </c>
      <c r="K2646" s="5">
        <v>0</v>
      </c>
      <c r="L2646" s="5">
        <f t="shared" si="245"/>
        <v>0</v>
      </c>
      <c r="M2646" s="5">
        <f t="shared" si="247"/>
        <v>8570</v>
      </c>
      <c r="N2646" s="5">
        <f t="shared" si="247"/>
        <v>102840</v>
      </c>
      <c r="O2646" s="8" t="s">
        <v>20</v>
      </c>
      <c r="T2646">
        <v>0</v>
      </c>
      <c r="AC2646">
        <v>1</v>
      </c>
    </row>
    <row r="2647" spans="1:29" ht="30" customHeight="1" x14ac:dyDescent="0.3">
      <c r="A2647" s="8" t="s">
        <v>2288</v>
      </c>
      <c r="B2647" s="8" t="s">
        <v>282</v>
      </c>
      <c r="C2647" s="8" t="s">
        <v>252</v>
      </c>
      <c r="D2647" s="8" t="s">
        <v>283</v>
      </c>
      <c r="E2647" s="8" t="s">
        <v>179</v>
      </c>
      <c r="F2647" s="9">
        <v>5</v>
      </c>
      <c r="G2647" s="5">
        <f>TRUNC([1]단가대비표!O254,0)</f>
        <v>11040</v>
      </c>
      <c r="H2647" s="5">
        <f t="shared" si="243"/>
        <v>55200</v>
      </c>
      <c r="I2647" s="5">
        <v>0</v>
      </c>
      <c r="J2647" s="5">
        <f t="shared" si="244"/>
        <v>0</v>
      </c>
      <c r="K2647" s="5">
        <v>0</v>
      </c>
      <c r="L2647" s="5">
        <f t="shared" si="245"/>
        <v>0</v>
      </c>
      <c r="M2647" s="5">
        <f t="shared" si="247"/>
        <v>11040</v>
      </c>
      <c r="N2647" s="5">
        <f t="shared" si="247"/>
        <v>55200</v>
      </c>
      <c r="O2647" s="8" t="s">
        <v>20</v>
      </c>
      <c r="T2647">
        <v>0</v>
      </c>
      <c r="AC2647">
        <v>1</v>
      </c>
    </row>
    <row r="2648" spans="1:29" ht="30" customHeight="1" x14ac:dyDescent="0.3">
      <c r="A2648" s="8" t="s">
        <v>2288</v>
      </c>
      <c r="B2648" s="8" t="s">
        <v>579</v>
      </c>
      <c r="C2648" s="8" t="s">
        <v>252</v>
      </c>
      <c r="D2648" s="8" t="s">
        <v>580</v>
      </c>
      <c r="E2648" s="8" t="s">
        <v>179</v>
      </c>
      <c r="F2648" s="9">
        <v>1</v>
      </c>
      <c r="G2648" s="5">
        <f>TRUNC([1]단가대비표!O256,0)</f>
        <v>12060</v>
      </c>
      <c r="H2648" s="5">
        <f t="shared" si="243"/>
        <v>12060</v>
      </c>
      <c r="I2648" s="5">
        <v>0</v>
      </c>
      <c r="J2648" s="5">
        <f t="shared" si="244"/>
        <v>0</v>
      </c>
      <c r="K2648" s="5">
        <v>0</v>
      </c>
      <c r="L2648" s="5">
        <f t="shared" si="245"/>
        <v>0</v>
      </c>
      <c r="M2648" s="5">
        <f t="shared" si="247"/>
        <v>12060</v>
      </c>
      <c r="N2648" s="5">
        <f t="shared" si="247"/>
        <v>12060</v>
      </c>
      <c r="O2648" s="8" t="s">
        <v>20</v>
      </c>
      <c r="T2648">
        <v>0</v>
      </c>
      <c r="AC2648">
        <v>1</v>
      </c>
    </row>
    <row r="2649" spans="1:29" ht="30" customHeight="1" x14ac:dyDescent="0.3">
      <c r="A2649" s="8" t="s">
        <v>2288</v>
      </c>
      <c r="B2649" s="8" t="s">
        <v>284</v>
      </c>
      <c r="C2649" s="8" t="s">
        <v>252</v>
      </c>
      <c r="D2649" s="8" t="s">
        <v>285</v>
      </c>
      <c r="E2649" s="8" t="s">
        <v>179</v>
      </c>
      <c r="F2649" s="9">
        <v>5</v>
      </c>
      <c r="G2649" s="5">
        <f>TRUNC([1]단가대비표!O259,0)</f>
        <v>13440</v>
      </c>
      <c r="H2649" s="5">
        <f t="shared" si="243"/>
        <v>67200</v>
      </c>
      <c r="I2649" s="5">
        <v>0</v>
      </c>
      <c r="J2649" s="5">
        <f t="shared" si="244"/>
        <v>0</v>
      </c>
      <c r="K2649" s="5">
        <v>0</v>
      </c>
      <c r="L2649" s="5">
        <f t="shared" si="245"/>
        <v>0</v>
      </c>
      <c r="M2649" s="5">
        <f t="shared" si="247"/>
        <v>13440</v>
      </c>
      <c r="N2649" s="5">
        <f t="shared" si="247"/>
        <v>67200</v>
      </c>
      <c r="O2649" s="8" t="s">
        <v>20</v>
      </c>
      <c r="T2649">
        <v>0</v>
      </c>
      <c r="AC2649">
        <v>1</v>
      </c>
    </row>
    <row r="2650" spans="1:29" ht="30" customHeight="1" x14ac:dyDescent="0.3">
      <c r="A2650" s="8" t="s">
        <v>2288</v>
      </c>
      <c r="B2650" s="8" t="s">
        <v>581</v>
      </c>
      <c r="C2650" s="8" t="s">
        <v>252</v>
      </c>
      <c r="D2650" s="8" t="s">
        <v>582</v>
      </c>
      <c r="E2650" s="8" t="s">
        <v>179</v>
      </c>
      <c r="F2650" s="9">
        <v>1</v>
      </c>
      <c r="G2650" s="5">
        <f>TRUNC([1]단가대비표!O261,0)</f>
        <v>14258</v>
      </c>
      <c r="H2650" s="5">
        <f t="shared" si="243"/>
        <v>14258</v>
      </c>
      <c r="I2650" s="5">
        <v>0</v>
      </c>
      <c r="J2650" s="5">
        <f t="shared" si="244"/>
        <v>0</v>
      </c>
      <c r="K2650" s="5">
        <v>0</v>
      </c>
      <c r="L2650" s="5">
        <f t="shared" si="245"/>
        <v>0</v>
      </c>
      <c r="M2650" s="5">
        <f t="shared" si="247"/>
        <v>14258</v>
      </c>
      <c r="N2650" s="5">
        <f t="shared" si="247"/>
        <v>14258</v>
      </c>
      <c r="O2650" s="8" t="s">
        <v>20</v>
      </c>
      <c r="T2650">
        <v>0</v>
      </c>
      <c r="AC2650">
        <v>1</v>
      </c>
    </row>
    <row r="2651" spans="1:29" ht="30" customHeight="1" x14ac:dyDescent="0.3">
      <c r="A2651" s="8" t="s">
        <v>2288</v>
      </c>
      <c r="B2651" s="8" t="s">
        <v>583</v>
      </c>
      <c r="C2651" s="8" t="s">
        <v>252</v>
      </c>
      <c r="D2651" s="8" t="s">
        <v>584</v>
      </c>
      <c r="E2651" s="8" t="s">
        <v>179</v>
      </c>
      <c r="F2651" s="9">
        <v>1</v>
      </c>
      <c r="G2651" s="5">
        <f>TRUNC([1]단가대비표!O264,0)</f>
        <v>15008</v>
      </c>
      <c r="H2651" s="5">
        <f t="shared" si="243"/>
        <v>15008</v>
      </c>
      <c r="I2651" s="5">
        <v>0</v>
      </c>
      <c r="J2651" s="5">
        <f t="shared" si="244"/>
        <v>0</v>
      </c>
      <c r="K2651" s="5">
        <v>0</v>
      </c>
      <c r="L2651" s="5">
        <f t="shared" si="245"/>
        <v>0</v>
      </c>
      <c r="M2651" s="5">
        <f t="shared" si="247"/>
        <v>15008</v>
      </c>
      <c r="N2651" s="5">
        <f t="shared" si="247"/>
        <v>15008</v>
      </c>
      <c r="O2651" s="8" t="s">
        <v>20</v>
      </c>
      <c r="T2651">
        <v>0</v>
      </c>
      <c r="AC2651">
        <v>1</v>
      </c>
    </row>
    <row r="2652" spans="1:29" ht="30" customHeight="1" x14ac:dyDescent="0.3">
      <c r="A2652" s="8" t="s">
        <v>2288</v>
      </c>
      <c r="B2652" s="8" t="s">
        <v>808</v>
      </c>
      <c r="C2652" s="8" t="s">
        <v>252</v>
      </c>
      <c r="D2652" s="8" t="s">
        <v>809</v>
      </c>
      <c r="E2652" s="8" t="s">
        <v>179</v>
      </c>
      <c r="F2652" s="9">
        <v>79</v>
      </c>
      <c r="G2652" s="5">
        <f>TRUNC([1]단가대비표!O218,0)</f>
        <v>2490</v>
      </c>
      <c r="H2652" s="5">
        <f t="shared" si="243"/>
        <v>196710</v>
      </c>
      <c r="I2652" s="5">
        <v>0</v>
      </c>
      <c r="J2652" s="5">
        <f t="shared" si="244"/>
        <v>0</v>
      </c>
      <c r="K2652" s="5">
        <v>0</v>
      </c>
      <c r="L2652" s="5">
        <f t="shared" si="245"/>
        <v>0</v>
      </c>
      <c r="M2652" s="5">
        <f t="shared" si="247"/>
        <v>2490</v>
      </c>
      <c r="N2652" s="5">
        <f t="shared" si="247"/>
        <v>196710</v>
      </c>
      <c r="O2652" s="8" t="s">
        <v>20</v>
      </c>
      <c r="T2652">
        <v>0</v>
      </c>
      <c r="AC2652">
        <v>1</v>
      </c>
    </row>
    <row r="2653" spans="1:29" ht="30" customHeight="1" x14ac:dyDescent="0.3">
      <c r="A2653" s="8" t="s">
        <v>2288</v>
      </c>
      <c r="B2653" s="8" t="s">
        <v>597</v>
      </c>
      <c r="C2653" s="8" t="s">
        <v>252</v>
      </c>
      <c r="D2653" s="8" t="s">
        <v>598</v>
      </c>
      <c r="E2653" s="8" t="s">
        <v>179</v>
      </c>
      <c r="F2653" s="9">
        <v>19</v>
      </c>
      <c r="G2653" s="5">
        <f>TRUNC([1]단가대비표!O219,0)</f>
        <v>3040</v>
      </c>
      <c r="H2653" s="5">
        <f t="shared" si="243"/>
        <v>57760</v>
      </c>
      <c r="I2653" s="5">
        <v>0</v>
      </c>
      <c r="J2653" s="5">
        <f t="shared" si="244"/>
        <v>0</v>
      </c>
      <c r="K2653" s="5">
        <v>0</v>
      </c>
      <c r="L2653" s="5">
        <f t="shared" si="245"/>
        <v>0</v>
      </c>
      <c r="M2653" s="5">
        <f t="shared" si="247"/>
        <v>3040</v>
      </c>
      <c r="N2653" s="5">
        <f t="shared" si="247"/>
        <v>57760</v>
      </c>
      <c r="O2653" s="8" t="s">
        <v>20</v>
      </c>
      <c r="T2653">
        <v>0</v>
      </c>
      <c r="AC2653">
        <v>1</v>
      </c>
    </row>
    <row r="2654" spans="1:29" ht="30" customHeight="1" x14ac:dyDescent="0.3">
      <c r="A2654" s="8" t="s">
        <v>2288</v>
      </c>
      <c r="B2654" s="8" t="s">
        <v>599</v>
      </c>
      <c r="C2654" s="8" t="s">
        <v>252</v>
      </c>
      <c r="D2654" s="8" t="s">
        <v>600</v>
      </c>
      <c r="E2654" s="8" t="s">
        <v>179</v>
      </c>
      <c r="F2654" s="9">
        <v>25</v>
      </c>
      <c r="G2654" s="5">
        <f>TRUNC([1]단가대비표!O220,0)</f>
        <v>3920</v>
      </c>
      <c r="H2654" s="5">
        <f t="shared" si="243"/>
        <v>98000</v>
      </c>
      <c r="I2654" s="5">
        <v>0</v>
      </c>
      <c r="J2654" s="5">
        <f t="shared" si="244"/>
        <v>0</v>
      </c>
      <c r="K2654" s="5">
        <v>0</v>
      </c>
      <c r="L2654" s="5">
        <f t="shared" si="245"/>
        <v>0</v>
      </c>
      <c r="M2654" s="5">
        <f t="shared" si="247"/>
        <v>3920</v>
      </c>
      <c r="N2654" s="5">
        <f t="shared" si="247"/>
        <v>98000</v>
      </c>
      <c r="O2654" s="8" t="s">
        <v>20</v>
      </c>
      <c r="T2654">
        <v>0</v>
      </c>
      <c r="AC2654">
        <v>1</v>
      </c>
    </row>
    <row r="2655" spans="1:29" ht="30" customHeight="1" x14ac:dyDescent="0.3">
      <c r="A2655" s="8" t="s">
        <v>2288</v>
      </c>
      <c r="B2655" s="8" t="s">
        <v>601</v>
      </c>
      <c r="C2655" s="8" t="s">
        <v>252</v>
      </c>
      <c r="D2655" s="8" t="s">
        <v>602</v>
      </c>
      <c r="E2655" s="8" t="s">
        <v>179</v>
      </c>
      <c r="F2655" s="9">
        <v>1</v>
      </c>
      <c r="G2655" s="5">
        <f>TRUNC([1]단가대비표!O221,0)</f>
        <v>6560</v>
      </c>
      <c r="H2655" s="5">
        <f t="shared" si="243"/>
        <v>6560</v>
      </c>
      <c r="I2655" s="5">
        <v>0</v>
      </c>
      <c r="J2655" s="5">
        <f t="shared" si="244"/>
        <v>0</v>
      </c>
      <c r="K2655" s="5">
        <v>0</v>
      </c>
      <c r="L2655" s="5">
        <f t="shared" si="245"/>
        <v>0</v>
      </c>
      <c r="M2655" s="5">
        <f t="shared" si="247"/>
        <v>6560</v>
      </c>
      <c r="N2655" s="5">
        <f t="shared" si="247"/>
        <v>6560</v>
      </c>
      <c r="O2655" s="8" t="s">
        <v>20</v>
      </c>
      <c r="T2655">
        <v>0</v>
      </c>
      <c r="AC2655">
        <v>1</v>
      </c>
    </row>
    <row r="2656" spans="1:29" ht="30" customHeight="1" x14ac:dyDescent="0.3">
      <c r="A2656" s="8" t="s">
        <v>2288</v>
      </c>
      <c r="B2656" s="8" t="s">
        <v>810</v>
      </c>
      <c r="C2656" s="8" t="s">
        <v>252</v>
      </c>
      <c r="D2656" s="8" t="s">
        <v>811</v>
      </c>
      <c r="E2656" s="8" t="s">
        <v>179</v>
      </c>
      <c r="F2656" s="9">
        <v>4</v>
      </c>
      <c r="G2656" s="5">
        <f>TRUNC([1]단가대비표!O273,0)</f>
        <v>7480</v>
      </c>
      <c r="H2656" s="5">
        <f t="shared" si="243"/>
        <v>29920</v>
      </c>
      <c r="I2656" s="5">
        <v>0</v>
      </c>
      <c r="J2656" s="5">
        <f t="shared" si="244"/>
        <v>0</v>
      </c>
      <c r="K2656" s="5">
        <v>0</v>
      </c>
      <c r="L2656" s="5">
        <f t="shared" si="245"/>
        <v>0</v>
      </c>
      <c r="M2656" s="5">
        <f t="shared" si="247"/>
        <v>7480</v>
      </c>
      <c r="N2656" s="5">
        <f t="shared" si="247"/>
        <v>29920</v>
      </c>
      <c r="O2656" s="8" t="s">
        <v>20</v>
      </c>
      <c r="T2656">
        <v>0</v>
      </c>
      <c r="AC2656">
        <v>1</v>
      </c>
    </row>
    <row r="2657" spans="1:29" ht="30" customHeight="1" x14ac:dyDescent="0.3">
      <c r="A2657" s="8" t="s">
        <v>2288</v>
      </c>
      <c r="B2657" s="8" t="s">
        <v>605</v>
      </c>
      <c r="C2657" s="8" t="s">
        <v>252</v>
      </c>
      <c r="D2657" s="8" t="s">
        <v>606</v>
      </c>
      <c r="E2657" s="8" t="s">
        <v>179</v>
      </c>
      <c r="F2657" s="9">
        <v>24</v>
      </c>
      <c r="G2657" s="5">
        <f>TRUNC([1]단가대비표!O274,0)</f>
        <v>9830</v>
      </c>
      <c r="H2657" s="5">
        <f t="shared" si="243"/>
        <v>235920</v>
      </c>
      <c r="I2657" s="5">
        <v>0</v>
      </c>
      <c r="J2657" s="5">
        <f t="shared" si="244"/>
        <v>0</v>
      </c>
      <c r="K2657" s="5">
        <v>0</v>
      </c>
      <c r="L2657" s="5">
        <f t="shared" si="245"/>
        <v>0</v>
      </c>
      <c r="M2657" s="5">
        <f t="shared" si="247"/>
        <v>9830</v>
      </c>
      <c r="N2657" s="5">
        <f t="shared" si="247"/>
        <v>235920</v>
      </c>
      <c r="O2657" s="8" t="s">
        <v>20</v>
      </c>
      <c r="T2657">
        <v>0</v>
      </c>
      <c r="AC2657">
        <v>1</v>
      </c>
    </row>
    <row r="2658" spans="1:29" ht="30" customHeight="1" x14ac:dyDescent="0.3">
      <c r="A2658" s="8" t="s">
        <v>2288</v>
      </c>
      <c r="B2658" s="8" t="s">
        <v>294</v>
      </c>
      <c r="C2658" s="8" t="s">
        <v>252</v>
      </c>
      <c r="D2658" s="8" t="s">
        <v>295</v>
      </c>
      <c r="E2658" s="8" t="s">
        <v>179</v>
      </c>
      <c r="F2658" s="9">
        <v>21</v>
      </c>
      <c r="G2658" s="5">
        <f>TRUNC([1]단가대비표!O275,0)</f>
        <v>13410</v>
      </c>
      <c r="H2658" s="5">
        <f t="shared" si="243"/>
        <v>281610</v>
      </c>
      <c r="I2658" s="5">
        <v>0</v>
      </c>
      <c r="J2658" s="5">
        <f t="shared" si="244"/>
        <v>0</v>
      </c>
      <c r="K2658" s="5">
        <v>0</v>
      </c>
      <c r="L2658" s="5">
        <f t="shared" si="245"/>
        <v>0</v>
      </c>
      <c r="M2658" s="5">
        <f t="shared" si="247"/>
        <v>13410</v>
      </c>
      <c r="N2658" s="5">
        <f t="shared" si="247"/>
        <v>281610</v>
      </c>
      <c r="O2658" s="8" t="s">
        <v>20</v>
      </c>
      <c r="T2658">
        <v>0</v>
      </c>
      <c r="AC2658">
        <v>1</v>
      </c>
    </row>
    <row r="2659" spans="1:29" ht="30" customHeight="1" x14ac:dyDescent="0.3">
      <c r="A2659" s="8" t="s">
        <v>2288</v>
      </c>
      <c r="B2659" s="8" t="s">
        <v>296</v>
      </c>
      <c r="C2659" s="8" t="s">
        <v>252</v>
      </c>
      <c r="D2659" s="8" t="s">
        <v>297</v>
      </c>
      <c r="E2659" s="8" t="s">
        <v>179</v>
      </c>
      <c r="F2659" s="9">
        <v>4</v>
      </c>
      <c r="G2659" s="5">
        <f>TRUNC([1]단가대비표!O276,0)</f>
        <v>17440</v>
      </c>
      <c r="H2659" s="5">
        <f t="shared" si="243"/>
        <v>69760</v>
      </c>
      <c r="I2659" s="5">
        <v>0</v>
      </c>
      <c r="J2659" s="5">
        <f t="shared" si="244"/>
        <v>0</v>
      </c>
      <c r="K2659" s="5">
        <v>0</v>
      </c>
      <c r="L2659" s="5">
        <f t="shared" si="245"/>
        <v>0</v>
      </c>
      <c r="M2659" s="5">
        <f t="shared" si="247"/>
        <v>17440</v>
      </c>
      <c r="N2659" s="5">
        <f t="shared" si="247"/>
        <v>69760</v>
      </c>
      <c r="O2659" s="8" t="s">
        <v>20</v>
      </c>
      <c r="T2659">
        <v>0</v>
      </c>
      <c r="AC2659">
        <v>1</v>
      </c>
    </row>
    <row r="2660" spans="1:29" ht="30" customHeight="1" x14ac:dyDescent="0.3">
      <c r="A2660" s="8" t="s">
        <v>2288</v>
      </c>
      <c r="B2660" s="8" t="s">
        <v>300</v>
      </c>
      <c r="C2660" s="8" t="s">
        <v>252</v>
      </c>
      <c r="D2660" s="8" t="s">
        <v>301</v>
      </c>
      <c r="E2660" s="8" t="s">
        <v>179</v>
      </c>
      <c r="F2660" s="9">
        <v>4</v>
      </c>
      <c r="G2660" s="5">
        <f>TRUNC([1]단가대비표!O278,0)</f>
        <v>35170</v>
      </c>
      <c r="H2660" s="5">
        <f t="shared" si="243"/>
        <v>140680</v>
      </c>
      <c r="I2660" s="5">
        <v>0</v>
      </c>
      <c r="J2660" s="5">
        <f t="shared" si="244"/>
        <v>0</v>
      </c>
      <c r="K2660" s="5">
        <v>0</v>
      </c>
      <c r="L2660" s="5">
        <f t="shared" si="245"/>
        <v>0</v>
      </c>
      <c r="M2660" s="5">
        <f t="shared" si="247"/>
        <v>35170</v>
      </c>
      <c r="N2660" s="5">
        <f t="shared" si="247"/>
        <v>140680</v>
      </c>
      <c r="O2660" s="8" t="s">
        <v>20</v>
      </c>
      <c r="T2660">
        <v>0</v>
      </c>
      <c r="AC2660">
        <v>1</v>
      </c>
    </row>
    <row r="2661" spans="1:29" ht="30" customHeight="1" x14ac:dyDescent="0.3">
      <c r="A2661" s="8" t="s">
        <v>2288</v>
      </c>
      <c r="B2661" s="8" t="s">
        <v>302</v>
      </c>
      <c r="C2661" s="8" t="s">
        <v>252</v>
      </c>
      <c r="D2661" s="8" t="s">
        <v>303</v>
      </c>
      <c r="E2661" s="8" t="s">
        <v>179</v>
      </c>
      <c r="F2661" s="9">
        <v>7</v>
      </c>
      <c r="G2661" s="5">
        <f>TRUNC([1]단가대비표!O281,0)</f>
        <v>2120</v>
      </c>
      <c r="H2661" s="5">
        <f t="shared" si="243"/>
        <v>14840</v>
      </c>
      <c r="I2661" s="5">
        <v>0</v>
      </c>
      <c r="J2661" s="5">
        <f t="shared" si="244"/>
        <v>0</v>
      </c>
      <c r="K2661" s="5">
        <v>0</v>
      </c>
      <c r="L2661" s="5">
        <f t="shared" si="245"/>
        <v>0</v>
      </c>
      <c r="M2661" s="5">
        <f t="shared" si="247"/>
        <v>2120</v>
      </c>
      <c r="N2661" s="5">
        <f t="shared" si="247"/>
        <v>14840</v>
      </c>
      <c r="O2661" s="8" t="s">
        <v>20</v>
      </c>
      <c r="T2661">
        <v>0</v>
      </c>
      <c r="AC2661">
        <v>1</v>
      </c>
    </row>
    <row r="2662" spans="1:29" ht="30" customHeight="1" x14ac:dyDescent="0.3">
      <c r="A2662" s="8" t="s">
        <v>2288</v>
      </c>
      <c r="B2662" s="8" t="s">
        <v>306</v>
      </c>
      <c r="C2662" s="8" t="s">
        <v>252</v>
      </c>
      <c r="D2662" s="8" t="s">
        <v>307</v>
      </c>
      <c r="E2662" s="8" t="s">
        <v>179</v>
      </c>
      <c r="F2662" s="9">
        <v>1</v>
      </c>
      <c r="G2662" s="5">
        <f>TRUNC([1]단가대비표!O283,0)</f>
        <v>5030</v>
      </c>
      <c r="H2662" s="5">
        <f t="shared" si="243"/>
        <v>5030</v>
      </c>
      <c r="I2662" s="5">
        <v>0</v>
      </c>
      <c r="J2662" s="5">
        <f t="shared" si="244"/>
        <v>0</v>
      </c>
      <c r="K2662" s="5">
        <v>0</v>
      </c>
      <c r="L2662" s="5">
        <f t="shared" si="245"/>
        <v>0</v>
      </c>
      <c r="M2662" s="5">
        <f t="shared" si="247"/>
        <v>5030</v>
      </c>
      <c r="N2662" s="5">
        <f t="shared" si="247"/>
        <v>5030</v>
      </c>
      <c r="O2662" s="8" t="s">
        <v>20</v>
      </c>
      <c r="T2662">
        <v>0</v>
      </c>
      <c r="AC2662">
        <v>1</v>
      </c>
    </row>
    <row r="2663" spans="1:29" ht="30" customHeight="1" x14ac:dyDescent="0.3">
      <c r="A2663" s="8" t="s">
        <v>2288</v>
      </c>
      <c r="B2663" s="8" t="s">
        <v>310</v>
      </c>
      <c r="C2663" s="8" t="s">
        <v>252</v>
      </c>
      <c r="D2663" s="8" t="s">
        <v>311</v>
      </c>
      <c r="E2663" s="8" t="s">
        <v>179</v>
      </c>
      <c r="F2663" s="9">
        <v>1</v>
      </c>
      <c r="G2663" s="5">
        <f>TRUNC([1]단가대비표!O285,0)</f>
        <v>9720</v>
      </c>
      <c r="H2663" s="5">
        <f t="shared" si="243"/>
        <v>9720</v>
      </c>
      <c r="I2663" s="5">
        <v>0</v>
      </c>
      <c r="J2663" s="5">
        <f t="shared" si="244"/>
        <v>0</v>
      </c>
      <c r="K2663" s="5">
        <v>0</v>
      </c>
      <c r="L2663" s="5">
        <f t="shared" si="245"/>
        <v>0</v>
      </c>
      <c r="M2663" s="5">
        <f t="shared" si="247"/>
        <v>9720</v>
      </c>
      <c r="N2663" s="5">
        <f t="shared" si="247"/>
        <v>9720</v>
      </c>
      <c r="O2663" s="8" t="s">
        <v>20</v>
      </c>
      <c r="T2663">
        <v>0</v>
      </c>
      <c r="AC2663">
        <v>1</v>
      </c>
    </row>
    <row r="2664" spans="1:29" ht="30" customHeight="1" x14ac:dyDescent="0.3">
      <c r="A2664" s="8" t="s">
        <v>2288</v>
      </c>
      <c r="B2664" s="8" t="s">
        <v>312</v>
      </c>
      <c r="C2664" s="8" t="s">
        <v>252</v>
      </c>
      <c r="D2664" s="8" t="s">
        <v>313</v>
      </c>
      <c r="E2664" s="8" t="s">
        <v>179</v>
      </c>
      <c r="F2664" s="9">
        <v>1</v>
      </c>
      <c r="G2664" s="5">
        <f>TRUNC([1]단가대비표!O292,0)</f>
        <v>10374</v>
      </c>
      <c r="H2664" s="5">
        <f t="shared" si="243"/>
        <v>10374</v>
      </c>
      <c r="I2664" s="5">
        <v>0</v>
      </c>
      <c r="J2664" s="5">
        <f t="shared" si="244"/>
        <v>0</v>
      </c>
      <c r="K2664" s="5">
        <v>0</v>
      </c>
      <c r="L2664" s="5">
        <f t="shared" si="245"/>
        <v>0</v>
      </c>
      <c r="M2664" s="5">
        <f t="shared" si="247"/>
        <v>10374</v>
      </c>
      <c r="N2664" s="5">
        <f t="shared" si="247"/>
        <v>10374</v>
      </c>
      <c r="O2664" s="8" t="s">
        <v>20</v>
      </c>
      <c r="T2664">
        <v>0</v>
      </c>
      <c r="AC2664">
        <v>1</v>
      </c>
    </row>
    <row r="2665" spans="1:29" ht="30" customHeight="1" x14ac:dyDescent="0.3">
      <c r="A2665" s="8" t="s">
        <v>2288</v>
      </c>
      <c r="B2665" s="8" t="s">
        <v>318</v>
      </c>
      <c r="C2665" s="8" t="s">
        <v>252</v>
      </c>
      <c r="D2665" s="8" t="s">
        <v>319</v>
      </c>
      <c r="E2665" s="8" t="s">
        <v>179</v>
      </c>
      <c r="F2665" s="9">
        <v>4</v>
      </c>
      <c r="G2665" s="5">
        <f>TRUNC([1]단가대비표!O286,0)</f>
        <v>3570</v>
      </c>
      <c r="H2665" s="5">
        <f t="shared" si="243"/>
        <v>14280</v>
      </c>
      <c r="I2665" s="5">
        <v>0</v>
      </c>
      <c r="J2665" s="5">
        <f t="shared" si="244"/>
        <v>0</v>
      </c>
      <c r="K2665" s="5">
        <v>0</v>
      </c>
      <c r="L2665" s="5">
        <f t="shared" si="245"/>
        <v>0</v>
      </c>
      <c r="M2665" s="5">
        <f t="shared" si="247"/>
        <v>3570</v>
      </c>
      <c r="N2665" s="5">
        <f t="shared" si="247"/>
        <v>14280</v>
      </c>
      <c r="O2665" s="8" t="s">
        <v>20</v>
      </c>
      <c r="T2665">
        <v>0</v>
      </c>
      <c r="AC2665">
        <v>1</v>
      </c>
    </row>
    <row r="2666" spans="1:29" ht="30" customHeight="1" x14ac:dyDescent="0.3">
      <c r="A2666" s="8" t="s">
        <v>2288</v>
      </c>
      <c r="B2666" s="8" t="s">
        <v>320</v>
      </c>
      <c r="C2666" s="8" t="s">
        <v>252</v>
      </c>
      <c r="D2666" s="8" t="s">
        <v>321</v>
      </c>
      <c r="E2666" s="8" t="s">
        <v>179</v>
      </c>
      <c r="F2666" s="9">
        <v>30</v>
      </c>
      <c r="G2666" s="5">
        <f>TRUNC([1]단가대비표!O287,0)</f>
        <v>4920</v>
      </c>
      <c r="H2666" s="5">
        <f t="shared" si="243"/>
        <v>147600</v>
      </c>
      <c r="I2666" s="5">
        <v>0</v>
      </c>
      <c r="J2666" s="5">
        <f t="shared" si="244"/>
        <v>0</v>
      </c>
      <c r="K2666" s="5">
        <v>0</v>
      </c>
      <c r="L2666" s="5">
        <f t="shared" si="245"/>
        <v>0</v>
      </c>
      <c r="M2666" s="5">
        <f t="shared" si="247"/>
        <v>4920</v>
      </c>
      <c r="N2666" s="5">
        <f t="shared" si="247"/>
        <v>147600</v>
      </c>
      <c r="O2666" s="8" t="s">
        <v>20</v>
      </c>
      <c r="T2666">
        <v>0</v>
      </c>
      <c r="AC2666">
        <v>1</v>
      </c>
    </row>
    <row r="2667" spans="1:29" ht="30" customHeight="1" x14ac:dyDescent="0.3">
      <c r="A2667" s="8" t="s">
        <v>2288</v>
      </c>
      <c r="B2667" s="8" t="s">
        <v>322</v>
      </c>
      <c r="C2667" s="8" t="s">
        <v>252</v>
      </c>
      <c r="D2667" s="8" t="s">
        <v>323</v>
      </c>
      <c r="E2667" s="8" t="s">
        <v>179</v>
      </c>
      <c r="F2667" s="9">
        <v>21</v>
      </c>
      <c r="G2667" s="5">
        <f>TRUNC([1]단가대비표!O288,0)</f>
        <v>6720</v>
      </c>
      <c r="H2667" s="5">
        <f t="shared" si="243"/>
        <v>141120</v>
      </c>
      <c r="I2667" s="5">
        <v>0</v>
      </c>
      <c r="J2667" s="5">
        <f t="shared" si="244"/>
        <v>0</v>
      </c>
      <c r="K2667" s="5">
        <v>0</v>
      </c>
      <c r="L2667" s="5">
        <f t="shared" si="245"/>
        <v>0</v>
      </c>
      <c r="M2667" s="5">
        <f t="shared" si="247"/>
        <v>6720</v>
      </c>
      <c r="N2667" s="5">
        <f t="shared" si="247"/>
        <v>141120</v>
      </c>
      <c r="O2667" s="8" t="s">
        <v>20</v>
      </c>
      <c r="T2667">
        <v>0</v>
      </c>
      <c r="AC2667">
        <v>1</v>
      </c>
    </row>
    <row r="2668" spans="1:29" ht="30" customHeight="1" x14ac:dyDescent="0.3">
      <c r="A2668" s="8" t="s">
        <v>2288</v>
      </c>
      <c r="B2668" s="8" t="s">
        <v>324</v>
      </c>
      <c r="C2668" s="8" t="s">
        <v>252</v>
      </c>
      <c r="D2668" s="8" t="s">
        <v>325</v>
      </c>
      <c r="E2668" s="8" t="s">
        <v>179</v>
      </c>
      <c r="F2668" s="9">
        <v>4</v>
      </c>
      <c r="G2668" s="5">
        <f>TRUNC([1]단가대비표!O289,0)</f>
        <v>7910</v>
      </c>
      <c r="H2668" s="5">
        <f t="shared" si="243"/>
        <v>31640</v>
      </c>
      <c r="I2668" s="5">
        <v>0</v>
      </c>
      <c r="J2668" s="5">
        <f t="shared" si="244"/>
        <v>0</v>
      </c>
      <c r="K2668" s="5">
        <v>0</v>
      </c>
      <c r="L2668" s="5">
        <f t="shared" si="245"/>
        <v>0</v>
      </c>
      <c r="M2668" s="5">
        <f t="shared" si="247"/>
        <v>7910</v>
      </c>
      <c r="N2668" s="5">
        <f t="shared" si="247"/>
        <v>31640</v>
      </c>
      <c r="O2668" s="8" t="s">
        <v>20</v>
      </c>
      <c r="T2668">
        <v>0</v>
      </c>
      <c r="AC2668">
        <v>1</v>
      </c>
    </row>
    <row r="2669" spans="1:29" ht="30" customHeight="1" x14ac:dyDescent="0.3">
      <c r="A2669" s="8" t="s">
        <v>2288</v>
      </c>
      <c r="B2669" s="8" t="s">
        <v>328</v>
      </c>
      <c r="C2669" s="8" t="s">
        <v>252</v>
      </c>
      <c r="D2669" s="8" t="s">
        <v>329</v>
      </c>
      <c r="E2669" s="8" t="s">
        <v>179</v>
      </c>
      <c r="F2669" s="9">
        <v>4</v>
      </c>
      <c r="G2669" s="5">
        <f>TRUNC([1]단가대비표!O291,0)</f>
        <v>15070</v>
      </c>
      <c r="H2669" s="5">
        <f t="shared" ref="H2669:H2726" si="248">TRUNC(F2669*G2669,0)</f>
        <v>60280</v>
      </c>
      <c r="I2669" s="5">
        <v>0</v>
      </c>
      <c r="J2669" s="5">
        <f t="shared" ref="J2669:J2726" si="249">TRUNC(F2669*I2669,0)</f>
        <v>0</v>
      </c>
      <c r="K2669" s="5">
        <v>0</v>
      </c>
      <c r="L2669" s="5">
        <f t="shared" ref="L2669:L2726" si="250">TRUNC(F2669*K2669,0)</f>
        <v>0</v>
      </c>
      <c r="M2669" s="5">
        <f t="shared" ref="M2669:N2700" si="251">G2669+I2669+K2669</f>
        <v>15070</v>
      </c>
      <c r="N2669" s="5">
        <f t="shared" si="251"/>
        <v>60280</v>
      </c>
      <c r="O2669" s="8" t="s">
        <v>20</v>
      </c>
      <c r="T2669">
        <v>0</v>
      </c>
      <c r="AC2669">
        <v>1</v>
      </c>
    </row>
    <row r="2670" spans="1:29" ht="30" customHeight="1" x14ac:dyDescent="0.3">
      <c r="A2670" s="8" t="s">
        <v>2288</v>
      </c>
      <c r="B2670" s="8" t="s">
        <v>336</v>
      </c>
      <c r="C2670" s="8" t="s">
        <v>252</v>
      </c>
      <c r="D2670" s="8" t="s">
        <v>337</v>
      </c>
      <c r="E2670" s="8" t="s">
        <v>179</v>
      </c>
      <c r="F2670" s="9">
        <v>1</v>
      </c>
      <c r="G2670" s="5">
        <f>TRUNC([1]단가대비표!O298,0)</f>
        <v>63300</v>
      </c>
      <c r="H2670" s="5">
        <f t="shared" si="248"/>
        <v>63300</v>
      </c>
      <c r="I2670" s="5">
        <v>0</v>
      </c>
      <c r="J2670" s="5">
        <f t="shared" si="249"/>
        <v>0</v>
      </c>
      <c r="K2670" s="5">
        <v>0</v>
      </c>
      <c r="L2670" s="5">
        <f t="shared" si="250"/>
        <v>0</v>
      </c>
      <c r="M2670" s="5">
        <f t="shared" si="251"/>
        <v>63300</v>
      </c>
      <c r="N2670" s="5">
        <f t="shared" si="251"/>
        <v>63300</v>
      </c>
      <c r="O2670" s="8" t="s">
        <v>20</v>
      </c>
      <c r="T2670">
        <v>0</v>
      </c>
      <c r="AC2670">
        <v>1</v>
      </c>
    </row>
    <row r="2671" spans="1:29" ht="30" customHeight="1" x14ac:dyDescent="0.3">
      <c r="A2671" s="8" t="s">
        <v>2288</v>
      </c>
      <c r="B2671" s="8" t="s">
        <v>614</v>
      </c>
      <c r="C2671" s="8" t="s">
        <v>615</v>
      </c>
      <c r="D2671" s="8" t="s">
        <v>381</v>
      </c>
      <c r="E2671" s="8" t="s">
        <v>179</v>
      </c>
      <c r="F2671" s="9">
        <v>3</v>
      </c>
      <c r="G2671" s="5">
        <f>TRUNC([1]단가대비표!O533,0)</f>
        <v>18400</v>
      </c>
      <c r="H2671" s="5">
        <f t="shared" si="248"/>
        <v>55200</v>
      </c>
      <c r="I2671" s="5">
        <v>0</v>
      </c>
      <c r="J2671" s="5">
        <f t="shared" si="249"/>
        <v>0</v>
      </c>
      <c r="K2671" s="5">
        <v>0</v>
      </c>
      <c r="L2671" s="5">
        <f t="shared" si="250"/>
        <v>0</v>
      </c>
      <c r="M2671" s="5">
        <f t="shared" si="251"/>
        <v>18400</v>
      </c>
      <c r="N2671" s="5">
        <f t="shared" si="251"/>
        <v>55200</v>
      </c>
      <c r="O2671" s="8" t="s">
        <v>20</v>
      </c>
      <c r="T2671">
        <v>0</v>
      </c>
      <c r="AC2671">
        <v>1</v>
      </c>
    </row>
    <row r="2672" spans="1:29" ht="30" customHeight="1" x14ac:dyDescent="0.3">
      <c r="A2672" s="8" t="s">
        <v>2288</v>
      </c>
      <c r="B2672" s="8" t="s">
        <v>378</v>
      </c>
      <c r="C2672" s="8" t="s">
        <v>374</v>
      </c>
      <c r="D2672" s="8" t="s">
        <v>379</v>
      </c>
      <c r="E2672" s="8" t="s">
        <v>179</v>
      </c>
      <c r="F2672" s="9">
        <v>3</v>
      </c>
      <c r="G2672" s="5">
        <f>TRUNC([1]단가대비표!O538,0)</f>
        <v>44960</v>
      </c>
      <c r="H2672" s="5">
        <f t="shared" si="248"/>
        <v>134880</v>
      </c>
      <c r="I2672" s="5">
        <v>0</v>
      </c>
      <c r="J2672" s="5">
        <f t="shared" si="249"/>
        <v>0</v>
      </c>
      <c r="K2672" s="5">
        <v>0</v>
      </c>
      <c r="L2672" s="5">
        <f t="shared" si="250"/>
        <v>0</v>
      </c>
      <c r="M2672" s="5">
        <f t="shared" si="251"/>
        <v>44960</v>
      </c>
      <c r="N2672" s="5">
        <f t="shared" si="251"/>
        <v>134880</v>
      </c>
      <c r="O2672" s="8" t="s">
        <v>20</v>
      </c>
      <c r="T2672">
        <v>0</v>
      </c>
      <c r="AC2672">
        <v>1</v>
      </c>
    </row>
    <row r="2673" spans="1:29" ht="30" customHeight="1" x14ac:dyDescent="0.3">
      <c r="A2673" s="8" t="s">
        <v>2288</v>
      </c>
      <c r="B2673" s="8" t="s">
        <v>380</v>
      </c>
      <c r="C2673" s="8" t="s">
        <v>374</v>
      </c>
      <c r="D2673" s="8" t="s">
        <v>381</v>
      </c>
      <c r="E2673" s="8" t="s">
        <v>179</v>
      </c>
      <c r="F2673" s="9">
        <v>22</v>
      </c>
      <c r="G2673" s="5">
        <f>TRUNC([1]단가대비표!O539,0)</f>
        <v>48350</v>
      </c>
      <c r="H2673" s="5">
        <f t="shared" si="248"/>
        <v>1063700</v>
      </c>
      <c r="I2673" s="5">
        <v>0</v>
      </c>
      <c r="J2673" s="5">
        <f t="shared" si="249"/>
        <v>0</v>
      </c>
      <c r="K2673" s="5">
        <v>0</v>
      </c>
      <c r="L2673" s="5">
        <f t="shared" si="250"/>
        <v>0</v>
      </c>
      <c r="M2673" s="5">
        <f t="shared" si="251"/>
        <v>48350</v>
      </c>
      <c r="N2673" s="5">
        <f t="shared" si="251"/>
        <v>1063700</v>
      </c>
      <c r="O2673" s="8" t="s">
        <v>20</v>
      </c>
      <c r="T2673">
        <v>0</v>
      </c>
      <c r="AC2673">
        <v>1</v>
      </c>
    </row>
    <row r="2674" spans="1:29" ht="30" customHeight="1" x14ac:dyDescent="0.3">
      <c r="A2674" s="8" t="s">
        <v>2288</v>
      </c>
      <c r="B2674" s="8" t="s">
        <v>382</v>
      </c>
      <c r="C2674" s="8" t="s">
        <v>374</v>
      </c>
      <c r="D2674" s="8" t="s">
        <v>383</v>
      </c>
      <c r="E2674" s="8" t="s">
        <v>179</v>
      </c>
      <c r="F2674" s="9">
        <v>20</v>
      </c>
      <c r="G2674" s="5">
        <f>TRUNC([1]단가대비표!O540,0)</f>
        <v>56060</v>
      </c>
      <c r="H2674" s="5">
        <f t="shared" si="248"/>
        <v>1121200</v>
      </c>
      <c r="I2674" s="5">
        <v>0</v>
      </c>
      <c r="J2674" s="5">
        <f t="shared" si="249"/>
        <v>0</v>
      </c>
      <c r="K2674" s="5">
        <v>0</v>
      </c>
      <c r="L2674" s="5">
        <f t="shared" si="250"/>
        <v>0</v>
      </c>
      <c r="M2674" s="5">
        <f t="shared" si="251"/>
        <v>56060</v>
      </c>
      <c r="N2674" s="5">
        <f t="shared" si="251"/>
        <v>1121200</v>
      </c>
      <c r="O2674" s="8" t="s">
        <v>20</v>
      </c>
      <c r="T2674">
        <v>0</v>
      </c>
      <c r="AC2674">
        <v>1</v>
      </c>
    </row>
    <row r="2675" spans="1:29" ht="30" customHeight="1" x14ac:dyDescent="0.3">
      <c r="A2675" s="8" t="s">
        <v>2288</v>
      </c>
      <c r="B2675" s="8" t="s">
        <v>384</v>
      </c>
      <c r="C2675" s="8" t="s">
        <v>374</v>
      </c>
      <c r="D2675" s="8" t="s">
        <v>385</v>
      </c>
      <c r="E2675" s="8" t="s">
        <v>179</v>
      </c>
      <c r="F2675" s="9">
        <v>3</v>
      </c>
      <c r="G2675" s="5">
        <f>TRUNC([1]단가대비표!O541,0)</f>
        <v>61200</v>
      </c>
      <c r="H2675" s="5">
        <f t="shared" si="248"/>
        <v>183600</v>
      </c>
      <c r="I2675" s="5">
        <v>0</v>
      </c>
      <c r="J2675" s="5">
        <f t="shared" si="249"/>
        <v>0</v>
      </c>
      <c r="K2675" s="5">
        <v>0</v>
      </c>
      <c r="L2675" s="5">
        <f t="shared" si="250"/>
        <v>0</v>
      </c>
      <c r="M2675" s="5">
        <f t="shared" si="251"/>
        <v>61200</v>
      </c>
      <c r="N2675" s="5">
        <f t="shared" si="251"/>
        <v>183600</v>
      </c>
      <c r="O2675" s="8" t="s">
        <v>20</v>
      </c>
      <c r="T2675">
        <v>0</v>
      </c>
      <c r="AC2675">
        <v>1</v>
      </c>
    </row>
    <row r="2676" spans="1:29" ht="30" customHeight="1" x14ac:dyDescent="0.3">
      <c r="A2676" s="8" t="s">
        <v>2288</v>
      </c>
      <c r="B2676" s="8" t="s">
        <v>388</v>
      </c>
      <c r="C2676" s="8" t="s">
        <v>374</v>
      </c>
      <c r="D2676" s="8" t="s">
        <v>389</v>
      </c>
      <c r="E2676" s="8" t="s">
        <v>179</v>
      </c>
      <c r="F2676" s="9">
        <v>3</v>
      </c>
      <c r="G2676" s="5">
        <f>TRUNC([1]단가대비표!O543,0)</f>
        <v>81600</v>
      </c>
      <c r="H2676" s="5">
        <f t="shared" si="248"/>
        <v>244800</v>
      </c>
      <c r="I2676" s="5">
        <v>0</v>
      </c>
      <c r="J2676" s="5">
        <f t="shared" si="249"/>
        <v>0</v>
      </c>
      <c r="K2676" s="5">
        <v>0</v>
      </c>
      <c r="L2676" s="5">
        <f t="shared" si="250"/>
        <v>0</v>
      </c>
      <c r="M2676" s="5">
        <f t="shared" si="251"/>
        <v>81600</v>
      </c>
      <c r="N2676" s="5">
        <f t="shared" si="251"/>
        <v>244800</v>
      </c>
      <c r="O2676" s="8" t="s">
        <v>20</v>
      </c>
      <c r="T2676">
        <v>0</v>
      </c>
      <c r="AC2676">
        <v>1</v>
      </c>
    </row>
    <row r="2677" spans="1:29" ht="30" customHeight="1" x14ac:dyDescent="0.3">
      <c r="A2677" s="8" t="s">
        <v>2288</v>
      </c>
      <c r="B2677" s="8" t="s">
        <v>451</v>
      </c>
      <c r="C2677" s="8" t="s">
        <v>452</v>
      </c>
      <c r="D2677" s="8" t="s">
        <v>453</v>
      </c>
      <c r="E2677" s="8" t="s">
        <v>428</v>
      </c>
      <c r="F2677" s="9">
        <v>48</v>
      </c>
      <c r="G2677" s="5">
        <f>TRUNC([1]단가대비표!O723,0)</f>
        <v>220</v>
      </c>
      <c r="H2677" s="5">
        <f t="shared" si="248"/>
        <v>10560</v>
      </c>
      <c r="I2677" s="5">
        <v>10733</v>
      </c>
      <c r="J2677" s="5">
        <f t="shared" si="249"/>
        <v>515184</v>
      </c>
      <c r="K2677" s="5">
        <v>0</v>
      </c>
      <c r="L2677" s="5">
        <f t="shared" si="250"/>
        <v>0</v>
      </c>
      <c r="M2677" s="5">
        <f t="shared" si="251"/>
        <v>10953</v>
      </c>
      <c r="N2677" s="5">
        <f t="shared" si="251"/>
        <v>525744</v>
      </c>
      <c r="O2677" s="8" t="s">
        <v>429</v>
      </c>
      <c r="T2677">
        <v>0</v>
      </c>
      <c r="AC2677">
        <v>1</v>
      </c>
    </row>
    <row r="2678" spans="1:29" ht="30" customHeight="1" x14ac:dyDescent="0.3">
      <c r="A2678" s="8" t="s">
        <v>2288</v>
      </c>
      <c r="B2678" s="8" t="s">
        <v>454</v>
      </c>
      <c r="C2678" s="8" t="s">
        <v>452</v>
      </c>
      <c r="D2678" s="8" t="s">
        <v>427</v>
      </c>
      <c r="E2678" s="8" t="s">
        <v>428</v>
      </c>
      <c r="F2678" s="9">
        <v>6</v>
      </c>
      <c r="G2678" s="5">
        <f>TRUNC([1]단가대비표!O724,0)</f>
        <v>325</v>
      </c>
      <c r="H2678" s="5">
        <f t="shared" si="248"/>
        <v>1950</v>
      </c>
      <c r="I2678" s="5">
        <v>15886</v>
      </c>
      <c r="J2678" s="5">
        <f t="shared" si="249"/>
        <v>95316</v>
      </c>
      <c r="K2678" s="5">
        <v>0</v>
      </c>
      <c r="L2678" s="5">
        <f t="shared" si="250"/>
        <v>0</v>
      </c>
      <c r="M2678" s="5">
        <f t="shared" si="251"/>
        <v>16211</v>
      </c>
      <c r="N2678" s="5">
        <f t="shared" si="251"/>
        <v>97266</v>
      </c>
      <c r="O2678" s="8" t="s">
        <v>429</v>
      </c>
      <c r="T2678">
        <v>0</v>
      </c>
      <c r="AC2678">
        <v>1</v>
      </c>
    </row>
    <row r="2679" spans="1:29" ht="30" customHeight="1" x14ac:dyDescent="0.3">
      <c r="A2679" s="8" t="s">
        <v>2288</v>
      </c>
      <c r="B2679" s="8" t="s">
        <v>812</v>
      </c>
      <c r="C2679" s="8" t="s">
        <v>433</v>
      </c>
      <c r="D2679" s="8" t="s">
        <v>813</v>
      </c>
      <c r="E2679" s="8" t="s">
        <v>179</v>
      </c>
      <c r="F2679" s="9">
        <v>1</v>
      </c>
      <c r="G2679" s="5">
        <f>TRUNC([1]단가대비표!O196,0)</f>
        <v>29550</v>
      </c>
      <c r="H2679" s="5">
        <f t="shared" si="248"/>
        <v>29550</v>
      </c>
      <c r="I2679" s="5">
        <v>0</v>
      </c>
      <c r="J2679" s="5">
        <f t="shared" si="249"/>
        <v>0</v>
      </c>
      <c r="K2679" s="5">
        <v>0</v>
      </c>
      <c r="L2679" s="5">
        <f t="shared" si="250"/>
        <v>0</v>
      </c>
      <c r="M2679" s="5">
        <f t="shared" si="251"/>
        <v>29550</v>
      </c>
      <c r="N2679" s="5">
        <f t="shared" si="251"/>
        <v>29550</v>
      </c>
      <c r="O2679" s="8" t="s">
        <v>20</v>
      </c>
      <c r="T2679">
        <v>0</v>
      </c>
      <c r="AC2679">
        <v>1</v>
      </c>
    </row>
    <row r="2680" spans="1:29" ht="30" customHeight="1" x14ac:dyDescent="0.3">
      <c r="A2680" s="8" t="s">
        <v>2288</v>
      </c>
      <c r="B2680" s="8" t="s">
        <v>480</v>
      </c>
      <c r="C2680" s="8" t="s">
        <v>481</v>
      </c>
      <c r="D2680" s="8" t="s">
        <v>184</v>
      </c>
      <c r="E2680" s="8" t="s">
        <v>185</v>
      </c>
      <c r="F2680" s="9">
        <v>1</v>
      </c>
      <c r="G2680" s="5" t="e">
        <f>'[2].xls].xls].xls].xls].xls].xls].xls].'!E115</f>
        <v>#REF!</v>
      </c>
      <c r="H2680" s="5" t="e">
        <f t="shared" si="248"/>
        <v>#REF!</v>
      </c>
      <c r="I2680" s="5" t="e">
        <f>'[2].xls].xls].xls].xls].xls].xls].xls].'!F115</f>
        <v>#REF!</v>
      </c>
      <c r="J2680" s="5" t="e">
        <f t="shared" si="249"/>
        <v>#REF!</v>
      </c>
      <c r="K2680" s="5" t="e">
        <f>'[2].xls].xls].xls].xls].xls].xls].xls].'!G115</f>
        <v>#REF!</v>
      </c>
      <c r="L2680" s="5" t="e">
        <f t="shared" si="250"/>
        <v>#REF!</v>
      </c>
      <c r="M2680" s="5" t="e">
        <f t="shared" si="251"/>
        <v>#REF!</v>
      </c>
      <c r="N2680" s="5" t="e">
        <f t="shared" si="251"/>
        <v>#REF!</v>
      </c>
      <c r="O2680" s="8" t="s">
        <v>480</v>
      </c>
      <c r="T2680">
        <v>0</v>
      </c>
      <c r="AC2680">
        <v>1</v>
      </c>
    </row>
    <row r="2681" spans="1:29" ht="30" customHeight="1" x14ac:dyDescent="0.3">
      <c r="A2681" s="8" t="s">
        <v>2288</v>
      </c>
      <c r="B2681" s="8" t="s">
        <v>821</v>
      </c>
      <c r="C2681" s="8" t="s">
        <v>483</v>
      </c>
      <c r="D2681" s="8" t="s">
        <v>184</v>
      </c>
      <c r="E2681" s="8" t="s">
        <v>185</v>
      </c>
      <c r="F2681" s="9">
        <v>92</v>
      </c>
      <c r="G2681" s="5" t="e">
        <f>'[2].xls].xls].xls].xls].xls].xls].xls].'!E47</f>
        <v>#REF!</v>
      </c>
      <c r="H2681" s="5" t="e">
        <f t="shared" si="248"/>
        <v>#REF!</v>
      </c>
      <c r="I2681" s="5" t="e">
        <f>'[2].xls].xls].xls].xls].xls].xls].xls].'!F47</f>
        <v>#REF!</v>
      </c>
      <c r="J2681" s="5" t="e">
        <f t="shared" si="249"/>
        <v>#REF!</v>
      </c>
      <c r="K2681" s="5" t="e">
        <f>'[2].xls].xls].xls].xls].xls].xls].xls].'!G47</f>
        <v>#REF!</v>
      </c>
      <c r="L2681" s="5" t="e">
        <f t="shared" si="250"/>
        <v>#REF!</v>
      </c>
      <c r="M2681" s="5" t="e">
        <f t="shared" si="251"/>
        <v>#REF!</v>
      </c>
      <c r="N2681" s="5" t="e">
        <f t="shared" si="251"/>
        <v>#REF!</v>
      </c>
      <c r="O2681" s="8" t="s">
        <v>821</v>
      </c>
      <c r="T2681">
        <v>0</v>
      </c>
      <c r="AC2681">
        <v>1</v>
      </c>
    </row>
    <row r="2682" spans="1:29" ht="30" customHeight="1" x14ac:dyDescent="0.3">
      <c r="A2682" s="8" t="s">
        <v>2288</v>
      </c>
      <c r="B2682" s="8" t="s">
        <v>482</v>
      </c>
      <c r="C2682" s="8" t="s">
        <v>483</v>
      </c>
      <c r="D2682" s="8" t="s">
        <v>484</v>
      </c>
      <c r="E2682" s="8" t="s">
        <v>185</v>
      </c>
      <c r="F2682" s="9">
        <v>73</v>
      </c>
      <c r="G2682" s="5" t="e">
        <f>'[2].xls].xls].xls].xls].xls].xls].xls].'!E48</f>
        <v>#REF!</v>
      </c>
      <c r="H2682" s="5" t="e">
        <f t="shared" si="248"/>
        <v>#REF!</v>
      </c>
      <c r="I2682" s="5" t="e">
        <f>'[2].xls].xls].xls].xls].xls].xls].xls].'!F48</f>
        <v>#REF!</v>
      </c>
      <c r="J2682" s="5" t="e">
        <f t="shared" si="249"/>
        <v>#REF!</v>
      </c>
      <c r="K2682" s="5" t="e">
        <f>'[2].xls].xls].xls].xls].xls].xls].xls].'!G48</f>
        <v>#REF!</v>
      </c>
      <c r="L2682" s="5" t="e">
        <f t="shared" si="250"/>
        <v>#REF!</v>
      </c>
      <c r="M2682" s="5" t="e">
        <f t="shared" si="251"/>
        <v>#REF!</v>
      </c>
      <c r="N2682" s="5" t="e">
        <f t="shared" si="251"/>
        <v>#REF!</v>
      </c>
      <c r="O2682" s="8" t="s">
        <v>482</v>
      </c>
      <c r="T2682">
        <v>0</v>
      </c>
      <c r="AC2682">
        <v>1</v>
      </c>
    </row>
    <row r="2683" spans="1:29" ht="30" customHeight="1" x14ac:dyDescent="0.3">
      <c r="A2683" s="8" t="s">
        <v>2288</v>
      </c>
      <c r="B2683" s="8" t="s">
        <v>485</v>
      </c>
      <c r="C2683" s="8" t="s">
        <v>483</v>
      </c>
      <c r="D2683" s="8" t="s">
        <v>444</v>
      </c>
      <c r="E2683" s="8" t="s">
        <v>185</v>
      </c>
      <c r="F2683" s="9">
        <v>35</v>
      </c>
      <c r="G2683" s="5" t="e">
        <f>'[2].xls].xls].xls].xls].xls].xls].xls].'!E49</f>
        <v>#REF!</v>
      </c>
      <c r="H2683" s="5" t="e">
        <f t="shared" si="248"/>
        <v>#REF!</v>
      </c>
      <c r="I2683" s="5" t="e">
        <f>'[2].xls].xls].xls].xls].xls].xls].xls].'!F49</f>
        <v>#REF!</v>
      </c>
      <c r="J2683" s="5" t="e">
        <f t="shared" si="249"/>
        <v>#REF!</v>
      </c>
      <c r="K2683" s="5" t="e">
        <f>'[2].xls].xls].xls].xls].xls].xls].xls].'!G49</f>
        <v>#REF!</v>
      </c>
      <c r="L2683" s="5" t="e">
        <f t="shared" si="250"/>
        <v>#REF!</v>
      </c>
      <c r="M2683" s="5" t="e">
        <f t="shared" si="251"/>
        <v>#REF!</v>
      </c>
      <c r="N2683" s="5" t="e">
        <f t="shared" si="251"/>
        <v>#REF!</v>
      </c>
      <c r="O2683" s="8" t="s">
        <v>485</v>
      </c>
      <c r="T2683">
        <v>0</v>
      </c>
      <c r="AC2683">
        <v>1</v>
      </c>
    </row>
    <row r="2684" spans="1:29" ht="30" customHeight="1" x14ac:dyDescent="0.3">
      <c r="A2684" s="8" t="s">
        <v>2288</v>
      </c>
      <c r="B2684" s="8" t="s">
        <v>486</v>
      </c>
      <c r="C2684" s="8" t="s">
        <v>483</v>
      </c>
      <c r="D2684" s="8" t="s">
        <v>487</v>
      </c>
      <c r="E2684" s="8" t="s">
        <v>185</v>
      </c>
      <c r="F2684" s="9">
        <v>1</v>
      </c>
      <c r="G2684" s="5" t="e">
        <f>'[2].xls].xls].xls].xls].xls].xls].xls].'!E50</f>
        <v>#REF!</v>
      </c>
      <c r="H2684" s="5" t="e">
        <f t="shared" si="248"/>
        <v>#REF!</v>
      </c>
      <c r="I2684" s="5" t="e">
        <f>'[2].xls].xls].xls].xls].xls].xls].xls].'!F50</f>
        <v>#REF!</v>
      </c>
      <c r="J2684" s="5" t="e">
        <f t="shared" si="249"/>
        <v>#REF!</v>
      </c>
      <c r="K2684" s="5" t="e">
        <f>'[2].xls].xls].xls].xls].xls].xls].xls].'!G50</f>
        <v>#REF!</v>
      </c>
      <c r="L2684" s="5" t="e">
        <f t="shared" si="250"/>
        <v>#REF!</v>
      </c>
      <c r="M2684" s="5" t="e">
        <f t="shared" si="251"/>
        <v>#REF!</v>
      </c>
      <c r="N2684" s="5" t="e">
        <f t="shared" si="251"/>
        <v>#REF!</v>
      </c>
      <c r="O2684" s="8" t="s">
        <v>486</v>
      </c>
      <c r="T2684">
        <v>0</v>
      </c>
      <c r="AC2684">
        <v>1</v>
      </c>
    </row>
    <row r="2685" spans="1:29" ht="30" customHeight="1" x14ac:dyDescent="0.3">
      <c r="A2685" s="8" t="s">
        <v>2288</v>
      </c>
      <c r="B2685" s="8" t="s">
        <v>649</v>
      </c>
      <c r="C2685" s="8" t="s">
        <v>494</v>
      </c>
      <c r="D2685" s="8" t="s">
        <v>650</v>
      </c>
      <c r="E2685" s="8" t="s">
        <v>179</v>
      </c>
      <c r="F2685" s="9">
        <v>5</v>
      </c>
      <c r="G2685" s="5">
        <f>TRUNC([1]단가대비표!O559,0)</f>
        <v>370</v>
      </c>
      <c r="H2685" s="5">
        <f t="shared" si="248"/>
        <v>1850</v>
      </c>
      <c r="I2685" s="5">
        <v>0</v>
      </c>
      <c r="J2685" s="5">
        <f t="shared" si="249"/>
        <v>0</v>
      </c>
      <c r="K2685" s="5">
        <v>0</v>
      </c>
      <c r="L2685" s="5">
        <f t="shared" si="250"/>
        <v>0</v>
      </c>
      <c r="M2685" s="5">
        <f t="shared" si="251"/>
        <v>370</v>
      </c>
      <c r="N2685" s="5">
        <f t="shared" si="251"/>
        <v>1850</v>
      </c>
      <c r="O2685" s="8" t="s">
        <v>20</v>
      </c>
      <c r="T2685">
        <v>0</v>
      </c>
      <c r="AC2685">
        <v>1</v>
      </c>
    </row>
    <row r="2686" spans="1:29" ht="30" customHeight="1" x14ac:dyDescent="0.3">
      <c r="A2686" s="8" t="s">
        <v>2288</v>
      </c>
      <c r="B2686" s="8" t="s">
        <v>493</v>
      </c>
      <c r="C2686" s="8" t="s">
        <v>494</v>
      </c>
      <c r="D2686" s="8" t="s">
        <v>495</v>
      </c>
      <c r="E2686" s="8" t="s">
        <v>179</v>
      </c>
      <c r="F2686" s="9">
        <v>5</v>
      </c>
      <c r="G2686" s="5">
        <f>TRUNC([1]단가대비표!O560,0)</f>
        <v>410</v>
      </c>
      <c r="H2686" s="5">
        <f t="shared" si="248"/>
        <v>2050</v>
      </c>
      <c r="I2686" s="5">
        <v>0</v>
      </c>
      <c r="J2686" s="5">
        <f t="shared" si="249"/>
        <v>0</v>
      </c>
      <c r="K2686" s="5">
        <v>0</v>
      </c>
      <c r="L2686" s="5">
        <f t="shared" si="250"/>
        <v>0</v>
      </c>
      <c r="M2686" s="5">
        <f t="shared" si="251"/>
        <v>410</v>
      </c>
      <c r="N2686" s="5">
        <f t="shared" si="251"/>
        <v>2050</v>
      </c>
      <c r="O2686" s="8" t="s">
        <v>20</v>
      </c>
      <c r="T2686">
        <v>0</v>
      </c>
      <c r="AC2686">
        <v>1</v>
      </c>
    </row>
    <row r="2687" spans="1:29" ht="30" customHeight="1" x14ac:dyDescent="0.3">
      <c r="A2687" s="8" t="s">
        <v>2288</v>
      </c>
      <c r="B2687" s="8" t="s">
        <v>496</v>
      </c>
      <c r="C2687" s="8" t="s">
        <v>494</v>
      </c>
      <c r="D2687" s="8" t="s">
        <v>497</v>
      </c>
      <c r="E2687" s="8" t="s">
        <v>179</v>
      </c>
      <c r="F2687" s="9">
        <v>4</v>
      </c>
      <c r="G2687" s="5">
        <f>TRUNC([1]단가대비표!O561,0)</f>
        <v>450</v>
      </c>
      <c r="H2687" s="5">
        <f t="shared" si="248"/>
        <v>1800</v>
      </c>
      <c r="I2687" s="5">
        <v>0</v>
      </c>
      <c r="J2687" s="5">
        <f t="shared" si="249"/>
        <v>0</v>
      </c>
      <c r="K2687" s="5">
        <v>0</v>
      </c>
      <c r="L2687" s="5">
        <f t="shared" si="250"/>
        <v>0</v>
      </c>
      <c r="M2687" s="5">
        <f t="shared" si="251"/>
        <v>450</v>
      </c>
      <c r="N2687" s="5">
        <f t="shared" si="251"/>
        <v>1800</v>
      </c>
      <c r="O2687" s="8" t="s">
        <v>20</v>
      </c>
      <c r="T2687">
        <v>0</v>
      </c>
      <c r="AC2687">
        <v>1</v>
      </c>
    </row>
    <row r="2688" spans="1:29" ht="30" customHeight="1" x14ac:dyDescent="0.3">
      <c r="A2688" s="8" t="s">
        <v>2288</v>
      </c>
      <c r="B2688" s="8" t="s">
        <v>498</v>
      </c>
      <c r="C2688" s="8" t="s">
        <v>494</v>
      </c>
      <c r="D2688" s="8" t="s">
        <v>499</v>
      </c>
      <c r="E2688" s="8" t="s">
        <v>179</v>
      </c>
      <c r="F2688" s="9">
        <v>8</v>
      </c>
      <c r="G2688" s="5">
        <f>TRUNC([1]단가대비표!O562,0)</f>
        <v>520</v>
      </c>
      <c r="H2688" s="5">
        <f t="shared" si="248"/>
        <v>4160</v>
      </c>
      <c r="I2688" s="5">
        <v>0</v>
      </c>
      <c r="J2688" s="5">
        <f t="shared" si="249"/>
        <v>0</v>
      </c>
      <c r="K2688" s="5">
        <v>0</v>
      </c>
      <c r="L2688" s="5">
        <f t="shared" si="250"/>
        <v>0</v>
      </c>
      <c r="M2688" s="5">
        <f t="shared" si="251"/>
        <v>520</v>
      </c>
      <c r="N2688" s="5">
        <f t="shared" si="251"/>
        <v>4160</v>
      </c>
      <c r="O2688" s="8" t="s">
        <v>20</v>
      </c>
      <c r="T2688">
        <v>0</v>
      </c>
      <c r="AC2688">
        <v>1</v>
      </c>
    </row>
    <row r="2689" spans="1:29" ht="30" customHeight="1" x14ac:dyDescent="0.3">
      <c r="A2689" s="8" t="s">
        <v>2288</v>
      </c>
      <c r="B2689" s="8" t="s">
        <v>500</v>
      </c>
      <c r="C2689" s="8" t="s">
        <v>494</v>
      </c>
      <c r="D2689" s="8" t="s">
        <v>501</v>
      </c>
      <c r="E2689" s="8" t="s">
        <v>179</v>
      </c>
      <c r="F2689" s="9">
        <v>5</v>
      </c>
      <c r="G2689" s="5">
        <f>TRUNC([1]단가대비표!O563,0)</f>
        <v>630</v>
      </c>
      <c r="H2689" s="5">
        <f t="shared" si="248"/>
        <v>3150</v>
      </c>
      <c r="I2689" s="5">
        <v>0</v>
      </c>
      <c r="J2689" s="5">
        <f t="shared" si="249"/>
        <v>0</v>
      </c>
      <c r="K2689" s="5">
        <v>0</v>
      </c>
      <c r="L2689" s="5">
        <f t="shared" si="250"/>
        <v>0</v>
      </c>
      <c r="M2689" s="5">
        <f t="shared" si="251"/>
        <v>630</v>
      </c>
      <c r="N2689" s="5">
        <f t="shared" si="251"/>
        <v>3150</v>
      </c>
      <c r="O2689" s="8" t="s">
        <v>20</v>
      </c>
      <c r="T2689">
        <v>0</v>
      </c>
      <c r="AC2689">
        <v>1</v>
      </c>
    </row>
    <row r="2690" spans="1:29" ht="30" customHeight="1" x14ac:dyDescent="0.3">
      <c r="A2690" s="8" t="s">
        <v>2288</v>
      </c>
      <c r="B2690" s="8" t="s">
        <v>506</v>
      </c>
      <c r="C2690" s="8" t="s">
        <v>507</v>
      </c>
      <c r="D2690" s="8" t="s">
        <v>508</v>
      </c>
      <c r="E2690" s="8" t="s">
        <v>179</v>
      </c>
      <c r="F2690" s="9">
        <v>1</v>
      </c>
      <c r="G2690" s="5">
        <f>TRUNC([1]단가대비표!O164,0)</f>
        <v>22320</v>
      </c>
      <c r="H2690" s="5">
        <f t="shared" si="248"/>
        <v>22320</v>
      </c>
      <c r="I2690" s="5">
        <v>0</v>
      </c>
      <c r="J2690" s="5">
        <f t="shared" si="249"/>
        <v>0</v>
      </c>
      <c r="K2690" s="5">
        <v>0</v>
      </c>
      <c r="L2690" s="5">
        <f t="shared" si="250"/>
        <v>0</v>
      </c>
      <c r="M2690" s="5">
        <f t="shared" si="251"/>
        <v>22320</v>
      </c>
      <c r="N2690" s="5">
        <f t="shared" si="251"/>
        <v>22320</v>
      </c>
      <c r="O2690" s="8" t="s">
        <v>20</v>
      </c>
      <c r="T2690">
        <v>0</v>
      </c>
      <c r="AC2690">
        <v>1</v>
      </c>
    </row>
    <row r="2691" spans="1:29" ht="30" customHeight="1" x14ac:dyDescent="0.3">
      <c r="A2691" s="8" t="s">
        <v>2288</v>
      </c>
      <c r="B2691" s="8" t="s">
        <v>509</v>
      </c>
      <c r="C2691" s="8" t="s">
        <v>507</v>
      </c>
      <c r="D2691" s="8" t="s">
        <v>510</v>
      </c>
      <c r="E2691" s="8" t="s">
        <v>179</v>
      </c>
      <c r="F2691" s="9">
        <v>1</v>
      </c>
      <c r="G2691" s="5">
        <f>TRUNC([1]단가대비표!O166,0)</f>
        <v>24350</v>
      </c>
      <c r="H2691" s="5">
        <f t="shared" si="248"/>
        <v>24350</v>
      </c>
      <c r="I2691" s="5">
        <v>0</v>
      </c>
      <c r="J2691" s="5">
        <f t="shared" si="249"/>
        <v>0</v>
      </c>
      <c r="K2691" s="5">
        <v>0</v>
      </c>
      <c r="L2691" s="5">
        <f t="shared" si="250"/>
        <v>0</v>
      </c>
      <c r="M2691" s="5">
        <f t="shared" si="251"/>
        <v>24350</v>
      </c>
      <c r="N2691" s="5">
        <f t="shared" si="251"/>
        <v>24350</v>
      </c>
      <c r="O2691" s="8" t="s">
        <v>20</v>
      </c>
      <c r="T2691">
        <v>0</v>
      </c>
      <c r="AC2691">
        <v>1</v>
      </c>
    </row>
    <row r="2692" spans="1:29" ht="30" customHeight="1" x14ac:dyDescent="0.3">
      <c r="A2692" s="8" t="s">
        <v>2288</v>
      </c>
      <c r="B2692" s="8" t="s">
        <v>673</v>
      </c>
      <c r="C2692" s="8" t="s">
        <v>507</v>
      </c>
      <c r="D2692" s="8" t="s">
        <v>674</v>
      </c>
      <c r="E2692" s="8" t="s">
        <v>179</v>
      </c>
      <c r="F2692" s="9">
        <v>21</v>
      </c>
      <c r="G2692" s="5">
        <f>TRUNC([1]단가대비표!O178,0)</f>
        <v>6910</v>
      </c>
      <c r="H2692" s="5">
        <f t="shared" si="248"/>
        <v>145110</v>
      </c>
      <c r="I2692" s="5">
        <v>0</v>
      </c>
      <c r="J2692" s="5">
        <f t="shared" si="249"/>
        <v>0</v>
      </c>
      <c r="K2692" s="5">
        <v>0</v>
      </c>
      <c r="L2692" s="5">
        <f t="shared" si="250"/>
        <v>0</v>
      </c>
      <c r="M2692" s="5">
        <f t="shared" si="251"/>
        <v>6910</v>
      </c>
      <c r="N2692" s="5">
        <f t="shared" si="251"/>
        <v>145110</v>
      </c>
      <c r="O2692" s="8" t="s">
        <v>20</v>
      </c>
      <c r="T2692">
        <v>0</v>
      </c>
      <c r="AC2692">
        <v>1</v>
      </c>
    </row>
    <row r="2693" spans="1:29" ht="30" customHeight="1" x14ac:dyDescent="0.3">
      <c r="A2693" s="8" t="s">
        <v>2288</v>
      </c>
      <c r="B2693" s="8" t="s">
        <v>513</v>
      </c>
      <c r="C2693" s="8" t="s">
        <v>507</v>
      </c>
      <c r="D2693" s="8" t="s">
        <v>514</v>
      </c>
      <c r="E2693" s="8" t="s">
        <v>179</v>
      </c>
      <c r="F2693" s="9">
        <v>3</v>
      </c>
      <c r="G2693" s="5">
        <f>TRUNC([1]단가대비표!O179,0)</f>
        <v>7510</v>
      </c>
      <c r="H2693" s="5">
        <f t="shared" si="248"/>
        <v>22530</v>
      </c>
      <c r="I2693" s="5">
        <v>0</v>
      </c>
      <c r="J2693" s="5">
        <f t="shared" si="249"/>
        <v>0</v>
      </c>
      <c r="K2693" s="5">
        <v>0</v>
      </c>
      <c r="L2693" s="5">
        <f t="shared" si="250"/>
        <v>0</v>
      </c>
      <c r="M2693" s="5">
        <f t="shared" si="251"/>
        <v>7510</v>
      </c>
      <c r="N2693" s="5">
        <f t="shared" si="251"/>
        <v>22530</v>
      </c>
      <c r="O2693" s="8" t="s">
        <v>20</v>
      </c>
      <c r="T2693">
        <v>0</v>
      </c>
      <c r="AC2693">
        <v>1</v>
      </c>
    </row>
    <row r="2694" spans="1:29" ht="30" customHeight="1" x14ac:dyDescent="0.3">
      <c r="A2694" s="8" t="s">
        <v>2288</v>
      </c>
      <c r="B2694" s="8" t="s">
        <v>515</v>
      </c>
      <c r="C2694" s="8" t="s">
        <v>507</v>
      </c>
      <c r="D2694" s="8" t="s">
        <v>516</v>
      </c>
      <c r="E2694" s="8" t="s">
        <v>179</v>
      </c>
      <c r="F2694" s="9">
        <v>9</v>
      </c>
      <c r="G2694" s="5">
        <f>TRUNC([1]단가대비표!O180,0)</f>
        <v>8270</v>
      </c>
      <c r="H2694" s="5">
        <f t="shared" si="248"/>
        <v>74430</v>
      </c>
      <c r="I2694" s="5">
        <v>0</v>
      </c>
      <c r="J2694" s="5">
        <f t="shared" si="249"/>
        <v>0</v>
      </c>
      <c r="K2694" s="5">
        <v>0</v>
      </c>
      <c r="L2694" s="5">
        <f t="shared" si="250"/>
        <v>0</v>
      </c>
      <c r="M2694" s="5">
        <f t="shared" si="251"/>
        <v>8270</v>
      </c>
      <c r="N2694" s="5">
        <f t="shared" si="251"/>
        <v>74430</v>
      </c>
      <c r="O2694" s="8" t="s">
        <v>20</v>
      </c>
      <c r="T2694">
        <v>0</v>
      </c>
      <c r="AC2694">
        <v>1</v>
      </c>
    </row>
    <row r="2695" spans="1:29" ht="30" customHeight="1" x14ac:dyDescent="0.3">
      <c r="A2695" s="8" t="s">
        <v>2288</v>
      </c>
      <c r="B2695" s="8" t="s">
        <v>519</v>
      </c>
      <c r="C2695" s="8" t="s">
        <v>507</v>
      </c>
      <c r="D2695" s="8" t="s">
        <v>520</v>
      </c>
      <c r="E2695" s="8" t="s">
        <v>179</v>
      </c>
      <c r="F2695" s="9">
        <v>3</v>
      </c>
      <c r="G2695" s="5">
        <f>TRUNC([1]단가대비표!O182,0)</f>
        <v>9770</v>
      </c>
      <c r="H2695" s="5">
        <f t="shared" si="248"/>
        <v>29310</v>
      </c>
      <c r="I2695" s="5">
        <v>0</v>
      </c>
      <c r="J2695" s="5">
        <f t="shared" si="249"/>
        <v>0</v>
      </c>
      <c r="K2695" s="5">
        <v>0</v>
      </c>
      <c r="L2695" s="5">
        <f t="shared" si="250"/>
        <v>0</v>
      </c>
      <c r="M2695" s="5">
        <f t="shared" si="251"/>
        <v>9770</v>
      </c>
      <c r="N2695" s="5">
        <f t="shared" si="251"/>
        <v>29310</v>
      </c>
      <c r="O2695" s="8" t="s">
        <v>20</v>
      </c>
      <c r="T2695">
        <v>0</v>
      </c>
      <c r="AC2695">
        <v>1</v>
      </c>
    </row>
    <row r="2696" spans="1:29" ht="30" customHeight="1" x14ac:dyDescent="0.3">
      <c r="A2696" s="8" t="s">
        <v>2288</v>
      </c>
      <c r="B2696" s="8" t="s">
        <v>835</v>
      </c>
      <c r="C2696" s="8" t="s">
        <v>680</v>
      </c>
      <c r="D2696" s="8" t="s">
        <v>484</v>
      </c>
      <c r="E2696" s="8" t="s">
        <v>185</v>
      </c>
      <c r="F2696" s="9">
        <v>22</v>
      </c>
      <c r="G2696" s="5">
        <f>TRUNC([1]단가대비표!O629,0)</f>
        <v>12938</v>
      </c>
      <c r="H2696" s="5">
        <f t="shared" si="248"/>
        <v>284636</v>
      </c>
      <c r="I2696" s="5">
        <v>0</v>
      </c>
      <c r="J2696" s="5">
        <f t="shared" si="249"/>
        <v>0</v>
      </c>
      <c r="K2696" s="5">
        <v>0</v>
      </c>
      <c r="L2696" s="5">
        <f t="shared" si="250"/>
        <v>0</v>
      </c>
      <c r="M2696" s="5">
        <f t="shared" si="251"/>
        <v>12938</v>
      </c>
      <c r="N2696" s="5">
        <f t="shared" si="251"/>
        <v>284636</v>
      </c>
      <c r="O2696" s="8" t="s">
        <v>20</v>
      </c>
      <c r="T2696">
        <v>0</v>
      </c>
      <c r="AC2696">
        <v>1</v>
      </c>
    </row>
    <row r="2697" spans="1:29" ht="30" customHeight="1" x14ac:dyDescent="0.3">
      <c r="A2697" s="8" t="s">
        <v>2288</v>
      </c>
      <c r="B2697" s="8" t="s">
        <v>836</v>
      </c>
      <c r="C2697" s="8" t="s">
        <v>680</v>
      </c>
      <c r="D2697" s="8" t="s">
        <v>444</v>
      </c>
      <c r="E2697" s="8" t="s">
        <v>185</v>
      </c>
      <c r="F2697" s="9">
        <v>20</v>
      </c>
      <c r="G2697" s="5">
        <f>TRUNC([1]단가대비표!O630,0)</f>
        <v>13020</v>
      </c>
      <c r="H2697" s="5">
        <f t="shared" si="248"/>
        <v>260400</v>
      </c>
      <c r="I2697" s="5">
        <v>0</v>
      </c>
      <c r="J2697" s="5">
        <f t="shared" si="249"/>
        <v>0</v>
      </c>
      <c r="K2697" s="5">
        <v>0</v>
      </c>
      <c r="L2697" s="5">
        <f t="shared" si="250"/>
        <v>0</v>
      </c>
      <c r="M2697" s="5">
        <f t="shared" si="251"/>
        <v>13020</v>
      </c>
      <c r="N2697" s="5">
        <f t="shared" si="251"/>
        <v>260400</v>
      </c>
      <c r="O2697" s="8" t="s">
        <v>20</v>
      </c>
      <c r="T2697">
        <v>0</v>
      </c>
      <c r="AC2697">
        <v>1</v>
      </c>
    </row>
    <row r="2698" spans="1:29" ht="30" customHeight="1" x14ac:dyDescent="0.3">
      <c r="A2698" s="8" t="s">
        <v>2288</v>
      </c>
      <c r="B2698" s="8" t="s">
        <v>679</v>
      </c>
      <c r="C2698" s="8" t="s">
        <v>680</v>
      </c>
      <c r="D2698" s="8" t="s">
        <v>487</v>
      </c>
      <c r="E2698" s="8" t="s">
        <v>185</v>
      </c>
      <c r="F2698" s="9">
        <v>4</v>
      </c>
      <c r="G2698" s="5">
        <f>TRUNC([1]단가대비표!O631,0)</f>
        <v>13941</v>
      </c>
      <c r="H2698" s="5">
        <f t="shared" si="248"/>
        <v>55764</v>
      </c>
      <c r="I2698" s="5">
        <v>0</v>
      </c>
      <c r="J2698" s="5">
        <f t="shared" si="249"/>
        <v>0</v>
      </c>
      <c r="K2698" s="5">
        <v>0</v>
      </c>
      <c r="L2698" s="5">
        <f t="shared" si="250"/>
        <v>0</v>
      </c>
      <c r="M2698" s="5">
        <f t="shared" si="251"/>
        <v>13941</v>
      </c>
      <c r="N2698" s="5">
        <f t="shared" si="251"/>
        <v>55764</v>
      </c>
      <c r="O2698" s="8" t="s">
        <v>20</v>
      </c>
      <c r="T2698">
        <v>0</v>
      </c>
      <c r="AC2698">
        <v>1</v>
      </c>
    </row>
    <row r="2699" spans="1:29" ht="30" customHeight="1" x14ac:dyDescent="0.3">
      <c r="A2699" s="8" t="s">
        <v>2288</v>
      </c>
      <c r="B2699" s="8" t="s">
        <v>682</v>
      </c>
      <c r="C2699" s="8" t="s">
        <v>680</v>
      </c>
      <c r="D2699" s="8" t="s">
        <v>346</v>
      </c>
      <c r="E2699" s="8" t="s">
        <v>185</v>
      </c>
      <c r="F2699" s="9">
        <v>4</v>
      </c>
      <c r="G2699" s="5">
        <f>TRUNC([1]단가대비표!O633,0)</f>
        <v>16074</v>
      </c>
      <c r="H2699" s="5">
        <f t="shared" si="248"/>
        <v>64296</v>
      </c>
      <c r="I2699" s="5">
        <v>0</v>
      </c>
      <c r="J2699" s="5">
        <f t="shared" si="249"/>
        <v>0</v>
      </c>
      <c r="K2699" s="5">
        <v>0</v>
      </c>
      <c r="L2699" s="5">
        <f t="shared" si="250"/>
        <v>0</v>
      </c>
      <c r="M2699" s="5">
        <f t="shared" si="251"/>
        <v>16074</v>
      </c>
      <c r="N2699" s="5">
        <f t="shared" si="251"/>
        <v>64296</v>
      </c>
      <c r="O2699" s="8" t="s">
        <v>20</v>
      </c>
      <c r="T2699">
        <v>0</v>
      </c>
      <c r="AC2699">
        <v>1</v>
      </c>
    </row>
    <row r="2700" spans="1:29" ht="30" customHeight="1" x14ac:dyDescent="0.3">
      <c r="A2700" s="8" t="s">
        <v>2288</v>
      </c>
      <c r="B2700" s="8" t="s">
        <v>683</v>
      </c>
      <c r="C2700" s="8" t="s">
        <v>680</v>
      </c>
      <c r="D2700" s="8" t="s">
        <v>640</v>
      </c>
      <c r="E2700" s="8" t="s">
        <v>185</v>
      </c>
      <c r="F2700" s="9">
        <v>1</v>
      </c>
      <c r="G2700" s="5">
        <f>TRUNC([1]단가대비표!O634,0)</f>
        <v>17750</v>
      </c>
      <c r="H2700" s="5">
        <f t="shared" si="248"/>
        <v>17750</v>
      </c>
      <c r="I2700" s="5">
        <v>0</v>
      </c>
      <c r="J2700" s="5">
        <f t="shared" si="249"/>
        <v>0</v>
      </c>
      <c r="K2700" s="5">
        <v>0</v>
      </c>
      <c r="L2700" s="5">
        <f t="shared" si="250"/>
        <v>0</v>
      </c>
      <c r="M2700" s="5">
        <f t="shared" si="251"/>
        <v>17750</v>
      </c>
      <c r="N2700" s="5">
        <f t="shared" si="251"/>
        <v>17750</v>
      </c>
      <c r="O2700" s="8" t="s">
        <v>20</v>
      </c>
      <c r="T2700">
        <v>0</v>
      </c>
      <c r="AC2700">
        <v>1</v>
      </c>
    </row>
    <row r="2701" spans="1:29" ht="30" customHeight="1" x14ac:dyDescent="0.3">
      <c r="A2701" s="8" t="s">
        <v>2288</v>
      </c>
      <c r="B2701" s="8" t="s">
        <v>840</v>
      </c>
      <c r="C2701" s="8" t="s">
        <v>687</v>
      </c>
      <c r="D2701" s="8" t="s">
        <v>444</v>
      </c>
      <c r="E2701" s="8" t="s">
        <v>185</v>
      </c>
      <c r="F2701" s="9">
        <v>2</v>
      </c>
      <c r="G2701" s="5">
        <f>TRUNC([1]단가대비표!O640,0)</f>
        <v>12007</v>
      </c>
      <c r="H2701" s="5">
        <f t="shared" si="248"/>
        <v>24014</v>
      </c>
      <c r="I2701" s="5">
        <v>0</v>
      </c>
      <c r="J2701" s="5">
        <f t="shared" si="249"/>
        <v>0</v>
      </c>
      <c r="K2701" s="5">
        <v>0</v>
      </c>
      <c r="L2701" s="5">
        <f t="shared" si="250"/>
        <v>0</v>
      </c>
      <c r="M2701" s="5">
        <f t="shared" ref="M2701:N2726" si="252">G2701+I2701+K2701</f>
        <v>12007</v>
      </c>
      <c r="N2701" s="5">
        <f t="shared" si="252"/>
        <v>24014</v>
      </c>
      <c r="O2701" s="8" t="s">
        <v>20</v>
      </c>
      <c r="T2701">
        <v>0</v>
      </c>
      <c r="AC2701">
        <v>1</v>
      </c>
    </row>
    <row r="2702" spans="1:29" ht="30" customHeight="1" x14ac:dyDescent="0.3">
      <c r="A2702" s="8" t="s">
        <v>2288</v>
      </c>
      <c r="B2702" s="8" t="s">
        <v>841</v>
      </c>
      <c r="C2702" s="8" t="s">
        <v>687</v>
      </c>
      <c r="D2702" s="8" t="s">
        <v>487</v>
      </c>
      <c r="E2702" s="8" t="s">
        <v>185</v>
      </c>
      <c r="F2702" s="9">
        <v>2</v>
      </c>
      <c r="G2702" s="5">
        <f>TRUNC([1]단가대비표!O641,0)</f>
        <v>12179</v>
      </c>
      <c r="H2702" s="5">
        <f t="shared" si="248"/>
        <v>24358</v>
      </c>
      <c r="I2702" s="5">
        <v>0</v>
      </c>
      <c r="J2702" s="5">
        <f t="shared" si="249"/>
        <v>0</v>
      </c>
      <c r="K2702" s="5">
        <v>0</v>
      </c>
      <c r="L2702" s="5">
        <f t="shared" si="250"/>
        <v>0</v>
      </c>
      <c r="M2702" s="5">
        <f t="shared" si="252"/>
        <v>12179</v>
      </c>
      <c r="N2702" s="5">
        <f t="shared" si="252"/>
        <v>24358</v>
      </c>
      <c r="O2702" s="8" t="s">
        <v>20</v>
      </c>
      <c r="T2702">
        <v>0</v>
      </c>
      <c r="AC2702">
        <v>1</v>
      </c>
    </row>
    <row r="2703" spans="1:29" ht="30" customHeight="1" x14ac:dyDescent="0.3">
      <c r="A2703" s="8" t="s">
        <v>2288</v>
      </c>
      <c r="B2703" s="8" t="s">
        <v>842</v>
      </c>
      <c r="C2703" s="8" t="s">
        <v>687</v>
      </c>
      <c r="D2703" s="8" t="s">
        <v>489</v>
      </c>
      <c r="E2703" s="8" t="s">
        <v>185</v>
      </c>
      <c r="F2703" s="9">
        <v>1</v>
      </c>
      <c r="G2703" s="5">
        <f>TRUNC([1]단가대비표!O642,0)</f>
        <v>13094</v>
      </c>
      <c r="H2703" s="5">
        <f t="shared" si="248"/>
        <v>13094</v>
      </c>
      <c r="I2703" s="5">
        <v>0</v>
      </c>
      <c r="J2703" s="5">
        <f t="shared" si="249"/>
        <v>0</v>
      </c>
      <c r="K2703" s="5">
        <v>0</v>
      </c>
      <c r="L2703" s="5">
        <f t="shared" si="250"/>
        <v>0</v>
      </c>
      <c r="M2703" s="5">
        <f t="shared" si="252"/>
        <v>13094</v>
      </c>
      <c r="N2703" s="5">
        <f t="shared" si="252"/>
        <v>13094</v>
      </c>
      <c r="O2703" s="8" t="s">
        <v>20</v>
      </c>
      <c r="T2703">
        <v>0</v>
      </c>
      <c r="AC2703">
        <v>1</v>
      </c>
    </row>
    <row r="2704" spans="1:29" ht="30" customHeight="1" x14ac:dyDescent="0.3">
      <c r="A2704" s="8" t="s">
        <v>2288</v>
      </c>
      <c r="B2704" s="8" t="s">
        <v>686</v>
      </c>
      <c r="C2704" s="8" t="s">
        <v>687</v>
      </c>
      <c r="D2704" s="8" t="s">
        <v>346</v>
      </c>
      <c r="E2704" s="8" t="s">
        <v>185</v>
      </c>
      <c r="F2704" s="9">
        <v>2</v>
      </c>
      <c r="G2704" s="5">
        <f>TRUNC([1]단가대비표!O643,0)</f>
        <v>13168</v>
      </c>
      <c r="H2704" s="5">
        <f t="shared" si="248"/>
        <v>26336</v>
      </c>
      <c r="I2704" s="5">
        <v>0</v>
      </c>
      <c r="J2704" s="5">
        <f t="shared" si="249"/>
        <v>0</v>
      </c>
      <c r="K2704" s="5">
        <v>0</v>
      </c>
      <c r="L2704" s="5">
        <f t="shared" si="250"/>
        <v>0</v>
      </c>
      <c r="M2704" s="5">
        <f t="shared" si="252"/>
        <v>13168</v>
      </c>
      <c r="N2704" s="5">
        <f t="shared" si="252"/>
        <v>26336</v>
      </c>
      <c r="O2704" s="8" t="s">
        <v>20</v>
      </c>
      <c r="T2704">
        <v>0</v>
      </c>
      <c r="AC2704">
        <v>1</v>
      </c>
    </row>
    <row r="2705" spans="1:29" ht="30" customHeight="1" x14ac:dyDescent="0.3">
      <c r="A2705" s="8" t="s">
        <v>2288</v>
      </c>
      <c r="B2705" s="8" t="s">
        <v>688</v>
      </c>
      <c r="C2705" s="8" t="s">
        <v>687</v>
      </c>
      <c r="D2705" s="8" t="s">
        <v>640</v>
      </c>
      <c r="E2705" s="8" t="s">
        <v>185</v>
      </c>
      <c r="F2705" s="9">
        <v>2</v>
      </c>
      <c r="G2705" s="5">
        <f>TRUNC([1]단가대비표!O644,0)</f>
        <v>14281</v>
      </c>
      <c r="H2705" s="5">
        <f t="shared" si="248"/>
        <v>28562</v>
      </c>
      <c r="I2705" s="5">
        <v>0</v>
      </c>
      <c r="J2705" s="5">
        <f t="shared" si="249"/>
        <v>0</v>
      </c>
      <c r="K2705" s="5">
        <v>0</v>
      </c>
      <c r="L2705" s="5">
        <f t="shared" si="250"/>
        <v>0</v>
      </c>
      <c r="M2705" s="5">
        <f t="shared" si="252"/>
        <v>14281</v>
      </c>
      <c r="N2705" s="5">
        <f t="shared" si="252"/>
        <v>28562</v>
      </c>
      <c r="O2705" s="8" t="s">
        <v>20</v>
      </c>
      <c r="T2705">
        <v>0</v>
      </c>
      <c r="AC2705">
        <v>1</v>
      </c>
    </row>
    <row r="2706" spans="1:29" ht="30" customHeight="1" x14ac:dyDescent="0.3">
      <c r="A2706" s="8" t="s">
        <v>2288</v>
      </c>
      <c r="B2706" s="8" t="s">
        <v>844</v>
      </c>
      <c r="C2706" s="8" t="s">
        <v>694</v>
      </c>
      <c r="D2706" s="8" t="s">
        <v>845</v>
      </c>
      <c r="E2706" s="8" t="s">
        <v>179</v>
      </c>
      <c r="F2706" s="9">
        <v>22</v>
      </c>
      <c r="G2706" s="5">
        <f>TRUNC([1]단가대비표!O389,0)</f>
        <v>290</v>
      </c>
      <c r="H2706" s="5">
        <f t="shared" si="248"/>
        <v>6380</v>
      </c>
      <c r="I2706" s="5">
        <v>0</v>
      </c>
      <c r="J2706" s="5">
        <f t="shared" si="249"/>
        <v>0</v>
      </c>
      <c r="K2706" s="5">
        <v>0</v>
      </c>
      <c r="L2706" s="5">
        <f t="shared" si="250"/>
        <v>0</v>
      </c>
      <c r="M2706" s="5">
        <f t="shared" si="252"/>
        <v>290</v>
      </c>
      <c r="N2706" s="5">
        <f t="shared" si="252"/>
        <v>6380</v>
      </c>
      <c r="O2706" s="8" t="s">
        <v>20</v>
      </c>
      <c r="T2706">
        <v>0</v>
      </c>
      <c r="AC2706">
        <v>1</v>
      </c>
    </row>
    <row r="2707" spans="1:29" ht="30" customHeight="1" x14ac:dyDescent="0.3">
      <c r="A2707" s="8" t="s">
        <v>2288</v>
      </c>
      <c r="B2707" s="8" t="s">
        <v>846</v>
      </c>
      <c r="C2707" s="8" t="s">
        <v>694</v>
      </c>
      <c r="D2707" s="8" t="s">
        <v>847</v>
      </c>
      <c r="E2707" s="8" t="s">
        <v>179</v>
      </c>
      <c r="F2707" s="9">
        <v>20</v>
      </c>
      <c r="G2707" s="5">
        <f>TRUNC([1]단가대비표!O390,0)</f>
        <v>320</v>
      </c>
      <c r="H2707" s="5">
        <f t="shared" si="248"/>
        <v>6400</v>
      </c>
      <c r="I2707" s="5">
        <v>0</v>
      </c>
      <c r="J2707" s="5">
        <f t="shared" si="249"/>
        <v>0</v>
      </c>
      <c r="K2707" s="5">
        <v>0</v>
      </c>
      <c r="L2707" s="5">
        <f t="shared" si="250"/>
        <v>0</v>
      </c>
      <c r="M2707" s="5">
        <f t="shared" si="252"/>
        <v>320</v>
      </c>
      <c r="N2707" s="5">
        <f t="shared" si="252"/>
        <v>6400</v>
      </c>
      <c r="O2707" s="8" t="s">
        <v>20</v>
      </c>
      <c r="T2707">
        <v>0</v>
      </c>
      <c r="AC2707">
        <v>1</v>
      </c>
    </row>
    <row r="2708" spans="1:29" ht="30" customHeight="1" x14ac:dyDescent="0.3">
      <c r="A2708" s="8" t="s">
        <v>2288</v>
      </c>
      <c r="B2708" s="8" t="s">
        <v>693</v>
      </c>
      <c r="C2708" s="8" t="s">
        <v>694</v>
      </c>
      <c r="D2708" s="8" t="s">
        <v>695</v>
      </c>
      <c r="E2708" s="8" t="s">
        <v>179</v>
      </c>
      <c r="F2708" s="9">
        <v>4</v>
      </c>
      <c r="G2708" s="5">
        <f>TRUNC([1]단가대비표!O391,0)</f>
        <v>700</v>
      </c>
      <c r="H2708" s="5">
        <f t="shared" si="248"/>
        <v>2800</v>
      </c>
      <c r="I2708" s="5">
        <v>0</v>
      </c>
      <c r="J2708" s="5">
        <f t="shared" si="249"/>
        <v>0</v>
      </c>
      <c r="K2708" s="5">
        <v>0</v>
      </c>
      <c r="L2708" s="5">
        <f t="shared" si="250"/>
        <v>0</v>
      </c>
      <c r="M2708" s="5">
        <f t="shared" si="252"/>
        <v>700</v>
      </c>
      <c r="N2708" s="5">
        <f t="shared" si="252"/>
        <v>2800</v>
      </c>
      <c r="O2708" s="8" t="s">
        <v>20</v>
      </c>
      <c r="T2708">
        <v>0</v>
      </c>
      <c r="AC2708">
        <v>1</v>
      </c>
    </row>
    <row r="2709" spans="1:29" ht="30" customHeight="1" x14ac:dyDescent="0.3">
      <c r="A2709" s="8" t="s">
        <v>2288</v>
      </c>
      <c r="B2709" s="8" t="s">
        <v>698</v>
      </c>
      <c r="C2709" s="8" t="s">
        <v>694</v>
      </c>
      <c r="D2709" s="8" t="s">
        <v>699</v>
      </c>
      <c r="E2709" s="8" t="s">
        <v>179</v>
      </c>
      <c r="F2709" s="9">
        <v>4</v>
      </c>
      <c r="G2709" s="5">
        <f>TRUNC([1]단가대비표!O393,0)</f>
        <v>840</v>
      </c>
      <c r="H2709" s="5">
        <f t="shared" si="248"/>
        <v>3360</v>
      </c>
      <c r="I2709" s="5">
        <v>0</v>
      </c>
      <c r="J2709" s="5">
        <f t="shared" si="249"/>
        <v>0</v>
      </c>
      <c r="K2709" s="5">
        <v>0</v>
      </c>
      <c r="L2709" s="5">
        <f t="shared" si="250"/>
        <v>0</v>
      </c>
      <c r="M2709" s="5">
        <f t="shared" si="252"/>
        <v>840</v>
      </c>
      <c r="N2709" s="5">
        <f t="shared" si="252"/>
        <v>3360</v>
      </c>
      <c r="O2709" s="8" t="s">
        <v>20</v>
      </c>
      <c r="T2709">
        <v>0</v>
      </c>
      <c r="AC2709">
        <v>1</v>
      </c>
    </row>
    <row r="2710" spans="1:29" ht="30" customHeight="1" x14ac:dyDescent="0.3">
      <c r="A2710" s="8" t="s">
        <v>2288</v>
      </c>
      <c r="B2710" s="8" t="s">
        <v>700</v>
      </c>
      <c r="C2710" s="8" t="s">
        <v>694</v>
      </c>
      <c r="D2710" s="8" t="s">
        <v>701</v>
      </c>
      <c r="E2710" s="8" t="s">
        <v>179</v>
      </c>
      <c r="F2710" s="9">
        <v>1</v>
      </c>
      <c r="G2710" s="5">
        <f>TRUNC([1]단가대비표!O394,0)</f>
        <v>1400</v>
      </c>
      <c r="H2710" s="5">
        <f t="shared" si="248"/>
        <v>1400</v>
      </c>
      <c r="I2710" s="5">
        <v>0</v>
      </c>
      <c r="J2710" s="5">
        <f t="shared" si="249"/>
        <v>0</v>
      </c>
      <c r="K2710" s="5">
        <v>0</v>
      </c>
      <c r="L2710" s="5">
        <f t="shared" si="250"/>
        <v>0</v>
      </c>
      <c r="M2710" s="5">
        <f t="shared" si="252"/>
        <v>1400</v>
      </c>
      <c r="N2710" s="5">
        <f t="shared" si="252"/>
        <v>1400</v>
      </c>
      <c r="O2710" s="8" t="s">
        <v>20</v>
      </c>
      <c r="T2710">
        <v>0</v>
      </c>
      <c r="AC2710">
        <v>1</v>
      </c>
    </row>
    <row r="2711" spans="1:29" ht="30" customHeight="1" x14ac:dyDescent="0.3">
      <c r="A2711" s="8" t="s">
        <v>2288</v>
      </c>
      <c r="B2711" s="8" t="s">
        <v>850</v>
      </c>
      <c r="C2711" s="8" t="s">
        <v>694</v>
      </c>
      <c r="D2711" s="8" t="s">
        <v>851</v>
      </c>
      <c r="E2711" s="8" t="s">
        <v>179</v>
      </c>
      <c r="F2711" s="9">
        <v>2</v>
      </c>
      <c r="G2711" s="5">
        <f>TRUNC([1]단가대비표!O409,0)</f>
        <v>840</v>
      </c>
      <c r="H2711" s="5">
        <f t="shared" si="248"/>
        <v>1680</v>
      </c>
      <c r="I2711" s="5">
        <v>0</v>
      </c>
      <c r="J2711" s="5">
        <f t="shared" si="249"/>
        <v>0</v>
      </c>
      <c r="K2711" s="5">
        <v>0</v>
      </c>
      <c r="L2711" s="5">
        <f t="shared" si="250"/>
        <v>0</v>
      </c>
      <c r="M2711" s="5">
        <f t="shared" si="252"/>
        <v>840</v>
      </c>
      <c r="N2711" s="5">
        <f t="shared" si="252"/>
        <v>1680</v>
      </c>
      <c r="O2711" s="8" t="s">
        <v>20</v>
      </c>
      <c r="T2711">
        <v>0</v>
      </c>
      <c r="AC2711">
        <v>1</v>
      </c>
    </row>
    <row r="2712" spans="1:29" ht="30" customHeight="1" x14ac:dyDescent="0.3">
      <c r="A2712" s="8" t="s">
        <v>2288</v>
      </c>
      <c r="B2712" s="8" t="s">
        <v>852</v>
      </c>
      <c r="C2712" s="8" t="s">
        <v>694</v>
      </c>
      <c r="D2712" s="8" t="s">
        <v>853</v>
      </c>
      <c r="E2712" s="8" t="s">
        <v>179</v>
      </c>
      <c r="F2712" s="9">
        <v>2</v>
      </c>
      <c r="G2712" s="5">
        <f>TRUNC([1]단가대비표!O410,0)</f>
        <v>840</v>
      </c>
      <c r="H2712" s="5">
        <f t="shared" si="248"/>
        <v>1680</v>
      </c>
      <c r="I2712" s="5">
        <v>0</v>
      </c>
      <c r="J2712" s="5">
        <f t="shared" si="249"/>
        <v>0</v>
      </c>
      <c r="K2712" s="5">
        <v>0</v>
      </c>
      <c r="L2712" s="5">
        <f t="shared" si="250"/>
        <v>0</v>
      </c>
      <c r="M2712" s="5">
        <f t="shared" si="252"/>
        <v>840</v>
      </c>
      <c r="N2712" s="5">
        <f t="shared" si="252"/>
        <v>1680</v>
      </c>
      <c r="O2712" s="8" t="s">
        <v>20</v>
      </c>
      <c r="T2712">
        <v>0</v>
      </c>
      <c r="AC2712">
        <v>1</v>
      </c>
    </row>
    <row r="2713" spans="1:29" ht="30" customHeight="1" x14ac:dyDescent="0.3">
      <c r="A2713" s="8" t="s">
        <v>2288</v>
      </c>
      <c r="B2713" s="8" t="s">
        <v>854</v>
      </c>
      <c r="C2713" s="8" t="s">
        <v>694</v>
      </c>
      <c r="D2713" s="8" t="s">
        <v>855</v>
      </c>
      <c r="E2713" s="8" t="s">
        <v>179</v>
      </c>
      <c r="F2713" s="9">
        <v>1</v>
      </c>
      <c r="G2713" s="5">
        <f>TRUNC([1]단가대비표!O411,0)</f>
        <v>840</v>
      </c>
      <c r="H2713" s="5">
        <f t="shared" si="248"/>
        <v>840</v>
      </c>
      <c r="I2713" s="5">
        <v>0</v>
      </c>
      <c r="J2713" s="5">
        <f t="shared" si="249"/>
        <v>0</v>
      </c>
      <c r="K2713" s="5">
        <v>0</v>
      </c>
      <c r="L2713" s="5">
        <f t="shared" si="250"/>
        <v>0</v>
      </c>
      <c r="M2713" s="5">
        <f t="shared" si="252"/>
        <v>840</v>
      </c>
      <c r="N2713" s="5">
        <f t="shared" si="252"/>
        <v>840</v>
      </c>
      <c r="O2713" s="8" t="s">
        <v>20</v>
      </c>
      <c r="T2713">
        <v>0</v>
      </c>
      <c r="AC2713">
        <v>1</v>
      </c>
    </row>
    <row r="2714" spans="1:29" ht="30" customHeight="1" x14ac:dyDescent="0.3">
      <c r="A2714" s="8" t="s">
        <v>2288</v>
      </c>
      <c r="B2714" s="8" t="s">
        <v>706</v>
      </c>
      <c r="C2714" s="8" t="s">
        <v>694</v>
      </c>
      <c r="D2714" s="8" t="s">
        <v>707</v>
      </c>
      <c r="E2714" s="8" t="s">
        <v>179</v>
      </c>
      <c r="F2714" s="9">
        <v>2</v>
      </c>
      <c r="G2714" s="5">
        <f>TRUNC([1]단가대비표!O412,0)</f>
        <v>840</v>
      </c>
      <c r="H2714" s="5">
        <f t="shared" si="248"/>
        <v>1680</v>
      </c>
      <c r="I2714" s="5">
        <v>0</v>
      </c>
      <c r="J2714" s="5">
        <f t="shared" si="249"/>
        <v>0</v>
      </c>
      <c r="K2714" s="5">
        <v>0</v>
      </c>
      <c r="L2714" s="5">
        <f t="shared" si="250"/>
        <v>0</v>
      </c>
      <c r="M2714" s="5">
        <f t="shared" si="252"/>
        <v>840</v>
      </c>
      <c r="N2714" s="5">
        <f t="shared" si="252"/>
        <v>1680</v>
      </c>
      <c r="O2714" s="8" t="s">
        <v>20</v>
      </c>
      <c r="T2714">
        <v>0</v>
      </c>
      <c r="AC2714">
        <v>1</v>
      </c>
    </row>
    <row r="2715" spans="1:29" ht="30" customHeight="1" x14ac:dyDescent="0.3">
      <c r="A2715" s="8" t="s">
        <v>2288</v>
      </c>
      <c r="B2715" s="8" t="s">
        <v>708</v>
      </c>
      <c r="C2715" s="8" t="s">
        <v>694</v>
      </c>
      <c r="D2715" s="8" t="s">
        <v>709</v>
      </c>
      <c r="E2715" s="8" t="s">
        <v>179</v>
      </c>
      <c r="F2715" s="9">
        <v>2</v>
      </c>
      <c r="G2715" s="5">
        <f>TRUNC([1]단가대비표!O413,0)</f>
        <v>840</v>
      </c>
      <c r="H2715" s="5">
        <f t="shared" si="248"/>
        <v>1680</v>
      </c>
      <c r="I2715" s="5">
        <v>0</v>
      </c>
      <c r="J2715" s="5">
        <f t="shared" si="249"/>
        <v>0</v>
      </c>
      <c r="K2715" s="5">
        <v>0</v>
      </c>
      <c r="L2715" s="5">
        <f t="shared" si="250"/>
        <v>0</v>
      </c>
      <c r="M2715" s="5">
        <f t="shared" si="252"/>
        <v>840</v>
      </c>
      <c r="N2715" s="5">
        <f t="shared" si="252"/>
        <v>1680</v>
      </c>
      <c r="O2715" s="8" t="s">
        <v>20</v>
      </c>
      <c r="T2715">
        <v>0</v>
      </c>
      <c r="AC2715">
        <v>1</v>
      </c>
    </row>
    <row r="2716" spans="1:29" ht="30" customHeight="1" x14ac:dyDescent="0.3">
      <c r="A2716" s="8" t="s">
        <v>2288</v>
      </c>
      <c r="B2716" s="8" t="s">
        <v>856</v>
      </c>
      <c r="C2716" s="8" t="s">
        <v>857</v>
      </c>
      <c r="D2716" s="8" t="s">
        <v>858</v>
      </c>
      <c r="E2716" s="8" t="s">
        <v>179</v>
      </c>
      <c r="F2716" s="9">
        <v>12</v>
      </c>
      <c r="G2716" s="5">
        <f>TRUNC([1]단가대비표!O581,0)</f>
        <v>120</v>
      </c>
      <c r="H2716" s="5">
        <f t="shared" si="248"/>
        <v>1440</v>
      </c>
      <c r="I2716" s="5">
        <v>0</v>
      </c>
      <c r="J2716" s="5">
        <f t="shared" si="249"/>
        <v>0</v>
      </c>
      <c r="K2716" s="5">
        <v>0</v>
      </c>
      <c r="L2716" s="5">
        <f t="shared" si="250"/>
        <v>0</v>
      </c>
      <c r="M2716" s="5">
        <f t="shared" si="252"/>
        <v>120</v>
      </c>
      <c r="N2716" s="5">
        <f t="shared" si="252"/>
        <v>1440</v>
      </c>
      <c r="O2716" s="8" t="s">
        <v>20</v>
      </c>
      <c r="T2716">
        <v>0</v>
      </c>
      <c r="AC2716">
        <v>1</v>
      </c>
    </row>
    <row r="2717" spans="1:29" ht="30" customHeight="1" x14ac:dyDescent="0.3">
      <c r="A2717" s="8" t="s">
        <v>2288</v>
      </c>
      <c r="B2717" s="8" t="s">
        <v>529</v>
      </c>
      <c r="C2717" s="8" t="s">
        <v>530</v>
      </c>
      <c r="D2717" s="8" t="s">
        <v>531</v>
      </c>
      <c r="E2717" s="8" t="s">
        <v>532</v>
      </c>
      <c r="F2717" s="9">
        <v>414</v>
      </c>
      <c r="G2717" s="5">
        <f>TRUNC([1]단가대비표!O755,0)</f>
        <v>1159</v>
      </c>
      <c r="H2717" s="5">
        <f t="shared" si="248"/>
        <v>479826</v>
      </c>
      <c r="I2717" s="5">
        <v>0</v>
      </c>
      <c r="J2717" s="5">
        <f t="shared" si="249"/>
        <v>0</v>
      </c>
      <c r="K2717" s="5">
        <v>0</v>
      </c>
      <c r="L2717" s="5">
        <f t="shared" si="250"/>
        <v>0</v>
      </c>
      <c r="M2717" s="5">
        <f t="shared" si="252"/>
        <v>1159</v>
      </c>
      <c r="N2717" s="5">
        <f t="shared" si="252"/>
        <v>479826</v>
      </c>
      <c r="O2717" s="8" t="s">
        <v>20</v>
      </c>
      <c r="T2717">
        <v>0</v>
      </c>
      <c r="AC2717">
        <v>1</v>
      </c>
    </row>
    <row r="2718" spans="1:29" ht="30" customHeight="1" x14ac:dyDescent="0.3">
      <c r="A2718" s="8" t="s">
        <v>2288</v>
      </c>
      <c r="B2718" s="8" t="s">
        <v>859</v>
      </c>
      <c r="C2718" s="8" t="s">
        <v>534</v>
      </c>
      <c r="D2718" s="8" t="s">
        <v>860</v>
      </c>
      <c r="E2718" s="8" t="s">
        <v>532</v>
      </c>
      <c r="F2718" s="9">
        <v>59</v>
      </c>
      <c r="G2718" s="5">
        <f>TRUNC([1]단가대비표!O757,0)</f>
        <v>1159</v>
      </c>
      <c r="H2718" s="5">
        <f t="shared" si="248"/>
        <v>68381</v>
      </c>
      <c r="I2718" s="5">
        <v>0</v>
      </c>
      <c r="J2718" s="5">
        <f t="shared" si="249"/>
        <v>0</v>
      </c>
      <c r="K2718" s="5">
        <v>0</v>
      </c>
      <c r="L2718" s="5">
        <f t="shared" si="250"/>
        <v>0</v>
      </c>
      <c r="M2718" s="5">
        <f t="shared" si="252"/>
        <v>1159</v>
      </c>
      <c r="N2718" s="5">
        <f t="shared" si="252"/>
        <v>68381</v>
      </c>
      <c r="O2718" s="8" t="s">
        <v>20</v>
      </c>
      <c r="T2718">
        <v>0</v>
      </c>
      <c r="AC2718">
        <v>1</v>
      </c>
    </row>
    <row r="2719" spans="1:29" ht="30" customHeight="1" x14ac:dyDescent="0.3">
      <c r="A2719" s="8" t="s">
        <v>2288</v>
      </c>
      <c r="B2719" s="8" t="s">
        <v>533</v>
      </c>
      <c r="C2719" s="8" t="s">
        <v>534</v>
      </c>
      <c r="D2719" s="8" t="s">
        <v>535</v>
      </c>
      <c r="E2719" s="8" t="s">
        <v>532</v>
      </c>
      <c r="F2719" s="9">
        <v>303</v>
      </c>
      <c r="G2719" s="5">
        <f>TRUNC([1]단가대비표!O759,0)</f>
        <v>1159</v>
      </c>
      <c r="H2719" s="5">
        <f t="shared" si="248"/>
        <v>351177</v>
      </c>
      <c r="I2719" s="5">
        <v>0</v>
      </c>
      <c r="J2719" s="5">
        <f t="shared" si="249"/>
        <v>0</v>
      </c>
      <c r="K2719" s="5">
        <v>0</v>
      </c>
      <c r="L2719" s="5">
        <f t="shared" si="250"/>
        <v>0</v>
      </c>
      <c r="M2719" s="5">
        <f t="shared" si="252"/>
        <v>1159</v>
      </c>
      <c r="N2719" s="5">
        <f t="shared" si="252"/>
        <v>351177</v>
      </c>
      <c r="O2719" s="8" t="s">
        <v>20</v>
      </c>
      <c r="T2719">
        <v>0</v>
      </c>
      <c r="AC2719">
        <v>1</v>
      </c>
    </row>
    <row r="2720" spans="1:29" ht="30" customHeight="1" x14ac:dyDescent="0.3">
      <c r="A2720" s="8" t="s">
        <v>2288</v>
      </c>
      <c r="B2720" s="8" t="s">
        <v>536</v>
      </c>
      <c r="C2720" s="8" t="s">
        <v>537</v>
      </c>
      <c r="D2720" s="8" t="s">
        <v>538</v>
      </c>
      <c r="E2720" s="8" t="s">
        <v>185</v>
      </c>
      <c r="F2720" s="9">
        <v>42</v>
      </c>
      <c r="G2720" s="5" t="e">
        <f>'[2].xls].xls].xls].xls].xls].xls].xls].'!E127</f>
        <v>#REF!</v>
      </c>
      <c r="H2720" s="5" t="e">
        <f t="shared" si="248"/>
        <v>#REF!</v>
      </c>
      <c r="I2720" s="5" t="e">
        <f>'[2].xls].xls].xls].xls].xls].xls].xls].'!F127</f>
        <v>#REF!</v>
      </c>
      <c r="J2720" s="5" t="e">
        <f t="shared" si="249"/>
        <v>#REF!</v>
      </c>
      <c r="K2720" s="5" t="e">
        <f>'[2].xls].xls].xls].xls].xls].xls].xls].'!G127</f>
        <v>#REF!</v>
      </c>
      <c r="L2720" s="5" t="e">
        <f t="shared" si="250"/>
        <v>#REF!</v>
      </c>
      <c r="M2720" s="5" t="e">
        <f t="shared" si="252"/>
        <v>#REF!</v>
      </c>
      <c r="N2720" s="5" t="e">
        <f t="shared" si="252"/>
        <v>#REF!</v>
      </c>
      <c r="O2720" s="8" t="s">
        <v>536</v>
      </c>
      <c r="T2720">
        <v>0</v>
      </c>
      <c r="AC2720">
        <v>1</v>
      </c>
    </row>
    <row r="2721" spans="1:29" ht="30" customHeight="1" x14ac:dyDescent="0.3">
      <c r="A2721" s="8" t="s">
        <v>2288</v>
      </c>
      <c r="B2721" s="8" t="s">
        <v>542</v>
      </c>
      <c r="C2721" s="8" t="s">
        <v>543</v>
      </c>
      <c r="D2721" s="8" t="s">
        <v>544</v>
      </c>
      <c r="E2721" s="8" t="s">
        <v>545</v>
      </c>
      <c r="F2721" s="9">
        <v>32</v>
      </c>
      <c r="G2721" s="5" t="e">
        <f>'[2].xls].xls].xls].xls].xls].xls].xls].'!E130</f>
        <v>#REF!</v>
      </c>
      <c r="H2721" s="5" t="e">
        <f t="shared" si="248"/>
        <v>#REF!</v>
      </c>
      <c r="I2721" s="5" t="e">
        <f>'[2].xls].xls].xls].xls].xls].xls].xls].'!F130</f>
        <v>#REF!</v>
      </c>
      <c r="J2721" s="5" t="e">
        <f t="shared" si="249"/>
        <v>#REF!</v>
      </c>
      <c r="K2721" s="5" t="e">
        <f>'[2].xls].xls].xls].xls].xls].xls].xls].'!G130</f>
        <v>#REF!</v>
      </c>
      <c r="L2721" s="5" t="e">
        <f t="shared" si="250"/>
        <v>#REF!</v>
      </c>
      <c r="M2721" s="5" t="e">
        <f t="shared" si="252"/>
        <v>#REF!</v>
      </c>
      <c r="N2721" s="5" t="e">
        <f t="shared" si="252"/>
        <v>#REF!</v>
      </c>
      <c r="O2721" s="8" t="s">
        <v>542</v>
      </c>
      <c r="T2721">
        <v>0</v>
      </c>
      <c r="AC2721">
        <v>1</v>
      </c>
    </row>
    <row r="2722" spans="1:29" ht="30" customHeight="1" x14ac:dyDescent="0.3">
      <c r="A2722" s="8" t="s">
        <v>2288</v>
      </c>
      <c r="B2722" s="8" t="s">
        <v>546</v>
      </c>
      <c r="C2722" s="8" t="s">
        <v>547</v>
      </c>
      <c r="D2722" s="8" t="s">
        <v>548</v>
      </c>
      <c r="E2722" s="8" t="s">
        <v>545</v>
      </c>
      <c r="F2722" s="9">
        <v>32</v>
      </c>
      <c r="G2722" s="5" t="e">
        <f>'[2].xls].xls].xls].xls].xls].xls].xls].'!E133</f>
        <v>#REF!</v>
      </c>
      <c r="H2722" s="5" t="e">
        <f t="shared" si="248"/>
        <v>#REF!</v>
      </c>
      <c r="I2722" s="5" t="e">
        <f>'[2].xls].xls].xls].xls].xls].xls].xls].'!F133</f>
        <v>#REF!</v>
      </c>
      <c r="J2722" s="5" t="e">
        <f t="shared" si="249"/>
        <v>#REF!</v>
      </c>
      <c r="K2722" s="5" t="e">
        <f>'[2].xls].xls].xls].xls].xls].xls].xls].'!G133</f>
        <v>#REF!</v>
      </c>
      <c r="L2722" s="5" t="e">
        <f t="shared" si="250"/>
        <v>#REF!</v>
      </c>
      <c r="M2722" s="5" t="e">
        <f t="shared" si="252"/>
        <v>#REF!</v>
      </c>
      <c r="N2722" s="5" t="e">
        <f t="shared" si="252"/>
        <v>#REF!</v>
      </c>
      <c r="O2722" s="8" t="s">
        <v>546</v>
      </c>
      <c r="T2722">
        <v>0</v>
      </c>
      <c r="AC2722">
        <v>1</v>
      </c>
    </row>
    <row r="2723" spans="1:29" ht="30" customHeight="1" x14ac:dyDescent="0.3">
      <c r="A2723" s="8" t="s">
        <v>2288</v>
      </c>
      <c r="B2723" s="8" t="s">
        <v>549</v>
      </c>
      <c r="C2723" s="8" t="s">
        <v>550</v>
      </c>
      <c r="D2723" s="8" t="s">
        <v>551</v>
      </c>
      <c r="E2723" s="8" t="s">
        <v>552</v>
      </c>
      <c r="F2723" s="9">
        <v>0.74</v>
      </c>
      <c r="G2723" s="5" t="e">
        <f>'[2].xls].xls].xls].xls].xls].xls].xls].'!E128</f>
        <v>#REF!</v>
      </c>
      <c r="H2723" s="5" t="e">
        <f t="shared" si="248"/>
        <v>#REF!</v>
      </c>
      <c r="I2723" s="5" t="e">
        <f>'[2].xls].xls].xls].xls].xls].xls].xls].'!F128</f>
        <v>#REF!</v>
      </c>
      <c r="J2723" s="5" t="e">
        <f t="shared" si="249"/>
        <v>#REF!</v>
      </c>
      <c r="K2723" s="5" t="e">
        <f>'[2].xls].xls].xls].xls].xls].xls].xls].'!G128</f>
        <v>#REF!</v>
      </c>
      <c r="L2723" s="5" t="e">
        <f t="shared" si="250"/>
        <v>#REF!</v>
      </c>
      <c r="M2723" s="5" t="e">
        <f t="shared" si="252"/>
        <v>#REF!</v>
      </c>
      <c r="N2723" s="5" t="e">
        <f t="shared" si="252"/>
        <v>#REF!</v>
      </c>
      <c r="O2723" s="8" t="s">
        <v>549</v>
      </c>
      <c r="T2723">
        <v>0</v>
      </c>
      <c r="AC2723">
        <v>1</v>
      </c>
    </row>
    <row r="2724" spans="1:29" ht="30" customHeight="1" x14ac:dyDescent="0.3">
      <c r="A2724" s="8" t="s">
        <v>2288</v>
      </c>
      <c r="B2724" s="8" t="s">
        <v>152</v>
      </c>
      <c r="C2724" s="8" t="s">
        <v>153</v>
      </c>
      <c r="D2724" s="8" t="s">
        <v>154</v>
      </c>
      <c r="E2724" s="8" t="s">
        <v>155</v>
      </c>
      <c r="F2724" s="9">
        <v>17</v>
      </c>
      <c r="G2724" s="5">
        <v>0</v>
      </c>
      <c r="H2724" s="5">
        <f t="shared" si="248"/>
        <v>0</v>
      </c>
      <c r="I2724" s="5">
        <f>TRUNC([1]단가대비표!O671,0)</f>
        <v>157068</v>
      </c>
      <c r="J2724" s="5">
        <f t="shared" si="249"/>
        <v>2670156</v>
      </c>
      <c r="K2724" s="5">
        <v>0</v>
      </c>
      <c r="L2724" s="5">
        <f t="shared" si="250"/>
        <v>0</v>
      </c>
      <c r="M2724" s="5">
        <f t="shared" si="252"/>
        <v>157068</v>
      </c>
      <c r="N2724" s="5">
        <f t="shared" si="252"/>
        <v>2670156</v>
      </c>
      <c r="O2724" s="8" t="s">
        <v>20</v>
      </c>
      <c r="T2724">
        <v>0</v>
      </c>
      <c r="W2724">
        <v>3</v>
      </c>
      <c r="AC2724">
        <v>1</v>
      </c>
    </row>
    <row r="2725" spans="1:29" ht="30" customHeight="1" x14ac:dyDescent="0.3">
      <c r="A2725" s="8" t="s">
        <v>2288</v>
      </c>
      <c r="B2725" s="8" t="s">
        <v>553</v>
      </c>
      <c r="C2725" s="8" t="s">
        <v>153</v>
      </c>
      <c r="D2725" s="8" t="s">
        <v>554</v>
      </c>
      <c r="E2725" s="8" t="s">
        <v>155</v>
      </c>
      <c r="F2725" s="9">
        <v>34</v>
      </c>
      <c r="G2725" s="5">
        <v>0</v>
      </c>
      <c r="H2725" s="5">
        <f t="shared" si="248"/>
        <v>0</v>
      </c>
      <c r="I2725" s="5">
        <f>TRUNC([1]단가대비표!O668,0)</f>
        <v>214118</v>
      </c>
      <c r="J2725" s="5">
        <f t="shared" si="249"/>
        <v>7280012</v>
      </c>
      <c r="K2725" s="5">
        <v>0</v>
      </c>
      <c r="L2725" s="5">
        <f t="shared" si="250"/>
        <v>0</v>
      </c>
      <c r="M2725" s="5">
        <f t="shared" si="252"/>
        <v>214118</v>
      </c>
      <c r="N2725" s="5">
        <f t="shared" si="252"/>
        <v>7280012</v>
      </c>
      <c r="O2725" s="8" t="s">
        <v>20</v>
      </c>
      <c r="T2725">
        <v>0</v>
      </c>
      <c r="W2725">
        <v>3</v>
      </c>
      <c r="AC2725">
        <v>1</v>
      </c>
    </row>
    <row r="2726" spans="1:29" ht="30" customHeight="1" x14ac:dyDescent="0.3">
      <c r="A2726" s="8" t="s">
        <v>2288</v>
      </c>
      <c r="B2726" s="8" t="s">
        <v>158</v>
      </c>
      <c r="C2726" s="8" t="s">
        <v>159</v>
      </c>
      <c r="D2726" s="8" t="s">
        <v>160</v>
      </c>
      <c r="E2726" s="8" t="s">
        <v>161</v>
      </c>
      <c r="F2726" s="9">
        <v>1</v>
      </c>
      <c r="G2726" s="5">
        <f>ROUNDDOWN(SUMIF(W2605:W2726, RIGHTB(B2726, 1), J2605:J2726)*T2726, 0)</f>
        <v>199003</v>
      </c>
      <c r="H2726" s="5">
        <f t="shared" si="248"/>
        <v>199003</v>
      </c>
      <c r="I2726" s="5">
        <v>0</v>
      </c>
      <c r="J2726" s="5">
        <f t="shared" si="249"/>
        <v>0</v>
      </c>
      <c r="K2726" s="5">
        <v>0</v>
      </c>
      <c r="L2726" s="5">
        <f t="shared" si="250"/>
        <v>0</v>
      </c>
      <c r="M2726" s="5">
        <f t="shared" si="252"/>
        <v>199003</v>
      </c>
      <c r="N2726" s="5">
        <f t="shared" si="252"/>
        <v>199003</v>
      </c>
      <c r="O2726" s="8" t="s">
        <v>20</v>
      </c>
      <c r="P2726">
        <v>2726</v>
      </c>
      <c r="R2726">
        <v>1</v>
      </c>
      <c r="S2726">
        <v>0</v>
      </c>
      <c r="T2726">
        <v>0.02</v>
      </c>
      <c r="AC2726">
        <v>1</v>
      </c>
    </row>
    <row r="2727" spans="1:29" ht="30" customHeight="1" x14ac:dyDescent="0.3">
      <c r="A2727" s="5"/>
      <c r="B2727" s="5"/>
      <c r="C2727" s="5"/>
      <c r="D2727" s="5"/>
      <c r="E2727" s="5"/>
      <c r="F2727" s="9"/>
      <c r="G2727" s="5"/>
      <c r="H2727" s="5"/>
      <c r="I2727" s="5"/>
      <c r="J2727" s="5"/>
      <c r="K2727" s="5"/>
      <c r="L2727" s="5"/>
      <c r="M2727" s="5"/>
      <c r="N2727" s="5"/>
      <c r="O2727" s="5"/>
    </row>
    <row r="2728" spans="1:29" ht="30" customHeight="1" x14ac:dyDescent="0.3">
      <c r="A2728" s="5"/>
      <c r="B2728" s="5"/>
      <c r="C2728" s="5"/>
      <c r="D2728" s="5"/>
      <c r="E2728" s="5"/>
      <c r="F2728" s="9"/>
      <c r="G2728" s="5"/>
      <c r="H2728" s="5"/>
      <c r="I2728" s="5"/>
      <c r="J2728" s="5"/>
      <c r="K2728" s="5"/>
      <c r="L2728" s="5"/>
      <c r="M2728" s="5"/>
      <c r="N2728" s="5"/>
      <c r="O2728" s="5"/>
    </row>
    <row r="2729" spans="1:29" ht="30" customHeight="1" x14ac:dyDescent="0.3">
      <c r="A2729" s="5"/>
      <c r="B2729" s="5"/>
      <c r="C2729" s="5"/>
      <c r="D2729" s="5"/>
      <c r="E2729" s="5"/>
      <c r="F2729" s="9"/>
      <c r="G2729" s="5"/>
      <c r="H2729" s="5"/>
      <c r="I2729" s="5"/>
      <c r="J2729" s="5"/>
      <c r="K2729" s="5"/>
      <c r="L2729" s="5"/>
      <c r="M2729" s="5"/>
      <c r="N2729" s="5"/>
      <c r="O2729" s="5"/>
    </row>
    <row r="2730" spans="1:29" ht="30" customHeight="1" x14ac:dyDescent="0.3">
      <c r="A2730" s="5"/>
      <c r="B2730" s="5"/>
      <c r="C2730" s="5"/>
      <c r="D2730" s="5"/>
      <c r="E2730" s="5"/>
      <c r="F2730" s="9"/>
      <c r="G2730" s="5"/>
      <c r="H2730" s="5"/>
      <c r="I2730" s="5"/>
      <c r="J2730" s="5"/>
      <c r="K2730" s="5"/>
      <c r="L2730" s="5"/>
      <c r="M2730" s="5"/>
      <c r="N2730" s="5"/>
      <c r="O2730" s="5"/>
    </row>
    <row r="2731" spans="1:29" ht="30" customHeight="1" x14ac:dyDescent="0.3">
      <c r="A2731" s="5"/>
      <c r="B2731" s="5"/>
      <c r="C2731" s="5"/>
      <c r="D2731" s="5"/>
      <c r="E2731" s="5"/>
      <c r="F2731" s="9"/>
      <c r="G2731" s="5"/>
      <c r="H2731" s="5"/>
      <c r="I2731" s="5"/>
      <c r="J2731" s="5"/>
      <c r="K2731" s="5"/>
      <c r="L2731" s="5"/>
      <c r="M2731" s="5"/>
      <c r="N2731" s="5"/>
      <c r="O2731" s="5"/>
    </row>
    <row r="2732" spans="1:29" ht="30" customHeight="1" x14ac:dyDescent="0.3">
      <c r="A2732" s="5"/>
      <c r="B2732" s="5"/>
      <c r="C2732" s="5"/>
      <c r="D2732" s="5"/>
      <c r="E2732" s="5"/>
      <c r="F2732" s="9"/>
      <c r="G2732" s="5"/>
      <c r="H2732" s="5"/>
      <c r="I2732" s="5"/>
      <c r="J2732" s="5"/>
      <c r="K2732" s="5"/>
      <c r="L2732" s="5"/>
      <c r="M2732" s="5"/>
      <c r="N2732" s="5"/>
      <c r="O2732" s="5"/>
    </row>
    <row r="2733" spans="1:29" ht="30" customHeight="1" x14ac:dyDescent="0.3">
      <c r="A2733" s="5"/>
      <c r="B2733" s="5"/>
      <c r="C2733" s="5" t="s">
        <v>162</v>
      </c>
      <c r="D2733" s="5"/>
      <c r="E2733" s="5"/>
      <c r="F2733" s="9"/>
      <c r="G2733" s="5"/>
      <c r="H2733" s="5" t="e">
        <f>SUMIF(AC2605:AC2732, 1, H2605:H2732)</f>
        <v>#REF!</v>
      </c>
      <c r="I2733" s="5"/>
      <c r="J2733" s="5" t="e">
        <f>SUMIF(AC2605:AC2732, 1, J2605:J2732)</f>
        <v>#REF!</v>
      </c>
      <c r="K2733" s="5"/>
      <c r="L2733" s="5" t="e">
        <f>SUMIF(AC2605:AC2732, 1, L2605:L2732)</f>
        <v>#REF!</v>
      </c>
      <c r="M2733" s="5"/>
      <c r="N2733" s="5" t="e">
        <f>H2733+J2733+L2733</f>
        <v>#REF!</v>
      </c>
      <c r="O2733" s="5"/>
    </row>
    <row r="2734" spans="1:29" ht="30" customHeight="1" x14ac:dyDescent="0.3">
      <c r="A2734" s="5"/>
      <c r="B2734" s="5"/>
      <c r="C2734" s="10" t="s">
        <v>2289</v>
      </c>
      <c r="D2734" s="10"/>
      <c r="E2734" s="10"/>
      <c r="F2734" s="11"/>
      <c r="G2734" s="10"/>
      <c r="H2734" s="10"/>
      <c r="I2734" s="10"/>
      <c r="J2734" s="10"/>
      <c r="K2734" s="10"/>
      <c r="L2734" s="10"/>
      <c r="M2734" s="10"/>
      <c r="N2734" s="10"/>
      <c r="O2734" s="10"/>
    </row>
    <row r="2735" spans="1:29" ht="30" customHeight="1" x14ac:dyDescent="0.3">
      <c r="A2735" s="8" t="s">
        <v>2290</v>
      </c>
      <c r="B2735" s="8" t="s">
        <v>868</v>
      </c>
      <c r="C2735" s="8" t="s">
        <v>864</v>
      </c>
      <c r="D2735" s="8" t="s">
        <v>869</v>
      </c>
      <c r="E2735" s="8" t="s">
        <v>168</v>
      </c>
      <c r="F2735" s="9">
        <v>4</v>
      </c>
      <c r="G2735" s="5">
        <f>TRUNC([1]단가대비표!O115,0)</f>
        <v>8068</v>
      </c>
      <c r="H2735" s="5">
        <f t="shared" ref="H2735:H2798" si="253">TRUNC(F2735*G2735,0)</f>
        <v>32272</v>
      </c>
      <c r="I2735" s="5">
        <v>0</v>
      </c>
      <c r="J2735" s="5">
        <f t="shared" ref="J2735:J2798" si="254">TRUNC(F2735*I2735,0)</f>
        <v>0</v>
      </c>
      <c r="K2735" s="5">
        <v>0</v>
      </c>
      <c r="L2735" s="5">
        <f t="shared" ref="L2735:L2798" si="255">TRUNC(F2735*K2735,0)</f>
        <v>0</v>
      </c>
      <c r="M2735" s="5">
        <f t="shared" ref="M2735:N2766" si="256">G2735+I2735+K2735</f>
        <v>8068</v>
      </c>
      <c r="N2735" s="5">
        <f t="shared" si="256"/>
        <v>32272</v>
      </c>
      <c r="O2735" s="8" t="s">
        <v>20</v>
      </c>
      <c r="T2735">
        <v>0</v>
      </c>
      <c r="U2735">
        <v>1</v>
      </c>
      <c r="AC2735">
        <v>1</v>
      </c>
    </row>
    <row r="2736" spans="1:29" ht="30" customHeight="1" x14ac:dyDescent="0.3">
      <c r="A2736" s="8" t="s">
        <v>2290</v>
      </c>
      <c r="B2736" s="8" t="s">
        <v>876</v>
      </c>
      <c r="C2736" s="8" t="s">
        <v>864</v>
      </c>
      <c r="D2736" s="8" t="s">
        <v>877</v>
      </c>
      <c r="E2736" s="8" t="s">
        <v>168</v>
      </c>
      <c r="F2736" s="9">
        <v>29</v>
      </c>
      <c r="G2736" s="5">
        <f>TRUNC([1]단가대비표!O119,0)</f>
        <v>1666</v>
      </c>
      <c r="H2736" s="5">
        <f t="shared" si="253"/>
        <v>48314</v>
      </c>
      <c r="I2736" s="5">
        <v>0</v>
      </c>
      <c r="J2736" s="5">
        <f t="shared" si="254"/>
        <v>0</v>
      </c>
      <c r="K2736" s="5">
        <v>0</v>
      </c>
      <c r="L2736" s="5">
        <f t="shared" si="255"/>
        <v>0</v>
      </c>
      <c r="M2736" s="5">
        <f t="shared" si="256"/>
        <v>1666</v>
      </c>
      <c r="N2736" s="5">
        <f t="shared" si="256"/>
        <v>48314</v>
      </c>
      <c r="O2736" s="8" t="s">
        <v>20</v>
      </c>
      <c r="T2736">
        <v>0</v>
      </c>
      <c r="U2736">
        <v>1</v>
      </c>
      <c r="AC2736">
        <v>1</v>
      </c>
    </row>
    <row r="2737" spans="1:29" ht="30" customHeight="1" x14ac:dyDescent="0.3">
      <c r="A2737" s="8" t="s">
        <v>2290</v>
      </c>
      <c r="B2737" s="8" t="s">
        <v>880</v>
      </c>
      <c r="C2737" s="8" t="s">
        <v>864</v>
      </c>
      <c r="D2737" s="8" t="s">
        <v>881</v>
      </c>
      <c r="E2737" s="8" t="s">
        <v>168</v>
      </c>
      <c r="F2737" s="9">
        <v>117</v>
      </c>
      <c r="G2737" s="5">
        <f>TRUNC([1]단가대비표!O121,0)</f>
        <v>2666</v>
      </c>
      <c r="H2737" s="5">
        <f t="shared" si="253"/>
        <v>311922</v>
      </c>
      <c r="I2737" s="5">
        <v>0</v>
      </c>
      <c r="J2737" s="5">
        <f t="shared" si="254"/>
        <v>0</v>
      </c>
      <c r="K2737" s="5">
        <v>0</v>
      </c>
      <c r="L2737" s="5">
        <f t="shared" si="255"/>
        <v>0</v>
      </c>
      <c r="M2737" s="5">
        <f t="shared" si="256"/>
        <v>2666</v>
      </c>
      <c r="N2737" s="5">
        <f t="shared" si="256"/>
        <v>311922</v>
      </c>
      <c r="O2737" s="8" t="s">
        <v>20</v>
      </c>
      <c r="T2737">
        <v>0</v>
      </c>
      <c r="U2737">
        <v>1</v>
      </c>
      <c r="AC2737">
        <v>1</v>
      </c>
    </row>
    <row r="2738" spans="1:29" ht="30" customHeight="1" x14ac:dyDescent="0.3">
      <c r="A2738" s="8" t="s">
        <v>2290</v>
      </c>
      <c r="B2738" s="8" t="s">
        <v>884</v>
      </c>
      <c r="C2738" s="8" t="s">
        <v>864</v>
      </c>
      <c r="D2738" s="8" t="s">
        <v>885</v>
      </c>
      <c r="E2738" s="8" t="s">
        <v>168</v>
      </c>
      <c r="F2738" s="9">
        <v>268</v>
      </c>
      <c r="G2738" s="5">
        <f>TRUNC([1]단가대비표!O123,0)</f>
        <v>8068</v>
      </c>
      <c r="H2738" s="5">
        <f t="shared" si="253"/>
        <v>2162224</v>
      </c>
      <c r="I2738" s="5">
        <v>0</v>
      </c>
      <c r="J2738" s="5">
        <f t="shared" si="254"/>
        <v>0</v>
      </c>
      <c r="K2738" s="5">
        <v>0</v>
      </c>
      <c r="L2738" s="5">
        <f t="shared" si="255"/>
        <v>0</v>
      </c>
      <c r="M2738" s="5">
        <f t="shared" si="256"/>
        <v>8068</v>
      </c>
      <c r="N2738" s="5">
        <f t="shared" si="256"/>
        <v>2162224</v>
      </c>
      <c r="O2738" s="8" t="s">
        <v>20</v>
      </c>
      <c r="T2738">
        <v>0</v>
      </c>
      <c r="U2738">
        <v>1</v>
      </c>
      <c r="AC2738">
        <v>1</v>
      </c>
    </row>
    <row r="2739" spans="1:29" ht="30" customHeight="1" x14ac:dyDescent="0.3">
      <c r="A2739" s="8" t="s">
        <v>2290</v>
      </c>
      <c r="B2739" s="8" t="s">
        <v>886</v>
      </c>
      <c r="C2739" s="8" t="s">
        <v>864</v>
      </c>
      <c r="D2739" s="8" t="s">
        <v>887</v>
      </c>
      <c r="E2739" s="8" t="s">
        <v>168</v>
      </c>
      <c r="F2739" s="9">
        <v>26</v>
      </c>
      <c r="G2739" s="5">
        <f>TRUNC([1]단가대비표!O124,0)</f>
        <v>10738</v>
      </c>
      <c r="H2739" s="5">
        <f t="shared" si="253"/>
        <v>279188</v>
      </c>
      <c r="I2739" s="5">
        <v>0</v>
      </c>
      <c r="J2739" s="5">
        <f t="shared" si="254"/>
        <v>0</v>
      </c>
      <c r="K2739" s="5">
        <v>0</v>
      </c>
      <c r="L2739" s="5">
        <f t="shared" si="255"/>
        <v>0</v>
      </c>
      <c r="M2739" s="5">
        <f t="shared" si="256"/>
        <v>10738</v>
      </c>
      <c r="N2739" s="5">
        <f t="shared" si="256"/>
        <v>279188</v>
      </c>
      <c r="O2739" s="8" t="s">
        <v>20</v>
      </c>
      <c r="T2739">
        <v>0</v>
      </c>
      <c r="U2739">
        <v>1</v>
      </c>
      <c r="AC2739">
        <v>1</v>
      </c>
    </row>
    <row r="2740" spans="1:29" ht="30" customHeight="1" x14ac:dyDescent="0.3">
      <c r="A2740" s="8" t="s">
        <v>2290</v>
      </c>
      <c r="B2740" s="8" t="s">
        <v>888</v>
      </c>
      <c r="C2740" s="8" t="s">
        <v>864</v>
      </c>
      <c r="D2740" s="8" t="s">
        <v>889</v>
      </c>
      <c r="E2740" s="8" t="s">
        <v>168</v>
      </c>
      <c r="F2740" s="9">
        <v>15</v>
      </c>
      <c r="G2740" s="5">
        <f>TRUNC([1]단가대비표!O128,0)</f>
        <v>1240</v>
      </c>
      <c r="H2740" s="5">
        <f t="shared" si="253"/>
        <v>18600</v>
      </c>
      <c r="I2740" s="5">
        <v>0</v>
      </c>
      <c r="J2740" s="5">
        <f t="shared" si="254"/>
        <v>0</v>
      </c>
      <c r="K2740" s="5">
        <v>0</v>
      </c>
      <c r="L2740" s="5">
        <f t="shared" si="255"/>
        <v>0</v>
      </c>
      <c r="M2740" s="5">
        <f t="shared" si="256"/>
        <v>1240</v>
      </c>
      <c r="N2740" s="5">
        <f t="shared" si="256"/>
        <v>18600</v>
      </c>
      <c r="O2740" s="8" t="s">
        <v>20</v>
      </c>
      <c r="T2740">
        <v>0</v>
      </c>
      <c r="U2740">
        <v>1</v>
      </c>
      <c r="AC2740">
        <v>1</v>
      </c>
    </row>
    <row r="2741" spans="1:29" ht="30" customHeight="1" x14ac:dyDescent="0.3">
      <c r="A2741" s="8" t="s">
        <v>2290</v>
      </c>
      <c r="B2741" s="8" t="s">
        <v>890</v>
      </c>
      <c r="C2741" s="8" t="s">
        <v>864</v>
      </c>
      <c r="D2741" s="8" t="s">
        <v>891</v>
      </c>
      <c r="E2741" s="8" t="s">
        <v>168</v>
      </c>
      <c r="F2741" s="9">
        <v>9</v>
      </c>
      <c r="G2741" s="5">
        <f>TRUNC([1]단가대비표!O130,0)</f>
        <v>6560</v>
      </c>
      <c r="H2741" s="5">
        <f t="shared" si="253"/>
        <v>59040</v>
      </c>
      <c r="I2741" s="5">
        <v>0</v>
      </c>
      <c r="J2741" s="5">
        <f t="shared" si="254"/>
        <v>0</v>
      </c>
      <c r="K2741" s="5">
        <v>0</v>
      </c>
      <c r="L2741" s="5">
        <f t="shared" si="255"/>
        <v>0</v>
      </c>
      <c r="M2741" s="5">
        <f t="shared" si="256"/>
        <v>6560</v>
      </c>
      <c r="N2741" s="5">
        <f t="shared" si="256"/>
        <v>59040</v>
      </c>
      <c r="O2741" s="8" t="s">
        <v>20</v>
      </c>
      <c r="T2741">
        <v>0</v>
      </c>
      <c r="U2741">
        <v>1</v>
      </c>
      <c r="AC2741">
        <v>1</v>
      </c>
    </row>
    <row r="2742" spans="1:29" ht="30" customHeight="1" x14ac:dyDescent="0.3">
      <c r="A2742" s="8" t="s">
        <v>2290</v>
      </c>
      <c r="B2742" s="8" t="s">
        <v>173</v>
      </c>
      <c r="C2742" s="8" t="s">
        <v>174</v>
      </c>
      <c r="D2742" s="8" t="s">
        <v>175</v>
      </c>
      <c r="E2742" s="8" t="s">
        <v>161</v>
      </c>
      <c r="F2742" s="9">
        <v>1</v>
      </c>
      <c r="G2742" s="5">
        <f>ROUNDDOWN(SUMIF(U2735:U2803, RIGHTB(B2742, 1), H2735:H2803)*T2742, 0)</f>
        <v>87346</v>
      </c>
      <c r="H2742" s="5">
        <f t="shared" si="253"/>
        <v>87346</v>
      </c>
      <c r="I2742" s="5">
        <v>0</v>
      </c>
      <c r="J2742" s="5">
        <f t="shared" si="254"/>
        <v>0</v>
      </c>
      <c r="K2742" s="5">
        <v>0</v>
      </c>
      <c r="L2742" s="5">
        <f t="shared" si="255"/>
        <v>0</v>
      </c>
      <c r="M2742" s="5">
        <f t="shared" si="256"/>
        <v>87346</v>
      </c>
      <c r="N2742" s="5">
        <f t="shared" si="256"/>
        <v>87346</v>
      </c>
      <c r="O2742" s="8" t="s">
        <v>20</v>
      </c>
      <c r="P2742">
        <v>2742</v>
      </c>
      <c r="R2742">
        <v>0</v>
      </c>
      <c r="S2742">
        <v>0</v>
      </c>
      <c r="T2742">
        <v>0.03</v>
      </c>
      <c r="AC2742">
        <v>1</v>
      </c>
    </row>
    <row r="2743" spans="1:29" ht="30" customHeight="1" x14ac:dyDescent="0.3">
      <c r="A2743" s="8" t="s">
        <v>2290</v>
      </c>
      <c r="B2743" s="8" t="s">
        <v>892</v>
      </c>
      <c r="C2743" s="8" t="s">
        <v>893</v>
      </c>
      <c r="D2743" s="8" t="s">
        <v>894</v>
      </c>
      <c r="E2743" s="8" t="s">
        <v>895</v>
      </c>
      <c r="F2743" s="9">
        <v>29</v>
      </c>
      <c r="G2743" s="5">
        <f>TRUNC([1]단가대비표!O693,0)</f>
        <v>463</v>
      </c>
      <c r="H2743" s="5">
        <f t="shared" si="253"/>
        <v>13427</v>
      </c>
      <c r="I2743" s="5">
        <v>6141</v>
      </c>
      <c r="J2743" s="5">
        <f t="shared" si="254"/>
        <v>178089</v>
      </c>
      <c r="K2743" s="5">
        <v>0</v>
      </c>
      <c r="L2743" s="5">
        <f t="shared" si="255"/>
        <v>0</v>
      </c>
      <c r="M2743" s="5">
        <f t="shared" si="256"/>
        <v>6604</v>
      </c>
      <c r="N2743" s="5">
        <f t="shared" si="256"/>
        <v>191516</v>
      </c>
      <c r="O2743" s="8" t="s">
        <v>429</v>
      </c>
      <c r="T2743">
        <v>0</v>
      </c>
      <c r="AC2743">
        <v>1</v>
      </c>
    </row>
    <row r="2744" spans="1:29" ht="30" customHeight="1" x14ac:dyDescent="0.3">
      <c r="A2744" s="8" t="s">
        <v>2290</v>
      </c>
      <c r="B2744" s="8" t="s">
        <v>898</v>
      </c>
      <c r="C2744" s="8" t="s">
        <v>893</v>
      </c>
      <c r="D2744" s="8" t="s">
        <v>899</v>
      </c>
      <c r="E2744" s="8" t="s">
        <v>895</v>
      </c>
      <c r="F2744" s="9">
        <v>132</v>
      </c>
      <c r="G2744" s="5">
        <f>TRUNC([1]단가대비표!O695,0)</f>
        <v>575</v>
      </c>
      <c r="H2744" s="5">
        <f t="shared" si="253"/>
        <v>75900</v>
      </c>
      <c r="I2744" s="5">
        <v>7631</v>
      </c>
      <c r="J2744" s="5">
        <f t="shared" si="254"/>
        <v>1007292</v>
      </c>
      <c r="K2744" s="5">
        <v>0</v>
      </c>
      <c r="L2744" s="5">
        <f t="shared" si="255"/>
        <v>0</v>
      </c>
      <c r="M2744" s="5">
        <f t="shared" si="256"/>
        <v>8206</v>
      </c>
      <c r="N2744" s="5">
        <f t="shared" si="256"/>
        <v>1083192</v>
      </c>
      <c r="O2744" s="8" t="s">
        <v>429</v>
      </c>
      <c r="T2744">
        <v>0</v>
      </c>
      <c r="AC2744">
        <v>1</v>
      </c>
    </row>
    <row r="2745" spans="1:29" ht="30" customHeight="1" x14ac:dyDescent="0.3">
      <c r="A2745" s="8" t="s">
        <v>2290</v>
      </c>
      <c r="B2745" s="8" t="s">
        <v>902</v>
      </c>
      <c r="C2745" s="8" t="s">
        <v>893</v>
      </c>
      <c r="D2745" s="8" t="s">
        <v>903</v>
      </c>
      <c r="E2745" s="8" t="s">
        <v>895</v>
      </c>
      <c r="F2745" s="9">
        <v>272</v>
      </c>
      <c r="G2745" s="5">
        <f>TRUNC([1]단가대비표!O697,0)</f>
        <v>1083</v>
      </c>
      <c r="H2745" s="5">
        <f t="shared" si="253"/>
        <v>294576</v>
      </c>
      <c r="I2745" s="5">
        <v>14376</v>
      </c>
      <c r="J2745" s="5">
        <f t="shared" si="254"/>
        <v>3910272</v>
      </c>
      <c r="K2745" s="5">
        <v>0</v>
      </c>
      <c r="L2745" s="5">
        <f t="shared" si="255"/>
        <v>0</v>
      </c>
      <c r="M2745" s="5">
        <f t="shared" si="256"/>
        <v>15459</v>
      </c>
      <c r="N2745" s="5">
        <f t="shared" si="256"/>
        <v>4204848</v>
      </c>
      <c r="O2745" s="8" t="s">
        <v>429</v>
      </c>
      <c r="T2745">
        <v>0</v>
      </c>
      <c r="AC2745">
        <v>1</v>
      </c>
    </row>
    <row r="2746" spans="1:29" ht="30" customHeight="1" x14ac:dyDescent="0.3">
      <c r="A2746" s="8" t="s">
        <v>2290</v>
      </c>
      <c r="B2746" s="8" t="s">
        <v>904</v>
      </c>
      <c r="C2746" s="8" t="s">
        <v>893</v>
      </c>
      <c r="D2746" s="8" t="s">
        <v>905</v>
      </c>
      <c r="E2746" s="8" t="s">
        <v>895</v>
      </c>
      <c r="F2746" s="9">
        <v>35</v>
      </c>
      <c r="G2746" s="5">
        <f>TRUNC([1]단가대비표!O698,0)</f>
        <v>1279</v>
      </c>
      <c r="H2746" s="5">
        <f t="shared" si="253"/>
        <v>44765</v>
      </c>
      <c r="I2746" s="5">
        <v>16982</v>
      </c>
      <c r="J2746" s="5">
        <f t="shared" si="254"/>
        <v>594370</v>
      </c>
      <c r="K2746" s="5">
        <v>0</v>
      </c>
      <c r="L2746" s="5">
        <f t="shared" si="255"/>
        <v>0</v>
      </c>
      <c r="M2746" s="5">
        <f t="shared" si="256"/>
        <v>18261</v>
      </c>
      <c r="N2746" s="5">
        <f t="shared" si="256"/>
        <v>639135</v>
      </c>
      <c r="O2746" s="8" t="s">
        <v>429</v>
      </c>
      <c r="T2746">
        <v>0</v>
      </c>
      <c r="AC2746">
        <v>1</v>
      </c>
    </row>
    <row r="2747" spans="1:29" ht="30" customHeight="1" x14ac:dyDescent="0.3">
      <c r="A2747" s="8" t="s">
        <v>2290</v>
      </c>
      <c r="B2747" s="8" t="s">
        <v>911</v>
      </c>
      <c r="C2747" s="8" t="s">
        <v>912</v>
      </c>
      <c r="D2747" s="8" t="s">
        <v>346</v>
      </c>
      <c r="E2747" s="8" t="s">
        <v>179</v>
      </c>
      <c r="F2747" s="9">
        <v>18</v>
      </c>
      <c r="G2747" s="5">
        <f>TRUNC([1]단가대비표!O145,0)</f>
        <v>15800</v>
      </c>
      <c r="H2747" s="5">
        <f t="shared" si="253"/>
        <v>284400</v>
      </c>
      <c r="I2747" s="5">
        <v>0</v>
      </c>
      <c r="J2747" s="5">
        <f t="shared" si="254"/>
        <v>0</v>
      </c>
      <c r="K2747" s="5">
        <v>0</v>
      </c>
      <c r="L2747" s="5">
        <f t="shared" si="255"/>
        <v>0</v>
      </c>
      <c r="M2747" s="5">
        <f t="shared" si="256"/>
        <v>15800</v>
      </c>
      <c r="N2747" s="5">
        <f t="shared" si="256"/>
        <v>284400</v>
      </c>
      <c r="O2747" s="8" t="s">
        <v>20</v>
      </c>
      <c r="T2747">
        <v>0</v>
      </c>
      <c r="AC2747">
        <v>1</v>
      </c>
    </row>
    <row r="2748" spans="1:29" ht="30" customHeight="1" x14ac:dyDescent="0.3">
      <c r="A2748" s="8" t="s">
        <v>2290</v>
      </c>
      <c r="B2748" s="8" t="s">
        <v>921</v>
      </c>
      <c r="C2748" s="8" t="s">
        <v>694</v>
      </c>
      <c r="D2748" s="8" t="s">
        <v>922</v>
      </c>
      <c r="E2748" s="8" t="s">
        <v>179</v>
      </c>
      <c r="F2748" s="9">
        <v>4</v>
      </c>
      <c r="G2748" s="5">
        <f>TRUNC([1]단가대비표!O308,0)</f>
        <v>1620</v>
      </c>
      <c r="H2748" s="5">
        <f t="shared" si="253"/>
        <v>6480</v>
      </c>
      <c r="I2748" s="5">
        <v>0</v>
      </c>
      <c r="J2748" s="5">
        <f t="shared" si="254"/>
        <v>0</v>
      </c>
      <c r="K2748" s="5">
        <v>0</v>
      </c>
      <c r="L2748" s="5">
        <f t="shared" si="255"/>
        <v>0</v>
      </c>
      <c r="M2748" s="5">
        <f t="shared" si="256"/>
        <v>1620</v>
      </c>
      <c r="N2748" s="5">
        <f t="shared" si="256"/>
        <v>6480</v>
      </c>
      <c r="O2748" s="8" t="s">
        <v>20</v>
      </c>
      <c r="T2748">
        <v>0</v>
      </c>
      <c r="AC2748">
        <v>1</v>
      </c>
    </row>
    <row r="2749" spans="1:29" ht="30" customHeight="1" x14ac:dyDescent="0.3">
      <c r="A2749" s="8" t="s">
        <v>2290</v>
      </c>
      <c r="B2749" s="8" t="s">
        <v>935</v>
      </c>
      <c r="C2749" s="8" t="s">
        <v>694</v>
      </c>
      <c r="D2749" s="8" t="s">
        <v>936</v>
      </c>
      <c r="E2749" s="8" t="s">
        <v>179</v>
      </c>
      <c r="F2749" s="9">
        <v>2</v>
      </c>
      <c r="G2749" s="5">
        <f>TRUNC([1]단가대비표!O322,0)</f>
        <v>3310</v>
      </c>
      <c r="H2749" s="5">
        <f t="shared" si="253"/>
        <v>6620</v>
      </c>
      <c r="I2749" s="5">
        <v>0</v>
      </c>
      <c r="J2749" s="5">
        <f t="shared" si="254"/>
        <v>0</v>
      </c>
      <c r="K2749" s="5">
        <v>0</v>
      </c>
      <c r="L2749" s="5">
        <f t="shared" si="255"/>
        <v>0</v>
      </c>
      <c r="M2749" s="5">
        <f t="shared" si="256"/>
        <v>3310</v>
      </c>
      <c r="N2749" s="5">
        <f t="shared" si="256"/>
        <v>6620</v>
      </c>
      <c r="O2749" s="8" t="s">
        <v>20</v>
      </c>
      <c r="T2749">
        <v>0</v>
      </c>
      <c r="AC2749">
        <v>1</v>
      </c>
    </row>
    <row r="2750" spans="1:29" ht="30" customHeight="1" x14ac:dyDescent="0.3">
      <c r="A2750" s="8" t="s">
        <v>2290</v>
      </c>
      <c r="B2750" s="8" t="s">
        <v>965</v>
      </c>
      <c r="C2750" s="8" t="s">
        <v>694</v>
      </c>
      <c r="D2750" s="8" t="s">
        <v>966</v>
      </c>
      <c r="E2750" s="8" t="s">
        <v>179</v>
      </c>
      <c r="F2750" s="9">
        <v>2</v>
      </c>
      <c r="G2750" s="5">
        <f>TRUNC([1]단가대비표!O388,0)</f>
        <v>2400</v>
      </c>
      <c r="H2750" s="5">
        <f t="shared" si="253"/>
        <v>4800</v>
      </c>
      <c r="I2750" s="5">
        <v>0</v>
      </c>
      <c r="J2750" s="5">
        <f t="shared" si="254"/>
        <v>0</v>
      </c>
      <c r="K2750" s="5">
        <v>0</v>
      </c>
      <c r="L2750" s="5">
        <f t="shared" si="255"/>
        <v>0</v>
      </c>
      <c r="M2750" s="5">
        <f t="shared" si="256"/>
        <v>2400</v>
      </c>
      <c r="N2750" s="5">
        <f t="shared" si="256"/>
        <v>4800</v>
      </c>
      <c r="O2750" s="8" t="s">
        <v>20</v>
      </c>
      <c r="T2750">
        <v>0</v>
      </c>
      <c r="AC2750">
        <v>1</v>
      </c>
    </row>
    <row r="2751" spans="1:29" ht="30" customHeight="1" x14ac:dyDescent="0.3">
      <c r="A2751" s="8" t="s">
        <v>2290</v>
      </c>
      <c r="B2751" s="8" t="s">
        <v>969</v>
      </c>
      <c r="C2751" s="8" t="s">
        <v>694</v>
      </c>
      <c r="D2751" s="8" t="s">
        <v>970</v>
      </c>
      <c r="E2751" s="8" t="s">
        <v>179</v>
      </c>
      <c r="F2751" s="9">
        <v>18</v>
      </c>
      <c r="G2751" s="5">
        <f>TRUNC([1]단가대비표!O340,0)</f>
        <v>1150</v>
      </c>
      <c r="H2751" s="5">
        <f t="shared" si="253"/>
        <v>20700</v>
      </c>
      <c r="I2751" s="5">
        <v>0</v>
      </c>
      <c r="J2751" s="5">
        <f t="shared" si="254"/>
        <v>0</v>
      </c>
      <c r="K2751" s="5">
        <v>0</v>
      </c>
      <c r="L2751" s="5">
        <f t="shared" si="255"/>
        <v>0</v>
      </c>
      <c r="M2751" s="5">
        <f t="shared" si="256"/>
        <v>1150</v>
      </c>
      <c r="N2751" s="5">
        <f t="shared" si="256"/>
        <v>20700</v>
      </c>
      <c r="O2751" s="8" t="s">
        <v>20</v>
      </c>
      <c r="T2751">
        <v>0</v>
      </c>
      <c r="AC2751">
        <v>1</v>
      </c>
    </row>
    <row r="2752" spans="1:29" ht="30" customHeight="1" x14ac:dyDescent="0.3">
      <c r="A2752" s="8" t="s">
        <v>2290</v>
      </c>
      <c r="B2752" s="8" t="s">
        <v>971</v>
      </c>
      <c r="C2752" s="8" t="s">
        <v>694</v>
      </c>
      <c r="D2752" s="8" t="s">
        <v>972</v>
      </c>
      <c r="E2752" s="8" t="s">
        <v>179</v>
      </c>
      <c r="F2752" s="9">
        <v>19</v>
      </c>
      <c r="G2752" s="5">
        <f>TRUNC([1]단가대비표!O341,0)</f>
        <v>2000</v>
      </c>
      <c r="H2752" s="5">
        <f t="shared" si="253"/>
        <v>38000</v>
      </c>
      <c r="I2752" s="5">
        <v>0</v>
      </c>
      <c r="J2752" s="5">
        <f t="shared" si="254"/>
        <v>0</v>
      </c>
      <c r="K2752" s="5">
        <v>0</v>
      </c>
      <c r="L2752" s="5">
        <f t="shared" si="255"/>
        <v>0</v>
      </c>
      <c r="M2752" s="5">
        <f t="shared" si="256"/>
        <v>2000</v>
      </c>
      <c r="N2752" s="5">
        <f t="shared" si="256"/>
        <v>38000</v>
      </c>
      <c r="O2752" s="8" t="s">
        <v>20</v>
      </c>
      <c r="T2752">
        <v>0</v>
      </c>
      <c r="AC2752">
        <v>1</v>
      </c>
    </row>
    <row r="2753" spans="1:29" ht="30" customHeight="1" x14ac:dyDescent="0.3">
      <c r="A2753" s="8" t="s">
        <v>2290</v>
      </c>
      <c r="B2753" s="8" t="s">
        <v>975</v>
      </c>
      <c r="C2753" s="8" t="s">
        <v>694</v>
      </c>
      <c r="D2753" s="8" t="s">
        <v>976</v>
      </c>
      <c r="E2753" s="8" t="s">
        <v>179</v>
      </c>
      <c r="F2753" s="9">
        <v>18</v>
      </c>
      <c r="G2753" s="5">
        <f>TRUNC([1]단가대비표!O343,0)</f>
        <v>6920</v>
      </c>
      <c r="H2753" s="5">
        <f t="shared" si="253"/>
        <v>124560</v>
      </c>
      <c r="I2753" s="5">
        <v>0</v>
      </c>
      <c r="J2753" s="5">
        <f t="shared" si="254"/>
        <v>0</v>
      </c>
      <c r="K2753" s="5">
        <v>0</v>
      </c>
      <c r="L2753" s="5">
        <f t="shared" si="255"/>
        <v>0</v>
      </c>
      <c r="M2753" s="5">
        <f t="shared" si="256"/>
        <v>6920</v>
      </c>
      <c r="N2753" s="5">
        <f t="shared" si="256"/>
        <v>124560</v>
      </c>
      <c r="O2753" s="8" t="s">
        <v>20</v>
      </c>
      <c r="T2753">
        <v>0</v>
      </c>
      <c r="AC2753">
        <v>1</v>
      </c>
    </row>
    <row r="2754" spans="1:29" ht="30" customHeight="1" x14ac:dyDescent="0.3">
      <c r="A2754" s="8" t="s">
        <v>2290</v>
      </c>
      <c r="B2754" s="8" t="s">
        <v>979</v>
      </c>
      <c r="C2754" s="8" t="s">
        <v>694</v>
      </c>
      <c r="D2754" s="8" t="s">
        <v>980</v>
      </c>
      <c r="E2754" s="8" t="s">
        <v>179</v>
      </c>
      <c r="F2754" s="9">
        <v>73</v>
      </c>
      <c r="G2754" s="5">
        <f>TRUNC([1]단가대비표!O345,0)</f>
        <v>1770</v>
      </c>
      <c r="H2754" s="5">
        <f t="shared" si="253"/>
        <v>129210</v>
      </c>
      <c r="I2754" s="5">
        <v>0</v>
      </c>
      <c r="J2754" s="5">
        <f t="shared" si="254"/>
        <v>0</v>
      </c>
      <c r="K2754" s="5">
        <v>0</v>
      </c>
      <c r="L2754" s="5">
        <f t="shared" si="255"/>
        <v>0</v>
      </c>
      <c r="M2754" s="5">
        <f t="shared" si="256"/>
        <v>1770</v>
      </c>
      <c r="N2754" s="5">
        <f t="shared" si="256"/>
        <v>129210</v>
      </c>
      <c r="O2754" s="8" t="s">
        <v>20</v>
      </c>
      <c r="T2754">
        <v>0</v>
      </c>
      <c r="AC2754">
        <v>1</v>
      </c>
    </row>
    <row r="2755" spans="1:29" ht="30" customHeight="1" x14ac:dyDescent="0.3">
      <c r="A2755" s="8" t="s">
        <v>2290</v>
      </c>
      <c r="B2755" s="8" t="s">
        <v>981</v>
      </c>
      <c r="C2755" s="8" t="s">
        <v>694</v>
      </c>
      <c r="D2755" s="8" t="s">
        <v>982</v>
      </c>
      <c r="E2755" s="8" t="s">
        <v>179</v>
      </c>
      <c r="F2755" s="9">
        <v>58</v>
      </c>
      <c r="G2755" s="5">
        <f>TRUNC([1]단가대비표!O346,0)</f>
        <v>3140</v>
      </c>
      <c r="H2755" s="5">
        <f t="shared" si="253"/>
        <v>182120</v>
      </c>
      <c r="I2755" s="5">
        <v>0</v>
      </c>
      <c r="J2755" s="5">
        <f t="shared" si="254"/>
        <v>0</v>
      </c>
      <c r="K2755" s="5">
        <v>0</v>
      </c>
      <c r="L2755" s="5">
        <f t="shared" si="255"/>
        <v>0</v>
      </c>
      <c r="M2755" s="5">
        <f t="shared" si="256"/>
        <v>3140</v>
      </c>
      <c r="N2755" s="5">
        <f t="shared" si="256"/>
        <v>182120</v>
      </c>
      <c r="O2755" s="8" t="s">
        <v>20</v>
      </c>
      <c r="T2755">
        <v>0</v>
      </c>
      <c r="AC2755">
        <v>1</v>
      </c>
    </row>
    <row r="2756" spans="1:29" ht="30" customHeight="1" x14ac:dyDescent="0.3">
      <c r="A2756" s="8" t="s">
        <v>2290</v>
      </c>
      <c r="B2756" s="8" t="s">
        <v>983</v>
      </c>
      <c r="C2756" s="8" t="s">
        <v>694</v>
      </c>
      <c r="D2756" s="8" t="s">
        <v>984</v>
      </c>
      <c r="E2756" s="8" t="s">
        <v>179</v>
      </c>
      <c r="F2756" s="9">
        <v>49</v>
      </c>
      <c r="G2756" s="5">
        <f>TRUNC([1]단가대비표!O347,0)</f>
        <v>5240</v>
      </c>
      <c r="H2756" s="5">
        <f t="shared" si="253"/>
        <v>256760</v>
      </c>
      <c r="I2756" s="5">
        <v>0</v>
      </c>
      <c r="J2756" s="5">
        <f t="shared" si="254"/>
        <v>0</v>
      </c>
      <c r="K2756" s="5">
        <v>0</v>
      </c>
      <c r="L2756" s="5">
        <f t="shared" si="255"/>
        <v>0</v>
      </c>
      <c r="M2756" s="5">
        <f t="shared" si="256"/>
        <v>5240</v>
      </c>
      <c r="N2756" s="5">
        <f t="shared" si="256"/>
        <v>256760</v>
      </c>
      <c r="O2756" s="8" t="s">
        <v>20</v>
      </c>
      <c r="T2756">
        <v>0</v>
      </c>
      <c r="AC2756">
        <v>1</v>
      </c>
    </row>
    <row r="2757" spans="1:29" ht="30" customHeight="1" x14ac:dyDescent="0.3">
      <c r="A2757" s="8" t="s">
        <v>2290</v>
      </c>
      <c r="B2757" s="8" t="s">
        <v>985</v>
      </c>
      <c r="C2757" s="8" t="s">
        <v>694</v>
      </c>
      <c r="D2757" s="8" t="s">
        <v>986</v>
      </c>
      <c r="E2757" s="8" t="s">
        <v>179</v>
      </c>
      <c r="F2757" s="9">
        <v>8</v>
      </c>
      <c r="G2757" s="5">
        <f>TRUNC([1]단가대비표!O348,0)</f>
        <v>9230</v>
      </c>
      <c r="H2757" s="5">
        <f t="shared" si="253"/>
        <v>73840</v>
      </c>
      <c r="I2757" s="5">
        <v>0</v>
      </c>
      <c r="J2757" s="5">
        <f t="shared" si="254"/>
        <v>0</v>
      </c>
      <c r="K2757" s="5">
        <v>0</v>
      </c>
      <c r="L2757" s="5">
        <f t="shared" si="255"/>
        <v>0</v>
      </c>
      <c r="M2757" s="5">
        <f t="shared" si="256"/>
        <v>9230</v>
      </c>
      <c r="N2757" s="5">
        <f t="shared" si="256"/>
        <v>73840</v>
      </c>
      <c r="O2757" s="8" t="s">
        <v>20</v>
      </c>
      <c r="T2757">
        <v>0</v>
      </c>
      <c r="AC2757">
        <v>1</v>
      </c>
    </row>
    <row r="2758" spans="1:29" ht="30" customHeight="1" x14ac:dyDescent="0.3">
      <c r="A2758" s="8" t="s">
        <v>2290</v>
      </c>
      <c r="B2758" s="8" t="s">
        <v>987</v>
      </c>
      <c r="C2758" s="8" t="s">
        <v>694</v>
      </c>
      <c r="D2758" s="8" t="s">
        <v>988</v>
      </c>
      <c r="E2758" s="8" t="s">
        <v>179</v>
      </c>
      <c r="F2758" s="9">
        <v>36</v>
      </c>
      <c r="G2758" s="5">
        <f>TRUNC([1]단가대비표!O349,0)</f>
        <v>2920</v>
      </c>
      <c r="H2758" s="5">
        <f t="shared" si="253"/>
        <v>105120</v>
      </c>
      <c r="I2758" s="5">
        <v>0</v>
      </c>
      <c r="J2758" s="5">
        <f t="shared" si="254"/>
        <v>0</v>
      </c>
      <c r="K2758" s="5">
        <v>0</v>
      </c>
      <c r="L2758" s="5">
        <f t="shared" si="255"/>
        <v>0</v>
      </c>
      <c r="M2758" s="5">
        <f t="shared" si="256"/>
        <v>2920</v>
      </c>
      <c r="N2758" s="5">
        <f t="shared" si="256"/>
        <v>105120</v>
      </c>
      <c r="O2758" s="8" t="s">
        <v>20</v>
      </c>
      <c r="T2758">
        <v>0</v>
      </c>
      <c r="AC2758">
        <v>1</v>
      </c>
    </row>
    <row r="2759" spans="1:29" ht="30" customHeight="1" x14ac:dyDescent="0.3">
      <c r="A2759" s="8" t="s">
        <v>2290</v>
      </c>
      <c r="B2759" s="8" t="s">
        <v>993</v>
      </c>
      <c r="C2759" s="8" t="s">
        <v>694</v>
      </c>
      <c r="D2759" s="8" t="s">
        <v>994</v>
      </c>
      <c r="E2759" s="8" t="s">
        <v>179</v>
      </c>
      <c r="F2759" s="9">
        <v>18</v>
      </c>
      <c r="G2759" s="5">
        <f>TRUNC([1]단가대비표!O352,0)</f>
        <v>5780</v>
      </c>
      <c r="H2759" s="5">
        <f t="shared" si="253"/>
        <v>104040</v>
      </c>
      <c r="I2759" s="5">
        <v>0</v>
      </c>
      <c r="J2759" s="5">
        <f t="shared" si="254"/>
        <v>0</v>
      </c>
      <c r="K2759" s="5">
        <v>0</v>
      </c>
      <c r="L2759" s="5">
        <f t="shared" si="255"/>
        <v>0</v>
      </c>
      <c r="M2759" s="5">
        <f t="shared" si="256"/>
        <v>5780</v>
      </c>
      <c r="N2759" s="5">
        <f t="shared" si="256"/>
        <v>104040</v>
      </c>
      <c r="O2759" s="8" t="s">
        <v>20</v>
      </c>
      <c r="T2759">
        <v>0</v>
      </c>
      <c r="AC2759">
        <v>1</v>
      </c>
    </row>
    <row r="2760" spans="1:29" ht="30" customHeight="1" x14ac:dyDescent="0.3">
      <c r="A2760" s="8" t="s">
        <v>2290</v>
      </c>
      <c r="B2760" s="8" t="s">
        <v>995</v>
      </c>
      <c r="C2760" s="8" t="s">
        <v>694</v>
      </c>
      <c r="D2760" s="8" t="s">
        <v>996</v>
      </c>
      <c r="E2760" s="8" t="s">
        <v>179</v>
      </c>
      <c r="F2760" s="9">
        <v>58</v>
      </c>
      <c r="G2760" s="5">
        <f>TRUNC([1]단가대비표!O353,0)</f>
        <v>6500</v>
      </c>
      <c r="H2760" s="5">
        <f t="shared" si="253"/>
        <v>377000</v>
      </c>
      <c r="I2760" s="5">
        <v>0</v>
      </c>
      <c r="J2760" s="5">
        <f t="shared" si="254"/>
        <v>0</v>
      </c>
      <c r="K2760" s="5">
        <v>0</v>
      </c>
      <c r="L2760" s="5">
        <f t="shared" si="255"/>
        <v>0</v>
      </c>
      <c r="M2760" s="5">
        <f t="shared" si="256"/>
        <v>6500</v>
      </c>
      <c r="N2760" s="5">
        <f t="shared" si="256"/>
        <v>377000</v>
      </c>
      <c r="O2760" s="8" t="s">
        <v>20</v>
      </c>
      <c r="T2760">
        <v>0</v>
      </c>
      <c r="AC2760">
        <v>1</v>
      </c>
    </row>
    <row r="2761" spans="1:29" ht="30" customHeight="1" x14ac:dyDescent="0.3">
      <c r="A2761" s="8" t="s">
        <v>2290</v>
      </c>
      <c r="B2761" s="8" t="s">
        <v>2202</v>
      </c>
      <c r="C2761" s="8" t="s">
        <v>694</v>
      </c>
      <c r="D2761" s="8" t="s">
        <v>2203</v>
      </c>
      <c r="E2761" s="8" t="s">
        <v>179</v>
      </c>
      <c r="F2761" s="9">
        <v>1</v>
      </c>
      <c r="G2761" s="5">
        <f>TRUNC([1]단가대비표!O354,0)</f>
        <v>8300</v>
      </c>
      <c r="H2761" s="5">
        <f t="shared" si="253"/>
        <v>8300</v>
      </c>
      <c r="I2761" s="5">
        <v>0</v>
      </c>
      <c r="J2761" s="5">
        <f t="shared" si="254"/>
        <v>0</v>
      </c>
      <c r="K2761" s="5">
        <v>0</v>
      </c>
      <c r="L2761" s="5">
        <f t="shared" si="255"/>
        <v>0</v>
      </c>
      <c r="M2761" s="5">
        <f t="shared" si="256"/>
        <v>8300</v>
      </c>
      <c r="N2761" s="5">
        <f t="shared" si="256"/>
        <v>8300</v>
      </c>
      <c r="O2761" s="8" t="s">
        <v>20</v>
      </c>
      <c r="T2761">
        <v>0</v>
      </c>
      <c r="AC2761">
        <v>1</v>
      </c>
    </row>
    <row r="2762" spans="1:29" ht="30" customHeight="1" x14ac:dyDescent="0.3">
      <c r="A2762" s="8" t="s">
        <v>2290</v>
      </c>
      <c r="B2762" s="8" t="s">
        <v>997</v>
      </c>
      <c r="C2762" s="8" t="s">
        <v>694</v>
      </c>
      <c r="D2762" s="8" t="s">
        <v>998</v>
      </c>
      <c r="E2762" s="8" t="s">
        <v>179</v>
      </c>
      <c r="F2762" s="9">
        <v>1</v>
      </c>
      <c r="G2762" s="5">
        <f>TRUNC([1]단가대비표!O356,0)</f>
        <v>12210</v>
      </c>
      <c r="H2762" s="5">
        <f t="shared" si="253"/>
        <v>12210</v>
      </c>
      <c r="I2762" s="5">
        <v>0</v>
      </c>
      <c r="J2762" s="5">
        <f t="shared" si="254"/>
        <v>0</v>
      </c>
      <c r="K2762" s="5">
        <v>0</v>
      </c>
      <c r="L2762" s="5">
        <f t="shared" si="255"/>
        <v>0</v>
      </c>
      <c r="M2762" s="5">
        <f t="shared" si="256"/>
        <v>12210</v>
      </c>
      <c r="N2762" s="5">
        <f t="shared" si="256"/>
        <v>12210</v>
      </c>
      <c r="O2762" s="8" t="s">
        <v>20</v>
      </c>
      <c r="T2762">
        <v>0</v>
      </c>
      <c r="AC2762">
        <v>1</v>
      </c>
    </row>
    <row r="2763" spans="1:29" ht="30" customHeight="1" x14ac:dyDescent="0.3">
      <c r="A2763" s="8" t="s">
        <v>2290</v>
      </c>
      <c r="B2763" s="8" t="s">
        <v>1001</v>
      </c>
      <c r="C2763" s="8" t="s">
        <v>694</v>
      </c>
      <c r="D2763" s="8" t="s">
        <v>1002</v>
      </c>
      <c r="E2763" s="8" t="s">
        <v>179</v>
      </c>
      <c r="F2763" s="9">
        <v>1</v>
      </c>
      <c r="G2763" s="5">
        <f>TRUNC([1]단가대비표!O355,0)</f>
        <v>12690</v>
      </c>
      <c r="H2763" s="5">
        <f t="shared" si="253"/>
        <v>12690</v>
      </c>
      <c r="I2763" s="5">
        <v>0</v>
      </c>
      <c r="J2763" s="5">
        <f t="shared" si="254"/>
        <v>0</v>
      </c>
      <c r="K2763" s="5">
        <v>0</v>
      </c>
      <c r="L2763" s="5">
        <f t="shared" si="255"/>
        <v>0</v>
      </c>
      <c r="M2763" s="5">
        <f t="shared" si="256"/>
        <v>12690</v>
      </c>
      <c r="N2763" s="5">
        <f t="shared" si="256"/>
        <v>12690</v>
      </c>
      <c r="O2763" s="8" t="s">
        <v>20</v>
      </c>
      <c r="T2763">
        <v>0</v>
      </c>
      <c r="AC2763">
        <v>1</v>
      </c>
    </row>
    <row r="2764" spans="1:29" ht="30" customHeight="1" x14ac:dyDescent="0.3">
      <c r="A2764" s="8" t="s">
        <v>2290</v>
      </c>
      <c r="B2764" s="8" t="s">
        <v>1003</v>
      </c>
      <c r="C2764" s="8" t="s">
        <v>694</v>
      </c>
      <c r="D2764" s="8" t="s">
        <v>1004</v>
      </c>
      <c r="E2764" s="8" t="s">
        <v>179</v>
      </c>
      <c r="F2764" s="9">
        <v>4</v>
      </c>
      <c r="G2764" s="5">
        <f>TRUNC([1]단가대비표!O374,0)</f>
        <v>14650</v>
      </c>
      <c r="H2764" s="5">
        <f t="shared" si="253"/>
        <v>58600</v>
      </c>
      <c r="I2764" s="5">
        <v>0</v>
      </c>
      <c r="J2764" s="5">
        <f t="shared" si="254"/>
        <v>0</v>
      </c>
      <c r="K2764" s="5">
        <v>0</v>
      </c>
      <c r="L2764" s="5">
        <f t="shared" si="255"/>
        <v>0</v>
      </c>
      <c r="M2764" s="5">
        <f t="shared" si="256"/>
        <v>14650</v>
      </c>
      <c r="N2764" s="5">
        <f t="shared" si="256"/>
        <v>58600</v>
      </c>
      <c r="O2764" s="8" t="s">
        <v>20</v>
      </c>
      <c r="T2764">
        <v>0</v>
      </c>
      <c r="AC2764">
        <v>1</v>
      </c>
    </row>
    <row r="2765" spans="1:29" ht="30" customHeight="1" x14ac:dyDescent="0.3">
      <c r="A2765" s="8" t="s">
        <v>2290</v>
      </c>
      <c r="B2765" s="8" t="s">
        <v>1005</v>
      </c>
      <c r="C2765" s="8" t="s">
        <v>694</v>
      </c>
      <c r="D2765" s="8" t="s">
        <v>1006</v>
      </c>
      <c r="E2765" s="8" t="s">
        <v>179</v>
      </c>
      <c r="F2765" s="9">
        <v>4</v>
      </c>
      <c r="G2765" s="5">
        <f>TRUNC([1]단가대비표!O357,0)</f>
        <v>3210</v>
      </c>
      <c r="H2765" s="5">
        <f t="shared" si="253"/>
        <v>12840</v>
      </c>
      <c r="I2765" s="5">
        <v>0</v>
      </c>
      <c r="J2765" s="5">
        <f t="shared" si="254"/>
        <v>0</v>
      </c>
      <c r="K2765" s="5">
        <v>0</v>
      </c>
      <c r="L2765" s="5">
        <f t="shared" si="255"/>
        <v>0</v>
      </c>
      <c r="M2765" s="5">
        <f t="shared" si="256"/>
        <v>3210</v>
      </c>
      <c r="N2765" s="5">
        <f t="shared" si="256"/>
        <v>12840</v>
      </c>
      <c r="O2765" s="8" t="s">
        <v>20</v>
      </c>
      <c r="T2765">
        <v>0</v>
      </c>
      <c r="AC2765">
        <v>1</v>
      </c>
    </row>
    <row r="2766" spans="1:29" ht="30" customHeight="1" x14ac:dyDescent="0.3">
      <c r="A2766" s="8" t="s">
        <v>2290</v>
      </c>
      <c r="B2766" s="8" t="s">
        <v>1009</v>
      </c>
      <c r="C2766" s="8" t="s">
        <v>694</v>
      </c>
      <c r="D2766" s="8" t="s">
        <v>1010</v>
      </c>
      <c r="E2766" s="8" t="s">
        <v>179</v>
      </c>
      <c r="F2766" s="9">
        <v>1</v>
      </c>
      <c r="G2766" s="5">
        <f>TRUNC([1]단가대비표!O359,0)</f>
        <v>5750</v>
      </c>
      <c r="H2766" s="5">
        <f t="shared" si="253"/>
        <v>5750</v>
      </c>
      <c r="I2766" s="5">
        <v>0</v>
      </c>
      <c r="J2766" s="5">
        <f t="shared" si="254"/>
        <v>0</v>
      </c>
      <c r="K2766" s="5">
        <v>0</v>
      </c>
      <c r="L2766" s="5">
        <f t="shared" si="255"/>
        <v>0</v>
      </c>
      <c r="M2766" s="5">
        <f t="shared" si="256"/>
        <v>5750</v>
      </c>
      <c r="N2766" s="5">
        <f t="shared" si="256"/>
        <v>5750</v>
      </c>
      <c r="O2766" s="8" t="s">
        <v>20</v>
      </c>
      <c r="T2766">
        <v>0</v>
      </c>
      <c r="AC2766">
        <v>1</v>
      </c>
    </row>
    <row r="2767" spans="1:29" ht="30" customHeight="1" x14ac:dyDescent="0.3">
      <c r="A2767" s="8" t="s">
        <v>2290</v>
      </c>
      <c r="B2767" s="8" t="s">
        <v>1011</v>
      </c>
      <c r="C2767" s="8" t="s">
        <v>694</v>
      </c>
      <c r="D2767" s="8" t="s">
        <v>1012</v>
      </c>
      <c r="E2767" s="8" t="s">
        <v>179</v>
      </c>
      <c r="F2767" s="9">
        <v>3</v>
      </c>
      <c r="G2767" s="5">
        <f>TRUNC([1]단가대비표!O360,0)</f>
        <v>8300</v>
      </c>
      <c r="H2767" s="5">
        <f t="shared" si="253"/>
        <v>24900</v>
      </c>
      <c r="I2767" s="5">
        <v>0</v>
      </c>
      <c r="J2767" s="5">
        <f t="shared" si="254"/>
        <v>0</v>
      </c>
      <c r="K2767" s="5">
        <v>0</v>
      </c>
      <c r="L2767" s="5">
        <f t="shared" si="255"/>
        <v>0</v>
      </c>
      <c r="M2767" s="5">
        <f t="shared" ref="M2767:N2803" si="257">G2767+I2767+K2767</f>
        <v>8300</v>
      </c>
      <c r="N2767" s="5">
        <f t="shared" si="257"/>
        <v>24900</v>
      </c>
      <c r="O2767" s="8" t="s">
        <v>20</v>
      </c>
      <c r="T2767">
        <v>0</v>
      </c>
      <c r="AC2767">
        <v>1</v>
      </c>
    </row>
    <row r="2768" spans="1:29" ht="30" customHeight="1" x14ac:dyDescent="0.3">
      <c r="A2768" s="8" t="s">
        <v>2290</v>
      </c>
      <c r="B2768" s="8" t="s">
        <v>1013</v>
      </c>
      <c r="C2768" s="8" t="s">
        <v>694</v>
      </c>
      <c r="D2768" s="8" t="s">
        <v>1014</v>
      </c>
      <c r="E2768" s="8" t="s">
        <v>179</v>
      </c>
      <c r="F2768" s="9">
        <v>1</v>
      </c>
      <c r="G2768" s="5">
        <f>TRUNC([1]단가대비표!O385,0)</f>
        <v>12690</v>
      </c>
      <c r="H2768" s="5">
        <f t="shared" si="253"/>
        <v>12690</v>
      </c>
      <c r="I2768" s="5">
        <v>0</v>
      </c>
      <c r="J2768" s="5">
        <f t="shared" si="254"/>
        <v>0</v>
      </c>
      <c r="K2768" s="5">
        <v>0</v>
      </c>
      <c r="L2768" s="5">
        <f t="shared" si="255"/>
        <v>0</v>
      </c>
      <c r="M2768" s="5">
        <f t="shared" si="257"/>
        <v>12690</v>
      </c>
      <c r="N2768" s="5">
        <f t="shared" si="257"/>
        <v>12690</v>
      </c>
      <c r="O2768" s="8" t="s">
        <v>20</v>
      </c>
      <c r="T2768">
        <v>0</v>
      </c>
      <c r="AC2768">
        <v>1</v>
      </c>
    </row>
    <row r="2769" spans="1:29" ht="30" customHeight="1" x14ac:dyDescent="0.3">
      <c r="A2769" s="8" t="s">
        <v>2290</v>
      </c>
      <c r="B2769" s="8" t="s">
        <v>1015</v>
      </c>
      <c r="C2769" s="8" t="s">
        <v>694</v>
      </c>
      <c r="D2769" s="8" t="s">
        <v>1016</v>
      </c>
      <c r="E2769" s="8" t="s">
        <v>179</v>
      </c>
      <c r="F2769" s="9">
        <v>3</v>
      </c>
      <c r="G2769" s="5">
        <f>TRUNC([1]단가대비표!O361,0)</f>
        <v>13680</v>
      </c>
      <c r="H2769" s="5">
        <f t="shared" si="253"/>
        <v>41040</v>
      </c>
      <c r="I2769" s="5">
        <v>0</v>
      </c>
      <c r="J2769" s="5">
        <f t="shared" si="254"/>
        <v>0</v>
      </c>
      <c r="K2769" s="5">
        <v>0</v>
      </c>
      <c r="L2769" s="5">
        <f t="shared" si="255"/>
        <v>0</v>
      </c>
      <c r="M2769" s="5">
        <f t="shared" si="257"/>
        <v>13680</v>
      </c>
      <c r="N2769" s="5">
        <f t="shared" si="257"/>
        <v>41040</v>
      </c>
      <c r="O2769" s="8" t="s">
        <v>20</v>
      </c>
      <c r="T2769">
        <v>0</v>
      </c>
      <c r="AC2769">
        <v>1</v>
      </c>
    </row>
    <row r="2770" spans="1:29" ht="30" customHeight="1" x14ac:dyDescent="0.3">
      <c r="A2770" s="8" t="s">
        <v>2290</v>
      </c>
      <c r="B2770" s="8" t="s">
        <v>1017</v>
      </c>
      <c r="C2770" s="8" t="s">
        <v>694</v>
      </c>
      <c r="D2770" s="8" t="s">
        <v>1018</v>
      </c>
      <c r="E2770" s="8" t="s">
        <v>179</v>
      </c>
      <c r="F2770" s="9">
        <v>3</v>
      </c>
      <c r="G2770" s="5">
        <f>TRUNC([1]단가대비표!O362,0)</f>
        <v>1980</v>
      </c>
      <c r="H2770" s="5">
        <f t="shared" si="253"/>
        <v>5940</v>
      </c>
      <c r="I2770" s="5">
        <v>0</v>
      </c>
      <c r="J2770" s="5">
        <f t="shared" si="254"/>
        <v>0</v>
      </c>
      <c r="K2770" s="5">
        <v>0</v>
      </c>
      <c r="L2770" s="5">
        <f t="shared" si="255"/>
        <v>0</v>
      </c>
      <c r="M2770" s="5">
        <f t="shared" si="257"/>
        <v>1980</v>
      </c>
      <c r="N2770" s="5">
        <f t="shared" si="257"/>
        <v>5940</v>
      </c>
      <c r="O2770" s="8" t="s">
        <v>20</v>
      </c>
      <c r="T2770">
        <v>0</v>
      </c>
      <c r="AC2770">
        <v>1</v>
      </c>
    </row>
    <row r="2771" spans="1:29" ht="30" customHeight="1" x14ac:dyDescent="0.3">
      <c r="A2771" s="8" t="s">
        <v>2290</v>
      </c>
      <c r="B2771" s="8" t="s">
        <v>1021</v>
      </c>
      <c r="C2771" s="8" t="s">
        <v>694</v>
      </c>
      <c r="D2771" s="8" t="s">
        <v>1022</v>
      </c>
      <c r="E2771" s="8" t="s">
        <v>179</v>
      </c>
      <c r="F2771" s="9">
        <v>9</v>
      </c>
      <c r="G2771" s="5">
        <f>TRUNC([1]단가대비표!O364,0)</f>
        <v>5130</v>
      </c>
      <c r="H2771" s="5">
        <f t="shared" si="253"/>
        <v>46170</v>
      </c>
      <c r="I2771" s="5">
        <v>0</v>
      </c>
      <c r="J2771" s="5">
        <f t="shared" si="254"/>
        <v>0</v>
      </c>
      <c r="K2771" s="5">
        <v>0</v>
      </c>
      <c r="L2771" s="5">
        <f t="shared" si="255"/>
        <v>0</v>
      </c>
      <c r="M2771" s="5">
        <f t="shared" si="257"/>
        <v>5130</v>
      </c>
      <c r="N2771" s="5">
        <f t="shared" si="257"/>
        <v>46170</v>
      </c>
      <c r="O2771" s="8" t="s">
        <v>20</v>
      </c>
      <c r="T2771">
        <v>0</v>
      </c>
      <c r="AC2771">
        <v>1</v>
      </c>
    </row>
    <row r="2772" spans="1:29" ht="30" customHeight="1" x14ac:dyDescent="0.3">
      <c r="A2772" s="8" t="s">
        <v>2290</v>
      </c>
      <c r="B2772" s="8" t="s">
        <v>1023</v>
      </c>
      <c r="C2772" s="8" t="s">
        <v>694</v>
      </c>
      <c r="D2772" s="8" t="s">
        <v>1024</v>
      </c>
      <c r="E2772" s="8" t="s">
        <v>179</v>
      </c>
      <c r="F2772" s="9">
        <v>4</v>
      </c>
      <c r="G2772" s="5">
        <f>TRUNC([1]단가대비표!O365,0)</f>
        <v>8390</v>
      </c>
      <c r="H2772" s="5">
        <f t="shared" si="253"/>
        <v>33560</v>
      </c>
      <c r="I2772" s="5">
        <v>0</v>
      </c>
      <c r="J2772" s="5">
        <f t="shared" si="254"/>
        <v>0</v>
      </c>
      <c r="K2772" s="5">
        <v>0</v>
      </c>
      <c r="L2772" s="5">
        <f t="shared" si="255"/>
        <v>0</v>
      </c>
      <c r="M2772" s="5">
        <f t="shared" si="257"/>
        <v>8390</v>
      </c>
      <c r="N2772" s="5">
        <f t="shared" si="257"/>
        <v>33560</v>
      </c>
      <c r="O2772" s="8" t="s">
        <v>20</v>
      </c>
      <c r="T2772">
        <v>0</v>
      </c>
      <c r="AC2772">
        <v>1</v>
      </c>
    </row>
    <row r="2773" spans="1:29" ht="30" customHeight="1" x14ac:dyDescent="0.3">
      <c r="A2773" s="8" t="s">
        <v>2290</v>
      </c>
      <c r="B2773" s="8" t="s">
        <v>1025</v>
      </c>
      <c r="C2773" s="8" t="s">
        <v>694</v>
      </c>
      <c r="D2773" s="8" t="s">
        <v>1026</v>
      </c>
      <c r="E2773" s="8" t="s">
        <v>179</v>
      </c>
      <c r="F2773" s="9">
        <v>18</v>
      </c>
      <c r="G2773" s="5">
        <f>TRUNC([1]단가대비표!O366,0)</f>
        <v>1740</v>
      </c>
      <c r="H2773" s="5">
        <f t="shared" si="253"/>
        <v>31320</v>
      </c>
      <c r="I2773" s="5">
        <v>0</v>
      </c>
      <c r="J2773" s="5">
        <f t="shared" si="254"/>
        <v>0</v>
      </c>
      <c r="K2773" s="5">
        <v>0</v>
      </c>
      <c r="L2773" s="5">
        <f t="shared" si="255"/>
        <v>0</v>
      </c>
      <c r="M2773" s="5">
        <f t="shared" si="257"/>
        <v>1740</v>
      </c>
      <c r="N2773" s="5">
        <f t="shared" si="257"/>
        <v>31320</v>
      </c>
      <c r="O2773" s="8" t="s">
        <v>20</v>
      </c>
      <c r="T2773">
        <v>0</v>
      </c>
      <c r="AC2773">
        <v>1</v>
      </c>
    </row>
    <row r="2774" spans="1:29" ht="30" customHeight="1" x14ac:dyDescent="0.3">
      <c r="A2774" s="8" t="s">
        <v>2290</v>
      </c>
      <c r="B2774" s="8" t="s">
        <v>1031</v>
      </c>
      <c r="C2774" s="8" t="s">
        <v>694</v>
      </c>
      <c r="D2774" s="8" t="s">
        <v>1032</v>
      </c>
      <c r="E2774" s="8" t="s">
        <v>179</v>
      </c>
      <c r="F2774" s="9">
        <v>18</v>
      </c>
      <c r="G2774" s="5">
        <f>TRUNC([1]단가대비표!O370,0)</f>
        <v>4810</v>
      </c>
      <c r="H2774" s="5">
        <f t="shared" si="253"/>
        <v>86580</v>
      </c>
      <c r="I2774" s="5">
        <v>0</v>
      </c>
      <c r="J2774" s="5">
        <f t="shared" si="254"/>
        <v>0</v>
      </c>
      <c r="K2774" s="5">
        <v>0</v>
      </c>
      <c r="L2774" s="5">
        <f t="shared" si="255"/>
        <v>0</v>
      </c>
      <c r="M2774" s="5">
        <f t="shared" si="257"/>
        <v>4810</v>
      </c>
      <c r="N2774" s="5">
        <f t="shared" si="257"/>
        <v>86580</v>
      </c>
      <c r="O2774" s="8" t="s">
        <v>20</v>
      </c>
      <c r="T2774">
        <v>0</v>
      </c>
      <c r="AC2774">
        <v>1</v>
      </c>
    </row>
    <row r="2775" spans="1:29" ht="30" customHeight="1" x14ac:dyDescent="0.3">
      <c r="A2775" s="8" t="s">
        <v>2290</v>
      </c>
      <c r="B2775" s="8" t="s">
        <v>1037</v>
      </c>
      <c r="C2775" s="8" t="s">
        <v>694</v>
      </c>
      <c r="D2775" s="8" t="s">
        <v>1038</v>
      </c>
      <c r="E2775" s="8" t="s">
        <v>179</v>
      </c>
      <c r="F2775" s="9">
        <v>18</v>
      </c>
      <c r="G2775" s="5">
        <f>TRUNC([1]단가대비표!O375,0)</f>
        <v>820</v>
      </c>
      <c r="H2775" s="5">
        <f t="shared" si="253"/>
        <v>14760</v>
      </c>
      <c r="I2775" s="5">
        <v>0</v>
      </c>
      <c r="J2775" s="5">
        <f t="shared" si="254"/>
        <v>0</v>
      </c>
      <c r="K2775" s="5">
        <v>0</v>
      </c>
      <c r="L2775" s="5">
        <f t="shared" si="255"/>
        <v>0</v>
      </c>
      <c r="M2775" s="5">
        <f t="shared" si="257"/>
        <v>820</v>
      </c>
      <c r="N2775" s="5">
        <f t="shared" si="257"/>
        <v>14760</v>
      </c>
      <c r="O2775" s="8" t="s">
        <v>20</v>
      </c>
      <c r="T2775">
        <v>0</v>
      </c>
      <c r="AC2775">
        <v>1</v>
      </c>
    </row>
    <row r="2776" spans="1:29" ht="30" customHeight="1" x14ac:dyDescent="0.3">
      <c r="A2776" s="8" t="s">
        <v>2290</v>
      </c>
      <c r="B2776" s="8" t="s">
        <v>1041</v>
      </c>
      <c r="C2776" s="8" t="s">
        <v>694</v>
      </c>
      <c r="D2776" s="8" t="s">
        <v>1042</v>
      </c>
      <c r="E2776" s="8" t="s">
        <v>179</v>
      </c>
      <c r="F2776" s="9">
        <v>47</v>
      </c>
      <c r="G2776" s="5">
        <f>TRUNC([1]단가대비표!O377,0)</f>
        <v>2000</v>
      </c>
      <c r="H2776" s="5">
        <f t="shared" si="253"/>
        <v>94000</v>
      </c>
      <c r="I2776" s="5">
        <v>0</v>
      </c>
      <c r="J2776" s="5">
        <f t="shared" si="254"/>
        <v>0</v>
      </c>
      <c r="K2776" s="5">
        <v>0</v>
      </c>
      <c r="L2776" s="5">
        <f t="shared" si="255"/>
        <v>0</v>
      </c>
      <c r="M2776" s="5">
        <f t="shared" si="257"/>
        <v>2000</v>
      </c>
      <c r="N2776" s="5">
        <f t="shared" si="257"/>
        <v>94000</v>
      </c>
      <c r="O2776" s="8" t="s">
        <v>20</v>
      </c>
      <c r="T2776">
        <v>0</v>
      </c>
      <c r="AC2776">
        <v>1</v>
      </c>
    </row>
    <row r="2777" spans="1:29" ht="30" customHeight="1" x14ac:dyDescent="0.3">
      <c r="A2777" s="8" t="s">
        <v>2290</v>
      </c>
      <c r="B2777" s="8" t="s">
        <v>1043</v>
      </c>
      <c r="C2777" s="8" t="s">
        <v>694</v>
      </c>
      <c r="D2777" s="8" t="s">
        <v>1044</v>
      </c>
      <c r="E2777" s="8" t="s">
        <v>179</v>
      </c>
      <c r="F2777" s="9">
        <v>4</v>
      </c>
      <c r="G2777" s="5">
        <f>TRUNC([1]단가대비표!O378,0)</f>
        <v>3500</v>
      </c>
      <c r="H2777" s="5">
        <f t="shared" si="253"/>
        <v>14000</v>
      </c>
      <c r="I2777" s="5">
        <v>0</v>
      </c>
      <c r="J2777" s="5">
        <f t="shared" si="254"/>
        <v>0</v>
      </c>
      <c r="K2777" s="5">
        <v>0</v>
      </c>
      <c r="L2777" s="5">
        <f t="shared" si="255"/>
        <v>0</v>
      </c>
      <c r="M2777" s="5">
        <f t="shared" si="257"/>
        <v>3500</v>
      </c>
      <c r="N2777" s="5">
        <f t="shared" si="257"/>
        <v>14000</v>
      </c>
      <c r="O2777" s="8" t="s">
        <v>20</v>
      </c>
      <c r="T2777">
        <v>0</v>
      </c>
      <c r="AC2777">
        <v>1</v>
      </c>
    </row>
    <row r="2778" spans="1:29" ht="30" customHeight="1" x14ac:dyDescent="0.3">
      <c r="A2778" s="8" t="s">
        <v>2290</v>
      </c>
      <c r="B2778" s="8" t="s">
        <v>1045</v>
      </c>
      <c r="C2778" s="8" t="s">
        <v>694</v>
      </c>
      <c r="D2778" s="8" t="s">
        <v>1046</v>
      </c>
      <c r="E2778" s="8" t="s">
        <v>179</v>
      </c>
      <c r="F2778" s="9">
        <v>1</v>
      </c>
      <c r="G2778" s="5">
        <f>TRUNC([1]단가대비표!O398,0)</f>
        <v>7672</v>
      </c>
      <c r="H2778" s="5">
        <f t="shared" si="253"/>
        <v>7672</v>
      </c>
      <c r="I2778" s="5">
        <v>0</v>
      </c>
      <c r="J2778" s="5">
        <f t="shared" si="254"/>
        <v>0</v>
      </c>
      <c r="K2778" s="5">
        <v>0</v>
      </c>
      <c r="L2778" s="5">
        <f t="shared" si="255"/>
        <v>0</v>
      </c>
      <c r="M2778" s="5">
        <f t="shared" si="257"/>
        <v>7672</v>
      </c>
      <c r="N2778" s="5">
        <f t="shared" si="257"/>
        <v>7672</v>
      </c>
      <c r="O2778" s="8" t="s">
        <v>20</v>
      </c>
      <c r="T2778">
        <v>0</v>
      </c>
      <c r="AC2778">
        <v>1</v>
      </c>
    </row>
    <row r="2779" spans="1:29" ht="30" customHeight="1" x14ac:dyDescent="0.3">
      <c r="A2779" s="8" t="s">
        <v>2290</v>
      </c>
      <c r="B2779" s="8" t="s">
        <v>1056</v>
      </c>
      <c r="C2779" s="8" t="s">
        <v>1057</v>
      </c>
      <c r="D2779" s="8" t="s">
        <v>346</v>
      </c>
      <c r="E2779" s="8" t="s">
        <v>185</v>
      </c>
      <c r="F2779" s="9">
        <v>66</v>
      </c>
      <c r="G2779" s="5" t="e">
        <f>'[2].xls].xls].xls].xls].xls].xls].xls].'!E39</f>
        <v>#REF!</v>
      </c>
      <c r="H2779" s="5" t="e">
        <f t="shared" si="253"/>
        <v>#REF!</v>
      </c>
      <c r="I2779" s="5" t="e">
        <f>'[2].xls].xls].xls].xls].xls].xls].xls].'!F39</f>
        <v>#REF!</v>
      </c>
      <c r="J2779" s="5" t="e">
        <f t="shared" si="254"/>
        <v>#REF!</v>
      </c>
      <c r="K2779" s="5" t="e">
        <f>'[2].xls].xls].xls].xls].xls].xls].xls].'!G39</f>
        <v>#REF!</v>
      </c>
      <c r="L2779" s="5" t="e">
        <f t="shared" si="255"/>
        <v>#REF!</v>
      </c>
      <c r="M2779" s="5" t="e">
        <f t="shared" si="257"/>
        <v>#REF!</v>
      </c>
      <c r="N2779" s="5" t="e">
        <f t="shared" si="257"/>
        <v>#REF!</v>
      </c>
      <c r="O2779" s="8" t="s">
        <v>1056</v>
      </c>
      <c r="T2779">
        <v>0</v>
      </c>
      <c r="AC2779">
        <v>1</v>
      </c>
    </row>
    <row r="2780" spans="1:29" ht="30" customHeight="1" x14ac:dyDescent="0.3">
      <c r="A2780" s="8" t="s">
        <v>2290</v>
      </c>
      <c r="B2780" s="8" t="s">
        <v>1059</v>
      </c>
      <c r="C2780" s="8" t="s">
        <v>1057</v>
      </c>
      <c r="D2780" s="8" t="s">
        <v>348</v>
      </c>
      <c r="E2780" s="8" t="s">
        <v>185</v>
      </c>
      <c r="F2780" s="9">
        <v>99</v>
      </c>
      <c r="G2780" s="5" t="e">
        <f>'[2].xls].xls].xls].xls].xls].xls].xls].'!E41</f>
        <v>#REF!</v>
      </c>
      <c r="H2780" s="5" t="e">
        <f t="shared" si="253"/>
        <v>#REF!</v>
      </c>
      <c r="I2780" s="5" t="e">
        <f>'[2].xls].xls].xls].xls].xls].xls].xls].'!F41</f>
        <v>#REF!</v>
      </c>
      <c r="J2780" s="5" t="e">
        <f t="shared" si="254"/>
        <v>#REF!</v>
      </c>
      <c r="K2780" s="5" t="e">
        <f>'[2].xls].xls].xls].xls].xls].xls].xls].'!G41</f>
        <v>#REF!</v>
      </c>
      <c r="L2780" s="5" t="e">
        <f t="shared" si="255"/>
        <v>#REF!</v>
      </c>
      <c r="M2780" s="5" t="e">
        <f t="shared" si="257"/>
        <v>#REF!</v>
      </c>
      <c r="N2780" s="5" t="e">
        <f t="shared" si="257"/>
        <v>#REF!</v>
      </c>
      <c r="O2780" s="8" t="s">
        <v>1059</v>
      </c>
      <c r="T2780">
        <v>0</v>
      </c>
      <c r="AC2780">
        <v>1</v>
      </c>
    </row>
    <row r="2781" spans="1:29" ht="30" customHeight="1" x14ac:dyDescent="0.3">
      <c r="A2781" s="8" t="s">
        <v>2290</v>
      </c>
      <c r="B2781" s="8" t="s">
        <v>1060</v>
      </c>
      <c r="C2781" s="8" t="s">
        <v>1057</v>
      </c>
      <c r="D2781" s="8" t="s">
        <v>350</v>
      </c>
      <c r="E2781" s="8" t="s">
        <v>185</v>
      </c>
      <c r="F2781" s="9">
        <v>3</v>
      </c>
      <c r="G2781" s="5" t="e">
        <f>'[2].xls].xls].xls].xls].xls].xls].xls].'!E42</f>
        <v>#REF!</v>
      </c>
      <c r="H2781" s="5" t="e">
        <f t="shared" si="253"/>
        <v>#REF!</v>
      </c>
      <c r="I2781" s="5" t="e">
        <f>'[2].xls].xls].xls].xls].xls].xls].xls].'!F42</f>
        <v>#REF!</v>
      </c>
      <c r="J2781" s="5" t="e">
        <f t="shared" si="254"/>
        <v>#REF!</v>
      </c>
      <c r="K2781" s="5" t="e">
        <f>'[2].xls].xls].xls].xls].xls].xls].xls].'!G42</f>
        <v>#REF!</v>
      </c>
      <c r="L2781" s="5" t="e">
        <f t="shared" si="255"/>
        <v>#REF!</v>
      </c>
      <c r="M2781" s="5" t="e">
        <f t="shared" si="257"/>
        <v>#REF!</v>
      </c>
      <c r="N2781" s="5" t="e">
        <f t="shared" si="257"/>
        <v>#REF!</v>
      </c>
      <c r="O2781" s="8" t="s">
        <v>1060</v>
      </c>
      <c r="T2781">
        <v>0</v>
      </c>
      <c r="AC2781">
        <v>1</v>
      </c>
    </row>
    <row r="2782" spans="1:29" ht="30" customHeight="1" x14ac:dyDescent="0.3">
      <c r="A2782" s="8" t="s">
        <v>2290</v>
      </c>
      <c r="B2782" s="8" t="s">
        <v>1063</v>
      </c>
      <c r="C2782" s="8" t="s">
        <v>494</v>
      </c>
      <c r="D2782" s="8" t="s">
        <v>1064</v>
      </c>
      <c r="E2782" s="8" t="s">
        <v>179</v>
      </c>
      <c r="F2782" s="9">
        <v>3</v>
      </c>
      <c r="G2782" s="5">
        <f>TRUNC([1]단가대비표!O571,0)</f>
        <v>280</v>
      </c>
      <c r="H2782" s="5">
        <f t="shared" si="253"/>
        <v>840</v>
      </c>
      <c r="I2782" s="5">
        <v>0</v>
      </c>
      <c r="J2782" s="5">
        <f t="shared" si="254"/>
        <v>0</v>
      </c>
      <c r="K2782" s="5">
        <v>0</v>
      </c>
      <c r="L2782" s="5">
        <f t="shared" si="255"/>
        <v>0</v>
      </c>
      <c r="M2782" s="5">
        <f t="shared" si="257"/>
        <v>280</v>
      </c>
      <c r="N2782" s="5">
        <f t="shared" si="257"/>
        <v>840</v>
      </c>
      <c r="O2782" s="8" t="s">
        <v>20</v>
      </c>
      <c r="T2782">
        <v>0</v>
      </c>
      <c r="AC2782">
        <v>1</v>
      </c>
    </row>
    <row r="2783" spans="1:29" ht="30" customHeight="1" x14ac:dyDescent="0.3">
      <c r="A2783" s="8" t="s">
        <v>2290</v>
      </c>
      <c r="B2783" s="8" t="s">
        <v>1065</v>
      </c>
      <c r="C2783" s="8" t="s">
        <v>494</v>
      </c>
      <c r="D2783" s="8" t="s">
        <v>1066</v>
      </c>
      <c r="E2783" s="8" t="s">
        <v>179</v>
      </c>
      <c r="F2783" s="9">
        <v>3</v>
      </c>
      <c r="G2783" s="5">
        <f>TRUNC([1]단가대비표!O572,0)</f>
        <v>440</v>
      </c>
      <c r="H2783" s="5">
        <f t="shared" si="253"/>
        <v>1320</v>
      </c>
      <c r="I2783" s="5">
        <v>0</v>
      </c>
      <c r="J2783" s="5">
        <f t="shared" si="254"/>
        <v>0</v>
      </c>
      <c r="K2783" s="5">
        <v>0</v>
      </c>
      <c r="L2783" s="5">
        <f t="shared" si="255"/>
        <v>0</v>
      </c>
      <c r="M2783" s="5">
        <f t="shared" si="257"/>
        <v>440</v>
      </c>
      <c r="N2783" s="5">
        <f t="shared" si="257"/>
        <v>1320</v>
      </c>
      <c r="O2783" s="8" t="s">
        <v>20</v>
      </c>
      <c r="T2783">
        <v>0</v>
      </c>
      <c r="AC2783">
        <v>1</v>
      </c>
    </row>
    <row r="2784" spans="1:29" ht="30" customHeight="1" x14ac:dyDescent="0.3">
      <c r="A2784" s="8" t="s">
        <v>2290</v>
      </c>
      <c r="B2784" s="8" t="s">
        <v>1067</v>
      </c>
      <c r="C2784" s="8" t="s">
        <v>494</v>
      </c>
      <c r="D2784" s="8" t="s">
        <v>1068</v>
      </c>
      <c r="E2784" s="8" t="s">
        <v>179</v>
      </c>
      <c r="F2784" s="9">
        <v>4</v>
      </c>
      <c r="G2784" s="5">
        <f>TRUNC([1]단가대비표!O573,0)</f>
        <v>540</v>
      </c>
      <c r="H2784" s="5">
        <f t="shared" si="253"/>
        <v>2160</v>
      </c>
      <c r="I2784" s="5">
        <v>0</v>
      </c>
      <c r="J2784" s="5">
        <f t="shared" si="254"/>
        <v>0</v>
      </c>
      <c r="K2784" s="5">
        <v>0</v>
      </c>
      <c r="L2784" s="5">
        <f t="shared" si="255"/>
        <v>0</v>
      </c>
      <c r="M2784" s="5">
        <f t="shared" si="257"/>
        <v>540</v>
      </c>
      <c r="N2784" s="5">
        <f t="shared" si="257"/>
        <v>2160</v>
      </c>
      <c r="O2784" s="8" t="s">
        <v>20</v>
      </c>
      <c r="T2784">
        <v>0</v>
      </c>
      <c r="AC2784">
        <v>1</v>
      </c>
    </row>
    <row r="2785" spans="1:29" ht="30" customHeight="1" x14ac:dyDescent="0.3">
      <c r="A2785" s="8" t="s">
        <v>2290</v>
      </c>
      <c r="B2785" s="8" t="s">
        <v>1074</v>
      </c>
      <c r="C2785" s="8" t="s">
        <v>528</v>
      </c>
      <c r="D2785" s="8" t="s">
        <v>348</v>
      </c>
      <c r="E2785" s="8" t="s">
        <v>185</v>
      </c>
      <c r="F2785" s="9">
        <v>2</v>
      </c>
      <c r="G2785" s="5" t="e">
        <f>'[2].xls].xls].xls].xls].xls].xls].xls].'!E61</f>
        <v>#REF!</v>
      </c>
      <c r="H2785" s="5" t="e">
        <f t="shared" si="253"/>
        <v>#REF!</v>
      </c>
      <c r="I2785" s="5" t="e">
        <f>'[2].xls].xls].xls].xls].xls].xls].xls].'!F61</f>
        <v>#REF!</v>
      </c>
      <c r="J2785" s="5" t="e">
        <f t="shared" si="254"/>
        <v>#REF!</v>
      </c>
      <c r="K2785" s="5" t="e">
        <f>'[2].xls].xls].xls].xls].xls].xls].xls].'!G61</f>
        <v>#REF!</v>
      </c>
      <c r="L2785" s="5" t="e">
        <f t="shared" si="255"/>
        <v>#REF!</v>
      </c>
      <c r="M2785" s="5" t="e">
        <f t="shared" si="257"/>
        <v>#REF!</v>
      </c>
      <c r="N2785" s="5" t="e">
        <f t="shared" si="257"/>
        <v>#REF!</v>
      </c>
      <c r="O2785" s="8" t="s">
        <v>1074</v>
      </c>
      <c r="T2785">
        <v>0</v>
      </c>
      <c r="AC2785">
        <v>1</v>
      </c>
    </row>
    <row r="2786" spans="1:29" ht="30" customHeight="1" x14ac:dyDescent="0.3">
      <c r="A2786" s="8" t="s">
        <v>2290</v>
      </c>
      <c r="B2786" s="8" t="s">
        <v>1075</v>
      </c>
      <c r="C2786" s="8" t="s">
        <v>528</v>
      </c>
      <c r="D2786" s="8" t="s">
        <v>350</v>
      </c>
      <c r="E2786" s="8" t="s">
        <v>185</v>
      </c>
      <c r="F2786" s="9">
        <v>1</v>
      </c>
      <c r="G2786" s="5" t="e">
        <f>'[2].xls].xls].xls].xls].xls].xls].xls].'!E62</f>
        <v>#REF!</v>
      </c>
      <c r="H2786" s="5" t="e">
        <f t="shared" si="253"/>
        <v>#REF!</v>
      </c>
      <c r="I2786" s="5" t="e">
        <f>'[2].xls].xls].xls].xls].xls].xls].xls].'!F62</f>
        <v>#REF!</v>
      </c>
      <c r="J2786" s="5" t="e">
        <f t="shared" si="254"/>
        <v>#REF!</v>
      </c>
      <c r="K2786" s="5" t="e">
        <f>'[2].xls].xls].xls].xls].xls].xls].xls].'!G62</f>
        <v>#REF!</v>
      </c>
      <c r="L2786" s="5" t="e">
        <f t="shared" si="255"/>
        <v>#REF!</v>
      </c>
      <c r="M2786" s="5" t="e">
        <f t="shared" si="257"/>
        <v>#REF!</v>
      </c>
      <c r="N2786" s="5" t="e">
        <f t="shared" si="257"/>
        <v>#REF!</v>
      </c>
      <c r="O2786" s="8" t="s">
        <v>1075</v>
      </c>
      <c r="T2786">
        <v>0</v>
      </c>
      <c r="AC2786">
        <v>1</v>
      </c>
    </row>
    <row r="2787" spans="1:29" ht="30" customHeight="1" x14ac:dyDescent="0.3">
      <c r="A2787" s="8" t="s">
        <v>2290</v>
      </c>
      <c r="B2787" s="8" t="s">
        <v>1078</v>
      </c>
      <c r="C2787" s="8" t="s">
        <v>1079</v>
      </c>
      <c r="D2787" s="8" t="s">
        <v>350</v>
      </c>
      <c r="E2787" s="8" t="s">
        <v>185</v>
      </c>
      <c r="F2787" s="9">
        <v>1</v>
      </c>
      <c r="G2787" s="5" t="e">
        <f>'[2].xls].xls].xls].xls].xls].xls].xls].'!E67</f>
        <v>#REF!</v>
      </c>
      <c r="H2787" s="5" t="e">
        <f t="shared" si="253"/>
        <v>#REF!</v>
      </c>
      <c r="I2787" s="5" t="e">
        <f>'[2].xls].xls].xls].xls].xls].xls].xls].'!F67</f>
        <v>#REF!</v>
      </c>
      <c r="J2787" s="5" t="e">
        <f t="shared" si="254"/>
        <v>#REF!</v>
      </c>
      <c r="K2787" s="5" t="e">
        <f>'[2].xls].xls].xls].xls].xls].xls].xls].'!G67</f>
        <v>#REF!</v>
      </c>
      <c r="L2787" s="5" t="e">
        <f t="shared" si="255"/>
        <v>#REF!</v>
      </c>
      <c r="M2787" s="5" t="e">
        <f t="shared" si="257"/>
        <v>#REF!</v>
      </c>
      <c r="N2787" s="5" t="e">
        <f t="shared" si="257"/>
        <v>#REF!</v>
      </c>
      <c r="O2787" s="8" t="s">
        <v>1078</v>
      </c>
      <c r="T2787">
        <v>0</v>
      </c>
      <c r="AC2787">
        <v>1</v>
      </c>
    </row>
    <row r="2788" spans="1:29" ht="30" customHeight="1" x14ac:dyDescent="0.3">
      <c r="A2788" s="8" t="s">
        <v>2290</v>
      </c>
      <c r="B2788" s="8" t="s">
        <v>1081</v>
      </c>
      <c r="C2788" s="8" t="s">
        <v>1082</v>
      </c>
      <c r="D2788" s="8" t="s">
        <v>346</v>
      </c>
      <c r="E2788" s="8" t="s">
        <v>185</v>
      </c>
      <c r="F2788" s="9">
        <v>18</v>
      </c>
      <c r="G2788" s="5">
        <f>TRUNC([1]단가대비표!O649,0)</f>
        <v>15689</v>
      </c>
      <c r="H2788" s="5">
        <f t="shared" si="253"/>
        <v>282402</v>
      </c>
      <c r="I2788" s="5">
        <v>0</v>
      </c>
      <c r="J2788" s="5">
        <f t="shared" si="254"/>
        <v>0</v>
      </c>
      <c r="K2788" s="5">
        <v>0</v>
      </c>
      <c r="L2788" s="5">
        <f t="shared" si="255"/>
        <v>0</v>
      </c>
      <c r="M2788" s="5">
        <f t="shared" si="257"/>
        <v>15689</v>
      </c>
      <c r="N2788" s="5">
        <f t="shared" si="257"/>
        <v>282402</v>
      </c>
      <c r="O2788" s="8" t="s">
        <v>20</v>
      </c>
      <c r="T2788">
        <v>0</v>
      </c>
      <c r="AC2788">
        <v>1</v>
      </c>
    </row>
    <row r="2789" spans="1:29" ht="30" customHeight="1" x14ac:dyDescent="0.3">
      <c r="A2789" s="8" t="s">
        <v>2290</v>
      </c>
      <c r="B2789" s="8" t="s">
        <v>1084</v>
      </c>
      <c r="C2789" s="8" t="s">
        <v>1082</v>
      </c>
      <c r="D2789" s="8" t="s">
        <v>348</v>
      </c>
      <c r="E2789" s="8" t="s">
        <v>185</v>
      </c>
      <c r="F2789" s="9">
        <v>26</v>
      </c>
      <c r="G2789" s="5">
        <f>TRUNC([1]단가대비표!O651,0)</f>
        <v>32530</v>
      </c>
      <c r="H2789" s="5">
        <f t="shared" si="253"/>
        <v>845780</v>
      </c>
      <c r="I2789" s="5">
        <v>0</v>
      </c>
      <c r="J2789" s="5">
        <f t="shared" si="254"/>
        <v>0</v>
      </c>
      <c r="K2789" s="5">
        <v>0</v>
      </c>
      <c r="L2789" s="5">
        <f t="shared" si="255"/>
        <v>0</v>
      </c>
      <c r="M2789" s="5">
        <f t="shared" si="257"/>
        <v>32530</v>
      </c>
      <c r="N2789" s="5">
        <f t="shared" si="257"/>
        <v>845780</v>
      </c>
      <c r="O2789" s="8" t="s">
        <v>20</v>
      </c>
      <c r="T2789">
        <v>0</v>
      </c>
      <c r="AC2789">
        <v>1</v>
      </c>
    </row>
    <row r="2790" spans="1:29" ht="30" customHeight="1" x14ac:dyDescent="0.3">
      <c r="A2790" s="8" t="s">
        <v>2290</v>
      </c>
      <c r="B2790" s="8" t="s">
        <v>1087</v>
      </c>
      <c r="C2790" s="8" t="s">
        <v>1088</v>
      </c>
      <c r="D2790" s="8" t="s">
        <v>346</v>
      </c>
      <c r="E2790" s="8" t="s">
        <v>185</v>
      </c>
      <c r="F2790" s="9">
        <v>3</v>
      </c>
      <c r="G2790" s="5">
        <f>TRUNC([1]단가대비표!O656,0)</f>
        <v>11862</v>
      </c>
      <c r="H2790" s="5">
        <f t="shared" si="253"/>
        <v>35586</v>
      </c>
      <c r="I2790" s="5">
        <v>0</v>
      </c>
      <c r="J2790" s="5">
        <f t="shared" si="254"/>
        <v>0</v>
      </c>
      <c r="K2790" s="5">
        <v>0</v>
      </c>
      <c r="L2790" s="5">
        <f t="shared" si="255"/>
        <v>0</v>
      </c>
      <c r="M2790" s="5">
        <f t="shared" si="257"/>
        <v>11862</v>
      </c>
      <c r="N2790" s="5">
        <f t="shared" si="257"/>
        <v>35586</v>
      </c>
      <c r="O2790" s="8" t="s">
        <v>20</v>
      </c>
      <c r="T2790">
        <v>0</v>
      </c>
      <c r="AC2790">
        <v>1</v>
      </c>
    </row>
    <row r="2791" spans="1:29" ht="30" customHeight="1" x14ac:dyDescent="0.3">
      <c r="A2791" s="8" t="s">
        <v>2290</v>
      </c>
      <c r="B2791" s="8" t="s">
        <v>1089</v>
      </c>
      <c r="C2791" s="8" t="s">
        <v>1088</v>
      </c>
      <c r="D2791" s="8" t="s">
        <v>348</v>
      </c>
      <c r="E2791" s="8" t="s">
        <v>185</v>
      </c>
      <c r="F2791" s="9">
        <v>3</v>
      </c>
      <c r="G2791" s="5">
        <f>TRUNC([1]단가대비표!O657,0)</f>
        <v>22131</v>
      </c>
      <c r="H2791" s="5">
        <f t="shared" si="253"/>
        <v>66393</v>
      </c>
      <c r="I2791" s="5">
        <v>0</v>
      </c>
      <c r="J2791" s="5">
        <f t="shared" si="254"/>
        <v>0</v>
      </c>
      <c r="K2791" s="5">
        <v>0</v>
      </c>
      <c r="L2791" s="5">
        <f t="shared" si="255"/>
        <v>0</v>
      </c>
      <c r="M2791" s="5">
        <f t="shared" si="257"/>
        <v>22131</v>
      </c>
      <c r="N2791" s="5">
        <f t="shared" si="257"/>
        <v>66393</v>
      </c>
      <c r="O2791" s="8" t="s">
        <v>20</v>
      </c>
      <c r="T2791">
        <v>0</v>
      </c>
      <c r="AC2791">
        <v>1</v>
      </c>
    </row>
    <row r="2792" spans="1:29" ht="30" customHeight="1" x14ac:dyDescent="0.3">
      <c r="A2792" s="8" t="s">
        <v>2290</v>
      </c>
      <c r="B2792" s="8" t="s">
        <v>1090</v>
      </c>
      <c r="C2792" s="8" t="s">
        <v>1088</v>
      </c>
      <c r="D2792" s="8" t="s">
        <v>350</v>
      </c>
      <c r="E2792" s="8" t="s">
        <v>185</v>
      </c>
      <c r="F2792" s="9">
        <v>5</v>
      </c>
      <c r="G2792" s="5">
        <f>TRUNC([1]단가대비표!O658,0)</f>
        <v>32619</v>
      </c>
      <c r="H2792" s="5">
        <f t="shared" si="253"/>
        <v>163095</v>
      </c>
      <c r="I2792" s="5">
        <v>0</v>
      </c>
      <c r="J2792" s="5">
        <f t="shared" si="254"/>
        <v>0</v>
      </c>
      <c r="K2792" s="5">
        <v>0</v>
      </c>
      <c r="L2792" s="5">
        <f t="shared" si="255"/>
        <v>0</v>
      </c>
      <c r="M2792" s="5">
        <f t="shared" si="257"/>
        <v>32619</v>
      </c>
      <c r="N2792" s="5">
        <f t="shared" si="257"/>
        <v>163095</v>
      </c>
      <c r="O2792" s="8" t="s">
        <v>20</v>
      </c>
      <c r="T2792">
        <v>0</v>
      </c>
      <c r="AC2792">
        <v>1</v>
      </c>
    </row>
    <row r="2793" spans="1:29" ht="30" customHeight="1" x14ac:dyDescent="0.3">
      <c r="A2793" s="8" t="s">
        <v>2290</v>
      </c>
      <c r="B2793" s="8" t="s">
        <v>698</v>
      </c>
      <c r="C2793" s="8" t="s">
        <v>694</v>
      </c>
      <c r="D2793" s="8" t="s">
        <v>699</v>
      </c>
      <c r="E2793" s="8" t="s">
        <v>179</v>
      </c>
      <c r="F2793" s="9">
        <v>18</v>
      </c>
      <c r="G2793" s="5">
        <f>TRUNC([1]단가대비표!O393,0)</f>
        <v>840</v>
      </c>
      <c r="H2793" s="5">
        <f t="shared" si="253"/>
        <v>15120</v>
      </c>
      <c r="I2793" s="5">
        <v>0</v>
      </c>
      <c r="J2793" s="5">
        <f t="shared" si="254"/>
        <v>0</v>
      </c>
      <c r="K2793" s="5">
        <v>0</v>
      </c>
      <c r="L2793" s="5">
        <f t="shared" si="255"/>
        <v>0</v>
      </c>
      <c r="M2793" s="5">
        <f t="shared" si="257"/>
        <v>840</v>
      </c>
      <c r="N2793" s="5">
        <f t="shared" si="257"/>
        <v>15120</v>
      </c>
      <c r="O2793" s="8" t="s">
        <v>20</v>
      </c>
      <c r="T2793">
        <v>0</v>
      </c>
      <c r="AC2793">
        <v>1</v>
      </c>
    </row>
    <row r="2794" spans="1:29" ht="30" customHeight="1" x14ac:dyDescent="0.3">
      <c r="A2794" s="8" t="s">
        <v>2290</v>
      </c>
      <c r="B2794" s="8" t="s">
        <v>702</v>
      </c>
      <c r="C2794" s="8" t="s">
        <v>694</v>
      </c>
      <c r="D2794" s="8" t="s">
        <v>703</v>
      </c>
      <c r="E2794" s="8" t="s">
        <v>179</v>
      </c>
      <c r="F2794" s="9">
        <v>26</v>
      </c>
      <c r="G2794" s="5">
        <f>TRUNC([1]단가대비표!O395,0)</f>
        <v>1400</v>
      </c>
      <c r="H2794" s="5">
        <f t="shared" si="253"/>
        <v>36400</v>
      </c>
      <c r="I2794" s="5">
        <v>0</v>
      </c>
      <c r="J2794" s="5">
        <f t="shared" si="254"/>
        <v>0</v>
      </c>
      <c r="K2794" s="5">
        <v>0</v>
      </c>
      <c r="L2794" s="5">
        <f t="shared" si="255"/>
        <v>0</v>
      </c>
      <c r="M2794" s="5">
        <f t="shared" si="257"/>
        <v>1400</v>
      </c>
      <c r="N2794" s="5">
        <f t="shared" si="257"/>
        <v>36400</v>
      </c>
      <c r="O2794" s="8" t="s">
        <v>20</v>
      </c>
      <c r="T2794">
        <v>0</v>
      </c>
      <c r="AC2794">
        <v>1</v>
      </c>
    </row>
    <row r="2795" spans="1:29" ht="30" customHeight="1" x14ac:dyDescent="0.3">
      <c r="A2795" s="8" t="s">
        <v>2290</v>
      </c>
      <c r="B2795" s="8" t="s">
        <v>848</v>
      </c>
      <c r="C2795" s="8" t="s">
        <v>694</v>
      </c>
      <c r="D2795" s="8" t="s">
        <v>849</v>
      </c>
      <c r="E2795" s="8" t="s">
        <v>179</v>
      </c>
      <c r="F2795" s="9">
        <v>1</v>
      </c>
      <c r="G2795" s="5">
        <f>TRUNC([1]단가대비표!O396,0)</f>
        <v>2000</v>
      </c>
      <c r="H2795" s="5">
        <f t="shared" si="253"/>
        <v>2000</v>
      </c>
      <c r="I2795" s="5">
        <v>0</v>
      </c>
      <c r="J2795" s="5">
        <f t="shared" si="254"/>
        <v>0</v>
      </c>
      <c r="K2795" s="5">
        <v>0</v>
      </c>
      <c r="L2795" s="5">
        <f t="shared" si="255"/>
        <v>0</v>
      </c>
      <c r="M2795" s="5">
        <f t="shared" si="257"/>
        <v>2000</v>
      </c>
      <c r="N2795" s="5">
        <f t="shared" si="257"/>
        <v>2000</v>
      </c>
      <c r="O2795" s="8" t="s">
        <v>20</v>
      </c>
      <c r="T2795">
        <v>0</v>
      </c>
      <c r="AC2795">
        <v>1</v>
      </c>
    </row>
    <row r="2796" spans="1:29" ht="30" customHeight="1" x14ac:dyDescent="0.3">
      <c r="A2796" s="8" t="s">
        <v>2290</v>
      </c>
      <c r="B2796" s="8" t="s">
        <v>706</v>
      </c>
      <c r="C2796" s="8" t="s">
        <v>694</v>
      </c>
      <c r="D2796" s="8" t="s">
        <v>707</v>
      </c>
      <c r="E2796" s="8" t="s">
        <v>179</v>
      </c>
      <c r="F2796" s="9">
        <v>3</v>
      </c>
      <c r="G2796" s="5">
        <f>TRUNC([1]단가대비표!O412,0)</f>
        <v>840</v>
      </c>
      <c r="H2796" s="5">
        <f t="shared" si="253"/>
        <v>2520</v>
      </c>
      <c r="I2796" s="5">
        <v>0</v>
      </c>
      <c r="J2796" s="5">
        <f t="shared" si="254"/>
        <v>0</v>
      </c>
      <c r="K2796" s="5">
        <v>0</v>
      </c>
      <c r="L2796" s="5">
        <f t="shared" si="255"/>
        <v>0</v>
      </c>
      <c r="M2796" s="5">
        <f t="shared" si="257"/>
        <v>840</v>
      </c>
      <c r="N2796" s="5">
        <f t="shared" si="257"/>
        <v>2520</v>
      </c>
      <c r="O2796" s="8" t="s">
        <v>20</v>
      </c>
      <c r="T2796">
        <v>0</v>
      </c>
      <c r="AC2796">
        <v>1</v>
      </c>
    </row>
    <row r="2797" spans="1:29" ht="30" customHeight="1" x14ac:dyDescent="0.3">
      <c r="A2797" s="8" t="s">
        <v>2290</v>
      </c>
      <c r="B2797" s="8" t="s">
        <v>710</v>
      </c>
      <c r="C2797" s="8" t="s">
        <v>694</v>
      </c>
      <c r="D2797" s="8" t="s">
        <v>711</v>
      </c>
      <c r="E2797" s="8" t="s">
        <v>179</v>
      </c>
      <c r="F2797" s="9">
        <v>3</v>
      </c>
      <c r="G2797" s="5">
        <f>TRUNC([1]단가대비표!O414,0)</f>
        <v>920</v>
      </c>
      <c r="H2797" s="5">
        <f t="shared" si="253"/>
        <v>2760</v>
      </c>
      <c r="I2797" s="5">
        <v>0</v>
      </c>
      <c r="J2797" s="5">
        <f t="shared" si="254"/>
        <v>0</v>
      </c>
      <c r="K2797" s="5">
        <v>0</v>
      </c>
      <c r="L2797" s="5">
        <f t="shared" si="255"/>
        <v>0</v>
      </c>
      <c r="M2797" s="5">
        <f t="shared" si="257"/>
        <v>920</v>
      </c>
      <c r="N2797" s="5">
        <f t="shared" si="257"/>
        <v>2760</v>
      </c>
      <c r="O2797" s="8" t="s">
        <v>20</v>
      </c>
      <c r="T2797">
        <v>0</v>
      </c>
      <c r="AC2797">
        <v>1</v>
      </c>
    </row>
    <row r="2798" spans="1:29" ht="30" customHeight="1" x14ac:dyDescent="0.3">
      <c r="A2798" s="8" t="s">
        <v>2290</v>
      </c>
      <c r="B2798" s="8" t="s">
        <v>712</v>
      </c>
      <c r="C2798" s="8" t="s">
        <v>694</v>
      </c>
      <c r="D2798" s="8" t="s">
        <v>713</v>
      </c>
      <c r="E2798" s="8" t="s">
        <v>179</v>
      </c>
      <c r="F2798" s="9">
        <v>4</v>
      </c>
      <c r="G2798" s="5">
        <f>TRUNC([1]단가대비표!O415,0)</f>
        <v>1880</v>
      </c>
      <c r="H2798" s="5">
        <f t="shared" si="253"/>
        <v>7520</v>
      </c>
      <c r="I2798" s="5">
        <v>0</v>
      </c>
      <c r="J2798" s="5">
        <f t="shared" si="254"/>
        <v>0</v>
      </c>
      <c r="K2798" s="5">
        <v>0</v>
      </c>
      <c r="L2798" s="5">
        <f t="shared" si="255"/>
        <v>0</v>
      </c>
      <c r="M2798" s="5">
        <f t="shared" si="257"/>
        <v>1880</v>
      </c>
      <c r="N2798" s="5">
        <f t="shared" si="257"/>
        <v>7520</v>
      </c>
      <c r="O2798" s="8" t="s">
        <v>20</v>
      </c>
      <c r="T2798">
        <v>0</v>
      </c>
      <c r="AC2798">
        <v>1</v>
      </c>
    </row>
    <row r="2799" spans="1:29" ht="30" customHeight="1" x14ac:dyDescent="0.3">
      <c r="A2799" s="8" t="s">
        <v>2290</v>
      </c>
      <c r="B2799" s="8" t="s">
        <v>1099</v>
      </c>
      <c r="C2799" s="8" t="s">
        <v>694</v>
      </c>
      <c r="D2799" s="8" t="s">
        <v>1100</v>
      </c>
      <c r="E2799" s="8" t="s">
        <v>179</v>
      </c>
      <c r="F2799" s="9">
        <v>18</v>
      </c>
      <c r="G2799" s="5">
        <f>TRUNC([1]단가대비표!O406,0)</f>
        <v>700</v>
      </c>
      <c r="H2799" s="5">
        <f>TRUNC(F2799*G2799,0)</f>
        <v>12600</v>
      </c>
      <c r="I2799" s="5">
        <v>0</v>
      </c>
      <c r="J2799" s="5">
        <f>TRUNC(F2799*I2799,0)</f>
        <v>0</v>
      </c>
      <c r="K2799" s="5">
        <v>0</v>
      </c>
      <c r="L2799" s="5">
        <f>TRUNC(F2799*K2799,0)</f>
        <v>0</v>
      </c>
      <c r="M2799" s="5">
        <f t="shared" si="257"/>
        <v>700</v>
      </c>
      <c r="N2799" s="5">
        <f t="shared" si="257"/>
        <v>12600</v>
      </c>
      <c r="O2799" s="8" t="s">
        <v>20</v>
      </c>
      <c r="T2799">
        <v>0</v>
      </c>
      <c r="AC2799">
        <v>1</v>
      </c>
    </row>
    <row r="2800" spans="1:29" ht="30" customHeight="1" x14ac:dyDescent="0.3">
      <c r="A2800" s="8" t="s">
        <v>2290</v>
      </c>
      <c r="B2800" s="8" t="s">
        <v>1103</v>
      </c>
      <c r="C2800" s="8" t="s">
        <v>694</v>
      </c>
      <c r="D2800" s="8" t="s">
        <v>1104</v>
      </c>
      <c r="E2800" s="8" t="s">
        <v>179</v>
      </c>
      <c r="F2800" s="9">
        <v>18</v>
      </c>
      <c r="G2800" s="5">
        <f>TRUNC([1]단가대비표!O408,0)</f>
        <v>1400</v>
      </c>
      <c r="H2800" s="5">
        <f>TRUNC(F2800*G2800,0)</f>
        <v>25200</v>
      </c>
      <c r="I2800" s="5">
        <v>0</v>
      </c>
      <c r="J2800" s="5">
        <f>TRUNC(F2800*I2800,0)</f>
        <v>0</v>
      </c>
      <c r="K2800" s="5">
        <v>0</v>
      </c>
      <c r="L2800" s="5">
        <f>TRUNC(F2800*K2800,0)</f>
        <v>0</v>
      </c>
      <c r="M2800" s="5">
        <f t="shared" si="257"/>
        <v>1400</v>
      </c>
      <c r="N2800" s="5">
        <f t="shared" si="257"/>
        <v>25200</v>
      </c>
      <c r="O2800" s="8" t="s">
        <v>20</v>
      </c>
      <c r="T2800">
        <v>0</v>
      </c>
      <c r="AC2800">
        <v>1</v>
      </c>
    </row>
    <row r="2801" spans="1:29" ht="30" customHeight="1" x14ac:dyDescent="0.3">
      <c r="A2801" s="8" t="s">
        <v>2290</v>
      </c>
      <c r="B2801" s="8" t="s">
        <v>152</v>
      </c>
      <c r="C2801" s="8" t="s">
        <v>153</v>
      </c>
      <c r="D2801" s="8" t="s">
        <v>154</v>
      </c>
      <c r="E2801" s="8" t="s">
        <v>155</v>
      </c>
      <c r="F2801" s="9">
        <v>1</v>
      </c>
      <c r="G2801" s="5">
        <v>0</v>
      </c>
      <c r="H2801" s="5">
        <f>TRUNC(F2801*G2801,0)</f>
        <v>0</v>
      </c>
      <c r="I2801" s="5">
        <f>TRUNC([1]단가대비표!O671,0)</f>
        <v>157068</v>
      </c>
      <c r="J2801" s="5">
        <f>TRUNC(F2801*I2801,0)</f>
        <v>157068</v>
      </c>
      <c r="K2801" s="5">
        <v>0</v>
      </c>
      <c r="L2801" s="5">
        <f>TRUNC(F2801*K2801,0)</f>
        <v>0</v>
      </c>
      <c r="M2801" s="5">
        <f t="shared" si="257"/>
        <v>157068</v>
      </c>
      <c r="N2801" s="5">
        <f t="shared" si="257"/>
        <v>157068</v>
      </c>
      <c r="O2801" s="8" t="s">
        <v>20</v>
      </c>
      <c r="T2801">
        <v>0</v>
      </c>
      <c r="W2801">
        <v>3</v>
      </c>
      <c r="AC2801">
        <v>1</v>
      </c>
    </row>
    <row r="2802" spans="1:29" ht="30" customHeight="1" x14ac:dyDescent="0.3">
      <c r="A2802" s="8" t="s">
        <v>2290</v>
      </c>
      <c r="B2802" s="8" t="s">
        <v>553</v>
      </c>
      <c r="C2802" s="8" t="s">
        <v>153</v>
      </c>
      <c r="D2802" s="8" t="s">
        <v>554</v>
      </c>
      <c r="E2802" s="8" t="s">
        <v>155</v>
      </c>
      <c r="F2802" s="9">
        <v>2</v>
      </c>
      <c r="G2802" s="5">
        <v>0</v>
      </c>
      <c r="H2802" s="5">
        <f>TRUNC(F2802*G2802,0)</f>
        <v>0</v>
      </c>
      <c r="I2802" s="5">
        <f>TRUNC([1]단가대비표!O668,0)</f>
        <v>214118</v>
      </c>
      <c r="J2802" s="5">
        <f>TRUNC(F2802*I2802,0)</f>
        <v>428236</v>
      </c>
      <c r="K2802" s="5">
        <v>0</v>
      </c>
      <c r="L2802" s="5">
        <f>TRUNC(F2802*K2802,0)</f>
        <v>0</v>
      </c>
      <c r="M2802" s="5">
        <f t="shared" si="257"/>
        <v>214118</v>
      </c>
      <c r="N2802" s="5">
        <f t="shared" si="257"/>
        <v>428236</v>
      </c>
      <c r="O2802" s="8" t="s">
        <v>20</v>
      </c>
      <c r="T2802">
        <v>0</v>
      </c>
      <c r="W2802">
        <v>3</v>
      </c>
      <c r="AC2802">
        <v>1</v>
      </c>
    </row>
    <row r="2803" spans="1:29" ht="30" customHeight="1" x14ac:dyDescent="0.3">
      <c r="A2803" s="8" t="s">
        <v>2290</v>
      </c>
      <c r="B2803" s="8" t="s">
        <v>158</v>
      </c>
      <c r="C2803" s="8" t="s">
        <v>159</v>
      </c>
      <c r="D2803" s="8" t="s">
        <v>160</v>
      </c>
      <c r="E2803" s="8" t="s">
        <v>161</v>
      </c>
      <c r="F2803" s="9">
        <v>1</v>
      </c>
      <c r="G2803" s="5">
        <f>ROUNDDOWN(SUMIF(W2735:W2803, RIGHTB(B2803, 1), J2735:J2803)*T2803, 0)</f>
        <v>11706</v>
      </c>
      <c r="H2803" s="5">
        <f>TRUNC(F2803*G2803,0)</f>
        <v>11706</v>
      </c>
      <c r="I2803" s="5">
        <v>0</v>
      </c>
      <c r="J2803" s="5">
        <f>TRUNC(F2803*I2803,0)</f>
        <v>0</v>
      </c>
      <c r="K2803" s="5">
        <v>0</v>
      </c>
      <c r="L2803" s="5">
        <f>TRUNC(F2803*K2803,0)</f>
        <v>0</v>
      </c>
      <c r="M2803" s="5">
        <f t="shared" si="257"/>
        <v>11706</v>
      </c>
      <c r="N2803" s="5">
        <f t="shared" si="257"/>
        <v>11706</v>
      </c>
      <c r="O2803" s="8" t="s">
        <v>20</v>
      </c>
      <c r="P2803">
        <v>2803</v>
      </c>
      <c r="R2803">
        <v>1</v>
      </c>
      <c r="S2803">
        <v>0</v>
      </c>
      <c r="T2803">
        <v>0.02</v>
      </c>
      <c r="AC2803">
        <v>1</v>
      </c>
    </row>
    <row r="2804" spans="1:29" ht="30" customHeight="1" x14ac:dyDescent="0.3">
      <c r="A2804" s="5"/>
      <c r="B2804" s="5"/>
      <c r="C2804" s="5"/>
      <c r="D2804" s="5"/>
      <c r="E2804" s="5"/>
      <c r="F2804" s="9"/>
      <c r="G2804" s="5"/>
      <c r="H2804" s="5"/>
      <c r="I2804" s="5"/>
      <c r="J2804" s="5"/>
      <c r="K2804" s="5"/>
      <c r="L2804" s="5"/>
      <c r="M2804" s="5"/>
      <c r="N2804" s="5"/>
      <c r="O2804" s="5"/>
    </row>
    <row r="2805" spans="1:29" ht="30" customHeight="1" x14ac:dyDescent="0.3">
      <c r="A2805" s="5"/>
      <c r="B2805" s="5"/>
      <c r="C2805" s="5"/>
      <c r="D2805" s="5"/>
      <c r="E2805" s="5"/>
      <c r="F2805" s="9"/>
      <c r="G2805" s="5"/>
      <c r="H2805" s="5"/>
      <c r="I2805" s="5"/>
      <c r="J2805" s="5"/>
      <c r="K2805" s="5"/>
      <c r="L2805" s="5"/>
      <c r="M2805" s="5"/>
      <c r="N2805" s="5"/>
      <c r="O2805" s="5"/>
    </row>
    <row r="2806" spans="1:29" ht="30" customHeight="1" x14ac:dyDescent="0.3">
      <c r="A2806" s="5"/>
      <c r="B2806" s="5"/>
      <c r="C2806" s="5"/>
      <c r="D2806" s="5"/>
      <c r="E2806" s="5"/>
      <c r="F2806" s="9"/>
      <c r="G2806" s="5"/>
      <c r="H2806" s="5"/>
      <c r="I2806" s="5"/>
      <c r="J2806" s="5"/>
      <c r="K2806" s="5"/>
      <c r="L2806" s="5"/>
      <c r="M2806" s="5"/>
      <c r="N2806" s="5"/>
      <c r="O2806" s="5"/>
    </row>
    <row r="2807" spans="1:29" ht="30" customHeight="1" x14ac:dyDescent="0.3">
      <c r="A2807" s="5"/>
      <c r="B2807" s="5"/>
      <c r="C2807" s="5"/>
      <c r="D2807" s="5"/>
      <c r="E2807" s="5"/>
      <c r="F2807" s="9"/>
      <c r="G2807" s="5"/>
      <c r="H2807" s="5"/>
      <c r="I2807" s="5"/>
      <c r="J2807" s="5"/>
      <c r="K2807" s="5"/>
      <c r="L2807" s="5"/>
      <c r="M2807" s="5"/>
      <c r="N2807" s="5"/>
      <c r="O2807" s="5"/>
    </row>
    <row r="2808" spans="1:29" ht="30" customHeight="1" x14ac:dyDescent="0.3">
      <c r="A2808" s="5"/>
      <c r="B2808" s="5"/>
      <c r="C2808" s="5"/>
      <c r="D2808" s="5"/>
      <c r="E2808" s="5"/>
      <c r="F2808" s="9"/>
      <c r="G2808" s="5"/>
      <c r="H2808" s="5"/>
      <c r="I2808" s="5"/>
      <c r="J2808" s="5"/>
      <c r="K2808" s="5"/>
      <c r="L2808" s="5"/>
      <c r="M2808" s="5"/>
      <c r="N2808" s="5"/>
      <c r="O2808" s="5"/>
    </row>
    <row r="2809" spans="1:29" ht="30" customHeight="1" x14ac:dyDescent="0.3">
      <c r="A2809" s="5"/>
      <c r="B2809" s="5"/>
      <c r="C2809" s="5"/>
      <c r="D2809" s="5"/>
      <c r="E2809" s="5"/>
      <c r="F2809" s="9"/>
      <c r="G2809" s="5"/>
      <c r="H2809" s="5"/>
      <c r="I2809" s="5"/>
      <c r="J2809" s="5"/>
      <c r="K2809" s="5"/>
      <c r="L2809" s="5"/>
      <c r="M2809" s="5"/>
      <c r="N2809" s="5"/>
      <c r="O2809" s="5"/>
    </row>
    <row r="2810" spans="1:29" ht="30" customHeight="1" x14ac:dyDescent="0.3">
      <c r="A2810" s="5"/>
      <c r="B2810" s="5"/>
      <c r="C2810" s="5"/>
      <c r="D2810" s="5"/>
      <c r="E2810" s="5"/>
      <c r="F2810" s="9"/>
      <c r="G2810" s="5"/>
      <c r="H2810" s="5"/>
      <c r="I2810" s="5"/>
      <c r="J2810" s="5"/>
      <c r="K2810" s="5"/>
      <c r="L2810" s="5"/>
      <c r="M2810" s="5"/>
      <c r="N2810" s="5"/>
      <c r="O2810" s="5"/>
    </row>
    <row r="2811" spans="1:29" ht="30" customHeight="1" x14ac:dyDescent="0.3">
      <c r="A2811" s="5"/>
      <c r="B2811" s="5"/>
      <c r="C2811" s="5" t="s">
        <v>162</v>
      </c>
      <c r="D2811" s="5"/>
      <c r="E2811" s="5"/>
      <c r="F2811" s="9"/>
      <c r="G2811" s="5"/>
      <c r="H2811" s="5" t="e">
        <f>SUMIF(AC2735:AC2810, 1, H2735:H2810)</f>
        <v>#REF!</v>
      </c>
      <c r="I2811" s="5"/>
      <c r="J2811" s="5" t="e">
        <f>SUMIF(AC2735:AC2810, 1, J2735:J2810)</f>
        <v>#REF!</v>
      </c>
      <c r="K2811" s="5"/>
      <c r="L2811" s="5" t="e">
        <f>SUMIF(AC2735:AC2810, 1, L2735:L2810)</f>
        <v>#REF!</v>
      </c>
      <c r="M2811" s="5"/>
      <c r="N2811" s="5" t="e">
        <f>H2811+J2811+L2811</f>
        <v>#REF!</v>
      </c>
      <c r="O2811" s="5"/>
    </row>
    <row r="2812" spans="1:29" ht="30" customHeight="1" x14ac:dyDescent="0.3">
      <c r="A2812" s="5"/>
      <c r="B2812" s="5"/>
      <c r="C2812" s="10" t="s">
        <v>2291</v>
      </c>
      <c r="D2812" s="10"/>
      <c r="E2812" s="10"/>
      <c r="F2812" s="11"/>
      <c r="G2812" s="10"/>
      <c r="H2812" s="10"/>
      <c r="I2812" s="10"/>
      <c r="J2812" s="10"/>
      <c r="K2812" s="10"/>
      <c r="L2812" s="10"/>
      <c r="M2812" s="10"/>
      <c r="N2812" s="10"/>
      <c r="O2812" s="10"/>
    </row>
    <row r="2813" spans="1:29" ht="30" customHeight="1" x14ac:dyDescent="0.3">
      <c r="A2813" s="8" t="s">
        <v>2292</v>
      </c>
      <c r="B2813" s="8" t="s">
        <v>1109</v>
      </c>
      <c r="C2813" s="8" t="s">
        <v>1110</v>
      </c>
      <c r="D2813" s="8" t="s">
        <v>348</v>
      </c>
      <c r="E2813" s="8" t="s">
        <v>168</v>
      </c>
      <c r="F2813" s="9">
        <v>32</v>
      </c>
      <c r="G2813" s="5">
        <f>TRUNC([1]단가대비표!O131,0)</f>
        <v>9360</v>
      </c>
      <c r="H2813" s="5">
        <f t="shared" ref="H2813:H2839" si="258">TRUNC(F2813*G2813,0)</f>
        <v>299520</v>
      </c>
      <c r="I2813" s="5">
        <v>0</v>
      </c>
      <c r="J2813" s="5">
        <f t="shared" ref="J2813:J2839" si="259">TRUNC(F2813*I2813,0)</f>
        <v>0</v>
      </c>
      <c r="K2813" s="5">
        <v>0</v>
      </c>
      <c r="L2813" s="5">
        <f t="shared" ref="L2813:L2839" si="260">TRUNC(F2813*K2813,0)</f>
        <v>0</v>
      </c>
      <c r="M2813" s="5">
        <f t="shared" ref="M2813:N2839" si="261">G2813+I2813+K2813</f>
        <v>9360</v>
      </c>
      <c r="N2813" s="5">
        <f t="shared" si="261"/>
        <v>299520</v>
      </c>
      <c r="O2813" s="8" t="s">
        <v>20</v>
      </c>
      <c r="T2813">
        <v>0</v>
      </c>
      <c r="U2813">
        <v>1</v>
      </c>
      <c r="AC2813">
        <v>1</v>
      </c>
    </row>
    <row r="2814" spans="1:29" ht="30" customHeight="1" x14ac:dyDescent="0.3">
      <c r="A2814" s="8" t="s">
        <v>2292</v>
      </c>
      <c r="B2814" s="8" t="s">
        <v>1111</v>
      </c>
      <c r="C2814" s="8" t="s">
        <v>1110</v>
      </c>
      <c r="D2814" s="8" t="s">
        <v>350</v>
      </c>
      <c r="E2814" s="8" t="s">
        <v>168</v>
      </c>
      <c r="F2814" s="9">
        <v>37</v>
      </c>
      <c r="G2814" s="5">
        <f>TRUNC([1]단가대비표!O132,0)</f>
        <v>13370</v>
      </c>
      <c r="H2814" s="5">
        <f t="shared" si="258"/>
        <v>494690</v>
      </c>
      <c r="I2814" s="5">
        <v>0</v>
      </c>
      <c r="J2814" s="5">
        <f t="shared" si="259"/>
        <v>0</v>
      </c>
      <c r="K2814" s="5">
        <v>0</v>
      </c>
      <c r="L2814" s="5">
        <f t="shared" si="260"/>
        <v>0</v>
      </c>
      <c r="M2814" s="5">
        <f t="shared" si="261"/>
        <v>13370</v>
      </c>
      <c r="N2814" s="5">
        <f t="shared" si="261"/>
        <v>494690</v>
      </c>
      <c r="O2814" s="8" t="s">
        <v>20</v>
      </c>
      <c r="T2814">
        <v>0</v>
      </c>
      <c r="U2814">
        <v>1</v>
      </c>
      <c r="AC2814">
        <v>1</v>
      </c>
    </row>
    <row r="2815" spans="1:29" ht="30" customHeight="1" x14ac:dyDescent="0.3">
      <c r="A2815" s="8" t="s">
        <v>2292</v>
      </c>
      <c r="B2815" s="8" t="s">
        <v>173</v>
      </c>
      <c r="C2815" s="8" t="s">
        <v>174</v>
      </c>
      <c r="D2815" s="8" t="s">
        <v>175</v>
      </c>
      <c r="E2815" s="8" t="s">
        <v>161</v>
      </c>
      <c r="F2815" s="9">
        <v>1</v>
      </c>
      <c r="G2815" s="5">
        <f>ROUNDDOWN(SUMIF(U2813:U2839, RIGHTB(B2815, 1), H2813:H2839)*T2815, 0)</f>
        <v>23826</v>
      </c>
      <c r="H2815" s="5">
        <f t="shared" si="258"/>
        <v>23826</v>
      </c>
      <c r="I2815" s="5">
        <v>0</v>
      </c>
      <c r="J2815" s="5">
        <f t="shared" si="259"/>
        <v>0</v>
      </c>
      <c r="K2815" s="5">
        <v>0</v>
      </c>
      <c r="L2815" s="5">
        <f t="shared" si="260"/>
        <v>0</v>
      </c>
      <c r="M2815" s="5">
        <f t="shared" si="261"/>
        <v>23826</v>
      </c>
      <c r="N2815" s="5">
        <f t="shared" si="261"/>
        <v>23826</v>
      </c>
      <c r="O2815" s="8" t="s">
        <v>20</v>
      </c>
      <c r="P2815">
        <v>2815</v>
      </c>
      <c r="R2815">
        <v>0</v>
      </c>
      <c r="S2815">
        <v>0</v>
      </c>
      <c r="T2815">
        <v>0.03</v>
      </c>
      <c r="AC2815">
        <v>1</v>
      </c>
    </row>
    <row r="2816" spans="1:29" ht="30" customHeight="1" x14ac:dyDescent="0.3">
      <c r="A2816" s="8" t="s">
        <v>2292</v>
      </c>
      <c r="B2816" s="8" t="s">
        <v>233</v>
      </c>
      <c r="C2816" s="8" t="s">
        <v>219</v>
      </c>
      <c r="D2816" s="8" t="s">
        <v>234</v>
      </c>
      <c r="E2816" s="8" t="s">
        <v>168</v>
      </c>
      <c r="F2816" s="9">
        <v>30</v>
      </c>
      <c r="G2816" s="5" t="e">
        <f>'[2].xls].xls].xls].xls].xls].xls].xls].'!E96</f>
        <v>#REF!</v>
      </c>
      <c r="H2816" s="5" t="e">
        <f t="shared" si="258"/>
        <v>#REF!</v>
      </c>
      <c r="I2816" s="5" t="e">
        <f>'[2].xls].xls].xls].xls].xls].xls].xls].'!F96</f>
        <v>#REF!</v>
      </c>
      <c r="J2816" s="5" t="e">
        <f t="shared" si="259"/>
        <v>#REF!</v>
      </c>
      <c r="K2816" s="5" t="e">
        <f>'[2].xls].xls].xls].xls].xls].xls].xls].'!G96</f>
        <v>#REF!</v>
      </c>
      <c r="L2816" s="5" t="e">
        <f t="shared" si="260"/>
        <v>#REF!</v>
      </c>
      <c r="M2816" s="5" t="e">
        <f t="shared" si="261"/>
        <v>#REF!</v>
      </c>
      <c r="N2816" s="5" t="e">
        <f t="shared" si="261"/>
        <v>#REF!</v>
      </c>
      <c r="O2816" s="8" t="s">
        <v>233</v>
      </c>
      <c r="T2816">
        <v>0</v>
      </c>
      <c r="AC2816">
        <v>1</v>
      </c>
    </row>
    <row r="2817" spans="1:29" ht="30" customHeight="1" x14ac:dyDescent="0.3">
      <c r="A2817" s="8" t="s">
        <v>2292</v>
      </c>
      <c r="B2817" s="8" t="s">
        <v>774</v>
      </c>
      <c r="C2817" s="8" t="s">
        <v>219</v>
      </c>
      <c r="D2817" s="8" t="s">
        <v>775</v>
      </c>
      <c r="E2817" s="8" t="s">
        <v>168</v>
      </c>
      <c r="F2817" s="9">
        <v>9</v>
      </c>
      <c r="G2817" s="5" t="e">
        <f>'[2].xls].xls].xls].xls].xls].xls].xls].'!E97</f>
        <v>#REF!</v>
      </c>
      <c r="H2817" s="5" t="e">
        <f t="shared" si="258"/>
        <v>#REF!</v>
      </c>
      <c r="I2817" s="5" t="e">
        <f>'[2].xls].xls].xls].xls].xls].xls].xls].'!F97</f>
        <v>#REF!</v>
      </c>
      <c r="J2817" s="5" t="e">
        <f t="shared" si="259"/>
        <v>#REF!</v>
      </c>
      <c r="K2817" s="5" t="e">
        <f>'[2].xls].xls].xls].xls].xls].xls].xls].'!G97</f>
        <v>#REF!</v>
      </c>
      <c r="L2817" s="5" t="e">
        <f t="shared" si="260"/>
        <v>#REF!</v>
      </c>
      <c r="M2817" s="5" t="e">
        <f t="shared" si="261"/>
        <v>#REF!</v>
      </c>
      <c r="N2817" s="5" t="e">
        <f t="shared" si="261"/>
        <v>#REF!</v>
      </c>
      <c r="O2817" s="8" t="s">
        <v>774</v>
      </c>
      <c r="T2817">
        <v>0</v>
      </c>
      <c r="AC2817">
        <v>1</v>
      </c>
    </row>
    <row r="2818" spans="1:29" ht="30" customHeight="1" x14ac:dyDescent="0.3">
      <c r="A2818" s="8" t="s">
        <v>2292</v>
      </c>
      <c r="B2818" s="8" t="s">
        <v>1122</v>
      </c>
      <c r="C2818" s="8" t="s">
        <v>1123</v>
      </c>
      <c r="D2818" s="8" t="s">
        <v>1124</v>
      </c>
      <c r="E2818" s="8" t="s">
        <v>179</v>
      </c>
      <c r="F2818" s="9">
        <v>18</v>
      </c>
      <c r="G2818" s="5">
        <f>TRUNC([1]단가대비표!O420,0)</f>
        <v>11110</v>
      </c>
      <c r="H2818" s="5">
        <f t="shared" si="258"/>
        <v>199980</v>
      </c>
      <c r="I2818" s="5">
        <v>0</v>
      </c>
      <c r="J2818" s="5">
        <f t="shared" si="259"/>
        <v>0</v>
      </c>
      <c r="K2818" s="5">
        <v>0</v>
      </c>
      <c r="L2818" s="5">
        <f t="shared" si="260"/>
        <v>0</v>
      </c>
      <c r="M2818" s="5">
        <f t="shared" si="261"/>
        <v>11110</v>
      </c>
      <c r="N2818" s="5">
        <f t="shared" si="261"/>
        <v>199980</v>
      </c>
      <c r="O2818" s="8" t="s">
        <v>20</v>
      </c>
      <c r="T2818">
        <v>0</v>
      </c>
      <c r="AC2818">
        <v>1</v>
      </c>
    </row>
    <row r="2819" spans="1:29" ht="30" customHeight="1" x14ac:dyDescent="0.3">
      <c r="A2819" s="8" t="s">
        <v>2292</v>
      </c>
      <c r="B2819" s="8" t="s">
        <v>1125</v>
      </c>
      <c r="C2819" s="8" t="s">
        <v>1123</v>
      </c>
      <c r="D2819" s="8" t="s">
        <v>1126</v>
      </c>
      <c r="E2819" s="8" t="s">
        <v>179</v>
      </c>
      <c r="F2819" s="9">
        <v>9</v>
      </c>
      <c r="G2819" s="5">
        <f>TRUNC([1]단가대비표!O421,0)</f>
        <v>13880</v>
      </c>
      <c r="H2819" s="5">
        <f t="shared" si="258"/>
        <v>124920</v>
      </c>
      <c r="I2819" s="5">
        <v>0</v>
      </c>
      <c r="J2819" s="5">
        <f t="shared" si="259"/>
        <v>0</v>
      </c>
      <c r="K2819" s="5">
        <v>0</v>
      </c>
      <c r="L2819" s="5">
        <f t="shared" si="260"/>
        <v>0</v>
      </c>
      <c r="M2819" s="5">
        <f t="shared" si="261"/>
        <v>13880</v>
      </c>
      <c r="N2819" s="5">
        <f t="shared" si="261"/>
        <v>124920</v>
      </c>
      <c r="O2819" s="8" t="s">
        <v>20</v>
      </c>
      <c r="T2819">
        <v>0</v>
      </c>
      <c r="AC2819">
        <v>1</v>
      </c>
    </row>
    <row r="2820" spans="1:29" ht="30" customHeight="1" x14ac:dyDescent="0.3">
      <c r="A2820" s="8" t="s">
        <v>2292</v>
      </c>
      <c r="B2820" s="8" t="s">
        <v>1135</v>
      </c>
      <c r="C2820" s="8" t="s">
        <v>1123</v>
      </c>
      <c r="D2820" s="8" t="s">
        <v>1136</v>
      </c>
      <c r="E2820" s="8" t="s">
        <v>179</v>
      </c>
      <c r="F2820" s="9">
        <v>4</v>
      </c>
      <c r="G2820" s="5">
        <f>TRUNC([1]단가대비표!O426,0)</f>
        <v>16560</v>
      </c>
      <c r="H2820" s="5">
        <f t="shared" si="258"/>
        <v>66240</v>
      </c>
      <c r="I2820" s="5">
        <v>0</v>
      </c>
      <c r="J2820" s="5">
        <f t="shared" si="259"/>
        <v>0</v>
      </c>
      <c r="K2820" s="5">
        <v>0</v>
      </c>
      <c r="L2820" s="5">
        <f t="shared" si="260"/>
        <v>0</v>
      </c>
      <c r="M2820" s="5">
        <f t="shared" si="261"/>
        <v>16560</v>
      </c>
      <c r="N2820" s="5">
        <f t="shared" si="261"/>
        <v>66240</v>
      </c>
      <c r="O2820" s="8" t="s">
        <v>20</v>
      </c>
      <c r="T2820">
        <v>0</v>
      </c>
      <c r="AC2820">
        <v>1</v>
      </c>
    </row>
    <row r="2821" spans="1:29" ht="30" customHeight="1" x14ac:dyDescent="0.3">
      <c r="A2821" s="8" t="s">
        <v>2292</v>
      </c>
      <c r="B2821" s="8" t="s">
        <v>1137</v>
      </c>
      <c r="C2821" s="8" t="s">
        <v>1123</v>
      </c>
      <c r="D2821" s="8" t="s">
        <v>1138</v>
      </c>
      <c r="E2821" s="8" t="s">
        <v>179</v>
      </c>
      <c r="F2821" s="9">
        <v>3</v>
      </c>
      <c r="G2821" s="5">
        <f>TRUNC([1]단가대비표!O427,0)</f>
        <v>18920</v>
      </c>
      <c r="H2821" s="5">
        <f t="shared" si="258"/>
        <v>56760</v>
      </c>
      <c r="I2821" s="5">
        <v>0</v>
      </c>
      <c r="J2821" s="5">
        <f t="shared" si="259"/>
        <v>0</v>
      </c>
      <c r="K2821" s="5">
        <v>0</v>
      </c>
      <c r="L2821" s="5">
        <f t="shared" si="260"/>
        <v>0</v>
      </c>
      <c r="M2821" s="5">
        <f t="shared" si="261"/>
        <v>18920</v>
      </c>
      <c r="N2821" s="5">
        <f t="shared" si="261"/>
        <v>56760</v>
      </c>
      <c r="O2821" s="8" t="s">
        <v>20</v>
      </c>
      <c r="T2821">
        <v>0</v>
      </c>
      <c r="AC2821">
        <v>1</v>
      </c>
    </row>
    <row r="2822" spans="1:29" ht="30" customHeight="1" x14ac:dyDescent="0.3">
      <c r="A2822" s="8" t="s">
        <v>2292</v>
      </c>
      <c r="B2822" s="8" t="s">
        <v>1139</v>
      </c>
      <c r="C2822" s="8" t="s">
        <v>1123</v>
      </c>
      <c r="D2822" s="8" t="s">
        <v>1140</v>
      </c>
      <c r="E2822" s="8" t="s">
        <v>179</v>
      </c>
      <c r="F2822" s="9">
        <v>3</v>
      </c>
      <c r="G2822" s="5">
        <f>TRUNC([1]단가대비표!O428,0)</f>
        <v>21500</v>
      </c>
      <c r="H2822" s="5">
        <f t="shared" si="258"/>
        <v>64500</v>
      </c>
      <c r="I2822" s="5">
        <v>0</v>
      </c>
      <c r="J2822" s="5">
        <f t="shared" si="259"/>
        <v>0</v>
      </c>
      <c r="K2822" s="5">
        <v>0</v>
      </c>
      <c r="L2822" s="5">
        <f t="shared" si="260"/>
        <v>0</v>
      </c>
      <c r="M2822" s="5">
        <f t="shared" si="261"/>
        <v>21500</v>
      </c>
      <c r="N2822" s="5">
        <f t="shared" si="261"/>
        <v>64500</v>
      </c>
      <c r="O2822" s="8" t="s">
        <v>20</v>
      </c>
      <c r="T2822">
        <v>0</v>
      </c>
      <c r="AC2822">
        <v>1</v>
      </c>
    </row>
    <row r="2823" spans="1:29" ht="30" customHeight="1" x14ac:dyDescent="0.3">
      <c r="A2823" s="8" t="s">
        <v>2292</v>
      </c>
      <c r="B2823" s="8" t="s">
        <v>2293</v>
      </c>
      <c r="C2823" s="8" t="s">
        <v>1123</v>
      </c>
      <c r="D2823" s="8" t="s">
        <v>2294</v>
      </c>
      <c r="E2823" s="8" t="s">
        <v>179</v>
      </c>
      <c r="F2823" s="9">
        <v>1</v>
      </c>
      <c r="G2823" s="5">
        <f>TRUNC([1]단가대비표!O438,0)</f>
        <v>21290</v>
      </c>
      <c r="H2823" s="5">
        <f t="shared" si="258"/>
        <v>21290</v>
      </c>
      <c r="I2823" s="5">
        <v>0</v>
      </c>
      <c r="J2823" s="5">
        <f t="shared" si="259"/>
        <v>0</v>
      </c>
      <c r="K2823" s="5">
        <v>0</v>
      </c>
      <c r="L2823" s="5">
        <f t="shared" si="260"/>
        <v>0</v>
      </c>
      <c r="M2823" s="5">
        <f t="shared" si="261"/>
        <v>21290</v>
      </c>
      <c r="N2823" s="5">
        <f t="shared" si="261"/>
        <v>21290</v>
      </c>
      <c r="O2823" s="8" t="s">
        <v>20</v>
      </c>
      <c r="T2823">
        <v>0</v>
      </c>
      <c r="AC2823">
        <v>1</v>
      </c>
    </row>
    <row r="2824" spans="1:29" ht="30" customHeight="1" x14ac:dyDescent="0.3">
      <c r="A2824" s="8" t="s">
        <v>2292</v>
      </c>
      <c r="B2824" s="8" t="s">
        <v>1163</v>
      </c>
      <c r="C2824" s="8" t="s">
        <v>1123</v>
      </c>
      <c r="D2824" s="8" t="s">
        <v>1164</v>
      </c>
      <c r="E2824" s="8" t="s">
        <v>179</v>
      </c>
      <c r="F2824" s="9">
        <v>4</v>
      </c>
      <c r="G2824" s="5">
        <f>TRUNC([1]단가대비표!O441,0)</f>
        <v>10180</v>
      </c>
      <c r="H2824" s="5">
        <f t="shared" si="258"/>
        <v>40720</v>
      </c>
      <c r="I2824" s="5">
        <v>0</v>
      </c>
      <c r="J2824" s="5">
        <f t="shared" si="259"/>
        <v>0</v>
      </c>
      <c r="K2824" s="5">
        <v>0</v>
      </c>
      <c r="L2824" s="5">
        <f t="shared" si="260"/>
        <v>0</v>
      </c>
      <c r="M2824" s="5">
        <f t="shared" si="261"/>
        <v>10180</v>
      </c>
      <c r="N2824" s="5">
        <f t="shared" si="261"/>
        <v>40720</v>
      </c>
      <c r="O2824" s="8" t="s">
        <v>20</v>
      </c>
      <c r="T2824">
        <v>0</v>
      </c>
      <c r="AC2824">
        <v>1</v>
      </c>
    </row>
    <row r="2825" spans="1:29" ht="30" customHeight="1" x14ac:dyDescent="0.3">
      <c r="A2825" s="8" t="s">
        <v>2292</v>
      </c>
      <c r="B2825" s="8" t="s">
        <v>1165</v>
      </c>
      <c r="C2825" s="8" t="s">
        <v>1123</v>
      </c>
      <c r="D2825" s="8" t="s">
        <v>1166</v>
      </c>
      <c r="E2825" s="8" t="s">
        <v>179</v>
      </c>
      <c r="F2825" s="9">
        <v>6</v>
      </c>
      <c r="G2825" s="5">
        <f>TRUNC([1]단가대비표!O442,0)</f>
        <v>13780</v>
      </c>
      <c r="H2825" s="5">
        <f t="shared" si="258"/>
        <v>82680</v>
      </c>
      <c r="I2825" s="5">
        <v>0</v>
      </c>
      <c r="J2825" s="5">
        <f t="shared" si="259"/>
        <v>0</v>
      </c>
      <c r="K2825" s="5">
        <v>0</v>
      </c>
      <c r="L2825" s="5">
        <f t="shared" si="260"/>
        <v>0</v>
      </c>
      <c r="M2825" s="5">
        <f t="shared" si="261"/>
        <v>13780</v>
      </c>
      <c r="N2825" s="5">
        <f t="shared" si="261"/>
        <v>82680</v>
      </c>
      <c r="O2825" s="8" t="s">
        <v>20</v>
      </c>
      <c r="T2825">
        <v>0</v>
      </c>
      <c r="AC2825">
        <v>1</v>
      </c>
    </row>
    <row r="2826" spans="1:29" ht="30" customHeight="1" x14ac:dyDescent="0.3">
      <c r="A2826" s="8" t="s">
        <v>2292</v>
      </c>
      <c r="B2826" s="8" t="s">
        <v>1175</v>
      </c>
      <c r="C2826" s="8" t="s">
        <v>1123</v>
      </c>
      <c r="D2826" s="8" t="s">
        <v>1176</v>
      </c>
      <c r="E2826" s="8" t="s">
        <v>179</v>
      </c>
      <c r="F2826" s="9">
        <v>3</v>
      </c>
      <c r="G2826" s="5">
        <f>TRUNC([1]단가대비표!O447,0)</f>
        <v>2670</v>
      </c>
      <c r="H2826" s="5">
        <f t="shared" si="258"/>
        <v>8010</v>
      </c>
      <c r="I2826" s="5">
        <v>0</v>
      </c>
      <c r="J2826" s="5">
        <f t="shared" si="259"/>
        <v>0</v>
      </c>
      <c r="K2826" s="5">
        <v>0</v>
      </c>
      <c r="L2826" s="5">
        <f t="shared" si="260"/>
        <v>0</v>
      </c>
      <c r="M2826" s="5">
        <f t="shared" si="261"/>
        <v>2670</v>
      </c>
      <c r="N2826" s="5">
        <f t="shared" si="261"/>
        <v>8010</v>
      </c>
      <c r="O2826" s="8" t="s">
        <v>20</v>
      </c>
      <c r="T2826">
        <v>0</v>
      </c>
      <c r="AC2826">
        <v>1</v>
      </c>
    </row>
    <row r="2827" spans="1:29" ht="30" customHeight="1" x14ac:dyDescent="0.3">
      <c r="A2827" s="8" t="s">
        <v>2292</v>
      </c>
      <c r="B2827" s="8" t="s">
        <v>1177</v>
      </c>
      <c r="C2827" s="8" t="s">
        <v>1123</v>
      </c>
      <c r="D2827" s="8" t="s">
        <v>1178</v>
      </c>
      <c r="E2827" s="8" t="s">
        <v>179</v>
      </c>
      <c r="F2827" s="9">
        <v>6</v>
      </c>
      <c r="G2827" s="5">
        <f>TRUNC([1]단가대비표!O448,0)</f>
        <v>3290</v>
      </c>
      <c r="H2827" s="5">
        <f t="shared" si="258"/>
        <v>19740</v>
      </c>
      <c r="I2827" s="5">
        <v>0</v>
      </c>
      <c r="J2827" s="5">
        <f t="shared" si="259"/>
        <v>0</v>
      </c>
      <c r="K2827" s="5">
        <v>0</v>
      </c>
      <c r="L2827" s="5">
        <f t="shared" si="260"/>
        <v>0</v>
      </c>
      <c r="M2827" s="5">
        <f t="shared" si="261"/>
        <v>3290</v>
      </c>
      <c r="N2827" s="5">
        <f t="shared" si="261"/>
        <v>19740</v>
      </c>
      <c r="O2827" s="8" t="s">
        <v>20</v>
      </c>
      <c r="T2827">
        <v>0</v>
      </c>
      <c r="AC2827">
        <v>1</v>
      </c>
    </row>
    <row r="2828" spans="1:29" ht="30" customHeight="1" x14ac:dyDescent="0.3">
      <c r="A2828" s="8" t="s">
        <v>2292</v>
      </c>
      <c r="B2828" s="8" t="s">
        <v>1059</v>
      </c>
      <c r="C2828" s="8" t="s">
        <v>1057</v>
      </c>
      <c r="D2828" s="8" t="s">
        <v>348</v>
      </c>
      <c r="E2828" s="8" t="s">
        <v>185</v>
      </c>
      <c r="F2828" s="9">
        <v>9</v>
      </c>
      <c r="G2828" s="5" t="e">
        <f>'[2].xls].xls].xls].xls].xls].xls].xls].'!E41</f>
        <v>#REF!</v>
      </c>
      <c r="H2828" s="5" t="e">
        <f t="shared" si="258"/>
        <v>#REF!</v>
      </c>
      <c r="I2828" s="5" t="e">
        <f>'[2].xls].xls].xls].xls].xls].xls].xls].'!F41</f>
        <v>#REF!</v>
      </c>
      <c r="J2828" s="5" t="e">
        <f t="shared" si="259"/>
        <v>#REF!</v>
      </c>
      <c r="K2828" s="5" t="e">
        <f>'[2].xls].xls].xls].xls].xls].xls].xls].'!G41</f>
        <v>#REF!</v>
      </c>
      <c r="L2828" s="5" t="e">
        <f t="shared" si="260"/>
        <v>#REF!</v>
      </c>
      <c r="M2828" s="5" t="e">
        <f t="shared" si="261"/>
        <v>#REF!</v>
      </c>
      <c r="N2828" s="5" t="e">
        <f t="shared" si="261"/>
        <v>#REF!</v>
      </c>
      <c r="O2828" s="8" t="s">
        <v>1059</v>
      </c>
      <c r="T2828">
        <v>0</v>
      </c>
      <c r="AC2828">
        <v>1</v>
      </c>
    </row>
    <row r="2829" spans="1:29" ht="30" customHeight="1" x14ac:dyDescent="0.3">
      <c r="A2829" s="8" t="s">
        <v>2292</v>
      </c>
      <c r="B2829" s="8" t="s">
        <v>1060</v>
      </c>
      <c r="C2829" s="8" t="s">
        <v>1057</v>
      </c>
      <c r="D2829" s="8" t="s">
        <v>350</v>
      </c>
      <c r="E2829" s="8" t="s">
        <v>185</v>
      </c>
      <c r="F2829" s="9">
        <v>7</v>
      </c>
      <c r="G2829" s="5" t="e">
        <f>'[2].xls].xls].xls].xls].xls].xls].xls].'!E42</f>
        <v>#REF!</v>
      </c>
      <c r="H2829" s="5" t="e">
        <f t="shared" si="258"/>
        <v>#REF!</v>
      </c>
      <c r="I2829" s="5" t="e">
        <f>'[2].xls].xls].xls].xls].xls].xls].xls].'!F42</f>
        <v>#REF!</v>
      </c>
      <c r="J2829" s="5" t="e">
        <f t="shared" si="259"/>
        <v>#REF!</v>
      </c>
      <c r="K2829" s="5" t="e">
        <f>'[2].xls].xls].xls].xls].xls].xls].xls].'!G42</f>
        <v>#REF!</v>
      </c>
      <c r="L2829" s="5" t="e">
        <f t="shared" si="260"/>
        <v>#REF!</v>
      </c>
      <c r="M2829" s="5" t="e">
        <f t="shared" si="261"/>
        <v>#REF!</v>
      </c>
      <c r="N2829" s="5" t="e">
        <f t="shared" si="261"/>
        <v>#REF!</v>
      </c>
      <c r="O2829" s="8" t="s">
        <v>1060</v>
      </c>
      <c r="T2829">
        <v>0</v>
      </c>
      <c r="AC2829">
        <v>1</v>
      </c>
    </row>
    <row r="2830" spans="1:29" ht="30" customHeight="1" x14ac:dyDescent="0.3">
      <c r="A2830" s="8" t="s">
        <v>2292</v>
      </c>
      <c r="B2830" s="8" t="s">
        <v>1067</v>
      </c>
      <c r="C2830" s="8" t="s">
        <v>494</v>
      </c>
      <c r="D2830" s="8" t="s">
        <v>1068</v>
      </c>
      <c r="E2830" s="8" t="s">
        <v>179</v>
      </c>
      <c r="F2830" s="9">
        <v>4</v>
      </c>
      <c r="G2830" s="5">
        <f>TRUNC([1]단가대비표!O573,0)</f>
        <v>540</v>
      </c>
      <c r="H2830" s="5">
        <f t="shared" si="258"/>
        <v>2160</v>
      </c>
      <c r="I2830" s="5">
        <v>0</v>
      </c>
      <c r="J2830" s="5">
        <f t="shared" si="259"/>
        <v>0</v>
      </c>
      <c r="K2830" s="5">
        <v>0</v>
      </c>
      <c r="L2830" s="5">
        <f t="shared" si="260"/>
        <v>0</v>
      </c>
      <c r="M2830" s="5">
        <f t="shared" si="261"/>
        <v>540</v>
      </c>
      <c r="N2830" s="5">
        <f t="shared" si="261"/>
        <v>2160</v>
      </c>
      <c r="O2830" s="8" t="s">
        <v>20</v>
      </c>
      <c r="T2830">
        <v>0</v>
      </c>
      <c r="AC2830">
        <v>1</v>
      </c>
    </row>
    <row r="2831" spans="1:29" ht="30" customHeight="1" x14ac:dyDescent="0.3">
      <c r="A2831" s="8" t="s">
        <v>2292</v>
      </c>
      <c r="B2831" s="8" t="s">
        <v>1075</v>
      </c>
      <c r="C2831" s="8" t="s">
        <v>528</v>
      </c>
      <c r="D2831" s="8" t="s">
        <v>350</v>
      </c>
      <c r="E2831" s="8" t="s">
        <v>185</v>
      </c>
      <c r="F2831" s="9">
        <v>1</v>
      </c>
      <c r="G2831" s="5" t="e">
        <f>'[2].xls].xls].xls].xls].xls].xls].xls].'!E62</f>
        <v>#REF!</v>
      </c>
      <c r="H2831" s="5" t="e">
        <f t="shared" si="258"/>
        <v>#REF!</v>
      </c>
      <c r="I2831" s="5" t="e">
        <f>'[2].xls].xls].xls].xls].xls].xls].xls].'!F62</f>
        <v>#REF!</v>
      </c>
      <c r="J2831" s="5" t="e">
        <f t="shared" si="259"/>
        <v>#REF!</v>
      </c>
      <c r="K2831" s="5" t="e">
        <f>'[2].xls].xls].xls].xls].xls].xls].xls].'!G62</f>
        <v>#REF!</v>
      </c>
      <c r="L2831" s="5" t="e">
        <f t="shared" si="260"/>
        <v>#REF!</v>
      </c>
      <c r="M2831" s="5" t="e">
        <f t="shared" si="261"/>
        <v>#REF!</v>
      </c>
      <c r="N2831" s="5" t="e">
        <f t="shared" si="261"/>
        <v>#REF!</v>
      </c>
      <c r="O2831" s="8" t="s">
        <v>1075</v>
      </c>
      <c r="T2831">
        <v>0</v>
      </c>
      <c r="AC2831">
        <v>1</v>
      </c>
    </row>
    <row r="2832" spans="1:29" ht="30" customHeight="1" x14ac:dyDescent="0.3">
      <c r="A2832" s="8" t="s">
        <v>2292</v>
      </c>
      <c r="B2832" s="8" t="s">
        <v>1194</v>
      </c>
      <c r="C2832" s="8" t="s">
        <v>1079</v>
      </c>
      <c r="D2832" s="8" t="s">
        <v>348</v>
      </c>
      <c r="E2832" s="8" t="s">
        <v>185</v>
      </c>
      <c r="F2832" s="9">
        <v>4</v>
      </c>
      <c r="G2832" s="5" t="e">
        <f>'[2].xls].xls].xls].xls].xls].xls].xls].'!E66</f>
        <v>#REF!</v>
      </c>
      <c r="H2832" s="5" t="e">
        <f t="shared" si="258"/>
        <v>#REF!</v>
      </c>
      <c r="I2832" s="5" t="e">
        <f>'[2].xls].xls].xls].xls].xls].xls].xls].'!F66</f>
        <v>#REF!</v>
      </c>
      <c r="J2832" s="5" t="e">
        <f t="shared" si="259"/>
        <v>#REF!</v>
      </c>
      <c r="K2832" s="5" t="e">
        <f>'[2].xls].xls].xls].xls].xls].xls].xls].'!G66</f>
        <v>#REF!</v>
      </c>
      <c r="L2832" s="5" t="e">
        <f t="shared" si="260"/>
        <v>#REF!</v>
      </c>
      <c r="M2832" s="5" t="e">
        <f t="shared" si="261"/>
        <v>#REF!</v>
      </c>
      <c r="N2832" s="5" t="e">
        <f t="shared" si="261"/>
        <v>#REF!</v>
      </c>
      <c r="O2832" s="8" t="s">
        <v>1194</v>
      </c>
      <c r="T2832">
        <v>0</v>
      </c>
      <c r="AC2832">
        <v>1</v>
      </c>
    </row>
    <row r="2833" spans="1:29" ht="30" customHeight="1" x14ac:dyDescent="0.3">
      <c r="A2833" s="8" t="s">
        <v>2292</v>
      </c>
      <c r="B2833" s="8" t="s">
        <v>1195</v>
      </c>
      <c r="C2833" s="8" t="s">
        <v>1082</v>
      </c>
      <c r="D2833" s="8" t="s">
        <v>350</v>
      </c>
      <c r="E2833" s="8" t="s">
        <v>185</v>
      </c>
      <c r="F2833" s="9">
        <v>3</v>
      </c>
      <c r="G2833" s="5">
        <f>TRUNC([1]단가대비표!O652,0)</f>
        <v>52383</v>
      </c>
      <c r="H2833" s="5">
        <f t="shared" si="258"/>
        <v>157149</v>
      </c>
      <c r="I2833" s="5">
        <v>0</v>
      </c>
      <c r="J2833" s="5">
        <f t="shared" si="259"/>
        <v>0</v>
      </c>
      <c r="K2833" s="5">
        <v>0</v>
      </c>
      <c r="L2833" s="5">
        <f t="shared" si="260"/>
        <v>0</v>
      </c>
      <c r="M2833" s="5">
        <f t="shared" si="261"/>
        <v>52383</v>
      </c>
      <c r="N2833" s="5">
        <f t="shared" si="261"/>
        <v>157149</v>
      </c>
      <c r="O2833" s="8" t="s">
        <v>20</v>
      </c>
      <c r="T2833">
        <v>0</v>
      </c>
      <c r="AC2833">
        <v>1</v>
      </c>
    </row>
    <row r="2834" spans="1:29" ht="30" customHeight="1" x14ac:dyDescent="0.3">
      <c r="A2834" s="8" t="s">
        <v>2292</v>
      </c>
      <c r="B2834" s="8" t="s">
        <v>1090</v>
      </c>
      <c r="C2834" s="8" t="s">
        <v>1088</v>
      </c>
      <c r="D2834" s="8" t="s">
        <v>350</v>
      </c>
      <c r="E2834" s="8" t="s">
        <v>185</v>
      </c>
      <c r="F2834" s="9">
        <v>4</v>
      </c>
      <c r="G2834" s="5">
        <f>TRUNC([1]단가대비표!O658,0)</f>
        <v>32619</v>
      </c>
      <c r="H2834" s="5">
        <f t="shared" si="258"/>
        <v>130476</v>
      </c>
      <c r="I2834" s="5">
        <v>0</v>
      </c>
      <c r="J2834" s="5">
        <f t="shared" si="259"/>
        <v>0</v>
      </c>
      <c r="K2834" s="5">
        <v>0</v>
      </c>
      <c r="L2834" s="5">
        <f t="shared" si="260"/>
        <v>0</v>
      </c>
      <c r="M2834" s="5">
        <f t="shared" si="261"/>
        <v>32619</v>
      </c>
      <c r="N2834" s="5">
        <f t="shared" si="261"/>
        <v>130476</v>
      </c>
      <c r="O2834" s="8" t="s">
        <v>20</v>
      </c>
      <c r="T2834">
        <v>0</v>
      </c>
      <c r="AC2834">
        <v>1</v>
      </c>
    </row>
    <row r="2835" spans="1:29" ht="30" customHeight="1" x14ac:dyDescent="0.3">
      <c r="A2835" s="8" t="s">
        <v>2292</v>
      </c>
      <c r="B2835" s="8" t="s">
        <v>848</v>
      </c>
      <c r="C2835" s="8" t="s">
        <v>694</v>
      </c>
      <c r="D2835" s="8" t="s">
        <v>849</v>
      </c>
      <c r="E2835" s="8" t="s">
        <v>179</v>
      </c>
      <c r="F2835" s="9">
        <v>3</v>
      </c>
      <c r="G2835" s="5">
        <f>TRUNC([1]단가대비표!O396,0)</f>
        <v>2000</v>
      </c>
      <c r="H2835" s="5">
        <f t="shared" si="258"/>
        <v>6000</v>
      </c>
      <c r="I2835" s="5">
        <v>0</v>
      </c>
      <c r="J2835" s="5">
        <f t="shared" si="259"/>
        <v>0</v>
      </c>
      <c r="K2835" s="5">
        <v>0</v>
      </c>
      <c r="L2835" s="5">
        <f t="shared" si="260"/>
        <v>0</v>
      </c>
      <c r="M2835" s="5">
        <f t="shared" si="261"/>
        <v>2000</v>
      </c>
      <c r="N2835" s="5">
        <f t="shared" si="261"/>
        <v>6000</v>
      </c>
      <c r="O2835" s="8" t="s">
        <v>20</v>
      </c>
      <c r="T2835">
        <v>0</v>
      </c>
      <c r="AC2835">
        <v>1</v>
      </c>
    </row>
    <row r="2836" spans="1:29" ht="30" customHeight="1" x14ac:dyDescent="0.3">
      <c r="A2836" s="8" t="s">
        <v>2292</v>
      </c>
      <c r="B2836" s="8" t="s">
        <v>712</v>
      </c>
      <c r="C2836" s="8" t="s">
        <v>694</v>
      </c>
      <c r="D2836" s="8" t="s">
        <v>713</v>
      </c>
      <c r="E2836" s="8" t="s">
        <v>179</v>
      </c>
      <c r="F2836" s="9">
        <v>4</v>
      </c>
      <c r="G2836" s="5">
        <f>TRUNC([1]단가대비표!O415,0)</f>
        <v>1880</v>
      </c>
      <c r="H2836" s="5">
        <f t="shared" si="258"/>
        <v>7520</v>
      </c>
      <c r="I2836" s="5">
        <v>0</v>
      </c>
      <c r="J2836" s="5">
        <f t="shared" si="259"/>
        <v>0</v>
      </c>
      <c r="K2836" s="5">
        <v>0</v>
      </c>
      <c r="L2836" s="5">
        <f t="shared" si="260"/>
        <v>0</v>
      </c>
      <c r="M2836" s="5">
        <f t="shared" si="261"/>
        <v>1880</v>
      </c>
      <c r="N2836" s="5">
        <f t="shared" si="261"/>
        <v>7520</v>
      </c>
      <c r="O2836" s="8" t="s">
        <v>20</v>
      </c>
      <c r="T2836">
        <v>0</v>
      </c>
      <c r="AC2836">
        <v>1</v>
      </c>
    </row>
    <row r="2837" spans="1:29" ht="30" customHeight="1" x14ac:dyDescent="0.3">
      <c r="A2837" s="8" t="s">
        <v>2292</v>
      </c>
      <c r="B2837" s="8" t="s">
        <v>152</v>
      </c>
      <c r="C2837" s="8" t="s">
        <v>153</v>
      </c>
      <c r="D2837" s="8" t="s">
        <v>154</v>
      </c>
      <c r="E2837" s="8" t="s">
        <v>155</v>
      </c>
      <c r="F2837" s="9">
        <v>2</v>
      </c>
      <c r="G2837" s="5">
        <v>0</v>
      </c>
      <c r="H2837" s="5">
        <f t="shared" si="258"/>
        <v>0</v>
      </c>
      <c r="I2837" s="5">
        <f>TRUNC([1]단가대비표!O671,0)</f>
        <v>157068</v>
      </c>
      <c r="J2837" s="5">
        <f t="shared" si="259"/>
        <v>314136</v>
      </c>
      <c r="K2837" s="5">
        <v>0</v>
      </c>
      <c r="L2837" s="5">
        <f t="shared" si="260"/>
        <v>0</v>
      </c>
      <c r="M2837" s="5">
        <f t="shared" si="261"/>
        <v>157068</v>
      </c>
      <c r="N2837" s="5">
        <f t="shared" si="261"/>
        <v>314136</v>
      </c>
      <c r="O2837" s="8" t="s">
        <v>20</v>
      </c>
      <c r="T2837">
        <v>0</v>
      </c>
      <c r="W2837">
        <v>3</v>
      </c>
      <c r="AC2837">
        <v>1</v>
      </c>
    </row>
    <row r="2838" spans="1:29" ht="30" customHeight="1" x14ac:dyDescent="0.3">
      <c r="A2838" s="8" t="s">
        <v>2292</v>
      </c>
      <c r="B2838" s="8" t="s">
        <v>553</v>
      </c>
      <c r="C2838" s="8" t="s">
        <v>153</v>
      </c>
      <c r="D2838" s="8" t="s">
        <v>554</v>
      </c>
      <c r="E2838" s="8" t="s">
        <v>155</v>
      </c>
      <c r="F2838" s="9">
        <v>5</v>
      </c>
      <c r="G2838" s="5">
        <v>0</v>
      </c>
      <c r="H2838" s="5">
        <f t="shared" si="258"/>
        <v>0</v>
      </c>
      <c r="I2838" s="5">
        <f>TRUNC([1]단가대비표!O668,0)</f>
        <v>214118</v>
      </c>
      <c r="J2838" s="5">
        <f t="shared" si="259"/>
        <v>1070590</v>
      </c>
      <c r="K2838" s="5">
        <v>0</v>
      </c>
      <c r="L2838" s="5">
        <f t="shared" si="260"/>
        <v>0</v>
      </c>
      <c r="M2838" s="5">
        <f t="shared" si="261"/>
        <v>214118</v>
      </c>
      <c r="N2838" s="5">
        <f t="shared" si="261"/>
        <v>1070590</v>
      </c>
      <c r="O2838" s="8" t="s">
        <v>20</v>
      </c>
      <c r="T2838">
        <v>0</v>
      </c>
      <c r="W2838">
        <v>3</v>
      </c>
      <c r="AC2838">
        <v>1</v>
      </c>
    </row>
    <row r="2839" spans="1:29" ht="30" customHeight="1" x14ac:dyDescent="0.3">
      <c r="A2839" s="8" t="s">
        <v>2292</v>
      </c>
      <c r="B2839" s="8" t="s">
        <v>158</v>
      </c>
      <c r="C2839" s="8" t="s">
        <v>159</v>
      </c>
      <c r="D2839" s="8" t="s">
        <v>160</v>
      </c>
      <c r="E2839" s="8" t="s">
        <v>161</v>
      </c>
      <c r="F2839" s="9">
        <v>1</v>
      </c>
      <c r="G2839" s="5">
        <f>ROUNDDOWN(SUMIF(W2813:W2839, RIGHTB(B2839, 1), J2813:J2839)*T2839, 0)</f>
        <v>27694</v>
      </c>
      <c r="H2839" s="5">
        <f t="shared" si="258"/>
        <v>27694</v>
      </c>
      <c r="I2839" s="5">
        <v>0</v>
      </c>
      <c r="J2839" s="5">
        <f t="shared" si="259"/>
        <v>0</v>
      </c>
      <c r="K2839" s="5">
        <v>0</v>
      </c>
      <c r="L2839" s="5">
        <f t="shared" si="260"/>
        <v>0</v>
      </c>
      <c r="M2839" s="5">
        <f t="shared" si="261"/>
        <v>27694</v>
      </c>
      <c r="N2839" s="5">
        <f t="shared" si="261"/>
        <v>27694</v>
      </c>
      <c r="O2839" s="8" t="s">
        <v>20</v>
      </c>
      <c r="P2839">
        <v>2839</v>
      </c>
      <c r="R2839">
        <v>1</v>
      </c>
      <c r="S2839">
        <v>0</v>
      </c>
      <c r="T2839">
        <v>0.02</v>
      </c>
      <c r="AC2839">
        <v>1</v>
      </c>
    </row>
    <row r="2840" spans="1:29" ht="30" customHeight="1" x14ac:dyDescent="0.3">
      <c r="A2840" s="5"/>
      <c r="B2840" s="5"/>
      <c r="C2840" s="5"/>
      <c r="D2840" s="5"/>
      <c r="E2840" s="5"/>
      <c r="F2840" s="9"/>
      <c r="G2840" s="5"/>
      <c r="H2840" s="5"/>
      <c r="I2840" s="5"/>
      <c r="J2840" s="5"/>
      <c r="K2840" s="5"/>
      <c r="L2840" s="5"/>
      <c r="M2840" s="5"/>
      <c r="N2840" s="5"/>
      <c r="O2840" s="5"/>
    </row>
    <row r="2841" spans="1:29" ht="30" customHeight="1" x14ac:dyDescent="0.3">
      <c r="A2841" s="5"/>
      <c r="B2841" s="5"/>
      <c r="C2841" s="5"/>
      <c r="D2841" s="5"/>
      <c r="E2841" s="5"/>
      <c r="F2841" s="9"/>
      <c r="G2841" s="5"/>
      <c r="H2841" s="5"/>
      <c r="I2841" s="5"/>
      <c r="J2841" s="5"/>
      <c r="K2841" s="5"/>
      <c r="L2841" s="5"/>
      <c r="M2841" s="5"/>
      <c r="N2841" s="5"/>
      <c r="O2841" s="5"/>
    </row>
    <row r="2842" spans="1:29" ht="30" customHeight="1" x14ac:dyDescent="0.3">
      <c r="A2842" s="5"/>
      <c r="B2842" s="5"/>
      <c r="C2842" s="5"/>
      <c r="D2842" s="5"/>
      <c r="E2842" s="5"/>
      <c r="F2842" s="9"/>
      <c r="G2842" s="5"/>
      <c r="H2842" s="5"/>
      <c r="I2842" s="5"/>
      <c r="J2842" s="5"/>
      <c r="K2842" s="5"/>
      <c r="L2842" s="5"/>
      <c r="M2842" s="5"/>
      <c r="N2842" s="5"/>
      <c r="O2842" s="5"/>
    </row>
    <row r="2843" spans="1:29" ht="30" customHeight="1" x14ac:dyDescent="0.3">
      <c r="A2843" s="5"/>
      <c r="B2843" s="5"/>
      <c r="C2843" s="5"/>
      <c r="D2843" s="5"/>
      <c r="E2843" s="5"/>
      <c r="F2843" s="9"/>
      <c r="G2843" s="5"/>
      <c r="H2843" s="5"/>
      <c r="I2843" s="5"/>
      <c r="J2843" s="5"/>
      <c r="K2843" s="5"/>
      <c r="L2843" s="5"/>
      <c r="M2843" s="5"/>
      <c r="N2843" s="5"/>
      <c r="O2843" s="5"/>
    </row>
    <row r="2844" spans="1:29" ht="30" customHeight="1" x14ac:dyDescent="0.3">
      <c r="A2844" s="5"/>
      <c r="B2844" s="5"/>
      <c r="C2844" s="5"/>
      <c r="D2844" s="5"/>
      <c r="E2844" s="5"/>
      <c r="F2844" s="9"/>
      <c r="G2844" s="5"/>
      <c r="H2844" s="5"/>
      <c r="I2844" s="5"/>
      <c r="J2844" s="5"/>
      <c r="K2844" s="5"/>
      <c r="L2844" s="5"/>
      <c r="M2844" s="5"/>
      <c r="N2844" s="5"/>
      <c r="O2844" s="5"/>
    </row>
    <row r="2845" spans="1:29" ht="30" customHeight="1" x14ac:dyDescent="0.3">
      <c r="A2845" s="5"/>
      <c r="B2845" s="5"/>
      <c r="C2845" s="5"/>
      <c r="D2845" s="5"/>
      <c r="E2845" s="5"/>
      <c r="F2845" s="9"/>
      <c r="G2845" s="5"/>
      <c r="H2845" s="5"/>
      <c r="I2845" s="5"/>
      <c r="J2845" s="5"/>
      <c r="K2845" s="5"/>
      <c r="L2845" s="5"/>
      <c r="M2845" s="5"/>
      <c r="N2845" s="5"/>
      <c r="O2845" s="5"/>
    </row>
    <row r="2846" spans="1:29" ht="30" customHeight="1" x14ac:dyDescent="0.3">
      <c r="A2846" s="5"/>
      <c r="B2846" s="5"/>
      <c r="C2846" s="5"/>
      <c r="D2846" s="5"/>
      <c r="E2846" s="5"/>
      <c r="F2846" s="9"/>
      <c r="G2846" s="5"/>
      <c r="H2846" s="5"/>
      <c r="I2846" s="5"/>
      <c r="J2846" s="5"/>
      <c r="K2846" s="5"/>
      <c r="L2846" s="5"/>
      <c r="M2846" s="5"/>
      <c r="N2846" s="5"/>
      <c r="O2846" s="5"/>
    </row>
    <row r="2847" spans="1:29" ht="30" customHeight="1" x14ac:dyDescent="0.3">
      <c r="A2847" s="5"/>
      <c r="B2847" s="5"/>
      <c r="C2847" s="5"/>
      <c r="D2847" s="5"/>
      <c r="E2847" s="5"/>
      <c r="F2847" s="9"/>
      <c r="G2847" s="5"/>
      <c r="H2847" s="5"/>
      <c r="I2847" s="5"/>
      <c r="J2847" s="5"/>
      <c r="K2847" s="5"/>
      <c r="L2847" s="5"/>
      <c r="M2847" s="5"/>
      <c r="N2847" s="5"/>
      <c r="O2847" s="5"/>
    </row>
    <row r="2848" spans="1:29" ht="30" customHeight="1" x14ac:dyDescent="0.3">
      <c r="A2848" s="5"/>
      <c r="B2848" s="5"/>
      <c r="C2848" s="5"/>
      <c r="D2848" s="5"/>
      <c r="E2848" s="5"/>
      <c r="F2848" s="9"/>
      <c r="G2848" s="5"/>
      <c r="H2848" s="5"/>
      <c r="I2848" s="5"/>
      <c r="J2848" s="5"/>
      <c r="K2848" s="5"/>
      <c r="L2848" s="5"/>
      <c r="M2848" s="5"/>
      <c r="N2848" s="5"/>
      <c r="O2848" s="5"/>
    </row>
    <row r="2849" spans="1:15" ht="30" customHeight="1" x14ac:dyDescent="0.3">
      <c r="A2849" s="5"/>
      <c r="B2849" s="5"/>
      <c r="C2849" s="5"/>
      <c r="D2849" s="5"/>
      <c r="E2849" s="5"/>
      <c r="F2849" s="9"/>
      <c r="G2849" s="5"/>
      <c r="H2849" s="5"/>
      <c r="I2849" s="5"/>
      <c r="J2849" s="5"/>
      <c r="K2849" s="5"/>
      <c r="L2849" s="5"/>
      <c r="M2849" s="5"/>
      <c r="N2849" s="5"/>
      <c r="O2849" s="5"/>
    </row>
    <row r="2850" spans="1:15" ht="30" customHeight="1" x14ac:dyDescent="0.3">
      <c r="A2850" s="5"/>
      <c r="B2850" s="5"/>
      <c r="C2850" s="5"/>
      <c r="D2850" s="5"/>
      <c r="E2850" s="5"/>
      <c r="F2850" s="9"/>
      <c r="G2850" s="5"/>
      <c r="H2850" s="5"/>
      <c r="I2850" s="5"/>
      <c r="J2850" s="5"/>
      <c r="K2850" s="5"/>
      <c r="L2850" s="5"/>
      <c r="M2850" s="5"/>
      <c r="N2850" s="5"/>
      <c r="O2850" s="5"/>
    </row>
    <row r="2851" spans="1:15" ht="30" customHeight="1" x14ac:dyDescent="0.3">
      <c r="A2851" s="5"/>
      <c r="B2851" s="5"/>
      <c r="C2851" s="5"/>
      <c r="D2851" s="5"/>
      <c r="E2851" s="5"/>
      <c r="F2851" s="9"/>
      <c r="G2851" s="5"/>
      <c r="H2851" s="5"/>
      <c r="I2851" s="5"/>
      <c r="J2851" s="5"/>
      <c r="K2851" s="5"/>
      <c r="L2851" s="5"/>
      <c r="M2851" s="5"/>
      <c r="N2851" s="5"/>
      <c r="O2851" s="5"/>
    </row>
    <row r="2852" spans="1:15" ht="30" customHeight="1" x14ac:dyDescent="0.3">
      <c r="A2852" s="5"/>
      <c r="B2852" s="5"/>
      <c r="C2852" s="5"/>
      <c r="D2852" s="5"/>
      <c r="E2852" s="5"/>
      <c r="F2852" s="9"/>
      <c r="G2852" s="5"/>
      <c r="H2852" s="5"/>
      <c r="I2852" s="5"/>
      <c r="J2852" s="5"/>
      <c r="K2852" s="5"/>
      <c r="L2852" s="5"/>
      <c r="M2852" s="5"/>
      <c r="N2852" s="5"/>
      <c r="O2852" s="5"/>
    </row>
    <row r="2853" spans="1:15" ht="30" customHeight="1" x14ac:dyDescent="0.3">
      <c r="A2853" s="5"/>
      <c r="B2853" s="5"/>
      <c r="C2853" s="5"/>
      <c r="D2853" s="5"/>
      <c r="E2853" s="5"/>
      <c r="F2853" s="9"/>
      <c r="G2853" s="5"/>
      <c r="H2853" s="5"/>
      <c r="I2853" s="5"/>
      <c r="J2853" s="5"/>
      <c r="K2853" s="5"/>
      <c r="L2853" s="5"/>
      <c r="M2853" s="5"/>
      <c r="N2853" s="5"/>
      <c r="O2853" s="5"/>
    </row>
    <row r="2854" spans="1:15" ht="30" customHeight="1" x14ac:dyDescent="0.3">
      <c r="A2854" s="5"/>
      <c r="B2854" s="5"/>
      <c r="C2854" s="5"/>
      <c r="D2854" s="5"/>
      <c r="E2854" s="5"/>
      <c r="F2854" s="9"/>
      <c r="G2854" s="5"/>
      <c r="H2854" s="5"/>
      <c r="I2854" s="5"/>
      <c r="J2854" s="5"/>
      <c r="K2854" s="5"/>
      <c r="L2854" s="5"/>
      <c r="M2854" s="5"/>
      <c r="N2854" s="5"/>
      <c r="O2854" s="5"/>
    </row>
    <row r="2855" spans="1:15" ht="30" customHeight="1" x14ac:dyDescent="0.3">
      <c r="A2855" s="5"/>
      <c r="B2855" s="5"/>
      <c r="C2855" s="5"/>
      <c r="D2855" s="5"/>
      <c r="E2855" s="5"/>
      <c r="F2855" s="9"/>
      <c r="G2855" s="5"/>
      <c r="H2855" s="5"/>
      <c r="I2855" s="5"/>
      <c r="J2855" s="5"/>
      <c r="K2855" s="5"/>
      <c r="L2855" s="5"/>
      <c r="M2855" s="5"/>
      <c r="N2855" s="5"/>
      <c r="O2855" s="5"/>
    </row>
    <row r="2856" spans="1:15" ht="30" customHeight="1" x14ac:dyDescent="0.3">
      <c r="A2856" s="5"/>
      <c r="B2856" s="5"/>
      <c r="C2856" s="5"/>
      <c r="D2856" s="5"/>
      <c r="E2856" s="5"/>
      <c r="F2856" s="9"/>
      <c r="G2856" s="5"/>
      <c r="H2856" s="5"/>
      <c r="I2856" s="5"/>
      <c r="J2856" s="5"/>
      <c r="K2856" s="5"/>
      <c r="L2856" s="5"/>
      <c r="M2856" s="5"/>
      <c r="N2856" s="5"/>
      <c r="O2856" s="5"/>
    </row>
    <row r="2857" spans="1:15" ht="30" customHeight="1" x14ac:dyDescent="0.3">
      <c r="A2857" s="5"/>
      <c r="B2857" s="5"/>
      <c r="C2857" s="5"/>
      <c r="D2857" s="5"/>
      <c r="E2857" s="5"/>
      <c r="F2857" s="9"/>
      <c r="G2857" s="5"/>
      <c r="H2857" s="5"/>
      <c r="I2857" s="5"/>
      <c r="J2857" s="5"/>
      <c r="K2857" s="5"/>
      <c r="L2857" s="5"/>
      <c r="M2857" s="5"/>
      <c r="N2857" s="5"/>
      <c r="O2857" s="5"/>
    </row>
    <row r="2858" spans="1:15" ht="30" customHeight="1" x14ac:dyDescent="0.3">
      <c r="A2858" s="5"/>
      <c r="B2858" s="5"/>
      <c r="C2858" s="5"/>
      <c r="D2858" s="5"/>
      <c r="E2858" s="5"/>
      <c r="F2858" s="9"/>
      <c r="G2858" s="5"/>
      <c r="H2858" s="5"/>
      <c r="I2858" s="5"/>
      <c r="J2858" s="5"/>
      <c r="K2858" s="5"/>
      <c r="L2858" s="5"/>
      <c r="M2858" s="5"/>
      <c r="N2858" s="5"/>
      <c r="O2858" s="5"/>
    </row>
    <row r="2859" spans="1:15" ht="30" customHeight="1" x14ac:dyDescent="0.3">
      <c r="A2859" s="5"/>
      <c r="B2859" s="5"/>
      <c r="C2859" s="5"/>
      <c r="D2859" s="5"/>
      <c r="E2859" s="5"/>
      <c r="F2859" s="9"/>
      <c r="G2859" s="5"/>
      <c r="H2859" s="5"/>
      <c r="I2859" s="5"/>
      <c r="J2859" s="5"/>
      <c r="K2859" s="5"/>
      <c r="L2859" s="5"/>
      <c r="M2859" s="5"/>
      <c r="N2859" s="5"/>
      <c r="O2859" s="5"/>
    </row>
    <row r="2860" spans="1:15" ht="30" customHeight="1" x14ac:dyDescent="0.3">
      <c r="A2860" s="5"/>
      <c r="B2860" s="5"/>
      <c r="C2860" s="5"/>
      <c r="D2860" s="5"/>
      <c r="E2860" s="5"/>
      <c r="F2860" s="9"/>
      <c r="G2860" s="5"/>
      <c r="H2860" s="5"/>
      <c r="I2860" s="5"/>
      <c r="J2860" s="5"/>
      <c r="K2860" s="5"/>
      <c r="L2860" s="5"/>
      <c r="M2860" s="5"/>
      <c r="N2860" s="5"/>
      <c r="O2860" s="5"/>
    </row>
    <row r="2861" spans="1:15" ht="30" customHeight="1" x14ac:dyDescent="0.3">
      <c r="A2861" s="5"/>
      <c r="B2861" s="5"/>
      <c r="C2861" s="5"/>
      <c r="D2861" s="5"/>
      <c r="E2861" s="5"/>
      <c r="F2861" s="9"/>
      <c r="G2861" s="5"/>
      <c r="H2861" s="5"/>
      <c r="I2861" s="5"/>
      <c r="J2861" s="5"/>
      <c r="K2861" s="5"/>
      <c r="L2861" s="5"/>
      <c r="M2861" s="5"/>
      <c r="N2861" s="5"/>
      <c r="O2861" s="5"/>
    </row>
    <row r="2862" spans="1:15" ht="30" customHeight="1" x14ac:dyDescent="0.3">
      <c r="A2862" s="5"/>
      <c r="B2862" s="5"/>
      <c r="C2862" s="5"/>
      <c r="D2862" s="5"/>
      <c r="E2862" s="5"/>
      <c r="F2862" s="9"/>
      <c r="G2862" s="5"/>
      <c r="H2862" s="5"/>
      <c r="I2862" s="5"/>
      <c r="J2862" s="5"/>
      <c r="K2862" s="5"/>
      <c r="L2862" s="5"/>
      <c r="M2862" s="5"/>
      <c r="N2862" s="5"/>
      <c r="O2862" s="5"/>
    </row>
    <row r="2863" spans="1:15" ht="30" customHeight="1" x14ac:dyDescent="0.3">
      <c r="A2863" s="5"/>
      <c r="B2863" s="5"/>
      <c r="C2863" s="5" t="s">
        <v>162</v>
      </c>
      <c r="D2863" s="5"/>
      <c r="E2863" s="5"/>
      <c r="F2863" s="9"/>
      <c r="G2863" s="5"/>
      <c r="H2863" s="5" t="e">
        <f>SUMIF(AC2813:AC2862, 1, H2813:H2862)</f>
        <v>#REF!</v>
      </c>
      <c r="I2863" s="5"/>
      <c r="J2863" s="5" t="e">
        <f>SUMIF(AC2813:AC2862, 1, J2813:J2862)</f>
        <v>#REF!</v>
      </c>
      <c r="K2863" s="5"/>
      <c r="L2863" s="5" t="e">
        <f>SUMIF(AC2813:AC2862, 1, L2813:L2862)</f>
        <v>#REF!</v>
      </c>
      <c r="M2863" s="5"/>
      <c r="N2863" s="5" t="e">
        <f>H2863+J2863+L2863</f>
        <v>#REF!</v>
      </c>
      <c r="O2863" s="5"/>
    </row>
    <row r="2864" spans="1:15" ht="30" customHeight="1" x14ac:dyDescent="0.3">
      <c r="A2864" s="5"/>
      <c r="B2864" s="5"/>
      <c r="C2864" s="10" t="s">
        <v>2295</v>
      </c>
      <c r="D2864" s="10"/>
      <c r="E2864" s="10"/>
      <c r="F2864" s="11"/>
      <c r="G2864" s="10"/>
      <c r="H2864" s="10"/>
      <c r="I2864" s="10"/>
      <c r="J2864" s="10"/>
      <c r="K2864" s="10"/>
      <c r="L2864" s="10"/>
      <c r="M2864" s="10"/>
      <c r="N2864" s="10"/>
      <c r="O2864" s="10"/>
    </row>
    <row r="2865" spans="1:29" ht="30" customHeight="1" x14ac:dyDescent="0.3">
      <c r="A2865" s="8" t="s">
        <v>2296</v>
      </c>
      <c r="B2865" s="8" t="s">
        <v>1211</v>
      </c>
      <c r="C2865" s="8" t="s">
        <v>864</v>
      </c>
      <c r="D2865" s="8" t="s">
        <v>1212</v>
      </c>
      <c r="E2865" s="8" t="s">
        <v>168</v>
      </c>
      <c r="F2865" s="9">
        <v>78</v>
      </c>
      <c r="G2865" s="5">
        <f>TRUNC([1]단가대비표!O125,0)</f>
        <v>4152</v>
      </c>
      <c r="H2865" s="5">
        <f t="shared" ref="H2865:H2886" si="262">TRUNC(F2865*G2865,0)</f>
        <v>323856</v>
      </c>
      <c r="I2865" s="5">
        <v>0</v>
      </c>
      <c r="J2865" s="5">
        <f t="shared" ref="J2865:J2886" si="263">TRUNC(F2865*I2865,0)</f>
        <v>0</v>
      </c>
      <c r="K2865" s="5">
        <v>0</v>
      </c>
      <c r="L2865" s="5">
        <f t="shared" ref="L2865:L2886" si="264">TRUNC(F2865*K2865,0)</f>
        <v>0</v>
      </c>
      <c r="M2865" s="5">
        <f t="shared" ref="M2865:N2886" si="265">G2865+I2865+K2865</f>
        <v>4152</v>
      </c>
      <c r="N2865" s="5">
        <f t="shared" si="265"/>
        <v>323856</v>
      </c>
      <c r="O2865" s="8" t="s">
        <v>20</v>
      </c>
      <c r="T2865">
        <v>0</v>
      </c>
      <c r="U2865">
        <v>1</v>
      </c>
      <c r="AC2865">
        <v>1</v>
      </c>
    </row>
    <row r="2866" spans="1:29" ht="30" customHeight="1" x14ac:dyDescent="0.3">
      <c r="A2866" s="8" t="s">
        <v>2296</v>
      </c>
      <c r="B2866" s="8" t="s">
        <v>1213</v>
      </c>
      <c r="C2866" s="8" t="s">
        <v>864</v>
      </c>
      <c r="D2866" s="8" t="s">
        <v>1214</v>
      </c>
      <c r="E2866" s="8" t="s">
        <v>168</v>
      </c>
      <c r="F2866" s="9">
        <v>6</v>
      </c>
      <c r="G2866" s="5">
        <f>TRUNC([1]단가대비표!O126,0)</f>
        <v>6560</v>
      </c>
      <c r="H2866" s="5">
        <f t="shared" si="262"/>
        <v>39360</v>
      </c>
      <c r="I2866" s="5">
        <v>0</v>
      </c>
      <c r="J2866" s="5">
        <f t="shared" si="263"/>
        <v>0</v>
      </c>
      <c r="K2866" s="5">
        <v>0</v>
      </c>
      <c r="L2866" s="5">
        <f t="shared" si="264"/>
        <v>0</v>
      </c>
      <c r="M2866" s="5">
        <f t="shared" si="265"/>
        <v>6560</v>
      </c>
      <c r="N2866" s="5">
        <f t="shared" si="265"/>
        <v>39360</v>
      </c>
      <c r="O2866" s="8" t="s">
        <v>20</v>
      </c>
      <c r="T2866">
        <v>0</v>
      </c>
      <c r="U2866">
        <v>1</v>
      </c>
      <c r="AC2866">
        <v>1</v>
      </c>
    </row>
    <row r="2867" spans="1:29" ht="30" customHeight="1" x14ac:dyDescent="0.3">
      <c r="A2867" s="8" t="s">
        <v>2296</v>
      </c>
      <c r="B2867" s="8" t="s">
        <v>173</v>
      </c>
      <c r="C2867" s="8" t="s">
        <v>174</v>
      </c>
      <c r="D2867" s="8" t="s">
        <v>175</v>
      </c>
      <c r="E2867" s="8" t="s">
        <v>161</v>
      </c>
      <c r="F2867" s="9">
        <v>1</v>
      </c>
      <c r="G2867" s="5">
        <f>ROUNDDOWN(SUMIF(U2865:U2886, RIGHTB(B2867, 1), H2865:H2886)*T2867, 0)</f>
        <v>10896</v>
      </c>
      <c r="H2867" s="5">
        <f t="shared" si="262"/>
        <v>10896</v>
      </c>
      <c r="I2867" s="5">
        <v>0</v>
      </c>
      <c r="J2867" s="5">
        <f t="shared" si="263"/>
        <v>0</v>
      </c>
      <c r="K2867" s="5">
        <v>0</v>
      </c>
      <c r="L2867" s="5">
        <f t="shared" si="264"/>
        <v>0</v>
      </c>
      <c r="M2867" s="5">
        <f t="shared" si="265"/>
        <v>10896</v>
      </c>
      <c r="N2867" s="5">
        <f t="shared" si="265"/>
        <v>10896</v>
      </c>
      <c r="O2867" s="8" t="s">
        <v>20</v>
      </c>
      <c r="P2867">
        <v>2867</v>
      </c>
      <c r="R2867">
        <v>0</v>
      </c>
      <c r="S2867">
        <v>0</v>
      </c>
      <c r="T2867">
        <v>0.03</v>
      </c>
      <c r="AC2867">
        <v>1</v>
      </c>
    </row>
    <row r="2868" spans="1:29" ht="30" customHeight="1" x14ac:dyDescent="0.3">
      <c r="A2868" s="8" t="s">
        <v>2296</v>
      </c>
      <c r="B2868" s="8" t="s">
        <v>902</v>
      </c>
      <c r="C2868" s="8" t="s">
        <v>893</v>
      </c>
      <c r="D2868" s="8" t="s">
        <v>903</v>
      </c>
      <c r="E2868" s="8" t="s">
        <v>895</v>
      </c>
      <c r="F2868" s="9">
        <v>78</v>
      </c>
      <c r="G2868" s="5">
        <f>TRUNC([1]단가대비표!O697,0)</f>
        <v>1083</v>
      </c>
      <c r="H2868" s="5">
        <f t="shared" si="262"/>
        <v>84474</v>
      </c>
      <c r="I2868" s="5">
        <v>14376</v>
      </c>
      <c r="J2868" s="5">
        <f t="shared" si="263"/>
        <v>1121328</v>
      </c>
      <c r="K2868" s="5">
        <v>0</v>
      </c>
      <c r="L2868" s="5">
        <f t="shared" si="264"/>
        <v>0</v>
      </c>
      <c r="M2868" s="5">
        <f t="shared" si="265"/>
        <v>15459</v>
      </c>
      <c r="N2868" s="5">
        <f t="shared" si="265"/>
        <v>1205802</v>
      </c>
      <c r="O2868" s="8" t="s">
        <v>429</v>
      </c>
      <c r="T2868">
        <v>0</v>
      </c>
      <c r="AC2868">
        <v>1</v>
      </c>
    </row>
    <row r="2869" spans="1:29" ht="30" customHeight="1" x14ac:dyDescent="0.3">
      <c r="A2869" s="8" t="s">
        <v>2296</v>
      </c>
      <c r="B2869" s="8" t="s">
        <v>904</v>
      </c>
      <c r="C2869" s="8" t="s">
        <v>893</v>
      </c>
      <c r="D2869" s="8" t="s">
        <v>905</v>
      </c>
      <c r="E2869" s="8" t="s">
        <v>895</v>
      </c>
      <c r="F2869" s="9">
        <v>6</v>
      </c>
      <c r="G2869" s="5">
        <f>TRUNC([1]단가대비표!O698,0)</f>
        <v>1279</v>
      </c>
      <c r="H2869" s="5">
        <f t="shared" si="262"/>
        <v>7674</v>
      </c>
      <c r="I2869" s="5">
        <v>16982</v>
      </c>
      <c r="J2869" s="5">
        <f t="shared" si="263"/>
        <v>101892</v>
      </c>
      <c r="K2869" s="5">
        <v>0</v>
      </c>
      <c r="L2869" s="5">
        <f t="shared" si="264"/>
        <v>0</v>
      </c>
      <c r="M2869" s="5">
        <f t="shared" si="265"/>
        <v>18261</v>
      </c>
      <c r="N2869" s="5">
        <f t="shared" si="265"/>
        <v>109566</v>
      </c>
      <c r="O2869" s="8" t="s">
        <v>429</v>
      </c>
      <c r="T2869">
        <v>0</v>
      </c>
      <c r="AC2869">
        <v>1</v>
      </c>
    </row>
    <row r="2870" spans="1:29" ht="30" customHeight="1" x14ac:dyDescent="0.3">
      <c r="A2870" s="8" t="s">
        <v>2296</v>
      </c>
      <c r="B2870" s="8" t="s">
        <v>1215</v>
      </c>
      <c r="C2870" s="8" t="s">
        <v>694</v>
      </c>
      <c r="D2870" s="8" t="s">
        <v>1216</v>
      </c>
      <c r="E2870" s="8" t="s">
        <v>179</v>
      </c>
      <c r="F2870" s="9">
        <v>27</v>
      </c>
      <c r="G2870" s="5">
        <f>TRUNC([1]단가대비표!O304,0)</f>
        <v>2090</v>
      </c>
      <c r="H2870" s="5">
        <f t="shared" si="262"/>
        <v>56430</v>
      </c>
      <c r="I2870" s="5">
        <v>0</v>
      </c>
      <c r="J2870" s="5">
        <f t="shared" si="263"/>
        <v>0</v>
      </c>
      <c r="K2870" s="5">
        <v>0</v>
      </c>
      <c r="L2870" s="5">
        <f t="shared" si="264"/>
        <v>0</v>
      </c>
      <c r="M2870" s="5">
        <f t="shared" si="265"/>
        <v>2090</v>
      </c>
      <c r="N2870" s="5">
        <f t="shared" si="265"/>
        <v>56430</v>
      </c>
      <c r="O2870" s="8" t="s">
        <v>20</v>
      </c>
      <c r="T2870">
        <v>0</v>
      </c>
      <c r="AC2870">
        <v>1</v>
      </c>
    </row>
    <row r="2871" spans="1:29" ht="30" customHeight="1" x14ac:dyDescent="0.3">
      <c r="A2871" s="8" t="s">
        <v>2296</v>
      </c>
      <c r="B2871" s="8" t="s">
        <v>927</v>
      </c>
      <c r="C2871" s="8" t="s">
        <v>694</v>
      </c>
      <c r="D2871" s="8" t="s">
        <v>928</v>
      </c>
      <c r="E2871" s="8" t="s">
        <v>179</v>
      </c>
      <c r="F2871" s="9">
        <v>8</v>
      </c>
      <c r="G2871" s="5">
        <f>TRUNC([1]단가대비표!O312,0)</f>
        <v>1110</v>
      </c>
      <c r="H2871" s="5">
        <f t="shared" si="262"/>
        <v>8880</v>
      </c>
      <c r="I2871" s="5">
        <v>0</v>
      </c>
      <c r="J2871" s="5">
        <f t="shared" si="263"/>
        <v>0</v>
      </c>
      <c r="K2871" s="5">
        <v>0</v>
      </c>
      <c r="L2871" s="5">
        <f t="shared" si="264"/>
        <v>0</v>
      </c>
      <c r="M2871" s="5">
        <f t="shared" si="265"/>
        <v>1110</v>
      </c>
      <c r="N2871" s="5">
        <f t="shared" si="265"/>
        <v>8880</v>
      </c>
      <c r="O2871" s="8" t="s">
        <v>20</v>
      </c>
      <c r="T2871">
        <v>0</v>
      </c>
      <c r="AC2871">
        <v>1</v>
      </c>
    </row>
    <row r="2872" spans="1:29" ht="30" customHeight="1" x14ac:dyDescent="0.3">
      <c r="A2872" s="8" t="s">
        <v>2296</v>
      </c>
      <c r="B2872" s="8" t="s">
        <v>1217</v>
      </c>
      <c r="C2872" s="8" t="s">
        <v>694</v>
      </c>
      <c r="D2872" s="8" t="s">
        <v>1218</v>
      </c>
      <c r="E2872" s="8" t="s">
        <v>179</v>
      </c>
      <c r="F2872" s="9">
        <v>2</v>
      </c>
      <c r="G2872" s="5">
        <f>TRUNC([1]단가대비표!O335,0)</f>
        <v>4650</v>
      </c>
      <c r="H2872" s="5">
        <f t="shared" si="262"/>
        <v>9300</v>
      </c>
      <c r="I2872" s="5">
        <v>0</v>
      </c>
      <c r="J2872" s="5">
        <f t="shared" si="263"/>
        <v>0</v>
      </c>
      <c r="K2872" s="5">
        <v>0</v>
      </c>
      <c r="L2872" s="5">
        <f t="shared" si="264"/>
        <v>0</v>
      </c>
      <c r="M2872" s="5">
        <f t="shared" si="265"/>
        <v>4650</v>
      </c>
      <c r="N2872" s="5">
        <f t="shared" si="265"/>
        <v>9300</v>
      </c>
      <c r="O2872" s="8" t="s">
        <v>20</v>
      </c>
      <c r="T2872">
        <v>0</v>
      </c>
      <c r="AC2872">
        <v>1</v>
      </c>
    </row>
    <row r="2873" spans="1:29" ht="30" customHeight="1" x14ac:dyDescent="0.3">
      <c r="A2873" s="8" t="s">
        <v>2296</v>
      </c>
      <c r="B2873" s="8" t="s">
        <v>1219</v>
      </c>
      <c r="C2873" s="8" t="s">
        <v>694</v>
      </c>
      <c r="D2873" s="8" t="s">
        <v>1220</v>
      </c>
      <c r="E2873" s="8" t="s">
        <v>179</v>
      </c>
      <c r="F2873" s="9">
        <v>1</v>
      </c>
      <c r="G2873" s="5">
        <f>TRUNC([1]단가대비표!O382,0)</f>
        <v>2460</v>
      </c>
      <c r="H2873" s="5">
        <f t="shared" si="262"/>
        <v>2460</v>
      </c>
      <c r="I2873" s="5">
        <v>0</v>
      </c>
      <c r="J2873" s="5">
        <f t="shared" si="263"/>
        <v>0</v>
      </c>
      <c r="K2873" s="5">
        <v>0</v>
      </c>
      <c r="L2873" s="5">
        <f t="shared" si="264"/>
        <v>0</v>
      </c>
      <c r="M2873" s="5">
        <f t="shared" si="265"/>
        <v>2460</v>
      </c>
      <c r="N2873" s="5">
        <f t="shared" si="265"/>
        <v>2460</v>
      </c>
      <c r="O2873" s="8" t="s">
        <v>20</v>
      </c>
      <c r="T2873">
        <v>0</v>
      </c>
      <c r="AC2873">
        <v>1</v>
      </c>
    </row>
    <row r="2874" spans="1:29" ht="30" customHeight="1" x14ac:dyDescent="0.3">
      <c r="A2874" s="8" t="s">
        <v>2296</v>
      </c>
      <c r="B2874" s="8" t="s">
        <v>1221</v>
      </c>
      <c r="C2874" s="8" t="s">
        <v>1222</v>
      </c>
      <c r="D2874" s="8" t="s">
        <v>1234</v>
      </c>
      <c r="E2874" s="8" t="s">
        <v>545</v>
      </c>
      <c r="F2874" s="9">
        <v>10</v>
      </c>
      <c r="G2874" s="5" t="e">
        <f>'[2].xls].xls].xls].xls].xls].xls].xls].'!E116</f>
        <v>#REF!</v>
      </c>
      <c r="H2874" s="5" t="e">
        <f t="shared" si="262"/>
        <v>#REF!</v>
      </c>
      <c r="I2874" s="5" t="e">
        <f>'[2].xls].xls].xls].xls].xls].xls].xls].'!F116</f>
        <v>#REF!</v>
      </c>
      <c r="J2874" s="5" t="e">
        <f t="shared" si="263"/>
        <v>#REF!</v>
      </c>
      <c r="K2874" s="5" t="e">
        <f>'[2].xls].xls].xls].xls].xls].xls].xls].'!G116</f>
        <v>#REF!</v>
      </c>
      <c r="L2874" s="5" t="e">
        <f t="shared" si="264"/>
        <v>#REF!</v>
      </c>
      <c r="M2874" s="5" t="e">
        <f t="shared" si="265"/>
        <v>#REF!</v>
      </c>
      <c r="N2874" s="5" t="e">
        <f t="shared" si="265"/>
        <v>#REF!</v>
      </c>
      <c r="O2874" s="8" t="s">
        <v>1221</v>
      </c>
      <c r="T2874">
        <v>0</v>
      </c>
      <c r="AC2874">
        <v>1</v>
      </c>
    </row>
    <row r="2875" spans="1:29" ht="30" customHeight="1" x14ac:dyDescent="0.3">
      <c r="A2875" s="8" t="s">
        <v>2296</v>
      </c>
      <c r="B2875" s="8" t="s">
        <v>1261</v>
      </c>
      <c r="C2875" s="8" t="s">
        <v>1262</v>
      </c>
      <c r="D2875" s="8" t="s">
        <v>1263</v>
      </c>
      <c r="E2875" s="8" t="s">
        <v>168</v>
      </c>
      <c r="F2875" s="9">
        <v>10</v>
      </c>
      <c r="G2875" s="5">
        <f>TRUNC([1]단가대비표!O16,0)</f>
        <v>2720</v>
      </c>
      <c r="H2875" s="5">
        <f t="shared" si="262"/>
        <v>27200</v>
      </c>
      <c r="I2875" s="5">
        <v>0</v>
      </c>
      <c r="J2875" s="5">
        <f t="shared" si="263"/>
        <v>0</v>
      </c>
      <c r="K2875" s="5">
        <v>0</v>
      </c>
      <c r="L2875" s="5">
        <f t="shared" si="264"/>
        <v>0</v>
      </c>
      <c r="M2875" s="5">
        <f t="shared" si="265"/>
        <v>2720</v>
      </c>
      <c r="N2875" s="5">
        <f t="shared" si="265"/>
        <v>27200</v>
      </c>
      <c r="O2875" s="8" t="s">
        <v>20</v>
      </c>
      <c r="T2875">
        <v>0</v>
      </c>
      <c r="AC2875">
        <v>1</v>
      </c>
    </row>
    <row r="2876" spans="1:29" ht="30" customHeight="1" x14ac:dyDescent="0.3">
      <c r="A2876" s="8" t="s">
        <v>2296</v>
      </c>
      <c r="B2876" s="8" t="s">
        <v>1281</v>
      </c>
      <c r="C2876" s="8" t="s">
        <v>1282</v>
      </c>
      <c r="D2876" s="8" t="s">
        <v>348</v>
      </c>
      <c r="E2876" s="8" t="s">
        <v>179</v>
      </c>
      <c r="F2876" s="9">
        <v>38</v>
      </c>
      <c r="G2876" s="5">
        <f>TRUNC([1]단가대비표!O600,0)</f>
        <v>714</v>
      </c>
      <c r="H2876" s="5">
        <f t="shared" si="262"/>
        <v>27132</v>
      </c>
      <c r="I2876" s="5">
        <v>0</v>
      </c>
      <c r="J2876" s="5">
        <f t="shared" si="263"/>
        <v>0</v>
      </c>
      <c r="K2876" s="5">
        <v>0</v>
      </c>
      <c r="L2876" s="5">
        <f t="shared" si="264"/>
        <v>0</v>
      </c>
      <c r="M2876" s="5">
        <f t="shared" si="265"/>
        <v>714</v>
      </c>
      <c r="N2876" s="5">
        <f t="shared" si="265"/>
        <v>27132</v>
      </c>
      <c r="O2876" s="8" t="s">
        <v>20</v>
      </c>
      <c r="T2876">
        <v>0</v>
      </c>
      <c r="AC2876">
        <v>1</v>
      </c>
    </row>
    <row r="2877" spans="1:29" ht="30" customHeight="1" x14ac:dyDescent="0.3">
      <c r="A2877" s="8" t="s">
        <v>2296</v>
      </c>
      <c r="B2877" s="8" t="s">
        <v>1291</v>
      </c>
      <c r="C2877" s="8" t="s">
        <v>1292</v>
      </c>
      <c r="D2877" s="8" t="s">
        <v>348</v>
      </c>
      <c r="E2877" s="8" t="s">
        <v>179</v>
      </c>
      <c r="F2877" s="9">
        <v>17</v>
      </c>
      <c r="G2877" s="5">
        <f>TRUNC([1]단가대비표!O604,0)</f>
        <v>5100</v>
      </c>
      <c r="H2877" s="5">
        <f t="shared" si="262"/>
        <v>86700</v>
      </c>
      <c r="I2877" s="5">
        <v>0</v>
      </c>
      <c r="J2877" s="5">
        <f t="shared" si="263"/>
        <v>0</v>
      </c>
      <c r="K2877" s="5">
        <v>0</v>
      </c>
      <c r="L2877" s="5">
        <f t="shared" si="264"/>
        <v>0</v>
      </c>
      <c r="M2877" s="5">
        <f t="shared" si="265"/>
        <v>5100</v>
      </c>
      <c r="N2877" s="5">
        <f t="shared" si="265"/>
        <v>86700</v>
      </c>
      <c r="O2877" s="8" t="s">
        <v>20</v>
      </c>
      <c r="T2877">
        <v>0</v>
      </c>
      <c r="AC2877">
        <v>1</v>
      </c>
    </row>
    <row r="2878" spans="1:29" ht="30" customHeight="1" x14ac:dyDescent="0.3">
      <c r="A2878" s="8" t="s">
        <v>2296</v>
      </c>
      <c r="B2878" s="8" t="s">
        <v>1293</v>
      </c>
      <c r="C2878" s="8" t="s">
        <v>1292</v>
      </c>
      <c r="D2878" s="8" t="s">
        <v>350</v>
      </c>
      <c r="E2878" s="8" t="s">
        <v>179</v>
      </c>
      <c r="F2878" s="9">
        <v>1</v>
      </c>
      <c r="G2878" s="5">
        <f>TRUNC([1]단가대비표!O605,0)</f>
        <v>12750</v>
      </c>
      <c r="H2878" s="5">
        <f t="shared" si="262"/>
        <v>12750</v>
      </c>
      <c r="I2878" s="5">
        <v>0</v>
      </c>
      <c r="J2878" s="5">
        <f t="shared" si="263"/>
        <v>0</v>
      </c>
      <c r="K2878" s="5">
        <v>0</v>
      </c>
      <c r="L2878" s="5">
        <f t="shared" si="264"/>
        <v>0</v>
      </c>
      <c r="M2878" s="5">
        <f t="shared" si="265"/>
        <v>12750</v>
      </c>
      <c r="N2878" s="5">
        <f t="shared" si="265"/>
        <v>12750</v>
      </c>
      <c r="O2878" s="8" t="s">
        <v>20</v>
      </c>
      <c r="T2878">
        <v>0</v>
      </c>
      <c r="AC2878">
        <v>1</v>
      </c>
    </row>
    <row r="2879" spans="1:29" ht="30" customHeight="1" x14ac:dyDescent="0.3">
      <c r="A2879" s="8" t="s">
        <v>2296</v>
      </c>
      <c r="B2879" s="8" t="s">
        <v>1059</v>
      </c>
      <c r="C2879" s="8" t="s">
        <v>1057</v>
      </c>
      <c r="D2879" s="8" t="s">
        <v>348</v>
      </c>
      <c r="E2879" s="8" t="s">
        <v>185</v>
      </c>
      <c r="F2879" s="9">
        <v>29</v>
      </c>
      <c r="G2879" s="5" t="e">
        <f>'[2].xls].xls].xls].xls].xls].xls].xls].'!E41</f>
        <v>#REF!</v>
      </c>
      <c r="H2879" s="5" t="e">
        <f t="shared" si="262"/>
        <v>#REF!</v>
      </c>
      <c r="I2879" s="5" t="e">
        <f>'[2].xls].xls].xls].xls].xls].xls].xls].'!F41</f>
        <v>#REF!</v>
      </c>
      <c r="J2879" s="5" t="e">
        <f t="shared" si="263"/>
        <v>#REF!</v>
      </c>
      <c r="K2879" s="5" t="e">
        <f>'[2].xls].xls].xls].xls].xls].xls].xls].'!G41</f>
        <v>#REF!</v>
      </c>
      <c r="L2879" s="5" t="e">
        <f t="shared" si="264"/>
        <v>#REF!</v>
      </c>
      <c r="M2879" s="5" t="e">
        <f t="shared" si="265"/>
        <v>#REF!</v>
      </c>
      <c r="N2879" s="5" t="e">
        <f t="shared" si="265"/>
        <v>#REF!</v>
      </c>
      <c r="O2879" s="8" t="s">
        <v>1059</v>
      </c>
      <c r="T2879">
        <v>0</v>
      </c>
      <c r="AC2879">
        <v>1</v>
      </c>
    </row>
    <row r="2880" spans="1:29" ht="30" customHeight="1" x14ac:dyDescent="0.3">
      <c r="A2880" s="8" t="s">
        <v>2296</v>
      </c>
      <c r="B2880" s="8" t="s">
        <v>1060</v>
      </c>
      <c r="C2880" s="8" t="s">
        <v>1057</v>
      </c>
      <c r="D2880" s="8" t="s">
        <v>350</v>
      </c>
      <c r="E2880" s="8" t="s">
        <v>185</v>
      </c>
      <c r="F2880" s="9">
        <v>1</v>
      </c>
      <c r="G2880" s="5" t="e">
        <f>'[2].xls].xls].xls].xls].xls].xls].xls].'!E42</f>
        <v>#REF!</v>
      </c>
      <c r="H2880" s="5" t="e">
        <f t="shared" si="262"/>
        <v>#REF!</v>
      </c>
      <c r="I2880" s="5" t="e">
        <f>'[2].xls].xls].xls].xls].xls].xls].xls].'!F42</f>
        <v>#REF!</v>
      </c>
      <c r="J2880" s="5" t="e">
        <f t="shared" si="263"/>
        <v>#REF!</v>
      </c>
      <c r="K2880" s="5" t="e">
        <f>'[2].xls].xls].xls].xls].xls].xls].xls].'!G42</f>
        <v>#REF!</v>
      </c>
      <c r="L2880" s="5" t="e">
        <f t="shared" si="264"/>
        <v>#REF!</v>
      </c>
      <c r="M2880" s="5" t="e">
        <f t="shared" si="265"/>
        <v>#REF!</v>
      </c>
      <c r="N2880" s="5" t="e">
        <f t="shared" si="265"/>
        <v>#REF!</v>
      </c>
      <c r="O2880" s="8" t="s">
        <v>1060</v>
      </c>
      <c r="T2880">
        <v>0</v>
      </c>
      <c r="AC2880">
        <v>1</v>
      </c>
    </row>
    <row r="2881" spans="1:29" ht="30" customHeight="1" x14ac:dyDescent="0.3">
      <c r="A2881" s="8" t="s">
        <v>2296</v>
      </c>
      <c r="B2881" s="8" t="s">
        <v>1074</v>
      </c>
      <c r="C2881" s="8" t="s">
        <v>528</v>
      </c>
      <c r="D2881" s="8" t="s">
        <v>348</v>
      </c>
      <c r="E2881" s="8" t="s">
        <v>185</v>
      </c>
      <c r="F2881" s="9">
        <v>17</v>
      </c>
      <c r="G2881" s="5" t="e">
        <f>'[2].xls].xls].xls].xls].xls].xls].xls].'!E61</f>
        <v>#REF!</v>
      </c>
      <c r="H2881" s="5" t="e">
        <f t="shared" si="262"/>
        <v>#REF!</v>
      </c>
      <c r="I2881" s="5" t="e">
        <f>'[2].xls].xls].xls].xls].xls].xls].xls].'!F61</f>
        <v>#REF!</v>
      </c>
      <c r="J2881" s="5" t="e">
        <f t="shared" si="263"/>
        <v>#REF!</v>
      </c>
      <c r="K2881" s="5" t="e">
        <f>'[2].xls].xls].xls].xls].xls].xls].xls].'!G61</f>
        <v>#REF!</v>
      </c>
      <c r="L2881" s="5" t="e">
        <f t="shared" si="264"/>
        <v>#REF!</v>
      </c>
      <c r="M2881" s="5" t="e">
        <f t="shared" si="265"/>
        <v>#REF!</v>
      </c>
      <c r="N2881" s="5" t="e">
        <f t="shared" si="265"/>
        <v>#REF!</v>
      </c>
      <c r="O2881" s="8" t="s">
        <v>1074</v>
      </c>
      <c r="T2881">
        <v>0</v>
      </c>
      <c r="AC2881">
        <v>1</v>
      </c>
    </row>
    <row r="2882" spans="1:29" ht="30" customHeight="1" x14ac:dyDescent="0.3">
      <c r="A2882" s="8" t="s">
        <v>2296</v>
      </c>
      <c r="B2882" s="8" t="s">
        <v>1075</v>
      </c>
      <c r="C2882" s="8" t="s">
        <v>528</v>
      </c>
      <c r="D2882" s="8" t="s">
        <v>350</v>
      </c>
      <c r="E2882" s="8" t="s">
        <v>185</v>
      </c>
      <c r="F2882" s="9">
        <v>1</v>
      </c>
      <c r="G2882" s="5" t="e">
        <f>'[2].xls].xls].xls].xls].xls].xls].xls].'!E62</f>
        <v>#REF!</v>
      </c>
      <c r="H2882" s="5" t="e">
        <f t="shared" si="262"/>
        <v>#REF!</v>
      </c>
      <c r="I2882" s="5" t="e">
        <f>'[2].xls].xls].xls].xls].xls].xls].xls].'!F62</f>
        <v>#REF!</v>
      </c>
      <c r="J2882" s="5" t="e">
        <f t="shared" si="263"/>
        <v>#REF!</v>
      </c>
      <c r="K2882" s="5" t="e">
        <f>'[2].xls].xls].xls].xls].xls].xls].xls].'!G62</f>
        <v>#REF!</v>
      </c>
      <c r="L2882" s="5" t="e">
        <f t="shared" si="264"/>
        <v>#REF!</v>
      </c>
      <c r="M2882" s="5" t="e">
        <f t="shared" si="265"/>
        <v>#REF!</v>
      </c>
      <c r="N2882" s="5" t="e">
        <f t="shared" si="265"/>
        <v>#REF!</v>
      </c>
      <c r="O2882" s="8" t="s">
        <v>1075</v>
      </c>
      <c r="T2882">
        <v>0</v>
      </c>
      <c r="AC2882">
        <v>1</v>
      </c>
    </row>
    <row r="2883" spans="1:29" ht="30" customHeight="1" x14ac:dyDescent="0.3">
      <c r="A2883" s="8" t="s">
        <v>2296</v>
      </c>
      <c r="B2883" s="8" t="s">
        <v>1297</v>
      </c>
      <c r="C2883" s="8" t="s">
        <v>543</v>
      </c>
      <c r="D2883" s="8" t="s">
        <v>1298</v>
      </c>
      <c r="E2883" s="8" t="s">
        <v>545</v>
      </c>
      <c r="F2883" s="9">
        <v>10</v>
      </c>
      <c r="G2883" s="5" t="e">
        <f>'[2].xls].xls].xls].xls].xls].xls].xls].'!E131</f>
        <v>#REF!</v>
      </c>
      <c r="H2883" s="5" t="e">
        <f t="shared" si="262"/>
        <v>#REF!</v>
      </c>
      <c r="I2883" s="5" t="e">
        <f>'[2].xls].xls].xls].xls].xls].xls].xls].'!F131</f>
        <v>#REF!</v>
      </c>
      <c r="J2883" s="5" t="e">
        <f t="shared" si="263"/>
        <v>#REF!</v>
      </c>
      <c r="K2883" s="5" t="e">
        <f>'[2].xls].xls].xls].xls].xls].xls].xls].'!G131</f>
        <v>#REF!</v>
      </c>
      <c r="L2883" s="5" t="e">
        <f t="shared" si="264"/>
        <v>#REF!</v>
      </c>
      <c r="M2883" s="5" t="e">
        <f t="shared" si="265"/>
        <v>#REF!</v>
      </c>
      <c r="N2883" s="5" t="e">
        <f t="shared" si="265"/>
        <v>#REF!</v>
      </c>
      <c r="O2883" s="8" t="s">
        <v>1297</v>
      </c>
      <c r="T2883">
        <v>0</v>
      </c>
      <c r="AC2883">
        <v>1</v>
      </c>
    </row>
    <row r="2884" spans="1:29" ht="30" customHeight="1" x14ac:dyDescent="0.3">
      <c r="A2884" s="8" t="s">
        <v>2296</v>
      </c>
      <c r="B2884" s="8" t="s">
        <v>2297</v>
      </c>
      <c r="C2884" s="8" t="s">
        <v>1319</v>
      </c>
      <c r="D2884" s="8" t="s">
        <v>1395</v>
      </c>
      <c r="E2884" s="8" t="s">
        <v>179</v>
      </c>
      <c r="F2884" s="9">
        <v>1</v>
      </c>
      <c r="G2884" s="5">
        <f>TRUNC([1]단가대비표!O912,0)</f>
        <v>7200</v>
      </c>
      <c r="H2884" s="5">
        <f t="shared" si="262"/>
        <v>7200</v>
      </c>
      <c r="I2884" s="5">
        <v>0</v>
      </c>
      <c r="J2884" s="5">
        <f t="shared" si="263"/>
        <v>0</v>
      </c>
      <c r="K2884" s="5">
        <v>0</v>
      </c>
      <c r="L2884" s="5">
        <f t="shared" si="264"/>
        <v>0</v>
      </c>
      <c r="M2884" s="5">
        <f t="shared" si="265"/>
        <v>7200</v>
      </c>
      <c r="N2884" s="5">
        <f t="shared" si="265"/>
        <v>7200</v>
      </c>
      <c r="O2884" s="8" t="s">
        <v>20</v>
      </c>
      <c r="T2884">
        <v>0</v>
      </c>
      <c r="AC2884">
        <v>1</v>
      </c>
    </row>
    <row r="2885" spans="1:29" ht="30" customHeight="1" x14ac:dyDescent="0.3">
      <c r="A2885" s="8" t="s">
        <v>2296</v>
      </c>
      <c r="B2885" s="8" t="s">
        <v>1438</v>
      </c>
      <c r="C2885" s="8" t="s">
        <v>153</v>
      </c>
      <c r="D2885" s="8" t="s">
        <v>1439</v>
      </c>
      <c r="E2885" s="8" t="s">
        <v>155</v>
      </c>
      <c r="F2885" s="9">
        <v>1</v>
      </c>
      <c r="G2885" s="5">
        <v>0</v>
      </c>
      <c r="H2885" s="5">
        <f t="shared" si="262"/>
        <v>0</v>
      </c>
      <c r="I2885" s="5">
        <f>TRUNC([1]단가대비표!O666,0)</f>
        <v>198718</v>
      </c>
      <c r="J2885" s="5">
        <f t="shared" si="263"/>
        <v>198718</v>
      </c>
      <c r="K2885" s="5">
        <v>0</v>
      </c>
      <c r="L2885" s="5">
        <f t="shared" si="264"/>
        <v>0</v>
      </c>
      <c r="M2885" s="5">
        <f t="shared" si="265"/>
        <v>198718</v>
      </c>
      <c r="N2885" s="5">
        <f t="shared" si="265"/>
        <v>198718</v>
      </c>
      <c r="O2885" s="8" t="s">
        <v>20</v>
      </c>
      <c r="T2885">
        <v>0</v>
      </c>
      <c r="W2885">
        <v>3</v>
      </c>
      <c r="AC2885">
        <v>1</v>
      </c>
    </row>
    <row r="2886" spans="1:29" ht="30" customHeight="1" x14ac:dyDescent="0.3">
      <c r="A2886" s="8" t="s">
        <v>2296</v>
      </c>
      <c r="B2886" s="8" t="s">
        <v>158</v>
      </c>
      <c r="C2886" s="8" t="s">
        <v>159</v>
      </c>
      <c r="D2886" s="8" t="s">
        <v>160</v>
      </c>
      <c r="E2886" s="8" t="s">
        <v>161</v>
      </c>
      <c r="F2886" s="9">
        <v>1</v>
      </c>
      <c r="G2886" s="5">
        <f>ROUNDDOWN(SUMIF(W2865:W2886, RIGHTB(B2886, 1), J2865:J2886)*T2886, 0)</f>
        <v>3974</v>
      </c>
      <c r="H2886" s="5">
        <f t="shared" si="262"/>
        <v>3974</v>
      </c>
      <c r="I2886" s="5">
        <v>0</v>
      </c>
      <c r="J2886" s="5">
        <f t="shared" si="263"/>
        <v>0</v>
      </c>
      <c r="K2886" s="5">
        <v>0</v>
      </c>
      <c r="L2886" s="5">
        <f t="shared" si="264"/>
        <v>0</v>
      </c>
      <c r="M2886" s="5">
        <f t="shared" si="265"/>
        <v>3974</v>
      </c>
      <c r="N2886" s="5">
        <f t="shared" si="265"/>
        <v>3974</v>
      </c>
      <c r="O2886" s="8" t="s">
        <v>20</v>
      </c>
      <c r="P2886">
        <v>2886</v>
      </c>
      <c r="R2886">
        <v>1</v>
      </c>
      <c r="S2886">
        <v>0</v>
      </c>
      <c r="T2886">
        <v>0.02</v>
      </c>
      <c r="AC2886">
        <v>1</v>
      </c>
    </row>
    <row r="2887" spans="1:29" ht="30" customHeight="1" x14ac:dyDescent="0.3">
      <c r="A2887" s="5"/>
      <c r="B2887" s="5"/>
      <c r="C2887" s="5"/>
      <c r="D2887" s="5"/>
      <c r="E2887" s="5"/>
      <c r="F2887" s="9"/>
      <c r="G2887" s="5"/>
      <c r="H2887" s="5"/>
      <c r="I2887" s="5"/>
      <c r="J2887" s="5"/>
      <c r="K2887" s="5"/>
      <c r="L2887" s="5"/>
      <c r="M2887" s="5"/>
      <c r="N2887" s="5"/>
      <c r="O2887" s="5"/>
    </row>
    <row r="2888" spans="1:29" ht="30" customHeight="1" x14ac:dyDescent="0.3">
      <c r="A2888" s="5"/>
      <c r="B2888" s="5"/>
      <c r="C2888" s="5"/>
      <c r="D2888" s="5"/>
      <c r="E2888" s="5"/>
      <c r="F2888" s="9"/>
      <c r="G2888" s="5"/>
      <c r="H2888" s="5"/>
      <c r="I2888" s="5"/>
      <c r="J2888" s="5"/>
      <c r="K2888" s="5"/>
      <c r="L2888" s="5"/>
      <c r="M2888" s="5"/>
      <c r="N2888" s="5"/>
      <c r="O2888" s="5"/>
    </row>
    <row r="2889" spans="1:29" ht="30" customHeight="1" x14ac:dyDescent="0.3">
      <c r="A2889" s="5"/>
      <c r="B2889" s="5"/>
      <c r="C2889" s="5" t="s">
        <v>162</v>
      </c>
      <c r="D2889" s="5"/>
      <c r="E2889" s="5"/>
      <c r="F2889" s="9"/>
      <c r="G2889" s="5"/>
      <c r="H2889" s="5" t="e">
        <f>SUMIF(AC2865:AC2888, 1, H2865:H2888)</f>
        <v>#REF!</v>
      </c>
      <c r="I2889" s="5"/>
      <c r="J2889" s="5" t="e">
        <f>SUMIF(AC2865:AC2888, 1, J2865:J2888)</f>
        <v>#REF!</v>
      </c>
      <c r="K2889" s="5"/>
      <c r="L2889" s="5" t="e">
        <f>SUMIF(AC2865:AC2888, 1, L2865:L2888)</f>
        <v>#REF!</v>
      </c>
      <c r="M2889" s="5"/>
      <c r="N2889" s="5" t="e">
        <f>H2889+J2889+L2889</f>
        <v>#REF!</v>
      </c>
      <c r="O2889" s="5"/>
    </row>
    <row r="2890" spans="1:29" ht="30" customHeight="1" x14ac:dyDescent="0.3">
      <c r="A2890" s="5"/>
      <c r="B2890" s="5"/>
      <c r="C2890" s="10" t="s">
        <v>2298</v>
      </c>
      <c r="D2890" s="10"/>
      <c r="E2890" s="10"/>
      <c r="F2890" s="11"/>
      <c r="G2890" s="10"/>
      <c r="H2890" s="10"/>
      <c r="I2890" s="10"/>
      <c r="J2890" s="10"/>
      <c r="K2890" s="10"/>
      <c r="L2890" s="10"/>
      <c r="M2890" s="10"/>
      <c r="N2890" s="10"/>
      <c r="O2890" s="10"/>
    </row>
    <row r="2891" spans="1:29" ht="30" customHeight="1" x14ac:dyDescent="0.3">
      <c r="A2891" s="8" t="s">
        <v>2299</v>
      </c>
      <c r="B2891" s="8" t="s">
        <v>2300</v>
      </c>
      <c r="C2891" s="8" t="s">
        <v>2301</v>
      </c>
      <c r="D2891" s="8" t="s">
        <v>20</v>
      </c>
      <c r="E2891" s="8" t="s">
        <v>20</v>
      </c>
      <c r="F2891" s="9">
        <v>0</v>
      </c>
      <c r="G2891" s="5">
        <f>TRUNC([1]단가대비표!O1223,0)</f>
        <v>0</v>
      </c>
      <c r="H2891" s="5">
        <f t="shared" ref="H2891:H2916" si="266">TRUNC(F2891*G2891,0)</f>
        <v>0</v>
      </c>
      <c r="I2891" s="5">
        <v>0</v>
      </c>
      <c r="J2891" s="5">
        <f t="shared" ref="J2891:J2916" si="267">TRUNC(F2891*I2891,0)</f>
        <v>0</v>
      </c>
      <c r="K2891" s="5">
        <v>0</v>
      </c>
      <c r="L2891" s="5">
        <f t="shared" ref="L2891:L2916" si="268">TRUNC(F2891*K2891,0)</f>
        <v>0</v>
      </c>
      <c r="M2891" s="5">
        <f t="shared" ref="M2891:N2916" si="269">G2891+I2891+K2891</f>
        <v>0</v>
      </c>
      <c r="N2891" s="5">
        <f t="shared" si="269"/>
        <v>0</v>
      </c>
      <c r="O2891" s="8" t="s">
        <v>20</v>
      </c>
      <c r="T2891">
        <v>0</v>
      </c>
      <c r="AC2891">
        <v>1</v>
      </c>
    </row>
    <row r="2892" spans="1:29" ht="30" customHeight="1" x14ac:dyDescent="0.3">
      <c r="A2892" s="8" t="s">
        <v>2299</v>
      </c>
      <c r="B2892" s="8" t="s">
        <v>2302</v>
      </c>
      <c r="C2892" s="8" t="s">
        <v>2303</v>
      </c>
      <c r="D2892" s="8" t="s">
        <v>2304</v>
      </c>
      <c r="E2892" s="8" t="s">
        <v>161</v>
      </c>
      <c r="F2892" s="9">
        <v>1</v>
      </c>
      <c r="G2892" s="5">
        <v>0</v>
      </c>
      <c r="H2892" s="5">
        <f t="shared" si="266"/>
        <v>0</v>
      </c>
      <c r="I2892" s="5">
        <v>0</v>
      </c>
      <c r="J2892" s="5">
        <f t="shared" si="267"/>
        <v>0</v>
      </c>
      <c r="K2892" s="5">
        <f>TRUNC([1]단가대비표!O1224,0)</f>
        <v>4203260</v>
      </c>
      <c r="L2892" s="5">
        <f t="shared" si="268"/>
        <v>4203260</v>
      </c>
      <c r="M2892" s="5">
        <f t="shared" si="269"/>
        <v>4203260</v>
      </c>
      <c r="N2892" s="5">
        <f t="shared" si="269"/>
        <v>4203260</v>
      </c>
      <c r="O2892" s="8" t="s">
        <v>20</v>
      </c>
      <c r="T2892">
        <v>0</v>
      </c>
      <c r="AC2892">
        <v>1</v>
      </c>
    </row>
    <row r="2893" spans="1:29" ht="30" customHeight="1" x14ac:dyDescent="0.3">
      <c r="A2893" s="8" t="s">
        <v>2299</v>
      </c>
      <c r="B2893" s="8" t="s">
        <v>2305</v>
      </c>
      <c r="C2893" s="8" t="s">
        <v>2306</v>
      </c>
      <c r="D2893" s="8" t="s">
        <v>20</v>
      </c>
      <c r="E2893" s="8" t="s">
        <v>20</v>
      </c>
      <c r="F2893" s="9">
        <v>0</v>
      </c>
      <c r="G2893" s="5">
        <f>TRUNC([1]단가대비표!O1225,0)</f>
        <v>0</v>
      </c>
      <c r="H2893" s="5">
        <f t="shared" si="266"/>
        <v>0</v>
      </c>
      <c r="I2893" s="5">
        <v>0</v>
      </c>
      <c r="J2893" s="5">
        <f t="shared" si="267"/>
        <v>0</v>
      </c>
      <c r="K2893" s="5">
        <v>0</v>
      </c>
      <c r="L2893" s="5">
        <f t="shared" si="268"/>
        <v>0</v>
      </c>
      <c r="M2893" s="5">
        <f t="shared" si="269"/>
        <v>0</v>
      </c>
      <c r="N2893" s="5">
        <f t="shared" si="269"/>
        <v>0</v>
      </c>
      <c r="O2893" s="8" t="s">
        <v>20</v>
      </c>
      <c r="T2893">
        <v>0</v>
      </c>
      <c r="AC2893">
        <v>1</v>
      </c>
    </row>
    <row r="2894" spans="1:29" ht="30" customHeight="1" x14ac:dyDescent="0.3">
      <c r="A2894" s="8" t="s">
        <v>2299</v>
      </c>
      <c r="B2894" s="8" t="s">
        <v>2307</v>
      </c>
      <c r="C2894" s="8" t="s">
        <v>2308</v>
      </c>
      <c r="D2894" s="8" t="s">
        <v>2309</v>
      </c>
      <c r="E2894" s="8" t="s">
        <v>19</v>
      </c>
      <c r="F2894" s="9">
        <v>1</v>
      </c>
      <c r="G2894" s="5">
        <v>0</v>
      </c>
      <c r="H2894" s="5">
        <f t="shared" si="266"/>
        <v>0</v>
      </c>
      <c r="I2894" s="5">
        <v>0</v>
      </c>
      <c r="J2894" s="5">
        <f t="shared" si="267"/>
        <v>0</v>
      </c>
      <c r="K2894" s="5">
        <f>TRUNC([1]단가대비표!O1226,0)</f>
        <v>116650</v>
      </c>
      <c r="L2894" s="5">
        <f t="shared" si="268"/>
        <v>116650</v>
      </c>
      <c r="M2894" s="5">
        <f t="shared" si="269"/>
        <v>116650</v>
      </c>
      <c r="N2894" s="5">
        <f t="shared" si="269"/>
        <v>116650</v>
      </c>
      <c r="O2894" s="8" t="s">
        <v>20</v>
      </c>
      <c r="T2894">
        <v>0</v>
      </c>
      <c r="AC2894">
        <v>1</v>
      </c>
    </row>
    <row r="2895" spans="1:29" ht="30" customHeight="1" x14ac:dyDescent="0.3">
      <c r="A2895" s="8" t="s">
        <v>2299</v>
      </c>
      <c r="B2895" s="8" t="s">
        <v>2310</v>
      </c>
      <c r="C2895" s="8" t="s">
        <v>2308</v>
      </c>
      <c r="D2895" s="8" t="s">
        <v>2311</v>
      </c>
      <c r="E2895" s="8" t="s">
        <v>19</v>
      </c>
      <c r="F2895" s="9">
        <v>1</v>
      </c>
      <c r="G2895" s="5">
        <v>0</v>
      </c>
      <c r="H2895" s="5">
        <f t="shared" si="266"/>
        <v>0</v>
      </c>
      <c r="I2895" s="5">
        <v>0</v>
      </c>
      <c r="J2895" s="5">
        <f t="shared" si="267"/>
        <v>0</v>
      </c>
      <c r="K2895" s="5">
        <f>TRUNC([1]단가대비표!O1227,0)</f>
        <v>163580</v>
      </c>
      <c r="L2895" s="5">
        <f t="shared" si="268"/>
        <v>163580</v>
      </c>
      <c r="M2895" s="5">
        <f t="shared" si="269"/>
        <v>163580</v>
      </c>
      <c r="N2895" s="5">
        <f t="shared" si="269"/>
        <v>163580</v>
      </c>
      <c r="O2895" s="8" t="s">
        <v>20</v>
      </c>
      <c r="T2895">
        <v>0</v>
      </c>
      <c r="AC2895">
        <v>1</v>
      </c>
    </row>
    <row r="2896" spans="1:29" ht="30" customHeight="1" x14ac:dyDescent="0.3">
      <c r="A2896" s="8" t="s">
        <v>2299</v>
      </c>
      <c r="B2896" s="8" t="s">
        <v>2312</v>
      </c>
      <c r="C2896" s="8" t="s">
        <v>2313</v>
      </c>
      <c r="D2896" s="8" t="s">
        <v>2309</v>
      </c>
      <c r="E2896" s="8" t="s">
        <v>19</v>
      </c>
      <c r="F2896" s="9">
        <v>11</v>
      </c>
      <c r="G2896" s="5">
        <v>0</v>
      </c>
      <c r="H2896" s="5">
        <f t="shared" si="266"/>
        <v>0</v>
      </c>
      <c r="I2896" s="5">
        <v>0</v>
      </c>
      <c r="J2896" s="5">
        <f t="shared" si="267"/>
        <v>0</v>
      </c>
      <c r="K2896" s="5">
        <f>TRUNC([1]단가대비표!O1228,0)</f>
        <v>99000</v>
      </c>
      <c r="L2896" s="5">
        <f t="shared" si="268"/>
        <v>1089000</v>
      </c>
      <c r="M2896" s="5">
        <f t="shared" si="269"/>
        <v>99000</v>
      </c>
      <c r="N2896" s="5">
        <f t="shared" si="269"/>
        <v>1089000</v>
      </c>
      <c r="O2896" s="8" t="s">
        <v>20</v>
      </c>
      <c r="T2896">
        <v>0</v>
      </c>
      <c r="AC2896">
        <v>1</v>
      </c>
    </row>
    <row r="2897" spans="1:29" ht="30" customHeight="1" x14ac:dyDescent="0.3">
      <c r="A2897" s="8" t="s">
        <v>2299</v>
      </c>
      <c r="B2897" s="8" t="s">
        <v>2314</v>
      </c>
      <c r="C2897" s="8" t="s">
        <v>2313</v>
      </c>
      <c r="D2897" s="8" t="s">
        <v>2311</v>
      </c>
      <c r="E2897" s="8" t="s">
        <v>19</v>
      </c>
      <c r="F2897" s="9">
        <v>7</v>
      </c>
      <c r="G2897" s="5">
        <v>0</v>
      </c>
      <c r="H2897" s="5">
        <f t="shared" si="266"/>
        <v>0</v>
      </c>
      <c r="I2897" s="5">
        <v>0</v>
      </c>
      <c r="J2897" s="5">
        <f t="shared" si="267"/>
        <v>0</v>
      </c>
      <c r="K2897" s="5">
        <f>TRUNC([1]단가대비표!O1229,0)</f>
        <v>117070</v>
      </c>
      <c r="L2897" s="5">
        <f t="shared" si="268"/>
        <v>819490</v>
      </c>
      <c r="M2897" s="5">
        <f t="shared" si="269"/>
        <v>117070</v>
      </c>
      <c r="N2897" s="5">
        <f t="shared" si="269"/>
        <v>819490</v>
      </c>
      <c r="O2897" s="8" t="s">
        <v>20</v>
      </c>
      <c r="T2897">
        <v>0</v>
      </c>
      <c r="AC2897">
        <v>1</v>
      </c>
    </row>
    <row r="2898" spans="1:29" ht="30" customHeight="1" x14ac:dyDescent="0.3">
      <c r="A2898" s="8" t="s">
        <v>2299</v>
      </c>
      <c r="B2898" s="8" t="s">
        <v>2315</v>
      </c>
      <c r="C2898" s="8" t="s">
        <v>2313</v>
      </c>
      <c r="D2898" s="8" t="s">
        <v>2316</v>
      </c>
      <c r="E2898" s="8" t="s">
        <v>19</v>
      </c>
      <c r="F2898" s="9">
        <v>3</v>
      </c>
      <c r="G2898" s="5">
        <v>0</v>
      </c>
      <c r="H2898" s="5">
        <f t="shared" si="266"/>
        <v>0</v>
      </c>
      <c r="I2898" s="5">
        <v>0</v>
      </c>
      <c r="J2898" s="5">
        <f t="shared" si="267"/>
        <v>0</v>
      </c>
      <c r="K2898" s="5">
        <f>TRUNC([1]단가대비표!O1230,0)</f>
        <v>15120</v>
      </c>
      <c r="L2898" s="5">
        <f t="shared" si="268"/>
        <v>45360</v>
      </c>
      <c r="M2898" s="5">
        <f t="shared" si="269"/>
        <v>15120</v>
      </c>
      <c r="N2898" s="5">
        <f t="shared" si="269"/>
        <v>45360</v>
      </c>
      <c r="O2898" s="8" t="s">
        <v>20</v>
      </c>
      <c r="T2898">
        <v>0</v>
      </c>
      <c r="AC2898">
        <v>1</v>
      </c>
    </row>
    <row r="2899" spans="1:29" ht="30" customHeight="1" x14ac:dyDescent="0.3">
      <c r="A2899" s="8" t="s">
        <v>2299</v>
      </c>
      <c r="B2899" s="8" t="s">
        <v>2317</v>
      </c>
      <c r="C2899" s="8" t="s">
        <v>2318</v>
      </c>
      <c r="D2899" s="8" t="s">
        <v>2311</v>
      </c>
      <c r="E2899" s="8" t="s">
        <v>19</v>
      </c>
      <c r="F2899" s="9">
        <v>1</v>
      </c>
      <c r="G2899" s="5">
        <v>0</v>
      </c>
      <c r="H2899" s="5">
        <f t="shared" si="266"/>
        <v>0</v>
      </c>
      <c r="I2899" s="5">
        <v>0</v>
      </c>
      <c r="J2899" s="5">
        <f t="shared" si="267"/>
        <v>0</v>
      </c>
      <c r="K2899" s="5">
        <f>TRUNC([1]단가대비표!O1231,0)</f>
        <v>81950</v>
      </c>
      <c r="L2899" s="5">
        <f t="shared" si="268"/>
        <v>81950</v>
      </c>
      <c r="M2899" s="5">
        <f t="shared" si="269"/>
        <v>81950</v>
      </c>
      <c r="N2899" s="5">
        <f t="shared" si="269"/>
        <v>81950</v>
      </c>
      <c r="O2899" s="8" t="s">
        <v>20</v>
      </c>
      <c r="T2899">
        <v>0</v>
      </c>
      <c r="AC2899">
        <v>1</v>
      </c>
    </row>
    <row r="2900" spans="1:29" ht="30" customHeight="1" x14ac:dyDescent="0.3">
      <c r="A2900" s="8" t="s">
        <v>2299</v>
      </c>
      <c r="B2900" s="8" t="s">
        <v>2319</v>
      </c>
      <c r="C2900" s="8" t="s">
        <v>2320</v>
      </c>
      <c r="D2900" s="8" t="s">
        <v>2321</v>
      </c>
      <c r="E2900" s="8" t="s">
        <v>19</v>
      </c>
      <c r="F2900" s="9">
        <v>1</v>
      </c>
      <c r="G2900" s="5">
        <v>0</v>
      </c>
      <c r="H2900" s="5">
        <f t="shared" si="266"/>
        <v>0</v>
      </c>
      <c r="I2900" s="5">
        <v>0</v>
      </c>
      <c r="J2900" s="5">
        <f t="shared" si="267"/>
        <v>0</v>
      </c>
      <c r="K2900" s="5">
        <f>TRUNC([1]단가대비표!O1232,0)</f>
        <v>137610</v>
      </c>
      <c r="L2900" s="5">
        <f t="shared" si="268"/>
        <v>137610</v>
      </c>
      <c r="M2900" s="5">
        <f t="shared" si="269"/>
        <v>137610</v>
      </c>
      <c r="N2900" s="5">
        <f t="shared" si="269"/>
        <v>137610</v>
      </c>
      <c r="O2900" s="8" t="s">
        <v>20</v>
      </c>
      <c r="T2900">
        <v>0</v>
      </c>
      <c r="AC2900">
        <v>1</v>
      </c>
    </row>
    <row r="2901" spans="1:29" ht="30" customHeight="1" x14ac:dyDescent="0.3">
      <c r="A2901" s="8" t="s">
        <v>2299</v>
      </c>
      <c r="B2901" s="8" t="s">
        <v>2322</v>
      </c>
      <c r="C2901" s="8" t="s">
        <v>2323</v>
      </c>
      <c r="D2901" s="8" t="s">
        <v>2324</v>
      </c>
      <c r="E2901" s="8" t="s">
        <v>19</v>
      </c>
      <c r="F2901" s="9">
        <v>2</v>
      </c>
      <c r="G2901" s="5">
        <v>0</v>
      </c>
      <c r="H2901" s="5">
        <f t="shared" si="266"/>
        <v>0</v>
      </c>
      <c r="I2901" s="5">
        <v>0</v>
      </c>
      <c r="J2901" s="5">
        <f t="shared" si="267"/>
        <v>0</v>
      </c>
      <c r="K2901" s="5">
        <f>TRUNC([1]단가대비표!O1233,0)</f>
        <v>59280</v>
      </c>
      <c r="L2901" s="5">
        <f t="shared" si="268"/>
        <v>118560</v>
      </c>
      <c r="M2901" s="5">
        <f t="shared" si="269"/>
        <v>59280</v>
      </c>
      <c r="N2901" s="5">
        <f t="shared" si="269"/>
        <v>118560</v>
      </c>
      <c r="O2901" s="8" t="s">
        <v>20</v>
      </c>
      <c r="T2901">
        <v>0</v>
      </c>
      <c r="AC2901">
        <v>1</v>
      </c>
    </row>
    <row r="2902" spans="1:29" ht="30" customHeight="1" x14ac:dyDescent="0.3">
      <c r="A2902" s="8" t="s">
        <v>2299</v>
      </c>
      <c r="B2902" s="8" t="s">
        <v>2325</v>
      </c>
      <c r="C2902" s="8" t="s">
        <v>2326</v>
      </c>
      <c r="D2902" s="8" t="s">
        <v>2327</v>
      </c>
      <c r="E2902" s="8" t="s">
        <v>428</v>
      </c>
      <c r="F2902" s="9">
        <v>81</v>
      </c>
      <c r="G2902" s="5">
        <v>0</v>
      </c>
      <c r="H2902" s="5">
        <f t="shared" si="266"/>
        <v>0</v>
      </c>
      <c r="I2902" s="5">
        <v>0</v>
      </c>
      <c r="J2902" s="5">
        <f t="shared" si="267"/>
        <v>0</v>
      </c>
      <c r="K2902" s="5">
        <f>TRUNC([1]단가대비표!O1234,0)</f>
        <v>16760</v>
      </c>
      <c r="L2902" s="5">
        <f t="shared" si="268"/>
        <v>1357560</v>
      </c>
      <c r="M2902" s="5">
        <f t="shared" si="269"/>
        <v>16760</v>
      </c>
      <c r="N2902" s="5">
        <f t="shared" si="269"/>
        <v>1357560</v>
      </c>
      <c r="O2902" s="8" t="s">
        <v>20</v>
      </c>
      <c r="T2902">
        <v>0</v>
      </c>
      <c r="AC2902">
        <v>1</v>
      </c>
    </row>
    <row r="2903" spans="1:29" ht="30" customHeight="1" x14ac:dyDescent="0.3">
      <c r="A2903" s="8" t="s">
        <v>2299</v>
      </c>
      <c r="B2903" s="8" t="s">
        <v>2328</v>
      </c>
      <c r="C2903" s="8" t="s">
        <v>2326</v>
      </c>
      <c r="D2903" s="8" t="s">
        <v>2329</v>
      </c>
      <c r="E2903" s="8" t="s">
        <v>428</v>
      </c>
      <c r="F2903" s="9">
        <v>38</v>
      </c>
      <c r="G2903" s="5">
        <v>0</v>
      </c>
      <c r="H2903" s="5">
        <f t="shared" si="266"/>
        <v>0</v>
      </c>
      <c r="I2903" s="5">
        <v>0</v>
      </c>
      <c r="J2903" s="5">
        <f t="shared" si="267"/>
        <v>0</v>
      </c>
      <c r="K2903" s="5">
        <f>TRUNC([1]단가대비표!O1235,0)</f>
        <v>21610</v>
      </c>
      <c r="L2903" s="5">
        <f t="shared" si="268"/>
        <v>821180</v>
      </c>
      <c r="M2903" s="5">
        <f t="shared" si="269"/>
        <v>21610</v>
      </c>
      <c r="N2903" s="5">
        <f t="shared" si="269"/>
        <v>821180</v>
      </c>
      <c r="O2903" s="8" t="s">
        <v>20</v>
      </c>
      <c r="T2903">
        <v>0</v>
      </c>
      <c r="AC2903">
        <v>1</v>
      </c>
    </row>
    <row r="2904" spans="1:29" ht="30" customHeight="1" x14ac:dyDescent="0.3">
      <c r="A2904" s="8" t="s">
        <v>2299</v>
      </c>
      <c r="B2904" s="8" t="s">
        <v>2330</v>
      </c>
      <c r="C2904" s="8" t="s">
        <v>2331</v>
      </c>
      <c r="D2904" s="8" t="s">
        <v>2332</v>
      </c>
      <c r="E2904" s="8" t="s">
        <v>428</v>
      </c>
      <c r="F2904" s="9">
        <v>171</v>
      </c>
      <c r="G2904" s="5">
        <v>0</v>
      </c>
      <c r="H2904" s="5">
        <f t="shared" si="266"/>
        <v>0</v>
      </c>
      <c r="I2904" s="5">
        <v>0</v>
      </c>
      <c r="J2904" s="5">
        <f t="shared" si="267"/>
        <v>0</v>
      </c>
      <c r="K2904" s="5">
        <f>TRUNC([1]단가대비표!O1236,0)</f>
        <v>4730</v>
      </c>
      <c r="L2904" s="5">
        <f t="shared" si="268"/>
        <v>808830</v>
      </c>
      <c r="M2904" s="5">
        <f t="shared" si="269"/>
        <v>4730</v>
      </c>
      <c r="N2904" s="5">
        <f t="shared" si="269"/>
        <v>808830</v>
      </c>
      <c r="O2904" s="8" t="s">
        <v>20</v>
      </c>
      <c r="T2904">
        <v>0</v>
      </c>
      <c r="AC2904">
        <v>1</v>
      </c>
    </row>
    <row r="2905" spans="1:29" ht="30" customHeight="1" x14ac:dyDescent="0.3">
      <c r="A2905" s="8" t="s">
        <v>2299</v>
      </c>
      <c r="B2905" s="8" t="s">
        <v>2333</v>
      </c>
      <c r="C2905" s="8" t="s">
        <v>2334</v>
      </c>
      <c r="D2905" s="8" t="s">
        <v>2304</v>
      </c>
      <c r="E2905" s="8" t="s">
        <v>161</v>
      </c>
      <c r="F2905" s="9">
        <v>1</v>
      </c>
      <c r="G2905" s="5">
        <v>0</v>
      </c>
      <c r="H2905" s="5">
        <f t="shared" si="266"/>
        <v>0</v>
      </c>
      <c r="I2905" s="5">
        <v>0</v>
      </c>
      <c r="J2905" s="5">
        <f t="shared" si="267"/>
        <v>0</v>
      </c>
      <c r="K2905" s="5">
        <f>TRUNC([1]단가대비표!O1237,0)</f>
        <v>1026310</v>
      </c>
      <c r="L2905" s="5">
        <f t="shared" si="268"/>
        <v>1026310</v>
      </c>
      <c r="M2905" s="5">
        <f t="shared" si="269"/>
        <v>1026310</v>
      </c>
      <c r="N2905" s="5">
        <f t="shared" si="269"/>
        <v>1026310</v>
      </c>
      <c r="O2905" s="8" t="s">
        <v>20</v>
      </c>
      <c r="T2905">
        <v>0</v>
      </c>
      <c r="AC2905">
        <v>1</v>
      </c>
    </row>
    <row r="2906" spans="1:29" ht="30" customHeight="1" x14ac:dyDescent="0.3">
      <c r="A2906" s="8" t="s">
        <v>2299</v>
      </c>
      <c r="B2906" s="8" t="s">
        <v>2335</v>
      </c>
      <c r="C2906" s="8" t="s">
        <v>2336</v>
      </c>
      <c r="D2906" s="8" t="s">
        <v>20</v>
      </c>
      <c r="E2906" s="8" t="s">
        <v>20</v>
      </c>
      <c r="F2906" s="9">
        <v>0</v>
      </c>
      <c r="G2906" s="5">
        <f>TRUNC([1]단가대비표!O1238,0)</f>
        <v>0</v>
      </c>
      <c r="H2906" s="5">
        <f t="shared" si="266"/>
        <v>0</v>
      </c>
      <c r="I2906" s="5">
        <v>0</v>
      </c>
      <c r="J2906" s="5">
        <f t="shared" si="267"/>
        <v>0</v>
      </c>
      <c r="K2906" s="5">
        <v>0</v>
      </c>
      <c r="L2906" s="5">
        <f t="shared" si="268"/>
        <v>0</v>
      </c>
      <c r="M2906" s="5">
        <f t="shared" si="269"/>
        <v>0</v>
      </c>
      <c r="N2906" s="5">
        <f t="shared" si="269"/>
        <v>0</v>
      </c>
      <c r="O2906" s="8" t="s">
        <v>20</v>
      </c>
      <c r="T2906">
        <v>0</v>
      </c>
      <c r="AC2906">
        <v>1</v>
      </c>
    </row>
    <row r="2907" spans="1:29" ht="30" customHeight="1" x14ac:dyDescent="0.3">
      <c r="A2907" s="8" t="s">
        <v>2299</v>
      </c>
      <c r="B2907" s="8" t="s">
        <v>2337</v>
      </c>
      <c r="C2907" s="8" t="s">
        <v>2338</v>
      </c>
      <c r="D2907" s="8" t="s">
        <v>2339</v>
      </c>
      <c r="E2907" s="8" t="s">
        <v>19</v>
      </c>
      <c r="F2907" s="9">
        <v>2</v>
      </c>
      <c r="G2907" s="5">
        <v>0</v>
      </c>
      <c r="H2907" s="5">
        <f t="shared" si="266"/>
        <v>0</v>
      </c>
      <c r="I2907" s="5">
        <v>0</v>
      </c>
      <c r="J2907" s="5">
        <f t="shared" si="267"/>
        <v>0</v>
      </c>
      <c r="K2907" s="5">
        <f>TRUNC([1]단가대비표!O1239,0)</f>
        <v>52400</v>
      </c>
      <c r="L2907" s="5">
        <f t="shared" si="268"/>
        <v>104800</v>
      </c>
      <c r="M2907" s="5">
        <f t="shared" si="269"/>
        <v>52400</v>
      </c>
      <c r="N2907" s="5">
        <f t="shared" si="269"/>
        <v>104800</v>
      </c>
      <c r="O2907" s="8" t="s">
        <v>20</v>
      </c>
      <c r="T2907">
        <v>0</v>
      </c>
      <c r="AC2907">
        <v>1</v>
      </c>
    </row>
    <row r="2908" spans="1:29" ht="30" customHeight="1" x14ac:dyDescent="0.3">
      <c r="A2908" s="8" t="s">
        <v>2299</v>
      </c>
      <c r="B2908" s="8" t="s">
        <v>2340</v>
      </c>
      <c r="C2908" s="8" t="s">
        <v>2341</v>
      </c>
      <c r="D2908" s="8" t="s">
        <v>2342</v>
      </c>
      <c r="E2908" s="8" t="s">
        <v>19</v>
      </c>
      <c r="F2908" s="9">
        <v>142</v>
      </c>
      <c r="G2908" s="5">
        <v>0</v>
      </c>
      <c r="H2908" s="5">
        <f t="shared" si="266"/>
        <v>0</v>
      </c>
      <c r="I2908" s="5">
        <v>0</v>
      </c>
      <c r="J2908" s="5">
        <f t="shared" si="267"/>
        <v>0</v>
      </c>
      <c r="K2908" s="5">
        <f>TRUNC([1]단가대비표!O1240,0)</f>
        <v>11040</v>
      </c>
      <c r="L2908" s="5">
        <f t="shared" si="268"/>
        <v>1567680</v>
      </c>
      <c r="M2908" s="5">
        <f t="shared" si="269"/>
        <v>11040</v>
      </c>
      <c r="N2908" s="5">
        <f t="shared" si="269"/>
        <v>1567680</v>
      </c>
      <c r="O2908" s="8" t="s">
        <v>20</v>
      </c>
      <c r="T2908">
        <v>0</v>
      </c>
      <c r="AC2908">
        <v>1</v>
      </c>
    </row>
    <row r="2909" spans="1:29" ht="30" customHeight="1" x14ac:dyDescent="0.3">
      <c r="A2909" s="8" t="s">
        <v>2299</v>
      </c>
      <c r="B2909" s="8" t="s">
        <v>2343</v>
      </c>
      <c r="C2909" s="8" t="s">
        <v>2344</v>
      </c>
      <c r="D2909" s="8" t="s">
        <v>2345</v>
      </c>
      <c r="E2909" s="8" t="s">
        <v>428</v>
      </c>
      <c r="F2909" s="9">
        <v>195</v>
      </c>
      <c r="G2909" s="5">
        <v>0</v>
      </c>
      <c r="H2909" s="5">
        <f t="shared" si="266"/>
        <v>0</v>
      </c>
      <c r="I2909" s="5">
        <v>0</v>
      </c>
      <c r="J2909" s="5">
        <f t="shared" si="267"/>
        <v>0</v>
      </c>
      <c r="K2909" s="5">
        <f>TRUNC([1]단가대비표!O1241,0)</f>
        <v>9070</v>
      </c>
      <c r="L2909" s="5">
        <f t="shared" si="268"/>
        <v>1768650</v>
      </c>
      <c r="M2909" s="5">
        <f t="shared" si="269"/>
        <v>9070</v>
      </c>
      <c r="N2909" s="5">
        <f t="shared" si="269"/>
        <v>1768650</v>
      </c>
      <c r="O2909" s="8" t="s">
        <v>20</v>
      </c>
      <c r="T2909">
        <v>0</v>
      </c>
      <c r="AC2909">
        <v>1</v>
      </c>
    </row>
    <row r="2910" spans="1:29" ht="30" customHeight="1" x14ac:dyDescent="0.3">
      <c r="A2910" s="8" t="s">
        <v>2299</v>
      </c>
      <c r="B2910" s="8" t="s">
        <v>2346</v>
      </c>
      <c r="C2910" s="8" t="s">
        <v>2347</v>
      </c>
      <c r="D2910" s="8" t="s">
        <v>2304</v>
      </c>
      <c r="E2910" s="8" t="s">
        <v>161</v>
      </c>
      <c r="F2910" s="9">
        <v>1</v>
      </c>
      <c r="G2910" s="5">
        <v>0</v>
      </c>
      <c r="H2910" s="5">
        <f t="shared" si="266"/>
        <v>0</v>
      </c>
      <c r="I2910" s="5">
        <v>0</v>
      </c>
      <c r="J2910" s="5">
        <f t="shared" si="267"/>
        <v>0</v>
      </c>
      <c r="K2910" s="5">
        <f>TRUNC([1]단가대비표!O1242,0)</f>
        <v>720600</v>
      </c>
      <c r="L2910" s="5">
        <f t="shared" si="268"/>
        <v>720600</v>
      </c>
      <c r="M2910" s="5">
        <f t="shared" si="269"/>
        <v>720600</v>
      </c>
      <c r="N2910" s="5">
        <f t="shared" si="269"/>
        <v>720600</v>
      </c>
      <c r="O2910" s="8" t="s">
        <v>20</v>
      </c>
      <c r="T2910">
        <v>0</v>
      </c>
      <c r="AC2910">
        <v>1</v>
      </c>
    </row>
    <row r="2911" spans="1:29" ht="30" customHeight="1" x14ac:dyDescent="0.3">
      <c r="A2911" s="8" t="s">
        <v>2299</v>
      </c>
      <c r="B2911" s="8" t="s">
        <v>2348</v>
      </c>
      <c r="C2911" s="8" t="s">
        <v>2349</v>
      </c>
      <c r="D2911" s="8" t="s">
        <v>2304</v>
      </c>
      <c r="E2911" s="8" t="s">
        <v>161</v>
      </c>
      <c r="F2911" s="9">
        <v>1</v>
      </c>
      <c r="G2911" s="5">
        <v>0</v>
      </c>
      <c r="H2911" s="5">
        <f t="shared" si="266"/>
        <v>0</v>
      </c>
      <c r="I2911" s="5">
        <v>0</v>
      </c>
      <c r="J2911" s="5">
        <f t="shared" si="267"/>
        <v>0</v>
      </c>
      <c r="K2911" s="5">
        <f>TRUNC([1]단가대비표!O1243,0)</f>
        <v>1167900</v>
      </c>
      <c r="L2911" s="5">
        <f t="shared" si="268"/>
        <v>1167900</v>
      </c>
      <c r="M2911" s="5">
        <f t="shared" si="269"/>
        <v>1167900</v>
      </c>
      <c r="N2911" s="5">
        <f t="shared" si="269"/>
        <v>1167900</v>
      </c>
      <c r="O2911" s="8" t="s">
        <v>20</v>
      </c>
      <c r="T2911">
        <v>0</v>
      </c>
      <c r="AC2911">
        <v>1</v>
      </c>
    </row>
    <row r="2912" spans="1:29" ht="30" customHeight="1" x14ac:dyDescent="0.3">
      <c r="A2912" s="8" t="s">
        <v>2299</v>
      </c>
      <c r="B2912" s="8" t="s">
        <v>2350</v>
      </c>
      <c r="C2912" s="8" t="s">
        <v>2351</v>
      </c>
      <c r="D2912" s="8" t="s">
        <v>2352</v>
      </c>
      <c r="E2912" s="8" t="s">
        <v>161</v>
      </c>
      <c r="F2912" s="9">
        <v>1</v>
      </c>
      <c r="G2912" s="5">
        <v>0</v>
      </c>
      <c r="H2912" s="5">
        <f t="shared" si="266"/>
        <v>0</v>
      </c>
      <c r="I2912" s="5">
        <v>0</v>
      </c>
      <c r="J2912" s="5">
        <f t="shared" si="267"/>
        <v>0</v>
      </c>
      <c r="K2912" s="5">
        <f>TRUNC([1]단가대비표!O1244,0)</f>
        <v>1074780</v>
      </c>
      <c r="L2912" s="5">
        <f t="shared" si="268"/>
        <v>1074780</v>
      </c>
      <c r="M2912" s="5">
        <f t="shared" si="269"/>
        <v>1074780</v>
      </c>
      <c r="N2912" s="5">
        <f t="shared" si="269"/>
        <v>1074780</v>
      </c>
      <c r="O2912" s="8" t="s">
        <v>20</v>
      </c>
      <c r="T2912">
        <v>0</v>
      </c>
      <c r="AC2912">
        <v>1</v>
      </c>
    </row>
    <row r="2913" spans="1:29" ht="30" customHeight="1" x14ac:dyDescent="0.3">
      <c r="A2913" s="8" t="s">
        <v>2299</v>
      </c>
      <c r="B2913" s="8" t="s">
        <v>2353</v>
      </c>
      <c r="C2913" s="8" t="s">
        <v>2354</v>
      </c>
      <c r="D2913" s="8" t="s">
        <v>2355</v>
      </c>
      <c r="E2913" s="8" t="s">
        <v>161</v>
      </c>
      <c r="F2913" s="9">
        <v>1</v>
      </c>
      <c r="G2913" s="5">
        <v>0</v>
      </c>
      <c r="H2913" s="5">
        <f t="shared" si="266"/>
        <v>0</v>
      </c>
      <c r="I2913" s="5">
        <v>0</v>
      </c>
      <c r="J2913" s="5">
        <f t="shared" si="267"/>
        <v>0</v>
      </c>
      <c r="K2913" s="5">
        <f>TRUNC([1]단가대비표!O1245,0)</f>
        <v>2579060</v>
      </c>
      <c r="L2913" s="5">
        <f t="shared" si="268"/>
        <v>2579060</v>
      </c>
      <c r="M2913" s="5">
        <f t="shared" si="269"/>
        <v>2579060</v>
      </c>
      <c r="N2913" s="5">
        <f t="shared" si="269"/>
        <v>2579060</v>
      </c>
      <c r="O2913" s="8" t="s">
        <v>20</v>
      </c>
      <c r="T2913">
        <v>0</v>
      </c>
      <c r="AC2913">
        <v>1</v>
      </c>
    </row>
    <row r="2914" spans="1:29" ht="30" customHeight="1" x14ac:dyDescent="0.3">
      <c r="A2914" s="8" t="s">
        <v>2299</v>
      </c>
      <c r="B2914" s="8" t="s">
        <v>2356</v>
      </c>
      <c r="C2914" s="8" t="s">
        <v>2357</v>
      </c>
      <c r="D2914" s="8" t="s">
        <v>2358</v>
      </c>
      <c r="E2914" s="8" t="s">
        <v>161</v>
      </c>
      <c r="F2914" s="9">
        <v>1</v>
      </c>
      <c r="G2914" s="5">
        <v>0</v>
      </c>
      <c r="H2914" s="5">
        <f t="shared" si="266"/>
        <v>0</v>
      </c>
      <c r="I2914" s="5">
        <v>0</v>
      </c>
      <c r="J2914" s="5">
        <f t="shared" si="267"/>
        <v>0</v>
      </c>
      <c r="K2914" s="5">
        <f>TRUNC([1]단가대비표!O1246,0)</f>
        <v>2308940</v>
      </c>
      <c r="L2914" s="5">
        <f t="shared" si="268"/>
        <v>2308940</v>
      </c>
      <c r="M2914" s="5">
        <f t="shared" si="269"/>
        <v>2308940</v>
      </c>
      <c r="N2914" s="5">
        <f t="shared" si="269"/>
        <v>2308940</v>
      </c>
      <c r="O2914" s="8" t="s">
        <v>20</v>
      </c>
      <c r="T2914">
        <v>0</v>
      </c>
      <c r="AC2914">
        <v>1</v>
      </c>
    </row>
    <row r="2915" spans="1:29" ht="30" customHeight="1" x14ac:dyDescent="0.3">
      <c r="A2915" s="8" t="s">
        <v>2299</v>
      </c>
      <c r="B2915" s="8" t="s">
        <v>2359</v>
      </c>
      <c r="C2915" s="8" t="s">
        <v>2360</v>
      </c>
      <c r="D2915" s="8" t="s">
        <v>2361</v>
      </c>
      <c r="E2915" s="8" t="s">
        <v>161</v>
      </c>
      <c r="F2915" s="9">
        <v>1</v>
      </c>
      <c r="G2915" s="5">
        <v>0</v>
      </c>
      <c r="H2915" s="5">
        <f t="shared" si="266"/>
        <v>0</v>
      </c>
      <c r="I2915" s="5">
        <v>0</v>
      </c>
      <c r="J2915" s="5">
        <f t="shared" si="267"/>
        <v>0</v>
      </c>
      <c r="K2915" s="5">
        <f>TRUNC([1]단가대비표!O1247,0)</f>
        <v>9886410</v>
      </c>
      <c r="L2915" s="5">
        <f t="shared" si="268"/>
        <v>9886410</v>
      </c>
      <c r="M2915" s="5">
        <f t="shared" si="269"/>
        <v>9886410</v>
      </c>
      <c r="N2915" s="5">
        <f t="shared" si="269"/>
        <v>9886410</v>
      </c>
      <c r="O2915" s="8" t="s">
        <v>20</v>
      </c>
      <c r="T2915">
        <v>0</v>
      </c>
      <c r="AC2915">
        <v>1</v>
      </c>
    </row>
    <row r="2916" spans="1:29" ht="30" customHeight="1" x14ac:dyDescent="0.3">
      <c r="A2916" s="8" t="s">
        <v>2299</v>
      </c>
      <c r="B2916" s="8" t="s">
        <v>2362</v>
      </c>
      <c r="C2916" s="8" t="s">
        <v>2363</v>
      </c>
      <c r="D2916" s="8" t="s">
        <v>2364</v>
      </c>
      <c r="E2916" s="8" t="s">
        <v>161</v>
      </c>
      <c r="F2916" s="9">
        <v>1</v>
      </c>
      <c r="G2916" s="5">
        <v>0</v>
      </c>
      <c r="H2916" s="5">
        <f t="shared" si="266"/>
        <v>0</v>
      </c>
      <c r="I2916" s="5">
        <v>0</v>
      </c>
      <c r="J2916" s="5">
        <f t="shared" si="267"/>
        <v>0</v>
      </c>
      <c r="K2916" s="5">
        <f>TRUNC([1]단가대비표!O1248,0)</f>
        <v>5931840</v>
      </c>
      <c r="L2916" s="5">
        <f t="shared" si="268"/>
        <v>5931840</v>
      </c>
      <c r="M2916" s="5">
        <f t="shared" si="269"/>
        <v>5931840</v>
      </c>
      <c r="N2916" s="5">
        <f t="shared" si="269"/>
        <v>5931840</v>
      </c>
      <c r="O2916" s="8" t="s">
        <v>20</v>
      </c>
      <c r="T2916">
        <v>0</v>
      </c>
      <c r="AC2916">
        <v>1</v>
      </c>
    </row>
    <row r="2917" spans="1:29" ht="30" customHeight="1" x14ac:dyDescent="0.3">
      <c r="A2917" s="5"/>
      <c r="B2917" s="5"/>
      <c r="C2917" s="5"/>
      <c r="D2917" s="5"/>
      <c r="E2917" s="5"/>
      <c r="F2917" s="9"/>
      <c r="G2917" s="5"/>
      <c r="H2917" s="5"/>
      <c r="I2917" s="5"/>
      <c r="J2917" s="5"/>
      <c r="K2917" s="5"/>
      <c r="L2917" s="5"/>
      <c r="M2917" s="5"/>
      <c r="N2917" s="5"/>
      <c r="O2917" s="5"/>
    </row>
    <row r="2918" spans="1:29" ht="30" customHeight="1" x14ac:dyDescent="0.3">
      <c r="A2918" s="5"/>
      <c r="B2918" s="5"/>
      <c r="C2918" s="5"/>
      <c r="D2918" s="5"/>
      <c r="E2918" s="5"/>
      <c r="F2918" s="9"/>
      <c r="G2918" s="5"/>
      <c r="H2918" s="5"/>
      <c r="I2918" s="5"/>
      <c r="J2918" s="5"/>
      <c r="K2918" s="5"/>
      <c r="L2918" s="5"/>
      <c r="M2918" s="5"/>
      <c r="N2918" s="5"/>
      <c r="O2918" s="5"/>
    </row>
    <row r="2919" spans="1:29" ht="30" customHeight="1" x14ac:dyDescent="0.3">
      <c r="A2919" s="5"/>
      <c r="B2919" s="5"/>
      <c r="C2919" s="5"/>
      <c r="D2919" s="5"/>
      <c r="E2919" s="5"/>
      <c r="F2919" s="9"/>
      <c r="G2919" s="5"/>
      <c r="H2919" s="5"/>
      <c r="I2919" s="5"/>
      <c r="J2919" s="5"/>
      <c r="K2919" s="5"/>
      <c r="L2919" s="5"/>
      <c r="M2919" s="5"/>
      <c r="N2919" s="5"/>
      <c r="O2919" s="5"/>
    </row>
    <row r="2920" spans="1:29" ht="30" customHeight="1" x14ac:dyDescent="0.3">
      <c r="A2920" s="5"/>
      <c r="B2920" s="5"/>
      <c r="C2920" s="5"/>
      <c r="D2920" s="5"/>
      <c r="E2920" s="5"/>
      <c r="F2920" s="9"/>
      <c r="G2920" s="5"/>
      <c r="H2920" s="5"/>
      <c r="I2920" s="5"/>
      <c r="J2920" s="5"/>
      <c r="K2920" s="5"/>
      <c r="L2920" s="5"/>
      <c r="M2920" s="5"/>
      <c r="N2920" s="5"/>
      <c r="O2920" s="5"/>
    </row>
    <row r="2921" spans="1:29" ht="30" customHeight="1" x14ac:dyDescent="0.3">
      <c r="A2921" s="5"/>
      <c r="B2921" s="5"/>
      <c r="C2921" s="5"/>
      <c r="D2921" s="5"/>
      <c r="E2921" s="5"/>
      <c r="F2921" s="9"/>
      <c r="G2921" s="5"/>
      <c r="H2921" s="5"/>
      <c r="I2921" s="5"/>
      <c r="J2921" s="5"/>
      <c r="K2921" s="5"/>
      <c r="L2921" s="5"/>
      <c r="M2921" s="5"/>
      <c r="N2921" s="5"/>
      <c r="O2921" s="5"/>
    </row>
    <row r="2922" spans="1:29" ht="30" customHeight="1" x14ac:dyDescent="0.3">
      <c r="A2922" s="5"/>
      <c r="B2922" s="5"/>
      <c r="C2922" s="5"/>
      <c r="D2922" s="5"/>
      <c r="E2922" s="5"/>
      <c r="F2922" s="9"/>
      <c r="G2922" s="5"/>
      <c r="H2922" s="5"/>
      <c r="I2922" s="5"/>
      <c r="J2922" s="5"/>
      <c r="K2922" s="5"/>
      <c r="L2922" s="5"/>
      <c r="M2922" s="5"/>
      <c r="N2922" s="5"/>
      <c r="O2922" s="5"/>
    </row>
    <row r="2923" spans="1:29" ht="30" customHeight="1" x14ac:dyDescent="0.3">
      <c r="A2923" s="5"/>
      <c r="B2923" s="5"/>
      <c r="C2923" s="5"/>
      <c r="D2923" s="5"/>
      <c r="E2923" s="5"/>
      <c r="F2923" s="9"/>
      <c r="G2923" s="5"/>
      <c r="H2923" s="5"/>
      <c r="I2923" s="5"/>
      <c r="J2923" s="5"/>
      <c r="K2923" s="5"/>
      <c r="L2923" s="5"/>
      <c r="M2923" s="5"/>
      <c r="N2923" s="5"/>
      <c r="O2923" s="5"/>
    </row>
    <row r="2924" spans="1:29" ht="30" customHeight="1" x14ac:dyDescent="0.3">
      <c r="A2924" s="5"/>
      <c r="B2924" s="5"/>
      <c r="C2924" s="5"/>
      <c r="D2924" s="5"/>
      <c r="E2924" s="5"/>
      <c r="F2924" s="9"/>
      <c r="G2924" s="5"/>
      <c r="H2924" s="5"/>
      <c r="I2924" s="5"/>
      <c r="J2924" s="5"/>
      <c r="K2924" s="5"/>
      <c r="L2924" s="5"/>
      <c r="M2924" s="5"/>
      <c r="N2924" s="5"/>
      <c r="O2924" s="5"/>
    </row>
    <row r="2925" spans="1:29" ht="30" customHeight="1" x14ac:dyDescent="0.3">
      <c r="A2925" s="5"/>
      <c r="B2925" s="5"/>
      <c r="C2925" s="5"/>
      <c r="D2925" s="5"/>
      <c r="E2925" s="5"/>
      <c r="F2925" s="9"/>
      <c r="G2925" s="5"/>
      <c r="H2925" s="5"/>
      <c r="I2925" s="5"/>
      <c r="J2925" s="5"/>
      <c r="K2925" s="5"/>
      <c r="L2925" s="5"/>
      <c r="M2925" s="5"/>
      <c r="N2925" s="5"/>
      <c r="O2925" s="5"/>
    </row>
    <row r="2926" spans="1:29" ht="30" customHeight="1" x14ac:dyDescent="0.3">
      <c r="A2926" s="5"/>
      <c r="B2926" s="5"/>
      <c r="C2926" s="5"/>
      <c r="D2926" s="5"/>
      <c r="E2926" s="5"/>
      <c r="F2926" s="9"/>
      <c r="G2926" s="5"/>
      <c r="H2926" s="5"/>
      <c r="I2926" s="5"/>
      <c r="J2926" s="5"/>
      <c r="K2926" s="5"/>
      <c r="L2926" s="5"/>
      <c r="M2926" s="5"/>
      <c r="N2926" s="5"/>
      <c r="O2926" s="5"/>
    </row>
    <row r="2927" spans="1:29" ht="30" customHeight="1" x14ac:dyDescent="0.3">
      <c r="A2927" s="5"/>
      <c r="B2927" s="5"/>
      <c r="C2927" s="5"/>
      <c r="D2927" s="5"/>
      <c r="E2927" s="5"/>
      <c r="F2927" s="9"/>
      <c r="G2927" s="5"/>
      <c r="H2927" s="5"/>
      <c r="I2927" s="5"/>
      <c r="J2927" s="5"/>
      <c r="K2927" s="5"/>
      <c r="L2927" s="5"/>
      <c r="M2927" s="5"/>
      <c r="N2927" s="5"/>
      <c r="O2927" s="5"/>
    </row>
    <row r="2928" spans="1:29" ht="30" customHeight="1" x14ac:dyDescent="0.3">
      <c r="A2928" s="5"/>
      <c r="B2928" s="5"/>
      <c r="C2928" s="5"/>
      <c r="D2928" s="5"/>
      <c r="E2928" s="5"/>
      <c r="F2928" s="9"/>
      <c r="G2928" s="5"/>
      <c r="H2928" s="5"/>
      <c r="I2928" s="5"/>
      <c r="J2928" s="5"/>
      <c r="K2928" s="5"/>
      <c r="L2928" s="5"/>
      <c r="M2928" s="5"/>
      <c r="N2928" s="5"/>
      <c r="O2928" s="5"/>
    </row>
    <row r="2929" spans="1:29" ht="30" customHeight="1" x14ac:dyDescent="0.3">
      <c r="A2929" s="5"/>
      <c r="B2929" s="5"/>
      <c r="C2929" s="5"/>
      <c r="D2929" s="5"/>
      <c r="E2929" s="5"/>
      <c r="F2929" s="9"/>
      <c r="G2929" s="5"/>
      <c r="H2929" s="5"/>
      <c r="I2929" s="5"/>
      <c r="J2929" s="5"/>
      <c r="K2929" s="5"/>
      <c r="L2929" s="5"/>
      <c r="M2929" s="5"/>
      <c r="N2929" s="5"/>
      <c r="O2929" s="5"/>
    </row>
    <row r="2930" spans="1:29" ht="30" customHeight="1" x14ac:dyDescent="0.3">
      <c r="A2930" s="5"/>
      <c r="B2930" s="5"/>
      <c r="C2930" s="5"/>
      <c r="D2930" s="5"/>
      <c r="E2930" s="5"/>
      <c r="F2930" s="9"/>
      <c r="G2930" s="5"/>
      <c r="H2930" s="5"/>
      <c r="I2930" s="5"/>
      <c r="J2930" s="5"/>
      <c r="K2930" s="5"/>
      <c r="L2930" s="5"/>
      <c r="M2930" s="5"/>
      <c r="N2930" s="5"/>
      <c r="O2930" s="5"/>
    </row>
    <row r="2931" spans="1:29" ht="30" customHeight="1" x14ac:dyDescent="0.3">
      <c r="A2931" s="5"/>
      <c r="B2931" s="5"/>
      <c r="C2931" s="5"/>
      <c r="D2931" s="5"/>
      <c r="E2931" s="5"/>
      <c r="F2931" s="9"/>
      <c r="G2931" s="5"/>
      <c r="H2931" s="5"/>
      <c r="I2931" s="5"/>
      <c r="J2931" s="5"/>
      <c r="K2931" s="5"/>
      <c r="L2931" s="5"/>
      <c r="M2931" s="5"/>
      <c r="N2931" s="5"/>
      <c r="O2931" s="5"/>
    </row>
    <row r="2932" spans="1:29" ht="30" customHeight="1" x14ac:dyDescent="0.3">
      <c r="A2932" s="5"/>
      <c r="B2932" s="5"/>
      <c r="C2932" s="5"/>
      <c r="D2932" s="5"/>
      <c r="E2932" s="5"/>
      <c r="F2932" s="9"/>
      <c r="G2932" s="5"/>
      <c r="H2932" s="5"/>
      <c r="I2932" s="5"/>
      <c r="J2932" s="5"/>
      <c r="K2932" s="5"/>
      <c r="L2932" s="5"/>
      <c r="M2932" s="5"/>
      <c r="N2932" s="5"/>
      <c r="O2932" s="5"/>
    </row>
    <row r="2933" spans="1:29" ht="30" customHeight="1" x14ac:dyDescent="0.3">
      <c r="A2933" s="5"/>
      <c r="B2933" s="5"/>
      <c r="C2933" s="5"/>
      <c r="D2933" s="5"/>
      <c r="E2933" s="5"/>
      <c r="F2933" s="9"/>
      <c r="G2933" s="5"/>
      <c r="H2933" s="5"/>
      <c r="I2933" s="5"/>
      <c r="J2933" s="5"/>
      <c r="K2933" s="5"/>
      <c r="L2933" s="5"/>
      <c r="M2933" s="5"/>
      <c r="N2933" s="5"/>
      <c r="O2933" s="5"/>
    </row>
    <row r="2934" spans="1:29" ht="30" customHeight="1" x14ac:dyDescent="0.3">
      <c r="A2934" s="5"/>
      <c r="B2934" s="5"/>
      <c r="C2934" s="5"/>
      <c r="D2934" s="5"/>
      <c r="E2934" s="5"/>
      <c r="F2934" s="9"/>
      <c r="G2934" s="5"/>
      <c r="H2934" s="5"/>
      <c r="I2934" s="5"/>
      <c r="J2934" s="5"/>
      <c r="K2934" s="5"/>
      <c r="L2934" s="5"/>
      <c r="M2934" s="5"/>
      <c r="N2934" s="5"/>
      <c r="O2934" s="5"/>
    </row>
    <row r="2935" spans="1:29" ht="30" customHeight="1" x14ac:dyDescent="0.3">
      <c r="A2935" s="5"/>
      <c r="B2935" s="5"/>
      <c r="C2935" s="5"/>
      <c r="D2935" s="5"/>
      <c r="E2935" s="5"/>
      <c r="F2935" s="9"/>
      <c r="G2935" s="5"/>
      <c r="H2935" s="5"/>
      <c r="I2935" s="5"/>
      <c r="J2935" s="5"/>
      <c r="K2935" s="5"/>
      <c r="L2935" s="5"/>
      <c r="M2935" s="5"/>
      <c r="N2935" s="5"/>
      <c r="O2935" s="5"/>
    </row>
    <row r="2936" spans="1:29" ht="30" customHeight="1" x14ac:dyDescent="0.3">
      <c r="A2936" s="5"/>
      <c r="B2936" s="5"/>
      <c r="C2936" s="5"/>
      <c r="D2936" s="5"/>
      <c r="E2936" s="5"/>
      <c r="F2936" s="9"/>
      <c r="G2936" s="5"/>
      <c r="H2936" s="5"/>
      <c r="I2936" s="5"/>
      <c r="J2936" s="5"/>
      <c r="K2936" s="5"/>
      <c r="L2936" s="5"/>
      <c r="M2936" s="5"/>
      <c r="N2936" s="5"/>
      <c r="O2936" s="5"/>
    </row>
    <row r="2937" spans="1:29" ht="30" customHeight="1" x14ac:dyDescent="0.3">
      <c r="A2937" s="5"/>
      <c r="B2937" s="5"/>
      <c r="C2937" s="5"/>
      <c r="D2937" s="5"/>
      <c r="E2937" s="5"/>
      <c r="F2937" s="9"/>
      <c r="G2937" s="5"/>
      <c r="H2937" s="5"/>
      <c r="I2937" s="5"/>
      <c r="J2937" s="5"/>
      <c r="K2937" s="5"/>
      <c r="L2937" s="5"/>
      <c r="M2937" s="5"/>
      <c r="N2937" s="5"/>
      <c r="O2937" s="5"/>
    </row>
    <row r="2938" spans="1:29" ht="30" customHeight="1" x14ac:dyDescent="0.3">
      <c r="A2938" s="5"/>
      <c r="B2938" s="5"/>
      <c r="C2938" s="5"/>
      <c r="D2938" s="5"/>
      <c r="E2938" s="5"/>
      <c r="F2938" s="9"/>
      <c r="G2938" s="5"/>
      <c r="H2938" s="5"/>
      <c r="I2938" s="5"/>
      <c r="J2938" s="5"/>
      <c r="K2938" s="5"/>
      <c r="L2938" s="5"/>
      <c r="M2938" s="5"/>
      <c r="N2938" s="5"/>
      <c r="O2938" s="5"/>
    </row>
    <row r="2939" spans="1:29" ht="30" customHeight="1" x14ac:dyDescent="0.3">
      <c r="A2939" s="5"/>
      <c r="B2939" s="5"/>
      <c r="C2939" s="5"/>
      <c r="D2939" s="5"/>
      <c r="E2939" s="5"/>
      <c r="F2939" s="9"/>
      <c r="G2939" s="5"/>
      <c r="H2939" s="5"/>
      <c r="I2939" s="5"/>
      <c r="J2939" s="5"/>
      <c r="K2939" s="5"/>
      <c r="L2939" s="5"/>
      <c r="M2939" s="5"/>
      <c r="N2939" s="5"/>
      <c r="O2939" s="5"/>
    </row>
    <row r="2940" spans="1:29" ht="30" customHeight="1" x14ac:dyDescent="0.3">
      <c r="A2940" s="5"/>
      <c r="B2940" s="5"/>
      <c r="C2940" s="5"/>
      <c r="D2940" s="5"/>
      <c r="E2940" s="5"/>
      <c r="F2940" s="9"/>
      <c r="G2940" s="5"/>
      <c r="H2940" s="5"/>
      <c r="I2940" s="5"/>
      <c r="J2940" s="5"/>
      <c r="K2940" s="5"/>
      <c r="L2940" s="5"/>
      <c r="M2940" s="5"/>
      <c r="N2940" s="5"/>
      <c r="O2940" s="5"/>
    </row>
    <row r="2941" spans="1:29" ht="30" customHeight="1" x14ac:dyDescent="0.3">
      <c r="A2941" s="5"/>
      <c r="B2941" s="5"/>
      <c r="C2941" s="5" t="s">
        <v>162</v>
      </c>
      <c r="D2941" s="5"/>
      <c r="E2941" s="5"/>
      <c r="F2941" s="9"/>
      <c r="G2941" s="5"/>
      <c r="H2941" s="5">
        <f>SUMIF(AC2891:AC2940, 1, H2891:H2940)</f>
        <v>0</v>
      </c>
      <c r="I2941" s="5"/>
      <c r="J2941" s="5">
        <f>SUMIF(AC2891:AC2940, 1, J2891:J2940)</f>
        <v>0</v>
      </c>
      <c r="K2941" s="5"/>
      <c r="L2941" s="5">
        <f>SUMIF(AC2891:AC2940, 1, L2891:L2940)</f>
        <v>37900000</v>
      </c>
      <c r="M2941" s="5"/>
      <c r="N2941" s="5">
        <f>H2941+J2941+L2941</f>
        <v>37900000</v>
      </c>
      <c r="O2941" s="5"/>
    </row>
    <row r="2942" spans="1:29" ht="30" customHeight="1" x14ac:dyDescent="0.3">
      <c r="A2942" s="5"/>
      <c r="B2942" s="5"/>
      <c r="C2942" s="10" t="s">
        <v>2365</v>
      </c>
      <c r="D2942" s="10"/>
      <c r="E2942" s="10"/>
      <c r="F2942" s="11"/>
      <c r="G2942" s="10"/>
      <c r="H2942" s="10"/>
      <c r="I2942" s="10"/>
      <c r="J2942" s="10"/>
      <c r="K2942" s="10"/>
      <c r="L2942" s="10"/>
      <c r="M2942" s="10"/>
      <c r="N2942" s="10"/>
      <c r="O2942" s="10"/>
    </row>
    <row r="2943" spans="1:29" ht="30" customHeight="1" x14ac:dyDescent="0.3">
      <c r="A2943" s="8" t="s">
        <v>2366</v>
      </c>
      <c r="B2943" s="8" t="s">
        <v>2367</v>
      </c>
      <c r="C2943" s="8" t="s">
        <v>2301</v>
      </c>
      <c r="D2943" s="8" t="s">
        <v>20</v>
      </c>
      <c r="E2943" s="8" t="s">
        <v>20</v>
      </c>
      <c r="F2943" s="9">
        <v>0</v>
      </c>
      <c r="G2943" s="5">
        <f>TRUNC([1]단가대비표!O1260,0)</f>
        <v>0</v>
      </c>
      <c r="H2943" s="5">
        <f t="shared" ref="H2943:H2953" si="270">TRUNC(F2943*G2943,0)</f>
        <v>0</v>
      </c>
      <c r="I2943" s="5">
        <v>0</v>
      </c>
      <c r="J2943" s="5">
        <f t="shared" ref="J2943:J2953" si="271">TRUNC(F2943*I2943,0)</f>
        <v>0</v>
      </c>
      <c r="K2943" s="5">
        <v>0</v>
      </c>
      <c r="L2943" s="5">
        <f t="shared" ref="L2943:L2953" si="272">TRUNC(F2943*K2943,0)</f>
        <v>0</v>
      </c>
      <c r="M2943" s="5">
        <f t="shared" ref="M2943:N2953" si="273">G2943+I2943+K2943</f>
        <v>0</v>
      </c>
      <c r="N2943" s="5">
        <f t="shared" si="273"/>
        <v>0</v>
      </c>
      <c r="O2943" s="8" t="s">
        <v>20</v>
      </c>
      <c r="T2943">
        <v>0</v>
      </c>
      <c r="AC2943">
        <v>1</v>
      </c>
    </row>
    <row r="2944" spans="1:29" ht="30" customHeight="1" x14ac:dyDescent="0.3">
      <c r="A2944" s="8" t="s">
        <v>2366</v>
      </c>
      <c r="B2944" s="8" t="s">
        <v>2368</v>
      </c>
      <c r="C2944" s="8" t="s">
        <v>2303</v>
      </c>
      <c r="D2944" s="8" t="s">
        <v>2369</v>
      </c>
      <c r="E2944" s="8" t="s">
        <v>161</v>
      </c>
      <c r="F2944" s="9">
        <v>1</v>
      </c>
      <c r="G2944" s="5">
        <v>0</v>
      </c>
      <c r="H2944" s="5">
        <f t="shared" si="270"/>
        <v>0</v>
      </c>
      <c r="I2944" s="5">
        <v>0</v>
      </c>
      <c r="J2944" s="5">
        <f t="shared" si="271"/>
        <v>0</v>
      </c>
      <c r="K2944" s="5">
        <f>TRUNC([1]단가대비표!O1261,0)</f>
        <v>134190</v>
      </c>
      <c r="L2944" s="5">
        <f t="shared" si="272"/>
        <v>134190</v>
      </c>
      <c r="M2944" s="5">
        <f t="shared" si="273"/>
        <v>134190</v>
      </c>
      <c r="N2944" s="5">
        <f t="shared" si="273"/>
        <v>134190</v>
      </c>
      <c r="O2944" s="8" t="s">
        <v>20</v>
      </c>
      <c r="T2944">
        <v>0</v>
      </c>
      <c r="AC2944">
        <v>1</v>
      </c>
    </row>
    <row r="2945" spans="1:29" ht="30" customHeight="1" x14ac:dyDescent="0.3">
      <c r="A2945" s="8" t="s">
        <v>2366</v>
      </c>
      <c r="B2945" s="8" t="s">
        <v>2370</v>
      </c>
      <c r="C2945" s="8" t="s">
        <v>2306</v>
      </c>
      <c r="D2945" s="8" t="s">
        <v>20</v>
      </c>
      <c r="E2945" s="8" t="s">
        <v>20</v>
      </c>
      <c r="F2945" s="9">
        <v>0</v>
      </c>
      <c r="G2945" s="5">
        <f>TRUNC([1]단가대비표!O1262,0)</f>
        <v>0</v>
      </c>
      <c r="H2945" s="5">
        <f t="shared" si="270"/>
        <v>0</v>
      </c>
      <c r="I2945" s="5">
        <v>0</v>
      </c>
      <c r="J2945" s="5">
        <f t="shared" si="271"/>
        <v>0</v>
      </c>
      <c r="K2945" s="5">
        <v>0</v>
      </c>
      <c r="L2945" s="5">
        <f t="shared" si="272"/>
        <v>0</v>
      </c>
      <c r="M2945" s="5">
        <f t="shared" si="273"/>
        <v>0</v>
      </c>
      <c r="N2945" s="5">
        <f t="shared" si="273"/>
        <v>0</v>
      </c>
      <c r="O2945" s="8" t="s">
        <v>20</v>
      </c>
      <c r="T2945">
        <v>0</v>
      </c>
      <c r="AC2945">
        <v>1</v>
      </c>
    </row>
    <row r="2946" spans="1:29" ht="30" customHeight="1" x14ac:dyDescent="0.3">
      <c r="A2946" s="8" t="s">
        <v>2366</v>
      </c>
      <c r="B2946" s="8" t="s">
        <v>2371</v>
      </c>
      <c r="C2946" s="8" t="s">
        <v>2313</v>
      </c>
      <c r="D2946" s="8" t="s">
        <v>2309</v>
      </c>
      <c r="E2946" s="8" t="s">
        <v>19</v>
      </c>
      <c r="F2946" s="9">
        <v>2</v>
      </c>
      <c r="G2946" s="5">
        <v>0</v>
      </c>
      <c r="H2946" s="5">
        <f t="shared" si="270"/>
        <v>0</v>
      </c>
      <c r="I2946" s="5">
        <v>0</v>
      </c>
      <c r="J2946" s="5">
        <f t="shared" si="271"/>
        <v>0</v>
      </c>
      <c r="K2946" s="5">
        <f>TRUNC([1]단가대비표!O1263,0)</f>
        <v>99000</v>
      </c>
      <c r="L2946" s="5">
        <f t="shared" si="272"/>
        <v>198000</v>
      </c>
      <c r="M2946" s="5">
        <f t="shared" si="273"/>
        <v>99000</v>
      </c>
      <c r="N2946" s="5">
        <f t="shared" si="273"/>
        <v>198000</v>
      </c>
      <c r="O2946" s="8" t="s">
        <v>20</v>
      </c>
      <c r="T2946">
        <v>0</v>
      </c>
      <c r="AC2946">
        <v>1</v>
      </c>
    </row>
    <row r="2947" spans="1:29" ht="30" customHeight="1" x14ac:dyDescent="0.3">
      <c r="A2947" s="8" t="s">
        <v>2366</v>
      </c>
      <c r="B2947" s="8" t="s">
        <v>2372</v>
      </c>
      <c r="C2947" s="8" t="s">
        <v>2323</v>
      </c>
      <c r="D2947" s="8" t="s">
        <v>2324</v>
      </c>
      <c r="E2947" s="8" t="s">
        <v>19</v>
      </c>
      <c r="F2947" s="9">
        <v>3</v>
      </c>
      <c r="G2947" s="5">
        <v>0</v>
      </c>
      <c r="H2947" s="5">
        <f t="shared" si="270"/>
        <v>0</v>
      </c>
      <c r="I2947" s="5">
        <v>0</v>
      </c>
      <c r="J2947" s="5">
        <f t="shared" si="271"/>
        <v>0</v>
      </c>
      <c r="K2947" s="5">
        <f>TRUNC([1]단가대비표!O1264,0)</f>
        <v>59280</v>
      </c>
      <c r="L2947" s="5">
        <f t="shared" si="272"/>
        <v>177840</v>
      </c>
      <c r="M2947" s="5">
        <f t="shared" si="273"/>
        <v>59280</v>
      </c>
      <c r="N2947" s="5">
        <f t="shared" si="273"/>
        <v>177840</v>
      </c>
      <c r="O2947" s="8" t="s">
        <v>20</v>
      </c>
      <c r="T2947">
        <v>0</v>
      </c>
      <c r="AC2947">
        <v>1</v>
      </c>
    </row>
    <row r="2948" spans="1:29" ht="30" customHeight="1" x14ac:dyDescent="0.3">
      <c r="A2948" s="8" t="s">
        <v>2366</v>
      </c>
      <c r="B2948" s="8" t="s">
        <v>2373</v>
      </c>
      <c r="C2948" s="8" t="s">
        <v>2374</v>
      </c>
      <c r="D2948" s="8" t="s">
        <v>2369</v>
      </c>
      <c r="E2948" s="8" t="s">
        <v>161</v>
      </c>
      <c r="F2948" s="9">
        <v>1</v>
      </c>
      <c r="G2948" s="5">
        <v>0</v>
      </c>
      <c r="H2948" s="5">
        <f t="shared" si="270"/>
        <v>0</v>
      </c>
      <c r="I2948" s="5">
        <v>0</v>
      </c>
      <c r="J2948" s="5">
        <f t="shared" si="271"/>
        <v>0</v>
      </c>
      <c r="K2948" s="5">
        <f>TRUNC([1]단가대비표!O1265,0)</f>
        <v>153920</v>
      </c>
      <c r="L2948" s="5">
        <f t="shared" si="272"/>
        <v>153920</v>
      </c>
      <c r="M2948" s="5">
        <f t="shared" si="273"/>
        <v>153920</v>
      </c>
      <c r="N2948" s="5">
        <f t="shared" si="273"/>
        <v>153920</v>
      </c>
      <c r="O2948" s="8" t="s">
        <v>20</v>
      </c>
      <c r="T2948">
        <v>0</v>
      </c>
      <c r="AC2948">
        <v>1</v>
      </c>
    </row>
    <row r="2949" spans="1:29" ht="30" customHeight="1" x14ac:dyDescent="0.3">
      <c r="A2949" s="8" t="s">
        <v>2366</v>
      </c>
      <c r="B2949" s="8" t="s">
        <v>2375</v>
      </c>
      <c r="C2949" s="8" t="s">
        <v>2376</v>
      </c>
      <c r="D2949" s="8" t="s">
        <v>2377</v>
      </c>
      <c r="E2949" s="8" t="s">
        <v>161</v>
      </c>
      <c r="F2949" s="9">
        <v>1</v>
      </c>
      <c r="G2949" s="5">
        <v>0</v>
      </c>
      <c r="H2949" s="5">
        <f t="shared" si="270"/>
        <v>0</v>
      </c>
      <c r="I2949" s="5">
        <v>0</v>
      </c>
      <c r="J2949" s="5">
        <f t="shared" si="271"/>
        <v>0</v>
      </c>
      <c r="K2949" s="5">
        <f>TRUNC([1]단가대비표!O1266,0)</f>
        <v>37580</v>
      </c>
      <c r="L2949" s="5">
        <f t="shared" si="272"/>
        <v>37580</v>
      </c>
      <c r="M2949" s="5">
        <f t="shared" si="273"/>
        <v>37580</v>
      </c>
      <c r="N2949" s="5">
        <f t="shared" si="273"/>
        <v>37580</v>
      </c>
      <c r="O2949" s="8" t="s">
        <v>20</v>
      </c>
      <c r="T2949">
        <v>0</v>
      </c>
      <c r="AC2949">
        <v>1</v>
      </c>
    </row>
    <row r="2950" spans="1:29" ht="30" customHeight="1" x14ac:dyDescent="0.3">
      <c r="A2950" s="8" t="s">
        <v>2366</v>
      </c>
      <c r="B2950" s="8" t="s">
        <v>2378</v>
      </c>
      <c r="C2950" s="8" t="s">
        <v>2379</v>
      </c>
      <c r="D2950" s="8" t="s">
        <v>2380</v>
      </c>
      <c r="E2950" s="8" t="s">
        <v>161</v>
      </c>
      <c r="F2950" s="9">
        <v>1</v>
      </c>
      <c r="G2950" s="5">
        <v>0</v>
      </c>
      <c r="H2950" s="5">
        <f t="shared" si="270"/>
        <v>0</v>
      </c>
      <c r="I2950" s="5">
        <v>0</v>
      </c>
      <c r="J2950" s="5">
        <f t="shared" si="271"/>
        <v>0</v>
      </c>
      <c r="K2950" s="5">
        <f>TRUNC([1]단가대비표!O1267,0)</f>
        <v>105230</v>
      </c>
      <c r="L2950" s="5">
        <f t="shared" si="272"/>
        <v>105230</v>
      </c>
      <c r="M2950" s="5">
        <f t="shared" si="273"/>
        <v>105230</v>
      </c>
      <c r="N2950" s="5">
        <f t="shared" si="273"/>
        <v>105230</v>
      </c>
      <c r="O2950" s="8" t="s">
        <v>20</v>
      </c>
      <c r="T2950">
        <v>0</v>
      </c>
      <c r="AC2950">
        <v>1</v>
      </c>
    </row>
    <row r="2951" spans="1:29" ht="30" customHeight="1" x14ac:dyDescent="0.3">
      <c r="A2951" s="8" t="s">
        <v>2366</v>
      </c>
      <c r="B2951" s="8" t="s">
        <v>2381</v>
      </c>
      <c r="C2951" s="8" t="s">
        <v>2357</v>
      </c>
      <c r="D2951" s="8" t="s">
        <v>2358</v>
      </c>
      <c r="E2951" s="8" t="s">
        <v>161</v>
      </c>
      <c r="F2951" s="9">
        <v>1</v>
      </c>
      <c r="G2951" s="5">
        <v>0</v>
      </c>
      <c r="H2951" s="5">
        <f t="shared" si="270"/>
        <v>0</v>
      </c>
      <c r="I2951" s="5">
        <v>0</v>
      </c>
      <c r="J2951" s="5">
        <f t="shared" si="271"/>
        <v>0</v>
      </c>
      <c r="K2951" s="5">
        <f>TRUNC([1]단가대비표!O1268,0)</f>
        <v>147830</v>
      </c>
      <c r="L2951" s="5">
        <f t="shared" si="272"/>
        <v>147830</v>
      </c>
      <c r="M2951" s="5">
        <f t="shared" si="273"/>
        <v>147830</v>
      </c>
      <c r="N2951" s="5">
        <f t="shared" si="273"/>
        <v>147830</v>
      </c>
      <c r="O2951" s="8" t="s">
        <v>20</v>
      </c>
      <c r="T2951">
        <v>0</v>
      </c>
      <c r="AC2951">
        <v>1</v>
      </c>
    </row>
    <row r="2952" spans="1:29" ht="30" customHeight="1" x14ac:dyDescent="0.3">
      <c r="A2952" s="8" t="s">
        <v>2366</v>
      </c>
      <c r="B2952" s="8" t="s">
        <v>2382</v>
      </c>
      <c r="C2952" s="8" t="s">
        <v>2360</v>
      </c>
      <c r="D2952" s="8" t="s">
        <v>2361</v>
      </c>
      <c r="E2952" s="8" t="s">
        <v>161</v>
      </c>
      <c r="F2952" s="9">
        <v>1</v>
      </c>
      <c r="G2952" s="5">
        <v>0</v>
      </c>
      <c r="H2952" s="5">
        <f t="shared" si="270"/>
        <v>0</v>
      </c>
      <c r="I2952" s="5">
        <v>0</v>
      </c>
      <c r="J2952" s="5">
        <f t="shared" si="271"/>
        <v>0</v>
      </c>
      <c r="K2952" s="5">
        <f>TRUNC([1]단가대비표!O1269,0)</f>
        <v>403380</v>
      </c>
      <c r="L2952" s="5">
        <f t="shared" si="272"/>
        <v>403380</v>
      </c>
      <c r="M2952" s="5">
        <f t="shared" si="273"/>
        <v>403380</v>
      </c>
      <c r="N2952" s="5">
        <f t="shared" si="273"/>
        <v>403380</v>
      </c>
      <c r="O2952" s="8" t="s">
        <v>20</v>
      </c>
      <c r="T2952">
        <v>0</v>
      </c>
      <c r="AC2952">
        <v>1</v>
      </c>
    </row>
    <row r="2953" spans="1:29" ht="30" customHeight="1" x14ac:dyDescent="0.3">
      <c r="A2953" s="8" t="s">
        <v>2366</v>
      </c>
      <c r="B2953" s="8" t="s">
        <v>2383</v>
      </c>
      <c r="C2953" s="8" t="s">
        <v>2363</v>
      </c>
      <c r="D2953" s="8" t="s">
        <v>2364</v>
      </c>
      <c r="E2953" s="8" t="s">
        <v>161</v>
      </c>
      <c r="F2953" s="9">
        <v>1</v>
      </c>
      <c r="G2953" s="5">
        <v>0</v>
      </c>
      <c r="H2953" s="5">
        <f t="shared" si="270"/>
        <v>0</v>
      </c>
      <c r="I2953" s="5">
        <v>0</v>
      </c>
      <c r="J2953" s="5">
        <f t="shared" si="271"/>
        <v>0</v>
      </c>
      <c r="K2953" s="5">
        <f>TRUNC([1]단가대비표!O1270,0)</f>
        <v>242030</v>
      </c>
      <c r="L2953" s="5">
        <f t="shared" si="272"/>
        <v>242030</v>
      </c>
      <c r="M2953" s="5">
        <f t="shared" si="273"/>
        <v>242030</v>
      </c>
      <c r="N2953" s="5">
        <f t="shared" si="273"/>
        <v>242030</v>
      </c>
      <c r="O2953" s="8" t="s">
        <v>20</v>
      </c>
      <c r="T2953">
        <v>0</v>
      </c>
      <c r="AC2953">
        <v>1</v>
      </c>
    </row>
    <row r="2954" spans="1:29" ht="30" customHeight="1" x14ac:dyDescent="0.3">
      <c r="A2954" s="5"/>
      <c r="B2954" s="5"/>
      <c r="C2954" s="5"/>
      <c r="D2954" s="5"/>
      <c r="E2954" s="5"/>
      <c r="F2954" s="9"/>
      <c r="G2954" s="5"/>
      <c r="H2954" s="5"/>
      <c r="I2954" s="5"/>
      <c r="J2954" s="5"/>
      <c r="K2954" s="5"/>
      <c r="L2954" s="5"/>
      <c r="M2954" s="5"/>
      <c r="N2954" s="5"/>
      <c r="O2954" s="5"/>
    </row>
    <row r="2955" spans="1:29" ht="30" customHeight="1" x14ac:dyDescent="0.3">
      <c r="A2955" s="5"/>
      <c r="B2955" s="5"/>
      <c r="C2955" s="5"/>
      <c r="D2955" s="5"/>
      <c r="E2955" s="5"/>
      <c r="F2955" s="9"/>
      <c r="G2955" s="5"/>
      <c r="H2955" s="5"/>
      <c r="I2955" s="5"/>
      <c r="J2955" s="5"/>
      <c r="K2955" s="5"/>
      <c r="L2955" s="5"/>
      <c r="M2955" s="5"/>
      <c r="N2955" s="5"/>
      <c r="O2955" s="5"/>
    </row>
    <row r="2956" spans="1:29" ht="30" customHeight="1" x14ac:dyDescent="0.3">
      <c r="A2956" s="5"/>
      <c r="B2956" s="5"/>
      <c r="C2956" s="5"/>
      <c r="D2956" s="5"/>
      <c r="E2956" s="5"/>
      <c r="F2956" s="9"/>
      <c r="G2956" s="5"/>
      <c r="H2956" s="5"/>
      <c r="I2956" s="5"/>
      <c r="J2956" s="5"/>
      <c r="K2956" s="5"/>
      <c r="L2956" s="5"/>
      <c r="M2956" s="5"/>
      <c r="N2956" s="5"/>
      <c r="O2956" s="5"/>
    </row>
    <row r="2957" spans="1:29" ht="30" customHeight="1" x14ac:dyDescent="0.3">
      <c r="A2957" s="5"/>
      <c r="B2957" s="5"/>
      <c r="C2957" s="5"/>
      <c r="D2957" s="5"/>
      <c r="E2957" s="5"/>
      <c r="F2957" s="9"/>
      <c r="G2957" s="5"/>
      <c r="H2957" s="5"/>
      <c r="I2957" s="5"/>
      <c r="J2957" s="5"/>
      <c r="K2957" s="5"/>
      <c r="L2957" s="5"/>
      <c r="M2957" s="5"/>
      <c r="N2957" s="5"/>
      <c r="O2957" s="5"/>
    </row>
    <row r="2958" spans="1:29" ht="30" customHeight="1" x14ac:dyDescent="0.3">
      <c r="A2958" s="5"/>
      <c r="B2958" s="5"/>
      <c r="C2958" s="5"/>
      <c r="D2958" s="5"/>
      <c r="E2958" s="5"/>
      <c r="F2958" s="9"/>
      <c r="G2958" s="5"/>
      <c r="H2958" s="5"/>
      <c r="I2958" s="5"/>
      <c r="J2958" s="5"/>
      <c r="K2958" s="5"/>
      <c r="L2958" s="5"/>
      <c r="M2958" s="5"/>
      <c r="N2958" s="5"/>
      <c r="O2958" s="5"/>
    </row>
    <row r="2959" spans="1:29" ht="30" customHeight="1" x14ac:dyDescent="0.3">
      <c r="A2959" s="5"/>
      <c r="B2959" s="5"/>
      <c r="C2959" s="5"/>
      <c r="D2959" s="5"/>
      <c r="E2959" s="5"/>
      <c r="F2959" s="9"/>
      <c r="G2959" s="5"/>
      <c r="H2959" s="5"/>
      <c r="I2959" s="5"/>
      <c r="J2959" s="5"/>
      <c r="K2959" s="5"/>
      <c r="L2959" s="5"/>
      <c r="M2959" s="5"/>
      <c r="N2959" s="5"/>
      <c r="O2959" s="5"/>
    </row>
    <row r="2960" spans="1:29" ht="30" customHeight="1" x14ac:dyDescent="0.3">
      <c r="A2960" s="5"/>
      <c r="B2960" s="5"/>
      <c r="C2960" s="5"/>
      <c r="D2960" s="5"/>
      <c r="E2960" s="5"/>
      <c r="F2960" s="9"/>
      <c r="G2960" s="5"/>
      <c r="H2960" s="5"/>
      <c r="I2960" s="5"/>
      <c r="J2960" s="5"/>
      <c r="K2960" s="5"/>
      <c r="L2960" s="5"/>
      <c r="M2960" s="5"/>
      <c r="N2960" s="5"/>
      <c r="O2960" s="5"/>
    </row>
    <row r="2961" spans="1:29" ht="30" customHeight="1" x14ac:dyDescent="0.3">
      <c r="A2961" s="5"/>
      <c r="B2961" s="5"/>
      <c r="C2961" s="5"/>
      <c r="D2961" s="5"/>
      <c r="E2961" s="5"/>
      <c r="F2961" s="9"/>
      <c r="G2961" s="5"/>
      <c r="H2961" s="5"/>
      <c r="I2961" s="5"/>
      <c r="J2961" s="5"/>
      <c r="K2961" s="5"/>
      <c r="L2961" s="5"/>
      <c r="M2961" s="5"/>
      <c r="N2961" s="5"/>
      <c r="O2961" s="5"/>
    </row>
    <row r="2962" spans="1:29" ht="30" customHeight="1" x14ac:dyDescent="0.3">
      <c r="A2962" s="5"/>
      <c r="B2962" s="5"/>
      <c r="C2962" s="5"/>
      <c r="D2962" s="5"/>
      <c r="E2962" s="5"/>
      <c r="F2962" s="9"/>
      <c r="G2962" s="5"/>
      <c r="H2962" s="5"/>
      <c r="I2962" s="5"/>
      <c r="J2962" s="5"/>
      <c r="K2962" s="5"/>
      <c r="L2962" s="5"/>
      <c r="M2962" s="5"/>
      <c r="N2962" s="5"/>
      <c r="O2962" s="5"/>
    </row>
    <row r="2963" spans="1:29" ht="30" customHeight="1" x14ac:dyDescent="0.3">
      <c r="A2963" s="5"/>
      <c r="B2963" s="5"/>
      <c r="C2963" s="5"/>
      <c r="D2963" s="5"/>
      <c r="E2963" s="5"/>
      <c r="F2963" s="9"/>
      <c r="G2963" s="5"/>
      <c r="H2963" s="5"/>
      <c r="I2963" s="5"/>
      <c r="J2963" s="5"/>
      <c r="K2963" s="5"/>
      <c r="L2963" s="5"/>
      <c r="M2963" s="5"/>
      <c r="N2963" s="5"/>
      <c r="O2963" s="5"/>
    </row>
    <row r="2964" spans="1:29" ht="30" customHeight="1" x14ac:dyDescent="0.3">
      <c r="A2964" s="5"/>
      <c r="B2964" s="5"/>
      <c r="C2964" s="5"/>
      <c r="D2964" s="5"/>
      <c r="E2964" s="5"/>
      <c r="F2964" s="9"/>
      <c r="G2964" s="5"/>
      <c r="H2964" s="5"/>
      <c r="I2964" s="5"/>
      <c r="J2964" s="5"/>
      <c r="K2964" s="5"/>
      <c r="L2964" s="5"/>
      <c r="M2964" s="5"/>
      <c r="N2964" s="5"/>
      <c r="O2964" s="5"/>
    </row>
    <row r="2965" spans="1:29" ht="30" customHeight="1" x14ac:dyDescent="0.3">
      <c r="A2965" s="5"/>
      <c r="B2965" s="5"/>
      <c r="C2965" s="5"/>
      <c r="D2965" s="5"/>
      <c r="E2965" s="5"/>
      <c r="F2965" s="9"/>
      <c r="G2965" s="5"/>
      <c r="H2965" s="5"/>
      <c r="I2965" s="5"/>
      <c r="J2965" s="5"/>
      <c r="K2965" s="5"/>
      <c r="L2965" s="5"/>
      <c r="M2965" s="5"/>
      <c r="N2965" s="5"/>
      <c r="O2965" s="5"/>
    </row>
    <row r="2966" spans="1:29" ht="30" customHeight="1" x14ac:dyDescent="0.3">
      <c r="A2966" s="5"/>
      <c r="B2966" s="5"/>
      <c r="C2966" s="5"/>
      <c r="D2966" s="5"/>
      <c r="E2966" s="5"/>
      <c r="F2966" s="9"/>
      <c r="G2966" s="5"/>
      <c r="H2966" s="5"/>
      <c r="I2966" s="5"/>
      <c r="J2966" s="5"/>
      <c r="K2966" s="5"/>
      <c r="L2966" s="5"/>
      <c r="M2966" s="5"/>
      <c r="N2966" s="5"/>
      <c r="O2966" s="5"/>
    </row>
    <row r="2967" spans="1:29" ht="30" customHeight="1" x14ac:dyDescent="0.3">
      <c r="A2967" s="5"/>
      <c r="B2967" s="5"/>
      <c r="C2967" s="5" t="s">
        <v>162</v>
      </c>
      <c r="D2967" s="5"/>
      <c r="E2967" s="5"/>
      <c r="F2967" s="9"/>
      <c r="G2967" s="5"/>
      <c r="H2967" s="5">
        <f>SUMIF(AC2943:AC2966, 1, H2943:H2966)</f>
        <v>0</v>
      </c>
      <c r="I2967" s="5"/>
      <c r="J2967" s="5">
        <f>SUMIF(AC2943:AC2966, 1, J2943:J2966)</f>
        <v>0</v>
      </c>
      <c r="K2967" s="5"/>
      <c r="L2967" s="5">
        <f>SUMIF(AC2943:AC2966, 1, L2943:L2966)</f>
        <v>1600000</v>
      </c>
      <c r="M2967" s="5"/>
      <c r="N2967" s="5">
        <f>H2967+J2967+L2967</f>
        <v>1600000</v>
      </c>
      <c r="O2967" s="5"/>
    </row>
    <row r="2968" spans="1:29" ht="30" customHeight="1" x14ac:dyDescent="0.3">
      <c r="A2968" s="5"/>
      <c r="B2968" s="5"/>
      <c r="C2968" s="10" t="s">
        <v>2384</v>
      </c>
      <c r="D2968" s="10"/>
      <c r="E2968" s="10"/>
      <c r="F2968" s="11"/>
      <c r="G2968" s="10"/>
      <c r="H2968" s="10"/>
      <c r="I2968" s="10"/>
      <c r="J2968" s="10"/>
      <c r="K2968" s="10"/>
      <c r="L2968" s="10"/>
      <c r="M2968" s="10"/>
      <c r="N2968" s="10"/>
      <c r="O2968" s="10"/>
    </row>
    <row r="2969" spans="1:29" ht="30" customHeight="1" x14ac:dyDescent="0.3">
      <c r="A2969" s="8" t="s">
        <v>2385</v>
      </c>
      <c r="B2969" s="8" t="s">
        <v>2386</v>
      </c>
      <c r="C2969" s="8" t="s">
        <v>2301</v>
      </c>
      <c r="D2969" s="8" t="s">
        <v>20</v>
      </c>
      <c r="E2969" s="8" t="s">
        <v>20</v>
      </c>
      <c r="F2969" s="9">
        <v>0</v>
      </c>
      <c r="G2969" s="5">
        <f>TRUNC([1]단가대비표!O1249,0)</f>
        <v>0</v>
      </c>
      <c r="H2969" s="5">
        <f t="shared" ref="H2969:H2979" si="274">TRUNC(F2969*G2969,0)</f>
        <v>0</v>
      </c>
      <c r="I2969" s="5">
        <v>0</v>
      </c>
      <c r="J2969" s="5">
        <f t="shared" ref="J2969:J2979" si="275">TRUNC(F2969*I2969,0)</f>
        <v>0</v>
      </c>
      <c r="K2969" s="5">
        <v>0</v>
      </c>
      <c r="L2969" s="5">
        <f t="shared" ref="L2969:L2979" si="276">TRUNC(F2969*K2969,0)</f>
        <v>0</v>
      </c>
      <c r="M2969" s="5">
        <f t="shared" ref="M2969:N2979" si="277">G2969+I2969+K2969</f>
        <v>0</v>
      </c>
      <c r="N2969" s="5">
        <f t="shared" si="277"/>
        <v>0</v>
      </c>
      <c r="O2969" s="8" t="s">
        <v>20</v>
      </c>
      <c r="T2969">
        <v>0</v>
      </c>
      <c r="AC2969">
        <v>1</v>
      </c>
    </row>
    <row r="2970" spans="1:29" ht="30" customHeight="1" x14ac:dyDescent="0.3">
      <c r="A2970" s="8" t="s">
        <v>2385</v>
      </c>
      <c r="B2970" s="8" t="s">
        <v>2387</v>
      </c>
      <c r="C2970" s="8" t="s">
        <v>2303</v>
      </c>
      <c r="D2970" s="8" t="s">
        <v>2369</v>
      </c>
      <c r="E2970" s="8" t="s">
        <v>161</v>
      </c>
      <c r="F2970" s="9">
        <v>1</v>
      </c>
      <c r="G2970" s="5">
        <v>0</v>
      </c>
      <c r="H2970" s="5">
        <f t="shared" si="274"/>
        <v>0</v>
      </c>
      <c r="I2970" s="5">
        <v>0</v>
      </c>
      <c r="J2970" s="5">
        <f t="shared" si="275"/>
        <v>0</v>
      </c>
      <c r="K2970" s="5">
        <f>TRUNC([1]단가대비표!O1250,0)</f>
        <v>134190</v>
      </c>
      <c r="L2970" s="5">
        <f t="shared" si="276"/>
        <v>134190</v>
      </c>
      <c r="M2970" s="5">
        <f t="shared" si="277"/>
        <v>134190</v>
      </c>
      <c r="N2970" s="5">
        <f t="shared" si="277"/>
        <v>134190</v>
      </c>
      <c r="O2970" s="8" t="s">
        <v>20</v>
      </c>
      <c r="T2970">
        <v>0</v>
      </c>
      <c r="AC2970">
        <v>1</v>
      </c>
    </row>
    <row r="2971" spans="1:29" ht="30" customHeight="1" x14ac:dyDescent="0.3">
      <c r="A2971" s="8" t="s">
        <v>2385</v>
      </c>
      <c r="B2971" s="8" t="s">
        <v>2388</v>
      </c>
      <c r="C2971" s="8" t="s">
        <v>2306</v>
      </c>
      <c r="D2971" s="8" t="s">
        <v>20</v>
      </c>
      <c r="E2971" s="8" t="s">
        <v>20</v>
      </c>
      <c r="F2971" s="9">
        <v>0</v>
      </c>
      <c r="G2971" s="5">
        <f>TRUNC([1]단가대비표!O1251,0)</f>
        <v>0</v>
      </c>
      <c r="H2971" s="5">
        <f t="shared" si="274"/>
        <v>0</v>
      </c>
      <c r="I2971" s="5">
        <v>0</v>
      </c>
      <c r="J2971" s="5">
        <f t="shared" si="275"/>
        <v>0</v>
      </c>
      <c r="K2971" s="5">
        <v>0</v>
      </c>
      <c r="L2971" s="5">
        <f t="shared" si="276"/>
        <v>0</v>
      </c>
      <c r="M2971" s="5">
        <f t="shared" si="277"/>
        <v>0</v>
      </c>
      <c r="N2971" s="5">
        <f t="shared" si="277"/>
        <v>0</v>
      </c>
      <c r="O2971" s="8" t="s">
        <v>20</v>
      </c>
      <c r="T2971">
        <v>0</v>
      </c>
      <c r="AC2971">
        <v>1</v>
      </c>
    </row>
    <row r="2972" spans="1:29" ht="30" customHeight="1" x14ac:dyDescent="0.3">
      <c r="A2972" s="8" t="s">
        <v>2385</v>
      </c>
      <c r="B2972" s="8" t="s">
        <v>2389</v>
      </c>
      <c r="C2972" s="8" t="s">
        <v>2313</v>
      </c>
      <c r="D2972" s="8" t="s">
        <v>2309</v>
      </c>
      <c r="E2972" s="8" t="s">
        <v>19</v>
      </c>
      <c r="F2972" s="9">
        <v>2</v>
      </c>
      <c r="G2972" s="5">
        <v>0</v>
      </c>
      <c r="H2972" s="5">
        <f t="shared" si="274"/>
        <v>0</v>
      </c>
      <c r="I2972" s="5">
        <v>0</v>
      </c>
      <c r="J2972" s="5">
        <f t="shared" si="275"/>
        <v>0</v>
      </c>
      <c r="K2972" s="5">
        <f>TRUNC([1]단가대비표!O1252,0)</f>
        <v>99000</v>
      </c>
      <c r="L2972" s="5">
        <f t="shared" si="276"/>
        <v>198000</v>
      </c>
      <c r="M2972" s="5">
        <f t="shared" si="277"/>
        <v>99000</v>
      </c>
      <c r="N2972" s="5">
        <f t="shared" si="277"/>
        <v>198000</v>
      </c>
      <c r="O2972" s="8" t="s">
        <v>20</v>
      </c>
      <c r="T2972">
        <v>0</v>
      </c>
      <c r="AC2972">
        <v>1</v>
      </c>
    </row>
    <row r="2973" spans="1:29" ht="30" customHeight="1" x14ac:dyDescent="0.3">
      <c r="A2973" s="8" t="s">
        <v>2385</v>
      </c>
      <c r="B2973" s="8" t="s">
        <v>2390</v>
      </c>
      <c r="C2973" s="8" t="s">
        <v>2323</v>
      </c>
      <c r="D2973" s="8" t="s">
        <v>2324</v>
      </c>
      <c r="E2973" s="8" t="s">
        <v>19</v>
      </c>
      <c r="F2973" s="9">
        <v>1</v>
      </c>
      <c r="G2973" s="5">
        <v>0</v>
      </c>
      <c r="H2973" s="5">
        <f t="shared" si="274"/>
        <v>0</v>
      </c>
      <c r="I2973" s="5">
        <v>0</v>
      </c>
      <c r="J2973" s="5">
        <f t="shared" si="275"/>
        <v>0</v>
      </c>
      <c r="K2973" s="5">
        <f>TRUNC([1]단가대비표!O1253,0)</f>
        <v>59280</v>
      </c>
      <c r="L2973" s="5">
        <f t="shared" si="276"/>
        <v>59280</v>
      </c>
      <c r="M2973" s="5">
        <f t="shared" si="277"/>
        <v>59280</v>
      </c>
      <c r="N2973" s="5">
        <f t="shared" si="277"/>
        <v>59280</v>
      </c>
      <c r="O2973" s="8" t="s">
        <v>20</v>
      </c>
      <c r="T2973">
        <v>0</v>
      </c>
      <c r="AC2973">
        <v>1</v>
      </c>
    </row>
    <row r="2974" spans="1:29" ht="30" customHeight="1" x14ac:dyDescent="0.3">
      <c r="A2974" s="8" t="s">
        <v>2385</v>
      </c>
      <c r="B2974" s="8" t="s">
        <v>2391</v>
      </c>
      <c r="C2974" s="8" t="s">
        <v>2374</v>
      </c>
      <c r="D2974" s="8" t="s">
        <v>2369</v>
      </c>
      <c r="E2974" s="8" t="s">
        <v>161</v>
      </c>
      <c r="F2974" s="9">
        <v>1</v>
      </c>
      <c r="G2974" s="5">
        <v>0</v>
      </c>
      <c r="H2974" s="5">
        <f t="shared" si="274"/>
        <v>0</v>
      </c>
      <c r="I2974" s="5">
        <v>0</v>
      </c>
      <c r="J2974" s="5">
        <f t="shared" si="275"/>
        <v>0</v>
      </c>
      <c r="K2974" s="5">
        <f>TRUNC([1]단가대비표!O1254,0)</f>
        <v>153920</v>
      </c>
      <c r="L2974" s="5">
        <f t="shared" si="276"/>
        <v>153920</v>
      </c>
      <c r="M2974" s="5">
        <f t="shared" si="277"/>
        <v>153920</v>
      </c>
      <c r="N2974" s="5">
        <f t="shared" si="277"/>
        <v>153920</v>
      </c>
      <c r="O2974" s="8" t="s">
        <v>20</v>
      </c>
      <c r="T2974">
        <v>0</v>
      </c>
      <c r="AC2974">
        <v>1</v>
      </c>
    </row>
    <row r="2975" spans="1:29" ht="30" customHeight="1" x14ac:dyDescent="0.3">
      <c r="A2975" s="8" t="s">
        <v>2385</v>
      </c>
      <c r="B2975" s="8" t="s">
        <v>2392</v>
      </c>
      <c r="C2975" s="8" t="s">
        <v>2376</v>
      </c>
      <c r="D2975" s="8" t="s">
        <v>2377</v>
      </c>
      <c r="E2975" s="8" t="s">
        <v>161</v>
      </c>
      <c r="F2975" s="9">
        <v>1</v>
      </c>
      <c r="G2975" s="5">
        <v>0</v>
      </c>
      <c r="H2975" s="5">
        <f t="shared" si="274"/>
        <v>0</v>
      </c>
      <c r="I2975" s="5">
        <v>0</v>
      </c>
      <c r="J2975" s="5">
        <f t="shared" si="275"/>
        <v>0</v>
      </c>
      <c r="K2975" s="5">
        <f>TRUNC([1]단가대비표!O1255,0)</f>
        <v>25730</v>
      </c>
      <c r="L2975" s="5">
        <f t="shared" si="276"/>
        <v>25730</v>
      </c>
      <c r="M2975" s="5">
        <f t="shared" si="277"/>
        <v>25730</v>
      </c>
      <c r="N2975" s="5">
        <f t="shared" si="277"/>
        <v>25730</v>
      </c>
      <c r="O2975" s="8" t="s">
        <v>20</v>
      </c>
      <c r="T2975">
        <v>0</v>
      </c>
      <c r="AC2975">
        <v>1</v>
      </c>
    </row>
    <row r="2976" spans="1:29" ht="30" customHeight="1" x14ac:dyDescent="0.3">
      <c r="A2976" s="8" t="s">
        <v>2385</v>
      </c>
      <c r="B2976" s="8" t="s">
        <v>2393</v>
      </c>
      <c r="C2976" s="8" t="s">
        <v>2379</v>
      </c>
      <c r="D2976" s="8" t="s">
        <v>2380</v>
      </c>
      <c r="E2976" s="8" t="s">
        <v>161</v>
      </c>
      <c r="F2976" s="9">
        <v>1</v>
      </c>
      <c r="G2976" s="5">
        <v>0</v>
      </c>
      <c r="H2976" s="5">
        <f t="shared" si="274"/>
        <v>0</v>
      </c>
      <c r="I2976" s="5">
        <v>0</v>
      </c>
      <c r="J2976" s="5">
        <f t="shared" si="275"/>
        <v>0</v>
      </c>
      <c r="K2976" s="5">
        <f>TRUNC([1]단가대비표!O1256,0)</f>
        <v>85670</v>
      </c>
      <c r="L2976" s="5">
        <f t="shared" si="276"/>
        <v>85670</v>
      </c>
      <c r="M2976" s="5">
        <f t="shared" si="277"/>
        <v>85670</v>
      </c>
      <c r="N2976" s="5">
        <f t="shared" si="277"/>
        <v>85670</v>
      </c>
      <c r="O2976" s="8" t="s">
        <v>20</v>
      </c>
      <c r="T2976">
        <v>0</v>
      </c>
      <c r="AC2976">
        <v>1</v>
      </c>
    </row>
    <row r="2977" spans="1:29" ht="30" customHeight="1" x14ac:dyDescent="0.3">
      <c r="A2977" s="8" t="s">
        <v>2385</v>
      </c>
      <c r="B2977" s="8" t="s">
        <v>2394</v>
      </c>
      <c r="C2977" s="8" t="s">
        <v>2357</v>
      </c>
      <c r="D2977" s="8" t="s">
        <v>2358</v>
      </c>
      <c r="E2977" s="8" t="s">
        <v>161</v>
      </c>
      <c r="F2977" s="9">
        <v>1</v>
      </c>
      <c r="G2977" s="5">
        <v>0</v>
      </c>
      <c r="H2977" s="5">
        <f t="shared" si="274"/>
        <v>0</v>
      </c>
      <c r="I2977" s="5">
        <v>0</v>
      </c>
      <c r="J2977" s="5">
        <f t="shared" si="275"/>
        <v>0</v>
      </c>
      <c r="K2977" s="5">
        <f>TRUNC([1]단가대비표!O1257,0)</f>
        <v>117770</v>
      </c>
      <c r="L2977" s="5">
        <f t="shared" si="276"/>
        <v>117770</v>
      </c>
      <c r="M2977" s="5">
        <f t="shared" si="277"/>
        <v>117770</v>
      </c>
      <c r="N2977" s="5">
        <f t="shared" si="277"/>
        <v>117770</v>
      </c>
      <c r="O2977" s="8" t="s">
        <v>20</v>
      </c>
      <c r="T2977">
        <v>0</v>
      </c>
      <c r="AC2977">
        <v>1</v>
      </c>
    </row>
    <row r="2978" spans="1:29" ht="30" customHeight="1" x14ac:dyDescent="0.3">
      <c r="A2978" s="8" t="s">
        <v>2385</v>
      </c>
      <c r="B2978" s="8" t="s">
        <v>2395</v>
      </c>
      <c r="C2978" s="8" t="s">
        <v>2360</v>
      </c>
      <c r="D2978" s="8" t="s">
        <v>2361</v>
      </c>
      <c r="E2978" s="8" t="s">
        <v>161</v>
      </c>
      <c r="F2978" s="9">
        <v>1</v>
      </c>
      <c r="G2978" s="5">
        <v>0</v>
      </c>
      <c r="H2978" s="5">
        <f t="shared" si="274"/>
        <v>0</v>
      </c>
      <c r="I2978" s="5">
        <v>0</v>
      </c>
      <c r="J2978" s="5">
        <f t="shared" si="275"/>
        <v>0</v>
      </c>
      <c r="K2978" s="5">
        <f>TRUNC([1]단가대비표!O1258,0)</f>
        <v>328400</v>
      </c>
      <c r="L2978" s="5">
        <f t="shared" si="276"/>
        <v>328400</v>
      </c>
      <c r="M2978" s="5">
        <f t="shared" si="277"/>
        <v>328400</v>
      </c>
      <c r="N2978" s="5">
        <f t="shared" si="277"/>
        <v>328400</v>
      </c>
      <c r="O2978" s="8" t="s">
        <v>20</v>
      </c>
      <c r="T2978">
        <v>0</v>
      </c>
      <c r="AC2978">
        <v>1</v>
      </c>
    </row>
    <row r="2979" spans="1:29" ht="30" customHeight="1" x14ac:dyDescent="0.3">
      <c r="A2979" s="8" t="s">
        <v>2385</v>
      </c>
      <c r="B2979" s="8" t="s">
        <v>2396</v>
      </c>
      <c r="C2979" s="8" t="s">
        <v>2363</v>
      </c>
      <c r="D2979" s="8" t="s">
        <v>2364</v>
      </c>
      <c r="E2979" s="8" t="s">
        <v>161</v>
      </c>
      <c r="F2979" s="9">
        <v>1</v>
      </c>
      <c r="G2979" s="5">
        <v>0</v>
      </c>
      <c r="H2979" s="5">
        <f t="shared" si="274"/>
        <v>0</v>
      </c>
      <c r="I2979" s="5">
        <v>0</v>
      </c>
      <c r="J2979" s="5">
        <f t="shared" si="275"/>
        <v>0</v>
      </c>
      <c r="K2979" s="5">
        <f>TRUNC([1]단가대비표!O1259,0)</f>
        <v>197040</v>
      </c>
      <c r="L2979" s="5">
        <f t="shared" si="276"/>
        <v>197040</v>
      </c>
      <c r="M2979" s="5">
        <f t="shared" si="277"/>
        <v>197040</v>
      </c>
      <c r="N2979" s="5">
        <f t="shared" si="277"/>
        <v>197040</v>
      </c>
      <c r="O2979" s="8" t="s">
        <v>20</v>
      </c>
      <c r="T2979">
        <v>0</v>
      </c>
      <c r="AC2979">
        <v>1</v>
      </c>
    </row>
    <row r="2980" spans="1:29" ht="30" customHeight="1" x14ac:dyDescent="0.3">
      <c r="A2980" s="5"/>
      <c r="B2980" s="5"/>
      <c r="C2980" s="5"/>
      <c r="D2980" s="5"/>
      <c r="E2980" s="5"/>
      <c r="F2980" s="9"/>
      <c r="G2980" s="5"/>
      <c r="H2980" s="5"/>
      <c r="I2980" s="5"/>
      <c r="J2980" s="5"/>
      <c r="K2980" s="5"/>
      <c r="L2980" s="5"/>
      <c r="M2980" s="5"/>
      <c r="N2980" s="5"/>
      <c r="O2980" s="5"/>
    </row>
    <row r="2981" spans="1:29" ht="30" customHeight="1" x14ac:dyDescent="0.3">
      <c r="A2981" s="5"/>
      <c r="B2981" s="5"/>
      <c r="C2981" s="5"/>
      <c r="D2981" s="5"/>
      <c r="E2981" s="5"/>
      <c r="F2981" s="9"/>
      <c r="G2981" s="5"/>
      <c r="H2981" s="5"/>
      <c r="I2981" s="5"/>
      <c r="J2981" s="5"/>
      <c r="K2981" s="5"/>
      <c r="L2981" s="5"/>
      <c r="M2981" s="5"/>
      <c r="N2981" s="5"/>
      <c r="O2981" s="5"/>
    </row>
    <row r="2982" spans="1:29" ht="30" customHeight="1" x14ac:dyDescent="0.3">
      <c r="A2982" s="5"/>
      <c r="B2982" s="5"/>
      <c r="C2982" s="5"/>
      <c r="D2982" s="5"/>
      <c r="E2982" s="5"/>
      <c r="F2982" s="9"/>
      <c r="G2982" s="5"/>
      <c r="H2982" s="5"/>
      <c r="I2982" s="5"/>
      <c r="J2982" s="5"/>
      <c r="K2982" s="5"/>
      <c r="L2982" s="5"/>
      <c r="M2982" s="5"/>
      <c r="N2982" s="5"/>
      <c r="O2982" s="5"/>
    </row>
    <row r="2983" spans="1:29" ht="30" customHeight="1" x14ac:dyDescent="0.3">
      <c r="A2983" s="5"/>
      <c r="B2983" s="5"/>
      <c r="C2983" s="5"/>
      <c r="D2983" s="5"/>
      <c r="E2983" s="5"/>
      <c r="F2983" s="9"/>
      <c r="G2983" s="5"/>
      <c r="H2983" s="5"/>
      <c r="I2983" s="5"/>
      <c r="J2983" s="5"/>
      <c r="K2983" s="5"/>
      <c r="L2983" s="5"/>
      <c r="M2983" s="5"/>
      <c r="N2983" s="5"/>
      <c r="O2983" s="5"/>
    </row>
    <row r="2984" spans="1:29" ht="30" customHeight="1" x14ac:dyDescent="0.3">
      <c r="A2984" s="5"/>
      <c r="B2984" s="5"/>
      <c r="C2984" s="5"/>
      <c r="D2984" s="5"/>
      <c r="E2984" s="5"/>
      <c r="F2984" s="9"/>
      <c r="G2984" s="5"/>
      <c r="H2984" s="5"/>
      <c r="I2984" s="5"/>
      <c r="J2984" s="5"/>
      <c r="K2984" s="5"/>
      <c r="L2984" s="5"/>
      <c r="M2984" s="5"/>
      <c r="N2984" s="5"/>
      <c r="O2984" s="5"/>
    </row>
    <row r="2985" spans="1:29" ht="30" customHeight="1" x14ac:dyDescent="0.3">
      <c r="A2985" s="5"/>
      <c r="B2985" s="5"/>
      <c r="C2985" s="5"/>
      <c r="D2985" s="5"/>
      <c r="E2985" s="5"/>
      <c r="F2985" s="9"/>
      <c r="G2985" s="5"/>
      <c r="H2985" s="5"/>
      <c r="I2985" s="5"/>
      <c r="J2985" s="5"/>
      <c r="K2985" s="5"/>
      <c r="L2985" s="5"/>
      <c r="M2985" s="5"/>
      <c r="N2985" s="5"/>
      <c r="O2985" s="5"/>
    </row>
    <row r="2986" spans="1:29" ht="30" customHeight="1" x14ac:dyDescent="0.3">
      <c r="A2986" s="5"/>
      <c r="B2986" s="5"/>
      <c r="C2986" s="5"/>
      <c r="D2986" s="5"/>
      <c r="E2986" s="5"/>
      <c r="F2986" s="9"/>
      <c r="G2986" s="5"/>
      <c r="H2986" s="5"/>
      <c r="I2986" s="5"/>
      <c r="J2986" s="5"/>
      <c r="K2986" s="5"/>
      <c r="L2986" s="5"/>
      <c r="M2986" s="5"/>
      <c r="N2986" s="5"/>
      <c r="O2986" s="5"/>
    </row>
    <row r="2987" spans="1:29" ht="30" customHeight="1" x14ac:dyDescent="0.3">
      <c r="A2987" s="5"/>
      <c r="B2987" s="5"/>
      <c r="C2987" s="5"/>
      <c r="D2987" s="5"/>
      <c r="E2987" s="5"/>
      <c r="F2987" s="9"/>
      <c r="G2987" s="5"/>
      <c r="H2987" s="5"/>
      <c r="I2987" s="5"/>
      <c r="J2987" s="5"/>
      <c r="K2987" s="5"/>
      <c r="L2987" s="5"/>
      <c r="M2987" s="5"/>
      <c r="N2987" s="5"/>
      <c r="O2987" s="5"/>
    </row>
    <row r="2988" spans="1:29" ht="30" customHeight="1" x14ac:dyDescent="0.3">
      <c r="A2988" s="5"/>
      <c r="B2988" s="5"/>
      <c r="C2988" s="5"/>
      <c r="D2988" s="5"/>
      <c r="E2988" s="5"/>
      <c r="F2988" s="9"/>
      <c r="G2988" s="5"/>
      <c r="H2988" s="5"/>
      <c r="I2988" s="5"/>
      <c r="J2988" s="5"/>
      <c r="K2988" s="5"/>
      <c r="L2988" s="5"/>
      <c r="M2988" s="5"/>
      <c r="N2988" s="5"/>
      <c r="O2988" s="5"/>
    </row>
    <row r="2989" spans="1:29" ht="30" customHeight="1" x14ac:dyDescent="0.3">
      <c r="A2989" s="5"/>
      <c r="B2989" s="5"/>
      <c r="C2989" s="5"/>
      <c r="D2989" s="5"/>
      <c r="E2989" s="5"/>
      <c r="F2989" s="9"/>
      <c r="G2989" s="5"/>
      <c r="H2989" s="5"/>
      <c r="I2989" s="5"/>
      <c r="J2989" s="5"/>
      <c r="K2989" s="5"/>
      <c r="L2989" s="5"/>
      <c r="M2989" s="5"/>
      <c r="N2989" s="5"/>
      <c r="O2989" s="5"/>
    </row>
    <row r="2990" spans="1:29" ht="30" customHeight="1" x14ac:dyDescent="0.3">
      <c r="A2990" s="5"/>
      <c r="B2990" s="5"/>
      <c r="C2990" s="5"/>
      <c r="D2990" s="5"/>
      <c r="E2990" s="5"/>
      <c r="F2990" s="9"/>
      <c r="G2990" s="5"/>
      <c r="H2990" s="5"/>
      <c r="I2990" s="5"/>
      <c r="J2990" s="5"/>
      <c r="K2990" s="5"/>
      <c r="L2990" s="5"/>
      <c r="M2990" s="5"/>
      <c r="N2990" s="5"/>
      <c r="O2990" s="5"/>
    </row>
    <row r="2991" spans="1:29" ht="30" customHeight="1" x14ac:dyDescent="0.3">
      <c r="A2991" s="5"/>
      <c r="B2991" s="5"/>
      <c r="C2991" s="5"/>
      <c r="D2991" s="5"/>
      <c r="E2991" s="5"/>
      <c r="F2991" s="9"/>
      <c r="G2991" s="5"/>
      <c r="H2991" s="5"/>
      <c r="I2991" s="5"/>
      <c r="J2991" s="5"/>
      <c r="K2991" s="5"/>
      <c r="L2991" s="5"/>
      <c r="M2991" s="5"/>
      <c r="N2991" s="5"/>
      <c r="O2991" s="5"/>
    </row>
    <row r="2992" spans="1:29" ht="30" customHeight="1" x14ac:dyDescent="0.3">
      <c r="A2992" s="5"/>
      <c r="B2992" s="5"/>
      <c r="C2992" s="5"/>
      <c r="D2992" s="5"/>
      <c r="E2992" s="5"/>
      <c r="F2992" s="9"/>
      <c r="G2992" s="5"/>
      <c r="H2992" s="5"/>
      <c r="I2992" s="5"/>
      <c r="J2992" s="5"/>
      <c r="K2992" s="5"/>
      <c r="L2992" s="5"/>
      <c r="M2992" s="5"/>
      <c r="N2992" s="5"/>
      <c r="O2992" s="5"/>
    </row>
    <row r="2993" spans="1:29" ht="30" customHeight="1" x14ac:dyDescent="0.3">
      <c r="A2993" s="5"/>
      <c r="B2993" s="5"/>
      <c r="C2993" s="5" t="s">
        <v>162</v>
      </c>
      <c r="D2993" s="5"/>
      <c r="E2993" s="5"/>
      <c r="F2993" s="9"/>
      <c r="G2993" s="5"/>
      <c r="H2993" s="5">
        <f>SUMIF(AC2969:AC2992, 1, H2969:H2992)</f>
        <v>0</v>
      </c>
      <c r="I2993" s="5"/>
      <c r="J2993" s="5">
        <f>SUMIF(AC2969:AC2992, 1, J2969:J2992)</f>
        <v>0</v>
      </c>
      <c r="K2993" s="5"/>
      <c r="L2993" s="5">
        <f>SUMIF(AC2969:AC2992, 1, L2969:L2992)</f>
        <v>1300000</v>
      </c>
      <c r="M2993" s="5"/>
      <c r="N2993" s="5">
        <f>H2993+J2993+L2993</f>
        <v>1300000</v>
      </c>
      <c r="O2993" s="5"/>
    </row>
    <row r="2994" spans="1:29" ht="30" customHeight="1" x14ac:dyDescent="0.3">
      <c r="A2994" s="5"/>
      <c r="B2994" s="5"/>
      <c r="C2994" s="10" t="s">
        <v>2397</v>
      </c>
      <c r="D2994" s="10"/>
      <c r="E2994" s="10"/>
      <c r="F2994" s="11"/>
      <c r="G2994" s="10"/>
      <c r="H2994" s="10"/>
      <c r="I2994" s="10"/>
      <c r="J2994" s="10"/>
      <c r="K2994" s="10"/>
      <c r="L2994" s="10"/>
      <c r="M2994" s="10"/>
      <c r="N2994" s="10"/>
      <c r="O2994" s="10"/>
    </row>
    <row r="2995" spans="1:29" ht="30" customHeight="1" x14ac:dyDescent="0.3">
      <c r="A2995" s="8" t="s">
        <v>2398</v>
      </c>
      <c r="B2995" s="8" t="s">
        <v>2399</v>
      </c>
      <c r="C2995" s="8" t="s">
        <v>2301</v>
      </c>
      <c r="D2995" s="8" t="s">
        <v>20</v>
      </c>
      <c r="E2995" s="8" t="s">
        <v>20</v>
      </c>
      <c r="F2995" s="9">
        <v>0</v>
      </c>
      <c r="G2995" s="5">
        <f>TRUNC([1]단가대비표!O1271,0)</f>
        <v>0</v>
      </c>
      <c r="H2995" s="5">
        <f t="shared" ref="H2995:H3003" si="278">TRUNC(F2995*G2995,0)</f>
        <v>0</v>
      </c>
      <c r="I2995" s="5">
        <v>0</v>
      </c>
      <c r="J2995" s="5">
        <f t="shared" ref="J2995:J3003" si="279">TRUNC(F2995*I2995,0)</f>
        <v>0</v>
      </c>
      <c r="K2995" s="5">
        <v>0</v>
      </c>
      <c r="L2995" s="5">
        <f t="shared" ref="L2995:L3003" si="280">TRUNC(F2995*K2995,0)</f>
        <v>0</v>
      </c>
      <c r="M2995" s="5">
        <f t="shared" ref="M2995:N3003" si="281">G2995+I2995+K2995</f>
        <v>0</v>
      </c>
      <c r="N2995" s="5">
        <f t="shared" si="281"/>
        <v>0</v>
      </c>
      <c r="O2995" s="8" t="s">
        <v>20</v>
      </c>
      <c r="T2995">
        <v>0</v>
      </c>
      <c r="AC2995">
        <v>1</v>
      </c>
    </row>
    <row r="2996" spans="1:29" ht="30" customHeight="1" x14ac:dyDescent="0.3">
      <c r="A2996" s="8" t="s">
        <v>2398</v>
      </c>
      <c r="B2996" s="8" t="s">
        <v>2400</v>
      </c>
      <c r="C2996" s="8" t="s">
        <v>2303</v>
      </c>
      <c r="D2996" s="8" t="s">
        <v>2369</v>
      </c>
      <c r="E2996" s="8" t="s">
        <v>161</v>
      </c>
      <c r="F2996" s="9">
        <v>1</v>
      </c>
      <c r="G2996" s="5">
        <v>0</v>
      </c>
      <c r="H2996" s="5">
        <f t="shared" si="278"/>
        <v>0</v>
      </c>
      <c r="I2996" s="5">
        <v>0</v>
      </c>
      <c r="J2996" s="5">
        <f t="shared" si="279"/>
        <v>0</v>
      </c>
      <c r="K2996" s="5">
        <f>TRUNC([1]단가대비표!O1272,0)</f>
        <v>26840</v>
      </c>
      <c r="L2996" s="5">
        <f t="shared" si="280"/>
        <v>26840</v>
      </c>
      <c r="M2996" s="5">
        <f t="shared" si="281"/>
        <v>26840</v>
      </c>
      <c r="N2996" s="5">
        <f t="shared" si="281"/>
        <v>26840</v>
      </c>
      <c r="O2996" s="8" t="s">
        <v>20</v>
      </c>
      <c r="T2996">
        <v>0</v>
      </c>
      <c r="AC2996">
        <v>1</v>
      </c>
    </row>
    <row r="2997" spans="1:29" ht="30" customHeight="1" x14ac:dyDescent="0.3">
      <c r="A2997" s="8" t="s">
        <v>2398</v>
      </c>
      <c r="B2997" s="8" t="s">
        <v>2401</v>
      </c>
      <c r="C2997" s="8" t="s">
        <v>2306</v>
      </c>
      <c r="D2997" s="8" t="s">
        <v>20</v>
      </c>
      <c r="E2997" s="8" t="s">
        <v>20</v>
      </c>
      <c r="F2997" s="9">
        <v>0</v>
      </c>
      <c r="G2997" s="5">
        <f>TRUNC([1]단가대비표!O1273,0)</f>
        <v>0</v>
      </c>
      <c r="H2997" s="5">
        <f t="shared" si="278"/>
        <v>0</v>
      </c>
      <c r="I2997" s="5">
        <v>0</v>
      </c>
      <c r="J2997" s="5">
        <f t="shared" si="279"/>
        <v>0</v>
      </c>
      <c r="K2997" s="5">
        <v>0</v>
      </c>
      <c r="L2997" s="5">
        <f t="shared" si="280"/>
        <v>0</v>
      </c>
      <c r="M2997" s="5">
        <f t="shared" si="281"/>
        <v>0</v>
      </c>
      <c r="N2997" s="5">
        <f t="shared" si="281"/>
        <v>0</v>
      </c>
      <c r="O2997" s="8" t="s">
        <v>20</v>
      </c>
      <c r="T2997">
        <v>0</v>
      </c>
      <c r="AC2997">
        <v>1</v>
      </c>
    </row>
    <row r="2998" spans="1:29" ht="30" customHeight="1" x14ac:dyDescent="0.3">
      <c r="A2998" s="8" t="s">
        <v>2398</v>
      </c>
      <c r="B2998" s="8" t="s">
        <v>2402</v>
      </c>
      <c r="C2998" s="8" t="s">
        <v>2323</v>
      </c>
      <c r="D2998" s="8" t="s">
        <v>2324</v>
      </c>
      <c r="E2998" s="8" t="s">
        <v>19</v>
      </c>
      <c r="F2998" s="9">
        <v>1</v>
      </c>
      <c r="G2998" s="5">
        <v>0</v>
      </c>
      <c r="H2998" s="5">
        <f t="shared" si="278"/>
        <v>0</v>
      </c>
      <c r="I2998" s="5">
        <v>0</v>
      </c>
      <c r="J2998" s="5">
        <f t="shared" si="279"/>
        <v>0</v>
      </c>
      <c r="K2998" s="5">
        <f>TRUNC([1]단가대비표!O1274,0)</f>
        <v>59280</v>
      </c>
      <c r="L2998" s="5">
        <f t="shared" si="280"/>
        <v>59280</v>
      </c>
      <c r="M2998" s="5">
        <f t="shared" si="281"/>
        <v>59280</v>
      </c>
      <c r="N2998" s="5">
        <f t="shared" si="281"/>
        <v>59280</v>
      </c>
      <c r="O2998" s="8" t="s">
        <v>20</v>
      </c>
      <c r="T2998">
        <v>0</v>
      </c>
      <c r="AC2998">
        <v>1</v>
      </c>
    </row>
    <row r="2999" spans="1:29" ht="30" customHeight="1" x14ac:dyDescent="0.3">
      <c r="A2999" s="8" t="s">
        <v>2398</v>
      </c>
      <c r="B2999" s="8" t="s">
        <v>2403</v>
      </c>
      <c r="C2999" s="8" t="s">
        <v>2404</v>
      </c>
      <c r="D2999" s="8" t="s">
        <v>2377</v>
      </c>
      <c r="E2999" s="8" t="s">
        <v>161</v>
      </c>
      <c r="F2999" s="9">
        <v>1</v>
      </c>
      <c r="G2999" s="5">
        <v>0</v>
      </c>
      <c r="H2999" s="5">
        <f t="shared" si="278"/>
        <v>0</v>
      </c>
      <c r="I2999" s="5">
        <v>0</v>
      </c>
      <c r="J2999" s="5">
        <f t="shared" si="279"/>
        <v>0</v>
      </c>
      <c r="K2999" s="5">
        <f>TRUNC([1]단가대비표!O1275,0)</f>
        <v>5930</v>
      </c>
      <c r="L2999" s="5">
        <f t="shared" si="280"/>
        <v>5930</v>
      </c>
      <c r="M2999" s="5">
        <f t="shared" si="281"/>
        <v>5930</v>
      </c>
      <c r="N2999" s="5">
        <f t="shared" si="281"/>
        <v>5930</v>
      </c>
      <c r="O2999" s="8" t="s">
        <v>20</v>
      </c>
      <c r="T2999">
        <v>0</v>
      </c>
      <c r="AC2999">
        <v>1</v>
      </c>
    </row>
    <row r="3000" spans="1:29" ht="30" customHeight="1" x14ac:dyDescent="0.3">
      <c r="A3000" s="8" t="s">
        <v>2398</v>
      </c>
      <c r="B3000" s="8" t="s">
        <v>2405</v>
      </c>
      <c r="C3000" s="8" t="s">
        <v>2379</v>
      </c>
      <c r="D3000" s="8" t="s">
        <v>2406</v>
      </c>
      <c r="E3000" s="8" t="s">
        <v>161</v>
      </c>
      <c r="F3000" s="9">
        <v>1</v>
      </c>
      <c r="G3000" s="5">
        <v>0</v>
      </c>
      <c r="H3000" s="5">
        <f t="shared" si="278"/>
        <v>0</v>
      </c>
      <c r="I3000" s="5">
        <v>0</v>
      </c>
      <c r="J3000" s="5">
        <f t="shared" si="279"/>
        <v>0</v>
      </c>
      <c r="K3000" s="5">
        <f>TRUNC([1]단가대비표!O1276,0)</f>
        <v>13810</v>
      </c>
      <c r="L3000" s="5">
        <f t="shared" si="280"/>
        <v>13810</v>
      </c>
      <c r="M3000" s="5">
        <f t="shared" si="281"/>
        <v>13810</v>
      </c>
      <c r="N3000" s="5">
        <f t="shared" si="281"/>
        <v>13810</v>
      </c>
      <c r="O3000" s="8" t="s">
        <v>20</v>
      </c>
      <c r="T3000">
        <v>0</v>
      </c>
      <c r="AC3000">
        <v>1</v>
      </c>
    </row>
    <row r="3001" spans="1:29" ht="30" customHeight="1" x14ac:dyDescent="0.3">
      <c r="A3001" s="8" t="s">
        <v>2398</v>
      </c>
      <c r="B3001" s="8" t="s">
        <v>2407</v>
      </c>
      <c r="C3001" s="8" t="s">
        <v>2357</v>
      </c>
      <c r="D3001" s="8" t="s">
        <v>2358</v>
      </c>
      <c r="E3001" s="8" t="s">
        <v>161</v>
      </c>
      <c r="F3001" s="9">
        <v>1</v>
      </c>
      <c r="G3001" s="5">
        <v>0</v>
      </c>
      <c r="H3001" s="5">
        <f t="shared" si="278"/>
        <v>0</v>
      </c>
      <c r="I3001" s="5">
        <v>0</v>
      </c>
      <c r="J3001" s="5">
        <f t="shared" si="279"/>
        <v>0</v>
      </c>
      <c r="K3001" s="5">
        <f>TRUNC([1]단가대비표!O1277,0)</f>
        <v>9450</v>
      </c>
      <c r="L3001" s="5">
        <f t="shared" si="280"/>
        <v>9450</v>
      </c>
      <c r="M3001" s="5">
        <f t="shared" si="281"/>
        <v>9450</v>
      </c>
      <c r="N3001" s="5">
        <f t="shared" si="281"/>
        <v>9450</v>
      </c>
      <c r="O3001" s="8" t="s">
        <v>20</v>
      </c>
      <c r="T3001">
        <v>0</v>
      </c>
      <c r="AC3001">
        <v>1</v>
      </c>
    </row>
    <row r="3002" spans="1:29" ht="30" customHeight="1" x14ac:dyDescent="0.3">
      <c r="A3002" s="8" t="s">
        <v>2398</v>
      </c>
      <c r="B3002" s="8" t="s">
        <v>2408</v>
      </c>
      <c r="C3002" s="8" t="s">
        <v>2360</v>
      </c>
      <c r="D3002" s="8" t="s">
        <v>2361</v>
      </c>
      <c r="E3002" s="8" t="s">
        <v>161</v>
      </c>
      <c r="F3002" s="9">
        <v>1</v>
      </c>
      <c r="G3002" s="5">
        <v>0</v>
      </c>
      <c r="H3002" s="5">
        <f t="shared" si="278"/>
        <v>0</v>
      </c>
      <c r="I3002" s="5">
        <v>0</v>
      </c>
      <c r="J3002" s="5">
        <f t="shared" si="279"/>
        <v>0</v>
      </c>
      <c r="K3002" s="5">
        <f>TRUNC([1]단가대비표!O1278,0)</f>
        <v>52930</v>
      </c>
      <c r="L3002" s="5">
        <f t="shared" si="280"/>
        <v>52930</v>
      </c>
      <c r="M3002" s="5">
        <f t="shared" si="281"/>
        <v>52930</v>
      </c>
      <c r="N3002" s="5">
        <f t="shared" si="281"/>
        <v>52930</v>
      </c>
      <c r="O3002" s="8" t="s">
        <v>20</v>
      </c>
      <c r="T3002">
        <v>0</v>
      </c>
      <c r="AC3002">
        <v>1</v>
      </c>
    </row>
    <row r="3003" spans="1:29" ht="30" customHeight="1" x14ac:dyDescent="0.3">
      <c r="A3003" s="8" t="s">
        <v>2398</v>
      </c>
      <c r="B3003" s="8" t="s">
        <v>2409</v>
      </c>
      <c r="C3003" s="8" t="s">
        <v>2363</v>
      </c>
      <c r="D3003" s="8" t="s">
        <v>2364</v>
      </c>
      <c r="E3003" s="8" t="s">
        <v>161</v>
      </c>
      <c r="F3003" s="9">
        <v>1</v>
      </c>
      <c r="G3003" s="5">
        <v>0</v>
      </c>
      <c r="H3003" s="5">
        <f t="shared" si="278"/>
        <v>0</v>
      </c>
      <c r="I3003" s="5">
        <v>0</v>
      </c>
      <c r="J3003" s="5">
        <f t="shared" si="279"/>
        <v>0</v>
      </c>
      <c r="K3003" s="5">
        <f>TRUNC([1]단가대비표!O1279,0)</f>
        <v>31760</v>
      </c>
      <c r="L3003" s="5">
        <f t="shared" si="280"/>
        <v>31760</v>
      </c>
      <c r="M3003" s="5">
        <f t="shared" si="281"/>
        <v>31760</v>
      </c>
      <c r="N3003" s="5">
        <f t="shared" si="281"/>
        <v>31760</v>
      </c>
      <c r="O3003" s="8" t="s">
        <v>20</v>
      </c>
      <c r="T3003">
        <v>0</v>
      </c>
      <c r="AC3003">
        <v>1</v>
      </c>
    </row>
    <row r="3004" spans="1:29" ht="30" customHeight="1" x14ac:dyDescent="0.3">
      <c r="A3004" s="5"/>
      <c r="B3004" s="5"/>
      <c r="C3004" s="5"/>
      <c r="D3004" s="5"/>
      <c r="E3004" s="5"/>
      <c r="F3004" s="9"/>
      <c r="G3004" s="5"/>
      <c r="H3004" s="5"/>
      <c r="I3004" s="5"/>
      <c r="J3004" s="5"/>
      <c r="K3004" s="5"/>
      <c r="L3004" s="5"/>
      <c r="M3004" s="5"/>
      <c r="N3004" s="5"/>
      <c r="O3004" s="5"/>
    </row>
    <row r="3005" spans="1:29" ht="30" customHeight="1" x14ac:dyDescent="0.3">
      <c r="A3005" s="5"/>
      <c r="B3005" s="5"/>
      <c r="C3005" s="5"/>
      <c r="D3005" s="5"/>
      <c r="E3005" s="5"/>
      <c r="F3005" s="9"/>
      <c r="G3005" s="5"/>
      <c r="H3005" s="5"/>
      <c r="I3005" s="5"/>
      <c r="J3005" s="5"/>
      <c r="K3005" s="5"/>
      <c r="L3005" s="5"/>
      <c r="M3005" s="5"/>
      <c r="N3005" s="5"/>
      <c r="O3005" s="5"/>
    </row>
    <row r="3006" spans="1:29" ht="30" customHeight="1" x14ac:dyDescent="0.3">
      <c r="A3006" s="5"/>
      <c r="B3006" s="5"/>
      <c r="C3006" s="5"/>
      <c r="D3006" s="5"/>
      <c r="E3006" s="5"/>
      <c r="F3006" s="9"/>
      <c r="G3006" s="5"/>
      <c r="H3006" s="5"/>
      <c r="I3006" s="5"/>
      <c r="J3006" s="5"/>
      <c r="K3006" s="5"/>
      <c r="L3006" s="5"/>
      <c r="M3006" s="5"/>
      <c r="N3006" s="5"/>
      <c r="O3006" s="5"/>
    </row>
    <row r="3007" spans="1:29" ht="30" customHeight="1" x14ac:dyDescent="0.3">
      <c r="A3007" s="5"/>
      <c r="B3007" s="5"/>
      <c r="C3007" s="5"/>
      <c r="D3007" s="5"/>
      <c r="E3007" s="5"/>
      <c r="F3007" s="9"/>
      <c r="G3007" s="5"/>
      <c r="H3007" s="5"/>
      <c r="I3007" s="5"/>
      <c r="J3007" s="5"/>
      <c r="K3007" s="5"/>
      <c r="L3007" s="5"/>
      <c r="M3007" s="5"/>
      <c r="N3007" s="5"/>
      <c r="O3007" s="5"/>
    </row>
    <row r="3008" spans="1:29" ht="30" customHeight="1" x14ac:dyDescent="0.3">
      <c r="A3008" s="5"/>
      <c r="B3008" s="5"/>
      <c r="C3008" s="5"/>
      <c r="D3008" s="5"/>
      <c r="E3008" s="5"/>
      <c r="F3008" s="9"/>
      <c r="G3008" s="5"/>
      <c r="H3008" s="5"/>
      <c r="I3008" s="5"/>
      <c r="J3008" s="5"/>
      <c r="K3008" s="5"/>
      <c r="L3008" s="5"/>
      <c r="M3008" s="5"/>
      <c r="N3008" s="5"/>
      <c r="O3008" s="5"/>
    </row>
    <row r="3009" spans="1:29" ht="30" customHeight="1" x14ac:dyDescent="0.3">
      <c r="A3009" s="5"/>
      <c r="B3009" s="5"/>
      <c r="C3009" s="5"/>
      <c r="D3009" s="5"/>
      <c r="E3009" s="5"/>
      <c r="F3009" s="9"/>
      <c r="G3009" s="5"/>
      <c r="H3009" s="5"/>
      <c r="I3009" s="5"/>
      <c r="J3009" s="5"/>
      <c r="K3009" s="5"/>
      <c r="L3009" s="5"/>
      <c r="M3009" s="5"/>
      <c r="N3009" s="5"/>
      <c r="O3009" s="5"/>
    </row>
    <row r="3010" spans="1:29" ht="30" customHeight="1" x14ac:dyDescent="0.3">
      <c r="A3010" s="5"/>
      <c r="B3010" s="5"/>
      <c r="C3010" s="5"/>
      <c r="D3010" s="5"/>
      <c r="E3010" s="5"/>
      <c r="F3010" s="9"/>
      <c r="G3010" s="5"/>
      <c r="H3010" s="5"/>
      <c r="I3010" s="5"/>
      <c r="J3010" s="5"/>
      <c r="K3010" s="5"/>
      <c r="L3010" s="5"/>
      <c r="M3010" s="5"/>
      <c r="N3010" s="5"/>
      <c r="O3010" s="5"/>
    </row>
    <row r="3011" spans="1:29" ht="30" customHeight="1" x14ac:dyDescent="0.3">
      <c r="A3011" s="5"/>
      <c r="B3011" s="5"/>
      <c r="C3011" s="5"/>
      <c r="D3011" s="5"/>
      <c r="E3011" s="5"/>
      <c r="F3011" s="9"/>
      <c r="G3011" s="5"/>
      <c r="H3011" s="5"/>
      <c r="I3011" s="5"/>
      <c r="J3011" s="5"/>
      <c r="K3011" s="5"/>
      <c r="L3011" s="5"/>
      <c r="M3011" s="5"/>
      <c r="N3011" s="5"/>
      <c r="O3011" s="5"/>
    </row>
    <row r="3012" spans="1:29" ht="30" customHeight="1" x14ac:dyDescent="0.3">
      <c r="A3012" s="5"/>
      <c r="B3012" s="5"/>
      <c r="C3012" s="5"/>
      <c r="D3012" s="5"/>
      <c r="E3012" s="5"/>
      <c r="F3012" s="9"/>
      <c r="G3012" s="5"/>
      <c r="H3012" s="5"/>
      <c r="I3012" s="5"/>
      <c r="J3012" s="5"/>
      <c r="K3012" s="5"/>
      <c r="L3012" s="5"/>
      <c r="M3012" s="5"/>
      <c r="N3012" s="5"/>
      <c r="O3012" s="5"/>
    </row>
    <row r="3013" spans="1:29" ht="30" customHeight="1" x14ac:dyDescent="0.3">
      <c r="A3013" s="5"/>
      <c r="B3013" s="5"/>
      <c r="C3013" s="5"/>
      <c r="D3013" s="5"/>
      <c r="E3013" s="5"/>
      <c r="F3013" s="9"/>
      <c r="G3013" s="5"/>
      <c r="H3013" s="5"/>
      <c r="I3013" s="5"/>
      <c r="J3013" s="5"/>
      <c r="K3013" s="5"/>
      <c r="L3013" s="5"/>
      <c r="M3013" s="5"/>
      <c r="N3013" s="5"/>
      <c r="O3013" s="5"/>
    </row>
    <row r="3014" spans="1:29" ht="30" customHeight="1" x14ac:dyDescent="0.3">
      <c r="A3014" s="5"/>
      <c r="B3014" s="5"/>
      <c r="C3014" s="5"/>
      <c r="D3014" s="5"/>
      <c r="E3014" s="5"/>
      <c r="F3014" s="9"/>
      <c r="G3014" s="5"/>
      <c r="H3014" s="5"/>
      <c r="I3014" s="5"/>
      <c r="J3014" s="5"/>
      <c r="K3014" s="5"/>
      <c r="L3014" s="5"/>
      <c r="M3014" s="5"/>
      <c r="N3014" s="5"/>
      <c r="O3014" s="5"/>
    </row>
    <row r="3015" spans="1:29" ht="30" customHeight="1" x14ac:dyDescent="0.3">
      <c r="A3015" s="5"/>
      <c r="B3015" s="5"/>
      <c r="C3015" s="5"/>
      <c r="D3015" s="5"/>
      <c r="E3015" s="5"/>
      <c r="F3015" s="9"/>
      <c r="G3015" s="5"/>
      <c r="H3015" s="5"/>
      <c r="I3015" s="5"/>
      <c r="J3015" s="5"/>
      <c r="K3015" s="5"/>
      <c r="L3015" s="5"/>
      <c r="M3015" s="5"/>
      <c r="N3015" s="5"/>
      <c r="O3015" s="5"/>
    </row>
    <row r="3016" spans="1:29" ht="30" customHeight="1" x14ac:dyDescent="0.3">
      <c r="A3016" s="5"/>
      <c r="B3016" s="5"/>
      <c r="C3016" s="5"/>
      <c r="D3016" s="5"/>
      <c r="E3016" s="5"/>
      <c r="F3016" s="9"/>
      <c r="G3016" s="5"/>
      <c r="H3016" s="5"/>
      <c r="I3016" s="5"/>
      <c r="J3016" s="5"/>
      <c r="K3016" s="5"/>
      <c r="L3016" s="5"/>
      <c r="M3016" s="5"/>
      <c r="N3016" s="5"/>
      <c r="O3016" s="5"/>
    </row>
    <row r="3017" spans="1:29" ht="30" customHeight="1" x14ac:dyDescent="0.3">
      <c r="A3017" s="5"/>
      <c r="B3017" s="5"/>
      <c r="C3017" s="5"/>
      <c r="D3017" s="5"/>
      <c r="E3017" s="5"/>
      <c r="F3017" s="9"/>
      <c r="G3017" s="5"/>
      <c r="H3017" s="5"/>
      <c r="I3017" s="5"/>
      <c r="J3017" s="5"/>
      <c r="K3017" s="5"/>
      <c r="L3017" s="5"/>
      <c r="M3017" s="5"/>
      <c r="N3017" s="5"/>
      <c r="O3017" s="5"/>
    </row>
    <row r="3018" spans="1:29" ht="30" customHeight="1" x14ac:dyDescent="0.3">
      <c r="A3018" s="5"/>
      <c r="B3018" s="5"/>
      <c r="C3018" s="5"/>
      <c r="D3018" s="5"/>
      <c r="E3018" s="5"/>
      <c r="F3018" s="9"/>
      <c r="G3018" s="5"/>
      <c r="H3018" s="5"/>
      <c r="I3018" s="5"/>
      <c r="J3018" s="5"/>
      <c r="K3018" s="5"/>
      <c r="L3018" s="5"/>
      <c r="M3018" s="5"/>
      <c r="N3018" s="5"/>
      <c r="O3018" s="5"/>
    </row>
    <row r="3019" spans="1:29" ht="30" customHeight="1" x14ac:dyDescent="0.3">
      <c r="A3019" s="5"/>
      <c r="B3019" s="5"/>
      <c r="C3019" s="5" t="s">
        <v>162</v>
      </c>
      <c r="D3019" s="5"/>
      <c r="E3019" s="5"/>
      <c r="F3019" s="9"/>
      <c r="G3019" s="5"/>
      <c r="H3019" s="5">
        <f>SUMIF(AC2995:AC3018, 1, H2995:H3018)</f>
        <v>0</v>
      </c>
      <c r="I3019" s="5"/>
      <c r="J3019" s="5">
        <f>SUMIF(AC2995:AC3018, 1, J2995:J3018)</f>
        <v>0</v>
      </c>
      <c r="K3019" s="5"/>
      <c r="L3019" s="5">
        <f>SUMIF(AC2995:AC3018, 1, L2995:L3018)</f>
        <v>200000</v>
      </c>
      <c r="M3019" s="5"/>
      <c r="N3019" s="5">
        <f>H3019+J3019+L3019</f>
        <v>200000</v>
      </c>
      <c r="O3019" s="5"/>
    </row>
    <row r="3020" spans="1:29" ht="30" customHeight="1" x14ac:dyDescent="0.3">
      <c r="A3020" s="5"/>
      <c r="B3020" s="5"/>
      <c r="C3020" s="6" t="s">
        <v>2410</v>
      </c>
      <c r="D3020" s="6"/>
      <c r="E3020" s="6"/>
      <c r="F3020" s="7"/>
      <c r="G3020" s="6"/>
      <c r="H3020" s="6"/>
      <c r="I3020" s="6"/>
      <c r="J3020" s="6"/>
      <c r="K3020" s="6"/>
      <c r="L3020" s="6"/>
      <c r="M3020" s="6"/>
      <c r="N3020" s="6"/>
      <c r="O3020" s="6"/>
    </row>
    <row r="3021" spans="1:29" ht="30" customHeight="1" x14ac:dyDescent="0.3">
      <c r="A3021" s="8" t="s">
        <v>2411</v>
      </c>
      <c r="B3021" s="8" t="s">
        <v>2412</v>
      </c>
      <c r="C3021" s="8" t="s">
        <v>2301</v>
      </c>
      <c r="D3021" s="8" t="s">
        <v>20</v>
      </c>
      <c r="E3021" s="8" t="s">
        <v>20</v>
      </c>
      <c r="F3021" s="9">
        <v>0</v>
      </c>
      <c r="G3021" s="5">
        <f>TRUNC([1]단가대비표!O1280,0)</f>
        <v>0</v>
      </c>
      <c r="H3021" s="5">
        <f t="shared" ref="H3021:H3032" si="282">TRUNC(F3021*G3021,0)</f>
        <v>0</v>
      </c>
      <c r="I3021" s="5">
        <v>0</v>
      </c>
      <c r="J3021" s="5">
        <f t="shared" ref="J3021:J3032" si="283">TRUNC(F3021*I3021,0)</f>
        <v>0</v>
      </c>
      <c r="K3021" s="5">
        <v>0</v>
      </c>
      <c r="L3021" s="5">
        <f t="shared" ref="L3021:L3032" si="284">TRUNC(F3021*K3021,0)</f>
        <v>0</v>
      </c>
      <c r="M3021" s="5">
        <f t="shared" ref="M3021:N3032" si="285">G3021+I3021+K3021</f>
        <v>0</v>
      </c>
      <c r="N3021" s="5">
        <f t="shared" si="285"/>
        <v>0</v>
      </c>
      <c r="O3021" s="8" t="s">
        <v>20</v>
      </c>
      <c r="T3021">
        <v>0</v>
      </c>
      <c r="AC3021">
        <v>1</v>
      </c>
    </row>
    <row r="3022" spans="1:29" ht="30" customHeight="1" x14ac:dyDescent="0.3">
      <c r="A3022" s="8" t="s">
        <v>2411</v>
      </c>
      <c r="B3022" s="8" t="s">
        <v>2413</v>
      </c>
      <c r="C3022" s="8" t="s">
        <v>2303</v>
      </c>
      <c r="D3022" s="8" t="s">
        <v>2369</v>
      </c>
      <c r="E3022" s="8" t="s">
        <v>161</v>
      </c>
      <c r="F3022" s="9">
        <v>1</v>
      </c>
      <c r="G3022" s="5">
        <v>0</v>
      </c>
      <c r="H3022" s="5">
        <f t="shared" si="282"/>
        <v>0</v>
      </c>
      <c r="I3022" s="5">
        <v>0</v>
      </c>
      <c r="J3022" s="5">
        <f t="shared" si="283"/>
        <v>0</v>
      </c>
      <c r="K3022" s="5">
        <f>TRUNC([1]단가대비표!O1281,0)</f>
        <v>420330</v>
      </c>
      <c r="L3022" s="5">
        <f t="shared" si="284"/>
        <v>420330</v>
      </c>
      <c r="M3022" s="5">
        <f t="shared" si="285"/>
        <v>420330</v>
      </c>
      <c r="N3022" s="5">
        <f t="shared" si="285"/>
        <v>420330</v>
      </c>
      <c r="O3022" s="8" t="s">
        <v>20</v>
      </c>
      <c r="T3022">
        <v>0</v>
      </c>
      <c r="AC3022">
        <v>1</v>
      </c>
    </row>
    <row r="3023" spans="1:29" ht="30" customHeight="1" x14ac:dyDescent="0.3">
      <c r="A3023" s="8" t="s">
        <v>2411</v>
      </c>
      <c r="B3023" s="8" t="s">
        <v>2414</v>
      </c>
      <c r="C3023" s="8" t="s">
        <v>2415</v>
      </c>
      <c r="D3023" s="8" t="s">
        <v>20</v>
      </c>
      <c r="E3023" s="8" t="s">
        <v>20</v>
      </c>
      <c r="F3023" s="9">
        <v>0</v>
      </c>
      <c r="G3023" s="5">
        <f>TRUNC([1]단가대비표!O1282,0)</f>
        <v>0</v>
      </c>
      <c r="H3023" s="5">
        <f t="shared" si="282"/>
        <v>0</v>
      </c>
      <c r="I3023" s="5">
        <v>0</v>
      </c>
      <c r="J3023" s="5">
        <f t="shared" si="283"/>
        <v>0</v>
      </c>
      <c r="K3023" s="5">
        <v>0</v>
      </c>
      <c r="L3023" s="5">
        <f t="shared" si="284"/>
        <v>0</v>
      </c>
      <c r="M3023" s="5">
        <f t="shared" si="285"/>
        <v>0</v>
      </c>
      <c r="N3023" s="5">
        <f t="shared" si="285"/>
        <v>0</v>
      </c>
      <c r="O3023" s="8" t="s">
        <v>20</v>
      </c>
      <c r="T3023">
        <v>0</v>
      </c>
      <c r="AC3023">
        <v>1</v>
      </c>
    </row>
    <row r="3024" spans="1:29" ht="30" customHeight="1" x14ac:dyDescent="0.3">
      <c r="A3024" s="8" t="s">
        <v>2411</v>
      </c>
      <c r="B3024" s="8" t="s">
        <v>2416</v>
      </c>
      <c r="C3024" s="8" t="s">
        <v>2341</v>
      </c>
      <c r="D3024" s="8" t="s">
        <v>2342</v>
      </c>
      <c r="E3024" s="8" t="s">
        <v>19</v>
      </c>
      <c r="F3024" s="9">
        <v>22</v>
      </c>
      <c r="G3024" s="5">
        <v>0</v>
      </c>
      <c r="H3024" s="5">
        <f t="shared" si="282"/>
        <v>0</v>
      </c>
      <c r="I3024" s="5">
        <v>0</v>
      </c>
      <c r="J3024" s="5">
        <f t="shared" si="283"/>
        <v>0</v>
      </c>
      <c r="K3024" s="5">
        <f>TRUNC([1]단가대비표!O1283,0)</f>
        <v>11040</v>
      </c>
      <c r="L3024" s="5">
        <f t="shared" si="284"/>
        <v>242880</v>
      </c>
      <c r="M3024" s="5">
        <f t="shared" si="285"/>
        <v>11040</v>
      </c>
      <c r="N3024" s="5">
        <f t="shared" si="285"/>
        <v>242880</v>
      </c>
      <c r="O3024" s="8" t="s">
        <v>20</v>
      </c>
      <c r="T3024">
        <v>0</v>
      </c>
      <c r="AC3024">
        <v>1</v>
      </c>
    </row>
    <row r="3025" spans="1:29" ht="30" customHeight="1" x14ac:dyDescent="0.3">
      <c r="A3025" s="8" t="s">
        <v>2411</v>
      </c>
      <c r="B3025" s="8" t="s">
        <v>2417</v>
      </c>
      <c r="C3025" s="8" t="s">
        <v>2344</v>
      </c>
      <c r="D3025" s="8" t="s">
        <v>2345</v>
      </c>
      <c r="E3025" s="8" t="s">
        <v>428</v>
      </c>
      <c r="F3025" s="9">
        <v>24</v>
      </c>
      <c r="G3025" s="5">
        <v>0</v>
      </c>
      <c r="H3025" s="5">
        <f t="shared" si="282"/>
        <v>0</v>
      </c>
      <c r="I3025" s="5">
        <v>0</v>
      </c>
      <c r="J3025" s="5">
        <f t="shared" si="283"/>
        <v>0</v>
      </c>
      <c r="K3025" s="5">
        <f>TRUNC([1]단가대비표!O1284,0)</f>
        <v>9070</v>
      </c>
      <c r="L3025" s="5">
        <f t="shared" si="284"/>
        <v>217680</v>
      </c>
      <c r="M3025" s="5">
        <f t="shared" si="285"/>
        <v>9070</v>
      </c>
      <c r="N3025" s="5">
        <f t="shared" si="285"/>
        <v>217680</v>
      </c>
      <c r="O3025" s="8" t="s">
        <v>20</v>
      </c>
      <c r="T3025">
        <v>0</v>
      </c>
      <c r="AC3025">
        <v>1</v>
      </c>
    </row>
    <row r="3026" spans="1:29" ht="30" customHeight="1" x14ac:dyDescent="0.3">
      <c r="A3026" s="8" t="s">
        <v>2411</v>
      </c>
      <c r="B3026" s="8" t="s">
        <v>2418</v>
      </c>
      <c r="C3026" s="8" t="s">
        <v>2347</v>
      </c>
      <c r="D3026" s="8" t="s">
        <v>2369</v>
      </c>
      <c r="E3026" s="8" t="s">
        <v>161</v>
      </c>
      <c r="F3026" s="9">
        <v>1</v>
      </c>
      <c r="G3026" s="5">
        <v>0</v>
      </c>
      <c r="H3026" s="5">
        <f t="shared" si="282"/>
        <v>0</v>
      </c>
      <c r="I3026" s="5">
        <v>0</v>
      </c>
      <c r="J3026" s="5">
        <f t="shared" si="283"/>
        <v>0</v>
      </c>
      <c r="K3026" s="5">
        <f>TRUNC([1]단가대비표!O1285,0)</f>
        <v>720600</v>
      </c>
      <c r="L3026" s="5">
        <f t="shared" si="284"/>
        <v>720600</v>
      </c>
      <c r="M3026" s="5">
        <f t="shared" si="285"/>
        <v>720600</v>
      </c>
      <c r="N3026" s="5">
        <f t="shared" si="285"/>
        <v>720600</v>
      </c>
      <c r="O3026" s="8" t="s">
        <v>20</v>
      </c>
      <c r="T3026">
        <v>0</v>
      </c>
      <c r="AC3026">
        <v>1</v>
      </c>
    </row>
    <row r="3027" spans="1:29" ht="30" customHeight="1" x14ac:dyDescent="0.3">
      <c r="A3027" s="8" t="s">
        <v>2411</v>
      </c>
      <c r="B3027" s="8" t="s">
        <v>2419</v>
      </c>
      <c r="C3027" s="8" t="s">
        <v>2374</v>
      </c>
      <c r="D3027" s="8" t="s">
        <v>2369</v>
      </c>
      <c r="E3027" s="8" t="s">
        <v>161</v>
      </c>
      <c r="F3027" s="9">
        <v>1</v>
      </c>
      <c r="G3027" s="5">
        <v>0</v>
      </c>
      <c r="H3027" s="5">
        <f t="shared" si="282"/>
        <v>0</v>
      </c>
      <c r="I3027" s="5">
        <v>0</v>
      </c>
      <c r="J3027" s="5">
        <f t="shared" si="283"/>
        <v>0</v>
      </c>
      <c r="K3027" s="5">
        <f>TRUNC([1]단가대비표!O1286,0)</f>
        <v>116790</v>
      </c>
      <c r="L3027" s="5">
        <f t="shared" si="284"/>
        <v>116790</v>
      </c>
      <c r="M3027" s="5">
        <f t="shared" si="285"/>
        <v>116790</v>
      </c>
      <c r="N3027" s="5">
        <f t="shared" si="285"/>
        <v>116790</v>
      </c>
      <c r="O3027" s="8" t="s">
        <v>20</v>
      </c>
      <c r="T3027">
        <v>0</v>
      </c>
      <c r="AC3027">
        <v>1</v>
      </c>
    </row>
    <row r="3028" spans="1:29" ht="30" customHeight="1" x14ac:dyDescent="0.3">
      <c r="A3028" s="8" t="s">
        <v>2411</v>
      </c>
      <c r="B3028" s="8" t="s">
        <v>2420</v>
      </c>
      <c r="C3028" s="8" t="s">
        <v>2376</v>
      </c>
      <c r="D3028" s="8" t="s">
        <v>2377</v>
      </c>
      <c r="E3028" s="8" t="s">
        <v>161</v>
      </c>
      <c r="F3028" s="9">
        <v>1</v>
      </c>
      <c r="G3028" s="5">
        <v>0</v>
      </c>
      <c r="H3028" s="5">
        <f t="shared" si="282"/>
        <v>0</v>
      </c>
      <c r="I3028" s="5">
        <v>0</v>
      </c>
      <c r="J3028" s="5">
        <f t="shared" si="283"/>
        <v>0</v>
      </c>
      <c r="K3028" s="5">
        <f>TRUNC([1]단가대비표!O1287,0)</f>
        <v>118120</v>
      </c>
      <c r="L3028" s="5">
        <f t="shared" si="284"/>
        <v>118120</v>
      </c>
      <c r="M3028" s="5">
        <f t="shared" si="285"/>
        <v>118120</v>
      </c>
      <c r="N3028" s="5">
        <f t="shared" si="285"/>
        <v>118120</v>
      </c>
      <c r="O3028" s="8" t="s">
        <v>20</v>
      </c>
      <c r="T3028">
        <v>0</v>
      </c>
      <c r="AC3028">
        <v>1</v>
      </c>
    </row>
    <row r="3029" spans="1:29" ht="30" customHeight="1" x14ac:dyDescent="0.3">
      <c r="A3029" s="8" t="s">
        <v>2411</v>
      </c>
      <c r="B3029" s="8" t="s">
        <v>2421</v>
      </c>
      <c r="C3029" s="8" t="s">
        <v>2379</v>
      </c>
      <c r="D3029" s="8" t="s">
        <v>2380</v>
      </c>
      <c r="E3029" s="8" t="s">
        <v>161</v>
      </c>
      <c r="F3029" s="9">
        <v>1</v>
      </c>
      <c r="G3029" s="5">
        <v>0</v>
      </c>
      <c r="H3029" s="5">
        <f t="shared" si="282"/>
        <v>0</v>
      </c>
      <c r="I3029" s="5">
        <v>0</v>
      </c>
      <c r="J3029" s="5">
        <f t="shared" si="283"/>
        <v>0</v>
      </c>
      <c r="K3029" s="5">
        <f>TRUNC([1]단가대비표!O1288,0)</f>
        <v>275460</v>
      </c>
      <c r="L3029" s="5">
        <f t="shared" si="284"/>
        <v>275460</v>
      </c>
      <c r="M3029" s="5">
        <f t="shared" si="285"/>
        <v>275460</v>
      </c>
      <c r="N3029" s="5">
        <f t="shared" si="285"/>
        <v>275460</v>
      </c>
      <c r="O3029" s="8" t="s">
        <v>20</v>
      </c>
      <c r="T3029">
        <v>0</v>
      </c>
      <c r="AC3029">
        <v>1</v>
      </c>
    </row>
    <row r="3030" spans="1:29" ht="30" customHeight="1" x14ac:dyDescent="0.3">
      <c r="A3030" s="8" t="s">
        <v>2411</v>
      </c>
      <c r="B3030" s="8" t="s">
        <v>2422</v>
      </c>
      <c r="C3030" s="8" t="s">
        <v>2357</v>
      </c>
      <c r="D3030" s="8" t="s">
        <v>2358</v>
      </c>
      <c r="E3030" s="8" t="s">
        <v>161</v>
      </c>
      <c r="F3030" s="9">
        <v>1</v>
      </c>
      <c r="G3030" s="5">
        <v>0</v>
      </c>
      <c r="H3030" s="5">
        <f t="shared" si="282"/>
        <v>0</v>
      </c>
      <c r="I3030" s="5">
        <v>0</v>
      </c>
      <c r="J3030" s="5">
        <f t="shared" si="283"/>
        <v>0</v>
      </c>
      <c r="K3030" s="5">
        <f>TRUNC([1]단가대비표!O1289,0)</f>
        <v>198650</v>
      </c>
      <c r="L3030" s="5">
        <f t="shared" si="284"/>
        <v>198650</v>
      </c>
      <c r="M3030" s="5">
        <f t="shared" si="285"/>
        <v>198650</v>
      </c>
      <c r="N3030" s="5">
        <f t="shared" si="285"/>
        <v>198650</v>
      </c>
      <c r="O3030" s="8" t="s">
        <v>20</v>
      </c>
      <c r="T3030">
        <v>0</v>
      </c>
      <c r="AC3030">
        <v>1</v>
      </c>
    </row>
    <row r="3031" spans="1:29" ht="30" customHeight="1" x14ac:dyDescent="0.3">
      <c r="A3031" s="8" t="s">
        <v>2411</v>
      </c>
      <c r="B3031" s="8" t="s">
        <v>2423</v>
      </c>
      <c r="C3031" s="8" t="s">
        <v>2360</v>
      </c>
      <c r="D3031" s="8" t="s">
        <v>2361</v>
      </c>
      <c r="E3031" s="8" t="s">
        <v>161</v>
      </c>
      <c r="F3031" s="9">
        <v>1</v>
      </c>
      <c r="G3031" s="5">
        <v>0</v>
      </c>
      <c r="H3031" s="5">
        <f t="shared" si="282"/>
        <v>0</v>
      </c>
      <c r="I3031" s="5">
        <v>0</v>
      </c>
      <c r="J3031" s="5">
        <f t="shared" si="283"/>
        <v>0</v>
      </c>
      <c r="K3031" s="5">
        <f>TRUNC([1]단가대비표!O1290,0)</f>
        <v>1055930</v>
      </c>
      <c r="L3031" s="5">
        <f t="shared" si="284"/>
        <v>1055930</v>
      </c>
      <c r="M3031" s="5">
        <f t="shared" si="285"/>
        <v>1055930</v>
      </c>
      <c r="N3031" s="5">
        <f t="shared" si="285"/>
        <v>1055930</v>
      </c>
      <c r="O3031" s="8" t="s">
        <v>20</v>
      </c>
      <c r="T3031">
        <v>0</v>
      </c>
      <c r="AC3031">
        <v>1</v>
      </c>
    </row>
    <row r="3032" spans="1:29" ht="30" customHeight="1" x14ac:dyDescent="0.3">
      <c r="A3032" s="8" t="s">
        <v>2411</v>
      </c>
      <c r="B3032" s="8" t="s">
        <v>2424</v>
      </c>
      <c r="C3032" s="8" t="s">
        <v>2363</v>
      </c>
      <c r="D3032" s="8" t="s">
        <v>2364</v>
      </c>
      <c r="E3032" s="8" t="s">
        <v>161</v>
      </c>
      <c r="F3032" s="9">
        <v>1</v>
      </c>
      <c r="G3032" s="5">
        <v>0</v>
      </c>
      <c r="H3032" s="5">
        <f t="shared" si="282"/>
        <v>0</v>
      </c>
      <c r="I3032" s="5">
        <v>0</v>
      </c>
      <c r="J3032" s="5">
        <f t="shared" si="283"/>
        <v>0</v>
      </c>
      <c r="K3032" s="5">
        <f>TRUNC([1]단가대비표!O1291,0)</f>
        <v>633560</v>
      </c>
      <c r="L3032" s="5">
        <f t="shared" si="284"/>
        <v>633560</v>
      </c>
      <c r="M3032" s="5">
        <f t="shared" si="285"/>
        <v>633560</v>
      </c>
      <c r="N3032" s="5">
        <f t="shared" si="285"/>
        <v>633560</v>
      </c>
      <c r="O3032" s="8" t="s">
        <v>20</v>
      </c>
      <c r="T3032">
        <v>0</v>
      </c>
      <c r="AC3032">
        <v>1</v>
      </c>
    </row>
    <row r="3033" spans="1:29" ht="30" customHeight="1" x14ac:dyDescent="0.3">
      <c r="A3033" s="5"/>
      <c r="B3033" s="5"/>
      <c r="C3033" s="5"/>
      <c r="D3033" s="5"/>
      <c r="E3033" s="5"/>
      <c r="F3033" s="9"/>
      <c r="G3033" s="5"/>
      <c r="H3033" s="5"/>
      <c r="I3033" s="5"/>
      <c r="J3033" s="5"/>
      <c r="K3033" s="5"/>
      <c r="L3033" s="5"/>
      <c r="M3033" s="5"/>
      <c r="N3033" s="5"/>
      <c r="O3033" s="5"/>
    </row>
    <row r="3034" spans="1:29" ht="30" customHeight="1" x14ac:dyDescent="0.3">
      <c r="A3034" s="5"/>
      <c r="B3034" s="5"/>
      <c r="C3034" s="5"/>
      <c r="D3034" s="5"/>
      <c r="E3034" s="5"/>
      <c r="F3034" s="9"/>
      <c r="G3034" s="5"/>
      <c r="H3034" s="5"/>
      <c r="I3034" s="5"/>
      <c r="J3034" s="5"/>
      <c r="K3034" s="5"/>
      <c r="L3034" s="5"/>
      <c r="M3034" s="5"/>
      <c r="N3034" s="5"/>
      <c r="O3034" s="5"/>
    </row>
    <row r="3035" spans="1:29" ht="30" customHeight="1" x14ac:dyDescent="0.3">
      <c r="A3035" s="5"/>
      <c r="B3035" s="5"/>
      <c r="C3035" s="5"/>
      <c r="D3035" s="5"/>
      <c r="E3035" s="5"/>
      <c r="F3035" s="9"/>
      <c r="G3035" s="5"/>
      <c r="H3035" s="5"/>
      <c r="I3035" s="5"/>
      <c r="J3035" s="5"/>
      <c r="K3035" s="5"/>
      <c r="L3035" s="5"/>
      <c r="M3035" s="5"/>
      <c r="N3035" s="5"/>
      <c r="O3035" s="5"/>
    </row>
    <row r="3036" spans="1:29" ht="30" customHeight="1" x14ac:dyDescent="0.3">
      <c r="A3036" s="5"/>
      <c r="B3036" s="5"/>
      <c r="C3036" s="5"/>
      <c r="D3036" s="5"/>
      <c r="E3036" s="5"/>
      <c r="F3036" s="9"/>
      <c r="G3036" s="5"/>
      <c r="H3036" s="5"/>
      <c r="I3036" s="5"/>
      <c r="J3036" s="5"/>
      <c r="K3036" s="5"/>
      <c r="L3036" s="5"/>
      <c r="M3036" s="5"/>
      <c r="N3036" s="5"/>
      <c r="O3036" s="5"/>
    </row>
    <row r="3037" spans="1:29" ht="30" customHeight="1" x14ac:dyDescent="0.3">
      <c r="A3037" s="5"/>
      <c r="B3037" s="5"/>
      <c r="C3037" s="5"/>
      <c r="D3037" s="5"/>
      <c r="E3037" s="5"/>
      <c r="F3037" s="9"/>
      <c r="G3037" s="5"/>
      <c r="H3037" s="5"/>
      <c r="I3037" s="5"/>
      <c r="J3037" s="5"/>
      <c r="K3037" s="5"/>
      <c r="L3037" s="5"/>
      <c r="M3037" s="5"/>
      <c r="N3037" s="5"/>
      <c r="O3037" s="5"/>
    </row>
    <row r="3038" spans="1:29" ht="30" customHeight="1" x14ac:dyDescent="0.3">
      <c r="A3038" s="5"/>
      <c r="B3038" s="5"/>
      <c r="C3038" s="5"/>
      <c r="D3038" s="5"/>
      <c r="E3038" s="5"/>
      <c r="F3038" s="9"/>
      <c r="G3038" s="5"/>
      <c r="H3038" s="5"/>
      <c r="I3038" s="5"/>
      <c r="J3038" s="5"/>
      <c r="K3038" s="5"/>
      <c r="L3038" s="5"/>
      <c r="M3038" s="5"/>
      <c r="N3038" s="5"/>
      <c r="O3038" s="5"/>
    </row>
    <row r="3039" spans="1:29" ht="30" customHeight="1" x14ac:dyDescent="0.3">
      <c r="A3039" s="5"/>
      <c r="B3039" s="5"/>
      <c r="C3039" s="5"/>
      <c r="D3039" s="5"/>
      <c r="E3039" s="5"/>
      <c r="F3039" s="9"/>
      <c r="G3039" s="5"/>
      <c r="H3039" s="5"/>
      <c r="I3039" s="5"/>
      <c r="J3039" s="5"/>
      <c r="K3039" s="5"/>
      <c r="L3039" s="5"/>
      <c r="M3039" s="5"/>
      <c r="N3039" s="5"/>
      <c r="O3039" s="5"/>
    </row>
    <row r="3040" spans="1:29" ht="30" customHeight="1" x14ac:dyDescent="0.3">
      <c r="A3040" s="5"/>
      <c r="B3040" s="5"/>
      <c r="C3040" s="5"/>
      <c r="D3040" s="5"/>
      <c r="E3040" s="5"/>
      <c r="F3040" s="9"/>
      <c r="G3040" s="5"/>
      <c r="H3040" s="5"/>
      <c r="I3040" s="5"/>
      <c r="J3040" s="5"/>
      <c r="K3040" s="5"/>
      <c r="L3040" s="5"/>
      <c r="M3040" s="5"/>
      <c r="N3040" s="5"/>
      <c r="O3040" s="5"/>
    </row>
    <row r="3041" spans="1:29" ht="30" customHeight="1" x14ac:dyDescent="0.3">
      <c r="A3041" s="5"/>
      <c r="B3041" s="5"/>
      <c r="C3041" s="5"/>
      <c r="D3041" s="5"/>
      <c r="E3041" s="5"/>
      <c r="F3041" s="9"/>
      <c r="G3041" s="5"/>
      <c r="H3041" s="5"/>
      <c r="I3041" s="5"/>
      <c r="J3041" s="5"/>
      <c r="K3041" s="5"/>
      <c r="L3041" s="5"/>
      <c r="M3041" s="5"/>
      <c r="N3041" s="5"/>
      <c r="O3041" s="5"/>
    </row>
    <row r="3042" spans="1:29" ht="30" customHeight="1" x14ac:dyDescent="0.3">
      <c r="A3042" s="5"/>
      <c r="B3042" s="5"/>
      <c r="C3042" s="5"/>
      <c r="D3042" s="5"/>
      <c r="E3042" s="5"/>
      <c r="F3042" s="9"/>
      <c r="G3042" s="5"/>
      <c r="H3042" s="5"/>
      <c r="I3042" s="5"/>
      <c r="J3042" s="5"/>
      <c r="K3042" s="5"/>
      <c r="L3042" s="5"/>
      <c r="M3042" s="5"/>
      <c r="N3042" s="5"/>
      <c r="O3042" s="5"/>
    </row>
    <row r="3043" spans="1:29" ht="30" customHeight="1" x14ac:dyDescent="0.3">
      <c r="A3043" s="5"/>
      <c r="B3043" s="5"/>
      <c r="C3043" s="5"/>
      <c r="D3043" s="5"/>
      <c r="E3043" s="5"/>
      <c r="F3043" s="9"/>
      <c r="G3043" s="5"/>
      <c r="H3043" s="5"/>
      <c r="I3043" s="5"/>
      <c r="J3043" s="5"/>
      <c r="K3043" s="5"/>
      <c r="L3043" s="5"/>
      <c r="M3043" s="5"/>
      <c r="N3043" s="5"/>
      <c r="O3043" s="5"/>
    </row>
    <row r="3044" spans="1:29" ht="30" customHeight="1" x14ac:dyDescent="0.3">
      <c r="A3044" s="5"/>
      <c r="B3044" s="5"/>
      <c r="C3044" s="5"/>
      <c r="D3044" s="5"/>
      <c r="E3044" s="5"/>
      <c r="F3044" s="9"/>
      <c r="G3044" s="5"/>
      <c r="H3044" s="5"/>
      <c r="I3044" s="5"/>
      <c r="J3044" s="5"/>
      <c r="K3044" s="5"/>
      <c r="L3044" s="5"/>
      <c r="M3044" s="5"/>
      <c r="N3044" s="5"/>
      <c r="O3044" s="5"/>
    </row>
    <row r="3045" spans="1:29" ht="30" customHeight="1" x14ac:dyDescent="0.3">
      <c r="A3045" s="5"/>
      <c r="B3045" s="5"/>
      <c r="C3045" s="5" t="s">
        <v>162</v>
      </c>
      <c r="D3045" s="5"/>
      <c r="E3045" s="5"/>
      <c r="F3045" s="9"/>
      <c r="G3045" s="5"/>
      <c r="H3045" s="5">
        <f>SUMIF(AC3021:AC3044, 1, H3021:H3044)</f>
        <v>0</v>
      </c>
      <c r="I3045" s="5"/>
      <c r="J3045" s="5">
        <f>SUMIF(AC3021:AC3044, 1, J3021:J3044)</f>
        <v>0</v>
      </c>
      <c r="K3045" s="5"/>
      <c r="L3045" s="5">
        <f>SUMIF(AC3021:AC3044, 1, L3021:L3044)</f>
        <v>4000000</v>
      </c>
      <c r="M3045" s="5"/>
      <c r="N3045" s="5">
        <f>H3045+J3045+L3045</f>
        <v>4000000</v>
      </c>
      <c r="O3045" s="5"/>
    </row>
    <row r="3046" spans="1:29" ht="30" customHeight="1" x14ac:dyDescent="0.3">
      <c r="A3046" s="5"/>
      <c r="B3046" s="5"/>
      <c r="C3046" s="6" t="s">
        <v>2425</v>
      </c>
      <c r="D3046" s="6"/>
      <c r="E3046" s="6"/>
      <c r="F3046" s="7"/>
      <c r="G3046" s="6"/>
      <c r="H3046" s="6"/>
      <c r="I3046" s="6"/>
      <c r="J3046" s="6"/>
      <c r="K3046" s="6"/>
      <c r="L3046" s="6"/>
      <c r="M3046" s="6"/>
      <c r="N3046" s="6"/>
      <c r="O3046" s="6"/>
    </row>
    <row r="3047" spans="1:29" ht="30" customHeight="1" x14ac:dyDescent="0.3">
      <c r="A3047" s="8" t="s">
        <v>2426</v>
      </c>
      <c r="B3047" s="8" t="s">
        <v>2427</v>
      </c>
      <c r="C3047" s="8" t="s">
        <v>2428</v>
      </c>
      <c r="D3047" s="8" t="s">
        <v>36</v>
      </c>
      <c r="E3047" s="8" t="s">
        <v>19</v>
      </c>
      <c r="F3047" s="9">
        <v>81</v>
      </c>
      <c r="G3047" s="5">
        <f>TRUNC([1]단가대비표!O944,0)</f>
        <v>375000</v>
      </c>
      <c r="H3047" s="5">
        <f t="shared" ref="H3047:H3064" si="286">TRUNC(F3047*G3047,0)</f>
        <v>30375000</v>
      </c>
      <c r="I3047" s="5">
        <v>0</v>
      </c>
      <c r="J3047" s="5">
        <f t="shared" ref="J3047:J3064" si="287">TRUNC(F3047*I3047,0)</f>
        <v>0</v>
      </c>
      <c r="K3047" s="5">
        <v>0</v>
      </c>
      <c r="L3047" s="5">
        <f t="shared" ref="L3047:L3064" si="288">TRUNC(F3047*K3047,0)</f>
        <v>0</v>
      </c>
      <c r="M3047" s="5">
        <f t="shared" ref="M3047:N3064" si="289">G3047+I3047+K3047</f>
        <v>375000</v>
      </c>
      <c r="N3047" s="5">
        <f t="shared" si="289"/>
        <v>30375000</v>
      </c>
      <c r="O3047" s="8" t="s">
        <v>20</v>
      </c>
      <c r="T3047">
        <v>0</v>
      </c>
      <c r="AC3047">
        <v>1</v>
      </c>
    </row>
    <row r="3048" spans="1:29" ht="30" customHeight="1" x14ac:dyDescent="0.3">
      <c r="A3048" s="8" t="s">
        <v>2426</v>
      </c>
      <c r="B3048" s="8" t="s">
        <v>2429</v>
      </c>
      <c r="C3048" s="8" t="s">
        <v>2430</v>
      </c>
      <c r="D3048" s="8" t="s">
        <v>39</v>
      </c>
      <c r="E3048" s="8" t="s">
        <v>19</v>
      </c>
      <c r="F3048" s="9">
        <v>5</v>
      </c>
      <c r="G3048" s="5">
        <f>TRUNC([1]단가대비표!O946,0)</f>
        <v>384000</v>
      </c>
      <c r="H3048" s="5">
        <f t="shared" si="286"/>
        <v>1920000</v>
      </c>
      <c r="I3048" s="5">
        <v>0</v>
      </c>
      <c r="J3048" s="5">
        <f t="shared" si="287"/>
        <v>0</v>
      </c>
      <c r="K3048" s="5">
        <v>0</v>
      </c>
      <c r="L3048" s="5">
        <f t="shared" si="288"/>
        <v>0</v>
      </c>
      <c r="M3048" s="5">
        <f t="shared" si="289"/>
        <v>384000</v>
      </c>
      <c r="N3048" s="5">
        <f t="shared" si="289"/>
        <v>1920000</v>
      </c>
      <c r="O3048" s="8" t="s">
        <v>20</v>
      </c>
      <c r="T3048">
        <v>0</v>
      </c>
      <c r="AC3048">
        <v>1</v>
      </c>
    </row>
    <row r="3049" spans="1:29" ht="30" customHeight="1" x14ac:dyDescent="0.3">
      <c r="A3049" s="8" t="s">
        <v>2426</v>
      </c>
      <c r="B3049" s="8" t="s">
        <v>2431</v>
      </c>
      <c r="C3049" s="8" t="s">
        <v>2432</v>
      </c>
      <c r="D3049" s="8" t="s">
        <v>42</v>
      </c>
      <c r="E3049" s="8" t="s">
        <v>19</v>
      </c>
      <c r="F3049" s="9">
        <v>15</v>
      </c>
      <c r="G3049" s="5">
        <f>TRUNC([1]단가대비표!O948,0)</f>
        <v>386000</v>
      </c>
      <c r="H3049" s="5">
        <f t="shared" si="286"/>
        <v>5790000</v>
      </c>
      <c r="I3049" s="5">
        <v>0</v>
      </c>
      <c r="J3049" s="5">
        <f t="shared" si="287"/>
        <v>0</v>
      </c>
      <c r="K3049" s="5">
        <v>0</v>
      </c>
      <c r="L3049" s="5">
        <f t="shared" si="288"/>
        <v>0</v>
      </c>
      <c r="M3049" s="5">
        <f t="shared" si="289"/>
        <v>386000</v>
      </c>
      <c r="N3049" s="5">
        <f t="shared" si="289"/>
        <v>5790000</v>
      </c>
      <c r="O3049" s="8" t="s">
        <v>20</v>
      </c>
      <c r="T3049">
        <v>0</v>
      </c>
      <c r="AC3049">
        <v>1</v>
      </c>
    </row>
    <row r="3050" spans="1:29" ht="30" customHeight="1" x14ac:dyDescent="0.3">
      <c r="A3050" s="8" t="s">
        <v>2426</v>
      </c>
      <c r="B3050" s="8" t="s">
        <v>2433</v>
      </c>
      <c r="C3050" s="8" t="s">
        <v>2434</v>
      </c>
      <c r="D3050" s="8" t="s">
        <v>45</v>
      </c>
      <c r="E3050" s="8" t="s">
        <v>19</v>
      </c>
      <c r="F3050" s="9">
        <v>5</v>
      </c>
      <c r="G3050" s="5">
        <f>TRUNC([1]단가대비표!O950,0)</f>
        <v>399500</v>
      </c>
      <c r="H3050" s="5">
        <f t="shared" si="286"/>
        <v>1997500</v>
      </c>
      <c r="I3050" s="5">
        <v>0</v>
      </c>
      <c r="J3050" s="5">
        <f t="shared" si="287"/>
        <v>0</v>
      </c>
      <c r="K3050" s="5">
        <v>0</v>
      </c>
      <c r="L3050" s="5">
        <f t="shared" si="288"/>
        <v>0</v>
      </c>
      <c r="M3050" s="5">
        <f t="shared" si="289"/>
        <v>399500</v>
      </c>
      <c r="N3050" s="5">
        <f t="shared" si="289"/>
        <v>1997500</v>
      </c>
      <c r="O3050" s="8" t="s">
        <v>20</v>
      </c>
      <c r="T3050">
        <v>0</v>
      </c>
      <c r="AC3050">
        <v>1</v>
      </c>
    </row>
    <row r="3051" spans="1:29" ht="30" customHeight="1" x14ac:dyDescent="0.3">
      <c r="A3051" s="8" t="s">
        <v>2426</v>
      </c>
      <c r="B3051" s="8" t="s">
        <v>2435</v>
      </c>
      <c r="C3051" s="8" t="s">
        <v>2436</v>
      </c>
      <c r="D3051" s="8" t="s">
        <v>48</v>
      </c>
      <c r="E3051" s="8" t="s">
        <v>19</v>
      </c>
      <c r="F3051" s="9">
        <v>5</v>
      </c>
      <c r="G3051" s="5">
        <f>TRUNC([1]단가대비표!O952,0)</f>
        <v>510000</v>
      </c>
      <c r="H3051" s="5">
        <f t="shared" si="286"/>
        <v>2550000</v>
      </c>
      <c r="I3051" s="5">
        <v>0</v>
      </c>
      <c r="J3051" s="5">
        <f t="shared" si="287"/>
        <v>0</v>
      </c>
      <c r="K3051" s="5">
        <v>0</v>
      </c>
      <c r="L3051" s="5">
        <f t="shared" si="288"/>
        <v>0</v>
      </c>
      <c r="M3051" s="5">
        <f t="shared" si="289"/>
        <v>510000</v>
      </c>
      <c r="N3051" s="5">
        <f t="shared" si="289"/>
        <v>2550000</v>
      </c>
      <c r="O3051" s="8" t="s">
        <v>20</v>
      </c>
      <c r="T3051">
        <v>0</v>
      </c>
      <c r="AC3051">
        <v>1</v>
      </c>
    </row>
    <row r="3052" spans="1:29" ht="30" customHeight="1" x14ac:dyDescent="0.3">
      <c r="A3052" s="8" t="s">
        <v>2426</v>
      </c>
      <c r="B3052" s="8" t="s">
        <v>2437</v>
      </c>
      <c r="C3052" s="8" t="s">
        <v>2438</v>
      </c>
      <c r="D3052" s="8" t="s">
        <v>51</v>
      </c>
      <c r="E3052" s="8" t="s">
        <v>19</v>
      </c>
      <c r="F3052" s="9">
        <v>5</v>
      </c>
      <c r="G3052" s="5">
        <f>TRUNC([1]단가대비표!O954,0)</f>
        <v>539000</v>
      </c>
      <c r="H3052" s="5">
        <f t="shared" si="286"/>
        <v>2695000</v>
      </c>
      <c r="I3052" s="5">
        <v>0</v>
      </c>
      <c r="J3052" s="5">
        <f t="shared" si="287"/>
        <v>0</v>
      </c>
      <c r="K3052" s="5">
        <v>0</v>
      </c>
      <c r="L3052" s="5">
        <f t="shared" si="288"/>
        <v>0</v>
      </c>
      <c r="M3052" s="5">
        <f t="shared" si="289"/>
        <v>539000</v>
      </c>
      <c r="N3052" s="5">
        <f t="shared" si="289"/>
        <v>2695000</v>
      </c>
      <c r="O3052" s="8" t="s">
        <v>20</v>
      </c>
      <c r="T3052">
        <v>0</v>
      </c>
      <c r="AC3052">
        <v>1</v>
      </c>
    </row>
    <row r="3053" spans="1:29" ht="30" customHeight="1" x14ac:dyDescent="0.3">
      <c r="A3053" s="8" t="s">
        <v>2426</v>
      </c>
      <c r="B3053" s="8" t="s">
        <v>2439</v>
      </c>
      <c r="C3053" s="8" t="s">
        <v>2440</v>
      </c>
      <c r="D3053" s="8" t="s">
        <v>54</v>
      </c>
      <c r="E3053" s="8" t="s">
        <v>19</v>
      </c>
      <c r="F3053" s="9">
        <v>9</v>
      </c>
      <c r="G3053" s="5">
        <f>TRUNC([1]단가대비표!O956,0)</f>
        <v>549000</v>
      </c>
      <c r="H3053" s="5">
        <f t="shared" si="286"/>
        <v>4941000</v>
      </c>
      <c r="I3053" s="5">
        <v>0</v>
      </c>
      <c r="J3053" s="5">
        <f t="shared" si="287"/>
        <v>0</v>
      </c>
      <c r="K3053" s="5">
        <v>0</v>
      </c>
      <c r="L3053" s="5">
        <f t="shared" si="288"/>
        <v>0</v>
      </c>
      <c r="M3053" s="5">
        <f t="shared" si="289"/>
        <v>549000</v>
      </c>
      <c r="N3053" s="5">
        <f t="shared" si="289"/>
        <v>4941000</v>
      </c>
      <c r="O3053" s="8" t="s">
        <v>20</v>
      </c>
      <c r="T3053">
        <v>0</v>
      </c>
      <c r="AC3053">
        <v>1</v>
      </c>
    </row>
    <row r="3054" spans="1:29" ht="30" customHeight="1" x14ac:dyDescent="0.3">
      <c r="A3054" s="8" t="s">
        <v>2426</v>
      </c>
      <c r="B3054" s="8" t="s">
        <v>2441</v>
      </c>
      <c r="C3054" s="8" t="s">
        <v>2442</v>
      </c>
      <c r="D3054" s="8" t="s">
        <v>57</v>
      </c>
      <c r="E3054" s="8" t="s">
        <v>19</v>
      </c>
      <c r="F3054" s="9">
        <v>10</v>
      </c>
      <c r="G3054" s="5">
        <f>TRUNC([1]단가대비표!O958,0)</f>
        <v>559000</v>
      </c>
      <c r="H3054" s="5">
        <f t="shared" si="286"/>
        <v>5590000</v>
      </c>
      <c r="I3054" s="5">
        <v>0</v>
      </c>
      <c r="J3054" s="5">
        <f t="shared" si="287"/>
        <v>0</v>
      </c>
      <c r="K3054" s="5">
        <v>0</v>
      </c>
      <c r="L3054" s="5">
        <f t="shared" si="288"/>
        <v>0</v>
      </c>
      <c r="M3054" s="5">
        <f t="shared" si="289"/>
        <v>559000</v>
      </c>
      <c r="N3054" s="5">
        <f t="shared" si="289"/>
        <v>5590000</v>
      </c>
      <c r="O3054" s="8" t="s">
        <v>20</v>
      </c>
      <c r="T3054">
        <v>0</v>
      </c>
      <c r="AC3054">
        <v>1</v>
      </c>
    </row>
    <row r="3055" spans="1:29" ht="30" customHeight="1" x14ac:dyDescent="0.3">
      <c r="A3055" s="8" t="s">
        <v>2426</v>
      </c>
      <c r="B3055" s="8" t="s">
        <v>2443</v>
      </c>
      <c r="C3055" s="8" t="s">
        <v>2444</v>
      </c>
      <c r="D3055" s="8" t="s">
        <v>60</v>
      </c>
      <c r="E3055" s="8" t="s">
        <v>19</v>
      </c>
      <c r="F3055" s="9">
        <v>3</v>
      </c>
      <c r="G3055" s="5">
        <f>TRUNC([1]단가대비표!O960,0)</f>
        <v>611000</v>
      </c>
      <c r="H3055" s="5">
        <f t="shared" si="286"/>
        <v>1833000</v>
      </c>
      <c r="I3055" s="5">
        <v>0</v>
      </c>
      <c r="J3055" s="5">
        <f t="shared" si="287"/>
        <v>0</v>
      </c>
      <c r="K3055" s="5">
        <v>0</v>
      </c>
      <c r="L3055" s="5">
        <f t="shared" si="288"/>
        <v>0</v>
      </c>
      <c r="M3055" s="5">
        <f t="shared" si="289"/>
        <v>611000</v>
      </c>
      <c r="N3055" s="5">
        <f t="shared" si="289"/>
        <v>1833000</v>
      </c>
      <c r="O3055" s="8" t="s">
        <v>20</v>
      </c>
      <c r="T3055">
        <v>0</v>
      </c>
      <c r="AC3055">
        <v>1</v>
      </c>
    </row>
    <row r="3056" spans="1:29" ht="30" customHeight="1" x14ac:dyDescent="0.3">
      <c r="A3056" s="8" t="s">
        <v>2426</v>
      </c>
      <c r="B3056" s="8" t="s">
        <v>2445</v>
      </c>
      <c r="C3056" s="8" t="s">
        <v>2446</v>
      </c>
      <c r="D3056" s="8" t="s">
        <v>63</v>
      </c>
      <c r="E3056" s="8" t="s">
        <v>19</v>
      </c>
      <c r="F3056" s="9">
        <v>2</v>
      </c>
      <c r="G3056" s="5">
        <f>TRUNC([1]단가대비표!O962,0)</f>
        <v>1576000</v>
      </c>
      <c r="H3056" s="5">
        <f t="shared" si="286"/>
        <v>3152000</v>
      </c>
      <c r="I3056" s="5">
        <v>0</v>
      </c>
      <c r="J3056" s="5">
        <f t="shared" si="287"/>
        <v>0</v>
      </c>
      <c r="K3056" s="5">
        <v>0</v>
      </c>
      <c r="L3056" s="5">
        <f t="shared" si="288"/>
        <v>0</v>
      </c>
      <c r="M3056" s="5">
        <f t="shared" si="289"/>
        <v>1576000</v>
      </c>
      <c r="N3056" s="5">
        <f t="shared" si="289"/>
        <v>3152000</v>
      </c>
      <c r="O3056" s="8" t="s">
        <v>20</v>
      </c>
      <c r="T3056">
        <v>0</v>
      </c>
      <c r="AC3056">
        <v>1</v>
      </c>
    </row>
    <row r="3057" spans="1:29" ht="30" customHeight="1" x14ac:dyDescent="0.3">
      <c r="A3057" s="8" t="s">
        <v>2426</v>
      </c>
      <c r="B3057" s="8" t="s">
        <v>2447</v>
      </c>
      <c r="C3057" s="8" t="s">
        <v>2448</v>
      </c>
      <c r="D3057" s="8" t="s">
        <v>66</v>
      </c>
      <c r="E3057" s="8" t="s">
        <v>19</v>
      </c>
      <c r="F3057" s="9">
        <v>1</v>
      </c>
      <c r="G3057" s="5">
        <f>TRUNC([1]단가대비표!O964,0)</f>
        <v>647000</v>
      </c>
      <c r="H3057" s="5">
        <f t="shared" si="286"/>
        <v>647000</v>
      </c>
      <c r="I3057" s="5">
        <v>0</v>
      </c>
      <c r="J3057" s="5">
        <f t="shared" si="287"/>
        <v>0</v>
      </c>
      <c r="K3057" s="5">
        <v>0</v>
      </c>
      <c r="L3057" s="5">
        <f t="shared" si="288"/>
        <v>0</v>
      </c>
      <c r="M3057" s="5">
        <f t="shared" si="289"/>
        <v>647000</v>
      </c>
      <c r="N3057" s="5">
        <f t="shared" si="289"/>
        <v>647000</v>
      </c>
      <c r="O3057" s="8" t="s">
        <v>20</v>
      </c>
      <c r="T3057">
        <v>0</v>
      </c>
      <c r="AC3057">
        <v>1</v>
      </c>
    </row>
    <row r="3058" spans="1:29" ht="30" customHeight="1" x14ac:dyDescent="0.3">
      <c r="A3058" s="8" t="s">
        <v>2426</v>
      </c>
      <c r="B3058" s="8" t="s">
        <v>2449</v>
      </c>
      <c r="C3058" s="8" t="s">
        <v>2450</v>
      </c>
      <c r="D3058" s="8" t="s">
        <v>20</v>
      </c>
      <c r="E3058" s="8" t="s">
        <v>428</v>
      </c>
      <c r="F3058" s="9">
        <v>5</v>
      </c>
      <c r="G3058" s="5">
        <f>TRUNC([1]단가대비표!O1003,0)</f>
        <v>29000</v>
      </c>
      <c r="H3058" s="5">
        <f t="shared" si="286"/>
        <v>145000</v>
      </c>
      <c r="I3058" s="5">
        <v>0</v>
      </c>
      <c r="J3058" s="5">
        <f t="shared" si="287"/>
        <v>0</v>
      </c>
      <c r="K3058" s="5">
        <v>0</v>
      </c>
      <c r="L3058" s="5">
        <f t="shared" si="288"/>
        <v>0</v>
      </c>
      <c r="M3058" s="5">
        <f t="shared" si="289"/>
        <v>29000</v>
      </c>
      <c r="N3058" s="5">
        <f t="shared" si="289"/>
        <v>145000</v>
      </c>
      <c r="O3058" s="8" t="s">
        <v>2451</v>
      </c>
      <c r="T3058">
        <v>0</v>
      </c>
      <c r="AC3058">
        <v>1</v>
      </c>
    </row>
    <row r="3059" spans="1:29" ht="30" customHeight="1" x14ac:dyDescent="0.3">
      <c r="A3059" s="8" t="s">
        <v>2426</v>
      </c>
      <c r="B3059" s="8" t="s">
        <v>2452</v>
      </c>
      <c r="C3059" s="8" t="s">
        <v>2453</v>
      </c>
      <c r="D3059" s="8" t="s">
        <v>20</v>
      </c>
      <c r="E3059" s="8" t="s">
        <v>428</v>
      </c>
      <c r="F3059" s="9">
        <v>139</v>
      </c>
      <c r="G3059" s="5">
        <f>TRUNC([1]단가대비표!O1004,0)</f>
        <v>100000</v>
      </c>
      <c r="H3059" s="5">
        <f t="shared" si="286"/>
        <v>13900000</v>
      </c>
      <c r="I3059" s="5">
        <v>0</v>
      </c>
      <c r="J3059" s="5">
        <f t="shared" si="287"/>
        <v>0</v>
      </c>
      <c r="K3059" s="5">
        <v>0</v>
      </c>
      <c r="L3059" s="5">
        <f t="shared" si="288"/>
        <v>0</v>
      </c>
      <c r="M3059" s="5">
        <f t="shared" si="289"/>
        <v>100000</v>
      </c>
      <c r="N3059" s="5">
        <f t="shared" si="289"/>
        <v>13900000</v>
      </c>
      <c r="O3059" s="8" t="s">
        <v>2454</v>
      </c>
      <c r="T3059">
        <v>0</v>
      </c>
      <c r="AC3059">
        <v>1</v>
      </c>
    </row>
    <row r="3060" spans="1:29" ht="30" customHeight="1" x14ac:dyDescent="0.3">
      <c r="A3060" s="8" t="s">
        <v>2426</v>
      </c>
      <c r="B3060" s="8" t="s">
        <v>2455</v>
      </c>
      <c r="C3060" s="8" t="s">
        <v>2456</v>
      </c>
      <c r="D3060" s="8" t="s">
        <v>20</v>
      </c>
      <c r="E3060" s="8" t="s">
        <v>428</v>
      </c>
      <c r="F3060" s="9">
        <v>1</v>
      </c>
      <c r="G3060" s="5">
        <f>TRUNC([1]단가대비표!O1005,0)</f>
        <v>85000</v>
      </c>
      <c r="H3060" s="5">
        <f t="shared" si="286"/>
        <v>85000</v>
      </c>
      <c r="I3060" s="5">
        <v>0</v>
      </c>
      <c r="J3060" s="5">
        <f t="shared" si="287"/>
        <v>0</v>
      </c>
      <c r="K3060" s="5">
        <v>0</v>
      </c>
      <c r="L3060" s="5">
        <f t="shared" si="288"/>
        <v>0</v>
      </c>
      <c r="M3060" s="5">
        <f t="shared" si="289"/>
        <v>85000</v>
      </c>
      <c r="N3060" s="5">
        <f t="shared" si="289"/>
        <v>85000</v>
      </c>
      <c r="O3060" s="8" t="s">
        <v>2457</v>
      </c>
      <c r="T3060">
        <v>0</v>
      </c>
      <c r="AC3060">
        <v>1</v>
      </c>
    </row>
    <row r="3061" spans="1:29" ht="30" customHeight="1" x14ac:dyDescent="0.3">
      <c r="A3061" s="8" t="s">
        <v>2426</v>
      </c>
      <c r="B3061" s="8" t="s">
        <v>2458</v>
      </c>
      <c r="C3061" s="8" t="s">
        <v>2459</v>
      </c>
      <c r="D3061" s="8" t="s">
        <v>20</v>
      </c>
      <c r="E3061" s="8" t="s">
        <v>428</v>
      </c>
      <c r="F3061" s="9">
        <v>139</v>
      </c>
      <c r="G3061" s="5">
        <f>TRUNC([1]단가대비표!O1006,0)</f>
        <v>77000</v>
      </c>
      <c r="H3061" s="5">
        <f t="shared" si="286"/>
        <v>10703000</v>
      </c>
      <c r="I3061" s="5">
        <v>0</v>
      </c>
      <c r="J3061" s="5">
        <f t="shared" si="287"/>
        <v>0</v>
      </c>
      <c r="K3061" s="5">
        <v>0</v>
      </c>
      <c r="L3061" s="5">
        <f t="shared" si="288"/>
        <v>0</v>
      </c>
      <c r="M3061" s="5">
        <f t="shared" si="289"/>
        <v>77000</v>
      </c>
      <c r="N3061" s="5">
        <f t="shared" si="289"/>
        <v>10703000</v>
      </c>
      <c r="O3061" s="8" t="s">
        <v>2460</v>
      </c>
      <c r="T3061">
        <v>0</v>
      </c>
      <c r="AC3061">
        <v>1</v>
      </c>
    </row>
    <row r="3062" spans="1:29" ht="30" customHeight="1" x14ac:dyDescent="0.3">
      <c r="A3062" s="8" t="s">
        <v>2426</v>
      </c>
      <c r="B3062" s="8" t="s">
        <v>2461</v>
      </c>
      <c r="C3062" s="8" t="s">
        <v>2459</v>
      </c>
      <c r="D3062" s="8" t="s">
        <v>2462</v>
      </c>
      <c r="E3062" s="8" t="s">
        <v>428</v>
      </c>
      <c r="F3062" s="9">
        <v>2</v>
      </c>
      <c r="G3062" s="5">
        <f>TRUNC([1]단가대비표!O1008,0)</f>
        <v>145000</v>
      </c>
      <c r="H3062" s="5">
        <f t="shared" si="286"/>
        <v>290000</v>
      </c>
      <c r="I3062" s="5">
        <v>0</v>
      </c>
      <c r="J3062" s="5">
        <f t="shared" si="287"/>
        <v>0</v>
      </c>
      <c r="K3062" s="5">
        <v>0</v>
      </c>
      <c r="L3062" s="5">
        <f t="shared" si="288"/>
        <v>0</v>
      </c>
      <c r="M3062" s="5">
        <f t="shared" si="289"/>
        <v>145000</v>
      </c>
      <c r="N3062" s="5">
        <f t="shared" si="289"/>
        <v>290000</v>
      </c>
      <c r="O3062" s="8" t="s">
        <v>20</v>
      </c>
      <c r="T3062">
        <v>0</v>
      </c>
      <c r="AC3062">
        <v>1</v>
      </c>
    </row>
    <row r="3063" spans="1:29" ht="30" customHeight="1" x14ac:dyDescent="0.3">
      <c r="A3063" s="8" t="s">
        <v>2426</v>
      </c>
      <c r="B3063" s="8" t="s">
        <v>2463</v>
      </c>
      <c r="C3063" s="8" t="s">
        <v>2464</v>
      </c>
      <c r="D3063" s="8" t="s">
        <v>20</v>
      </c>
      <c r="E3063" s="8" t="s">
        <v>428</v>
      </c>
      <c r="F3063" s="9">
        <v>139</v>
      </c>
      <c r="G3063" s="5">
        <f>TRUNC([1]단가대비표!O1007,0)</f>
        <v>77000</v>
      </c>
      <c r="H3063" s="5">
        <f t="shared" si="286"/>
        <v>10703000</v>
      </c>
      <c r="I3063" s="5">
        <v>0</v>
      </c>
      <c r="J3063" s="5">
        <f t="shared" si="287"/>
        <v>0</v>
      </c>
      <c r="K3063" s="5">
        <v>0</v>
      </c>
      <c r="L3063" s="5">
        <f t="shared" si="288"/>
        <v>0</v>
      </c>
      <c r="M3063" s="5">
        <f t="shared" si="289"/>
        <v>77000</v>
      </c>
      <c r="N3063" s="5">
        <f t="shared" si="289"/>
        <v>10703000</v>
      </c>
      <c r="O3063" s="8" t="s">
        <v>2465</v>
      </c>
      <c r="T3063">
        <v>0</v>
      </c>
      <c r="AC3063">
        <v>1</v>
      </c>
    </row>
    <row r="3064" spans="1:29" ht="30" customHeight="1" x14ac:dyDescent="0.3">
      <c r="A3064" s="8" t="s">
        <v>2426</v>
      </c>
      <c r="B3064" s="8" t="s">
        <v>2466</v>
      </c>
      <c r="C3064" s="8" t="s">
        <v>2467</v>
      </c>
      <c r="D3064" s="8" t="s">
        <v>2468</v>
      </c>
      <c r="E3064" s="8" t="s">
        <v>161</v>
      </c>
      <c r="F3064" s="9">
        <v>1</v>
      </c>
      <c r="G3064" s="5">
        <f>TRUNC([1]단가대비표!O1927,0)</f>
        <v>525609</v>
      </c>
      <c r="H3064" s="5">
        <f t="shared" si="286"/>
        <v>525609</v>
      </c>
      <c r="I3064" s="5">
        <v>0</v>
      </c>
      <c r="J3064" s="5">
        <f t="shared" si="287"/>
        <v>0</v>
      </c>
      <c r="K3064" s="5">
        <v>0</v>
      </c>
      <c r="L3064" s="5">
        <f t="shared" si="288"/>
        <v>0</v>
      </c>
      <c r="M3064" s="5">
        <f t="shared" si="289"/>
        <v>525609</v>
      </c>
      <c r="N3064" s="5">
        <f t="shared" si="289"/>
        <v>525609</v>
      </c>
      <c r="O3064" s="8" t="s">
        <v>20</v>
      </c>
      <c r="T3064">
        <v>0</v>
      </c>
      <c r="AC3064">
        <v>1</v>
      </c>
    </row>
    <row r="3065" spans="1:29" ht="30" customHeight="1" x14ac:dyDescent="0.3">
      <c r="A3065" s="5"/>
      <c r="B3065" s="5"/>
      <c r="C3065" s="5"/>
      <c r="D3065" s="5"/>
      <c r="E3065" s="5"/>
      <c r="F3065" s="9"/>
      <c r="G3065" s="5"/>
      <c r="H3065" s="5"/>
      <c r="I3065" s="5"/>
      <c r="J3065" s="5"/>
      <c r="K3065" s="5"/>
      <c r="L3065" s="5"/>
      <c r="M3065" s="5"/>
      <c r="N3065" s="5"/>
      <c r="O3065" s="5"/>
    </row>
    <row r="3066" spans="1:29" ht="30" customHeight="1" x14ac:dyDescent="0.3">
      <c r="A3066" s="5"/>
      <c r="B3066" s="5"/>
      <c r="C3066" s="5"/>
      <c r="D3066" s="5"/>
      <c r="E3066" s="5"/>
      <c r="F3066" s="9"/>
      <c r="G3066" s="5"/>
      <c r="H3066" s="5"/>
      <c r="I3066" s="5"/>
      <c r="J3066" s="5"/>
      <c r="K3066" s="5"/>
      <c r="L3066" s="5"/>
      <c r="M3066" s="5"/>
      <c r="N3066" s="5"/>
      <c r="O3066" s="5"/>
    </row>
    <row r="3067" spans="1:29" ht="30" customHeight="1" x14ac:dyDescent="0.3">
      <c r="A3067" s="5"/>
      <c r="B3067" s="5"/>
      <c r="C3067" s="5"/>
      <c r="D3067" s="5"/>
      <c r="E3067" s="5"/>
      <c r="F3067" s="9"/>
      <c r="G3067" s="5"/>
      <c r="H3067" s="5"/>
      <c r="I3067" s="5"/>
      <c r="J3067" s="5"/>
      <c r="K3067" s="5"/>
      <c r="L3067" s="5"/>
      <c r="M3067" s="5"/>
      <c r="N3067" s="5"/>
      <c r="O3067" s="5"/>
    </row>
    <row r="3068" spans="1:29" ht="30" customHeight="1" x14ac:dyDescent="0.3">
      <c r="A3068" s="5"/>
      <c r="B3068" s="5"/>
      <c r="C3068" s="5"/>
      <c r="D3068" s="5"/>
      <c r="E3068" s="5"/>
      <c r="F3068" s="9"/>
      <c r="G3068" s="5"/>
      <c r="H3068" s="5"/>
      <c r="I3068" s="5"/>
      <c r="J3068" s="5"/>
      <c r="K3068" s="5"/>
      <c r="L3068" s="5"/>
      <c r="M3068" s="5"/>
      <c r="N3068" s="5"/>
      <c r="O3068" s="5"/>
    </row>
    <row r="3069" spans="1:29" ht="30" customHeight="1" x14ac:dyDescent="0.3">
      <c r="A3069" s="5"/>
      <c r="B3069" s="5"/>
      <c r="C3069" s="5"/>
      <c r="D3069" s="5"/>
      <c r="E3069" s="5"/>
      <c r="F3069" s="9"/>
      <c r="G3069" s="5"/>
      <c r="H3069" s="5"/>
      <c r="I3069" s="5"/>
      <c r="J3069" s="5"/>
      <c r="K3069" s="5"/>
      <c r="L3069" s="5"/>
      <c r="M3069" s="5"/>
      <c r="N3069" s="5"/>
      <c r="O3069" s="5"/>
    </row>
    <row r="3070" spans="1:29" ht="30" customHeight="1" x14ac:dyDescent="0.3">
      <c r="A3070" s="5"/>
      <c r="B3070" s="5"/>
      <c r="C3070" s="5"/>
      <c r="D3070" s="5"/>
      <c r="E3070" s="5"/>
      <c r="F3070" s="9"/>
      <c r="G3070" s="5"/>
      <c r="H3070" s="5"/>
      <c r="I3070" s="5"/>
      <c r="J3070" s="5"/>
      <c r="K3070" s="5"/>
      <c r="L3070" s="5"/>
      <c r="M3070" s="5"/>
      <c r="N3070" s="5"/>
      <c r="O3070" s="5"/>
    </row>
    <row r="3071" spans="1:29" ht="30" customHeight="1" x14ac:dyDescent="0.3">
      <c r="A3071" s="5"/>
      <c r="B3071" s="5"/>
      <c r="C3071" s="5" t="s">
        <v>162</v>
      </c>
      <c r="D3071" s="5"/>
      <c r="E3071" s="5"/>
      <c r="F3071" s="9"/>
      <c r="G3071" s="5"/>
      <c r="H3071" s="5">
        <f>SUMIF(AC3047:AC3070, 1, H3047:H3070)</f>
        <v>97842109</v>
      </c>
      <c r="I3071" s="5"/>
      <c r="J3071" s="5">
        <f>SUMIF(AC3047:AC3070, 1, J3047:J3070)</f>
        <v>0</v>
      </c>
      <c r="K3071" s="5"/>
      <c r="L3071" s="5">
        <f>SUMIF(AC3047:AC3070, 1, L3047:L3070)</f>
        <v>0</v>
      </c>
      <c r="M3071" s="5"/>
      <c r="N3071" s="5">
        <f>H3071+J3071+L3071</f>
        <v>97842109</v>
      </c>
      <c r="O3071" s="5"/>
    </row>
    <row r="3072" spans="1:29" ht="30" customHeight="1" x14ac:dyDescent="0.3">
      <c r="A3072" s="5"/>
      <c r="B3072" s="5"/>
      <c r="C3072" s="6" t="s">
        <v>2469</v>
      </c>
      <c r="D3072" s="6"/>
      <c r="E3072" s="6"/>
      <c r="F3072" s="7"/>
      <c r="G3072" s="6"/>
      <c r="H3072" s="6"/>
      <c r="I3072" s="6"/>
      <c r="J3072" s="6"/>
      <c r="K3072" s="6"/>
      <c r="L3072" s="6"/>
      <c r="M3072" s="6"/>
      <c r="N3072" s="6"/>
      <c r="O3072" s="6"/>
    </row>
    <row r="3073" spans="1:29" ht="30" customHeight="1" x14ac:dyDescent="0.3">
      <c r="A3073" s="8" t="s">
        <v>2470</v>
      </c>
      <c r="B3073" s="8" t="s">
        <v>2471</v>
      </c>
      <c r="C3073" s="8" t="s">
        <v>2472</v>
      </c>
      <c r="D3073" s="8" t="s">
        <v>36</v>
      </c>
      <c r="E3073" s="8" t="s">
        <v>19</v>
      </c>
      <c r="F3073" s="9">
        <v>19</v>
      </c>
      <c r="G3073" s="5">
        <f>TRUNC([1]단가대비표!O1022,0)</f>
        <v>375000</v>
      </c>
      <c r="H3073" s="5">
        <f t="shared" ref="H3073:H3079" si="290">TRUNC(F3073*G3073,0)</f>
        <v>7125000</v>
      </c>
      <c r="I3073" s="5">
        <v>0</v>
      </c>
      <c r="J3073" s="5">
        <f t="shared" ref="J3073:J3079" si="291">TRUNC(F3073*I3073,0)</f>
        <v>0</v>
      </c>
      <c r="K3073" s="5">
        <v>0</v>
      </c>
      <c r="L3073" s="5">
        <f t="shared" ref="L3073:L3079" si="292">TRUNC(F3073*K3073,0)</f>
        <v>0</v>
      </c>
      <c r="M3073" s="5">
        <f t="shared" ref="M3073:N3079" si="293">G3073+I3073+K3073</f>
        <v>375000</v>
      </c>
      <c r="N3073" s="5">
        <f t="shared" si="293"/>
        <v>7125000</v>
      </c>
      <c r="O3073" s="8" t="s">
        <v>20</v>
      </c>
      <c r="T3073">
        <v>0</v>
      </c>
      <c r="AC3073">
        <v>1</v>
      </c>
    </row>
    <row r="3074" spans="1:29" ht="30" customHeight="1" x14ac:dyDescent="0.3">
      <c r="A3074" s="8" t="s">
        <v>2470</v>
      </c>
      <c r="B3074" s="8" t="s">
        <v>2473</v>
      </c>
      <c r="C3074" s="8" t="s">
        <v>2474</v>
      </c>
      <c r="D3074" s="8" t="s">
        <v>45</v>
      </c>
      <c r="E3074" s="8" t="s">
        <v>19</v>
      </c>
      <c r="F3074" s="9">
        <v>1</v>
      </c>
      <c r="G3074" s="5">
        <f>TRUNC([1]단가대비표!O1023,0)</f>
        <v>399500</v>
      </c>
      <c r="H3074" s="5">
        <f t="shared" si="290"/>
        <v>399500</v>
      </c>
      <c r="I3074" s="5">
        <v>0</v>
      </c>
      <c r="J3074" s="5">
        <f t="shared" si="291"/>
        <v>0</v>
      </c>
      <c r="K3074" s="5">
        <v>0</v>
      </c>
      <c r="L3074" s="5">
        <f t="shared" si="292"/>
        <v>0</v>
      </c>
      <c r="M3074" s="5">
        <f t="shared" si="293"/>
        <v>399500</v>
      </c>
      <c r="N3074" s="5">
        <f t="shared" si="293"/>
        <v>399500</v>
      </c>
      <c r="O3074" s="8" t="s">
        <v>20</v>
      </c>
      <c r="T3074">
        <v>0</v>
      </c>
      <c r="AC3074">
        <v>1</v>
      </c>
    </row>
    <row r="3075" spans="1:29" ht="30" customHeight="1" x14ac:dyDescent="0.3">
      <c r="A3075" s="8" t="s">
        <v>2470</v>
      </c>
      <c r="B3075" s="8" t="s">
        <v>2475</v>
      </c>
      <c r="C3075" s="8" t="s">
        <v>2476</v>
      </c>
      <c r="D3075" s="8" t="s">
        <v>60</v>
      </c>
      <c r="E3075" s="8" t="s">
        <v>19</v>
      </c>
      <c r="F3075" s="9">
        <v>2</v>
      </c>
      <c r="G3075" s="5">
        <f>TRUNC([1]단가대비표!O1024,0)</f>
        <v>611000</v>
      </c>
      <c r="H3075" s="5">
        <f t="shared" si="290"/>
        <v>1222000</v>
      </c>
      <c r="I3075" s="5">
        <v>0</v>
      </c>
      <c r="J3075" s="5">
        <f t="shared" si="291"/>
        <v>0</v>
      </c>
      <c r="K3075" s="5">
        <v>0</v>
      </c>
      <c r="L3075" s="5">
        <f t="shared" si="292"/>
        <v>0</v>
      </c>
      <c r="M3075" s="5">
        <f t="shared" si="293"/>
        <v>611000</v>
      </c>
      <c r="N3075" s="5">
        <f t="shared" si="293"/>
        <v>1222000</v>
      </c>
      <c r="O3075" s="8" t="s">
        <v>20</v>
      </c>
      <c r="T3075">
        <v>0</v>
      </c>
      <c r="AC3075">
        <v>1</v>
      </c>
    </row>
    <row r="3076" spans="1:29" ht="30" customHeight="1" x14ac:dyDescent="0.3">
      <c r="A3076" s="8" t="s">
        <v>2470</v>
      </c>
      <c r="B3076" s="8" t="s">
        <v>2452</v>
      </c>
      <c r="C3076" s="8" t="s">
        <v>2453</v>
      </c>
      <c r="D3076" s="8" t="s">
        <v>20</v>
      </c>
      <c r="E3076" s="8" t="s">
        <v>428</v>
      </c>
      <c r="F3076" s="9">
        <v>22</v>
      </c>
      <c r="G3076" s="5">
        <f>TRUNC([1]단가대비표!O1004,0)</f>
        <v>100000</v>
      </c>
      <c r="H3076" s="5">
        <f t="shared" si="290"/>
        <v>2200000</v>
      </c>
      <c r="I3076" s="5">
        <v>0</v>
      </c>
      <c r="J3076" s="5">
        <f t="shared" si="291"/>
        <v>0</v>
      </c>
      <c r="K3076" s="5">
        <v>0</v>
      </c>
      <c r="L3076" s="5">
        <f t="shared" si="292"/>
        <v>0</v>
      </c>
      <c r="M3076" s="5">
        <f t="shared" si="293"/>
        <v>100000</v>
      </c>
      <c r="N3076" s="5">
        <f t="shared" si="293"/>
        <v>2200000</v>
      </c>
      <c r="O3076" s="8" t="s">
        <v>2454</v>
      </c>
      <c r="T3076">
        <v>0</v>
      </c>
      <c r="AC3076">
        <v>1</v>
      </c>
    </row>
    <row r="3077" spans="1:29" ht="30" customHeight="1" x14ac:dyDescent="0.3">
      <c r="A3077" s="8" t="s">
        <v>2470</v>
      </c>
      <c r="B3077" s="8" t="s">
        <v>2458</v>
      </c>
      <c r="C3077" s="8" t="s">
        <v>2459</v>
      </c>
      <c r="D3077" s="8" t="s">
        <v>20</v>
      </c>
      <c r="E3077" s="8" t="s">
        <v>428</v>
      </c>
      <c r="F3077" s="9">
        <v>22</v>
      </c>
      <c r="G3077" s="5">
        <f>TRUNC([1]단가대비표!O1006,0)</f>
        <v>77000</v>
      </c>
      <c r="H3077" s="5">
        <f t="shared" si="290"/>
        <v>1694000</v>
      </c>
      <c r="I3077" s="5">
        <v>0</v>
      </c>
      <c r="J3077" s="5">
        <f t="shared" si="291"/>
        <v>0</v>
      </c>
      <c r="K3077" s="5">
        <v>0</v>
      </c>
      <c r="L3077" s="5">
        <f t="shared" si="292"/>
        <v>0</v>
      </c>
      <c r="M3077" s="5">
        <f t="shared" si="293"/>
        <v>77000</v>
      </c>
      <c r="N3077" s="5">
        <f t="shared" si="293"/>
        <v>1694000</v>
      </c>
      <c r="O3077" s="8" t="s">
        <v>2460</v>
      </c>
      <c r="T3077">
        <v>0</v>
      </c>
      <c r="AC3077">
        <v>1</v>
      </c>
    </row>
    <row r="3078" spans="1:29" ht="30" customHeight="1" x14ac:dyDescent="0.3">
      <c r="A3078" s="8" t="s">
        <v>2470</v>
      </c>
      <c r="B3078" s="8" t="s">
        <v>2463</v>
      </c>
      <c r="C3078" s="8" t="s">
        <v>2464</v>
      </c>
      <c r="D3078" s="8" t="s">
        <v>20</v>
      </c>
      <c r="E3078" s="8" t="s">
        <v>428</v>
      </c>
      <c r="F3078" s="9">
        <v>22</v>
      </c>
      <c r="G3078" s="5">
        <f>TRUNC([1]단가대비표!O1007,0)</f>
        <v>77000</v>
      </c>
      <c r="H3078" s="5">
        <f t="shared" si="290"/>
        <v>1694000</v>
      </c>
      <c r="I3078" s="5">
        <v>0</v>
      </c>
      <c r="J3078" s="5">
        <f t="shared" si="291"/>
        <v>0</v>
      </c>
      <c r="K3078" s="5">
        <v>0</v>
      </c>
      <c r="L3078" s="5">
        <f t="shared" si="292"/>
        <v>0</v>
      </c>
      <c r="M3078" s="5">
        <f t="shared" si="293"/>
        <v>77000</v>
      </c>
      <c r="N3078" s="5">
        <f t="shared" si="293"/>
        <v>1694000</v>
      </c>
      <c r="O3078" s="8" t="s">
        <v>2465</v>
      </c>
      <c r="T3078">
        <v>0</v>
      </c>
      <c r="AC3078">
        <v>1</v>
      </c>
    </row>
    <row r="3079" spans="1:29" ht="30" customHeight="1" x14ac:dyDescent="0.3">
      <c r="A3079" s="8" t="s">
        <v>2470</v>
      </c>
      <c r="B3079" s="8" t="s">
        <v>2477</v>
      </c>
      <c r="C3079" s="8" t="s">
        <v>2467</v>
      </c>
      <c r="D3079" s="8" t="s">
        <v>2468</v>
      </c>
      <c r="E3079" s="8" t="s">
        <v>161</v>
      </c>
      <c r="F3079" s="9">
        <v>1</v>
      </c>
      <c r="G3079" s="5">
        <f>TRUNC([1]단가대비표!O1930,0)</f>
        <v>77406</v>
      </c>
      <c r="H3079" s="5">
        <f t="shared" si="290"/>
        <v>77406</v>
      </c>
      <c r="I3079" s="5">
        <v>0</v>
      </c>
      <c r="J3079" s="5">
        <f t="shared" si="291"/>
        <v>0</v>
      </c>
      <c r="K3079" s="5">
        <v>0</v>
      </c>
      <c r="L3079" s="5">
        <f t="shared" si="292"/>
        <v>0</v>
      </c>
      <c r="M3079" s="5">
        <f t="shared" si="293"/>
        <v>77406</v>
      </c>
      <c r="N3079" s="5">
        <f t="shared" si="293"/>
        <v>77406</v>
      </c>
      <c r="O3079" s="8" t="s">
        <v>20</v>
      </c>
      <c r="T3079">
        <v>0</v>
      </c>
      <c r="AC3079">
        <v>1</v>
      </c>
    </row>
    <row r="3080" spans="1:29" ht="30" customHeight="1" x14ac:dyDescent="0.3">
      <c r="A3080" s="5"/>
      <c r="B3080" s="5"/>
      <c r="C3080" s="5"/>
      <c r="D3080" s="5"/>
      <c r="E3080" s="5"/>
      <c r="F3080" s="9"/>
      <c r="G3080" s="5"/>
      <c r="H3080" s="5"/>
      <c r="I3080" s="5"/>
      <c r="J3080" s="5"/>
      <c r="K3080" s="5"/>
      <c r="L3080" s="5"/>
      <c r="M3080" s="5"/>
      <c r="N3080" s="5"/>
      <c r="O3080" s="5"/>
    </row>
    <row r="3081" spans="1:29" ht="30" customHeight="1" x14ac:dyDescent="0.3">
      <c r="A3081" s="5"/>
      <c r="B3081" s="5"/>
      <c r="C3081" s="5"/>
      <c r="D3081" s="5"/>
      <c r="E3081" s="5"/>
      <c r="F3081" s="9"/>
      <c r="G3081" s="5"/>
      <c r="H3081" s="5"/>
      <c r="I3081" s="5"/>
      <c r="J3081" s="5"/>
      <c r="K3081" s="5"/>
      <c r="L3081" s="5"/>
      <c r="M3081" s="5"/>
      <c r="N3081" s="5"/>
      <c r="O3081" s="5"/>
    </row>
    <row r="3082" spans="1:29" ht="30" customHeight="1" x14ac:dyDescent="0.3">
      <c r="A3082" s="5"/>
      <c r="B3082" s="5"/>
      <c r="C3082" s="5"/>
      <c r="D3082" s="5"/>
      <c r="E3082" s="5"/>
      <c r="F3082" s="9"/>
      <c r="G3082" s="5"/>
      <c r="H3082" s="5"/>
      <c r="I3082" s="5"/>
      <c r="J3082" s="5"/>
      <c r="K3082" s="5"/>
      <c r="L3082" s="5"/>
      <c r="M3082" s="5"/>
      <c r="N3082" s="5"/>
      <c r="O3082" s="5"/>
    </row>
    <row r="3083" spans="1:29" ht="30" customHeight="1" x14ac:dyDescent="0.3">
      <c r="A3083" s="5"/>
      <c r="B3083" s="5"/>
      <c r="C3083" s="5"/>
      <c r="D3083" s="5"/>
      <c r="E3083" s="5"/>
      <c r="F3083" s="9"/>
      <c r="G3083" s="5"/>
      <c r="H3083" s="5"/>
      <c r="I3083" s="5"/>
      <c r="J3083" s="5"/>
      <c r="K3083" s="5"/>
      <c r="L3083" s="5"/>
      <c r="M3083" s="5"/>
      <c r="N3083" s="5"/>
      <c r="O3083" s="5"/>
    </row>
    <row r="3084" spans="1:29" ht="30" customHeight="1" x14ac:dyDescent="0.3">
      <c r="A3084" s="5"/>
      <c r="B3084" s="5"/>
      <c r="C3084" s="5"/>
      <c r="D3084" s="5"/>
      <c r="E3084" s="5"/>
      <c r="F3084" s="9"/>
      <c r="G3084" s="5"/>
      <c r="H3084" s="5"/>
      <c r="I3084" s="5"/>
      <c r="J3084" s="5"/>
      <c r="K3084" s="5"/>
      <c r="L3084" s="5"/>
      <c r="M3084" s="5"/>
      <c r="N3084" s="5"/>
      <c r="O3084" s="5"/>
    </row>
    <row r="3085" spans="1:29" ht="30" customHeight="1" x14ac:dyDescent="0.3">
      <c r="A3085" s="5"/>
      <c r="B3085" s="5"/>
      <c r="C3085" s="5"/>
      <c r="D3085" s="5"/>
      <c r="E3085" s="5"/>
      <c r="F3085" s="9"/>
      <c r="G3085" s="5"/>
      <c r="H3085" s="5"/>
      <c r="I3085" s="5"/>
      <c r="J3085" s="5"/>
      <c r="K3085" s="5"/>
      <c r="L3085" s="5"/>
      <c r="M3085" s="5"/>
      <c r="N3085" s="5"/>
      <c r="O3085" s="5"/>
    </row>
    <row r="3086" spans="1:29" ht="30" customHeight="1" x14ac:dyDescent="0.3">
      <c r="A3086" s="5"/>
      <c r="B3086" s="5"/>
      <c r="C3086" s="5"/>
      <c r="D3086" s="5"/>
      <c r="E3086" s="5"/>
      <c r="F3086" s="9"/>
      <c r="G3086" s="5"/>
      <c r="H3086" s="5"/>
      <c r="I3086" s="5"/>
      <c r="J3086" s="5"/>
      <c r="K3086" s="5"/>
      <c r="L3086" s="5"/>
      <c r="M3086" s="5"/>
      <c r="N3086" s="5"/>
      <c r="O3086" s="5"/>
    </row>
    <row r="3087" spans="1:29" ht="30" customHeight="1" x14ac:dyDescent="0.3">
      <c r="A3087" s="5"/>
      <c r="B3087" s="5"/>
      <c r="C3087" s="5"/>
      <c r="D3087" s="5"/>
      <c r="E3087" s="5"/>
      <c r="F3087" s="9"/>
      <c r="G3087" s="5"/>
      <c r="H3087" s="5"/>
      <c r="I3087" s="5"/>
      <c r="J3087" s="5"/>
      <c r="K3087" s="5"/>
      <c r="L3087" s="5"/>
      <c r="M3087" s="5"/>
      <c r="N3087" s="5"/>
      <c r="O3087" s="5"/>
    </row>
    <row r="3088" spans="1:29" ht="30" customHeight="1" x14ac:dyDescent="0.3">
      <c r="A3088" s="5"/>
      <c r="B3088" s="5"/>
      <c r="C3088" s="5"/>
      <c r="D3088" s="5"/>
      <c r="E3088" s="5"/>
      <c r="F3088" s="9"/>
      <c r="G3088" s="5"/>
      <c r="H3088" s="5"/>
      <c r="I3088" s="5"/>
      <c r="J3088" s="5"/>
      <c r="K3088" s="5"/>
      <c r="L3088" s="5"/>
      <c r="M3088" s="5"/>
      <c r="N3088" s="5"/>
      <c r="O3088" s="5"/>
    </row>
    <row r="3089" spans="1:29" ht="30" customHeight="1" x14ac:dyDescent="0.3">
      <c r="A3089" s="5"/>
      <c r="B3089" s="5"/>
      <c r="C3089" s="5"/>
      <c r="D3089" s="5"/>
      <c r="E3089" s="5"/>
      <c r="F3089" s="9"/>
      <c r="G3089" s="5"/>
      <c r="H3089" s="5"/>
      <c r="I3089" s="5"/>
      <c r="J3089" s="5"/>
      <c r="K3089" s="5"/>
      <c r="L3089" s="5"/>
      <c r="M3089" s="5"/>
      <c r="N3089" s="5"/>
      <c r="O3089" s="5"/>
    </row>
    <row r="3090" spans="1:29" ht="30" customHeight="1" x14ac:dyDescent="0.3">
      <c r="A3090" s="5"/>
      <c r="B3090" s="5"/>
      <c r="C3090" s="5"/>
      <c r="D3090" s="5"/>
      <c r="E3090" s="5"/>
      <c r="F3090" s="9"/>
      <c r="G3090" s="5"/>
      <c r="H3090" s="5"/>
      <c r="I3090" s="5"/>
      <c r="J3090" s="5"/>
      <c r="K3090" s="5"/>
      <c r="L3090" s="5"/>
      <c r="M3090" s="5"/>
      <c r="N3090" s="5"/>
      <c r="O3090" s="5"/>
    </row>
    <row r="3091" spans="1:29" ht="30" customHeight="1" x14ac:dyDescent="0.3">
      <c r="A3091" s="5"/>
      <c r="B3091" s="5"/>
      <c r="C3091" s="5"/>
      <c r="D3091" s="5"/>
      <c r="E3091" s="5"/>
      <c r="F3091" s="9"/>
      <c r="G3091" s="5"/>
      <c r="H3091" s="5"/>
      <c r="I3091" s="5"/>
      <c r="J3091" s="5"/>
      <c r="K3091" s="5"/>
      <c r="L3091" s="5"/>
      <c r="M3091" s="5"/>
      <c r="N3091" s="5"/>
      <c r="O3091" s="5"/>
    </row>
    <row r="3092" spans="1:29" ht="30" customHeight="1" x14ac:dyDescent="0.3">
      <c r="A3092" s="5"/>
      <c r="B3092" s="5"/>
      <c r="C3092" s="5"/>
      <c r="D3092" s="5"/>
      <c r="E3092" s="5"/>
      <c r="F3092" s="9"/>
      <c r="G3092" s="5"/>
      <c r="H3092" s="5"/>
      <c r="I3092" s="5"/>
      <c r="J3092" s="5"/>
      <c r="K3092" s="5"/>
      <c r="L3092" s="5"/>
      <c r="M3092" s="5"/>
      <c r="N3092" s="5"/>
      <c r="O3092" s="5"/>
    </row>
    <row r="3093" spans="1:29" ht="30" customHeight="1" x14ac:dyDescent="0.3">
      <c r="A3093" s="5"/>
      <c r="B3093" s="5"/>
      <c r="C3093" s="5"/>
      <c r="D3093" s="5"/>
      <c r="E3093" s="5"/>
      <c r="F3093" s="9"/>
      <c r="G3093" s="5"/>
      <c r="H3093" s="5"/>
      <c r="I3093" s="5"/>
      <c r="J3093" s="5"/>
      <c r="K3093" s="5"/>
      <c r="L3093" s="5"/>
      <c r="M3093" s="5"/>
      <c r="N3093" s="5"/>
      <c r="O3093" s="5"/>
    </row>
    <row r="3094" spans="1:29" ht="30" customHeight="1" x14ac:dyDescent="0.3">
      <c r="A3094" s="5"/>
      <c r="B3094" s="5"/>
      <c r="C3094" s="5"/>
      <c r="D3094" s="5"/>
      <c r="E3094" s="5"/>
      <c r="F3094" s="9"/>
      <c r="G3094" s="5"/>
      <c r="H3094" s="5"/>
      <c r="I3094" s="5"/>
      <c r="J3094" s="5"/>
      <c r="K3094" s="5"/>
      <c r="L3094" s="5"/>
      <c r="M3094" s="5"/>
      <c r="N3094" s="5"/>
      <c r="O3094" s="5"/>
    </row>
    <row r="3095" spans="1:29" ht="30" customHeight="1" x14ac:dyDescent="0.3">
      <c r="A3095" s="5"/>
      <c r="B3095" s="5"/>
      <c r="C3095" s="5"/>
      <c r="D3095" s="5"/>
      <c r="E3095" s="5"/>
      <c r="F3095" s="9"/>
      <c r="G3095" s="5"/>
      <c r="H3095" s="5"/>
      <c r="I3095" s="5"/>
      <c r="J3095" s="5"/>
      <c r="K3095" s="5"/>
      <c r="L3095" s="5"/>
      <c r="M3095" s="5"/>
      <c r="N3095" s="5"/>
      <c r="O3095" s="5"/>
    </row>
    <row r="3096" spans="1:29" ht="30" customHeight="1" x14ac:dyDescent="0.3">
      <c r="A3096" s="5"/>
      <c r="B3096" s="5"/>
      <c r="C3096" s="5"/>
      <c r="D3096" s="5"/>
      <c r="E3096" s="5"/>
      <c r="F3096" s="9"/>
      <c r="G3096" s="5"/>
      <c r="H3096" s="5"/>
      <c r="I3096" s="5"/>
      <c r="J3096" s="5"/>
      <c r="K3096" s="5"/>
      <c r="L3096" s="5"/>
      <c r="M3096" s="5"/>
      <c r="N3096" s="5"/>
      <c r="O3096" s="5"/>
    </row>
    <row r="3097" spans="1:29" ht="30" customHeight="1" x14ac:dyDescent="0.3">
      <c r="A3097" s="5"/>
      <c r="B3097" s="5"/>
      <c r="C3097" s="5" t="s">
        <v>162</v>
      </c>
      <c r="D3097" s="5"/>
      <c r="E3097" s="5"/>
      <c r="F3097" s="9"/>
      <c r="G3097" s="5"/>
      <c r="H3097" s="5">
        <f>SUMIF(AC3073:AC3096, 1, H3073:H3096)</f>
        <v>14411906</v>
      </c>
      <c r="I3097" s="5"/>
      <c r="J3097" s="5">
        <f>SUMIF(AC3073:AC3096, 1, J3073:J3096)</f>
        <v>0</v>
      </c>
      <c r="K3097" s="5"/>
      <c r="L3097" s="5">
        <f>SUMIF(AC3073:AC3096, 1, L3073:L3096)</f>
        <v>0</v>
      </c>
      <c r="M3097" s="5"/>
      <c r="N3097" s="5">
        <f>H3097+J3097+L3097</f>
        <v>14411906</v>
      </c>
      <c r="O3097" s="5"/>
    </row>
    <row r="3098" spans="1:29" ht="30" customHeight="1" x14ac:dyDescent="0.3">
      <c r="A3098" s="5"/>
      <c r="B3098" s="5"/>
      <c r="C3098" s="6" t="s">
        <v>2478</v>
      </c>
      <c r="D3098" s="6"/>
      <c r="E3098" s="6"/>
      <c r="F3098" s="7"/>
      <c r="G3098" s="6"/>
      <c r="H3098" s="6"/>
      <c r="I3098" s="6"/>
      <c r="J3098" s="6"/>
      <c r="K3098" s="6"/>
      <c r="L3098" s="6"/>
      <c r="M3098" s="6"/>
      <c r="N3098" s="6"/>
      <c r="O3098" s="6"/>
    </row>
    <row r="3099" spans="1:29" ht="30" customHeight="1" x14ac:dyDescent="0.3">
      <c r="A3099" s="8" t="s">
        <v>2479</v>
      </c>
      <c r="B3099" s="8" t="s">
        <v>2480</v>
      </c>
      <c r="C3099" s="8" t="s">
        <v>2481</v>
      </c>
      <c r="D3099" s="8" t="s">
        <v>2482</v>
      </c>
      <c r="E3099" s="8" t="s">
        <v>19</v>
      </c>
      <c r="F3099" s="9">
        <v>1</v>
      </c>
      <c r="G3099" s="5">
        <f>TRUNC([1]단가대비표!O1353,0)</f>
        <v>39731000</v>
      </c>
      <c r="H3099" s="5">
        <f t="shared" ref="H3099:H3111" si="294">TRUNC(F3099*G3099,0)</f>
        <v>39731000</v>
      </c>
      <c r="I3099" s="5">
        <v>0</v>
      </c>
      <c r="J3099" s="5">
        <f t="shared" ref="J3099:J3111" si="295">TRUNC(F3099*I3099,0)</f>
        <v>0</v>
      </c>
      <c r="K3099" s="5">
        <v>0</v>
      </c>
      <c r="L3099" s="5">
        <f t="shared" ref="L3099:L3111" si="296">TRUNC(F3099*K3099,0)</f>
        <v>0</v>
      </c>
      <c r="M3099" s="5">
        <f t="shared" ref="M3099:N3111" si="297">G3099+I3099+K3099</f>
        <v>39731000</v>
      </c>
      <c r="N3099" s="5">
        <f t="shared" si="297"/>
        <v>39731000</v>
      </c>
      <c r="O3099" s="8" t="s">
        <v>20</v>
      </c>
      <c r="T3099">
        <v>0</v>
      </c>
      <c r="AC3099">
        <v>1</v>
      </c>
    </row>
    <row r="3100" spans="1:29" ht="30" customHeight="1" x14ac:dyDescent="0.3">
      <c r="A3100" s="8" t="s">
        <v>2479</v>
      </c>
      <c r="B3100" s="8" t="s">
        <v>2483</v>
      </c>
      <c r="C3100" s="8" t="s">
        <v>2484</v>
      </c>
      <c r="D3100" s="8" t="s">
        <v>2485</v>
      </c>
      <c r="E3100" s="8" t="s">
        <v>19</v>
      </c>
      <c r="F3100" s="9">
        <v>1</v>
      </c>
      <c r="G3100" s="5">
        <f>TRUNC([1]단가대비표!O1354,0)</f>
        <v>21700000</v>
      </c>
      <c r="H3100" s="5">
        <f t="shared" si="294"/>
        <v>21700000</v>
      </c>
      <c r="I3100" s="5">
        <v>0</v>
      </c>
      <c r="J3100" s="5">
        <f t="shared" si="295"/>
        <v>0</v>
      </c>
      <c r="K3100" s="5">
        <v>0</v>
      </c>
      <c r="L3100" s="5">
        <f t="shared" si="296"/>
        <v>0</v>
      </c>
      <c r="M3100" s="5">
        <f t="shared" si="297"/>
        <v>21700000</v>
      </c>
      <c r="N3100" s="5">
        <f t="shared" si="297"/>
        <v>21700000</v>
      </c>
      <c r="O3100" s="8" t="s">
        <v>20</v>
      </c>
      <c r="T3100">
        <v>0</v>
      </c>
      <c r="AC3100">
        <v>1</v>
      </c>
    </row>
    <row r="3101" spans="1:29" ht="30" customHeight="1" x14ac:dyDescent="0.3">
      <c r="A3101" s="8" t="s">
        <v>2479</v>
      </c>
      <c r="B3101" s="8" t="s">
        <v>2486</v>
      </c>
      <c r="C3101" s="8" t="s">
        <v>2487</v>
      </c>
      <c r="D3101" s="8" t="s">
        <v>2488</v>
      </c>
      <c r="E3101" s="8" t="s">
        <v>721</v>
      </c>
      <c r="F3101" s="9">
        <v>1</v>
      </c>
      <c r="G3101" s="5">
        <f>TRUNC([1]단가대비표!O1355,0)</f>
        <v>18310000</v>
      </c>
      <c r="H3101" s="5">
        <f t="shared" si="294"/>
        <v>18310000</v>
      </c>
      <c r="I3101" s="5">
        <v>0</v>
      </c>
      <c r="J3101" s="5">
        <f t="shared" si="295"/>
        <v>0</v>
      </c>
      <c r="K3101" s="5">
        <v>0</v>
      </c>
      <c r="L3101" s="5">
        <f t="shared" si="296"/>
        <v>0</v>
      </c>
      <c r="M3101" s="5">
        <f t="shared" si="297"/>
        <v>18310000</v>
      </c>
      <c r="N3101" s="5">
        <f t="shared" si="297"/>
        <v>18310000</v>
      </c>
      <c r="O3101" s="8" t="s">
        <v>2489</v>
      </c>
      <c r="T3101">
        <v>0</v>
      </c>
      <c r="AC3101">
        <v>1</v>
      </c>
    </row>
    <row r="3102" spans="1:29" ht="30" customHeight="1" x14ac:dyDescent="0.3">
      <c r="A3102" s="8" t="s">
        <v>2479</v>
      </c>
      <c r="B3102" s="8" t="s">
        <v>2490</v>
      </c>
      <c r="C3102" s="8" t="s">
        <v>2491</v>
      </c>
      <c r="D3102" s="8" t="s">
        <v>2492</v>
      </c>
      <c r="E3102" s="8" t="s">
        <v>19</v>
      </c>
      <c r="F3102" s="9">
        <v>1</v>
      </c>
      <c r="G3102" s="5">
        <f>TRUNC([1]단가대비표!O993,0)</f>
        <v>30500000</v>
      </c>
      <c r="H3102" s="5">
        <f t="shared" si="294"/>
        <v>30500000</v>
      </c>
      <c r="I3102" s="5">
        <v>0</v>
      </c>
      <c r="J3102" s="5">
        <f t="shared" si="295"/>
        <v>0</v>
      </c>
      <c r="K3102" s="5">
        <v>0</v>
      </c>
      <c r="L3102" s="5">
        <f t="shared" si="296"/>
        <v>0</v>
      </c>
      <c r="M3102" s="5">
        <f t="shared" si="297"/>
        <v>30500000</v>
      </c>
      <c r="N3102" s="5">
        <f t="shared" si="297"/>
        <v>30500000</v>
      </c>
      <c r="O3102" s="8" t="s">
        <v>20</v>
      </c>
      <c r="T3102">
        <v>0</v>
      </c>
      <c r="AC3102">
        <v>1</v>
      </c>
    </row>
    <row r="3103" spans="1:29" ht="30" customHeight="1" x14ac:dyDescent="0.3">
      <c r="A3103" s="8" t="s">
        <v>2479</v>
      </c>
      <c r="B3103" s="8" t="s">
        <v>2493</v>
      </c>
      <c r="C3103" s="8" t="s">
        <v>2494</v>
      </c>
      <c r="D3103" s="8" t="s">
        <v>2495</v>
      </c>
      <c r="E3103" s="8" t="s">
        <v>19</v>
      </c>
      <c r="F3103" s="9">
        <v>1</v>
      </c>
      <c r="G3103" s="5">
        <f>TRUNC([1]단가대비표!O994,0)</f>
        <v>39730000</v>
      </c>
      <c r="H3103" s="5">
        <f t="shared" si="294"/>
        <v>39730000</v>
      </c>
      <c r="I3103" s="5">
        <v>0</v>
      </c>
      <c r="J3103" s="5">
        <f t="shared" si="295"/>
        <v>0</v>
      </c>
      <c r="K3103" s="5">
        <v>0</v>
      </c>
      <c r="L3103" s="5">
        <f t="shared" si="296"/>
        <v>0</v>
      </c>
      <c r="M3103" s="5">
        <f t="shared" si="297"/>
        <v>39730000</v>
      </c>
      <c r="N3103" s="5">
        <f t="shared" si="297"/>
        <v>39730000</v>
      </c>
      <c r="O3103" s="8" t="s">
        <v>20</v>
      </c>
      <c r="T3103">
        <v>0</v>
      </c>
      <c r="AC3103">
        <v>1</v>
      </c>
    </row>
    <row r="3104" spans="1:29" ht="30" customHeight="1" x14ac:dyDescent="0.3">
      <c r="A3104" s="8" t="s">
        <v>2479</v>
      </c>
      <c r="B3104" s="8" t="s">
        <v>2496</v>
      </c>
      <c r="C3104" s="8" t="s">
        <v>2497</v>
      </c>
      <c r="D3104" s="8" t="s">
        <v>2498</v>
      </c>
      <c r="E3104" s="8" t="s">
        <v>19</v>
      </c>
      <c r="F3104" s="9">
        <v>1</v>
      </c>
      <c r="G3104" s="5">
        <f>TRUNC([1]단가대비표!O995,0)</f>
        <v>7350000</v>
      </c>
      <c r="H3104" s="5">
        <f t="shared" si="294"/>
        <v>7350000</v>
      </c>
      <c r="I3104" s="5">
        <v>0</v>
      </c>
      <c r="J3104" s="5">
        <f t="shared" si="295"/>
        <v>0</v>
      </c>
      <c r="K3104" s="5">
        <v>0</v>
      </c>
      <c r="L3104" s="5">
        <f t="shared" si="296"/>
        <v>0</v>
      </c>
      <c r="M3104" s="5">
        <f t="shared" si="297"/>
        <v>7350000</v>
      </c>
      <c r="N3104" s="5">
        <f t="shared" si="297"/>
        <v>7350000</v>
      </c>
      <c r="O3104" s="8" t="s">
        <v>20</v>
      </c>
      <c r="T3104">
        <v>0</v>
      </c>
      <c r="AC3104">
        <v>1</v>
      </c>
    </row>
    <row r="3105" spans="1:29" ht="30" customHeight="1" x14ac:dyDescent="0.3">
      <c r="A3105" s="8" t="s">
        <v>2479</v>
      </c>
      <c r="B3105" s="8" t="s">
        <v>2499</v>
      </c>
      <c r="C3105" s="8" t="s">
        <v>2500</v>
      </c>
      <c r="D3105" s="8" t="s">
        <v>2498</v>
      </c>
      <c r="E3105" s="8" t="s">
        <v>19</v>
      </c>
      <c r="F3105" s="9">
        <v>1</v>
      </c>
      <c r="G3105" s="5">
        <f>TRUNC([1]단가대비표!O996,0)</f>
        <v>7350000</v>
      </c>
      <c r="H3105" s="5">
        <f t="shared" si="294"/>
        <v>7350000</v>
      </c>
      <c r="I3105" s="5">
        <v>0</v>
      </c>
      <c r="J3105" s="5">
        <f t="shared" si="295"/>
        <v>0</v>
      </c>
      <c r="K3105" s="5">
        <v>0</v>
      </c>
      <c r="L3105" s="5">
        <f t="shared" si="296"/>
        <v>0</v>
      </c>
      <c r="M3105" s="5">
        <f t="shared" si="297"/>
        <v>7350000</v>
      </c>
      <c r="N3105" s="5">
        <f t="shared" si="297"/>
        <v>7350000</v>
      </c>
      <c r="O3105" s="8" t="s">
        <v>20</v>
      </c>
      <c r="T3105">
        <v>0</v>
      </c>
      <c r="AC3105">
        <v>1</v>
      </c>
    </row>
    <row r="3106" spans="1:29" ht="30" customHeight="1" x14ac:dyDescent="0.3">
      <c r="A3106" s="8" t="s">
        <v>2479</v>
      </c>
      <c r="B3106" s="8" t="s">
        <v>2501</v>
      </c>
      <c r="C3106" s="8" t="s">
        <v>2502</v>
      </c>
      <c r="D3106" s="8" t="s">
        <v>2503</v>
      </c>
      <c r="E3106" s="8" t="s">
        <v>19</v>
      </c>
      <c r="F3106" s="9">
        <v>9</v>
      </c>
      <c r="G3106" s="5">
        <f>TRUNC([1]단가대비표!O997,0)</f>
        <v>296000</v>
      </c>
      <c r="H3106" s="5">
        <f t="shared" si="294"/>
        <v>2664000</v>
      </c>
      <c r="I3106" s="5">
        <v>0</v>
      </c>
      <c r="J3106" s="5">
        <f t="shared" si="295"/>
        <v>0</v>
      </c>
      <c r="K3106" s="5">
        <v>0</v>
      </c>
      <c r="L3106" s="5">
        <f t="shared" si="296"/>
        <v>0</v>
      </c>
      <c r="M3106" s="5">
        <f t="shared" si="297"/>
        <v>296000</v>
      </c>
      <c r="N3106" s="5">
        <f t="shared" si="297"/>
        <v>2664000</v>
      </c>
      <c r="O3106" s="8" t="s">
        <v>20</v>
      </c>
      <c r="T3106">
        <v>0</v>
      </c>
      <c r="AC3106">
        <v>1</v>
      </c>
    </row>
    <row r="3107" spans="1:29" ht="30" customHeight="1" x14ac:dyDescent="0.3">
      <c r="A3107" s="8" t="s">
        <v>2479</v>
      </c>
      <c r="B3107" s="8" t="s">
        <v>2504</v>
      </c>
      <c r="C3107" s="8" t="s">
        <v>2505</v>
      </c>
      <c r="D3107" s="8" t="s">
        <v>2506</v>
      </c>
      <c r="E3107" s="8" t="s">
        <v>19</v>
      </c>
      <c r="F3107" s="9">
        <v>4</v>
      </c>
      <c r="G3107" s="5">
        <f>TRUNC([1]단가대비표!O998,0)</f>
        <v>381000</v>
      </c>
      <c r="H3107" s="5">
        <f t="shared" si="294"/>
        <v>1524000</v>
      </c>
      <c r="I3107" s="5">
        <v>0</v>
      </c>
      <c r="J3107" s="5">
        <f t="shared" si="295"/>
        <v>0</v>
      </c>
      <c r="K3107" s="5">
        <v>0</v>
      </c>
      <c r="L3107" s="5">
        <f t="shared" si="296"/>
        <v>0</v>
      </c>
      <c r="M3107" s="5">
        <f t="shared" si="297"/>
        <v>381000</v>
      </c>
      <c r="N3107" s="5">
        <f t="shared" si="297"/>
        <v>1524000</v>
      </c>
      <c r="O3107" s="8" t="s">
        <v>20</v>
      </c>
      <c r="T3107">
        <v>0</v>
      </c>
      <c r="AC3107">
        <v>1</v>
      </c>
    </row>
    <row r="3108" spans="1:29" ht="30" customHeight="1" x14ac:dyDescent="0.3">
      <c r="A3108" s="8" t="s">
        <v>2479</v>
      </c>
      <c r="B3108" s="8" t="s">
        <v>2507</v>
      </c>
      <c r="C3108" s="8" t="s">
        <v>2508</v>
      </c>
      <c r="D3108" s="8" t="s">
        <v>2509</v>
      </c>
      <c r="E3108" s="8" t="s">
        <v>19</v>
      </c>
      <c r="F3108" s="9">
        <v>6</v>
      </c>
      <c r="G3108" s="5">
        <f>TRUNC([1]단가대비표!O999,0)</f>
        <v>468000</v>
      </c>
      <c r="H3108" s="5">
        <f t="shared" si="294"/>
        <v>2808000</v>
      </c>
      <c r="I3108" s="5">
        <v>0</v>
      </c>
      <c r="J3108" s="5">
        <f t="shared" si="295"/>
        <v>0</v>
      </c>
      <c r="K3108" s="5">
        <v>0</v>
      </c>
      <c r="L3108" s="5">
        <f t="shared" si="296"/>
        <v>0</v>
      </c>
      <c r="M3108" s="5">
        <f t="shared" si="297"/>
        <v>468000</v>
      </c>
      <c r="N3108" s="5">
        <f t="shared" si="297"/>
        <v>2808000</v>
      </c>
      <c r="O3108" s="8" t="s">
        <v>20</v>
      </c>
      <c r="T3108">
        <v>0</v>
      </c>
      <c r="AC3108">
        <v>1</v>
      </c>
    </row>
    <row r="3109" spans="1:29" ht="30" customHeight="1" x14ac:dyDescent="0.3">
      <c r="A3109" s="8" t="s">
        <v>2479</v>
      </c>
      <c r="B3109" s="8" t="s">
        <v>2510</v>
      </c>
      <c r="C3109" s="8" t="s">
        <v>2511</v>
      </c>
      <c r="D3109" s="8" t="s">
        <v>2512</v>
      </c>
      <c r="E3109" s="8" t="s">
        <v>19</v>
      </c>
      <c r="F3109" s="9">
        <v>3</v>
      </c>
      <c r="G3109" s="5">
        <f>TRUNC([1]단가대비표!O1000,0)</f>
        <v>551000</v>
      </c>
      <c r="H3109" s="5">
        <f t="shared" si="294"/>
        <v>1653000</v>
      </c>
      <c r="I3109" s="5">
        <v>0</v>
      </c>
      <c r="J3109" s="5">
        <f t="shared" si="295"/>
        <v>0</v>
      </c>
      <c r="K3109" s="5">
        <v>0</v>
      </c>
      <c r="L3109" s="5">
        <f t="shared" si="296"/>
        <v>0</v>
      </c>
      <c r="M3109" s="5">
        <f t="shared" si="297"/>
        <v>551000</v>
      </c>
      <c r="N3109" s="5">
        <f t="shared" si="297"/>
        <v>1653000</v>
      </c>
      <c r="O3109" s="8" t="s">
        <v>20</v>
      </c>
      <c r="T3109">
        <v>0</v>
      </c>
      <c r="AC3109">
        <v>1</v>
      </c>
    </row>
    <row r="3110" spans="1:29" ht="30" customHeight="1" x14ac:dyDescent="0.3">
      <c r="A3110" s="8" t="s">
        <v>2479</v>
      </c>
      <c r="B3110" s="8" t="s">
        <v>2513</v>
      </c>
      <c r="C3110" s="8" t="s">
        <v>2514</v>
      </c>
      <c r="D3110" s="8" t="s">
        <v>2515</v>
      </c>
      <c r="E3110" s="8" t="s">
        <v>19</v>
      </c>
      <c r="F3110" s="9">
        <v>2</v>
      </c>
      <c r="G3110" s="5">
        <f>TRUNC([1]단가대비표!O1001,0)</f>
        <v>632000</v>
      </c>
      <c r="H3110" s="5">
        <f t="shared" si="294"/>
        <v>1264000</v>
      </c>
      <c r="I3110" s="5">
        <v>0</v>
      </c>
      <c r="J3110" s="5">
        <f t="shared" si="295"/>
        <v>0</v>
      </c>
      <c r="K3110" s="5">
        <v>0</v>
      </c>
      <c r="L3110" s="5">
        <f t="shared" si="296"/>
        <v>0</v>
      </c>
      <c r="M3110" s="5">
        <f t="shared" si="297"/>
        <v>632000</v>
      </c>
      <c r="N3110" s="5">
        <f t="shared" si="297"/>
        <v>1264000</v>
      </c>
      <c r="O3110" s="8" t="s">
        <v>20</v>
      </c>
      <c r="T3110">
        <v>0</v>
      </c>
      <c r="AC3110">
        <v>1</v>
      </c>
    </row>
    <row r="3111" spans="1:29" ht="30" customHeight="1" x14ac:dyDescent="0.3">
      <c r="A3111" s="8" t="s">
        <v>2479</v>
      </c>
      <c r="B3111" s="8" t="s">
        <v>2516</v>
      </c>
      <c r="C3111" s="8" t="s">
        <v>2467</v>
      </c>
      <c r="D3111" s="8" t="s">
        <v>2468</v>
      </c>
      <c r="E3111" s="8" t="s">
        <v>161</v>
      </c>
      <c r="F3111" s="9">
        <v>1</v>
      </c>
      <c r="G3111" s="5">
        <f>TRUNC([1]단가대비표!O1928,0)</f>
        <v>942753</v>
      </c>
      <c r="H3111" s="5">
        <f t="shared" si="294"/>
        <v>942753</v>
      </c>
      <c r="I3111" s="5">
        <v>0</v>
      </c>
      <c r="J3111" s="5">
        <f t="shared" si="295"/>
        <v>0</v>
      </c>
      <c r="K3111" s="5">
        <v>0</v>
      </c>
      <c r="L3111" s="5">
        <f t="shared" si="296"/>
        <v>0</v>
      </c>
      <c r="M3111" s="5">
        <f t="shared" si="297"/>
        <v>942753</v>
      </c>
      <c r="N3111" s="5">
        <f t="shared" si="297"/>
        <v>942753</v>
      </c>
      <c r="O3111" s="8" t="s">
        <v>20</v>
      </c>
      <c r="T3111">
        <v>0</v>
      </c>
      <c r="AC3111">
        <v>1</v>
      </c>
    </row>
    <row r="3112" spans="1:29" ht="30" customHeight="1" x14ac:dyDescent="0.3">
      <c r="A3112" s="5"/>
      <c r="B3112" s="5"/>
      <c r="C3112" s="5"/>
      <c r="D3112" s="5"/>
      <c r="E3112" s="5"/>
      <c r="F3112" s="9"/>
      <c r="G3112" s="5"/>
      <c r="H3112" s="5"/>
      <c r="I3112" s="5"/>
      <c r="J3112" s="5"/>
      <c r="K3112" s="5"/>
      <c r="L3112" s="5"/>
      <c r="M3112" s="5"/>
      <c r="N3112" s="5"/>
      <c r="O3112" s="5"/>
    </row>
    <row r="3113" spans="1:29" ht="30" customHeight="1" x14ac:dyDescent="0.3">
      <c r="A3113" s="5"/>
      <c r="B3113" s="5"/>
      <c r="C3113" s="5"/>
      <c r="D3113" s="5"/>
      <c r="E3113" s="5"/>
      <c r="F3113" s="9"/>
      <c r="G3113" s="5"/>
      <c r="H3113" s="5"/>
      <c r="I3113" s="5"/>
      <c r="J3113" s="5"/>
      <c r="K3113" s="5"/>
      <c r="L3113" s="5"/>
      <c r="M3113" s="5"/>
      <c r="N3113" s="5"/>
      <c r="O3113" s="5"/>
    </row>
    <row r="3114" spans="1:29" ht="30" customHeight="1" x14ac:dyDescent="0.3">
      <c r="A3114" s="5"/>
      <c r="B3114" s="5"/>
      <c r="C3114" s="5"/>
      <c r="D3114" s="5"/>
      <c r="E3114" s="5"/>
      <c r="F3114" s="9"/>
      <c r="G3114" s="5"/>
      <c r="H3114" s="5"/>
      <c r="I3114" s="5"/>
      <c r="J3114" s="5"/>
      <c r="K3114" s="5"/>
      <c r="L3114" s="5"/>
      <c r="M3114" s="5"/>
      <c r="N3114" s="5"/>
      <c r="O3114" s="5"/>
    </row>
    <row r="3115" spans="1:29" ht="30" customHeight="1" x14ac:dyDescent="0.3">
      <c r="A3115" s="5"/>
      <c r="B3115" s="5"/>
      <c r="C3115" s="5"/>
      <c r="D3115" s="5"/>
      <c r="E3115" s="5"/>
      <c r="F3115" s="9"/>
      <c r="G3115" s="5"/>
      <c r="H3115" s="5"/>
      <c r="I3115" s="5"/>
      <c r="J3115" s="5"/>
      <c r="K3115" s="5"/>
      <c r="L3115" s="5"/>
      <c r="M3115" s="5"/>
      <c r="N3115" s="5"/>
      <c r="O3115" s="5"/>
    </row>
    <row r="3116" spans="1:29" ht="30" customHeight="1" x14ac:dyDescent="0.3">
      <c r="A3116" s="5"/>
      <c r="B3116" s="5"/>
      <c r="C3116" s="5"/>
      <c r="D3116" s="5"/>
      <c r="E3116" s="5"/>
      <c r="F3116" s="9"/>
      <c r="G3116" s="5"/>
      <c r="H3116" s="5"/>
      <c r="I3116" s="5"/>
      <c r="J3116" s="5"/>
      <c r="K3116" s="5"/>
      <c r="L3116" s="5"/>
      <c r="M3116" s="5"/>
      <c r="N3116" s="5"/>
      <c r="O3116" s="5"/>
    </row>
    <row r="3117" spans="1:29" ht="30" customHeight="1" x14ac:dyDescent="0.3">
      <c r="A3117" s="5"/>
      <c r="B3117" s="5"/>
      <c r="C3117" s="5"/>
      <c r="D3117" s="5"/>
      <c r="E3117" s="5"/>
      <c r="F3117" s="9"/>
      <c r="G3117" s="5"/>
      <c r="H3117" s="5"/>
      <c r="I3117" s="5"/>
      <c r="J3117" s="5"/>
      <c r="K3117" s="5"/>
      <c r="L3117" s="5"/>
      <c r="M3117" s="5"/>
      <c r="N3117" s="5"/>
      <c r="O3117" s="5"/>
    </row>
    <row r="3118" spans="1:29" ht="30" customHeight="1" x14ac:dyDescent="0.3">
      <c r="A3118" s="5"/>
      <c r="B3118" s="5"/>
      <c r="C3118" s="5"/>
      <c r="D3118" s="5"/>
      <c r="E3118" s="5"/>
      <c r="F3118" s="9"/>
      <c r="G3118" s="5"/>
      <c r="H3118" s="5"/>
      <c r="I3118" s="5"/>
      <c r="J3118" s="5"/>
      <c r="K3118" s="5"/>
      <c r="L3118" s="5"/>
      <c r="M3118" s="5"/>
      <c r="N3118" s="5"/>
      <c r="O3118" s="5"/>
    </row>
    <row r="3119" spans="1:29" ht="30" customHeight="1" x14ac:dyDescent="0.3">
      <c r="A3119" s="5"/>
      <c r="B3119" s="5"/>
      <c r="C3119" s="5"/>
      <c r="D3119" s="5"/>
      <c r="E3119" s="5"/>
      <c r="F3119" s="9"/>
      <c r="G3119" s="5"/>
      <c r="H3119" s="5"/>
      <c r="I3119" s="5"/>
      <c r="J3119" s="5"/>
      <c r="K3119" s="5"/>
      <c r="L3119" s="5"/>
      <c r="M3119" s="5"/>
      <c r="N3119" s="5"/>
      <c r="O3119" s="5"/>
    </row>
    <row r="3120" spans="1:29" ht="30" customHeight="1" x14ac:dyDescent="0.3">
      <c r="A3120" s="5"/>
      <c r="B3120" s="5"/>
      <c r="C3120" s="5"/>
      <c r="D3120" s="5"/>
      <c r="E3120" s="5"/>
      <c r="F3120" s="9"/>
      <c r="G3120" s="5"/>
      <c r="H3120" s="5"/>
      <c r="I3120" s="5"/>
      <c r="J3120" s="5"/>
      <c r="K3120" s="5"/>
      <c r="L3120" s="5"/>
      <c r="M3120" s="5"/>
      <c r="N3120" s="5"/>
      <c r="O3120" s="5"/>
    </row>
    <row r="3121" spans="1:29" ht="30" customHeight="1" x14ac:dyDescent="0.3">
      <c r="A3121" s="5"/>
      <c r="B3121" s="5"/>
      <c r="C3121" s="5"/>
      <c r="D3121" s="5"/>
      <c r="E3121" s="5"/>
      <c r="F3121" s="9"/>
      <c r="G3121" s="5"/>
      <c r="H3121" s="5"/>
      <c r="I3121" s="5"/>
      <c r="J3121" s="5"/>
      <c r="K3121" s="5"/>
      <c r="L3121" s="5"/>
      <c r="M3121" s="5"/>
      <c r="N3121" s="5"/>
      <c r="O3121" s="5"/>
    </row>
    <row r="3122" spans="1:29" ht="30" customHeight="1" x14ac:dyDescent="0.3">
      <c r="A3122" s="5"/>
      <c r="B3122" s="5"/>
      <c r="C3122" s="5"/>
      <c r="D3122" s="5"/>
      <c r="E3122" s="5"/>
      <c r="F3122" s="9"/>
      <c r="G3122" s="5"/>
      <c r="H3122" s="5"/>
      <c r="I3122" s="5"/>
      <c r="J3122" s="5"/>
      <c r="K3122" s="5"/>
      <c r="L3122" s="5"/>
      <c r="M3122" s="5"/>
      <c r="N3122" s="5"/>
      <c r="O3122" s="5"/>
    </row>
    <row r="3123" spans="1:29" ht="30" customHeight="1" x14ac:dyDescent="0.3">
      <c r="A3123" s="5"/>
      <c r="B3123" s="5"/>
      <c r="C3123" s="5" t="s">
        <v>162</v>
      </c>
      <c r="D3123" s="5"/>
      <c r="E3123" s="5"/>
      <c r="F3123" s="9"/>
      <c r="G3123" s="5"/>
      <c r="H3123" s="5">
        <f>SUMIF(AC3099:AC3122, 1, H3099:H3122)</f>
        <v>175526753</v>
      </c>
      <c r="I3123" s="5"/>
      <c r="J3123" s="5">
        <f>SUMIF(AC3099:AC3122, 1, J3099:J3122)</f>
        <v>0</v>
      </c>
      <c r="K3123" s="5"/>
      <c r="L3123" s="5">
        <f>SUMIF(AC3099:AC3122, 1, L3099:L3122)</f>
        <v>0</v>
      </c>
      <c r="M3123" s="5"/>
      <c r="N3123" s="5">
        <f>H3123+J3123+L3123</f>
        <v>175526753</v>
      </c>
      <c r="O3123" s="5"/>
    </row>
    <row r="3124" spans="1:29" ht="30" customHeight="1" x14ac:dyDescent="0.3">
      <c r="A3124" s="5"/>
      <c r="B3124" s="5"/>
      <c r="C3124" s="6" t="s">
        <v>2517</v>
      </c>
      <c r="D3124" s="6"/>
      <c r="E3124" s="6"/>
      <c r="F3124" s="7"/>
      <c r="G3124" s="6"/>
      <c r="H3124" s="6"/>
      <c r="I3124" s="6"/>
      <c r="J3124" s="6"/>
      <c r="K3124" s="6"/>
      <c r="L3124" s="6"/>
      <c r="M3124" s="6"/>
      <c r="N3124" s="6"/>
      <c r="O3124" s="6"/>
    </row>
    <row r="3125" spans="1:29" ht="30" customHeight="1" x14ac:dyDescent="0.3">
      <c r="A3125" s="8" t="s">
        <v>2518</v>
      </c>
      <c r="B3125" s="8" t="s">
        <v>2519</v>
      </c>
      <c r="C3125" s="8" t="s">
        <v>2520</v>
      </c>
      <c r="D3125" s="8" t="s">
        <v>2521</v>
      </c>
      <c r="E3125" s="8" t="s">
        <v>19</v>
      </c>
      <c r="F3125" s="9">
        <v>1</v>
      </c>
      <c r="G3125" s="5">
        <f>TRUNC([1]단가대비표!O1364,0)</f>
        <v>1951000</v>
      </c>
      <c r="H3125" s="5">
        <f t="shared" ref="H3125:H3155" si="298">TRUNC(F3125*G3125,0)</f>
        <v>1951000</v>
      </c>
      <c r="I3125" s="5">
        <v>0</v>
      </c>
      <c r="J3125" s="5">
        <f t="shared" ref="J3125:J3155" si="299">TRUNC(F3125*I3125,0)</f>
        <v>0</v>
      </c>
      <c r="K3125" s="5">
        <v>0</v>
      </c>
      <c r="L3125" s="5">
        <f t="shared" ref="L3125:L3155" si="300">TRUNC(F3125*K3125,0)</f>
        <v>0</v>
      </c>
      <c r="M3125" s="5">
        <f t="shared" ref="M3125:N3155" si="301">G3125+I3125+K3125</f>
        <v>1951000</v>
      </c>
      <c r="N3125" s="5">
        <f t="shared" si="301"/>
        <v>1951000</v>
      </c>
      <c r="O3125" s="8" t="s">
        <v>2522</v>
      </c>
      <c r="T3125">
        <v>0</v>
      </c>
      <c r="AC3125">
        <v>1</v>
      </c>
    </row>
    <row r="3126" spans="1:29" ht="30" customHeight="1" x14ac:dyDescent="0.3">
      <c r="A3126" s="8" t="s">
        <v>2518</v>
      </c>
      <c r="B3126" s="8" t="s">
        <v>2523</v>
      </c>
      <c r="C3126" s="8" t="s">
        <v>2520</v>
      </c>
      <c r="D3126" s="8" t="s">
        <v>2524</v>
      </c>
      <c r="E3126" s="8" t="s">
        <v>19</v>
      </c>
      <c r="F3126" s="9">
        <v>1</v>
      </c>
      <c r="G3126" s="5">
        <f>TRUNC([1]단가대비표!O1365,0)</f>
        <v>10230000</v>
      </c>
      <c r="H3126" s="5">
        <f t="shared" si="298"/>
        <v>10230000</v>
      </c>
      <c r="I3126" s="5">
        <v>0</v>
      </c>
      <c r="J3126" s="5">
        <f t="shared" si="299"/>
        <v>0</v>
      </c>
      <c r="K3126" s="5">
        <v>0</v>
      </c>
      <c r="L3126" s="5">
        <f t="shared" si="300"/>
        <v>0</v>
      </c>
      <c r="M3126" s="5">
        <f t="shared" si="301"/>
        <v>10230000</v>
      </c>
      <c r="N3126" s="5">
        <f t="shared" si="301"/>
        <v>10230000</v>
      </c>
      <c r="O3126" s="8" t="s">
        <v>2525</v>
      </c>
      <c r="T3126">
        <v>0</v>
      </c>
      <c r="AC3126">
        <v>1</v>
      </c>
    </row>
    <row r="3127" spans="1:29" ht="30" customHeight="1" x14ac:dyDescent="0.3">
      <c r="A3127" s="8" t="s">
        <v>2518</v>
      </c>
      <c r="B3127" s="8" t="s">
        <v>2526</v>
      </c>
      <c r="C3127" s="8" t="s">
        <v>2527</v>
      </c>
      <c r="D3127" s="8" t="s">
        <v>2528</v>
      </c>
      <c r="E3127" s="8" t="s">
        <v>19</v>
      </c>
      <c r="F3127" s="9">
        <v>1</v>
      </c>
      <c r="G3127" s="5">
        <f>TRUNC([1]단가대비표!O1366,0)</f>
        <v>443000</v>
      </c>
      <c r="H3127" s="5">
        <f t="shared" si="298"/>
        <v>443000</v>
      </c>
      <c r="I3127" s="5">
        <v>0</v>
      </c>
      <c r="J3127" s="5">
        <f t="shared" si="299"/>
        <v>0</v>
      </c>
      <c r="K3127" s="5">
        <v>0</v>
      </c>
      <c r="L3127" s="5">
        <f t="shared" si="300"/>
        <v>0</v>
      </c>
      <c r="M3127" s="5">
        <f t="shared" si="301"/>
        <v>443000</v>
      </c>
      <c r="N3127" s="5">
        <f t="shared" si="301"/>
        <v>443000</v>
      </c>
      <c r="O3127" s="8" t="s">
        <v>2529</v>
      </c>
      <c r="T3127">
        <v>0</v>
      </c>
      <c r="AC3127">
        <v>1</v>
      </c>
    </row>
    <row r="3128" spans="1:29" ht="30" customHeight="1" x14ac:dyDescent="0.3">
      <c r="A3128" s="8" t="s">
        <v>2518</v>
      </c>
      <c r="B3128" s="8" t="s">
        <v>2530</v>
      </c>
      <c r="C3128" s="8" t="s">
        <v>2527</v>
      </c>
      <c r="D3128" s="8" t="s">
        <v>2531</v>
      </c>
      <c r="E3128" s="8" t="s">
        <v>19</v>
      </c>
      <c r="F3128" s="9">
        <v>1</v>
      </c>
      <c r="G3128" s="5">
        <f>TRUNC([1]단가대비표!O1367,0)</f>
        <v>598000</v>
      </c>
      <c r="H3128" s="5">
        <f t="shared" si="298"/>
        <v>598000</v>
      </c>
      <c r="I3128" s="5">
        <v>0</v>
      </c>
      <c r="J3128" s="5">
        <f t="shared" si="299"/>
        <v>0</v>
      </c>
      <c r="K3128" s="5">
        <v>0</v>
      </c>
      <c r="L3128" s="5">
        <f t="shared" si="300"/>
        <v>0</v>
      </c>
      <c r="M3128" s="5">
        <f t="shared" si="301"/>
        <v>598000</v>
      </c>
      <c r="N3128" s="5">
        <f t="shared" si="301"/>
        <v>598000</v>
      </c>
      <c r="O3128" s="8" t="s">
        <v>2532</v>
      </c>
      <c r="T3128">
        <v>0</v>
      </c>
      <c r="AC3128">
        <v>1</v>
      </c>
    </row>
    <row r="3129" spans="1:29" ht="30" customHeight="1" x14ac:dyDescent="0.3">
      <c r="A3129" s="8" t="s">
        <v>2518</v>
      </c>
      <c r="B3129" s="8" t="s">
        <v>2533</v>
      </c>
      <c r="C3129" s="8" t="s">
        <v>2527</v>
      </c>
      <c r="D3129" s="8" t="s">
        <v>2521</v>
      </c>
      <c r="E3129" s="8" t="s">
        <v>19</v>
      </c>
      <c r="F3129" s="9">
        <v>1</v>
      </c>
      <c r="G3129" s="5">
        <f>TRUNC([1]단가대비표!O1368,0)</f>
        <v>880000</v>
      </c>
      <c r="H3129" s="5">
        <f t="shared" si="298"/>
        <v>880000</v>
      </c>
      <c r="I3129" s="5">
        <v>0</v>
      </c>
      <c r="J3129" s="5">
        <f t="shared" si="299"/>
        <v>0</v>
      </c>
      <c r="K3129" s="5">
        <v>0</v>
      </c>
      <c r="L3129" s="5">
        <f t="shared" si="300"/>
        <v>0</v>
      </c>
      <c r="M3129" s="5">
        <f t="shared" si="301"/>
        <v>880000</v>
      </c>
      <c r="N3129" s="5">
        <f t="shared" si="301"/>
        <v>880000</v>
      </c>
      <c r="O3129" s="8" t="s">
        <v>2534</v>
      </c>
      <c r="T3129">
        <v>0</v>
      </c>
      <c r="AC3129">
        <v>1</v>
      </c>
    </row>
    <row r="3130" spans="1:29" ht="30" customHeight="1" x14ac:dyDescent="0.3">
      <c r="A3130" s="8" t="s">
        <v>2518</v>
      </c>
      <c r="B3130" s="8" t="s">
        <v>2535</v>
      </c>
      <c r="C3130" s="8" t="s">
        <v>2527</v>
      </c>
      <c r="D3130" s="8" t="s">
        <v>2536</v>
      </c>
      <c r="E3130" s="8" t="s">
        <v>19</v>
      </c>
      <c r="F3130" s="9">
        <v>3</v>
      </c>
      <c r="G3130" s="5">
        <f>TRUNC([1]단가대비표!O1369,0)</f>
        <v>1249000</v>
      </c>
      <c r="H3130" s="5">
        <f t="shared" si="298"/>
        <v>3747000</v>
      </c>
      <c r="I3130" s="5">
        <v>0</v>
      </c>
      <c r="J3130" s="5">
        <f t="shared" si="299"/>
        <v>0</v>
      </c>
      <c r="K3130" s="5">
        <v>0</v>
      </c>
      <c r="L3130" s="5">
        <f t="shared" si="300"/>
        <v>0</v>
      </c>
      <c r="M3130" s="5">
        <f t="shared" si="301"/>
        <v>1249000</v>
      </c>
      <c r="N3130" s="5">
        <f t="shared" si="301"/>
        <v>3747000</v>
      </c>
      <c r="O3130" s="8" t="s">
        <v>2537</v>
      </c>
      <c r="T3130">
        <v>0</v>
      </c>
      <c r="AC3130">
        <v>1</v>
      </c>
    </row>
    <row r="3131" spans="1:29" ht="30" customHeight="1" x14ac:dyDescent="0.3">
      <c r="A3131" s="8" t="s">
        <v>2518</v>
      </c>
      <c r="B3131" s="8" t="s">
        <v>2538</v>
      </c>
      <c r="C3131" s="8" t="s">
        <v>2539</v>
      </c>
      <c r="D3131" s="8" t="s">
        <v>2540</v>
      </c>
      <c r="E3131" s="8" t="s">
        <v>19</v>
      </c>
      <c r="F3131" s="9">
        <v>1</v>
      </c>
      <c r="G3131" s="5">
        <f>TRUNC([1]단가대비표!O1370,0)</f>
        <v>1540000</v>
      </c>
      <c r="H3131" s="5">
        <f t="shared" si="298"/>
        <v>1540000</v>
      </c>
      <c r="I3131" s="5">
        <v>0</v>
      </c>
      <c r="J3131" s="5">
        <f t="shared" si="299"/>
        <v>0</v>
      </c>
      <c r="K3131" s="5">
        <v>0</v>
      </c>
      <c r="L3131" s="5">
        <f t="shared" si="300"/>
        <v>0</v>
      </c>
      <c r="M3131" s="5">
        <f t="shared" si="301"/>
        <v>1540000</v>
      </c>
      <c r="N3131" s="5">
        <f t="shared" si="301"/>
        <v>1540000</v>
      </c>
      <c r="O3131" s="8" t="s">
        <v>2541</v>
      </c>
      <c r="T3131">
        <v>0</v>
      </c>
      <c r="AC3131">
        <v>1</v>
      </c>
    </row>
    <row r="3132" spans="1:29" ht="30" customHeight="1" x14ac:dyDescent="0.3">
      <c r="A3132" s="8" t="s">
        <v>2518</v>
      </c>
      <c r="B3132" s="8" t="s">
        <v>2542</v>
      </c>
      <c r="C3132" s="8" t="s">
        <v>2539</v>
      </c>
      <c r="D3132" s="8" t="s">
        <v>2540</v>
      </c>
      <c r="E3132" s="8" t="s">
        <v>19</v>
      </c>
      <c r="F3132" s="9">
        <v>1</v>
      </c>
      <c r="G3132" s="5">
        <f>TRUNC([1]단가대비표!O1371,0)</f>
        <v>594000</v>
      </c>
      <c r="H3132" s="5">
        <f t="shared" si="298"/>
        <v>594000</v>
      </c>
      <c r="I3132" s="5">
        <v>0</v>
      </c>
      <c r="J3132" s="5">
        <f t="shared" si="299"/>
        <v>0</v>
      </c>
      <c r="K3132" s="5">
        <v>0</v>
      </c>
      <c r="L3132" s="5">
        <f t="shared" si="300"/>
        <v>0</v>
      </c>
      <c r="M3132" s="5">
        <f t="shared" si="301"/>
        <v>594000</v>
      </c>
      <c r="N3132" s="5">
        <f t="shared" si="301"/>
        <v>594000</v>
      </c>
      <c r="O3132" s="8" t="s">
        <v>2543</v>
      </c>
      <c r="T3132">
        <v>0</v>
      </c>
      <c r="AC3132">
        <v>1</v>
      </c>
    </row>
    <row r="3133" spans="1:29" ht="30" customHeight="1" x14ac:dyDescent="0.3">
      <c r="A3133" s="8" t="s">
        <v>2518</v>
      </c>
      <c r="B3133" s="8" t="s">
        <v>2544</v>
      </c>
      <c r="C3133" s="8" t="s">
        <v>2545</v>
      </c>
      <c r="D3133" s="8" t="s">
        <v>2546</v>
      </c>
      <c r="E3133" s="8" t="s">
        <v>19</v>
      </c>
      <c r="F3133" s="9">
        <v>4</v>
      </c>
      <c r="G3133" s="5">
        <f>TRUNC([1]단가대비표!O1372,0)</f>
        <v>53400</v>
      </c>
      <c r="H3133" s="5">
        <f t="shared" si="298"/>
        <v>213600</v>
      </c>
      <c r="I3133" s="5">
        <v>0</v>
      </c>
      <c r="J3133" s="5">
        <f t="shared" si="299"/>
        <v>0</v>
      </c>
      <c r="K3133" s="5">
        <v>0</v>
      </c>
      <c r="L3133" s="5">
        <f t="shared" si="300"/>
        <v>0</v>
      </c>
      <c r="M3133" s="5">
        <f t="shared" si="301"/>
        <v>53400</v>
      </c>
      <c r="N3133" s="5">
        <f t="shared" si="301"/>
        <v>213600</v>
      </c>
      <c r="O3133" s="8" t="s">
        <v>2547</v>
      </c>
      <c r="T3133">
        <v>0</v>
      </c>
      <c r="AC3133">
        <v>1</v>
      </c>
    </row>
    <row r="3134" spans="1:29" ht="30" customHeight="1" x14ac:dyDescent="0.3">
      <c r="A3134" s="8" t="s">
        <v>2518</v>
      </c>
      <c r="B3134" s="8" t="s">
        <v>2548</v>
      </c>
      <c r="C3134" s="8" t="s">
        <v>2545</v>
      </c>
      <c r="D3134" s="8" t="s">
        <v>2549</v>
      </c>
      <c r="E3134" s="8" t="s">
        <v>19</v>
      </c>
      <c r="F3134" s="9">
        <v>3</v>
      </c>
      <c r="G3134" s="5">
        <f>TRUNC([1]단가대비표!O1373,0)</f>
        <v>18700</v>
      </c>
      <c r="H3134" s="5">
        <f t="shared" si="298"/>
        <v>56100</v>
      </c>
      <c r="I3134" s="5">
        <v>0</v>
      </c>
      <c r="J3134" s="5">
        <f t="shared" si="299"/>
        <v>0</v>
      </c>
      <c r="K3134" s="5">
        <v>0</v>
      </c>
      <c r="L3134" s="5">
        <f t="shared" si="300"/>
        <v>0</v>
      </c>
      <c r="M3134" s="5">
        <f t="shared" si="301"/>
        <v>18700</v>
      </c>
      <c r="N3134" s="5">
        <f t="shared" si="301"/>
        <v>56100</v>
      </c>
      <c r="O3134" s="8" t="s">
        <v>2550</v>
      </c>
      <c r="T3134">
        <v>0</v>
      </c>
      <c r="AC3134">
        <v>1</v>
      </c>
    </row>
    <row r="3135" spans="1:29" ht="30" customHeight="1" x14ac:dyDescent="0.3">
      <c r="A3135" s="8" t="s">
        <v>2518</v>
      </c>
      <c r="B3135" s="8" t="s">
        <v>2551</v>
      </c>
      <c r="C3135" s="8" t="s">
        <v>2545</v>
      </c>
      <c r="D3135" s="8" t="s">
        <v>2552</v>
      </c>
      <c r="E3135" s="8" t="s">
        <v>428</v>
      </c>
      <c r="F3135" s="9">
        <v>1</v>
      </c>
      <c r="G3135" s="5">
        <f>TRUNC([1]단가대비표!O1374,0)</f>
        <v>246400</v>
      </c>
      <c r="H3135" s="5">
        <f t="shared" si="298"/>
        <v>246400</v>
      </c>
      <c r="I3135" s="5">
        <v>0</v>
      </c>
      <c r="J3135" s="5">
        <f t="shared" si="299"/>
        <v>0</v>
      </c>
      <c r="K3135" s="5">
        <v>0</v>
      </c>
      <c r="L3135" s="5">
        <f t="shared" si="300"/>
        <v>0</v>
      </c>
      <c r="M3135" s="5">
        <f t="shared" si="301"/>
        <v>246400</v>
      </c>
      <c r="N3135" s="5">
        <f t="shared" si="301"/>
        <v>246400</v>
      </c>
      <c r="O3135" s="8" t="s">
        <v>2553</v>
      </c>
      <c r="T3135">
        <v>0</v>
      </c>
      <c r="AC3135">
        <v>1</v>
      </c>
    </row>
    <row r="3136" spans="1:29" ht="30" customHeight="1" x14ac:dyDescent="0.3">
      <c r="A3136" s="8" t="s">
        <v>2518</v>
      </c>
      <c r="B3136" s="8" t="s">
        <v>2554</v>
      </c>
      <c r="C3136" s="8" t="s">
        <v>2545</v>
      </c>
      <c r="D3136" s="8" t="s">
        <v>2555</v>
      </c>
      <c r="E3136" s="8" t="s">
        <v>428</v>
      </c>
      <c r="F3136" s="9">
        <v>2</v>
      </c>
      <c r="G3136" s="5">
        <f>TRUNC([1]단가대비표!O1375,0)</f>
        <v>52100</v>
      </c>
      <c r="H3136" s="5">
        <f t="shared" si="298"/>
        <v>104200</v>
      </c>
      <c r="I3136" s="5">
        <v>0</v>
      </c>
      <c r="J3136" s="5">
        <f t="shared" si="299"/>
        <v>0</v>
      </c>
      <c r="K3136" s="5">
        <v>0</v>
      </c>
      <c r="L3136" s="5">
        <f t="shared" si="300"/>
        <v>0</v>
      </c>
      <c r="M3136" s="5">
        <f t="shared" si="301"/>
        <v>52100</v>
      </c>
      <c r="N3136" s="5">
        <f t="shared" si="301"/>
        <v>104200</v>
      </c>
      <c r="O3136" s="8" t="s">
        <v>2556</v>
      </c>
      <c r="T3136">
        <v>0</v>
      </c>
      <c r="AC3136">
        <v>1</v>
      </c>
    </row>
    <row r="3137" spans="1:29" ht="30" customHeight="1" x14ac:dyDescent="0.3">
      <c r="A3137" s="8" t="s">
        <v>2518</v>
      </c>
      <c r="B3137" s="8" t="s">
        <v>2557</v>
      </c>
      <c r="C3137" s="8" t="s">
        <v>2545</v>
      </c>
      <c r="D3137" s="8" t="s">
        <v>2555</v>
      </c>
      <c r="E3137" s="8" t="s">
        <v>428</v>
      </c>
      <c r="F3137" s="9">
        <v>2</v>
      </c>
      <c r="G3137" s="5">
        <f>TRUNC([1]단가대비표!O1376,0)</f>
        <v>98800</v>
      </c>
      <c r="H3137" s="5">
        <f t="shared" si="298"/>
        <v>197600</v>
      </c>
      <c r="I3137" s="5">
        <v>0</v>
      </c>
      <c r="J3137" s="5">
        <f t="shared" si="299"/>
        <v>0</v>
      </c>
      <c r="K3137" s="5">
        <v>0</v>
      </c>
      <c r="L3137" s="5">
        <f t="shared" si="300"/>
        <v>0</v>
      </c>
      <c r="M3137" s="5">
        <f t="shared" si="301"/>
        <v>98800</v>
      </c>
      <c r="N3137" s="5">
        <f t="shared" si="301"/>
        <v>197600</v>
      </c>
      <c r="O3137" s="8" t="s">
        <v>2558</v>
      </c>
      <c r="T3137">
        <v>0</v>
      </c>
      <c r="AC3137">
        <v>1</v>
      </c>
    </row>
    <row r="3138" spans="1:29" ht="30" customHeight="1" x14ac:dyDescent="0.3">
      <c r="A3138" s="8" t="s">
        <v>2518</v>
      </c>
      <c r="B3138" s="8" t="s">
        <v>2559</v>
      </c>
      <c r="C3138" s="8" t="s">
        <v>2545</v>
      </c>
      <c r="D3138" s="8" t="s">
        <v>2560</v>
      </c>
      <c r="E3138" s="8" t="s">
        <v>428</v>
      </c>
      <c r="F3138" s="9">
        <v>1</v>
      </c>
      <c r="G3138" s="5">
        <f>TRUNC([1]단가대비표!O1377,0)</f>
        <v>84300</v>
      </c>
      <c r="H3138" s="5">
        <f t="shared" si="298"/>
        <v>84300</v>
      </c>
      <c r="I3138" s="5">
        <v>0</v>
      </c>
      <c r="J3138" s="5">
        <f t="shared" si="299"/>
        <v>0</v>
      </c>
      <c r="K3138" s="5">
        <v>0</v>
      </c>
      <c r="L3138" s="5">
        <f t="shared" si="300"/>
        <v>0</v>
      </c>
      <c r="M3138" s="5">
        <f t="shared" si="301"/>
        <v>84300</v>
      </c>
      <c r="N3138" s="5">
        <f t="shared" si="301"/>
        <v>84300</v>
      </c>
      <c r="O3138" s="8" t="s">
        <v>2561</v>
      </c>
      <c r="T3138">
        <v>0</v>
      </c>
      <c r="AC3138">
        <v>1</v>
      </c>
    </row>
    <row r="3139" spans="1:29" ht="30" customHeight="1" x14ac:dyDescent="0.3">
      <c r="A3139" s="8" t="s">
        <v>2518</v>
      </c>
      <c r="B3139" s="8" t="s">
        <v>2562</v>
      </c>
      <c r="C3139" s="8" t="s">
        <v>2563</v>
      </c>
      <c r="D3139" s="8" t="s">
        <v>2564</v>
      </c>
      <c r="E3139" s="8" t="s">
        <v>161</v>
      </c>
      <c r="F3139" s="9">
        <v>7</v>
      </c>
      <c r="G3139" s="5">
        <f>TRUNC([1]단가대비표!O1378,0)</f>
        <v>708840</v>
      </c>
      <c r="H3139" s="5">
        <f t="shared" si="298"/>
        <v>4961880</v>
      </c>
      <c r="I3139" s="5">
        <v>0</v>
      </c>
      <c r="J3139" s="5">
        <f t="shared" si="299"/>
        <v>0</v>
      </c>
      <c r="K3139" s="5">
        <v>0</v>
      </c>
      <c r="L3139" s="5">
        <f t="shared" si="300"/>
        <v>0</v>
      </c>
      <c r="M3139" s="5">
        <f t="shared" si="301"/>
        <v>708840</v>
      </c>
      <c r="N3139" s="5">
        <f t="shared" si="301"/>
        <v>4961880</v>
      </c>
      <c r="O3139" s="8" t="s">
        <v>2565</v>
      </c>
      <c r="T3139">
        <v>0</v>
      </c>
      <c r="AC3139">
        <v>1</v>
      </c>
    </row>
    <row r="3140" spans="1:29" ht="30" customHeight="1" x14ac:dyDescent="0.3">
      <c r="A3140" s="8" t="s">
        <v>2518</v>
      </c>
      <c r="B3140" s="8" t="s">
        <v>2566</v>
      </c>
      <c r="C3140" s="8" t="s">
        <v>2563</v>
      </c>
      <c r="D3140" s="8" t="s">
        <v>2567</v>
      </c>
      <c r="E3140" s="8" t="s">
        <v>895</v>
      </c>
      <c r="F3140" s="9">
        <v>195</v>
      </c>
      <c r="G3140" s="5">
        <f>TRUNC([1]단가대비표!O1379,0)</f>
        <v>6800</v>
      </c>
      <c r="H3140" s="5">
        <f t="shared" si="298"/>
        <v>1326000</v>
      </c>
      <c r="I3140" s="5">
        <v>0</v>
      </c>
      <c r="J3140" s="5">
        <f t="shared" si="299"/>
        <v>0</v>
      </c>
      <c r="K3140" s="5">
        <v>0</v>
      </c>
      <c r="L3140" s="5">
        <f t="shared" si="300"/>
        <v>0</v>
      </c>
      <c r="M3140" s="5">
        <f t="shared" si="301"/>
        <v>6800</v>
      </c>
      <c r="N3140" s="5">
        <f t="shared" si="301"/>
        <v>1326000</v>
      </c>
      <c r="O3140" s="8" t="s">
        <v>2568</v>
      </c>
      <c r="T3140">
        <v>0</v>
      </c>
      <c r="AC3140">
        <v>1</v>
      </c>
    </row>
    <row r="3141" spans="1:29" ht="30" customHeight="1" x14ac:dyDescent="0.3">
      <c r="A3141" s="8" t="s">
        <v>2518</v>
      </c>
      <c r="B3141" s="8" t="s">
        <v>2569</v>
      </c>
      <c r="C3141" s="8" t="s">
        <v>2563</v>
      </c>
      <c r="D3141" s="8" t="s">
        <v>2567</v>
      </c>
      <c r="E3141" s="8" t="s">
        <v>895</v>
      </c>
      <c r="F3141" s="9">
        <v>108</v>
      </c>
      <c r="G3141" s="5">
        <f>TRUNC([1]단가대비표!O1380,0)</f>
        <v>8110</v>
      </c>
      <c r="H3141" s="5">
        <f t="shared" si="298"/>
        <v>875880</v>
      </c>
      <c r="I3141" s="5">
        <v>0</v>
      </c>
      <c r="J3141" s="5">
        <f t="shared" si="299"/>
        <v>0</v>
      </c>
      <c r="K3141" s="5">
        <v>0</v>
      </c>
      <c r="L3141" s="5">
        <f t="shared" si="300"/>
        <v>0</v>
      </c>
      <c r="M3141" s="5">
        <f t="shared" si="301"/>
        <v>8110</v>
      </c>
      <c r="N3141" s="5">
        <f t="shared" si="301"/>
        <v>875880</v>
      </c>
      <c r="O3141" s="8" t="s">
        <v>2570</v>
      </c>
      <c r="T3141">
        <v>0</v>
      </c>
      <c r="AC3141">
        <v>1</v>
      </c>
    </row>
    <row r="3142" spans="1:29" ht="30" customHeight="1" x14ac:dyDescent="0.3">
      <c r="A3142" s="8" t="s">
        <v>2518</v>
      </c>
      <c r="B3142" s="8" t="s">
        <v>2571</v>
      </c>
      <c r="C3142" s="8" t="s">
        <v>2563</v>
      </c>
      <c r="D3142" s="8" t="s">
        <v>2567</v>
      </c>
      <c r="E3142" s="8" t="s">
        <v>895</v>
      </c>
      <c r="F3142" s="9">
        <v>40</v>
      </c>
      <c r="G3142" s="5">
        <f>TRUNC([1]단가대비표!O1381,0)</f>
        <v>9970</v>
      </c>
      <c r="H3142" s="5">
        <f t="shared" si="298"/>
        <v>398800</v>
      </c>
      <c r="I3142" s="5">
        <v>0</v>
      </c>
      <c r="J3142" s="5">
        <f t="shared" si="299"/>
        <v>0</v>
      </c>
      <c r="K3142" s="5">
        <v>0</v>
      </c>
      <c r="L3142" s="5">
        <f t="shared" si="300"/>
        <v>0</v>
      </c>
      <c r="M3142" s="5">
        <f t="shared" si="301"/>
        <v>9970</v>
      </c>
      <c r="N3142" s="5">
        <f t="shared" si="301"/>
        <v>398800</v>
      </c>
      <c r="O3142" s="8" t="s">
        <v>2572</v>
      </c>
      <c r="T3142">
        <v>0</v>
      </c>
      <c r="AC3142">
        <v>1</v>
      </c>
    </row>
    <row r="3143" spans="1:29" ht="30" customHeight="1" x14ac:dyDescent="0.3">
      <c r="A3143" s="8" t="s">
        <v>2518</v>
      </c>
      <c r="B3143" s="8" t="s">
        <v>2573</v>
      </c>
      <c r="C3143" s="8" t="s">
        <v>2563</v>
      </c>
      <c r="D3143" s="8" t="s">
        <v>2567</v>
      </c>
      <c r="E3143" s="8" t="s">
        <v>895</v>
      </c>
      <c r="F3143" s="9">
        <v>65</v>
      </c>
      <c r="G3143" s="5">
        <f>TRUNC([1]단가대비표!O1382,0)</f>
        <v>12130</v>
      </c>
      <c r="H3143" s="5">
        <f t="shared" si="298"/>
        <v>788450</v>
      </c>
      <c r="I3143" s="5">
        <v>0</v>
      </c>
      <c r="J3143" s="5">
        <f t="shared" si="299"/>
        <v>0</v>
      </c>
      <c r="K3143" s="5">
        <v>0</v>
      </c>
      <c r="L3143" s="5">
        <f t="shared" si="300"/>
        <v>0</v>
      </c>
      <c r="M3143" s="5">
        <f t="shared" si="301"/>
        <v>12130</v>
      </c>
      <c r="N3143" s="5">
        <f t="shared" si="301"/>
        <v>788450</v>
      </c>
      <c r="O3143" s="8" t="s">
        <v>2574</v>
      </c>
      <c r="T3143">
        <v>0</v>
      </c>
      <c r="AC3143">
        <v>1</v>
      </c>
    </row>
    <row r="3144" spans="1:29" ht="30" customHeight="1" x14ac:dyDescent="0.3">
      <c r="A3144" s="8" t="s">
        <v>2518</v>
      </c>
      <c r="B3144" s="8" t="s">
        <v>2575</v>
      </c>
      <c r="C3144" s="8" t="s">
        <v>2563</v>
      </c>
      <c r="D3144" s="8" t="s">
        <v>2567</v>
      </c>
      <c r="E3144" s="8" t="s">
        <v>895</v>
      </c>
      <c r="F3144" s="9">
        <v>3</v>
      </c>
      <c r="G3144" s="5">
        <f>TRUNC([1]단가대비표!O1383,0)</f>
        <v>13220</v>
      </c>
      <c r="H3144" s="5">
        <f t="shared" si="298"/>
        <v>39660</v>
      </c>
      <c r="I3144" s="5">
        <v>0</v>
      </c>
      <c r="J3144" s="5">
        <f t="shared" si="299"/>
        <v>0</v>
      </c>
      <c r="K3144" s="5">
        <v>0</v>
      </c>
      <c r="L3144" s="5">
        <f t="shared" si="300"/>
        <v>0</v>
      </c>
      <c r="M3144" s="5">
        <f t="shared" si="301"/>
        <v>13220</v>
      </c>
      <c r="N3144" s="5">
        <f t="shared" si="301"/>
        <v>39660</v>
      </c>
      <c r="O3144" s="8" t="s">
        <v>2576</v>
      </c>
      <c r="T3144">
        <v>0</v>
      </c>
      <c r="AC3144">
        <v>1</v>
      </c>
    </row>
    <row r="3145" spans="1:29" ht="30" customHeight="1" x14ac:dyDescent="0.3">
      <c r="A3145" s="8" t="s">
        <v>2518</v>
      </c>
      <c r="B3145" s="8" t="s">
        <v>2577</v>
      </c>
      <c r="C3145" s="8" t="s">
        <v>2563</v>
      </c>
      <c r="D3145" s="8" t="s">
        <v>2567</v>
      </c>
      <c r="E3145" s="8" t="s">
        <v>895</v>
      </c>
      <c r="F3145" s="9">
        <v>40</v>
      </c>
      <c r="G3145" s="5">
        <f>TRUNC([1]단가대비표!O1384,0)</f>
        <v>16440</v>
      </c>
      <c r="H3145" s="5">
        <f t="shared" si="298"/>
        <v>657600</v>
      </c>
      <c r="I3145" s="5">
        <v>0</v>
      </c>
      <c r="J3145" s="5">
        <f t="shared" si="299"/>
        <v>0</v>
      </c>
      <c r="K3145" s="5">
        <v>0</v>
      </c>
      <c r="L3145" s="5">
        <f t="shared" si="300"/>
        <v>0</v>
      </c>
      <c r="M3145" s="5">
        <f t="shared" si="301"/>
        <v>16440</v>
      </c>
      <c r="N3145" s="5">
        <f t="shared" si="301"/>
        <v>657600</v>
      </c>
      <c r="O3145" s="8" t="s">
        <v>2578</v>
      </c>
      <c r="T3145">
        <v>0</v>
      </c>
      <c r="AC3145">
        <v>1</v>
      </c>
    </row>
    <row r="3146" spans="1:29" ht="30" customHeight="1" x14ac:dyDescent="0.3">
      <c r="A3146" s="8" t="s">
        <v>2518</v>
      </c>
      <c r="B3146" s="8" t="s">
        <v>2579</v>
      </c>
      <c r="C3146" s="8" t="s">
        <v>2563</v>
      </c>
      <c r="D3146" s="8" t="s">
        <v>2580</v>
      </c>
      <c r="E3146" s="8" t="s">
        <v>895</v>
      </c>
      <c r="F3146" s="9">
        <v>353</v>
      </c>
      <c r="G3146" s="5">
        <f>TRUNC([1]단가대비표!O1385,0)</f>
        <v>6480</v>
      </c>
      <c r="H3146" s="5">
        <f t="shared" si="298"/>
        <v>2287440</v>
      </c>
      <c r="I3146" s="5">
        <v>0</v>
      </c>
      <c r="J3146" s="5">
        <f t="shared" si="299"/>
        <v>0</v>
      </c>
      <c r="K3146" s="5">
        <v>0</v>
      </c>
      <c r="L3146" s="5">
        <f t="shared" si="300"/>
        <v>0</v>
      </c>
      <c r="M3146" s="5">
        <f t="shared" si="301"/>
        <v>6480</v>
      </c>
      <c r="N3146" s="5">
        <f t="shared" si="301"/>
        <v>2287440</v>
      </c>
      <c r="O3146" s="8" t="s">
        <v>2581</v>
      </c>
      <c r="T3146">
        <v>0</v>
      </c>
      <c r="AC3146">
        <v>1</v>
      </c>
    </row>
    <row r="3147" spans="1:29" ht="30" customHeight="1" x14ac:dyDescent="0.3">
      <c r="A3147" s="8" t="s">
        <v>2518</v>
      </c>
      <c r="B3147" s="8" t="s">
        <v>2582</v>
      </c>
      <c r="C3147" s="8" t="s">
        <v>2563</v>
      </c>
      <c r="D3147" s="8" t="s">
        <v>2583</v>
      </c>
      <c r="E3147" s="8" t="s">
        <v>895</v>
      </c>
      <c r="F3147" s="9">
        <v>4</v>
      </c>
      <c r="G3147" s="5">
        <f>TRUNC([1]단가대비표!O1386,0)</f>
        <v>50820</v>
      </c>
      <c r="H3147" s="5">
        <f t="shared" si="298"/>
        <v>203280</v>
      </c>
      <c r="I3147" s="5">
        <v>0</v>
      </c>
      <c r="J3147" s="5">
        <f t="shared" si="299"/>
        <v>0</v>
      </c>
      <c r="K3147" s="5">
        <v>0</v>
      </c>
      <c r="L3147" s="5">
        <f t="shared" si="300"/>
        <v>0</v>
      </c>
      <c r="M3147" s="5">
        <f t="shared" si="301"/>
        <v>50820</v>
      </c>
      <c r="N3147" s="5">
        <f t="shared" si="301"/>
        <v>203280</v>
      </c>
      <c r="O3147" s="8" t="s">
        <v>2584</v>
      </c>
      <c r="T3147">
        <v>0</v>
      </c>
      <c r="AC3147">
        <v>1</v>
      </c>
    </row>
    <row r="3148" spans="1:29" ht="30" customHeight="1" x14ac:dyDescent="0.3">
      <c r="A3148" s="8" t="s">
        <v>2518</v>
      </c>
      <c r="B3148" s="8" t="s">
        <v>2585</v>
      </c>
      <c r="C3148" s="8" t="s">
        <v>2563</v>
      </c>
      <c r="D3148" s="8" t="s">
        <v>2586</v>
      </c>
      <c r="E3148" s="8" t="s">
        <v>895</v>
      </c>
      <c r="F3148" s="9">
        <v>4</v>
      </c>
      <c r="G3148" s="5">
        <f>TRUNC([1]단가대비표!O1387,0)</f>
        <v>24360</v>
      </c>
      <c r="H3148" s="5">
        <f t="shared" si="298"/>
        <v>97440</v>
      </c>
      <c r="I3148" s="5">
        <v>0</v>
      </c>
      <c r="J3148" s="5">
        <f t="shared" si="299"/>
        <v>0</v>
      </c>
      <c r="K3148" s="5">
        <v>0</v>
      </c>
      <c r="L3148" s="5">
        <f t="shared" si="300"/>
        <v>0</v>
      </c>
      <c r="M3148" s="5">
        <f t="shared" si="301"/>
        <v>24360</v>
      </c>
      <c r="N3148" s="5">
        <f t="shared" si="301"/>
        <v>97440</v>
      </c>
      <c r="O3148" s="8" t="s">
        <v>2587</v>
      </c>
      <c r="T3148">
        <v>0</v>
      </c>
      <c r="AC3148">
        <v>1</v>
      </c>
    </row>
    <row r="3149" spans="1:29" ht="30" customHeight="1" x14ac:dyDescent="0.3">
      <c r="A3149" s="8" t="s">
        <v>2518</v>
      </c>
      <c r="B3149" s="8" t="s">
        <v>2588</v>
      </c>
      <c r="C3149" s="8" t="s">
        <v>2563</v>
      </c>
      <c r="D3149" s="8" t="s">
        <v>2589</v>
      </c>
      <c r="E3149" s="8" t="s">
        <v>895</v>
      </c>
      <c r="F3149" s="9">
        <v>39</v>
      </c>
      <c r="G3149" s="5">
        <f>TRUNC([1]단가대비표!O1388,0)</f>
        <v>7320</v>
      </c>
      <c r="H3149" s="5">
        <f t="shared" si="298"/>
        <v>285480</v>
      </c>
      <c r="I3149" s="5">
        <v>0</v>
      </c>
      <c r="J3149" s="5">
        <f t="shared" si="299"/>
        <v>0</v>
      </c>
      <c r="K3149" s="5">
        <v>0</v>
      </c>
      <c r="L3149" s="5">
        <f t="shared" si="300"/>
        <v>0</v>
      </c>
      <c r="M3149" s="5">
        <f t="shared" si="301"/>
        <v>7320</v>
      </c>
      <c r="N3149" s="5">
        <f t="shared" si="301"/>
        <v>285480</v>
      </c>
      <c r="O3149" s="8" t="s">
        <v>2590</v>
      </c>
      <c r="T3149">
        <v>0</v>
      </c>
      <c r="AC3149">
        <v>1</v>
      </c>
    </row>
    <row r="3150" spans="1:29" ht="30" customHeight="1" x14ac:dyDescent="0.3">
      <c r="A3150" s="8" t="s">
        <v>2518</v>
      </c>
      <c r="B3150" s="8" t="s">
        <v>2591</v>
      </c>
      <c r="C3150" s="8" t="s">
        <v>2563</v>
      </c>
      <c r="D3150" s="8" t="s">
        <v>2589</v>
      </c>
      <c r="E3150" s="8" t="s">
        <v>895</v>
      </c>
      <c r="F3150" s="9">
        <v>215</v>
      </c>
      <c r="G3150" s="5">
        <f>TRUNC([1]단가대비표!O1389,0)</f>
        <v>7270</v>
      </c>
      <c r="H3150" s="5">
        <f t="shared" si="298"/>
        <v>1563050</v>
      </c>
      <c r="I3150" s="5">
        <v>0</v>
      </c>
      <c r="J3150" s="5">
        <f t="shared" si="299"/>
        <v>0</v>
      </c>
      <c r="K3150" s="5">
        <v>0</v>
      </c>
      <c r="L3150" s="5">
        <f t="shared" si="300"/>
        <v>0</v>
      </c>
      <c r="M3150" s="5">
        <f t="shared" si="301"/>
        <v>7270</v>
      </c>
      <c r="N3150" s="5">
        <f t="shared" si="301"/>
        <v>1563050</v>
      </c>
      <c r="O3150" s="8" t="s">
        <v>2592</v>
      </c>
      <c r="T3150">
        <v>0</v>
      </c>
      <c r="AC3150">
        <v>1</v>
      </c>
    </row>
    <row r="3151" spans="1:29" ht="30" customHeight="1" x14ac:dyDescent="0.3">
      <c r="A3151" s="8" t="s">
        <v>2518</v>
      </c>
      <c r="B3151" s="8" t="s">
        <v>2593</v>
      </c>
      <c r="C3151" s="8" t="s">
        <v>2563</v>
      </c>
      <c r="D3151" s="8" t="s">
        <v>2594</v>
      </c>
      <c r="E3151" s="8" t="s">
        <v>895</v>
      </c>
      <c r="F3151" s="9">
        <v>505</v>
      </c>
      <c r="G3151" s="5">
        <f>TRUNC([1]단가대비표!O1390,0)</f>
        <v>9890</v>
      </c>
      <c r="H3151" s="5">
        <f t="shared" si="298"/>
        <v>4994450</v>
      </c>
      <c r="I3151" s="5">
        <v>0</v>
      </c>
      <c r="J3151" s="5">
        <f t="shared" si="299"/>
        <v>0</v>
      </c>
      <c r="K3151" s="5">
        <v>0</v>
      </c>
      <c r="L3151" s="5">
        <f t="shared" si="300"/>
        <v>0</v>
      </c>
      <c r="M3151" s="5">
        <f t="shared" si="301"/>
        <v>9890</v>
      </c>
      <c r="N3151" s="5">
        <f t="shared" si="301"/>
        <v>4994450</v>
      </c>
      <c r="O3151" s="8" t="s">
        <v>2595</v>
      </c>
      <c r="T3151">
        <v>0</v>
      </c>
      <c r="AC3151">
        <v>1</v>
      </c>
    </row>
    <row r="3152" spans="1:29" ht="30" customHeight="1" x14ac:dyDescent="0.3">
      <c r="A3152" s="8" t="s">
        <v>2518</v>
      </c>
      <c r="B3152" s="8" t="s">
        <v>2596</v>
      </c>
      <c r="C3152" s="8" t="s">
        <v>2563</v>
      </c>
      <c r="D3152" s="8" t="s">
        <v>1902</v>
      </c>
      <c r="E3152" s="8" t="s">
        <v>19</v>
      </c>
      <c r="F3152" s="9">
        <v>1</v>
      </c>
      <c r="G3152" s="5">
        <f>TRUNC([1]단가대비표!O1391,0)</f>
        <v>752700</v>
      </c>
      <c r="H3152" s="5">
        <f t="shared" si="298"/>
        <v>752700</v>
      </c>
      <c r="I3152" s="5">
        <v>0</v>
      </c>
      <c r="J3152" s="5">
        <f t="shared" si="299"/>
        <v>0</v>
      </c>
      <c r="K3152" s="5">
        <v>0</v>
      </c>
      <c r="L3152" s="5">
        <f t="shared" si="300"/>
        <v>0</v>
      </c>
      <c r="M3152" s="5">
        <f t="shared" si="301"/>
        <v>752700</v>
      </c>
      <c r="N3152" s="5">
        <f t="shared" si="301"/>
        <v>752700</v>
      </c>
      <c r="O3152" s="8" t="s">
        <v>2597</v>
      </c>
      <c r="T3152">
        <v>0</v>
      </c>
      <c r="AC3152">
        <v>1</v>
      </c>
    </row>
    <row r="3153" spans="1:29" ht="30" customHeight="1" x14ac:dyDescent="0.3">
      <c r="A3153" s="8" t="s">
        <v>2518</v>
      </c>
      <c r="B3153" s="8" t="s">
        <v>2598</v>
      </c>
      <c r="C3153" s="8" t="s">
        <v>2563</v>
      </c>
      <c r="D3153" s="8" t="s">
        <v>2599</v>
      </c>
      <c r="E3153" s="8" t="s">
        <v>895</v>
      </c>
      <c r="F3153" s="9">
        <v>13</v>
      </c>
      <c r="G3153" s="5">
        <f>TRUNC([1]단가대비표!O1392,0)</f>
        <v>51920</v>
      </c>
      <c r="H3153" s="5">
        <f t="shared" si="298"/>
        <v>674960</v>
      </c>
      <c r="I3153" s="5">
        <v>0</v>
      </c>
      <c r="J3153" s="5">
        <f t="shared" si="299"/>
        <v>0</v>
      </c>
      <c r="K3153" s="5">
        <v>0</v>
      </c>
      <c r="L3153" s="5">
        <f t="shared" si="300"/>
        <v>0</v>
      </c>
      <c r="M3153" s="5">
        <f t="shared" si="301"/>
        <v>51920</v>
      </c>
      <c r="N3153" s="5">
        <f t="shared" si="301"/>
        <v>674960</v>
      </c>
      <c r="O3153" s="8" t="s">
        <v>2600</v>
      </c>
      <c r="T3153">
        <v>0</v>
      </c>
      <c r="AC3153">
        <v>1</v>
      </c>
    </row>
    <row r="3154" spans="1:29" ht="30" customHeight="1" x14ac:dyDescent="0.3">
      <c r="A3154" s="8" t="s">
        <v>2518</v>
      </c>
      <c r="B3154" s="8" t="s">
        <v>2601</v>
      </c>
      <c r="C3154" s="8" t="s">
        <v>2563</v>
      </c>
      <c r="D3154" s="8" t="s">
        <v>2602</v>
      </c>
      <c r="E3154" s="8" t="s">
        <v>476</v>
      </c>
      <c r="F3154" s="9">
        <v>5</v>
      </c>
      <c r="G3154" s="5">
        <f>TRUNC([1]단가대비표!O1393,0)</f>
        <v>116400</v>
      </c>
      <c r="H3154" s="5">
        <f t="shared" si="298"/>
        <v>582000</v>
      </c>
      <c r="I3154" s="5">
        <v>0</v>
      </c>
      <c r="J3154" s="5">
        <f t="shared" si="299"/>
        <v>0</v>
      </c>
      <c r="K3154" s="5">
        <v>0</v>
      </c>
      <c r="L3154" s="5">
        <f t="shared" si="300"/>
        <v>0</v>
      </c>
      <c r="M3154" s="5">
        <f t="shared" si="301"/>
        <v>116400</v>
      </c>
      <c r="N3154" s="5">
        <f t="shared" si="301"/>
        <v>582000</v>
      </c>
      <c r="O3154" s="8" t="s">
        <v>2603</v>
      </c>
      <c r="T3154">
        <v>0</v>
      </c>
      <c r="AC3154">
        <v>1</v>
      </c>
    </row>
    <row r="3155" spans="1:29" ht="30" customHeight="1" x14ac:dyDescent="0.3">
      <c r="A3155" s="8" t="s">
        <v>2518</v>
      </c>
      <c r="B3155" s="8" t="s">
        <v>2604</v>
      </c>
      <c r="C3155" s="8" t="s">
        <v>2467</v>
      </c>
      <c r="D3155" s="8" t="s">
        <v>2468</v>
      </c>
      <c r="E3155" s="8" t="s">
        <v>161</v>
      </c>
      <c r="F3155" s="9">
        <v>1</v>
      </c>
      <c r="G3155" s="5">
        <f>TRUNC([1]단가대비표!O1394,0)</f>
        <v>231229</v>
      </c>
      <c r="H3155" s="5">
        <f t="shared" si="298"/>
        <v>231229</v>
      </c>
      <c r="I3155" s="5">
        <v>0</v>
      </c>
      <c r="J3155" s="5">
        <f t="shared" si="299"/>
        <v>0</v>
      </c>
      <c r="K3155" s="5">
        <v>0</v>
      </c>
      <c r="L3155" s="5">
        <f t="shared" si="300"/>
        <v>0</v>
      </c>
      <c r="M3155" s="5">
        <f t="shared" si="301"/>
        <v>231229</v>
      </c>
      <c r="N3155" s="5">
        <f t="shared" si="301"/>
        <v>231229</v>
      </c>
      <c r="O3155" s="8" t="s">
        <v>20</v>
      </c>
      <c r="T3155">
        <v>0</v>
      </c>
      <c r="AC3155">
        <v>1</v>
      </c>
    </row>
    <row r="3156" spans="1:29" ht="30" customHeight="1" x14ac:dyDescent="0.3">
      <c r="A3156" s="5"/>
      <c r="B3156" s="5"/>
      <c r="C3156" s="5"/>
      <c r="D3156" s="5"/>
      <c r="E3156" s="5"/>
      <c r="F3156" s="9"/>
      <c r="G3156" s="5"/>
      <c r="H3156" s="5"/>
      <c r="I3156" s="5"/>
      <c r="J3156" s="5"/>
      <c r="K3156" s="5"/>
      <c r="L3156" s="5"/>
      <c r="M3156" s="5"/>
      <c r="N3156" s="5"/>
      <c r="O3156" s="5"/>
    </row>
    <row r="3157" spans="1:29" ht="30" customHeight="1" x14ac:dyDescent="0.3">
      <c r="A3157" s="5"/>
      <c r="B3157" s="5"/>
      <c r="C3157" s="5"/>
      <c r="D3157" s="5"/>
      <c r="E3157" s="5"/>
      <c r="F3157" s="9"/>
      <c r="G3157" s="5"/>
      <c r="H3157" s="5"/>
      <c r="I3157" s="5"/>
      <c r="J3157" s="5"/>
      <c r="K3157" s="5"/>
      <c r="L3157" s="5"/>
      <c r="M3157" s="5"/>
      <c r="N3157" s="5"/>
      <c r="O3157" s="5"/>
    </row>
    <row r="3158" spans="1:29" ht="30" customHeight="1" x14ac:dyDescent="0.3">
      <c r="A3158" s="5"/>
      <c r="B3158" s="5"/>
      <c r="C3158" s="5"/>
      <c r="D3158" s="5"/>
      <c r="E3158" s="5"/>
      <c r="F3158" s="9"/>
      <c r="G3158" s="5"/>
      <c r="H3158" s="5"/>
      <c r="I3158" s="5"/>
      <c r="J3158" s="5"/>
      <c r="K3158" s="5"/>
      <c r="L3158" s="5"/>
      <c r="M3158" s="5"/>
      <c r="N3158" s="5"/>
      <c r="O3158" s="5"/>
    </row>
    <row r="3159" spans="1:29" ht="30" customHeight="1" x14ac:dyDescent="0.3">
      <c r="A3159" s="5"/>
      <c r="B3159" s="5"/>
      <c r="C3159" s="5"/>
      <c r="D3159" s="5"/>
      <c r="E3159" s="5"/>
      <c r="F3159" s="9"/>
      <c r="G3159" s="5"/>
      <c r="H3159" s="5"/>
      <c r="I3159" s="5"/>
      <c r="J3159" s="5"/>
      <c r="K3159" s="5"/>
      <c r="L3159" s="5"/>
      <c r="M3159" s="5"/>
      <c r="N3159" s="5"/>
      <c r="O3159" s="5"/>
    </row>
    <row r="3160" spans="1:29" ht="30" customHeight="1" x14ac:dyDescent="0.3">
      <c r="A3160" s="5"/>
      <c r="B3160" s="5"/>
      <c r="C3160" s="5"/>
      <c r="D3160" s="5"/>
      <c r="E3160" s="5"/>
      <c r="F3160" s="9"/>
      <c r="G3160" s="5"/>
      <c r="H3160" s="5"/>
      <c r="I3160" s="5"/>
      <c r="J3160" s="5"/>
      <c r="K3160" s="5"/>
      <c r="L3160" s="5"/>
      <c r="M3160" s="5"/>
      <c r="N3160" s="5"/>
      <c r="O3160" s="5"/>
    </row>
    <row r="3161" spans="1:29" ht="30" customHeight="1" x14ac:dyDescent="0.3">
      <c r="A3161" s="5"/>
      <c r="B3161" s="5"/>
      <c r="C3161" s="5"/>
      <c r="D3161" s="5"/>
      <c r="E3161" s="5"/>
      <c r="F3161" s="9"/>
      <c r="G3161" s="5"/>
      <c r="H3161" s="5"/>
      <c r="I3161" s="5"/>
      <c r="J3161" s="5"/>
      <c r="K3161" s="5"/>
      <c r="L3161" s="5"/>
      <c r="M3161" s="5"/>
      <c r="N3161" s="5"/>
      <c r="O3161" s="5"/>
    </row>
    <row r="3162" spans="1:29" ht="30" customHeight="1" x14ac:dyDescent="0.3">
      <c r="A3162" s="5"/>
      <c r="B3162" s="5"/>
      <c r="C3162" s="5"/>
      <c r="D3162" s="5"/>
      <c r="E3162" s="5"/>
      <c r="F3162" s="9"/>
      <c r="G3162" s="5"/>
      <c r="H3162" s="5"/>
      <c r="I3162" s="5"/>
      <c r="J3162" s="5"/>
      <c r="K3162" s="5"/>
      <c r="L3162" s="5"/>
      <c r="M3162" s="5"/>
      <c r="N3162" s="5"/>
      <c r="O3162" s="5"/>
    </row>
    <row r="3163" spans="1:29" ht="30" customHeight="1" x14ac:dyDescent="0.3">
      <c r="A3163" s="5"/>
      <c r="B3163" s="5"/>
      <c r="C3163" s="5"/>
      <c r="D3163" s="5"/>
      <c r="E3163" s="5"/>
      <c r="F3163" s="9"/>
      <c r="G3163" s="5"/>
      <c r="H3163" s="5"/>
      <c r="I3163" s="5"/>
      <c r="J3163" s="5"/>
      <c r="K3163" s="5"/>
      <c r="L3163" s="5"/>
      <c r="M3163" s="5"/>
      <c r="N3163" s="5"/>
      <c r="O3163" s="5"/>
    </row>
    <row r="3164" spans="1:29" ht="30" customHeight="1" x14ac:dyDescent="0.3">
      <c r="A3164" s="5"/>
      <c r="B3164" s="5"/>
      <c r="C3164" s="5"/>
      <c r="D3164" s="5"/>
      <c r="E3164" s="5"/>
      <c r="F3164" s="9"/>
      <c r="G3164" s="5"/>
      <c r="H3164" s="5"/>
      <c r="I3164" s="5"/>
      <c r="J3164" s="5"/>
      <c r="K3164" s="5"/>
      <c r="L3164" s="5"/>
      <c r="M3164" s="5"/>
      <c r="N3164" s="5"/>
      <c r="O3164" s="5"/>
    </row>
    <row r="3165" spans="1:29" ht="30" customHeight="1" x14ac:dyDescent="0.3">
      <c r="A3165" s="5"/>
      <c r="B3165" s="5"/>
      <c r="C3165" s="5"/>
      <c r="D3165" s="5"/>
      <c r="E3165" s="5"/>
      <c r="F3165" s="9"/>
      <c r="G3165" s="5"/>
      <c r="H3165" s="5"/>
      <c r="I3165" s="5"/>
      <c r="J3165" s="5"/>
      <c r="K3165" s="5"/>
      <c r="L3165" s="5"/>
      <c r="M3165" s="5"/>
      <c r="N3165" s="5"/>
      <c r="O3165" s="5"/>
    </row>
    <row r="3166" spans="1:29" ht="30" customHeight="1" x14ac:dyDescent="0.3">
      <c r="A3166" s="5"/>
      <c r="B3166" s="5"/>
      <c r="C3166" s="5"/>
      <c r="D3166" s="5"/>
      <c r="E3166" s="5"/>
      <c r="F3166" s="9"/>
      <c r="G3166" s="5"/>
      <c r="H3166" s="5"/>
      <c r="I3166" s="5"/>
      <c r="J3166" s="5"/>
      <c r="K3166" s="5"/>
      <c r="L3166" s="5"/>
      <c r="M3166" s="5"/>
      <c r="N3166" s="5"/>
      <c r="O3166" s="5"/>
    </row>
    <row r="3167" spans="1:29" ht="30" customHeight="1" x14ac:dyDescent="0.3">
      <c r="A3167" s="5"/>
      <c r="B3167" s="5"/>
      <c r="C3167" s="5"/>
      <c r="D3167" s="5"/>
      <c r="E3167" s="5"/>
      <c r="F3167" s="9"/>
      <c r="G3167" s="5"/>
      <c r="H3167" s="5"/>
      <c r="I3167" s="5"/>
      <c r="J3167" s="5"/>
      <c r="K3167" s="5"/>
      <c r="L3167" s="5"/>
      <c r="M3167" s="5"/>
      <c r="N3167" s="5"/>
      <c r="O3167" s="5"/>
    </row>
    <row r="3168" spans="1:29" ht="30" customHeight="1" x14ac:dyDescent="0.3">
      <c r="A3168" s="5"/>
      <c r="B3168" s="5"/>
      <c r="C3168" s="5"/>
      <c r="D3168" s="5"/>
      <c r="E3168" s="5"/>
      <c r="F3168" s="9"/>
      <c r="G3168" s="5"/>
      <c r="H3168" s="5"/>
      <c r="I3168" s="5"/>
      <c r="J3168" s="5"/>
      <c r="K3168" s="5"/>
      <c r="L3168" s="5"/>
      <c r="M3168" s="5"/>
      <c r="N3168" s="5"/>
      <c r="O3168" s="5"/>
    </row>
    <row r="3169" spans="1:29" ht="30" customHeight="1" x14ac:dyDescent="0.3">
      <c r="A3169" s="5"/>
      <c r="B3169" s="5"/>
      <c r="C3169" s="5"/>
      <c r="D3169" s="5"/>
      <c r="E3169" s="5"/>
      <c r="F3169" s="9"/>
      <c r="G3169" s="5"/>
      <c r="H3169" s="5"/>
      <c r="I3169" s="5"/>
      <c r="J3169" s="5"/>
      <c r="K3169" s="5"/>
      <c r="L3169" s="5"/>
      <c r="M3169" s="5"/>
      <c r="N3169" s="5"/>
      <c r="O3169" s="5"/>
    </row>
    <row r="3170" spans="1:29" ht="30" customHeight="1" x14ac:dyDescent="0.3">
      <c r="A3170" s="5"/>
      <c r="B3170" s="5"/>
      <c r="C3170" s="5"/>
      <c r="D3170" s="5"/>
      <c r="E3170" s="5"/>
      <c r="F3170" s="9"/>
      <c r="G3170" s="5"/>
      <c r="H3170" s="5"/>
      <c r="I3170" s="5"/>
      <c r="J3170" s="5"/>
      <c r="K3170" s="5"/>
      <c r="L3170" s="5"/>
      <c r="M3170" s="5"/>
      <c r="N3170" s="5"/>
      <c r="O3170" s="5"/>
    </row>
    <row r="3171" spans="1:29" ht="30" customHeight="1" x14ac:dyDescent="0.3">
      <c r="A3171" s="5"/>
      <c r="B3171" s="5"/>
      <c r="C3171" s="5"/>
      <c r="D3171" s="5"/>
      <c r="E3171" s="5"/>
      <c r="F3171" s="9"/>
      <c r="G3171" s="5"/>
      <c r="H3171" s="5"/>
      <c r="I3171" s="5"/>
      <c r="J3171" s="5"/>
      <c r="K3171" s="5"/>
      <c r="L3171" s="5"/>
      <c r="M3171" s="5"/>
      <c r="N3171" s="5"/>
      <c r="O3171" s="5"/>
    </row>
    <row r="3172" spans="1:29" ht="30" customHeight="1" x14ac:dyDescent="0.3">
      <c r="A3172" s="5"/>
      <c r="B3172" s="5"/>
      <c r="C3172" s="5"/>
      <c r="D3172" s="5"/>
      <c r="E3172" s="5"/>
      <c r="F3172" s="9"/>
      <c r="G3172" s="5"/>
      <c r="H3172" s="5"/>
      <c r="I3172" s="5"/>
      <c r="J3172" s="5"/>
      <c r="K3172" s="5"/>
      <c r="L3172" s="5"/>
      <c r="M3172" s="5"/>
      <c r="N3172" s="5"/>
      <c r="O3172" s="5"/>
    </row>
    <row r="3173" spans="1:29" ht="30" customHeight="1" x14ac:dyDescent="0.3">
      <c r="A3173" s="5"/>
      <c r="B3173" s="5"/>
      <c r="C3173" s="5"/>
      <c r="D3173" s="5"/>
      <c r="E3173" s="5"/>
      <c r="F3173" s="9"/>
      <c r="G3173" s="5"/>
      <c r="H3173" s="5"/>
      <c r="I3173" s="5"/>
      <c r="J3173" s="5"/>
      <c r="K3173" s="5"/>
      <c r="L3173" s="5"/>
      <c r="M3173" s="5"/>
      <c r="N3173" s="5"/>
      <c r="O3173" s="5"/>
    </row>
    <row r="3174" spans="1:29" ht="30" customHeight="1" x14ac:dyDescent="0.3">
      <c r="A3174" s="5"/>
      <c r="B3174" s="5"/>
      <c r="C3174" s="5"/>
      <c r="D3174" s="5"/>
      <c r="E3174" s="5"/>
      <c r="F3174" s="9"/>
      <c r="G3174" s="5"/>
      <c r="H3174" s="5"/>
      <c r="I3174" s="5"/>
      <c r="J3174" s="5"/>
      <c r="K3174" s="5"/>
      <c r="L3174" s="5"/>
      <c r="M3174" s="5"/>
      <c r="N3174" s="5"/>
      <c r="O3174" s="5"/>
    </row>
    <row r="3175" spans="1:29" ht="30" customHeight="1" x14ac:dyDescent="0.3">
      <c r="A3175" s="5"/>
      <c r="B3175" s="5"/>
      <c r="C3175" s="5" t="s">
        <v>162</v>
      </c>
      <c r="D3175" s="5"/>
      <c r="E3175" s="5"/>
      <c r="F3175" s="9"/>
      <c r="G3175" s="5"/>
      <c r="H3175" s="5">
        <f>SUMIF(AC3125:AC3174, 1, H3125:H3174)</f>
        <v>41605499</v>
      </c>
      <c r="I3175" s="5"/>
      <c r="J3175" s="5">
        <f>SUMIF(AC3125:AC3174, 1, J3125:J3174)</f>
        <v>0</v>
      </c>
      <c r="K3175" s="5"/>
      <c r="L3175" s="5">
        <f>SUMIF(AC3125:AC3174, 1, L3125:L3174)</f>
        <v>0</v>
      </c>
      <c r="M3175" s="5"/>
      <c r="N3175" s="5">
        <f>H3175+J3175+L3175</f>
        <v>41605499</v>
      </c>
      <c r="O3175" s="5"/>
    </row>
    <row r="3176" spans="1:29" ht="30" customHeight="1" x14ac:dyDescent="0.3">
      <c r="A3176" s="5"/>
      <c r="B3176" s="5"/>
      <c r="C3176" s="6" t="s">
        <v>2605</v>
      </c>
      <c r="D3176" s="6"/>
      <c r="E3176" s="6"/>
      <c r="F3176" s="7"/>
      <c r="G3176" s="6"/>
      <c r="H3176" s="6"/>
      <c r="I3176" s="6"/>
      <c r="J3176" s="6"/>
      <c r="K3176" s="6"/>
      <c r="L3176" s="6"/>
      <c r="M3176" s="6"/>
      <c r="N3176" s="6"/>
      <c r="O3176" s="6"/>
    </row>
    <row r="3177" spans="1:29" ht="30" customHeight="1" x14ac:dyDescent="0.3">
      <c r="A3177" s="8" t="s">
        <v>2606</v>
      </c>
      <c r="B3177" s="8" t="s">
        <v>2607</v>
      </c>
      <c r="C3177" s="8" t="s">
        <v>2608</v>
      </c>
      <c r="D3177" s="8" t="s">
        <v>2609</v>
      </c>
      <c r="E3177" s="8" t="s">
        <v>19</v>
      </c>
      <c r="F3177" s="9">
        <v>66</v>
      </c>
      <c r="G3177" s="5">
        <f>TRUNC([1]단가대비표!O1440,0)</f>
        <v>520000</v>
      </c>
      <c r="H3177" s="5">
        <f t="shared" ref="H3177:H3195" si="302">TRUNC(F3177*G3177,0)</f>
        <v>34320000</v>
      </c>
      <c r="I3177" s="5">
        <v>0</v>
      </c>
      <c r="J3177" s="5">
        <f t="shared" ref="J3177:J3195" si="303">TRUNC(F3177*I3177,0)</f>
        <v>0</v>
      </c>
      <c r="K3177" s="5">
        <v>0</v>
      </c>
      <c r="L3177" s="5">
        <f t="shared" ref="L3177:L3195" si="304">TRUNC(F3177*K3177,0)</f>
        <v>0</v>
      </c>
      <c r="M3177" s="5">
        <f t="shared" ref="M3177:N3195" si="305">G3177+I3177+K3177</f>
        <v>520000</v>
      </c>
      <c r="N3177" s="5">
        <f t="shared" si="305"/>
        <v>34320000</v>
      </c>
      <c r="O3177" s="8" t="s">
        <v>2610</v>
      </c>
      <c r="T3177">
        <v>0</v>
      </c>
      <c r="AC3177">
        <v>1</v>
      </c>
    </row>
    <row r="3178" spans="1:29" ht="30" customHeight="1" x14ac:dyDescent="0.3">
      <c r="A3178" s="8" t="s">
        <v>2606</v>
      </c>
      <c r="B3178" s="8" t="s">
        <v>2611</v>
      </c>
      <c r="C3178" s="8" t="s">
        <v>2608</v>
      </c>
      <c r="D3178" s="8" t="s">
        <v>2612</v>
      </c>
      <c r="E3178" s="8" t="s">
        <v>19</v>
      </c>
      <c r="F3178" s="9">
        <v>12</v>
      </c>
      <c r="G3178" s="5">
        <f>TRUNC([1]단가대비표!O1441,0)</f>
        <v>530000</v>
      </c>
      <c r="H3178" s="5">
        <f t="shared" si="302"/>
        <v>6360000</v>
      </c>
      <c r="I3178" s="5">
        <v>0</v>
      </c>
      <c r="J3178" s="5">
        <f t="shared" si="303"/>
        <v>0</v>
      </c>
      <c r="K3178" s="5">
        <v>0</v>
      </c>
      <c r="L3178" s="5">
        <f t="shared" si="304"/>
        <v>0</v>
      </c>
      <c r="M3178" s="5">
        <f t="shared" si="305"/>
        <v>530000</v>
      </c>
      <c r="N3178" s="5">
        <f t="shared" si="305"/>
        <v>6360000</v>
      </c>
      <c r="O3178" s="8" t="s">
        <v>2613</v>
      </c>
      <c r="T3178">
        <v>0</v>
      </c>
      <c r="AC3178">
        <v>1</v>
      </c>
    </row>
    <row r="3179" spans="1:29" ht="30" customHeight="1" x14ac:dyDescent="0.3">
      <c r="A3179" s="8" t="s">
        <v>2606</v>
      </c>
      <c r="B3179" s="8" t="s">
        <v>2614</v>
      </c>
      <c r="C3179" s="8" t="s">
        <v>2608</v>
      </c>
      <c r="D3179" s="8" t="s">
        <v>2615</v>
      </c>
      <c r="E3179" s="8" t="s">
        <v>19</v>
      </c>
      <c r="F3179" s="9">
        <v>4</v>
      </c>
      <c r="G3179" s="5">
        <f>TRUNC([1]단가대비표!O1442,0)</f>
        <v>620000</v>
      </c>
      <c r="H3179" s="5">
        <f t="shared" si="302"/>
        <v>2480000</v>
      </c>
      <c r="I3179" s="5">
        <v>0</v>
      </c>
      <c r="J3179" s="5">
        <f t="shared" si="303"/>
        <v>0</v>
      </c>
      <c r="K3179" s="5">
        <v>0</v>
      </c>
      <c r="L3179" s="5">
        <f t="shared" si="304"/>
        <v>0</v>
      </c>
      <c r="M3179" s="5">
        <f t="shared" si="305"/>
        <v>620000</v>
      </c>
      <c r="N3179" s="5">
        <f t="shared" si="305"/>
        <v>2480000</v>
      </c>
      <c r="O3179" s="8" t="s">
        <v>2616</v>
      </c>
      <c r="T3179">
        <v>0</v>
      </c>
      <c r="AC3179">
        <v>1</v>
      </c>
    </row>
    <row r="3180" spans="1:29" ht="30" customHeight="1" x14ac:dyDescent="0.3">
      <c r="A3180" s="8" t="s">
        <v>2606</v>
      </c>
      <c r="B3180" s="8" t="s">
        <v>2617</v>
      </c>
      <c r="C3180" s="8" t="s">
        <v>2608</v>
      </c>
      <c r="D3180" s="8" t="s">
        <v>2618</v>
      </c>
      <c r="E3180" s="8" t="s">
        <v>19</v>
      </c>
      <c r="F3180" s="9">
        <v>8</v>
      </c>
      <c r="G3180" s="5">
        <f>TRUNC([1]단가대비표!O1443,0)</f>
        <v>850000</v>
      </c>
      <c r="H3180" s="5">
        <f t="shared" si="302"/>
        <v>6800000</v>
      </c>
      <c r="I3180" s="5">
        <v>0</v>
      </c>
      <c r="J3180" s="5">
        <f t="shared" si="303"/>
        <v>0</v>
      </c>
      <c r="K3180" s="5">
        <v>0</v>
      </c>
      <c r="L3180" s="5">
        <f t="shared" si="304"/>
        <v>0</v>
      </c>
      <c r="M3180" s="5">
        <f t="shared" si="305"/>
        <v>850000</v>
      </c>
      <c r="N3180" s="5">
        <f t="shared" si="305"/>
        <v>6800000</v>
      </c>
      <c r="O3180" s="8" t="s">
        <v>2619</v>
      </c>
      <c r="T3180">
        <v>0</v>
      </c>
      <c r="AC3180">
        <v>1</v>
      </c>
    </row>
    <row r="3181" spans="1:29" ht="30" customHeight="1" x14ac:dyDescent="0.3">
      <c r="A3181" s="8" t="s">
        <v>2606</v>
      </c>
      <c r="B3181" s="8" t="s">
        <v>2620</v>
      </c>
      <c r="C3181" s="8" t="s">
        <v>2608</v>
      </c>
      <c r="D3181" s="8" t="s">
        <v>2621</v>
      </c>
      <c r="E3181" s="8" t="s">
        <v>19</v>
      </c>
      <c r="F3181" s="9">
        <v>12</v>
      </c>
      <c r="G3181" s="5">
        <f>TRUNC([1]단가대비표!O1444,0)</f>
        <v>1160000</v>
      </c>
      <c r="H3181" s="5">
        <f t="shared" si="302"/>
        <v>13920000</v>
      </c>
      <c r="I3181" s="5">
        <v>0</v>
      </c>
      <c r="J3181" s="5">
        <f t="shared" si="303"/>
        <v>0</v>
      </c>
      <c r="K3181" s="5">
        <v>0</v>
      </c>
      <c r="L3181" s="5">
        <f t="shared" si="304"/>
        <v>0</v>
      </c>
      <c r="M3181" s="5">
        <f t="shared" si="305"/>
        <v>1160000</v>
      </c>
      <c r="N3181" s="5">
        <f t="shared" si="305"/>
        <v>13920000</v>
      </c>
      <c r="O3181" s="8" t="s">
        <v>2622</v>
      </c>
      <c r="T3181">
        <v>0</v>
      </c>
      <c r="AC3181">
        <v>1</v>
      </c>
    </row>
    <row r="3182" spans="1:29" ht="30" customHeight="1" x14ac:dyDescent="0.3">
      <c r="A3182" s="8" t="s">
        <v>2606</v>
      </c>
      <c r="B3182" s="8" t="s">
        <v>2623</v>
      </c>
      <c r="C3182" s="8" t="s">
        <v>2608</v>
      </c>
      <c r="D3182" s="8" t="s">
        <v>2624</v>
      </c>
      <c r="E3182" s="8" t="s">
        <v>19</v>
      </c>
      <c r="F3182" s="9">
        <v>18</v>
      </c>
      <c r="G3182" s="5">
        <f>TRUNC([1]단가대비표!O1445,0)</f>
        <v>1210000</v>
      </c>
      <c r="H3182" s="5">
        <f t="shared" si="302"/>
        <v>21780000</v>
      </c>
      <c r="I3182" s="5">
        <v>0</v>
      </c>
      <c r="J3182" s="5">
        <f t="shared" si="303"/>
        <v>0</v>
      </c>
      <c r="K3182" s="5">
        <v>0</v>
      </c>
      <c r="L3182" s="5">
        <f t="shared" si="304"/>
        <v>0</v>
      </c>
      <c r="M3182" s="5">
        <f t="shared" si="305"/>
        <v>1210000</v>
      </c>
      <c r="N3182" s="5">
        <f t="shared" si="305"/>
        <v>21780000</v>
      </c>
      <c r="O3182" s="8" t="s">
        <v>2625</v>
      </c>
      <c r="T3182">
        <v>0</v>
      </c>
      <c r="AC3182">
        <v>1</v>
      </c>
    </row>
    <row r="3183" spans="1:29" ht="30" customHeight="1" x14ac:dyDescent="0.3">
      <c r="A3183" s="8" t="s">
        <v>2606</v>
      </c>
      <c r="B3183" s="8" t="s">
        <v>2626</v>
      </c>
      <c r="C3183" s="8" t="s">
        <v>2627</v>
      </c>
      <c r="D3183" s="8" t="s">
        <v>2628</v>
      </c>
      <c r="E3183" s="8" t="s">
        <v>161</v>
      </c>
      <c r="F3183" s="9">
        <v>66</v>
      </c>
      <c r="G3183" s="5">
        <f>TRUNC([1]단가대비표!O1446,0)</f>
        <v>1100000</v>
      </c>
      <c r="H3183" s="5">
        <f t="shared" si="302"/>
        <v>72600000</v>
      </c>
      <c r="I3183" s="5">
        <v>0</v>
      </c>
      <c r="J3183" s="5">
        <f t="shared" si="303"/>
        <v>0</v>
      </c>
      <c r="K3183" s="5">
        <v>0</v>
      </c>
      <c r="L3183" s="5">
        <f t="shared" si="304"/>
        <v>0</v>
      </c>
      <c r="M3183" s="5">
        <f t="shared" si="305"/>
        <v>1100000</v>
      </c>
      <c r="N3183" s="5">
        <f t="shared" si="305"/>
        <v>72600000</v>
      </c>
      <c r="O3183" s="8" t="s">
        <v>2629</v>
      </c>
      <c r="T3183">
        <v>0</v>
      </c>
      <c r="AC3183">
        <v>1</v>
      </c>
    </row>
    <row r="3184" spans="1:29" ht="30" customHeight="1" x14ac:dyDescent="0.3">
      <c r="A3184" s="8" t="s">
        <v>2606</v>
      </c>
      <c r="B3184" s="8" t="s">
        <v>2630</v>
      </c>
      <c r="C3184" s="8" t="s">
        <v>2627</v>
      </c>
      <c r="D3184" s="8" t="s">
        <v>2631</v>
      </c>
      <c r="E3184" s="8" t="s">
        <v>161</v>
      </c>
      <c r="F3184" s="9">
        <v>16</v>
      </c>
      <c r="G3184" s="5">
        <f>TRUNC([1]단가대비표!O1447,0)</f>
        <v>1280000</v>
      </c>
      <c r="H3184" s="5">
        <f t="shared" si="302"/>
        <v>20480000</v>
      </c>
      <c r="I3184" s="5">
        <v>0</v>
      </c>
      <c r="J3184" s="5">
        <f t="shared" si="303"/>
        <v>0</v>
      </c>
      <c r="K3184" s="5">
        <v>0</v>
      </c>
      <c r="L3184" s="5">
        <f t="shared" si="304"/>
        <v>0</v>
      </c>
      <c r="M3184" s="5">
        <f t="shared" si="305"/>
        <v>1280000</v>
      </c>
      <c r="N3184" s="5">
        <f t="shared" si="305"/>
        <v>20480000</v>
      </c>
      <c r="O3184" s="8" t="s">
        <v>2632</v>
      </c>
      <c r="T3184">
        <v>0</v>
      </c>
      <c r="AC3184">
        <v>1</v>
      </c>
    </row>
    <row r="3185" spans="1:29" ht="30" customHeight="1" x14ac:dyDescent="0.3">
      <c r="A3185" s="8" t="s">
        <v>2606</v>
      </c>
      <c r="B3185" s="8" t="s">
        <v>2633</v>
      </c>
      <c r="C3185" s="8" t="s">
        <v>2627</v>
      </c>
      <c r="D3185" s="8" t="s">
        <v>2634</v>
      </c>
      <c r="E3185" s="8" t="s">
        <v>161</v>
      </c>
      <c r="F3185" s="9">
        <v>8</v>
      </c>
      <c r="G3185" s="5">
        <f>TRUNC([1]단가대비표!O1448,0)</f>
        <v>1350000</v>
      </c>
      <c r="H3185" s="5">
        <f t="shared" si="302"/>
        <v>10800000</v>
      </c>
      <c r="I3185" s="5">
        <v>0</v>
      </c>
      <c r="J3185" s="5">
        <f t="shared" si="303"/>
        <v>0</v>
      </c>
      <c r="K3185" s="5">
        <v>0</v>
      </c>
      <c r="L3185" s="5">
        <f t="shared" si="304"/>
        <v>0</v>
      </c>
      <c r="M3185" s="5">
        <f t="shared" si="305"/>
        <v>1350000</v>
      </c>
      <c r="N3185" s="5">
        <f t="shared" si="305"/>
        <v>10800000</v>
      </c>
      <c r="O3185" s="8" t="s">
        <v>2635</v>
      </c>
      <c r="T3185">
        <v>0</v>
      </c>
      <c r="AC3185">
        <v>1</v>
      </c>
    </row>
    <row r="3186" spans="1:29" ht="30" customHeight="1" x14ac:dyDescent="0.3">
      <c r="A3186" s="8" t="s">
        <v>2606</v>
      </c>
      <c r="B3186" s="8" t="s">
        <v>2636</v>
      </c>
      <c r="C3186" s="8" t="s">
        <v>2627</v>
      </c>
      <c r="D3186" s="8" t="s">
        <v>2637</v>
      </c>
      <c r="E3186" s="8" t="s">
        <v>161</v>
      </c>
      <c r="F3186" s="9">
        <v>30</v>
      </c>
      <c r="G3186" s="5">
        <f>TRUNC([1]단가대비표!O1449,0)</f>
        <v>1750000</v>
      </c>
      <c r="H3186" s="5">
        <f t="shared" si="302"/>
        <v>52500000</v>
      </c>
      <c r="I3186" s="5">
        <v>0</v>
      </c>
      <c r="J3186" s="5">
        <f t="shared" si="303"/>
        <v>0</v>
      </c>
      <c r="K3186" s="5">
        <v>0</v>
      </c>
      <c r="L3186" s="5">
        <f t="shared" si="304"/>
        <v>0</v>
      </c>
      <c r="M3186" s="5">
        <f t="shared" si="305"/>
        <v>1750000</v>
      </c>
      <c r="N3186" s="5">
        <f t="shared" si="305"/>
        <v>52500000</v>
      </c>
      <c r="O3186" s="8" t="s">
        <v>2638</v>
      </c>
      <c r="T3186">
        <v>0</v>
      </c>
      <c r="AC3186">
        <v>1</v>
      </c>
    </row>
    <row r="3187" spans="1:29" ht="30" customHeight="1" x14ac:dyDescent="0.3">
      <c r="A3187" s="8" t="s">
        <v>2606</v>
      </c>
      <c r="B3187" s="8" t="s">
        <v>2639</v>
      </c>
      <c r="C3187" s="8" t="s">
        <v>2640</v>
      </c>
      <c r="D3187" s="8" t="s">
        <v>2634</v>
      </c>
      <c r="E3187" s="8" t="s">
        <v>895</v>
      </c>
      <c r="F3187" s="9">
        <v>2185</v>
      </c>
      <c r="G3187" s="5">
        <f>TRUNC([1]단가대비표!O1450,0)</f>
        <v>17190</v>
      </c>
      <c r="H3187" s="5">
        <f t="shared" si="302"/>
        <v>37560150</v>
      </c>
      <c r="I3187" s="5">
        <v>0</v>
      </c>
      <c r="J3187" s="5">
        <f t="shared" si="303"/>
        <v>0</v>
      </c>
      <c r="K3187" s="5">
        <v>0</v>
      </c>
      <c r="L3187" s="5">
        <f t="shared" si="304"/>
        <v>0</v>
      </c>
      <c r="M3187" s="5">
        <f t="shared" si="305"/>
        <v>17190</v>
      </c>
      <c r="N3187" s="5">
        <f t="shared" si="305"/>
        <v>37560150</v>
      </c>
      <c r="O3187" s="8" t="s">
        <v>2641</v>
      </c>
      <c r="T3187">
        <v>0</v>
      </c>
      <c r="AC3187">
        <v>1</v>
      </c>
    </row>
    <row r="3188" spans="1:29" ht="30" customHeight="1" x14ac:dyDescent="0.3">
      <c r="A3188" s="8" t="s">
        <v>2606</v>
      </c>
      <c r="B3188" s="8" t="s">
        <v>2642</v>
      </c>
      <c r="C3188" s="8" t="s">
        <v>2643</v>
      </c>
      <c r="D3188" s="8" t="s">
        <v>2634</v>
      </c>
      <c r="E3188" s="8" t="s">
        <v>895</v>
      </c>
      <c r="F3188" s="9">
        <v>960</v>
      </c>
      <c r="G3188" s="5">
        <f>TRUNC([1]단가대비표!O1451,0)</f>
        <v>6170</v>
      </c>
      <c r="H3188" s="5">
        <f t="shared" si="302"/>
        <v>5923200</v>
      </c>
      <c r="I3188" s="5">
        <v>0</v>
      </c>
      <c r="J3188" s="5">
        <f t="shared" si="303"/>
        <v>0</v>
      </c>
      <c r="K3188" s="5">
        <v>0</v>
      </c>
      <c r="L3188" s="5">
        <f t="shared" si="304"/>
        <v>0</v>
      </c>
      <c r="M3188" s="5">
        <f t="shared" si="305"/>
        <v>6170</v>
      </c>
      <c r="N3188" s="5">
        <f t="shared" si="305"/>
        <v>5923200</v>
      </c>
      <c r="O3188" s="8" t="s">
        <v>2644</v>
      </c>
      <c r="T3188">
        <v>0</v>
      </c>
      <c r="AC3188">
        <v>1</v>
      </c>
    </row>
    <row r="3189" spans="1:29" ht="30" customHeight="1" x14ac:dyDescent="0.3">
      <c r="A3189" s="8" t="s">
        <v>2606</v>
      </c>
      <c r="B3189" s="8" t="s">
        <v>2645</v>
      </c>
      <c r="C3189" s="8" t="s">
        <v>2646</v>
      </c>
      <c r="D3189" s="8" t="s">
        <v>2647</v>
      </c>
      <c r="E3189" s="8" t="s">
        <v>895</v>
      </c>
      <c r="F3189" s="9">
        <v>240</v>
      </c>
      <c r="G3189" s="5">
        <f>TRUNC([1]단가대비표!O1452,0)</f>
        <v>13000</v>
      </c>
      <c r="H3189" s="5">
        <f t="shared" si="302"/>
        <v>3120000</v>
      </c>
      <c r="I3189" s="5">
        <v>0</v>
      </c>
      <c r="J3189" s="5">
        <f t="shared" si="303"/>
        <v>0</v>
      </c>
      <c r="K3189" s="5">
        <v>0</v>
      </c>
      <c r="L3189" s="5">
        <f t="shared" si="304"/>
        <v>0</v>
      </c>
      <c r="M3189" s="5">
        <f t="shared" si="305"/>
        <v>13000</v>
      </c>
      <c r="N3189" s="5">
        <f t="shared" si="305"/>
        <v>3120000</v>
      </c>
      <c r="O3189" s="8" t="s">
        <v>2648</v>
      </c>
      <c r="T3189">
        <v>0</v>
      </c>
      <c r="AC3189">
        <v>1</v>
      </c>
    </row>
    <row r="3190" spans="1:29" ht="30" customHeight="1" x14ac:dyDescent="0.3">
      <c r="A3190" s="8" t="s">
        <v>2606</v>
      </c>
      <c r="B3190" s="8" t="s">
        <v>2649</v>
      </c>
      <c r="C3190" s="8" t="s">
        <v>2650</v>
      </c>
      <c r="D3190" s="8" t="s">
        <v>20</v>
      </c>
      <c r="E3190" s="8" t="s">
        <v>428</v>
      </c>
      <c r="F3190" s="9">
        <v>120</v>
      </c>
      <c r="G3190" s="5">
        <f>TRUNC([1]단가대비표!O1453,0)</f>
        <v>28500</v>
      </c>
      <c r="H3190" s="5">
        <f t="shared" si="302"/>
        <v>3420000</v>
      </c>
      <c r="I3190" s="5">
        <v>0</v>
      </c>
      <c r="J3190" s="5">
        <f t="shared" si="303"/>
        <v>0</v>
      </c>
      <c r="K3190" s="5">
        <v>0</v>
      </c>
      <c r="L3190" s="5">
        <f t="shared" si="304"/>
        <v>0</v>
      </c>
      <c r="M3190" s="5">
        <f t="shared" si="305"/>
        <v>28500</v>
      </c>
      <c r="N3190" s="5">
        <f t="shared" si="305"/>
        <v>3420000</v>
      </c>
      <c r="O3190" s="8" t="s">
        <v>2651</v>
      </c>
      <c r="T3190">
        <v>0</v>
      </c>
      <c r="AC3190">
        <v>1</v>
      </c>
    </row>
    <row r="3191" spans="1:29" ht="30" customHeight="1" x14ac:dyDescent="0.3">
      <c r="A3191" s="8" t="s">
        <v>2606</v>
      </c>
      <c r="B3191" s="8" t="s">
        <v>2652</v>
      </c>
      <c r="C3191" s="8" t="s">
        <v>2653</v>
      </c>
      <c r="D3191" s="8" t="s">
        <v>20</v>
      </c>
      <c r="E3191" s="8" t="s">
        <v>428</v>
      </c>
      <c r="F3191" s="9">
        <v>4</v>
      </c>
      <c r="G3191" s="5">
        <f>TRUNC([1]단가대비표!O1454,0)</f>
        <v>237500</v>
      </c>
      <c r="H3191" s="5">
        <f t="shared" si="302"/>
        <v>950000</v>
      </c>
      <c r="I3191" s="5">
        <v>0</v>
      </c>
      <c r="J3191" s="5">
        <f t="shared" si="303"/>
        <v>0</v>
      </c>
      <c r="K3191" s="5">
        <v>0</v>
      </c>
      <c r="L3191" s="5">
        <f t="shared" si="304"/>
        <v>0</v>
      </c>
      <c r="M3191" s="5">
        <f t="shared" si="305"/>
        <v>237500</v>
      </c>
      <c r="N3191" s="5">
        <f t="shared" si="305"/>
        <v>950000</v>
      </c>
      <c r="O3191" s="8" t="s">
        <v>2654</v>
      </c>
      <c r="T3191">
        <v>0</v>
      </c>
      <c r="AC3191">
        <v>1</v>
      </c>
    </row>
    <row r="3192" spans="1:29" ht="30" customHeight="1" x14ac:dyDescent="0.3">
      <c r="A3192" s="8" t="s">
        <v>2606</v>
      </c>
      <c r="B3192" s="8" t="s">
        <v>2655</v>
      </c>
      <c r="C3192" s="8" t="s">
        <v>2656</v>
      </c>
      <c r="D3192" s="8" t="s">
        <v>20</v>
      </c>
      <c r="E3192" s="8" t="s">
        <v>895</v>
      </c>
      <c r="F3192" s="9">
        <v>3600</v>
      </c>
      <c r="G3192" s="5">
        <f>TRUNC([1]단가대비표!O1455,0)</f>
        <v>4080</v>
      </c>
      <c r="H3192" s="5">
        <f t="shared" si="302"/>
        <v>14688000</v>
      </c>
      <c r="I3192" s="5">
        <v>0</v>
      </c>
      <c r="J3192" s="5">
        <f t="shared" si="303"/>
        <v>0</v>
      </c>
      <c r="K3192" s="5">
        <v>0</v>
      </c>
      <c r="L3192" s="5">
        <f t="shared" si="304"/>
        <v>0</v>
      </c>
      <c r="M3192" s="5">
        <f t="shared" si="305"/>
        <v>4080</v>
      </c>
      <c r="N3192" s="5">
        <f t="shared" si="305"/>
        <v>14688000</v>
      </c>
      <c r="O3192" s="8" t="s">
        <v>2657</v>
      </c>
      <c r="T3192">
        <v>0</v>
      </c>
      <c r="AC3192">
        <v>1</v>
      </c>
    </row>
    <row r="3193" spans="1:29" ht="30" customHeight="1" x14ac:dyDescent="0.3">
      <c r="A3193" s="8" t="s">
        <v>2606</v>
      </c>
      <c r="B3193" s="8" t="s">
        <v>2658</v>
      </c>
      <c r="C3193" s="8" t="s">
        <v>2659</v>
      </c>
      <c r="D3193" s="8" t="s">
        <v>20</v>
      </c>
      <c r="E3193" s="8" t="s">
        <v>895</v>
      </c>
      <c r="F3193" s="9">
        <v>1800</v>
      </c>
      <c r="G3193" s="5">
        <f>TRUNC([1]단가대비표!O1456,0)</f>
        <v>3200</v>
      </c>
      <c r="H3193" s="5">
        <f t="shared" si="302"/>
        <v>5760000</v>
      </c>
      <c r="I3193" s="5">
        <v>0</v>
      </c>
      <c r="J3193" s="5">
        <f t="shared" si="303"/>
        <v>0</v>
      </c>
      <c r="K3193" s="5">
        <v>0</v>
      </c>
      <c r="L3193" s="5">
        <f t="shared" si="304"/>
        <v>0</v>
      </c>
      <c r="M3193" s="5">
        <f t="shared" si="305"/>
        <v>3200</v>
      </c>
      <c r="N3193" s="5">
        <f t="shared" si="305"/>
        <v>5760000</v>
      </c>
      <c r="O3193" s="8" t="s">
        <v>2660</v>
      </c>
      <c r="T3193">
        <v>0</v>
      </c>
      <c r="AC3193">
        <v>1</v>
      </c>
    </row>
    <row r="3194" spans="1:29" ht="30" customHeight="1" x14ac:dyDescent="0.3">
      <c r="A3194" s="8" t="s">
        <v>2606</v>
      </c>
      <c r="B3194" s="8" t="s">
        <v>2661</v>
      </c>
      <c r="C3194" s="8" t="s">
        <v>2662</v>
      </c>
      <c r="D3194" s="8" t="s">
        <v>20</v>
      </c>
      <c r="E3194" s="8" t="s">
        <v>428</v>
      </c>
      <c r="F3194" s="9">
        <v>120</v>
      </c>
      <c r="G3194" s="5">
        <f>TRUNC([1]단가대비표!O1457,0)</f>
        <v>100000</v>
      </c>
      <c r="H3194" s="5">
        <f t="shared" si="302"/>
        <v>12000000</v>
      </c>
      <c r="I3194" s="5">
        <v>0</v>
      </c>
      <c r="J3194" s="5">
        <f t="shared" si="303"/>
        <v>0</v>
      </c>
      <c r="K3194" s="5">
        <v>0</v>
      </c>
      <c r="L3194" s="5">
        <f t="shared" si="304"/>
        <v>0</v>
      </c>
      <c r="M3194" s="5">
        <f t="shared" si="305"/>
        <v>100000</v>
      </c>
      <c r="N3194" s="5">
        <f t="shared" si="305"/>
        <v>12000000</v>
      </c>
      <c r="O3194" s="8" t="s">
        <v>2663</v>
      </c>
      <c r="T3194">
        <v>0</v>
      </c>
      <c r="AC3194">
        <v>1</v>
      </c>
    </row>
    <row r="3195" spans="1:29" ht="30" customHeight="1" x14ac:dyDescent="0.3">
      <c r="A3195" s="8" t="s">
        <v>2606</v>
      </c>
      <c r="B3195" s="8" t="s">
        <v>2664</v>
      </c>
      <c r="C3195" s="8" t="s">
        <v>2665</v>
      </c>
      <c r="D3195" s="8" t="s">
        <v>2468</v>
      </c>
      <c r="E3195" s="8" t="s">
        <v>161</v>
      </c>
      <c r="F3195" s="9">
        <v>1</v>
      </c>
      <c r="G3195" s="5">
        <f>TRUNC([1]단가대비표!O1458,0)</f>
        <v>1757491</v>
      </c>
      <c r="H3195" s="5">
        <f t="shared" si="302"/>
        <v>1757491</v>
      </c>
      <c r="I3195" s="5">
        <v>0</v>
      </c>
      <c r="J3195" s="5">
        <f t="shared" si="303"/>
        <v>0</v>
      </c>
      <c r="K3195" s="5">
        <v>0</v>
      </c>
      <c r="L3195" s="5">
        <f t="shared" si="304"/>
        <v>0</v>
      </c>
      <c r="M3195" s="5">
        <f t="shared" si="305"/>
        <v>1757491</v>
      </c>
      <c r="N3195" s="5">
        <f t="shared" si="305"/>
        <v>1757491</v>
      </c>
      <c r="O3195" s="8" t="s">
        <v>20</v>
      </c>
      <c r="T3195">
        <v>0</v>
      </c>
      <c r="AC3195">
        <v>1</v>
      </c>
    </row>
    <row r="3196" spans="1:29" ht="30" customHeight="1" x14ac:dyDescent="0.3">
      <c r="A3196" s="5"/>
      <c r="B3196" s="5"/>
      <c r="C3196" s="5"/>
      <c r="D3196" s="5"/>
      <c r="E3196" s="5"/>
      <c r="F3196" s="9"/>
      <c r="G3196" s="5"/>
      <c r="H3196" s="5"/>
      <c r="I3196" s="5"/>
      <c r="J3196" s="5"/>
      <c r="K3196" s="5"/>
      <c r="L3196" s="5"/>
      <c r="M3196" s="5"/>
      <c r="N3196" s="5"/>
      <c r="O3196" s="5"/>
    </row>
    <row r="3197" spans="1:29" ht="30" customHeight="1" x14ac:dyDescent="0.3">
      <c r="A3197" s="5"/>
      <c r="B3197" s="5"/>
      <c r="C3197" s="5"/>
      <c r="D3197" s="5"/>
      <c r="E3197" s="5"/>
      <c r="F3197" s="9"/>
      <c r="G3197" s="5"/>
      <c r="H3197" s="5"/>
      <c r="I3197" s="5"/>
      <c r="J3197" s="5"/>
      <c r="K3197" s="5"/>
      <c r="L3197" s="5"/>
      <c r="M3197" s="5"/>
      <c r="N3197" s="5"/>
      <c r="O3197" s="5"/>
    </row>
    <row r="3198" spans="1:29" ht="30" customHeight="1" x14ac:dyDescent="0.3">
      <c r="A3198" s="5"/>
      <c r="B3198" s="5"/>
      <c r="C3198" s="5"/>
      <c r="D3198" s="5"/>
      <c r="E3198" s="5"/>
      <c r="F3198" s="9"/>
      <c r="G3198" s="5"/>
      <c r="H3198" s="5"/>
      <c r="I3198" s="5"/>
      <c r="J3198" s="5"/>
      <c r="K3198" s="5"/>
      <c r="L3198" s="5"/>
      <c r="M3198" s="5"/>
      <c r="N3198" s="5"/>
      <c r="O3198" s="5"/>
    </row>
    <row r="3199" spans="1:29" ht="30" customHeight="1" x14ac:dyDescent="0.3">
      <c r="A3199" s="5"/>
      <c r="B3199" s="5"/>
      <c r="C3199" s="5"/>
      <c r="D3199" s="5"/>
      <c r="E3199" s="5"/>
      <c r="F3199" s="9"/>
      <c r="G3199" s="5"/>
      <c r="H3199" s="5"/>
      <c r="I3199" s="5"/>
      <c r="J3199" s="5"/>
      <c r="K3199" s="5"/>
      <c r="L3199" s="5"/>
      <c r="M3199" s="5"/>
      <c r="N3199" s="5"/>
      <c r="O3199" s="5"/>
    </row>
    <row r="3200" spans="1:29" ht="30" customHeight="1" x14ac:dyDescent="0.3">
      <c r="A3200" s="5"/>
      <c r="B3200" s="5"/>
      <c r="C3200" s="5"/>
      <c r="D3200" s="5"/>
      <c r="E3200" s="5"/>
      <c r="F3200" s="9"/>
      <c r="G3200" s="5"/>
      <c r="H3200" s="5"/>
      <c r="I3200" s="5"/>
      <c r="J3200" s="5"/>
      <c r="K3200" s="5"/>
      <c r="L3200" s="5"/>
      <c r="M3200" s="5"/>
      <c r="N3200" s="5"/>
      <c r="O3200" s="5"/>
    </row>
    <row r="3201" spans="1:29" ht="30" customHeight="1" x14ac:dyDescent="0.3">
      <c r="A3201" s="5"/>
      <c r="B3201" s="5"/>
      <c r="C3201" s="5" t="s">
        <v>162</v>
      </c>
      <c r="D3201" s="5"/>
      <c r="E3201" s="5"/>
      <c r="F3201" s="9"/>
      <c r="G3201" s="5"/>
      <c r="H3201" s="5">
        <f>SUMIF(AC3177:AC3200, 1, H3177:H3200)</f>
        <v>327218841</v>
      </c>
      <c r="I3201" s="5"/>
      <c r="J3201" s="5">
        <f>SUMIF(AC3177:AC3200, 1, J3177:J3200)</f>
        <v>0</v>
      </c>
      <c r="K3201" s="5"/>
      <c r="L3201" s="5">
        <f>SUMIF(AC3177:AC3200, 1, L3177:L3200)</f>
        <v>0</v>
      </c>
      <c r="M3201" s="5"/>
      <c r="N3201" s="5">
        <f>H3201+J3201+L3201</f>
        <v>327218841</v>
      </c>
      <c r="O3201" s="5"/>
    </row>
    <row r="3202" spans="1:29" ht="30" customHeight="1" x14ac:dyDescent="0.3">
      <c r="A3202" s="5"/>
      <c r="B3202" s="5"/>
      <c r="C3202" s="6" t="s">
        <v>2666</v>
      </c>
      <c r="D3202" s="6"/>
      <c r="E3202" s="6"/>
      <c r="F3202" s="7"/>
      <c r="G3202" s="6"/>
      <c r="H3202" s="6"/>
      <c r="I3202" s="6"/>
      <c r="J3202" s="6"/>
      <c r="K3202" s="6"/>
      <c r="L3202" s="6"/>
      <c r="M3202" s="6"/>
      <c r="N3202" s="6"/>
      <c r="O3202" s="6"/>
    </row>
    <row r="3203" spans="1:29" ht="30" customHeight="1" x14ac:dyDescent="0.3">
      <c r="A3203" s="8" t="s">
        <v>2667</v>
      </c>
      <c r="B3203" s="8" t="s">
        <v>2668</v>
      </c>
      <c r="C3203" s="8" t="s">
        <v>2669</v>
      </c>
      <c r="D3203" s="8" t="s">
        <v>20</v>
      </c>
      <c r="E3203" s="8" t="s">
        <v>19</v>
      </c>
      <c r="F3203" s="9">
        <v>1</v>
      </c>
      <c r="G3203" s="5">
        <f>TRUNC([1]단가대비표!O1884,0)</f>
        <v>10040000</v>
      </c>
      <c r="H3203" s="5">
        <f>TRUNC(F3203*G3203,0)</f>
        <v>10040000</v>
      </c>
      <c r="I3203" s="5">
        <v>0</v>
      </c>
      <c r="J3203" s="5">
        <f>TRUNC(F3203*I3203,0)</f>
        <v>0</v>
      </c>
      <c r="K3203" s="5">
        <v>0</v>
      </c>
      <c r="L3203" s="5">
        <f>TRUNC(F3203*K3203,0)</f>
        <v>0</v>
      </c>
      <c r="M3203" s="5">
        <f t="shared" ref="M3203:N3207" si="306">G3203+I3203+K3203</f>
        <v>10040000</v>
      </c>
      <c r="N3203" s="5">
        <f t="shared" si="306"/>
        <v>10040000</v>
      </c>
      <c r="O3203" s="8" t="s">
        <v>20</v>
      </c>
      <c r="T3203">
        <v>0</v>
      </c>
      <c r="AC3203">
        <v>1</v>
      </c>
    </row>
    <row r="3204" spans="1:29" ht="30" customHeight="1" x14ac:dyDescent="0.3">
      <c r="A3204" s="8" t="s">
        <v>2667</v>
      </c>
      <c r="B3204" s="8" t="s">
        <v>2670</v>
      </c>
      <c r="C3204" s="8" t="s">
        <v>2671</v>
      </c>
      <c r="D3204" s="8" t="s">
        <v>2672</v>
      </c>
      <c r="E3204" s="8" t="s">
        <v>168</v>
      </c>
      <c r="F3204" s="9">
        <v>50</v>
      </c>
      <c r="G3204" s="5">
        <f>TRUNC([1]단가대비표!O1885,0)</f>
        <v>38000</v>
      </c>
      <c r="H3204" s="5">
        <f>TRUNC(F3204*G3204,0)</f>
        <v>1900000</v>
      </c>
      <c r="I3204" s="5">
        <v>0</v>
      </c>
      <c r="J3204" s="5">
        <f>TRUNC(F3204*I3204,0)</f>
        <v>0</v>
      </c>
      <c r="K3204" s="5">
        <v>0</v>
      </c>
      <c r="L3204" s="5">
        <f>TRUNC(F3204*K3204,0)</f>
        <v>0</v>
      </c>
      <c r="M3204" s="5">
        <f t="shared" si="306"/>
        <v>38000</v>
      </c>
      <c r="N3204" s="5">
        <f t="shared" si="306"/>
        <v>1900000</v>
      </c>
      <c r="O3204" s="8" t="s">
        <v>20</v>
      </c>
      <c r="T3204">
        <v>0</v>
      </c>
      <c r="AC3204">
        <v>1</v>
      </c>
    </row>
    <row r="3205" spans="1:29" ht="30" customHeight="1" x14ac:dyDescent="0.3">
      <c r="A3205" s="8" t="s">
        <v>2667</v>
      </c>
      <c r="B3205" s="8" t="s">
        <v>2673</v>
      </c>
      <c r="C3205" s="8" t="s">
        <v>1902</v>
      </c>
      <c r="D3205" s="8" t="s">
        <v>2674</v>
      </c>
      <c r="E3205" s="8" t="s">
        <v>19</v>
      </c>
      <c r="F3205" s="9">
        <v>1</v>
      </c>
      <c r="G3205" s="5">
        <f>TRUNC([1]단가대비표!O1886,0)</f>
        <v>290000</v>
      </c>
      <c r="H3205" s="5">
        <f>TRUNC(F3205*G3205,0)</f>
        <v>290000</v>
      </c>
      <c r="I3205" s="5">
        <v>0</v>
      </c>
      <c r="J3205" s="5">
        <f>TRUNC(F3205*I3205,0)</f>
        <v>0</v>
      </c>
      <c r="K3205" s="5">
        <v>0</v>
      </c>
      <c r="L3205" s="5">
        <f>TRUNC(F3205*K3205,0)</f>
        <v>0</v>
      </c>
      <c r="M3205" s="5">
        <f t="shared" si="306"/>
        <v>290000</v>
      </c>
      <c r="N3205" s="5">
        <f t="shared" si="306"/>
        <v>290000</v>
      </c>
      <c r="O3205" s="8" t="s">
        <v>20</v>
      </c>
      <c r="T3205">
        <v>0</v>
      </c>
      <c r="AC3205">
        <v>1</v>
      </c>
    </row>
    <row r="3206" spans="1:29" ht="30" customHeight="1" x14ac:dyDescent="0.3">
      <c r="A3206" s="8" t="s">
        <v>2667</v>
      </c>
      <c r="B3206" s="8" t="s">
        <v>2675</v>
      </c>
      <c r="C3206" s="8" t="s">
        <v>2676</v>
      </c>
      <c r="D3206" s="8" t="s">
        <v>20</v>
      </c>
      <c r="E3206" s="8" t="s">
        <v>168</v>
      </c>
      <c r="F3206" s="9">
        <v>3</v>
      </c>
      <c r="G3206" s="5">
        <f>TRUNC([1]단가대비표!O1887,0)</f>
        <v>46000</v>
      </c>
      <c r="H3206" s="5">
        <f>TRUNC(F3206*G3206,0)</f>
        <v>138000</v>
      </c>
      <c r="I3206" s="5">
        <v>0</v>
      </c>
      <c r="J3206" s="5">
        <f>TRUNC(F3206*I3206,0)</f>
        <v>0</v>
      </c>
      <c r="K3206" s="5">
        <v>0</v>
      </c>
      <c r="L3206" s="5">
        <f>TRUNC(F3206*K3206,0)</f>
        <v>0</v>
      </c>
      <c r="M3206" s="5">
        <f t="shared" si="306"/>
        <v>46000</v>
      </c>
      <c r="N3206" s="5">
        <f t="shared" si="306"/>
        <v>138000</v>
      </c>
      <c r="O3206" s="8" t="s">
        <v>20</v>
      </c>
      <c r="T3206">
        <v>0</v>
      </c>
      <c r="AC3206">
        <v>1</v>
      </c>
    </row>
    <row r="3207" spans="1:29" ht="30" customHeight="1" x14ac:dyDescent="0.3">
      <c r="A3207" s="8" t="s">
        <v>2667</v>
      </c>
      <c r="B3207" s="8" t="s">
        <v>2677</v>
      </c>
      <c r="C3207" s="8" t="s">
        <v>2467</v>
      </c>
      <c r="D3207" s="8" t="s">
        <v>2468</v>
      </c>
      <c r="E3207" s="8" t="s">
        <v>161</v>
      </c>
      <c r="F3207" s="9">
        <v>1</v>
      </c>
      <c r="G3207" s="5">
        <f>TRUNC([1]단가대비표!O1888,0)</f>
        <v>66787</v>
      </c>
      <c r="H3207" s="5">
        <f>TRUNC(F3207*G3207,0)</f>
        <v>66787</v>
      </c>
      <c r="I3207" s="5">
        <v>0</v>
      </c>
      <c r="J3207" s="5">
        <f>TRUNC(F3207*I3207,0)</f>
        <v>0</v>
      </c>
      <c r="K3207" s="5">
        <v>0</v>
      </c>
      <c r="L3207" s="5">
        <f>TRUNC(F3207*K3207,0)</f>
        <v>0</v>
      </c>
      <c r="M3207" s="5">
        <f t="shared" si="306"/>
        <v>66787</v>
      </c>
      <c r="N3207" s="5">
        <f t="shared" si="306"/>
        <v>66787</v>
      </c>
      <c r="O3207" s="8" t="s">
        <v>20</v>
      </c>
      <c r="T3207">
        <v>0</v>
      </c>
      <c r="AC3207">
        <v>1</v>
      </c>
    </row>
    <row r="3208" spans="1:29" ht="30" customHeight="1" x14ac:dyDescent="0.3">
      <c r="A3208" s="5"/>
      <c r="B3208" s="5"/>
      <c r="C3208" s="5"/>
      <c r="D3208" s="5"/>
      <c r="E3208" s="5"/>
      <c r="F3208" s="9"/>
      <c r="G3208" s="5"/>
      <c r="H3208" s="5"/>
      <c r="I3208" s="5"/>
      <c r="J3208" s="5"/>
      <c r="K3208" s="5"/>
      <c r="L3208" s="5"/>
      <c r="M3208" s="5"/>
      <c r="N3208" s="5"/>
      <c r="O3208" s="5"/>
    </row>
    <row r="3209" spans="1:29" ht="30" customHeight="1" x14ac:dyDescent="0.3">
      <c r="A3209" s="5"/>
      <c r="B3209" s="5"/>
      <c r="C3209" s="5"/>
      <c r="D3209" s="5"/>
      <c r="E3209" s="5"/>
      <c r="F3209" s="9"/>
      <c r="G3209" s="5"/>
      <c r="H3209" s="5"/>
      <c r="I3209" s="5"/>
      <c r="J3209" s="5"/>
      <c r="K3209" s="5"/>
      <c r="L3209" s="5"/>
      <c r="M3209" s="5"/>
      <c r="N3209" s="5"/>
      <c r="O3209" s="5"/>
    </row>
    <row r="3210" spans="1:29" ht="30" customHeight="1" x14ac:dyDescent="0.3">
      <c r="A3210" s="5"/>
      <c r="B3210" s="5"/>
      <c r="C3210" s="5"/>
      <c r="D3210" s="5"/>
      <c r="E3210" s="5"/>
      <c r="F3210" s="9"/>
      <c r="G3210" s="5"/>
      <c r="H3210" s="5"/>
      <c r="I3210" s="5"/>
      <c r="J3210" s="5"/>
      <c r="K3210" s="5"/>
      <c r="L3210" s="5"/>
      <c r="M3210" s="5"/>
      <c r="N3210" s="5"/>
      <c r="O3210" s="5"/>
    </row>
    <row r="3211" spans="1:29" ht="30" customHeight="1" x14ac:dyDescent="0.3">
      <c r="A3211" s="5"/>
      <c r="B3211" s="5"/>
      <c r="C3211" s="5"/>
      <c r="D3211" s="5"/>
      <c r="E3211" s="5"/>
      <c r="F3211" s="9"/>
      <c r="G3211" s="5"/>
      <c r="H3211" s="5"/>
      <c r="I3211" s="5"/>
      <c r="J3211" s="5"/>
      <c r="K3211" s="5"/>
      <c r="L3211" s="5"/>
      <c r="M3211" s="5"/>
      <c r="N3211" s="5"/>
      <c r="O3211" s="5"/>
    </row>
    <row r="3212" spans="1:29" ht="30" customHeight="1" x14ac:dyDescent="0.3">
      <c r="A3212" s="5"/>
      <c r="B3212" s="5"/>
      <c r="C3212" s="5"/>
      <c r="D3212" s="5"/>
      <c r="E3212" s="5"/>
      <c r="F3212" s="9"/>
      <c r="G3212" s="5"/>
      <c r="H3212" s="5"/>
      <c r="I3212" s="5"/>
      <c r="J3212" s="5"/>
      <c r="K3212" s="5"/>
      <c r="L3212" s="5"/>
      <c r="M3212" s="5"/>
      <c r="N3212" s="5"/>
      <c r="O3212" s="5"/>
    </row>
    <row r="3213" spans="1:29" ht="30" customHeight="1" x14ac:dyDescent="0.3">
      <c r="A3213" s="5"/>
      <c r="B3213" s="5"/>
      <c r="C3213" s="5"/>
      <c r="D3213" s="5"/>
      <c r="E3213" s="5"/>
      <c r="F3213" s="9"/>
      <c r="G3213" s="5"/>
      <c r="H3213" s="5"/>
      <c r="I3213" s="5"/>
      <c r="J3213" s="5"/>
      <c r="K3213" s="5"/>
      <c r="L3213" s="5"/>
      <c r="M3213" s="5"/>
      <c r="N3213" s="5"/>
      <c r="O3213" s="5"/>
    </row>
    <row r="3214" spans="1:29" ht="30" customHeight="1" x14ac:dyDescent="0.3">
      <c r="A3214" s="5"/>
      <c r="B3214" s="5"/>
      <c r="C3214" s="5"/>
      <c r="D3214" s="5"/>
      <c r="E3214" s="5"/>
      <c r="F3214" s="9"/>
      <c r="G3214" s="5"/>
      <c r="H3214" s="5"/>
      <c r="I3214" s="5"/>
      <c r="J3214" s="5"/>
      <c r="K3214" s="5"/>
      <c r="L3214" s="5"/>
      <c r="M3214" s="5"/>
      <c r="N3214" s="5"/>
      <c r="O3214" s="5"/>
    </row>
    <row r="3215" spans="1:29" ht="30" customHeight="1" x14ac:dyDescent="0.3">
      <c r="A3215" s="5"/>
      <c r="B3215" s="5"/>
      <c r="C3215" s="5"/>
      <c r="D3215" s="5"/>
      <c r="E3215" s="5"/>
      <c r="F3215" s="9"/>
      <c r="G3215" s="5"/>
      <c r="H3215" s="5"/>
      <c r="I3215" s="5"/>
      <c r="J3215" s="5"/>
      <c r="K3215" s="5"/>
      <c r="L3215" s="5"/>
      <c r="M3215" s="5"/>
      <c r="N3215" s="5"/>
      <c r="O3215" s="5"/>
    </row>
    <row r="3216" spans="1:29" ht="30" customHeight="1" x14ac:dyDescent="0.3">
      <c r="A3216" s="5"/>
      <c r="B3216" s="5"/>
      <c r="C3216" s="5"/>
      <c r="D3216" s="5"/>
      <c r="E3216" s="5"/>
      <c r="F3216" s="9"/>
      <c r="G3216" s="5"/>
      <c r="H3216" s="5"/>
      <c r="I3216" s="5"/>
      <c r="J3216" s="5"/>
      <c r="K3216" s="5"/>
      <c r="L3216" s="5"/>
      <c r="M3216" s="5"/>
      <c r="N3216" s="5"/>
      <c r="O3216" s="5"/>
    </row>
    <row r="3217" spans="1:29" ht="30" customHeight="1" x14ac:dyDescent="0.3">
      <c r="A3217" s="5"/>
      <c r="B3217" s="5"/>
      <c r="C3217" s="5"/>
      <c r="D3217" s="5"/>
      <c r="E3217" s="5"/>
      <c r="F3217" s="9"/>
      <c r="G3217" s="5"/>
      <c r="H3217" s="5"/>
      <c r="I3217" s="5"/>
      <c r="J3217" s="5"/>
      <c r="K3217" s="5"/>
      <c r="L3217" s="5"/>
      <c r="M3217" s="5"/>
      <c r="N3217" s="5"/>
      <c r="O3217" s="5"/>
    </row>
    <row r="3218" spans="1:29" ht="30" customHeight="1" x14ac:dyDescent="0.3">
      <c r="A3218" s="5"/>
      <c r="B3218" s="5"/>
      <c r="C3218" s="5"/>
      <c r="D3218" s="5"/>
      <c r="E3218" s="5"/>
      <c r="F3218" s="9"/>
      <c r="G3218" s="5"/>
      <c r="H3218" s="5"/>
      <c r="I3218" s="5"/>
      <c r="J3218" s="5"/>
      <c r="K3218" s="5"/>
      <c r="L3218" s="5"/>
      <c r="M3218" s="5"/>
      <c r="N3218" s="5"/>
      <c r="O3218" s="5"/>
    </row>
    <row r="3219" spans="1:29" ht="30" customHeight="1" x14ac:dyDescent="0.3">
      <c r="A3219" s="5"/>
      <c r="B3219" s="5"/>
      <c r="C3219" s="5"/>
      <c r="D3219" s="5"/>
      <c r="E3219" s="5"/>
      <c r="F3219" s="9"/>
      <c r="G3219" s="5"/>
      <c r="H3219" s="5"/>
      <c r="I3219" s="5"/>
      <c r="J3219" s="5"/>
      <c r="K3219" s="5"/>
      <c r="L3219" s="5"/>
      <c r="M3219" s="5"/>
      <c r="N3219" s="5"/>
      <c r="O3219" s="5"/>
    </row>
    <row r="3220" spans="1:29" ht="30" customHeight="1" x14ac:dyDescent="0.3">
      <c r="A3220" s="5"/>
      <c r="B3220" s="5"/>
      <c r="C3220" s="5"/>
      <c r="D3220" s="5"/>
      <c r="E3220" s="5"/>
      <c r="F3220" s="9"/>
      <c r="G3220" s="5"/>
      <c r="H3220" s="5"/>
      <c r="I3220" s="5"/>
      <c r="J3220" s="5"/>
      <c r="K3220" s="5"/>
      <c r="L3220" s="5"/>
      <c r="M3220" s="5"/>
      <c r="N3220" s="5"/>
      <c r="O3220" s="5"/>
    </row>
    <row r="3221" spans="1:29" ht="30" customHeight="1" x14ac:dyDescent="0.3">
      <c r="A3221" s="5"/>
      <c r="B3221" s="5"/>
      <c r="C3221" s="5"/>
      <c r="D3221" s="5"/>
      <c r="E3221" s="5"/>
      <c r="F3221" s="9"/>
      <c r="G3221" s="5"/>
      <c r="H3221" s="5"/>
      <c r="I3221" s="5"/>
      <c r="J3221" s="5"/>
      <c r="K3221" s="5"/>
      <c r="L3221" s="5"/>
      <c r="M3221" s="5"/>
      <c r="N3221" s="5"/>
      <c r="O3221" s="5"/>
    </row>
    <row r="3222" spans="1:29" ht="30" customHeight="1" x14ac:dyDescent="0.3">
      <c r="A3222" s="5"/>
      <c r="B3222" s="5"/>
      <c r="C3222" s="5"/>
      <c r="D3222" s="5"/>
      <c r="E3222" s="5"/>
      <c r="F3222" s="9"/>
      <c r="G3222" s="5"/>
      <c r="H3222" s="5"/>
      <c r="I3222" s="5"/>
      <c r="J3222" s="5"/>
      <c r="K3222" s="5"/>
      <c r="L3222" s="5"/>
      <c r="M3222" s="5"/>
      <c r="N3222" s="5"/>
      <c r="O3222" s="5"/>
    </row>
    <row r="3223" spans="1:29" ht="30" customHeight="1" x14ac:dyDescent="0.3">
      <c r="A3223" s="5"/>
      <c r="B3223" s="5"/>
      <c r="C3223" s="5"/>
      <c r="D3223" s="5"/>
      <c r="E3223" s="5"/>
      <c r="F3223" s="9"/>
      <c r="G3223" s="5"/>
      <c r="H3223" s="5"/>
      <c r="I3223" s="5"/>
      <c r="J3223" s="5"/>
      <c r="K3223" s="5"/>
      <c r="L3223" s="5"/>
      <c r="M3223" s="5"/>
      <c r="N3223" s="5"/>
      <c r="O3223" s="5"/>
    </row>
    <row r="3224" spans="1:29" ht="30" customHeight="1" x14ac:dyDescent="0.3">
      <c r="A3224" s="5"/>
      <c r="B3224" s="5"/>
      <c r="C3224" s="5"/>
      <c r="D3224" s="5"/>
      <c r="E3224" s="5"/>
      <c r="F3224" s="9"/>
      <c r="G3224" s="5"/>
      <c r="H3224" s="5"/>
      <c r="I3224" s="5"/>
      <c r="J3224" s="5"/>
      <c r="K3224" s="5"/>
      <c r="L3224" s="5"/>
      <c r="M3224" s="5"/>
      <c r="N3224" s="5"/>
      <c r="O3224" s="5"/>
    </row>
    <row r="3225" spans="1:29" ht="30" customHeight="1" x14ac:dyDescent="0.3">
      <c r="A3225" s="5"/>
      <c r="B3225" s="5"/>
      <c r="C3225" s="5"/>
      <c r="D3225" s="5"/>
      <c r="E3225" s="5"/>
      <c r="F3225" s="9"/>
      <c r="G3225" s="5"/>
      <c r="H3225" s="5"/>
      <c r="I3225" s="5"/>
      <c r="J3225" s="5"/>
      <c r="K3225" s="5"/>
      <c r="L3225" s="5"/>
      <c r="M3225" s="5"/>
      <c r="N3225" s="5"/>
      <c r="O3225" s="5"/>
    </row>
    <row r="3226" spans="1:29" ht="30" customHeight="1" x14ac:dyDescent="0.3">
      <c r="A3226" s="5"/>
      <c r="B3226" s="5"/>
      <c r="C3226" s="5"/>
      <c r="D3226" s="5"/>
      <c r="E3226" s="5"/>
      <c r="F3226" s="9"/>
      <c r="G3226" s="5"/>
      <c r="H3226" s="5"/>
      <c r="I3226" s="5"/>
      <c r="J3226" s="5"/>
      <c r="K3226" s="5"/>
      <c r="L3226" s="5"/>
      <c r="M3226" s="5"/>
      <c r="N3226" s="5"/>
      <c r="O3226" s="5"/>
    </row>
    <row r="3227" spans="1:29" ht="30" customHeight="1" x14ac:dyDescent="0.3">
      <c r="A3227" s="5"/>
      <c r="B3227" s="5"/>
      <c r="C3227" s="5" t="s">
        <v>162</v>
      </c>
      <c r="D3227" s="5"/>
      <c r="E3227" s="5"/>
      <c r="F3227" s="9"/>
      <c r="G3227" s="5"/>
      <c r="H3227" s="5">
        <f>SUMIF(AC3203:AC3226, 1, H3203:H3226)</f>
        <v>12434787</v>
      </c>
      <c r="I3227" s="5"/>
      <c r="J3227" s="5">
        <f>SUMIF(AC3203:AC3226, 1, J3203:J3226)</f>
        <v>0</v>
      </c>
      <c r="K3227" s="5"/>
      <c r="L3227" s="5">
        <f>SUMIF(AC3203:AC3226, 1, L3203:L3226)</f>
        <v>0</v>
      </c>
      <c r="M3227" s="5"/>
      <c r="N3227" s="5">
        <f>H3227+J3227+L3227</f>
        <v>12434787</v>
      </c>
      <c r="O3227" s="5"/>
    </row>
    <row r="3228" spans="1:29" ht="30" customHeight="1" x14ac:dyDescent="0.3">
      <c r="A3228" s="5"/>
      <c r="B3228" s="5"/>
      <c r="C3228" s="6" t="s">
        <v>2678</v>
      </c>
      <c r="D3228" s="6"/>
      <c r="E3228" s="6"/>
      <c r="F3228" s="7"/>
      <c r="G3228" s="6"/>
      <c r="H3228" s="6"/>
      <c r="I3228" s="6"/>
      <c r="J3228" s="6"/>
      <c r="K3228" s="6"/>
      <c r="L3228" s="6"/>
      <c r="M3228" s="6"/>
      <c r="N3228" s="6"/>
      <c r="O3228" s="6"/>
    </row>
    <row r="3229" spans="1:29" ht="30" customHeight="1" x14ac:dyDescent="0.3">
      <c r="A3229" s="8" t="s">
        <v>2679</v>
      </c>
      <c r="B3229" s="8" t="s">
        <v>2680</v>
      </c>
      <c r="C3229" s="8" t="s">
        <v>2681</v>
      </c>
      <c r="D3229" s="8" t="s">
        <v>20</v>
      </c>
      <c r="E3229" s="8" t="s">
        <v>20</v>
      </c>
      <c r="F3229" s="9"/>
      <c r="G3229" s="5">
        <f>TRUNC([1]단가대비표!O1932,0)</f>
        <v>0</v>
      </c>
      <c r="H3229" s="5">
        <f t="shared" ref="H3229:H3292" si="307">TRUNC(F3229*G3229,0)</f>
        <v>0</v>
      </c>
      <c r="I3229" s="5">
        <v>0</v>
      </c>
      <c r="J3229" s="5">
        <f t="shared" ref="J3229:J3292" si="308">TRUNC(F3229*I3229,0)</f>
        <v>0</v>
      </c>
      <c r="K3229" s="5">
        <v>0</v>
      </c>
      <c r="L3229" s="5">
        <f t="shared" ref="L3229:L3292" si="309">TRUNC(F3229*K3229,0)</f>
        <v>0</v>
      </c>
      <c r="M3229" s="5">
        <f t="shared" ref="M3229:N3260" si="310">G3229+I3229+K3229</f>
        <v>0</v>
      </c>
      <c r="N3229" s="5">
        <f t="shared" si="310"/>
        <v>0</v>
      </c>
      <c r="O3229" s="8" t="s">
        <v>20</v>
      </c>
      <c r="T3229">
        <v>0</v>
      </c>
      <c r="AC3229">
        <v>1</v>
      </c>
    </row>
    <row r="3230" spans="1:29" ht="30" customHeight="1" x14ac:dyDescent="0.3">
      <c r="A3230" s="8" t="s">
        <v>2679</v>
      </c>
      <c r="B3230" s="8" t="s">
        <v>2682</v>
      </c>
      <c r="C3230" s="8" t="s">
        <v>2683</v>
      </c>
      <c r="D3230" s="8" t="s">
        <v>2684</v>
      </c>
      <c r="E3230" s="8" t="s">
        <v>20</v>
      </c>
      <c r="F3230" s="9">
        <v>0</v>
      </c>
      <c r="G3230" s="5">
        <f>TRUNC([1]단가대비표!O1503,0)</f>
        <v>0</v>
      </c>
      <c r="H3230" s="5">
        <f t="shared" si="307"/>
        <v>0</v>
      </c>
      <c r="I3230" s="5">
        <v>0</v>
      </c>
      <c r="J3230" s="5">
        <f t="shared" si="308"/>
        <v>0</v>
      </c>
      <c r="K3230" s="5">
        <v>0</v>
      </c>
      <c r="L3230" s="5">
        <f t="shared" si="309"/>
        <v>0</v>
      </c>
      <c r="M3230" s="5">
        <f t="shared" si="310"/>
        <v>0</v>
      </c>
      <c r="N3230" s="5">
        <f t="shared" si="310"/>
        <v>0</v>
      </c>
      <c r="O3230" s="8" t="s">
        <v>20</v>
      </c>
      <c r="T3230">
        <v>0</v>
      </c>
      <c r="AC3230">
        <v>1</v>
      </c>
    </row>
    <row r="3231" spans="1:29" ht="30" customHeight="1" x14ac:dyDescent="0.3">
      <c r="A3231" s="8" t="s">
        <v>2679</v>
      </c>
      <c r="B3231" s="8" t="s">
        <v>2685</v>
      </c>
      <c r="C3231" s="8" t="s">
        <v>2686</v>
      </c>
      <c r="D3231" s="8" t="s">
        <v>2687</v>
      </c>
      <c r="E3231" s="8" t="s">
        <v>179</v>
      </c>
      <c r="F3231" s="9">
        <v>1</v>
      </c>
      <c r="G3231" s="5">
        <f>TRUNC([1]단가대비표!O1504,0)</f>
        <v>2030000</v>
      </c>
      <c r="H3231" s="5">
        <f t="shared" si="307"/>
        <v>2030000</v>
      </c>
      <c r="I3231" s="5">
        <v>0</v>
      </c>
      <c r="J3231" s="5">
        <f t="shared" si="308"/>
        <v>0</v>
      </c>
      <c r="K3231" s="5">
        <v>0</v>
      </c>
      <c r="L3231" s="5">
        <f t="shared" si="309"/>
        <v>0</v>
      </c>
      <c r="M3231" s="5">
        <f t="shared" si="310"/>
        <v>2030000</v>
      </c>
      <c r="N3231" s="5">
        <f t="shared" si="310"/>
        <v>2030000</v>
      </c>
      <c r="O3231" s="8" t="s">
        <v>20</v>
      </c>
      <c r="T3231">
        <v>0</v>
      </c>
      <c r="AC3231">
        <v>1</v>
      </c>
    </row>
    <row r="3232" spans="1:29" ht="30" customHeight="1" x14ac:dyDescent="0.3">
      <c r="A3232" s="8" t="s">
        <v>2679</v>
      </c>
      <c r="B3232" s="8" t="s">
        <v>2688</v>
      </c>
      <c r="C3232" s="8" t="s">
        <v>2689</v>
      </c>
      <c r="D3232" s="8" t="s">
        <v>2687</v>
      </c>
      <c r="E3232" s="8" t="s">
        <v>179</v>
      </c>
      <c r="F3232" s="9">
        <v>1</v>
      </c>
      <c r="G3232" s="5">
        <f>TRUNC([1]단가대비표!O1505,0)</f>
        <v>2030000</v>
      </c>
      <c r="H3232" s="5">
        <f t="shared" si="307"/>
        <v>2030000</v>
      </c>
      <c r="I3232" s="5">
        <v>0</v>
      </c>
      <c r="J3232" s="5">
        <f t="shared" si="308"/>
        <v>0</v>
      </c>
      <c r="K3232" s="5">
        <v>0</v>
      </c>
      <c r="L3232" s="5">
        <f t="shared" si="309"/>
        <v>0</v>
      </c>
      <c r="M3232" s="5">
        <f t="shared" si="310"/>
        <v>2030000</v>
      </c>
      <c r="N3232" s="5">
        <f t="shared" si="310"/>
        <v>2030000</v>
      </c>
      <c r="O3232" s="8" t="s">
        <v>20</v>
      </c>
      <c r="T3232">
        <v>0</v>
      </c>
      <c r="AC3232">
        <v>1</v>
      </c>
    </row>
    <row r="3233" spans="1:29" ht="30" customHeight="1" x14ac:dyDescent="0.3">
      <c r="A3233" s="8" t="s">
        <v>2679</v>
      </c>
      <c r="B3233" s="8" t="s">
        <v>2690</v>
      </c>
      <c r="C3233" s="8" t="s">
        <v>2691</v>
      </c>
      <c r="D3233" s="8" t="s">
        <v>2692</v>
      </c>
      <c r="E3233" s="8" t="s">
        <v>179</v>
      </c>
      <c r="F3233" s="9">
        <v>1</v>
      </c>
      <c r="G3233" s="5">
        <f>TRUNC([1]단가대비표!O1506,0)</f>
        <v>2900000</v>
      </c>
      <c r="H3233" s="5">
        <f t="shared" si="307"/>
        <v>2900000</v>
      </c>
      <c r="I3233" s="5">
        <v>0</v>
      </c>
      <c r="J3233" s="5">
        <f t="shared" si="308"/>
        <v>0</v>
      </c>
      <c r="K3233" s="5">
        <v>0</v>
      </c>
      <c r="L3233" s="5">
        <f t="shared" si="309"/>
        <v>0</v>
      </c>
      <c r="M3233" s="5">
        <f t="shared" si="310"/>
        <v>2900000</v>
      </c>
      <c r="N3233" s="5">
        <f t="shared" si="310"/>
        <v>2900000</v>
      </c>
      <c r="O3233" s="8" t="s">
        <v>20</v>
      </c>
      <c r="T3233">
        <v>0</v>
      </c>
      <c r="AC3233">
        <v>1</v>
      </c>
    </row>
    <row r="3234" spans="1:29" ht="30" customHeight="1" x14ac:dyDescent="0.3">
      <c r="A3234" s="8" t="s">
        <v>2679</v>
      </c>
      <c r="B3234" s="8" t="s">
        <v>2693</v>
      </c>
      <c r="C3234" s="8" t="s">
        <v>2694</v>
      </c>
      <c r="D3234" s="8" t="s">
        <v>2695</v>
      </c>
      <c r="E3234" s="8" t="s">
        <v>179</v>
      </c>
      <c r="F3234" s="9">
        <v>1</v>
      </c>
      <c r="G3234" s="5">
        <f>TRUNC([1]단가대비표!O1507,0)</f>
        <v>45000</v>
      </c>
      <c r="H3234" s="5">
        <f t="shared" si="307"/>
        <v>45000</v>
      </c>
      <c r="I3234" s="5">
        <v>0</v>
      </c>
      <c r="J3234" s="5">
        <f t="shared" si="308"/>
        <v>0</v>
      </c>
      <c r="K3234" s="5">
        <v>0</v>
      </c>
      <c r="L3234" s="5">
        <f t="shared" si="309"/>
        <v>0</v>
      </c>
      <c r="M3234" s="5">
        <f t="shared" si="310"/>
        <v>45000</v>
      </c>
      <c r="N3234" s="5">
        <f t="shared" si="310"/>
        <v>45000</v>
      </c>
      <c r="O3234" s="8" t="s">
        <v>20</v>
      </c>
      <c r="T3234">
        <v>0</v>
      </c>
      <c r="AC3234">
        <v>1</v>
      </c>
    </row>
    <row r="3235" spans="1:29" ht="30" customHeight="1" x14ac:dyDescent="0.3">
      <c r="A3235" s="8" t="s">
        <v>2679</v>
      </c>
      <c r="B3235" s="8" t="s">
        <v>2696</v>
      </c>
      <c r="C3235" s="8" t="s">
        <v>2697</v>
      </c>
      <c r="D3235" s="8" t="s">
        <v>2698</v>
      </c>
      <c r="E3235" s="8" t="s">
        <v>179</v>
      </c>
      <c r="F3235" s="9">
        <v>1</v>
      </c>
      <c r="G3235" s="5">
        <f>TRUNC([1]단가대비표!O1508,0)</f>
        <v>350000</v>
      </c>
      <c r="H3235" s="5">
        <f t="shared" si="307"/>
        <v>350000</v>
      </c>
      <c r="I3235" s="5">
        <v>0</v>
      </c>
      <c r="J3235" s="5">
        <f t="shared" si="308"/>
        <v>0</v>
      </c>
      <c r="K3235" s="5">
        <v>0</v>
      </c>
      <c r="L3235" s="5">
        <f t="shared" si="309"/>
        <v>0</v>
      </c>
      <c r="M3235" s="5">
        <f t="shared" si="310"/>
        <v>350000</v>
      </c>
      <c r="N3235" s="5">
        <f t="shared" si="310"/>
        <v>350000</v>
      </c>
      <c r="O3235" s="8" t="s">
        <v>20</v>
      </c>
      <c r="T3235">
        <v>0</v>
      </c>
      <c r="AC3235">
        <v>1</v>
      </c>
    </row>
    <row r="3236" spans="1:29" ht="30" customHeight="1" x14ac:dyDescent="0.3">
      <c r="A3236" s="8" t="s">
        <v>2679</v>
      </c>
      <c r="B3236" s="8" t="s">
        <v>2699</v>
      </c>
      <c r="C3236" s="8" t="s">
        <v>2700</v>
      </c>
      <c r="D3236" s="8" t="s">
        <v>2701</v>
      </c>
      <c r="E3236" s="8" t="s">
        <v>179</v>
      </c>
      <c r="F3236" s="9">
        <v>1</v>
      </c>
      <c r="G3236" s="5">
        <f>TRUNC([1]단가대비표!O1509,0)</f>
        <v>210000</v>
      </c>
      <c r="H3236" s="5">
        <f t="shared" si="307"/>
        <v>210000</v>
      </c>
      <c r="I3236" s="5">
        <v>0</v>
      </c>
      <c r="J3236" s="5">
        <f t="shared" si="308"/>
        <v>0</v>
      </c>
      <c r="K3236" s="5">
        <v>0</v>
      </c>
      <c r="L3236" s="5">
        <f t="shared" si="309"/>
        <v>0</v>
      </c>
      <c r="M3236" s="5">
        <f t="shared" si="310"/>
        <v>210000</v>
      </c>
      <c r="N3236" s="5">
        <f t="shared" si="310"/>
        <v>210000</v>
      </c>
      <c r="O3236" s="8" t="s">
        <v>20</v>
      </c>
      <c r="T3236">
        <v>0</v>
      </c>
      <c r="AC3236">
        <v>1</v>
      </c>
    </row>
    <row r="3237" spans="1:29" ht="30" customHeight="1" x14ac:dyDescent="0.3">
      <c r="A3237" s="8" t="s">
        <v>2679</v>
      </c>
      <c r="B3237" s="8" t="s">
        <v>2702</v>
      </c>
      <c r="C3237" s="8" t="s">
        <v>2703</v>
      </c>
      <c r="D3237" s="8" t="s">
        <v>20</v>
      </c>
      <c r="E3237" s="8" t="s">
        <v>721</v>
      </c>
      <c r="F3237" s="9">
        <v>1</v>
      </c>
      <c r="G3237" s="5">
        <f>TRUNC([1]단가대비표!O1510,0)</f>
        <v>550000</v>
      </c>
      <c r="H3237" s="5">
        <f t="shared" si="307"/>
        <v>550000</v>
      </c>
      <c r="I3237" s="5">
        <v>0</v>
      </c>
      <c r="J3237" s="5">
        <f t="shared" si="308"/>
        <v>0</v>
      </c>
      <c r="K3237" s="5">
        <v>0</v>
      </c>
      <c r="L3237" s="5">
        <f t="shared" si="309"/>
        <v>0</v>
      </c>
      <c r="M3237" s="5">
        <f t="shared" si="310"/>
        <v>550000</v>
      </c>
      <c r="N3237" s="5">
        <f t="shared" si="310"/>
        <v>550000</v>
      </c>
      <c r="O3237" s="8" t="s">
        <v>20</v>
      </c>
      <c r="T3237">
        <v>0</v>
      </c>
      <c r="AC3237">
        <v>1</v>
      </c>
    </row>
    <row r="3238" spans="1:29" ht="30" customHeight="1" x14ac:dyDescent="0.3">
      <c r="A3238" s="8" t="s">
        <v>2679</v>
      </c>
      <c r="B3238" s="8" t="s">
        <v>2704</v>
      </c>
      <c r="C3238" s="8" t="s">
        <v>2705</v>
      </c>
      <c r="D3238" s="8" t="s">
        <v>2706</v>
      </c>
      <c r="E3238" s="8" t="s">
        <v>179</v>
      </c>
      <c r="F3238" s="9">
        <v>1</v>
      </c>
      <c r="G3238" s="5">
        <f>TRUNC([1]단가대비표!O1511,0)</f>
        <v>5500000</v>
      </c>
      <c r="H3238" s="5">
        <f t="shared" si="307"/>
        <v>5500000</v>
      </c>
      <c r="I3238" s="5">
        <v>0</v>
      </c>
      <c r="J3238" s="5">
        <f t="shared" si="308"/>
        <v>0</v>
      </c>
      <c r="K3238" s="5">
        <v>0</v>
      </c>
      <c r="L3238" s="5">
        <f t="shared" si="309"/>
        <v>0</v>
      </c>
      <c r="M3238" s="5">
        <f t="shared" si="310"/>
        <v>5500000</v>
      </c>
      <c r="N3238" s="5">
        <f t="shared" si="310"/>
        <v>5500000</v>
      </c>
      <c r="O3238" s="8" t="s">
        <v>20</v>
      </c>
      <c r="T3238">
        <v>0</v>
      </c>
      <c r="AC3238">
        <v>1</v>
      </c>
    </row>
    <row r="3239" spans="1:29" ht="30" customHeight="1" x14ac:dyDescent="0.3">
      <c r="A3239" s="8" t="s">
        <v>2679</v>
      </c>
      <c r="B3239" s="8" t="s">
        <v>2707</v>
      </c>
      <c r="C3239" s="8" t="s">
        <v>2708</v>
      </c>
      <c r="D3239" s="8" t="s">
        <v>2709</v>
      </c>
      <c r="E3239" s="8" t="s">
        <v>2710</v>
      </c>
      <c r="F3239" s="9">
        <v>1</v>
      </c>
      <c r="G3239" s="5">
        <f>TRUNC([1]단가대비표!O1512,0)</f>
        <v>30000000</v>
      </c>
      <c r="H3239" s="5">
        <f t="shared" si="307"/>
        <v>30000000</v>
      </c>
      <c r="I3239" s="5">
        <v>0</v>
      </c>
      <c r="J3239" s="5">
        <f t="shared" si="308"/>
        <v>0</v>
      </c>
      <c r="K3239" s="5">
        <v>0</v>
      </c>
      <c r="L3239" s="5">
        <f t="shared" si="309"/>
        <v>0</v>
      </c>
      <c r="M3239" s="5">
        <f t="shared" si="310"/>
        <v>30000000</v>
      </c>
      <c r="N3239" s="5">
        <f t="shared" si="310"/>
        <v>30000000</v>
      </c>
      <c r="O3239" s="8" t="s">
        <v>20</v>
      </c>
      <c r="T3239">
        <v>0</v>
      </c>
      <c r="AC3239">
        <v>1</v>
      </c>
    </row>
    <row r="3240" spans="1:29" ht="30" customHeight="1" x14ac:dyDescent="0.3">
      <c r="A3240" s="8" t="s">
        <v>2679</v>
      </c>
      <c r="B3240" s="8" t="s">
        <v>2711</v>
      </c>
      <c r="C3240" s="8" t="s">
        <v>2712</v>
      </c>
      <c r="D3240" s="8" t="s">
        <v>2713</v>
      </c>
      <c r="E3240" s="8" t="s">
        <v>2710</v>
      </c>
      <c r="F3240" s="9">
        <v>1</v>
      </c>
      <c r="G3240" s="5">
        <f>TRUNC([1]단가대비표!O1513,0)</f>
        <v>3000000</v>
      </c>
      <c r="H3240" s="5">
        <f t="shared" si="307"/>
        <v>3000000</v>
      </c>
      <c r="I3240" s="5">
        <v>0</v>
      </c>
      <c r="J3240" s="5">
        <f t="shared" si="308"/>
        <v>0</v>
      </c>
      <c r="K3240" s="5">
        <v>0</v>
      </c>
      <c r="L3240" s="5">
        <f t="shared" si="309"/>
        <v>0</v>
      </c>
      <c r="M3240" s="5">
        <f t="shared" si="310"/>
        <v>3000000</v>
      </c>
      <c r="N3240" s="5">
        <f t="shared" si="310"/>
        <v>3000000</v>
      </c>
      <c r="O3240" s="8" t="s">
        <v>20</v>
      </c>
      <c r="T3240">
        <v>0</v>
      </c>
      <c r="AC3240">
        <v>1</v>
      </c>
    </row>
    <row r="3241" spans="1:29" ht="30" customHeight="1" x14ac:dyDescent="0.3">
      <c r="A3241" s="8" t="s">
        <v>2679</v>
      </c>
      <c r="B3241" s="8" t="s">
        <v>2714</v>
      </c>
      <c r="C3241" s="8" t="s">
        <v>2712</v>
      </c>
      <c r="D3241" s="8" t="s">
        <v>2715</v>
      </c>
      <c r="E3241" s="8" t="s">
        <v>2710</v>
      </c>
      <c r="F3241" s="9">
        <v>1</v>
      </c>
      <c r="G3241" s="5">
        <f>TRUNC([1]단가대비표!O1514,0)</f>
        <v>3000000</v>
      </c>
      <c r="H3241" s="5">
        <f t="shared" si="307"/>
        <v>3000000</v>
      </c>
      <c r="I3241" s="5">
        <v>0</v>
      </c>
      <c r="J3241" s="5">
        <f t="shared" si="308"/>
        <v>0</v>
      </c>
      <c r="K3241" s="5">
        <v>0</v>
      </c>
      <c r="L3241" s="5">
        <f t="shared" si="309"/>
        <v>0</v>
      </c>
      <c r="M3241" s="5">
        <f t="shared" si="310"/>
        <v>3000000</v>
      </c>
      <c r="N3241" s="5">
        <f t="shared" si="310"/>
        <v>3000000</v>
      </c>
      <c r="O3241" s="8" t="s">
        <v>20</v>
      </c>
      <c r="T3241">
        <v>0</v>
      </c>
      <c r="AC3241">
        <v>1</v>
      </c>
    </row>
    <row r="3242" spans="1:29" ht="30" customHeight="1" x14ac:dyDescent="0.3">
      <c r="A3242" s="8" t="s">
        <v>2679</v>
      </c>
      <c r="B3242" s="8" t="s">
        <v>2716</v>
      </c>
      <c r="C3242" s="8" t="s">
        <v>2712</v>
      </c>
      <c r="D3242" s="8" t="s">
        <v>2717</v>
      </c>
      <c r="E3242" s="8" t="s">
        <v>2710</v>
      </c>
      <c r="F3242" s="9">
        <v>1</v>
      </c>
      <c r="G3242" s="5">
        <f>TRUNC([1]단가대비표!O1515,0)</f>
        <v>3000000</v>
      </c>
      <c r="H3242" s="5">
        <f t="shared" si="307"/>
        <v>3000000</v>
      </c>
      <c r="I3242" s="5">
        <v>0</v>
      </c>
      <c r="J3242" s="5">
        <f t="shared" si="308"/>
        <v>0</v>
      </c>
      <c r="K3242" s="5">
        <v>0</v>
      </c>
      <c r="L3242" s="5">
        <f t="shared" si="309"/>
        <v>0</v>
      </c>
      <c r="M3242" s="5">
        <f t="shared" si="310"/>
        <v>3000000</v>
      </c>
      <c r="N3242" s="5">
        <f t="shared" si="310"/>
        <v>3000000</v>
      </c>
      <c r="O3242" s="8" t="s">
        <v>20</v>
      </c>
      <c r="T3242">
        <v>0</v>
      </c>
      <c r="AC3242">
        <v>1</v>
      </c>
    </row>
    <row r="3243" spans="1:29" ht="30" customHeight="1" x14ac:dyDescent="0.3">
      <c r="A3243" s="8" t="s">
        <v>2679</v>
      </c>
      <c r="B3243" s="8" t="s">
        <v>2718</v>
      </c>
      <c r="C3243" s="8" t="s">
        <v>2719</v>
      </c>
      <c r="D3243" s="8" t="s">
        <v>2720</v>
      </c>
      <c r="E3243" s="8" t="s">
        <v>2710</v>
      </c>
      <c r="F3243" s="9">
        <v>1</v>
      </c>
      <c r="G3243" s="5">
        <f>TRUNC([1]단가대비표!O1516,0)</f>
        <v>30000000</v>
      </c>
      <c r="H3243" s="5">
        <f t="shared" si="307"/>
        <v>30000000</v>
      </c>
      <c r="I3243" s="5">
        <v>0</v>
      </c>
      <c r="J3243" s="5">
        <f t="shared" si="308"/>
        <v>0</v>
      </c>
      <c r="K3243" s="5">
        <v>0</v>
      </c>
      <c r="L3243" s="5">
        <f t="shared" si="309"/>
        <v>0</v>
      </c>
      <c r="M3243" s="5">
        <f t="shared" si="310"/>
        <v>30000000</v>
      </c>
      <c r="N3243" s="5">
        <f t="shared" si="310"/>
        <v>30000000</v>
      </c>
      <c r="O3243" s="8" t="s">
        <v>20</v>
      </c>
      <c r="T3243">
        <v>0</v>
      </c>
      <c r="AC3243">
        <v>1</v>
      </c>
    </row>
    <row r="3244" spans="1:29" ht="30" customHeight="1" x14ac:dyDescent="0.3">
      <c r="A3244" s="8" t="s">
        <v>2679</v>
      </c>
      <c r="B3244" s="8" t="s">
        <v>2721</v>
      </c>
      <c r="C3244" s="8" t="s">
        <v>2722</v>
      </c>
      <c r="D3244" s="8" t="s">
        <v>2723</v>
      </c>
      <c r="E3244" s="8" t="s">
        <v>2710</v>
      </c>
      <c r="F3244" s="9">
        <v>1</v>
      </c>
      <c r="G3244" s="5">
        <f>TRUNC([1]단가대비표!O1517,0)</f>
        <v>10000000</v>
      </c>
      <c r="H3244" s="5">
        <f t="shared" si="307"/>
        <v>10000000</v>
      </c>
      <c r="I3244" s="5">
        <v>0</v>
      </c>
      <c r="J3244" s="5">
        <f t="shared" si="308"/>
        <v>0</v>
      </c>
      <c r="K3244" s="5">
        <v>0</v>
      </c>
      <c r="L3244" s="5">
        <f t="shared" si="309"/>
        <v>0</v>
      </c>
      <c r="M3244" s="5">
        <f t="shared" si="310"/>
        <v>10000000</v>
      </c>
      <c r="N3244" s="5">
        <f t="shared" si="310"/>
        <v>10000000</v>
      </c>
      <c r="O3244" s="8" t="s">
        <v>20</v>
      </c>
      <c r="T3244">
        <v>0</v>
      </c>
      <c r="AC3244">
        <v>1</v>
      </c>
    </row>
    <row r="3245" spans="1:29" ht="30" customHeight="1" x14ac:dyDescent="0.3">
      <c r="A3245" s="8" t="s">
        <v>2679</v>
      </c>
      <c r="B3245" s="8" t="s">
        <v>2724</v>
      </c>
      <c r="C3245" s="8" t="s">
        <v>2725</v>
      </c>
      <c r="D3245" s="8" t="s">
        <v>20</v>
      </c>
      <c r="E3245" s="8" t="s">
        <v>20</v>
      </c>
      <c r="F3245" s="9">
        <v>0</v>
      </c>
      <c r="G3245" s="5">
        <f>TRUNC([1]단가대비표!O1518,0)</f>
        <v>0</v>
      </c>
      <c r="H3245" s="5">
        <f t="shared" si="307"/>
        <v>0</v>
      </c>
      <c r="I3245" s="5">
        <v>0</v>
      </c>
      <c r="J3245" s="5">
        <f t="shared" si="308"/>
        <v>0</v>
      </c>
      <c r="K3245" s="5">
        <v>0</v>
      </c>
      <c r="L3245" s="5">
        <f t="shared" si="309"/>
        <v>0</v>
      </c>
      <c r="M3245" s="5">
        <f t="shared" si="310"/>
        <v>0</v>
      </c>
      <c r="N3245" s="5">
        <f t="shared" si="310"/>
        <v>0</v>
      </c>
      <c r="O3245" s="8" t="s">
        <v>20</v>
      </c>
      <c r="T3245">
        <v>0</v>
      </c>
      <c r="AC3245">
        <v>1</v>
      </c>
    </row>
    <row r="3246" spans="1:29" ht="30" customHeight="1" x14ac:dyDescent="0.3">
      <c r="A3246" s="8" t="s">
        <v>2679</v>
      </c>
      <c r="B3246" s="8" t="s">
        <v>2726</v>
      </c>
      <c r="C3246" s="8" t="s">
        <v>2727</v>
      </c>
      <c r="D3246" s="8" t="s">
        <v>2728</v>
      </c>
      <c r="E3246" s="8" t="s">
        <v>2729</v>
      </c>
      <c r="F3246" s="9">
        <v>1198</v>
      </c>
      <c r="G3246" s="5">
        <v>0</v>
      </c>
      <c r="H3246" s="5">
        <f t="shared" si="307"/>
        <v>0</v>
      </c>
      <c r="I3246" s="5">
        <f>TRUNC([1]단가대비표!O1519,0)</f>
        <v>17614</v>
      </c>
      <c r="J3246" s="5">
        <f t="shared" si="308"/>
        <v>21101572</v>
      </c>
      <c r="K3246" s="5">
        <v>0</v>
      </c>
      <c r="L3246" s="5">
        <f t="shared" si="309"/>
        <v>0</v>
      </c>
      <c r="M3246" s="5">
        <f t="shared" si="310"/>
        <v>17614</v>
      </c>
      <c r="N3246" s="5">
        <f t="shared" si="310"/>
        <v>21101572</v>
      </c>
      <c r="O3246" s="8" t="s">
        <v>20</v>
      </c>
      <c r="T3246">
        <v>0</v>
      </c>
      <c r="AC3246">
        <v>1</v>
      </c>
    </row>
    <row r="3247" spans="1:29" ht="30" customHeight="1" x14ac:dyDescent="0.3">
      <c r="A3247" s="8" t="s">
        <v>2679</v>
      </c>
      <c r="B3247" s="8" t="s">
        <v>2730</v>
      </c>
      <c r="C3247" s="8" t="s">
        <v>2727</v>
      </c>
      <c r="D3247" s="8" t="s">
        <v>2731</v>
      </c>
      <c r="E3247" s="8" t="s">
        <v>2729</v>
      </c>
      <c r="F3247" s="9">
        <v>1198</v>
      </c>
      <c r="G3247" s="5">
        <v>0</v>
      </c>
      <c r="H3247" s="5">
        <f t="shared" si="307"/>
        <v>0</v>
      </c>
      <c r="I3247" s="5">
        <f>TRUNC([1]단가대비표!O1520,0)</f>
        <v>4568</v>
      </c>
      <c r="J3247" s="5">
        <f t="shared" si="308"/>
        <v>5472464</v>
      </c>
      <c r="K3247" s="5">
        <v>0</v>
      </c>
      <c r="L3247" s="5">
        <f t="shared" si="309"/>
        <v>0</v>
      </c>
      <c r="M3247" s="5">
        <f t="shared" si="310"/>
        <v>4568</v>
      </c>
      <c r="N3247" s="5">
        <f t="shared" si="310"/>
        <v>5472464</v>
      </c>
      <c r="O3247" s="8" t="s">
        <v>20</v>
      </c>
      <c r="T3247">
        <v>0</v>
      </c>
      <c r="AC3247">
        <v>1</v>
      </c>
    </row>
    <row r="3248" spans="1:29" ht="30" customHeight="1" x14ac:dyDescent="0.3">
      <c r="A3248" s="8" t="s">
        <v>2679</v>
      </c>
      <c r="B3248" s="8" t="s">
        <v>2732</v>
      </c>
      <c r="C3248" s="8" t="s">
        <v>2733</v>
      </c>
      <c r="D3248" s="8" t="s">
        <v>20</v>
      </c>
      <c r="E3248" s="8" t="s">
        <v>20</v>
      </c>
      <c r="F3248" s="9">
        <v>0</v>
      </c>
      <c r="G3248" s="5">
        <f>TRUNC([1]단가대비표!O1521,0)</f>
        <v>0</v>
      </c>
      <c r="H3248" s="5">
        <f t="shared" si="307"/>
        <v>0</v>
      </c>
      <c r="I3248" s="5">
        <v>0</v>
      </c>
      <c r="J3248" s="5">
        <f t="shared" si="308"/>
        <v>0</v>
      </c>
      <c r="K3248" s="5">
        <v>0</v>
      </c>
      <c r="L3248" s="5">
        <f t="shared" si="309"/>
        <v>0</v>
      </c>
      <c r="M3248" s="5">
        <f t="shared" si="310"/>
        <v>0</v>
      </c>
      <c r="N3248" s="5">
        <f t="shared" si="310"/>
        <v>0</v>
      </c>
      <c r="O3248" s="8" t="s">
        <v>20</v>
      </c>
      <c r="T3248">
        <v>0</v>
      </c>
      <c r="AC3248">
        <v>1</v>
      </c>
    </row>
    <row r="3249" spans="1:29" ht="30" customHeight="1" x14ac:dyDescent="0.3">
      <c r="A3249" s="8" t="s">
        <v>2679</v>
      </c>
      <c r="B3249" s="8" t="s">
        <v>2734</v>
      </c>
      <c r="C3249" s="8" t="s">
        <v>2683</v>
      </c>
      <c r="D3249" s="8" t="s">
        <v>2684</v>
      </c>
      <c r="E3249" s="8" t="s">
        <v>20</v>
      </c>
      <c r="F3249" s="9">
        <v>0</v>
      </c>
      <c r="G3249" s="5">
        <f>TRUNC([1]단가대비표!O1522,0)</f>
        <v>0</v>
      </c>
      <c r="H3249" s="5">
        <f t="shared" si="307"/>
        <v>0</v>
      </c>
      <c r="I3249" s="5">
        <v>0</v>
      </c>
      <c r="J3249" s="5">
        <f t="shared" si="308"/>
        <v>0</v>
      </c>
      <c r="K3249" s="5">
        <v>0</v>
      </c>
      <c r="L3249" s="5">
        <f t="shared" si="309"/>
        <v>0</v>
      </c>
      <c r="M3249" s="5">
        <f t="shared" si="310"/>
        <v>0</v>
      </c>
      <c r="N3249" s="5">
        <f t="shared" si="310"/>
        <v>0</v>
      </c>
      <c r="O3249" s="8" t="s">
        <v>20</v>
      </c>
      <c r="T3249">
        <v>0</v>
      </c>
      <c r="AC3249">
        <v>1</v>
      </c>
    </row>
    <row r="3250" spans="1:29" ht="30" customHeight="1" x14ac:dyDescent="0.3">
      <c r="A3250" s="8" t="s">
        <v>2679</v>
      </c>
      <c r="B3250" s="8" t="s">
        <v>2735</v>
      </c>
      <c r="C3250" s="8" t="s">
        <v>2689</v>
      </c>
      <c r="D3250" s="8" t="s">
        <v>2687</v>
      </c>
      <c r="E3250" s="8" t="s">
        <v>179</v>
      </c>
      <c r="F3250" s="9">
        <v>1</v>
      </c>
      <c r="G3250" s="5">
        <f>TRUNC([1]단가대비표!O1523,0)</f>
        <v>2030000</v>
      </c>
      <c r="H3250" s="5">
        <f t="shared" si="307"/>
        <v>2030000</v>
      </c>
      <c r="I3250" s="5">
        <v>0</v>
      </c>
      <c r="J3250" s="5">
        <f t="shared" si="308"/>
        <v>0</v>
      </c>
      <c r="K3250" s="5">
        <v>0</v>
      </c>
      <c r="L3250" s="5">
        <f t="shared" si="309"/>
        <v>0</v>
      </c>
      <c r="M3250" s="5">
        <f t="shared" si="310"/>
        <v>2030000</v>
      </c>
      <c r="N3250" s="5">
        <f t="shared" si="310"/>
        <v>2030000</v>
      </c>
      <c r="O3250" s="8" t="s">
        <v>20</v>
      </c>
      <c r="T3250">
        <v>0</v>
      </c>
      <c r="AC3250">
        <v>1</v>
      </c>
    </row>
    <row r="3251" spans="1:29" ht="30" customHeight="1" x14ac:dyDescent="0.3">
      <c r="A3251" s="8" t="s">
        <v>2679</v>
      </c>
      <c r="B3251" s="8" t="s">
        <v>2736</v>
      </c>
      <c r="C3251" s="8" t="s">
        <v>2694</v>
      </c>
      <c r="D3251" s="8" t="s">
        <v>2695</v>
      </c>
      <c r="E3251" s="8" t="s">
        <v>179</v>
      </c>
      <c r="F3251" s="9">
        <v>1</v>
      </c>
      <c r="G3251" s="5">
        <f>TRUNC([1]단가대비표!O1524,0)</f>
        <v>45000</v>
      </c>
      <c r="H3251" s="5">
        <f t="shared" si="307"/>
        <v>45000</v>
      </c>
      <c r="I3251" s="5">
        <v>0</v>
      </c>
      <c r="J3251" s="5">
        <f t="shared" si="308"/>
        <v>0</v>
      </c>
      <c r="K3251" s="5">
        <v>0</v>
      </c>
      <c r="L3251" s="5">
        <f t="shared" si="309"/>
        <v>0</v>
      </c>
      <c r="M3251" s="5">
        <f t="shared" si="310"/>
        <v>45000</v>
      </c>
      <c r="N3251" s="5">
        <f t="shared" si="310"/>
        <v>45000</v>
      </c>
      <c r="O3251" s="8" t="s">
        <v>20</v>
      </c>
      <c r="T3251">
        <v>0</v>
      </c>
      <c r="AC3251">
        <v>1</v>
      </c>
    </row>
    <row r="3252" spans="1:29" ht="30" customHeight="1" x14ac:dyDescent="0.3">
      <c r="A3252" s="8" t="s">
        <v>2679</v>
      </c>
      <c r="B3252" s="8" t="s">
        <v>2737</v>
      </c>
      <c r="C3252" s="8" t="s">
        <v>2697</v>
      </c>
      <c r="D3252" s="8" t="s">
        <v>2698</v>
      </c>
      <c r="E3252" s="8" t="s">
        <v>179</v>
      </c>
      <c r="F3252" s="9">
        <v>1</v>
      </c>
      <c r="G3252" s="5">
        <f>TRUNC([1]단가대비표!O1525,0)</f>
        <v>350000</v>
      </c>
      <c r="H3252" s="5">
        <f t="shared" si="307"/>
        <v>350000</v>
      </c>
      <c r="I3252" s="5">
        <v>0</v>
      </c>
      <c r="J3252" s="5">
        <f t="shared" si="308"/>
        <v>0</v>
      </c>
      <c r="K3252" s="5">
        <v>0</v>
      </c>
      <c r="L3252" s="5">
        <f t="shared" si="309"/>
        <v>0</v>
      </c>
      <c r="M3252" s="5">
        <f t="shared" si="310"/>
        <v>350000</v>
      </c>
      <c r="N3252" s="5">
        <f t="shared" si="310"/>
        <v>350000</v>
      </c>
      <c r="O3252" s="8" t="s">
        <v>20</v>
      </c>
      <c r="T3252">
        <v>0</v>
      </c>
      <c r="AC3252">
        <v>1</v>
      </c>
    </row>
    <row r="3253" spans="1:29" ht="30" customHeight="1" x14ac:dyDescent="0.3">
      <c r="A3253" s="8" t="s">
        <v>2679</v>
      </c>
      <c r="B3253" s="8" t="s">
        <v>2738</v>
      </c>
      <c r="C3253" s="8" t="s">
        <v>2739</v>
      </c>
      <c r="D3253" s="8" t="s">
        <v>2740</v>
      </c>
      <c r="E3253" s="8" t="s">
        <v>179</v>
      </c>
      <c r="F3253" s="9">
        <v>1</v>
      </c>
      <c r="G3253" s="5">
        <f>TRUNC([1]단가대비표!O1526,0)</f>
        <v>1500000</v>
      </c>
      <c r="H3253" s="5">
        <f t="shared" si="307"/>
        <v>1500000</v>
      </c>
      <c r="I3253" s="5">
        <v>0</v>
      </c>
      <c r="J3253" s="5">
        <f t="shared" si="308"/>
        <v>0</v>
      </c>
      <c r="K3253" s="5">
        <v>0</v>
      </c>
      <c r="L3253" s="5">
        <f t="shared" si="309"/>
        <v>0</v>
      </c>
      <c r="M3253" s="5">
        <f t="shared" si="310"/>
        <v>1500000</v>
      </c>
      <c r="N3253" s="5">
        <f t="shared" si="310"/>
        <v>1500000</v>
      </c>
      <c r="O3253" s="8" t="s">
        <v>20</v>
      </c>
      <c r="T3253">
        <v>0</v>
      </c>
      <c r="AC3253">
        <v>1</v>
      </c>
    </row>
    <row r="3254" spans="1:29" ht="30" customHeight="1" x14ac:dyDescent="0.3">
      <c r="A3254" s="8" t="s">
        <v>2679</v>
      </c>
      <c r="B3254" s="8" t="s">
        <v>2741</v>
      </c>
      <c r="C3254" s="8" t="s">
        <v>2742</v>
      </c>
      <c r="D3254" s="8" t="s">
        <v>2743</v>
      </c>
      <c r="E3254" s="8" t="s">
        <v>179</v>
      </c>
      <c r="F3254" s="9">
        <v>1</v>
      </c>
      <c r="G3254" s="5">
        <f>TRUNC([1]단가대비표!O1527,0)</f>
        <v>1500000</v>
      </c>
      <c r="H3254" s="5">
        <f t="shared" si="307"/>
        <v>1500000</v>
      </c>
      <c r="I3254" s="5">
        <v>0</v>
      </c>
      <c r="J3254" s="5">
        <f t="shared" si="308"/>
        <v>0</v>
      </c>
      <c r="K3254" s="5">
        <v>0</v>
      </c>
      <c r="L3254" s="5">
        <f t="shared" si="309"/>
        <v>0</v>
      </c>
      <c r="M3254" s="5">
        <f t="shared" si="310"/>
        <v>1500000</v>
      </c>
      <c r="N3254" s="5">
        <f t="shared" si="310"/>
        <v>1500000</v>
      </c>
      <c r="O3254" s="8" t="s">
        <v>20</v>
      </c>
      <c r="T3254">
        <v>0</v>
      </c>
      <c r="AC3254">
        <v>1</v>
      </c>
    </row>
    <row r="3255" spans="1:29" ht="30" customHeight="1" x14ac:dyDescent="0.3">
      <c r="A3255" s="8" t="s">
        <v>2679</v>
      </c>
      <c r="B3255" s="8" t="s">
        <v>2744</v>
      </c>
      <c r="C3255" s="8" t="s">
        <v>2700</v>
      </c>
      <c r="D3255" s="8" t="s">
        <v>2701</v>
      </c>
      <c r="E3255" s="8" t="s">
        <v>179</v>
      </c>
      <c r="F3255" s="9">
        <v>1</v>
      </c>
      <c r="G3255" s="5">
        <f>TRUNC([1]단가대비표!O1528,0)</f>
        <v>210000</v>
      </c>
      <c r="H3255" s="5">
        <f t="shared" si="307"/>
        <v>210000</v>
      </c>
      <c r="I3255" s="5">
        <v>0</v>
      </c>
      <c r="J3255" s="5">
        <f t="shared" si="308"/>
        <v>0</v>
      </c>
      <c r="K3255" s="5">
        <v>0</v>
      </c>
      <c r="L3255" s="5">
        <f t="shared" si="309"/>
        <v>0</v>
      </c>
      <c r="M3255" s="5">
        <f t="shared" si="310"/>
        <v>210000</v>
      </c>
      <c r="N3255" s="5">
        <f t="shared" si="310"/>
        <v>210000</v>
      </c>
      <c r="O3255" s="8" t="s">
        <v>20</v>
      </c>
      <c r="T3255">
        <v>0</v>
      </c>
      <c r="AC3255">
        <v>1</v>
      </c>
    </row>
    <row r="3256" spans="1:29" ht="30" customHeight="1" x14ac:dyDescent="0.3">
      <c r="A3256" s="8" t="s">
        <v>2679</v>
      </c>
      <c r="B3256" s="8" t="s">
        <v>2745</v>
      </c>
      <c r="C3256" s="8" t="s">
        <v>2746</v>
      </c>
      <c r="D3256" s="8" t="s">
        <v>2747</v>
      </c>
      <c r="E3256" s="8" t="s">
        <v>179</v>
      </c>
      <c r="F3256" s="9">
        <v>2</v>
      </c>
      <c r="G3256" s="5">
        <f>TRUNC([1]단가대비표!O1529,0)</f>
        <v>82000</v>
      </c>
      <c r="H3256" s="5">
        <f t="shared" si="307"/>
        <v>164000</v>
      </c>
      <c r="I3256" s="5">
        <v>0</v>
      </c>
      <c r="J3256" s="5">
        <f t="shared" si="308"/>
        <v>0</v>
      </c>
      <c r="K3256" s="5">
        <v>0</v>
      </c>
      <c r="L3256" s="5">
        <f t="shared" si="309"/>
        <v>0</v>
      </c>
      <c r="M3256" s="5">
        <f t="shared" si="310"/>
        <v>82000</v>
      </c>
      <c r="N3256" s="5">
        <f t="shared" si="310"/>
        <v>164000</v>
      </c>
      <c r="O3256" s="8" t="s">
        <v>20</v>
      </c>
      <c r="T3256">
        <v>0</v>
      </c>
      <c r="AC3256">
        <v>1</v>
      </c>
    </row>
    <row r="3257" spans="1:29" ht="30" customHeight="1" x14ac:dyDescent="0.3">
      <c r="A3257" s="8" t="s">
        <v>2679</v>
      </c>
      <c r="B3257" s="8" t="s">
        <v>2748</v>
      </c>
      <c r="C3257" s="8" t="s">
        <v>2703</v>
      </c>
      <c r="D3257" s="8" t="s">
        <v>20</v>
      </c>
      <c r="E3257" s="8" t="s">
        <v>721</v>
      </c>
      <c r="F3257" s="9">
        <v>1</v>
      </c>
      <c r="G3257" s="5">
        <f>TRUNC([1]단가대비표!O1530,0)</f>
        <v>550000</v>
      </c>
      <c r="H3257" s="5">
        <f t="shared" si="307"/>
        <v>550000</v>
      </c>
      <c r="I3257" s="5">
        <v>0</v>
      </c>
      <c r="J3257" s="5">
        <f t="shared" si="308"/>
        <v>0</v>
      </c>
      <c r="K3257" s="5">
        <v>0</v>
      </c>
      <c r="L3257" s="5">
        <f t="shared" si="309"/>
        <v>0</v>
      </c>
      <c r="M3257" s="5">
        <f t="shared" si="310"/>
        <v>550000</v>
      </c>
      <c r="N3257" s="5">
        <f t="shared" si="310"/>
        <v>550000</v>
      </c>
      <c r="O3257" s="8" t="s">
        <v>20</v>
      </c>
      <c r="T3257">
        <v>0</v>
      </c>
      <c r="AC3257">
        <v>1</v>
      </c>
    </row>
    <row r="3258" spans="1:29" ht="30" customHeight="1" x14ac:dyDescent="0.3">
      <c r="A3258" s="8" t="s">
        <v>2679</v>
      </c>
      <c r="B3258" s="8" t="s">
        <v>2749</v>
      </c>
      <c r="C3258" s="8" t="s">
        <v>2750</v>
      </c>
      <c r="D3258" s="8" t="s">
        <v>2751</v>
      </c>
      <c r="E3258" s="8" t="s">
        <v>2710</v>
      </c>
      <c r="F3258" s="9">
        <v>1</v>
      </c>
      <c r="G3258" s="5">
        <f>TRUNC([1]단가대비표!O1531,0)</f>
        <v>30000000</v>
      </c>
      <c r="H3258" s="5">
        <f t="shared" si="307"/>
        <v>30000000</v>
      </c>
      <c r="I3258" s="5">
        <v>0</v>
      </c>
      <c r="J3258" s="5">
        <f t="shared" si="308"/>
        <v>0</v>
      </c>
      <c r="K3258" s="5">
        <v>0</v>
      </c>
      <c r="L3258" s="5">
        <f t="shared" si="309"/>
        <v>0</v>
      </c>
      <c r="M3258" s="5">
        <f t="shared" si="310"/>
        <v>30000000</v>
      </c>
      <c r="N3258" s="5">
        <f t="shared" si="310"/>
        <v>30000000</v>
      </c>
      <c r="O3258" s="8" t="s">
        <v>20</v>
      </c>
      <c r="T3258">
        <v>0</v>
      </c>
      <c r="AC3258">
        <v>1</v>
      </c>
    </row>
    <row r="3259" spans="1:29" ht="30" customHeight="1" x14ac:dyDescent="0.3">
      <c r="A3259" s="8" t="s">
        <v>2679</v>
      </c>
      <c r="B3259" s="8" t="s">
        <v>2752</v>
      </c>
      <c r="C3259" s="8" t="s">
        <v>2753</v>
      </c>
      <c r="D3259" s="8" t="s">
        <v>2754</v>
      </c>
      <c r="E3259" s="8" t="s">
        <v>2710</v>
      </c>
      <c r="F3259" s="9">
        <v>1</v>
      </c>
      <c r="G3259" s="5">
        <f>TRUNC([1]단가대비표!O1532,0)</f>
        <v>5000000</v>
      </c>
      <c r="H3259" s="5">
        <f t="shared" si="307"/>
        <v>5000000</v>
      </c>
      <c r="I3259" s="5">
        <v>0</v>
      </c>
      <c r="J3259" s="5">
        <f t="shared" si="308"/>
        <v>0</v>
      </c>
      <c r="K3259" s="5">
        <v>0</v>
      </c>
      <c r="L3259" s="5">
        <f t="shared" si="309"/>
        <v>0</v>
      </c>
      <c r="M3259" s="5">
        <f t="shared" si="310"/>
        <v>5000000</v>
      </c>
      <c r="N3259" s="5">
        <f t="shared" si="310"/>
        <v>5000000</v>
      </c>
      <c r="O3259" s="8" t="s">
        <v>20</v>
      </c>
      <c r="T3259">
        <v>0</v>
      </c>
      <c r="AC3259">
        <v>1</v>
      </c>
    </row>
    <row r="3260" spans="1:29" ht="30" customHeight="1" x14ac:dyDescent="0.3">
      <c r="A3260" s="8" t="s">
        <v>2679</v>
      </c>
      <c r="B3260" s="8" t="s">
        <v>2755</v>
      </c>
      <c r="C3260" s="8" t="s">
        <v>2756</v>
      </c>
      <c r="D3260" s="8" t="s">
        <v>20</v>
      </c>
      <c r="E3260" s="8" t="s">
        <v>20</v>
      </c>
      <c r="F3260" s="9">
        <v>0</v>
      </c>
      <c r="G3260" s="5">
        <f>TRUNC([1]단가대비표!O1533,0)</f>
        <v>0</v>
      </c>
      <c r="H3260" s="5">
        <f t="shared" si="307"/>
        <v>0</v>
      </c>
      <c r="I3260" s="5">
        <v>0</v>
      </c>
      <c r="J3260" s="5">
        <f t="shared" si="308"/>
        <v>0</v>
      </c>
      <c r="K3260" s="5">
        <v>0</v>
      </c>
      <c r="L3260" s="5">
        <f t="shared" si="309"/>
        <v>0</v>
      </c>
      <c r="M3260" s="5">
        <f t="shared" si="310"/>
        <v>0</v>
      </c>
      <c r="N3260" s="5">
        <f t="shared" si="310"/>
        <v>0</v>
      </c>
      <c r="O3260" s="8" t="s">
        <v>20</v>
      </c>
      <c r="T3260">
        <v>0</v>
      </c>
      <c r="AC3260">
        <v>1</v>
      </c>
    </row>
    <row r="3261" spans="1:29" ht="30" customHeight="1" x14ac:dyDescent="0.3">
      <c r="A3261" s="8" t="s">
        <v>2679</v>
      </c>
      <c r="B3261" s="8" t="s">
        <v>2757</v>
      </c>
      <c r="C3261" s="8" t="s">
        <v>2758</v>
      </c>
      <c r="D3261" s="8" t="s">
        <v>2759</v>
      </c>
      <c r="E3261" s="8" t="s">
        <v>179</v>
      </c>
      <c r="F3261" s="9">
        <v>1</v>
      </c>
      <c r="G3261" s="5">
        <f>TRUNC([1]단가대비표!O1534,0)</f>
        <v>2940000</v>
      </c>
      <c r="H3261" s="5">
        <f t="shared" si="307"/>
        <v>2940000</v>
      </c>
      <c r="I3261" s="5">
        <v>1527111</v>
      </c>
      <c r="J3261" s="5">
        <f t="shared" si="308"/>
        <v>1527111</v>
      </c>
      <c r="K3261" s="5">
        <v>0</v>
      </c>
      <c r="L3261" s="5">
        <f t="shared" si="309"/>
        <v>0</v>
      </c>
      <c r="M3261" s="5">
        <f t="shared" ref="M3261:N3292" si="311">G3261+I3261+K3261</f>
        <v>4467111</v>
      </c>
      <c r="N3261" s="5">
        <f t="shared" si="311"/>
        <v>4467111</v>
      </c>
      <c r="O3261" s="8" t="s">
        <v>20</v>
      </c>
      <c r="T3261">
        <v>0</v>
      </c>
      <c r="AC3261">
        <v>1</v>
      </c>
    </row>
    <row r="3262" spans="1:29" ht="30" customHeight="1" x14ac:dyDescent="0.3">
      <c r="A3262" s="8" t="s">
        <v>2679</v>
      </c>
      <c r="B3262" s="8" t="s">
        <v>2760</v>
      </c>
      <c r="C3262" s="8" t="s">
        <v>2761</v>
      </c>
      <c r="D3262" s="8" t="s">
        <v>2762</v>
      </c>
      <c r="E3262" s="8" t="s">
        <v>179</v>
      </c>
      <c r="F3262" s="9">
        <v>1</v>
      </c>
      <c r="G3262" s="5">
        <f>TRUNC([1]단가대비표!O1535,0)</f>
        <v>4000000</v>
      </c>
      <c r="H3262" s="5">
        <f t="shared" si="307"/>
        <v>4000000</v>
      </c>
      <c r="I3262" s="5">
        <v>0</v>
      </c>
      <c r="J3262" s="5">
        <f t="shared" si="308"/>
        <v>0</v>
      </c>
      <c r="K3262" s="5">
        <v>0</v>
      </c>
      <c r="L3262" s="5">
        <f t="shared" si="309"/>
        <v>0</v>
      </c>
      <c r="M3262" s="5">
        <f t="shared" si="311"/>
        <v>4000000</v>
      </c>
      <c r="N3262" s="5">
        <f t="shared" si="311"/>
        <v>4000000</v>
      </c>
      <c r="O3262" s="8" t="s">
        <v>20</v>
      </c>
      <c r="T3262">
        <v>0</v>
      </c>
      <c r="AC3262">
        <v>1</v>
      </c>
    </row>
    <row r="3263" spans="1:29" ht="30" customHeight="1" x14ac:dyDescent="0.3">
      <c r="A3263" s="8" t="s">
        <v>2679</v>
      </c>
      <c r="B3263" s="8" t="s">
        <v>2763</v>
      </c>
      <c r="C3263" s="8" t="s">
        <v>2764</v>
      </c>
      <c r="D3263" s="8" t="s">
        <v>2765</v>
      </c>
      <c r="E3263" s="8" t="s">
        <v>179</v>
      </c>
      <c r="F3263" s="9">
        <v>3</v>
      </c>
      <c r="G3263" s="5">
        <f>TRUNC([1]단가대비표!O1536,0)</f>
        <v>920000</v>
      </c>
      <c r="H3263" s="5">
        <f t="shared" si="307"/>
        <v>2760000</v>
      </c>
      <c r="I3263" s="5">
        <v>0</v>
      </c>
      <c r="J3263" s="5">
        <f t="shared" si="308"/>
        <v>0</v>
      </c>
      <c r="K3263" s="5">
        <v>0</v>
      </c>
      <c r="L3263" s="5">
        <f t="shared" si="309"/>
        <v>0</v>
      </c>
      <c r="M3263" s="5">
        <f t="shared" si="311"/>
        <v>920000</v>
      </c>
      <c r="N3263" s="5">
        <f t="shared" si="311"/>
        <v>2760000</v>
      </c>
      <c r="O3263" s="8" t="s">
        <v>20</v>
      </c>
      <c r="T3263">
        <v>0</v>
      </c>
      <c r="AC3263">
        <v>1</v>
      </c>
    </row>
    <row r="3264" spans="1:29" ht="30" customHeight="1" x14ac:dyDescent="0.3">
      <c r="A3264" s="8" t="s">
        <v>2679</v>
      </c>
      <c r="B3264" s="8" t="s">
        <v>2766</v>
      </c>
      <c r="C3264" s="8" t="s">
        <v>2767</v>
      </c>
      <c r="D3264" s="8" t="s">
        <v>2768</v>
      </c>
      <c r="E3264" s="8" t="s">
        <v>179</v>
      </c>
      <c r="F3264" s="9">
        <v>3</v>
      </c>
      <c r="G3264" s="5">
        <f>TRUNC([1]단가대비표!O1537,0)</f>
        <v>600000</v>
      </c>
      <c r="H3264" s="5">
        <f t="shared" si="307"/>
        <v>1800000</v>
      </c>
      <c r="I3264" s="5">
        <v>0</v>
      </c>
      <c r="J3264" s="5">
        <f t="shared" si="308"/>
        <v>0</v>
      </c>
      <c r="K3264" s="5">
        <v>0</v>
      </c>
      <c r="L3264" s="5">
        <f t="shared" si="309"/>
        <v>0</v>
      </c>
      <c r="M3264" s="5">
        <f t="shared" si="311"/>
        <v>600000</v>
      </c>
      <c r="N3264" s="5">
        <f t="shared" si="311"/>
        <v>1800000</v>
      </c>
      <c r="O3264" s="8" t="s">
        <v>20</v>
      </c>
      <c r="T3264">
        <v>0</v>
      </c>
      <c r="AC3264">
        <v>1</v>
      </c>
    </row>
    <row r="3265" spans="1:29" ht="30" customHeight="1" x14ac:dyDescent="0.3">
      <c r="A3265" s="8" t="s">
        <v>2679</v>
      </c>
      <c r="B3265" s="8" t="s">
        <v>2769</v>
      </c>
      <c r="C3265" s="8" t="s">
        <v>2770</v>
      </c>
      <c r="D3265" s="8" t="s">
        <v>2771</v>
      </c>
      <c r="E3265" s="8" t="s">
        <v>179</v>
      </c>
      <c r="F3265" s="9">
        <v>2</v>
      </c>
      <c r="G3265" s="5">
        <f>TRUNC([1]단가대비표!O1538,0)</f>
        <v>850000</v>
      </c>
      <c r="H3265" s="5">
        <f t="shared" si="307"/>
        <v>1700000</v>
      </c>
      <c r="I3265" s="5">
        <v>0</v>
      </c>
      <c r="J3265" s="5">
        <f t="shared" si="308"/>
        <v>0</v>
      </c>
      <c r="K3265" s="5">
        <v>0</v>
      </c>
      <c r="L3265" s="5">
        <f t="shared" si="309"/>
        <v>0</v>
      </c>
      <c r="M3265" s="5">
        <f t="shared" si="311"/>
        <v>850000</v>
      </c>
      <c r="N3265" s="5">
        <f t="shared" si="311"/>
        <v>1700000</v>
      </c>
      <c r="O3265" s="8" t="s">
        <v>20</v>
      </c>
      <c r="T3265">
        <v>0</v>
      </c>
      <c r="AC3265">
        <v>1</v>
      </c>
    </row>
    <row r="3266" spans="1:29" ht="30" customHeight="1" x14ac:dyDescent="0.3">
      <c r="A3266" s="8" t="s">
        <v>2679</v>
      </c>
      <c r="B3266" s="8" t="s">
        <v>2772</v>
      </c>
      <c r="C3266" s="8" t="s">
        <v>2773</v>
      </c>
      <c r="D3266" s="8" t="s">
        <v>2774</v>
      </c>
      <c r="E3266" s="8" t="s">
        <v>179</v>
      </c>
      <c r="F3266" s="9">
        <v>8</v>
      </c>
      <c r="G3266" s="5">
        <f>TRUNC([1]단가대비표!O1539,0)</f>
        <v>1600000</v>
      </c>
      <c r="H3266" s="5">
        <f t="shared" si="307"/>
        <v>12800000</v>
      </c>
      <c r="I3266" s="5">
        <v>0</v>
      </c>
      <c r="J3266" s="5">
        <f t="shared" si="308"/>
        <v>0</v>
      </c>
      <c r="K3266" s="5">
        <v>0</v>
      </c>
      <c r="L3266" s="5">
        <f t="shared" si="309"/>
        <v>0</v>
      </c>
      <c r="M3266" s="5">
        <f t="shared" si="311"/>
        <v>1600000</v>
      </c>
      <c r="N3266" s="5">
        <f t="shared" si="311"/>
        <v>12800000</v>
      </c>
      <c r="O3266" s="8" t="s">
        <v>20</v>
      </c>
      <c r="T3266">
        <v>0</v>
      </c>
      <c r="AC3266">
        <v>1</v>
      </c>
    </row>
    <row r="3267" spans="1:29" ht="30" customHeight="1" x14ac:dyDescent="0.3">
      <c r="A3267" s="8" t="s">
        <v>2679</v>
      </c>
      <c r="B3267" s="8" t="s">
        <v>2775</v>
      </c>
      <c r="C3267" s="8" t="s">
        <v>2776</v>
      </c>
      <c r="D3267" s="8" t="s">
        <v>20</v>
      </c>
      <c r="E3267" s="8" t="s">
        <v>20</v>
      </c>
      <c r="F3267" s="9">
        <v>0</v>
      </c>
      <c r="G3267" s="5">
        <f>TRUNC([1]단가대비표!O1540,0)</f>
        <v>0</v>
      </c>
      <c r="H3267" s="5">
        <f t="shared" si="307"/>
        <v>0</v>
      </c>
      <c r="I3267" s="5">
        <v>0</v>
      </c>
      <c r="J3267" s="5">
        <f t="shared" si="308"/>
        <v>0</v>
      </c>
      <c r="K3267" s="5">
        <v>0</v>
      </c>
      <c r="L3267" s="5">
        <f t="shared" si="309"/>
        <v>0</v>
      </c>
      <c r="M3267" s="5">
        <f t="shared" si="311"/>
        <v>0</v>
      </c>
      <c r="N3267" s="5">
        <f t="shared" si="311"/>
        <v>0</v>
      </c>
      <c r="O3267" s="8" t="s">
        <v>20</v>
      </c>
      <c r="T3267">
        <v>0</v>
      </c>
      <c r="AC3267">
        <v>1</v>
      </c>
    </row>
    <row r="3268" spans="1:29" ht="30" customHeight="1" x14ac:dyDescent="0.3">
      <c r="A3268" s="8" t="s">
        <v>2679</v>
      </c>
      <c r="B3268" s="8" t="s">
        <v>2777</v>
      </c>
      <c r="C3268" s="8" t="s">
        <v>2778</v>
      </c>
      <c r="D3268" s="8" t="s">
        <v>2779</v>
      </c>
      <c r="E3268" s="8" t="s">
        <v>179</v>
      </c>
      <c r="F3268" s="9">
        <v>31</v>
      </c>
      <c r="G3268" s="5">
        <f>TRUNC([1]단가대비표!O1541,0)</f>
        <v>80000</v>
      </c>
      <c r="H3268" s="5">
        <f t="shared" si="307"/>
        <v>2480000</v>
      </c>
      <c r="I3268" s="5">
        <v>169199</v>
      </c>
      <c r="J3268" s="5">
        <f t="shared" si="308"/>
        <v>5245169</v>
      </c>
      <c r="K3268" s="5">
        <v>0</v>
      </c>
      <c r="L3268" s="5">
        <f t="shared" si="309"/>
        <v>0</v>
      </c>
      <c r="M3268" s="5">
        <f t="shared" si="311"/>
        <v>249199</v>
      </c>
      <c r="N3268" s="5">
        <f t="shared" si="311"/>
        <v>7725169</v>
      </c>
      <c r="O3268" s="8" t="s">
        <v>20</v>
      </c>
      <c r="T3268">
        <v>0</v>
      </c>
      <c r="AC3268">
        <v>1</v>
      </c>
    </row>
    <row r="3269" spans="1:29" ht="30" customHeight="1" x14ac:dyDescent="0.3">
      <c r="A3269" s="8" t="s">
        <v>2679</v>
      </c>
      <c r="B3269" s="8" t="s">
        <v>2780</v>
      </c>
      <c r="C3269" s="8" t="s">
        <v>2781</v>
      </c>
      <c r="D3269" s="8" t="s">
        <v>2782</v>
      </c>
      <c r="E3269" s="8" t="s">
        <v>179</v>
      </c>
      <c r="F3269" s="9">
        <v>5</v>
      </c>
      <c r="G3269" s="5">
        <f>TRUNC([1]단가대비표!O1542,0)</f>
        <v>363000</v>
      </c>
      <c r="H3269" s="5">
        <f t="shared" si="307"/>
        <v>1815000</v>
      </c>
      <c r="I3269" s="5">
        <v>41359</v>
      </c>
      <c r="J3269" s="5">
        <f t="shared" si="308"/>
        <v>206795</v>
      </c>
      <c r="K3269" s="5">
        <v>0</v>
      </c>
      <c r="L3269" s="5">
        <f t="shared" si="309"/>
        <v>0</v>
      </c>
      <c r="M3269" s="5">
        <f t="shared" si="311"/>
        <v>404359</v>
      </c>
      <c r="N3269" s="5">
        <f t="shared" si="311"/>
        <v>2021795</v>
      </c>
      <c r="O3269" s="8" t="s">
        <v>20</v>
      </c>
      <c r="T3269">
        <v>0</v>
      </c>
      <c r="AC3269">
        <v>1</v>
      </c>
    </row>
    <row r="3270" spans="1:29" ht="30" customHeight="1" x14ac:dyDescent="0.3">
      <c r="A3270" s="8" t="s">
        <v>2679</v>
      </c>
      <c r="B3270" s="8" t="s">
        <v>2783</v>
      </c>
      <c r="C3270" s="8" t="s">
        <v>2784</v>
      </c>
      <c r="D3270" s="8" t="s">
        <v>2785</v>
      </c>
      <c r="E3270" s="8" t="s">
        <v>179</v>
      </c>
      <c r="F3270" s="9">
        <v>1</v>
      </c>
      <c r="G3270" s="5">
        <f>TRUNC([1]단가대비표!O1543,0)</f>
        <v>63000</v>
      </c>
      <c r="H3270" s="5">
        <f t="shared" si="307"/>
        <v>63000</v>
      </c>
      <c r="I3270" s="5">
        <v>41359</v>
      </c>
      <c r="J3270" s="5">
        <f t="shared" si="308"/>
        <v>41359</v>
      </c>
      <c r="K3270" s="5">
        <v>0</v>
      </c>
      <c r="L3270" s="5">
        <f t="shared" si="309"/>
        <v>0</v>
      </c>
      <c r="M3270" s="5">
        <f t="shared" si="311"/>
        <v>104359</v>
      </c>
      <c r="N3270" s="5">
        <f t="shared" si="311"/>
        <v>104359</v>
      </c>
      <c r="O3270" s="8" t="s">
        <v>20</v>
      </c>
      <c r="T3270">
        <v>0</v>
      </c>
      <c r="AC3270">
        <v>1</v>
      </c>
    </row>
    <row r="3271" spans="1:29" ht="30" customHeight="1" x14ac:dyDescent="0.3">
      <c r="A3271" s="8" t="s">
        <v>2679</v>
      </c>
      <c r="B3271" s="8" t="s">
        <v>2786</v>
      </c>
      <c r="C3271" s="8" t="s">
        <v>2787</v>
      </c>
      <c r="D3271" s="8" t="s">
        <v>2788</v>
      </c>
      <c r="E3271" s="8" t="s">
        <v>179</v>
      </c>
      <c r="F3271" s="9">
        <v>1</v>
      </c>
      <c r="G3271" s="5">
        <f>TRUNC([1]단가대비표!O1544,0)</f>
        <v>298000</v>
      </c>
      <c r="H3271" s="5">
        <f t="shared" si="307"/>
        <v>298000</v>
      </c>
      <c r="I3271" s="5">
        <v>41359</v>
      </c>
      <c r="J3271" s="5">
        <f t="shared" si="308"/>
        <v>41359</v>
      </c>
      <c r="K3271" s="5">
        <v>0</v>
      </c>
      <c r="L3271" s="5">
        <f t="shared" si="309"/>
        <v>0</v>
      </c>
      <c r="M3271" s="5">
        <f t="shared" si="311"/>
        <v>339359</v>
      </c>
      <c r="N3271" s="5">
        <f t="shared" si="311"/>
        <v>339359</v>
      </c>
      <c r="O3271" s="8" t="s">
        <v>20</v>
      </c>
      <c r="T3271">
        <v>0</v>
      </c>
      <c r="AC3271">
        <v>1</v>
      </c>
    </row>
    <row r="3272" spans="1:29" ht="30" customHeight="1" x14ac:dyDescent="0.3">
      <c r="A3272" s="8" t="s">
        <v>2679</v>
      </c>
      <c r="B3272" s="8" t="s">
        <v>2789</v>
      </c>
      <c r="C3272" s="8" t="s">
        <v>2790</v>
      </c>
      <c r="D3272" s="8" t="s">
        <v>2791</v>
      </c>
      <c r="E3272" s="8" t="s">
        <v>179</v>
      </c>
      <c r="F3272" s="9">
        <v>2</v>
      </c>
      <c r="G3272" s="5">
        <f>TRUNC([1]단가대비표!O1545,0)</f>
        <v>56000</v>
      </c>
      <c r="H3272" s="5">
        <f t="shared" si="307"/>
        <v>112000</v>
      </c>
      <c r="I3272" s="5">
        <v>357199</v>
      </c>
      <c r="J3272" s="5">
        <f t="shared" si="308"/>
        <v>714398</v>
      </c>
      <c r="K3272" s="5">
        <v>0</v>
      </c>
      <c r="L3272" s="5">
        <f t="shared" si="309"/>
        <v>0</v>
      </c>
      <c r="M3272" s="5">
        <f t="shared" si="311"/>
        <v>413199</v>
      </c>
      <c r="N3272" s="5">
        <f t="shared" si="311"/>
        <v>826398</v>
      </c>
      <c r="O3272" s="8" t="s">
        <v>20</v>
      </c>
      <c r="T3272">
        <v>0</v>
      </c>
      <c r="AC3272">
        <v>1</v>
      </c>
    </row>
    <row r="3273" spans="1:29" ht="30" customHeight="1" x14ac:dyDescent="0.3">
      <c r="A3273" s="8" t="s">
        <v>2679</v>
      </c>
      <c r="B3273" s="8" t="s">
        <v>2792</v>
      </c>
      <c r="C3273" s="8" t="s">
        <v>2793</v>
      </c>
      <c r="D3273" s="8" t="s">
        <v>2794</v>
      </c>
      <c r="E3273" s="8" t="s">
        <v>179</v>
      </c>
      <c r="F3273" s="9">
        <v>4</v>
      </c>
      <c r="G3273" s="5">
        <f>TRUNC([1]단가대비표!O1546,0)</f>
        <v>560000</v>
      </c>
      <c r="H3273" s="5">
        <f t="shared" si="307"/>
        <v>2240000</v>
      </c>
      <c r="I3273" s="5">
        <v>56399</v>
      </c>
      <c r="J3273" s="5">
        <f t="shared" si="308"/>
        <v>225596</v>
      </c>
      <c r="K3273" s="5">
        <v>0</v>
      </c>
      <c r="L3273" s="5">
        <f t="shared" si="309"/>
        <v>0</v>
      </c>
      <c r="M3273" s="5">
        <f t="shared" si="311"/>
        <v>616399</v>
      </c>
      <c r="N3273" s="5">
        <f t="shared" si="311"/>
        <v>2465596</v>
      </c>
      <c r="O3273" s="8" t="s">
        <v>20</v>
      </c>
      <c r="T3273">
        <v>0</v>
      </c>
      <c r="AC3273">
        <v>1</v>
      </c>
    </row>
    <row r="3274" spans="1:29" ht="30" customHeight="1" x14ac:dyDescent="0.3">
      <c r="A3274" s="8" t="s">
        <v>2679</v>
      </c>
      <c r="B3274" s="8" t="s">
        <v>2795</v>
      </c>
      <c r="C3274" s="8" t="s">
        <v>2796</v>
      </c>
      <c r="D3274" s="8" t="s">
        <v>2797</v>
      </c>
      <c r="E3274" s="8" t="s">
        <v>179</v>
      </c>
      <c r="F3274" s="9">
        <v>1</v>
      </c>
      <c r="G3274" s="5">
        <f>TRUNC([1]단가대비표!O1547,0)</f>
        <v>517000</v>
      </c>
      <c r="H3274" s="5">
        <f t="shared" si="307"/>
        <v>517000</v>
      </c>
      <c r="I3274" s="5">
        <v>187999</v>
      </c>
      <c r="J3274" s="5">
        <f t="shared" si="308"/>
        <v>187999</v>
      </c>
      <c r="K3274" s="5">
        <v>0</v>
      </c>
      <c r="L3274" s="5">
        <f t="shared" si="309"/>
        <v>0</v>
      </c>
      <c r="M3274" s="5">
        <f t="shared" si="311"/>
        <v>704999</v>
      </c>
      <c r="N3274" s="5">
        <f t="shared" si="311"/>
        <v>704999</v>
      </c>
      <c r="O3274" s="8" t="s">
        <v>20</v>
      </c>
      <c r="T3274">
        <v>0</v>
      </c>
      <c r="AC3274">
        <v>1</v>
      </c>
    </row>
    <row r="3275" spans="1:29" ht="30" customHeight="1" x14ac:dyDescent="0.3">
      <c r="A3275" s="8" t="s">
        <v>2679</v>
      </c>
      <c r="B3275" s="8" t="s">
        <v>2798</v>
      </c>
      <c r="C3275" s="8" t="s">
        <v>2796</v>
      </c>
      <c r="D3275" s="8" t="s">
        <v>2799</v>
      </c>
      <c r="E3275" s="8" t="s">
        <v>179</v>
      </c>
      <c r="F3275" s="9">
        <v>5</v>
      </c>
      <c r="G3275" s="5">
        <f>TRUNC([1]단가대비표!O1548,0)</f>
        <v>628000</v>
      </c>
      <c r="H3275" s="5">
        <f t="shared" si="307"/>
        <v>3140000</v>
      </c>
      <c r="I3275" s="5">
        <v>187999</v>
      </c>
      <c r="J3275" s="5">
        <f t="shared" si="308"/>
        <v>939995</v>
      </c>
      <c r="K3275" s="5">
        <v>0</v>
      </c>
      <c r="L3275" s="5">
        <f t="shared" si="309"/>
        <v>0</v>
      </c>
      <c r="M3275" s="5">
        <f t="shared" si="311"/>
        <v>815999</v>
      </c>
      <c r="N3275" s="5">
        <f t="shared" si="311"/>
        <v>4079995</v>
      </c>
      <c r="O3275" s="8" t="s">
        <v>20</v>
      </c>
      <c r="T3275">
        <v>0</v>
      </c>
      <c r="AC3275">
        <v>1</v>
      </c>
    </row>
    <row r="3276" spans="1:29" ht="30" customHeight="1" x14ac:dyDescent="0.3">
      <c r="A3276" s="8" t="s">
        <v>2679</v>
      </c>
      <c r="B3276" s="8" t="s">
        <v>2800</v>
      </c>
      <c r="C3276" s="8" t="s">
        <v>2796</v>
      </c>
      <c r="D3276" s="8" t="s">
        <v>2801</v>
      </c>
      <c r="E3276" s="8" t="s">
        <v>179</v>
      </c>
      <c r="F3276" s="9">
        <v>3</v>
      </c>
      <c r="G3276" s="5">
        <f>TRUNC([1]단가대비표!O1549,0)</f>
        <v>876000</v>
      </c>
      <c r="H3276" s="5">
        <f t="shared" si="307"/>
        <v>2628000</v>
      </c>
      <c r="I3276" s="5">
        <v>225599</v>
      </c>
      <c r="J3276" s="5">
        <f t="shared" si="308"/>
        <v>676797</v>
      </c>
      <c r="K3276" s="5">
        <v>0</v>
      </c>
      <c r="L3276" s="5">
        <f t="shared" si="309"/>
        <v>0</v>
      </c>
      <c r="M3276" s="5">
        <f t="shared" si="311"/>
        <v>1101599</v>
      </c>
      <c r="N3276" s="5">
        <f t="shared" si="311"/>
        <v>3304797</v>
      </c>
      <c r="O3276" s="8" t="s">
        <v>20</v>
      </c>
      <c r="T3276">
        <v>0</v>
      </c>
      <c r="AC3276">
        <v>1</v>
      </c>
    </row>
    <row r="3277" spans="1:29" ht="30" customHeight="1" x14ac:dyDescent="0.3">
      <c r="A3277" s="8" t="s">
        <v>2679</v>
      </c>
      <c r="B3277" s="8" t="s">
        <v>2802</v>
      </c>
      <c r="C3277" s="8" t="s">
        <v>2796</v>
      </c>
      <c r="D3277" s="8" t="s">
        <v>2803</v>
      </c>
      <c r="E3277" s="8" t="s">
        <v>179</v>
      </c>
      <c r="F3277" s="9">
        <v>3</v>
      </c>
      <c r="G3277" s="5">
        <f>TRUNC([1]단가대비표!O1550,0)</f>
        <v>3306000</v>
      </c>
      <c r="H3277" s="5">
        <f t="shared" si="307"/>
        <v>9918000</v>
      </c>
      <c r="I3277" s="5">
        <v>281999</v>
      </c>
      <c r="J3277" s="5">
        <f t="shared" si="308"/>
        <v>845997</v>
      </c>
      <c r="K3277" s="5">
        <v>0</v>
      </c>
      <c r="L3277" s="5">
        <f t="shared" si="309"/>
        <v>0</v>
      </c>
      <c r="M3277" s="5">
        <f t="shared" si="311"/>
        <v>3587999</v>
      </c>
      <c r="N3277" s="5">
        <f t="shared" si="311"/>
        <v>10763997</v>
      </c>
      <c r="O3277" s="8" t="s">
        <v>20</v>
      </c>
      <c r="T3277">
        <v>0</v>
      </c>
      <c r="AC3277">
        <v>1</v>
      </c>
    </row>
    <row r="3278" spans="1:29" ht="30" customHeight="1" x14ac:dyDescent="0.3">
      <c r="A3278" s="8" t="s">
        <v>2679</v>
      </c>
      <c r="B3278" s="8" t="s">
        <v>2804</v>
      </c>
      <c r="C3278" s="8" t="s">
        <v>2805</v>
      </c>
      <c r="D3278" s="8" t="s">
        <v>2806</v>
      </c>
      <c r="E3278" s="8" t="s">
        <v>179</v>
      </c>
      <c r="F3278" s="9">
        <v>9</v>
      </c>
      <c r="G3278" s="5">
        <f>TRUNC([1]단가대비표!O1551,0)</f>
        <v>828000</v>
      </c>
      <c r="H3278" s="5">
        <f t="shared" si="307"/>
        <v>7452000</v>
      </c>
      <c r="I3278" s="5">
        <v>41359</v>
      </c>
      <c r="J3278" s="5">
        <f t="shared" si="308"/>
        <v>372231</v>
      </c>
      <c r="K3278" s="5">
        <v>0</v>
      </c>
      <c r="L3278" s="5">
        <f t="shared" si="309"/>
        <v>0</v>
      </c>
      <c r="M3278" s="5">
        <f t="shared" si="311"/>
        <v>869359</v>
      </c>
      <c r="N3278" s="5">
        <f t="shared" si="311"/>
        <v>7824231</v>
      </c>
      <c r="O3278" s="8" t="s">
        <v>20</v>
      </c>
      <c r="T3278">
        <v>0</v>
      </c>
      <c r="AC3278">
        <v>1</v>
      </c>
    </row>
    <row r="3279" spans="1:29" ht="30" customHeight="1" x14ac:dyDescent="0.3">
      <c r="A3279" s="8" t="s">
        <v>2679</v>
      </c>
      <c r="B3279" s="8" t="s">
        <v>2807</v>
      </c>
      <c r="C3279" s="8" t="s">
        <v>2805</v>
      </c>
      <c r="D3279" s="8" t="s">
        <v>2808</v>
      </c>
      <c r="E3279" s="8" t="s">
        <v>179</v>
      </c>
      <c r="F3279" s="9">
        <v>3</v>
      </c>
      <c r="G3279" s="5">
        <f>TRUNC([1]단가대비표!O1552,0)</f>
        <v>1075000</v>
      </c>
      <c r="H3279" s="5">
        <f t="shared" si="307"/>
        <v>3225000</v>
      </c>
      <c r="I3279" s="5">
        <v>41359</v>
      </c>
      <c r="J3279" s="5">
        <f t="shared" si="308"/>
        <v>124077</v>
      </c>
      <c r="K3279" s="5">
        <v>0</v>
      </c>
      <c r="L3279" s="5">
        <f t="shared" si="309"/>
        <v>0</v>
      </c>
      <c r="M3279" s="5">
        <f t="shared" si="311"/>
        <v>1116359</v>
      </c>
      <c r="N3279" s="5">
        <f t="shared" si="311"/>
        <v>3349077</v>
      </c>
      <c r="O3279" s="8" t="s">
        <v>20</v>
      </c>
      <c r="T3279">
        <v>0</v>
      </c>
      <c r="AC3279">
        <v>1</v>
      </c>
    </row>
    <row r="3280" spans="1:29" ht="30" customHeight="1" x14ac:dyDescent="0.3">
      <c r="A3280" s="8" t="s">
        <v>2679</v>
      </c>
      <c r="B3280" s="8" t="s">
        <v>2809</v>
      </c>
      <c r="C3280" s="8" t="s">
        <v>2810</v>
      </c>
      <c r="D3280" s="8" t="s">
        <v>2811</v>
      </c>
      <c r="E3280" s="8" t="s">
        <v>179</v>
      </c>
      <c r="F3280" s="9">
        <v>1</v>
      </c>
      <c r="G3280" s="5">
        <f>TRUNC([1]단가대비표!O1553,0)</f>
        <v>2755000</v>
      </c>
      <c r="H3280" s="5">
        <f t="shared" si="307"/>
        <v>2755000</v>
      </c>
      <c r="I3280" s="5">
        <v>225599</v>
      </c>
      <c r="J3280" s="5">
        <f t="shared" si="308"/>
        <v>225599</v>
      </c>
      <c r="K3280" s="5">
        <v>0</v>
      </c>
      <c r="L3280" s="5">
        <f t="shared" si="309"/>
        <v>0</v>
      </c>
      <c r="M3280" s="5">
        <f t="shared" si="311"/>
        <v>2980599</v>
      </c>
      <c r="N3280" s="5">
        <f t="shared" si="311"/>
        <v>2980599</v>
      </c>
      <c r="O3280" s="8" t="s">
        <v>20</v>
      </c>
      <c r="T3280">
        <v>0</v>
      </c>
      <c r="AC3280">
        <v>1</v>
      </c>
    </row>
    <row r="3281" spans="1:29" ht="30" customHeight="1" x14ac:dyDescent="0.3">
      <c r="A3281" s="8" t="s">
        <v>2679</v>
      </c>
      <c r="B3281" s="8" t="s">
        <v>2812</v>
      </c>
      <c r="C3281" s="8" t="s">
        <v>2810</v>
      </c>
      <c r="D3281" s="8" t="s">
        <v>2813</v>
      </c>
      <c r="E3281" s="8" t="s">
        <v>179</v>
      </c>
      <c r="F3281" s="9">
        <v>1</v>
      </c>
      <c r="G3281" s="5">
        <f>TRUNC([1]단가대비표!O1554,0)</f>
        <v>3306000</v>
      </c>
      <c r="H3281" s="5">
        <f t="shared" si="307"/>
        <v>3306000</v>
      </c>
      <c r="I3281" s="5">
        <v>469999</v>
      </c>
      <c r="J3281" s="5">
        <f t="shared" si="308"/>
        <v>469999</v>
      </c>
      <c r="K3281" s="5">
        <v>0</v>
      </c>
      <c r="L3281" s="5">
        <f t="shared" si="309"/>
        <v>0</v>
      </c>
      <c r="M3281" s="5">
        <f t="shared" si="311"/>
        <v>3775999</v>
      </c>
      <c r="N3281" s="5">
        <f t="shared" si="311"/>
        <v>3775999</v>
      </c>
      <c r="O3281" s="8" t="s">
        <v>20</v>
      </c>
      <c r="T3281">
        <v>0</v>
      </c>
      <c r="AC3281">
        <v>1</v>
      </c>
    </row>
    <row r="3282" spans="1:29" ht="30" customHeight="1" x14ac:dyDescent="0.3">
      <c r="A3282" s="8" t="s">
        <v>2679</v>
      </c>
      <c r="B3282" s="8" t="s">
        <v>2814</v>
      </c>
      <c r="C3282" s="8" t="s">
        <v>2815</v>
      </c>
      <c r="D3282" s="8" t="s">
        <v>2816</v>
      </c>
      <c r="E3282" s="8" t="s">
        <v>179</v>
      </c>
      <c r="F3282" s="9">
        <v>4</v>
      </c>
      <c r="G3282" s="5">
        <f>TRUNC([1]단가대비표!O1555,0)</f>
        <v>300000</v>
      </c>
      <c r="H3282" s="5">
        <f t="shared" si="307"/>
        <v>1200000</v>
      </c>
      <c r="I3282" s="5">
        <v>357199</v>
      </c>
      <c r="J3282" s="5">
        <f t="shared" si="308"/>
        <v>1428796</v>
      </c>
      <c r="K3282" s="5">
        <v>0</v>
      </c>
      <c r="L3282" s="5">
        <f t="shared" si="309"/>
        <v>0</v>
      </c>
      <c r="M3282" s="5">
        <f t="shared" si="311"/>
        <v>657199</v>
      </c>
      <c r="N3282" s="5">
        <f t="shared" si="311"/>
        <v>2628796</v>
      </c>
      <c r="O3282" s="8" t="s">
        <v>20</v>
      </c>
      <c r="T3282">
        <v>0</v>
      </c>
      <c r="AC3282">
        <v>1</v>
      </c>
    </row>
    <row r="3283" spans="1:29" ht="30" customHeight="1" x14ac:dyDescent="0.3">
      <c r="A3283" s="8" t="s">
        <v>2679</v>
      </c>
      <c r="B3283" s="8" t="s">
        <v>2817</v>
      </c>
      <c r="C3283" s="8" t="s">
        <v>2818</v>
      </c>
      <c r="D3283" s="8" t="s">
        <v>2819</v>
      </c>
      <c r="E3283" s="8" t="s">
        <v>179</v>
      </c>
      <c r="F3283" s="9">
        <v>1</v>
      </c>
      <c r="G3283" s="5">
        <f>TRUNC([1]단가대비표!O1556,0)</f>
        <v>720000</v>
      </c>
      <c r="H3283" s="5">
        <f t="shared" si="307"/>
        <v>720000</v>
      </c>
      <c r="I3283" s="5">
        <v>357199</v>
      </c>
      <c r="J3283" s="5">
        <f t="shared" si="308"/>
        <v>357199</v>
      </c>
      <c r="K3283" s="5">
        <v>0</v>
      </c>
      <c r="L3283" s="5">
        <f t="shared" si="309"/>
        <v>0</v>
      </c>
      <c r="M3283" s="5">
        <f t="shared" si="311"/>
        <v>1077199</v>
      </c>
      <c r="N3283" s="5">
        <f t="shared" si="311"/>
        <v>1077199</v>
      </c>
      <c r="O3283" s="8" t="s">
        <v>20</v>
      </c>
      <c r="T3283">
        <v>0</v>
      </c>
      <c r="AC3283">
        <v>1</v>
      </c>
    </row>
    <row r="3284" spans="1:29" ht="30" customHeight="1" x14ac:dyDescent="0.3">
      <c r="A3284" s="8" t="s">
        <v>2679</v>
      </c>
      <c r="B3284" s="8" t="s">
        <v>2820</v>
      </c>
      <c r="C3284" s="8" t="s">
        <v>2818</v>
      </c>
      <c r="D3284" s="8" t="s">
        <v>2821</v>
      </c>
      <c r="E3284" s="8" t="s">
        <v>179</v>
      </c>
      <c r="F3284" s="9">
        <v>2</v>
      </c>
      <c r="G3284" s="5">
        <f>TRUNC([1]단가대비표!O1557,0)</f>
        <v>460000</v>
      </c>
      <c r="H3284" s="5">
        <f t="shared" si="307"/>
        <v>920000</v>
      </c>
      <c r="I3284" s="5">
        <v>357199</v>
      </c>
      <c r="J3284" s="5">
        <f t="shared" si="308"/>
        <v>714398</v>
      </c>
      <c r="K3284" s="5">
        <v>0</v>
      </c>
      <c r="L3284" s="5">
        <f t="shared" si="309"/>
        <v>0</v>
      </c>
      <c r="M3284" s="5">
        <f t="shared" si="311"/>
        <v>817199</v>
      </c>
      <c r="N3284" s="5">
        <f t="shared" si="311"/>
        <v>1634398</v>
      </c>
      <c r="O3284" s="8" t="s">
        <v>20</v>
      </c>
      <c r="T3284">
        <v>0</v>
      </c>
      <c r="AC3284">
        <v>1</v>
      </c>
    </row>
    <row r="3285" spans="1:29" ht="30" customHeight="1" x14ac:dyDescent="0.3">
      <c r="A3285" s="8" t="s">
        <v>2679</v>
      </c>
      <c r="B3285" s="8" t="s">
        <v>2822</v>
      </c>
      <c r="C3285" s="8" t="s">
        <v>2823</v>
      </c>
      <c r="D3285" s="8" t="s">
        <v>2824</v>
      </c>
      <c r="E3285" s="8" t="s">
        <v>179</v>
      </c>
      <c r="F3285" s="9">
        <v>1</v>
      </c>
      <c r="G3285" s="5">
        <f>TRUNC([1]단가대비표!O1558,0)</f>
        <v>515000</v>
      </c>
      <c r="H3285" s="5">
        <f t="shared" si="307"/>
        <v>515000</v>
      </c>
      <c r="I3285" s="5">
        <v>0</v>
      </c>
      <c r="J3285" s="5">
        <f t="shared" si="308"/>
        <v>0</v>
      </c>
      <c r="K3285" s="5">
        <v>0</v>
      </c>
      <c r="L3285" s="5">
        <f t="shared" si="309"/>
        <v>0</v>
      </c>
      <c r="M3285" s="5">
        <f t="shared" si="311"/>
        <v>515000</v>
      </c>
      <c r="N3285" s="5">
        <f t="shared" si="311"/>
        <v>515000</v>
      </c>
      <c r="O3285" s="8" t="s">
        <v>20</v>
      </c>
      <c r="T3285">
        <v>0</v>
      </c>
      <c r="AC3285">
        <v>1</v>
      </c>
    </row>
    <row r="3286" spans="1:29" ht="30" customHeight="1" x14ac:dyDescent="0.3">
      <c r="A3286" s="8" t="s">
        <v>2679</v>
      </c>
      <c r="B3286" s="8" t="s">
        <v>2825</v>
      </c>
      <c r="C3286" s="8" t="s">
        <v>2823</v>
      </c>
      <c r="D3286" s="8" t="s">
        <v>2826</v>
      </c>
      <c r="E3286" s="8" t="s">
        <v>179</v>
      </c>
      <c r="F3286" s="9">
        <v>1</v>
      </c>
      <c r="G3286" s="5">
        <f>TRUNC([1]단가대비표!O1559,0)</f>
        <v>959000</v>
      </c>
      <c r="H3286" s="5">
        <f t="shared" si="307"/>
        <v>959000</v>
      </c>
      <c r="I3286" s="5">
        <v>0</v>
      </c>
      <c r="J3286" s="5">
        <f t="shared" si="308"/>
        <v>0</v>
      </c>
      <c r="K3286" s="5">
        <v>0</v>
      </c>
      <c r="L3286" s="5">
        <f t="shared" si="309"/>
        <v>0</v>
      </c>
      <c r="M3286" s="5">
        <f t="shared" si="311"/>
        <v>959000</v>
      </c>
      <c r="N3286" s="5">
        <f t="shared" si="311"/>
        <v>959000</v>
      </c>
      <c r="O3286" s="8" t="s">
        <v>20</v>
      </c>
      <c r="T3286">
        <v>0</v>
      </c>
      <c r="AC3286">
        <v>1</v>
      </c>
    </row>
    <row r="3287" spans="1:29" ht="30" customHeight="1" x14ac:dyDescent="0.3">
      <c r="A3287" s="8" t="s">
        <v>2679</v>
      </c>
      <c r="B3287" s="8" t="s">
        <v>2827</v>
      </c>
      <c r="C3287" s="8" t="s">
        <v>2828</v>
      </c>
      <c r="D3287" s="8" t="s">
        <v>2826</v>
      </c>
      <c r="E3287" s="8" t="s">
        <v>179</v>
      </c>
      <c r="F3287" s="9">
        <v>1</v>
      </c>
      <c r="G3287" s="5">
        <f>TRUNC([1]단가대비표!O1560,0)</f>
        <v>1613000</v>
      </c>
      <c r="H3287" s="5">
        <f t="shared" si="307"/>
        <v>1613000</v>
      </c>
      <c r="I3287" s="5">
        <v>0</v>
      </c>
      <c r="J3287" s="5">
        <f t="shared" si="308"/>
        <v>0</v>
      </c>
      <c r="K3287" s="5">
        <v>0</v>
      </c>
      <c r="L3287" s="5">
        <f t="shared" si="309"/>
        <v>0</v>
      </c>
      <c r="M3287" s="5">
        <f t="shared" si="311"/>
        <v>1613000</v>
      </c>
      <c r="N3287" s="5">
        <f t="shared" si="311"/>
        <v>1613000</v>
      </c>
      <c r="O3287" s="8" t="s">
        <v>20</v>
      </c>
      <c r="T3287">
        <v>0</v>
      </c>
      <c r="AC3287">
        <v>1</v>
      </c>
    </row>
    <row r="3288" spans="1:29" ht="30" customHeight="1" x14ac:dyDescent="0.3">
      <c r="A3288" s="8" t="s">
        <v>2679</v>
      </c>
      <c r="B3288" s="8" t="s">
        <v>2829</v>
      </c>
      <c r="C3288" s="8" t="s">
        <v>2830</v>
      </c>
      <c r="D3288" s="8" t="s">
        <v>2831</v>
      </c>
      <c r="E3288" s="8" t="s">
        <v>179</v>
      </c>
      <c r="F3288" s="9">
        <v>1</v>
      </c>
      <c r="G3288" s="5">
        <f>TRUNC([1]단가대비표!O1561,0)</f>
        <v>594000</v>
      </c>
      <c r="H3288" s="5">
        <f t="shared" si="307"/>
        <v>594000</v>
      </c>
      <c r="I3288" s="5">
        <v>357199</v>
      </c>
      <c r="J3288" s="5">
        <f t="shared" si="308"/>
        <v>357199</v>
      </c>
      <c r="K3288" s="5">
        <v>0</v>
      </c>
      <c r="L3288" s="5">
        <f t="shared" si="309"/>
        <v>0</v>
      </c>
      <c r="M3288" s="5">
        <f t="shared" si="311"/>
        <v>951199</v>
      </c>
      <c r="N3288" s="5">
        <f t="shared" si="311"/>
        <v>951199</v>
      </c>
      <c r="O3288" s="8" t="s">
        <v>20</v>
      </c>
      <c r="T3288">
        <v>0</v>
      </c>
      <c r="AC3288">
        <v>1</v>
      </c>
    </row>
    <row r="3289" spans="1:29" ht="30" customHeight="1" x14ac:dyDescent="0.3">
      <c r="A3289" s="8" t="s">
        <v>2679</v>
      </c>
      <c r="B3289" s="8" t="s">
        <v>2832</v>
      </c>
      <c r="C3289" s="8" t="s">
        <v>2833</v>
      </c>
      <c r="D3289" s="8" t="s">
        <v>20</v>
      </c>
      <c r="E3289" s="8" t="s">
        <v>20</v>
      </c>
      <c r="F3289" s="9">
        <v>0</v>
      </c>
      <c r="G3289" s="5">
        <f>TRUNC([1]단가대비표!O1562,0)</f>
        <v>0</v>
      </c>
      <c r="H3289" s="5">
        <f t="shared" si="307"/>
        <v>0</v>
      </c>
      <c r="I3289" s="5">
        <v>0</v>
      </c>
      <c r="J3289" s="5">
        <f t="shared" si="308"/>
        <v>0</v>
      </c>
      <c r="K3289" s="5">
        <v>0</v>
      </c>
      <c r="L3289" s="5">
        <f t="shared" si="309"/>
        <v>0</v>
      </c>
      <c r="M3289" s="5">
        <f t="shared" si="311"/>
        <v>0</v>
      </c>
      <c r="N3289" s="5">
        <f t="shared" si="311"/>
        <v>0</v>
      </c>
      <c r="O3289" s="8" t="s">
        <v>20</v>
      </c>
      <c r="T3289">
        <v>0</v>
      </c>
      <c r="AC3289">
        <v>1</v>
      </c>
    </row>
    <row r="3290" spans="1:29" ht="30" customHeight="1" x14ac:dyDescent="0.3">
      <c r="A3290" s="8" t="s">
        <v>2679</v>
      </c>
      <c r="B3290" s="8" t="s">
        <v>2834</v>
      </c>
      <c r="C3290" s="8" t="s">
        <v>2835</v>
      </c>
      <c r="D3290" s="8" t="s">
        <v>2836</v>
      </c>
      <c r="E3290" s="8" t="s">
        <v>168</v>
      </c>
      <c r="F3290" s="9">
        <v>3624</v>
      </c>
      <c r="G3290" s="5">
        <f>TRUNC([1]단가대비표!O1563,0)</f>
        <v>2547</v>
      </c>
      <c r="H3290" s="5">
        <f t="shared" si="307"/>
        <v>9230328</v>
      </c>
      <c r="I3290" s="5">
        <v>10881</v>
      </c>
      <c r="J3290" s="5">
        <f t="shared" si="308"/>
        <v>39432744</v>
      </c>
      <c r="K3290" s="5">
        <v>0</v>
      </c>
      <c r="L3290" s="5">
        <f t="shared" si="309"/>
        <v>0</v>
      </c>
      <c r="M3290" s="5">
        <f t="shared" si="311"/>
        <v>13428</v>
      </c>
      <c r="N3290" s="5">
        <f t="shared" si="311"/>
        <v>48663072</v>
      </c>
      <c r="O3290" s="8" t="s">
        <v>20</v>
      </c>
      <c r="T3290">
        <v>0</v>
      </c>
      <c r="AC3290">
        <v>1</v>
      </c>
    </row>
    <row r="3291" spans="1:29" ht="30" customHeight="1" x14ac:dyDescent="0.3">
      <c r="A3291" s="8" t="s">
        <v>2679</v>
      </c>
      <c r="B3291" s="8" t="s">
        <v>2837</v>
      </c>
      <c r="C3291" s="8" t="s">
        <v>2835</v>
      </c>
      <c r="D3291" s="8" t="s">
        <v>2838</v>
      </c>
      <c r="E3291" s="8" t="s">
        <v>168</v>
      </c>
      <c r="F3291" s="9">
        <v>442</v>
      </c>
      <c r="G3291" s="5">
        <f>TRUNC([1]단가대비표!O1564,0)</f>
        <v>3354</v>
      </c>
      <c r="H3291" s="5">
        <f t="shared" si="307"/>
        <v>1482468</v>
      </c>
      <c r="I3291" s="5">
        <v>13058</v>
      </c>
      <c r="J3291" s="5">
        <f t="shared" si="308"/>
        <v>5771636</v>
      </c>
      <c r="K3291" s="5">
        <v>0</v>
      </c>
      <c r="L3291" s="5">
        <f t="shared" si="309"/>
        <v>0</v>
      </c>
      <c r="M3291" s="5">
        <f t="shared" si="311"/>
        <v>16412</v>
      </c>
      <c r="N3291" s="5">
        <f t="shared" si="311"/>
        <v>7254104</v>
      </c>
      <c r="O3291" s="8" t="s">
        <v>20</v>
      </c>
      <c r="T3291">
        <v>0</v>
      </c>
      <c r="AC3291">
        <v>1</v>
      </c>
    </row>
    <row r="3292" spans="1:29" ht="30" customHeight="1" x14ac:dyDescent="0.3">
      <c r="A3292" s="8" t="s">
        <v>2679</v>
      </c>
      <c r="B3292" s="8" t="s">
        <v>2839</v>
      </c>
      <c r="C3292" s="8" t="s">
        <v>2835</v>
      </c>
      <c r="D3292" s="8" t="s">
        <v>2840</v>
      </c>
      <c r="E3292" s="8" t="s">
        <v>168</v>
      </c>
      <c r="F3292" s="9">
        <v>162</v>
      </c>
      <c r="G3292" s="5">
        <f>TRUNC([1]단가대비표!O1565,0)</f>
        <v>4696</v>
      </c>
      <c r="H3292" s="5">
        <f t="shared" si="307"/>
        <v>760752</v>
      </c>
      <c r="I3292" s="5">
        <v>17410</v>
      </c>
      <c r="J3292" s="5">
        <f t="shared" si="308"/>
        <v>2820420</v>
      </c>
      <c r="K3292" s="5">
        <v>0</v>
      </c>
      <c r="L3292" s="5">
        <f t="shared" si="309"/>
        <v>0</v>
      </c>
      <c r="M3292" s="5">
        <f t="shared" si="311"/>
        <v>22106</v>
      </c>
      <c r="N3292" s="5">
        <f t="shared" si="311"/>
        <v>3581172</v>
      </c>
      <c r="O3292" s="8" t="s">
        <v>20</v>
      </c>
      <c r="T3292">
        <v>0</v>
      </c>
      <c r="AC3292">
        <v>1</v>
      </c>
    </row>
    <row r="3293" spans="1:29" ht="30" customHeight="1" x14ac:dyDescent="0.3">
      <c r="A3293" s="8" t="s">
        <v>2679</v>
      </c>
      <c r="B3293" s="8" t="s">
        <v>2841</v>
      </c>
      <c r="C3293" s="8" t="s">
        <v>2835</v>
      </c>
      <c r="D3293" s="8" t="s">
        <v>2842</v>
      </c>
      <c r="E3293" s="8" t="s">
        <v>168</v>
      </c>
      <c r="F3293" s="9">
        <v>334</v>
      </c>
      <c r="G3293" s="5">
        <f>TRUNC([1]단가대비표!O1566,0)</f>
        <v>5840</v>
      </c>
      <c r="H3293" s="5">
        <f t="shared" ref="H3293:H3333" si="312">TRUNC(F3293*G3293,0)</f>
        <v>1950560</v>
      </c>
      <c r="I3293" s="5">
        <v>21763</v>
      </c>
      <c r="J3293" s="5">
        <f t="shared" ref="J3293:J3333" si="313">TRUNC(F3293*I3293,0)</f>
        <v>7268842</v>
      </c>
      <c r="K3293" s="5">
        <v>0</v>
      </c>
      <c r="L3293" s="5">
        <f t="shared" ref="L3293:L3333" si="314">TRUNC(F3293*K3293,0)</f>
        <v>0</v>
      </c>
      <c r="M3293" s="5">
        <f t="shared" ref="M3293:N3324" si="315">G3293+I3293+K3293</f>
        <v>27603</v>
      </c>
      <c r="N3293" s="5">
        <f t="shared" si="315"/>
        <v>9219402</v>
      </c>
      <c r="O3293" s="8" t="s">
        <v>20</v>
      </c>
      <c r="T3293">
        <v>0</v>
      </c>
      <c r="AC3293">
        <v>1</v>
      </c>
    </row>
    <row r="3294" spans="1:29" ht="30" customHeight="1" x14ac:dyDescent="0.3">
      <c r="A3294" s="8" t="s">
        <v>2679</v>
      </c>
      <c r="B3294" s="8" t="s">
        <v>2843</v>
      </c>
      <c r="C3294" s="8" t="s">
        <v>2844</v>
      </c>
      <c r="D3294" s="8" t="s">
        <v>2845</v>
      </c>
      <c r="E3294" s="8" t="s">
        <v>168</v>
      </c>
      <c r="F3294" s="9">
        <v>36</v>
      </c>
      <c r="G3294" s="5">
        <f>TRUNC([1]단가대비표!O1567,0)</f>
        <v>2260</v>
      </c>
      <c r="H3294" s="5">
        <f t="shared" si="312"/>
        <v>81360</v>
      </c>
      <c r="I3294" s="5">
        <v>9575</v>
      </c>
      <c r="J3294" s="5">
        <f t="shared" si="313"/>
        <v>344700</v>
      </c>
      <c r="K3294" s="5">
        <v>0</v>
      </c>
      <c r="L3294" s="5">
        <f t="shared" si="314"/>
        <v>0</v>
      </c>
      <c r="M3294" s="5">
        <f t="shared" si="315"/>
        <v>11835</v>
      </c>
      <c r="N3294" s="5">
        <f t="shared" si="315"/>
        <v>426060</v>
      </c>
      <c r="O3294" s="8" t="s">
        <v>20</v>
      </c>
      <c r="T3294">
        <v>0</v>
      </c>
      <c r="AC3294">
        <v>1</v>
      </c>
    </row>
    <row r="3295" spans="1:29" ht="30" customHeight="1" x14ac:dyDescent="0.3">
      <c r="A3295" s="8" t="s">
        <v>2679</v>
      </c>
      <c r="B3295" s="8" t="s">
        <v>2846</v>
      </c>
      <c r="C3295" s="8" t="s">
        <v>2844</v>
      </c>
      <c r="D3295" s="8" t="s">
        <v>2847</v>
      </c>
      <c r="E3295" s="8" t="s">
        <v>168</v>
      </c>
      <c r="F3295" s="9">
        <v>3</v>
      </c>
      <c r="G3295" s="5">
        <f>TRUNC([1]단가대비표!O1568,0)</f>
        <v>2880</v>
      </c>
      <c r="H3295" s="5">
        <f t="shared" si="312"/>
        <v>8640</v>
      </c>
      <c r="I3295" s="5">
        <v>12840</v>
      </c>
      <c r="J3295" s="5">
        <f t="shared" si="313"/>
        <v>38520</v>
      </c>
      <c r="K3295" s="5">
        <v>0</v>
      </c>
      <c r="L3295" s="5">
        <f t="shared" si="314"/>
        <v>0</v>
      </c>
      <c r="M3295" s="5">
        <f t="shared" si="315"/>
        <v>15720</v>
      </c>
      <c r="N3295" s="5">
        <f t="shared" si="315"/>
        <v>47160</v>
      </c>
      <c r="O3295" s="8" t="s">
        <v>20</v>
      </c>
      <c r="T3295">
        <v>0</v>
      </c>
      <c r="AC3295">
        <v>1</v>
      </c>
    </row>
    <row r="3296" spans="1:29" ht="30" customHeight="1" x14ac:dyDescent="0.3">
      <c r="A3296" s="8" t="s">
        <v>2679</v>
      </c>
      <c r="B3296" s="8" t="s">
        <v>2848</v>
      </c>
      <c r="C3296" s="8" t="s">
        <v>2849</v>
      </c>
      <c r="D3296" s="8" t="s">
        <v>2845</v>
      </c>
      <c r="E3296" s="8" t="s">
        <v>179</v>
      </c>
      <c r="F3296" s="9">
        <v>66</v>
      </c>
      <c r="G3296" s="5">
        <f>TRUNC([1]단가대비표!O1569,0)</f>
        <v>2700</v>
      </c>
      <c r="H3296" s="5">
        <f t="shared" si="312"/>
        <v>178200</v>
      </c>
      <c r="I3296" s="5">
        <v>0</v>
      </c>
      <c r="J3296" s="5">
        <f t="shared" si="313"/>
        <v>0</v>
      </c>
      <c r="K3296" s="5">
        <v>0</v>
      </c>
      <c r="L3296" s="5">
        <f t="shared" si="314"/>
        <v>0</v>
      </c>
      <c r="M3296" s="5">
        <f t="shared" si="315"/>
        <v>2700</v>
      </c>
      <c r="N3296" s="5">
        <f t="shared" si="315"/>
        <v>178200</v>
      </c>
      <c r="O3296" s="8" t="s">
        <v>20</v>
      </c>
      <c r="T3296">
        <v>0</v>
      </c>
      <c r="AC3296">
        <v>1</v>
      </c>
    </row>
    <row r="3297" spans="1:29" ht="30" customHeight="1" x14ac:dyDescent="0.3">
      <c r="A3297" s="8" t="s">
        <v>2679</v>
      </c>
      <c r="B3297" s="8" t="s">
        <v>2850</v>
      </c>
      <c r="C3297" s="8" t="s">
        <v>2849</v>
      </c>
      <c r="D3297" s="8" t="s">
        <v>2847</v>
      </c>
      <c r="E3297" s="8" t="s">
        <v>179</v>
      </c>
      <c r="F3297" s="9">
        <v>6</v>
      </c>
      <c r="G3297" s="5">
        <f>TRUNC([1]단가대비표!O1570,0)</f>
        <v>3300</v>
      </c>
      <c r="H3297" s="5">
        <f t="shared" si="312"/>
        <v>19800</v>
      </c>
      <c r="I3297" s="5">
        <v>0</v>
      </c>
      <c r="J3297" s="5">
        <f t="shared" si="313"/>
        <v>0</v>
      </c>
      <c r="K3297" s="5">
        <v>0</v>
      </c>
      <c r="L3297" s="5">
        <f t="shared" si="314"/>
        <v>0</v>
      </c>
      <c r="M3297" s="5">
        <f t="shared" si="315"/>
        <v>3300</v>
      </c>
      <c r="N3297" s="5">
        <f t="shared" si="315"/>
        <v>19800</v>
      </c>
      <c r="O3297" s="8" t="s">
        <v>20</v>
      </c>
      <c r="T3297">
        <v>0</v>
      </c>
      <c r="AC3297">
        <v>1</v>
      </c>
    </row>
    <row r="3298" spans="1:29" ht="30" customHeight="1" x14ac:dyDescent="0.3">
      <c r="A3298" s="8" t="s">
        <v>2679</v>
      </c>
      <c r="B3298" s="8" t="s">
        <v>2851</v>
      </c>
      <c r="C3298" s="8" t="s">
        <v>2852</v>
      </c>
      <c r="D3298" s="8" t="s">
        <v>2853</v>
      </c>
      <c r="E3298" s="8" t="s">
        <v>185</v>
      </c>
      <c r="F3298" s="9">
        <v>970</v>
      </c>
      <c r="G3298" s="5">
        <f>TRUNC([1]단가대비표!O1571,0)</f>
        <v>2916</v>
      </c>
      <c r="H3298" s="5">
        <f t="shared" si="312"/>
        <v>2828520</v>
      </c>
      <c r="I3298" s="5">
        <v>6529</v>
      </c>
      <c r="J3298" s="5">
        <f t="shared" si="313"/>
        <v>6333130</v>
      </c>
      <c r="K3298" s="5">
        <v>0</v>
      </c>
      <c r="L3298" s="5">
        <f t="shared" si="314"/>
        <v>0</v>
      </c>
      <c r="M3298" s="5">
        <f t="shared" si="315"/>
        <v>9445</v>
      </c>
      <c r="N3298" s="5">
        <f t="shared" si="315"/>
        <v>9161650</v>
      </c>
      <c r="O3298" s="8" t="s">
        <v>20</v>
      </c>
      <c r="T3298">
        <v>0</v>
      </c>
      <c r="AC3298">
        <v>1</v>
      </c>
    </row>
    <row r="3299" spans="1:29" ht="30" customHeight="1" x14ac:dyDescent="0.3">
      <c r="A3299" s="8" t="s">
        <v>2679</v>
      </c>
      <c r="B3299" s="8" t="s">
        <v>2854</v>
      </c>
      <c r="C3299" s="8" t="s">
        <v>2852</v>
      </c>
      <c r="D3299" s="8" t="s">
        <v>2855</v>
      </c>
      <c r="E3299" s="8" t="s">
        <v>185</v>
      </c>
      <c r="F3299" s="9">
        <v>71</v>
      </c>
      <c r="G3299" s="5">
        <f>TRUNC([1]단가대비표!O1572,0)</f>
        <v>2934</v>
      </c>
      <c r="H3299" s="5">
        <f t="shared" si="312"/>
        <v>208314</v>
      </c>
      <c r="I3299" s="5">
        <v>6529</v>
      </c>
      <c r="J3299" s="5">
        <f t="shared" si="313"/>
        <v>463559</v>
      </c>
      <c r="K3299" s="5">
        <v>0</v>
      </c>
      <c r="L3299" s="5">
        <f t="shared" si="314"/>
        <v>0</v>
      </c>
      <c r="M3299" s="5">
        <f t="shared" si="315"/>
        <v>9463</v>
      </c>
      <c r="N3299" s="5">
        <f t="shared" si="315"/>
        <v>671873</v>
      </c>
      <c r="O3299" s="8" t="s">
        <v>20</v>
      </c>
      <c r="T3299">
        <v>0</v>
      </c>
      <c r="AC3299">
        <v>1</v>
      </c>
    </row>
    <row r="3300" spans="1:29" ht="30" customHeight="1" x14ac:dyDescent="0.3">
      <c r="A3300" s="8" t="s">
        <v>2679</v>
      </c>
      <c r="B3300" s="8" t="s">
        <v>2856</v>
      </c>
      <c r="C3300" s="8" t="s">
        <v>2852</v>
      </c>
      <c r="D3300" s="8" t="s">
        <v>2857</v>
      </c>
      <c r="E3300" s="8" t="s">
        <v>185</v>
      </c>
      <c r="F3300" s="9">
        <v>42</v>
      </c>
      <c r="G3300" s="5">
        <f>TRUNC([1]단가대비표!O1573,0)</f>
        <v>2971</v>
      </c>
      <c r="H3300" s="5">
        <f t="shared" si="312"/>
        <v>124782</v>
      </c>
      <c r="I3300" s="5">
        <v>6529</v>
      </c>
      <c r="J3300" s="5">
        <f t="shared" si="313"/>
        <v>274218</v>
      </c>
      <c r="K3300" s="5">
        <v>0</v>
      </c>
      <c r="L3300" s="5">
        <f t="shared" si="314"/>
        <v>0</v>
      </c>
      <c r="M3300" s="5">
        <f t="shared" si="315"/>
        <v>9500</v>
      </c>
      <c r="N3300" s="5">
        <f t="shared" si="315"/>
        <v>399000</v>
      </c>
      <c r="O3300" s="8" t="s">
        <v>20</v>
      </c>
      <c r="T3300">
        <v>0</v>
      </c>
      <c r="AC3300">
        <v>1</v>
      </c>
    </row>
    <row r="3301" spans="1:29" ht="30" customHeight="1" x14ac:dyDescent="0.3">
      <c r="A3301" s="8" t="s">
        <v>2679</v>
      </c>
      <c r="B3301" s="8" t="s">
        <v>2858</v>
      </c>
      <c r="C3301" s="8" t="s">
        <v>2852</v>
      </c>
      <c r="D3301" s="8" t="s">
        <v>2859</v>
      </c>
      <c r="E3301" s="8" t="s">
        <v>185</v>
      </c>
      <c r="F3301" s="9">
        <v>78</v>
      </c>
      <c r="G3301" s="5">
        <f>TRUNC([1]단가대비표!O1574,0)</f>
        <v>3017</v>
      </c>
      <c r="H3301" s="5">
        <f t="shared" si="312"/>
        <v>235326</v>
      </c>
      <c r="I3301" s="5">
        <v>6529</v>
      </c>
      <c r="J3301" s="5">
        <f t="shared" si="313"/>
        <v>509262</v>
      </c>
      <c r="K3301" s="5">
        <v>0</v>
      </c>
      <c r="L3301" s="5">
        <f t="shared" si="314"/>
        <v>0</v>
      </c>
      <c r="M3301" s="5">
        <f t="shared" si="315"/>
        <v>9546</v>
      </c>
      <c r="N3301" s="5">
        <f t="shared" si="315"/>
        <v>744588</v>
      </c>
      <c r="O3301" s="8" t="s">
        <v>20</v>
      </c>
      <c r="T3301">
        <v>0</v>
      </c>
      <c r="AC3301">
        <v>1</v>
      </c>
    </row>
    <row r="3302" spans="1:29" ht="30" customHeight="1" x14ac:dyDescent="0.3">
      <c r="A3302" s="8" t="s">
        <v>2679</v>
      </c>
      <c r="B3302" s="8" t="s">
        <v>2860</v>
      </c>
      <c r="C3302" s="8" t="s">
        <v>2861</v>
      </c>
      <c r="D3302" s="8" t="s">
        <v>2840</v>
      </c>
      <c r="E3302" s="8" t="s">
        <v>179</v>
      </c>
      <c r="F3302" s="9">
        <v>11</v>
      </c>
      <c r="G3302" s="5">
        <f>TRUNC([1]단가대비표!O1575,0)</f>
        <v>4200</v>
      </c>
      <c r="H3302" s="5">
        <f t="shared" si="312"/>
        <v>46200</v>
      </c>
      <c r="I3302" s="5">
        <v>10881</v>
      </c>
      <c r="J3302" s="5">
        <f t="shared" si="313"/>
        <v>119691</v>
      </c>
      <c r="K3302" s="5">
        <v>0</v>
      </c>
      <c r="L3302" s="5">
        <f t="shared" si="314"/>
        <v>0</v>
      </c>
      <c r="M3302" s="5">
        <f t="shared" si="315"/>
        <v>15081</v>
      </c>
      <c r="N3302" s="5">
        <f t="shared" si="315"/>
        <v>165891</v>
      </c>
      <c r="O3302" s="8" t="s">
        <v>20</v>
      </c>
      <c r="T3302">
        <v>0</v>
      </c>
      <c r="AC3302">
        <v>1</v>
      </c>
    </row>
    <row r="3303" spans="1:29" ht="30" customHeight="1" x14ac:dyDescent="0.3">
      <c r="A3303" s="8" t="s">
        <v>2679</v>
      </c>
      <c r="B3303" s="8" t="s">
        <v>2862</v>
      </c>
      <c r="C3303" s="8" t="s">
        <v>2861</v>
      </c>
      <c r="D3303" s="8" t="s">
        <v>2842</v>
      </c>
      <c r="E3303" s="8" t="s">
        <v>179</v>
      </c>
      <c r="F3303" s="9">
        <v>23</v>
      </c>
      <c r="G3303" s="5">
        <f>TRUNC([1]단가대비표!O1576,0)</f>
        <v>5620</v>
      </c>
      <c r="H3303" s="5">
        <f t="shared" si="312"/>
        <v>129260</v>
      </c>
      <c r="I3303" s="5">
        <v>10881</v>
      </c>
      <c r="J3303" s="5">
        <f t="shared" si="313"/>
        <v>250263</v>
      </c>
      <c r="K3303" s="5">
        <v>0</v>
      </c>
      <c r="L3303" s="5">
        <f t="shared" si="314"/>
        <v>0</v>
      </c>
      <c r="M3303" s="5">
        <f t="shared" si="315"/>
        <v>16501</v>
      </c>
      <c r="N3303" s="5">
        <f t="shared" si="315"/>
        <v>379523</v>
      </c>
      <c r="O3303" s="8" t="s">
        <v>20</v>
      </c>
      <c r="T3303">
        <v>0</v>
      </c>
      <c r="AC3303">
        <v>1</v>
      </c>
    </row>
    <row r="3304" spans="1:29" ht="30" customHeight="1" x14ac:dyDescent="0.3">
      <c r="A3304" s="8" t="s">
        <v>2679</v>
      </c>
      <c r="B3304" s="8" t="s">
        <v>2863</v>
      </c>
      <c r="C3304" s="8" t="s">
        <v>2864</v>
      </c>
      <c r="D3304" s="8" t="s">
        <v>2865</v>
      </c>
      <c r="E3304" s="8" t="s">
        <v>179</v>
      </c>
      <c r="F3304" s="9">
        <v>36</v>
      </c>
      <c r="G3304" s="5">
        <f>TRUNC([1]단가대비표!O1577,0)</f>
        <v>2475</v>
      </c>
      <c r="H3304" s="5">
        <f t="shared" si="312"/>
        <v>89100</v>
      </c>
      <c r="I3304" s="5">
        <v>8705</v>
      </c>
      <c r="J3304" s="5">
        <f t="shared" si="313"/>
        <v>313380</v>
      </c>
      <c r="K3304" s="5">
        <v>0</v>
      </c>
      <c r="L3304" s="5">
        <f t="shared" si="314"/>
        <v>0</v>
      </c>
      <c r="M3304" s="5">
        <f t="shared" si="315"/>
        <v>11180</v>
      </c>
      <c r="N3304" s="5">
        <f t="shared" si="315"/>
        <v>402480</v>
      </c>
      <c r="O3304" s="8" t="s">
        <v>20</v>
      </c>
      <c r="T3304">
        <v>0</v>
      </c>
      <c r="AC3304">
        <v>1</v>
      </c>
    </row>
    <row r="3305" spans="1:29" ht="30" customHeight="1" x14ac:dyDescent="0.3">
      <c r="A3305" s="8" t="s">
        <v>2679</v>
      </c>
      <c r="B3305" s="8" t="s">
        <v>2866</v>
      </c>
      <c r="C3305" s="8" t="s">
        <v>2867</v>
      </c>
      <c r="D3305" s="8" t="s">
        <v>2868</v>
      </c>
      <c r="E3305" s="8" t="s">
        <v>179</v>
      </c>
      <c r="F3305" s="9">
        <v>9</v>
      </c>
      <c r="G3305" s="5">
        <f>TRUNC([1]단가대비표!O1578,0)</f>
        <v>583</v>
      </c>
      <c r="H3305" s="5">
        <f t="shared" si="312"/>
        <v>5247</v>
      </c>
      <c r="I3305" s="5">
        <v>36272</v>
      </c>
      <c r="J3305" s="5">
        <f t="shared" si="313"/>
        <v>326448</v>
      </c>
      <c r="K3305" s="5">
        <v>0</v>
      </c>
      <c r="L3305" s="5">
        <f t="shared" si="314"/>
        <v>0</v>
      </c>
      <c r="M3305" s="5">
        <f t="shared" si="315"/>
        <v>36855</v>
      </c>
      <c r="N3305" s="5">
        <f t="shared" si="315"/>
        <v>331695</v>
      </c>
      <c r="O3305" s="8" t="s">
        <v>20</v>
      </c>
      <c r="T3305">
        <v>0</v>
      </c>
      <c r="AC3305">
        <v>1</v>
      </c>
    </row>
    <row r="3306" spans="1:29" ht="30" customHeight="1" x14ac:dyDescent="0.3">
      <c r="A3306" s="8" t="s">
        <v>2679</v>
      </c>
      <c r="B3306" s="8" t="s">
        <v>2869</v>
      </c>
      <c r="C3306" s="8" t="s">
        <v>2870</v>
      </c>
      <c r="D3306" s="8" t="s">
        <v>2871</v>
      </c>
      <c r="E3306" s="8" t="s">
        <v>179</v>
      </c>
      <c r="F3306" s="9">
        <v>32</v>
      </c>
      <c r="G3306" s="5">
        <f>TRUNC([1]단가대비표!O1579,0)</f>
        <v>3245</v>
      </c>
      <c r="H3306" s="5">
        <f t="shared" si="312"/>
        <v>103840</v>
      </c>
      <c r="I3306" s="5">
        <v>47879</v>
      </c>
      <c r="J3306" s="5">
        <f t="shared" si="313"/>
        <v>1532128</v>
      </c>
      <c r="K3306" s="5">
        <v>0</v>
      </c>
      <c r="L3306" s="5">
        <f t="shared" si="314"/>
        <v>0</v>
      </c>
      <c r="M3306" s="5">
        <f t="shared" si="315"/>
        <v>51124</v>
      </c>
      <c r="N3306" s="5">
        <f t="shared" si="315"/>
        <v>1635968</v>
      </c>
      <c r="O3306" s="8" t="s">
        <v>20</v>
      </c>
      <c r="T3306">
        <v>0</v>
      </c>
      <c r="AC3306">
        <v>1</v>
      </c>
    </row>
    <row r="3307" spans="1:29" ht="30" customHeight="1" x14ac:dyDescent="0.3">
      <c r="A3307" s="8" t="s">
        <v>2679</v>
      </c>
      <c r="B3307" s="8" t="s">
        <v>2872</v>
      </c>
      <c r="C3307" s="8" t="s">
        <v>2870</v>
      </c>
      <c r="D3307" s="8" t="s">
        <v>2873</v>
      </c>
      <c r="E3307" s="8" t="s">
        <v>179</v>
      </c>
      <c r="F3307" s="9">
        <v>8</v>
      </c>
      <c r="G3307" s="5">
        <f>TRUNC([1]단가대비표!O1580,0)</f>
        <v>11935</v>
      </c>
      <c r="H3307" s="5">
        <f t="shared" si="312"/>
        <v>95480</v>
      </c>
      <c r="I3307" s="5">
        <v>76172</v>
      </c>
      <c r="J3307" s="5">
        <f t="shared" si="313"/>
        <v>609376</v>
      </c>
      <c r="K3307" s="5">
        <v>0</v>
      </c>
      <c r="L3307" s="5">
        <f t="shared" si="314"/>
        <v>0</v>
      </c>
      <c r="M3307" s="5">
        <f t="shared" si="315"/>
        <v>88107</v>
      </c>
      <c r="N3307" s="5">
        <f t="shared" si="315"/>
        <v>704856</v>
      </c>
      <c r="O3307" s="8" t="s">
        <v>20</v>
      </c>
      <c r="T3307">
        <v>0</v>
      </c>
      <c r="AC3307">
        <v>1</v>
      </c>
    </row>
    <row r="3308" spans="1:29" ht="30" customHeight="1" x14ac:dyDescent="0.3">
      <c r="A3308" s="8" t="s">
        <v>2679</v>
      </c>
      <c r="B3308" s="8" t="s">
        <v>2874</v>
      </c>
      <c r="C3308" s="8" t="s">
        <v>2870</v>
      </c>
      <c r="D3308" s="8" t="s">
        <v>2875</v>
      </c>
      <c r="E3308" s="8" t="s">
        <v>179</v>
      </c>
      <c r="F3308" s="9">
        <v>12</v>
      </c>
      <c r="G3308" s="5">
        <f>TRUNC([1]단가대비표!O1581,0)</f>
        <v>39380</v>
      </c>
      <c r="H3308" s="5">
        <f t="shared" si="312"/>
        <v>472560</v>
      </c>
      <c r="I3308" s="5">
        <v>143638</v>
      </c>
      <c r="J3308" s="5">
        <f t="shared" si="313"/>
        <v>1723656</v>
      </c>
      <c r="K3308" s="5">
        <v>0</v>
      </c>
      <c r="L3308" s="5">
        <f t="shared" si="314"/>
        <v>0</v>
      </c>
      <c r="M3308" s="5">
        <f t="shared" si="315"/>
        <v>183018</v>
      </c>
      <c r="N3308" s="5">
        <f t="shared" si="315"/>
        <v>2196216</v>
      </c>
      <c r="O3308" s="8" t="s">
        <v>20</v>
      </c>
      <c r="T3308">
        <v>0</v>
      </c>
      <c r="AC3308">
        <v>1</v>
      </c>
    </row>
    <row r="3309" spans="1:29" ht="30" customHeight="1" x14ac:dyDescent="0.3">
      <c r="A3309" s="8" t="s">
        <v>2679</v>
      </c>
      <c r="B3309" s="8" t="s">
        <v>2876</v>
      </c>
      <c r="C3309" s="8" t="s">
        <v>2877</v>
      </c>
      <c r="D3309" s="8" t="s">
        <v>2878</v>
      </c>
      <c r="E3309" s="8" t="s">
        <v>168</v>
      </c>
      <c r="F3309" s="9">
        <v>186</v>
      </c>
      <c r="G3309" s="5">
        <f>TRUNC([1]단가대비표!O1582,0)</f>
        <v>2892</v>
      </c>
      <c r="H3309" s="5">
        <f t="shared" si="312"/>
        <v>537912</v>
      </c>
      <c r="I3309" s="5">
        <v>0</v>
      </c>
      <c r="J3309" s="5">
        <f t="shared" si="313"/>
        <v>0</v>
      </c>
      <c r="K3309" s="5">
        <v>0</v>
      </c>
      <c r="L3309" s="5">
        <f t="shared" si="314"/>
        <v>0</v>
      </c>
      <c r="M3309" s="5">
        <f t="shared" si="315"/>
        <v>2892</v>
      </c>
      <c r="N3309" s="5">
        <f t="shared" si="315"/>
        <v>537912</v>
      </c>
      <c r="O3309" s="8" t="s">
        <v>20</v>
      </c>
      <c r="T3309">
        <v>0</v>
      </c>
      <c r="AC3309">
        <v>1</v>
      </c>
    </row>
    <row r="3310" spans="1:29" ht="30" customHeight="1" x14ac:dyDescent="0.3">
      <c r="A3310" s="8" t="s">
        <v>2679</v>
      </c>
      <c r="B3310" s="8" t="s">
        <v>2879</v>
      </c>
      <c r="C3310" s="8" t="s">
        <v>2880</v>
      </c>
      <c r="D3310" s="8" t="s">
        <v>2881</v>
      </c>
      <c r="E3310" s="8" t="s">
        <v>168</v>
      </c>
      <c r="F3310" s="9">
        <v>989</v>
      </c>
      <c r="G3310" s="5">
        <f>TRUNC([1]단가대비표!O1583,0)</f>
        <v>649</v>
      </c>
      <c r="H3310" s="5">
        <f t="shared" si="312"/>
        <v>641861</v>
      </c>
      <c r="I3310" s="5">
        <v>1813</v>
      </c>
      <c r="J3310" s="5">
        <f t="shared" si="313"/>
        <v>1793057</v>
      </c>
      <c r="K3310" s="5">
        <v>0</v>
      </c>
      <c r="L3310" s="5">
        <f t="shared" si="314"/>
        <v>0</v>
      </c>
      <c r="M3310" s="5">
        <f t="shared" si="315"/>
        <v>2462</v>
      </c>
      <c r="N3310" s="5">
        <f t="shared" si="315"/>
        <v>2434918</v>
      </c>
      <c r="O3310" s="8" t="s">
        <v>20</v>
      </c>
      <c r="T3310">
        <v>0</v>
      </c>
      <c r="AC3310">
        <v>1</v>
      </c>
    </row>
    <row r="3311" spans="1:29" ht="30" customHeight="1" x14ac:dyDescent="0.3">
      <c r="A3311" s="8" t="s">
        <v>2679</v>
      </c>
      <c r="B3311" s="8" t="s">
        <v>2882</v>
      </c>
      <c r="C3311" s="8" t="s">
        <v>2883</v>
      </c>
      <c r="D3311" s="8" t="s">
        <v>2884</v>
      </c>
      <c r="E3311" s="8" t="s">
        <v>168</v>
      </c>
      <c r="F3311" s="9">
        <v>2974</v>
      </c>
      <c r="G3311" s="5">
        <f>TRUNC([1]단가대비표!O1584,0)</f>
        <v>346</v>
      </c>
      <c r="H3311" s="5">
        <f t="shared" si="312"/>
        <v>1029004</v>
      </c>
      <c r="I3311" s="5">
        <v>2668</v>
      </c>
      <c r="J3311" s="5">
        <f t="shared" si="313"/>
        <v>7934632</v>
      </c>
      <c r="K3311" s="5">
        <v>0</v>
      </c>
      <c r="L3311" s="5">
        <f t="shared" si="314"/>
        <v>0</v>
      </c>
      <c r="M3311" s="5">
        <f t="shared" si="315"/>
        <v>3014</v>
      </c>
      <c r="N3311" s="5">
        <f t="shared" si="315"/>
        <v>8963636</v>
      </c>
      <c r="O3311" s="8" t="s">
        <v>20</v>
      </c>
      <c r="T3311">
        <v>0</v>
      </c>
      <c r="AC3311">
        <v>1</v>
      </c>
    </row>
    <row r="3312" spans="1:29" ht="30" customHeight="1" x14ac:dyDescent="0.3">
      <c r="A3312" s="8" t="s">
        <v>2679</v>
      </c>
      <c r="B3312" s="8" t="s">
        <v>2885</v>
      </c>
      <c r="C3312" s="8" t="s">
        <v>2883</v>
      </c>
      <c r="D3312" s="8" t="s">
        <v>2886</v>
      </c>
      <c r="E3312" s="8" t="s">
        <v>168</v>
      </c>
      <c r="F3312" s="9">
        <v>1301</v>
      </c>
      <c r="G3312" s="5">
        <f>TRUNC([1]단가대비표!O1585,0)</f>
        <v>518</v>
      </c>
      <c r="H3312" s="5">
        <f t="shared" si="312"/>
        <v>673918</v>
      </c>
      <c r="I3312" s="5">
        <v>3621</v>
      </c>
      <c r="J3312" s="5">
        <f t="shared" si="313"/>
        <v>4710921</v>
      </c>
      <c r="K3312" s="5">
        <v>0</v>
      </c>
      <c r="L3312" s="5">
        <f t="shared" si="314"/>
        <v>0</v>
      </c>
      <c r="M3312" s="5">
        <f t="shared" si="315"/>
        <v>4139</v>
      </c>
      <c r="N3312" s="5">
        <f t="shared" si="315"/>
        <v>5384839</v>
      </c>
      <c r="O3312" s="8" t="s">
        <v>20</v>
      </c>
      <c r="T3312">
        <v>0</v>
      </c>
      <c r="AC3312">
        <v>1</v>
      </c>
    </row>
    <row r="3313" spans="1:29" ht="30" customHeight="1" x14ac:dyDescent="0.3">
      <c r="A3313" s="8" t="s">
        <v>2679</v>
      </c>
      <c r="B3313" s="8" t="s">
        <v>2887</v>
      </c>
      <c r="C3313" s="8" t="s">
        <v>2888</v>
      </c>
      <c r="D3313" s="8" t="s">
        <v>2889</v>
      </c>
      <c r="E3313" s="8" t="s">
        <v>168</v>
      </c>
      <c r="F3313" s="9">
        <v>49</v>
      </c>
      <c r="G3313" s="5">
        <f>TRUNC([1]단가대비표!O1586,0)</f>
        <v>3344</v>
      </c>
      <c r="H3313" s="5">
        <f t="shared" si="312"/>
        <v>163856</v>
      </c>
      <c r="I3313" s="5">
        <v>4193</v>
      </c>
      <c r="J3313" s="5">
        <f t="shared" si="313"/>
        <v>205457</v>
      </c>
      <c r="K3313" s="5">
        <v>0</v>
      </c>
      <c r="L3313" s="5">
        <f t="shared" si="314"/>
        <v>0</v>
      </c>
      <c r="M3313" s="5">
        <f t="shared" si="315"/>
        <v>7537</v>
      </c>
      <c r="N3313" s="5">
        <f t="shared" si="315"/>
        <v>369313</v>
      </c>
      <c r="O3313" s="8" t="s">
        <v>20</v>
      </c>
      <c r="T3313">
        <v>0</v>
      </c>
      <c r="AC3313">
        <v>1</v>
      </c>
    </row>
    <row r="3314" spans="1:29" ht="30" customHeight="1" x14ac:dyDescent="0.3">
      <c r="A3314" s="8" t="s">
        <v>2679</v>
      </c>
      <c r="B3314" s="8" t="s">
        <v>2890</v>
      </c>
      <c r="C3314" s="8" t="s">
        <v>2891</v>
      </c>
      <c r="D3314" s="8" t="s">
        <v>2892</v>
      </c>
      <c r="E3314" s="8" t="s">
        <v>168</v>
      </c>
      <c r="F3314" s="9">
        <v>471</v>
      </c>
      <c r="G3314" s="5">
        <f>TRUNC([1]단가대비표!O1587,0)</f>
        <v>2042</v>
      </c>
      <c r="H3314" s="5">
        <f t="shared" si="312"/>
        <v>961782</v>
      </c>
      <c r="I3314" s="5">
        <v>3202</v>
      </c>
      <c r="J3314" s="5">
        <f t="shared" si="313"/>
        <v>1508142</v>
      </c>
      <c r="K3314" s="5">
        <v>0</v>
      </c>
      <c r="L3314" s="5">
        <f t="shared" si="314"/>
        <v>0</v>
      </c>
      <c r="M3314" s="5">
        <f t="shared" si="315"/>
        <v>5244</v>
      </c>
      <c r="N3314" s="5">
        <f t="shared" si="315"/>
        <v>2469924</v>
      </c>
      <c r="O3314" s="8" t="s">
        <v>20</v>
      </c>
      <c r="T3314">
        <v>0</v>
      </c>
      <c r="AC3314">
        <v>1</v>
      </c>
    </row>
    <row r="3315" spans="1:29" ht="30" customHeight="1" x14ac:dyDescent="0.3">
      <c r="A3315" s="8" t="s">
        <v>2679</v>
      </c>
      <c r="B3315" s="8" t="s">
        <v>2893</v>
      </c>
      <c r="C3315" s="8" t="s">
        <v>2894</v>
      </c>
      <c r="D3315" s="8" t="s">
        <v>2895</v>
      </c>
      <c r="E3315" s="8" t="s">
        <v>168</v>
      </c>
      <c r="F3315" s="9">
        <v>107</v>
      </c>
      <c r="G3315" s="5">
        <f>TRUNC([1]단가대비표!O1588,0)</f>
        <v>400</v>
      </c>
      <c r="H3315" s="5">
        <f t="shared" si="312"/>
        <v>42800</v>
      </c>
      <c r="I3315" s="5">
        <v>4000</v>
      </c>
      <c r="J3315" s="5">
        <f t="shared" si="313"/>
        <v>428000</v>
      </c>
      <c r="K3315" s="5">
        <v>0</v>
      </c>
      <c r="L3315" s="5">
        <f t="shared" si="314"/>
        <v>0</v>
      </c>
      <c r="M3315" s="5">
        <f t="shared" si="315"/>
        <v>4400</v>
      </c>
      <c r="N3315" s="5">
        <f t="shared" si="315"/>
        <v>470800</v>
      </c>
      <c r="O3315" s="8" t="s">
        <v>20</v>
      </c>
      <c r="T3315">
        <v>0</v>
      </c>
      <c r="AC3315">
        <v>1</v>
      </c>
    </row>
    <row r="3316" spans="1:29" ht="30" customHeight="1" x14ac:dyDescent="0.3">
      <c r="A3316" s="8" t="s">
        <v>2679</v>
      </c>
      <c r="B3316" s="8" t="s">
        <v>2896</v>
      </c>
      <c r="C3316" s="8" t="s">
        <v>2897</v>
      </c>
      <c r="D3316" s="8" t="s">
        <v>2898</v>
      </c>
      <c r="E3316" s="8" t="s">
        <v>168</v>
      </c>
      <c r="F3316" s="9">
        <v>2838</v>
      </c>
      <c r="G3316" s="5">
        <f>TRUNC([1]단가대비표!O1589,0)</f>
        <v>2700</v>
      </c>
      <c r="H3316" s="5">
        <f t="shared" si="312"/>
        <v>7662600</v>
      </c>
      <c r="I3316" s="5">
        <v>4801</v>
      </c>
      <c r="J3316" s="5">
        <f t="shared" si="313"/>
        <v>13625238</v>
      </c>
      <c r="K3316" s="5">
        <v>0</v>
      </c>
      <c r="L3316" s="5">
        <f t="shared" si="314"/>
        <v>0</v>
      </c>
      <c r="M3316" s="5">
        <f t="shared" si="315"/>
        <v>7501</v>
      </c>
      <c r="N3316" s="5">
        <f t="shared" si="315"/>
        <v>21287838</v>
      </c>
      <c r="O3316" s="8" t="s">
        <v>20</v>
      </c>
      <c r="T3316">
        <v>0</v>
      </c>
      <c r="AC3316">
        <v>1</v>
      </c>
    </row>
    <row r="3317" spans="1:29" ht="30" customHeight="1" x14ac:dyDescent="0.3">
      <c r="A3317" s="8" t="s">
        <v>2679</v>
      </c>
      <c r="B3317" s="8" t="s">
        <v>2899</v>
      </c>
      <c r="C3317" s="8" t="s">
        <v>2900</v>
      </c>
      <c r="D3317" s="8" t="s">
        <v>2901</v>
      </c>
      <c r="E3317" s="8" t="s">
        <v>161</v>
      </c>
      <c r="F3317" s="9">
        <v>1</v>
      </c>
      <c r="G3317" s="5">
        <f>TRUNC([1]단가대비표!O1590,0)</f>
        <v>2684821</v>
      </c>
      <c r="H3317" s="5">
        <f t="shared" si="312"/>
        <v>2684821</v>
      </c>
      <c r="I3317" s="5">
        <v>0</v>
      </c>
      <c r="J3317" s="5">
        <f t="shared" si="313"/>
        <v>0</v>
      </c>
      <c r="K3317" s="5">
        <v>0</v>
      </c>
      <c r="L3317" s="5">
        <f t="shared" si="314"/>
        <v>0</v>
      </c>
      <c r="M3317" s="5">
        <f t="shared" si="315"/>
        <v>2684821</v>
      </c>
      <c r="N3317" s="5">
        <f t="shared" si="315"/>
        <v>2684821</v>
      </c>
      <c r="O3317" s="8" t="s">
        <v>20</v>
      </c>
      <c r="T3317">
        <v>0</v>
      </c>
      <c r="AC3317">
        <v>1</v>
      </c>
    </row>
    <row r="3318" spans="1:29" ht="30" customHeight="1" x14ac:dyDescent="0.3">
      <c r="A3318" s="8" t="s">
        <v>2679</v>
      </c>
      <c r="B3318" s="8" t="s">
        <v>2902</v>
      </c>
      <c r="C3318" s="8" t="s">
        <v>2903</v>
      </c>
      <c r="D3318" s="8" t="s">
        <v>2904</v>
      </c>
      <c r="E3318" s="8" t="s">
        <v>161</v>
      </c>
      <c r="F3318" s="9">
        <v>1</v>
      </c>
      <c r="G3318" s="5">
        <f>TRUNC([1]단가대비표!O1591,0)</f>
        <v>1448223</v>
      </c>
      <c r="H3318" s="5">
        <f t="shared" si="312"/>
        <v>1448223</v>
      </c>
      <c r="I3318" s="5">
        <v>0</v>
      </c>
      <c r="J3318" s="5">
        <f t="shared" si="313"/>
        <v>0</v>
      </c>
      <c r="K3318" s="5">
        <v>0</v>
      </c>
      <c r="L3318" s="5">
        <f t="shared" si="314"/>
        <v>0</v>
      </c>
      <c r="M3318" s="5">
        <f t="shared" si="315"/>
        <v>1448223</v>
      </c>
      <c r="N3318" s="5">
        <f t="shared" si="315"/>
        <v>1448223</v>
      </c>
      <c r="O3318" s="8" t="s">
        <v>20</v>
      </c>
      <c r="T3318">
        <v>0</v>
      </c>
      <c r="AC3318">
        <v>1</v>
      </c>
    </row>
    <row r="3319" spans="1:29" ht="30" customHeight="1" x14ac:dyDescent="0.3">
      <c r="A3319" s="8" t="s">
        <v>2679</v>
      </c>
      <c r="B3319" s="8" t="s">
        <v>2905</v>
      </c>
      <c r="C3319" s="8" t="s">
        <v>159</v>
      </c>
      <c r="D3319" s="8" t="s">
        <v>160</v>
      </c>
      <c r="E3319" s="8" t="s">
        <v>161</v>
      </c>
      <c r="F3319" s="9">
        <v>1</v>
      </c>
      <c r="G3319" s="5">
        <f>TRUNC([1]단가대비표!O1592,0)</f>
        <v>2256174</v>
      </c>
      <c r="H3319" s="5">
        <f t="shared" si="312"/>
        <v>2256174</v>
      </c>
      <c r="I3319" s="5">
        <v>0</v>
      </c>
      <c r="J3319" s="5">
        <f t="shared" si="313"/>
        <v>0</v>
      </c>
      <c r="K3319" s="5">
        <v>0</v>
      </c>
      <c r="L3319" s="5">
        <f t="shared" si="314"/>
        <v>0</v>
      </c>
      <c r="M3319" s="5">
        <f t="shared" si="315"/>
        <v>2256174</v>
      </c>
      <c r="N3319" s="5">
        <f t="shared" si="315"/>
        <v>2256174</v>
      </c>
      <c r="O3319" s="8" t="s">
        <v>20</v>
      </c>
      <c r="T3319">
        <v>0</v>
      </c>
      <c r="AC3319">
        <v>1</v>
      </c>
    </row>
    <row r="3320" spans="1:29" ht="30" customHeight="1" x14ac:dyDescent="0.3">
      <c r="A3320" s="8" t="s">
        <v>2679</v>
      </c>
      <c r="B3320" s="8" t="s">
        <v>2906</v>
      </c>
      <c r="C3320" s="8" t="s">
        <v>2907</v>
      </c>
      <c r="D3320" s="8" t="s">
        <v>20</v>
      </c>
      <c r="E3320" s="8" t="s">
        <v>20</v>
      </c>
      <c r="F3320" s="9">
        <v>0</v>
      </c>
      <c r="G3320" s="5">
        <f>TRUNC([1]단가대비표!O1593,0)</f>
        <v>0</v>
      </c>
      <c r="H3320" s="5">
        <f t="shared" si="312"/>
        <v>0</v>
      </c>
      <c r="I3320" s="5">
        <v>0</v>
      </c>
      <c r="J3320" s="5">
        <f t="shared" si="313"/>
        <v>0</v>
      </c>
      <c r="K3320" s="5">
        <v>0</v>
      </c>
      <c r="L3320" s="5">
        <f t="shared" si="314"/>
        <v>0</v>
      </c>
      <c r="M3320" s="5">
        <f t="shared" si="315"/>
        <v>0</v>
      </c>
      <c r="N3320" s="5">
        <f t="shared" si="315"/>
        <v>0</v>
      </c>
      <c r="O3320" s="8" t="s">
        <v>20</v>
      </c>
      <c r="T3320">
        <v>0</v>
      </c>
      <c r="AC3320">
        <v>1</v>
      </c>
    </row>
    <row r="3321" spans="1:29" ht="30" customHeight="1" x14ac:dyDescent="0.3">
      <c r="A3321" s="8" t="s">
        <v>2679</v>
      </c>
      <c r="B3321" s="8" t="s">
        <v>2908</v>
      </c>
      <c r="C3321" s="8" t="s">
        <v>2727</v>
      </c>
      <c r="D3321" s="8" t="s">
        <v>2728</v>
      </c>
      <c r="E3321" s="8" t="s">
        <v>2729</v>
      </c>
      <c r="F3321" s="9">
        <v>1021</v>
      </c>
      <c r="G3321" s="5">
        <v>0</v>
      </c>
      <c r="H3321" s="5">
        <f t="shared" si="312"/>
        <v>0</v>
      </c>
      <c r="I3321" s="5">
        <f>TRUNC([1]단가대비표!O1594,0)</f>
        <v>17614</v>
      </c>
      <c r="J3321" s="5">
        <f t="shared" si="313"/>
        <v>17983894</v>
      </c>
      <c r="K3321" s="5">
        <v>0</v>
      </c>
      <c r="L3321" s="5">
        <f t="shared" si="314"/>
        <v>0</v>
      </c>
      <c r="M3321" s="5">
        <f t="shared" si="315"/>
        <v>17614</v>
      </c>
      <c r="N3321" s="5">
        <f t="shared" si="315"/>
        <v>17983894</v>
      </c>
      <c r="O3321" s="8" t="s">
        <v>20</v>
      </c>
      <c r="T3321">
        <v>0</v>
      </c>
      <c r="AC3321">
        <v>1</v>
      </c>
    </row>
    <row r="3322" spans="1:29" ht="30" customHeight="1" x14ac:dyDescent="0.3">
      <c r="A3322" s="8" t="s">
        <v>2679</v>
      </c>
      <c r="B3322" s="8" t="s">
        <v>2909</v>
      </c>
      <c r="C3322" s="8" t="s">
        <v>2727</v>
      </c>
      <c r="D3322" s="8" t="s">
        <v>2910</v>
      </c>
      <c r="E3322" s="8" t="s">
        <v>2911</v>
      </c>
      <c r="F3322" s="9">
        <v>1</v>
      </c>
      <c r="G3322" s="5">
        <v>0</v>
      </c>
      <c r="H3322" s="5">
        <f t="shared" si="312"/>
        <v>0</v>
      </c>
      <c r="I3322" s="5">
        <f>TRUNC([1]단가대비표!O1595,0)</f>
        <v>134983</v>
      </c>
      <c r="J3322" s="5">
        <f t="shared" si="313"/>
        <v>134983</v>
      </c>
      <c r="K3322" s="5">
        <v>0</v>
      </c>
      <c r="L3322" s="5">
        <f t="shared" si="314"/>
        <v>0</v>
      </c>
      <c r="M3322" s="5">
        <f t="shared" si="315"/>
        <v>134983</v>
      </c>
      <c r="N3322" s="5">
        <f t="shared" si="315"/>
        <v>134983</v>
      </c>
      <c r="O3322" s="8" t="s">
        <v>20</v>
      </c>
      <c r="T3322">
        <v>0</v>
      </c>
      <c r="AC3322">
        <v>1</v>
      </c>
    </row>
    <row r="3323" spans="1:29" ht="30" customHeight="1" x14ac:dyDescent="0.3">
      <c r="A3323" s="8" t="s">
        <v>2679</v>
      </c>
      <c r="B3323" s="8" t="s">
        <v>2912</v>
      </c>
      <c r="C3323" s="8" t="s">
        <v>2727</v>
      </c>
      <c r="D3323" s="8" t="s">
        <v>2731</v>
      </c>
      <c r="E3323" s="8" t="s">
        <v>2729</v>
      </c>
      <c r="F3323" s="9">
        <v>1021</v>
      </c>
      <c r="G3323" s="5">
        <v>0</v>
      </c>
      <c r="H3323" s="5">
        <f t="shared" si="312"/>
        <v>0</v>
      </c>
      <c r="I3323" s="5">
        <f>TRUNC([1]단가대비표!O1596,0)</f>
        <v>4568</v>
      </c>
      <c r="J3323" s="5">
        <f t="shared" si="313"/>
        <v>4663928</v>
      </c>
      <c r="K3323" s="5">
        <v>0</v>
      </c>
      <c r="L3323" s="5">
        <f t="shared" si="314"/>
        <v>0</v>
      </c>
      <c r="M3323" s="5">
        <f t="shared" si="315"/>
        <v>4568</v>
      </c>
      <c r="N3323" s="5">
        <f t="shared" si="315"/>
        <v>4663928</v>
      </c>
      <c r="O3323" s="8" t="s">
        <v>20</v>
      </c>
      <c r="T3323">
        <v>0</v>
      </c>
      <c r="AC3323">
        <v>1</v>
      </c>
    </row>
    <row r="3324" spans="1:29" ht="30" customHeight="1" x14ac:dyDescent="0.3">
      <c r="A3324" s="8" t="s">
        <v>2679</v>
      </c>
      <c r="B3324" s="8" t="s">
        <v>2913</v>
      </c>
      <c r="C3324" s="8" t="s">
        <v>2914</v>
      </c>
      <c r="D3324" s="8" t="s">
        <v>2915</v>
      </c>
      <c r="E3324" s="8" t="s">
        <v>2729</v>
      </c>
      <c r="F3324" s="9">
        <v>138</v>
      </c>
      <c r="G3324" s="5">
        <v>0</v>
      </c>
      <c r="H3324" s="5">
        <f t="shared" si="312"/>
        <v>0</v>
      </c>
      <c r="I3324" s="5">
        <f>TRUNC([1]단가대비표!O1597,0)</f>
        <v>9491</v>
      </c>
      <c r="J3324" s="5">
        <f t="shared" si="313"/>
        <v>1309758</v>
      </c>
      <c r="K3324" s="5">
        <v>0</v>
      </c>
      <c r="L3324" s="5">
        <f t="shared" si="314"/>
        <v>0</v>
      </c>
      <c r="M3324" s="5">
        <f t="shared" si="315"/>
        <v>9491</v>
      </c>
      <c r="N3324" s="5">
        <f t="shared" si="315"/>
        <v>1309758</v>
      </c>
      <c r="O3324" s="8" t="s">
        <v>20</v>
      </c>
      <c r="T3324">
        <v>0</v>
      </c>
      <c r="AC3324">
        <v>1</v>
      </c>
    </row>
    <row r="3325" spans="1:29" ht="30" customHeight="1" x14ac:dyDescent="0.3">
      <c r="A3325" s="8" t="s">
        <v>2679</v>
      </c>
      <c r="B3325" s="8" t="s">
        <v>2916</v>
      </c>
      <c r="C3325" s="8" t="s">
        <v>2914</v>
      </c>
      <c r="D3325" s="8" t="s">
        <v>2917</v>
      </c>
      <c r="E3325" s="8" t="s">
        <v>2729</v>
      </c>
      <c r="F3325" s="9">
        <v>138</v>
      </c>
      <c r="G3325" s="5">
        <v>0</v>
      </c>
      <c r="H3325" s="5">
        <f t="shared" si="312"/>
        <v>0</v>
      </c>
      <c r="I3325" s="5">
        <f>TRUNC([1]단가대비표!O1598,0)</f>
        <v>24211</v>
      </c>
      <c r="J3325" s="5">
        <f t="shared" si="313"/>
        <v>3341118</v>
      </c>
      <c r="K3325" s="5">
        <v>0</v>
      </c>
      <c r="L3325" s="5">
        <f t="shared" si="314"/>
        <v>0</v>
      </c>
      <c r="M3325" s="5">
        <f t="shared" ref="M3325:N3333" si="316">G3325+I3325+K3325</f>
        <v>24211</v>
      </c>
      <c r="N3325" s="5">
        <f t="shared" si="316"/>
        <v>3341118</v>
      </c>
      <c r="O3325" s="8" t="s">
        <v>20</v>
      </c>
      <c r="T3325">
        <v>0</v>
      </c>
      <c r="AC3325">
        <v>1</v>
      </c>
    </row>
    <row r="3326" spans="1:29" ht="30" customHeight="1" x14ac:dyDescent="0.3">
      <c r="A3326" s="8" t="s">
        <v>2679</v>
      </c>
      <c r="B3326" s="8" t="s">
        <v>2918</v>
      </c>
      <c r="C3326" s="8" t="s">
        <v>2919</v>
      </c>
      <c r="D3326" s="8" t="s">
        <v>2920</v>
      </c>
      <c r="E3326" s="8" t="s">
        <v>161</v>
      </c>
      <c r="F3326" s="9">
        <v>1</v>
      </c>
      <c r="G3326" s="5">
        <v>0</v>
      </c>
      <c r="H3326" s="5">
        <f t="shared" si="312"/>
        <v>0</v>
      </c>
      <c r="I3326" s="5">
        <v>0</v>
      </c>
      <c r="J3326" s="5">
        <f t="shared" si="313"/>
        <v>0</v>
      </c>
      <c r="K3326" s="5">
        <f>TRUNC([1]단가대비표!O1599,0)</f>
        <v>6180746</v>
      </c>
      <c r="L3326" s="5">
        <f t="shared" si="314"/>
        <v>6180746</v>
      </c>
      <c r="M3326" s="5">
        <f t="shared" si="316"/>
        <v>6180746</v>
      </c>
      <c r="N3326" s="5">
        <f t="shared" si="316"/>
        <v>6180746</v>
      </c>
      <c r="O3326" s="8" t="s">
        <v>20</v>
      </c>
      <c r="T3326">
        <v>0</v>
      </c>
      <c r="AC3326">
        <v>1</v>
      </c>
    </row>
    <row r="3327" spans="1:29" ht="30" customHeight="1" x14ac:dyDescent="0.3">
      <c r="A3327" s="8" t="s">
        <v>2679</v>
      </c>
      <c r="B3327" s="8" t="s">
        <v>2921</v>
      </c>
      <c r="C3327" s="8" t="s">
        <v>2922</v>
      </c>
      <c r="D3327" s="8" t="s">
        <v>2923</v>
      </c>
      <c r="E3327" s="8" t="s">
        <v>161</v>
      </c>
      <c r="F3327" s="9">
        <v>1</v>
      </c>
      <c r="G3327" s="5">
        <v>0</v>
      </c>
      <c r="H3327" s="5">
        <f t="shared" si="312"/>
        <v>0</v>
      </c>
      <c r="I3327" s="5">
        <v>0</v>
      </c>
      <c r="J3327" s="5">
        <f t="shared" si="313"/>
        <v>0</v>
      </c>
      <c r="K3327" s="5">
        <f>TRUNC([1]단가대비표!O1600,0)</f>
        <v>1687176</v>
      </c>
      <c r="L3327" s="5">
        <f t="shared" si="314"/>
        <v>1687176</v>
      </c>
      <c r="M3327" s="5">
        <f t="shared" si="316"/>
        <v>1687176</v>
      </c>
      <c r="N3327" s="5">
        <f t="shared" si="316"/>
        <v>1687176</v>
      </c>
      <c r="O3327" s="8" t="s">
        <v>20</v>
      </c>
      <c r="T3327">
        <v>0</v>
      </c>
      <c r="AC3327">
        <v>1</v>
      </c>
    </row>
    <row r="3328" spans="1:29" ht="30" customHeight="1" x14ac:dyDescent="0.3">
      <c r="A3328" s="8" t="s">
        <v>2679</v>
      </c>
      <c r="B3328" s="8" t="s">
        <v>2924</v>
      </c>
      <c r="C3328" s="8" t="s">
        <v>2925</v>
      </c>
      <c r="D3328" s="8" t="s">
        <v>2926</v>
      </c>
      <c r="E3328" s="8" t="s">
        <v>161</v>
      </c>
      <c r="F3328" s="9">
        <v>1</v>
      </c>
      <c r="G3328" s="5">
        <v>0</v>
      </c>
      <c r="H3328" s="5">
        <f t="shared" si="312"/>
        <v>0</v>
      </c>
      <c r="I3328" s="5">
        <v>0</v>
      </c>
      <c r="J3328" s="5">
        <f t="shared" si="313"/>
        <v>0</v>
      </c>
      <c r="K3328" s="5">
        <f>TRUNC([1]단가대비표!O1601,0)</f>
        <v>7517124</v>
      </c>
      <c r="L3328" s="5">
        <f t="shared" si="314"/>
        <v>7517124</v>
      </c>
      <c r="M3328" s="5">
        <f t="shared" si="316"/>
        <v>7517124</v>
      </c>
      <c r="N3328" s="5">
        <f t="shared" si="316"/>
        <v>7517124</v>
      </c>
      <c r="O3328" s="8" t="s">
        <v>20</v>
      </c>
      <c r="T3328">
        <v>0</v>
      </c>
      <c r="AC3328">
        <v>1</v>
      </c>
    </row>
    <row r="3329" spans="1:29" ht="30" customHeight="1" x14ac:dyDescent="0.3">
      <c r="A3329" s="8" t="s">
        <v>2679</v>
      </c>
      <c r="B3329" s="8" t="s">
        <v>2927</v>
      </c>
      <c r="C3329" s="8" t="s">
        <v>2928</v>
      </c>
      <c r="D3329" s="8" t="s">
        <v>2929</v>
      </c>
      <c r="E3329" s="8" t="s">
        <v>161</v>
      </c>
      <c r="F3329" s="9">
        <v>1</v>
      </c>
      <c r="G3329" s="5">
        <v>0</v>
      </c>
      <c r="H3329" s="5">
        <f t="shared" si="312"/>
        <v>0</v>
      </c>
      <c r="I3329" s="5">
        <v>0</v>
      </c>
      <c r="J3329" s="5">
        <f t="shared" si="313"/>
        <v>0</v>
      </c>
      <c r="K3329" s="5">
        <f>TRUNC([1]단가대비표!O1602,0)</f>
        <v>5838299</v>
      </c>
      <c r="L3329" s="5">
        <f t="shared" si="314"/>
        <v>5838299</v>
      </c>
      <c r="M3329" s="5">
        <f t="shared" si="316"/>
        <v>5838299</v>
      </c>
      <c r="N3329" s="5">
        <f t="shared" si="316"/>
        <v>5838299</v>
      </c>
      <c r="O3329" s="8" t="s">
        <v>20</v>
      </c>
      <c r="T3329">
        <v>0</v>
      </c>
      <c r="AC3329">
        <v>1</v>
      </c>
    </row>
    <row r="3330" spans="1:29" ht="30" customHeight="1" x14ac:dyDescent="0.3">
      <c r="A3330" s="8" t="s">
        <v>2679</v>
      </c>
      <c r="B3330" s="8" t="s">
        <v>2930</v>
      </c>
      <c r="C3330" s="8" t="s">
        <v>2931</v>
      </c>
      <c r="D3330" s="8" t="s">
        <v>2932</v>
      </c>
      <c r="E3330" s="8" t="s">
        <v>161</v>
      </c>
      <c r="F3330" s="9">
        <v>1</v>
      </c>
      <c r="G3330" s="5">
        <v>0</v>
      </c>
      <c r="H3330" s="5">
        <f t="shared" si="312"/>
        <v>0</v>
      </c>
      <c r="I3330" s="5">
        <v>0</v>
      </c>
      <c r="J3330" s="5">
        <f t="shared" si="313"/>
        <v>0</v>
      </c>
      <c r="K3330" s="5">
        <f>TRUNC([1]단가대비표!O1603,0)</f>
        <v>716359</v>
      </c>
      <c r="L3330" s="5">
        <f t="shared" si="314"/>
        <v>716359</v>
      </c>
      <c r="M3330" s="5">
        <f t="shared" si="316"/>
        <v>716359</v>
      </c>
      <c r="N3330" s="5">
        <f t="shared" si="316"/>
        <v>716359</v>
      </c>
      <c r="O3330" s="8" t="s">
        <v>20</v>
      </c>
      <c r="T3330">
        <v>0</v>
      </c>
      <c r="AC3330">
        <v>1</v>
      </c>
    </row>
    <row r="3331" spans="1:29" ht="30" customHeight="1" x14ac:dyDescent="0.3">
      <c r="A3331" s="8" t="s">
        <v>2679</v>
      </c>
      <c r="B3331" s="8" t="s">
        <v>2933</v>
      </c>
      <c r="C3331" s="8" t="s">
        <v>2934</v>
      </c>
      <c r="D3331" s="8" t="s">
        <v>2935</v>
      </c>
      <c r="E3331" s="8" t="s">
        <v>161</v>
      </c>
      <c r="F3331" s="9">
        <v>1</v>
      </c>
      <c r="G3331" s="5">
        <v>0</v>
      </c>
      <c r="H3331" s="5">
        <f t="shared" si="312"/>
        <v>0</v>
      </c>
      <c r="I3331" s="5">
        <v>0</v>
      </c>
      <c r="J3331" s="5">
        <f t="shared" si="313"/>
        <v>0</v>
      </c>
      <c r="K3331" s="5">
        <f>TRUNC([1]단가대비표!O1604,0)</f>
        <v>7587985</v>
      </c>
      <c r="L3331" s="5">
        <f t="shared" si="314"/>
        <v>7587985</v>
      </c>
      <c r="M3331" s="5">
        <f t="shared" si="316"/>
        <v>7587985</v>
      </c>
      <c r="N3331" s="5">
        <f t="shared" si="316"/>
        <v>7587985</v>
      </c>
      <c r="O3331" s="8" t="s">
        <v>20</v>
      </c>
      <c r="T3331">
        <v>0</v>
      </c>
      <c r="AC3331">
        <v>1</v>
      </c>
    </row>
    <row r="3332" spans="1:29" ht="30" customHeight="1" x14ac:dyDescent="0.3">
      <c r="A3332" s="8" t="s">
        <v>2679</v>
      </c>
      <c r="B3332" s="8" t="s">
        <v>2936</v>
      </c>
      <c r="C3332" s="8" t="s">
        <v>2937</v>
      </c>
      <c r="D3332" s="8" t="s">
        <v>2938</v>
      </c>
      <c r="E3332" s="8" t="s">
        <v>161</v>
      </c>
      <c r="F3332" s="9">
        <v>1</v>
      </c>
      <c r="G3332" s="5">
        <f>TRUNC([1]단가대비표!O1605,0)</f>
        <v>43919358</v>
      </c>
      <c r="H3332" s="5">
        <f t="shared" si="312"/>
        <v>43919358</v>
      </c>
      <c r="I3332" s="5">
        <v>0</v>
      </c>
      <c r="J3332" s="5">
        <f t="shared" si="313"/>
        <v>0</v>
      </c>
      <c r="K3332" s="5">
        <v>0</v>
      </c>
      <c r="L3332" s="5">
        <f t="shared" si="314"/>
        <v>0</v>
      </c>
      <c r="M3332" s="5">
        <f t="shared" si="316"/>
        <v>43919358</v>
      </c>
      <c r="N3332" s="5">
        <f t="shared" si="316"/>
        <v>43919358</v>
      </c>
      <c r="O3332" s="8" t="s">
        <v>20</v>
      </c>
      <c r="T3332">
        <v>0</v>
      </c>
      <c r="AC3332">
        <v>1</v>
      </c>
    </row>
    <row r="3333" spans="1:29" ht="30" customHeight="1" x14ac:dyDescent="0.3">
      <c r="A3333" s="8" t="s">
        <v>2679</v>
      </c>
      <c r="B3333" s="8" t="s">
        <v>2939</v>
      </c>
      <c r="C3333" s="8" t="s">
        <v>2467</v>
      </c>
      <c r="D3333" s="8" t="s">
        <v>2940</v>
      </c>
      <c r="E3333" s="8" t="s">
        <v>161</v>
      </c>
      <c r="F3333" s="9">
        <v>1</v>
      </c>
      <c r="G3333" s="5">
        <f>TRUNC([1]단가대비표!O1606,0)</f>
        <v>3981658</v>
      </c>
      <c r="H3333" s="5">
        <f t="shared" si="312"/>
        <v>3981658</v>
      </c>
      <c r="I3333" s="5">
        <v>0</v>
      </c>
      <c r="J3333" s="5">
        <f t="shared" si="313"/>
        <v>0</v>
      </c>
      <c r="K3333" s="5">
        <v>0</v>
      </c>
      <c r="L3333" s="5">
        <f t="shared" si="314"/>
        <v>0</v>
      </c>
      <c r="M3333" s="5">
        <f t="shared" si="316"/>
        <v>3981658</v>
      </c>
      <c r="N3333" s="5">
        <f t="shared" si="316"/>
        <v>3981658</v>
      </c>
      <c r="O3333" s="8" t="s">
        <v>20</v>
      </c>
      <c r="T3333">
        <v>0</v>
      </c>
      <c r="AC3333">
        <v>1</v>
      </c>
    </row>
    <row r="3334" spans="1:29" ht="30" customHeight="1" x14ac:dyDescent="0.3">
      <c r="A3334" s="5"/>
      <c r="B3334" s="5"/>
      <c r="C3334" s="5"/>
      <c r="D3334" s="5"/>
      <c r="E3334" s="5"/>
      <c r="F3334" s="9"/>
      <c r="G3334" s="5"/>
      <c r="H3334" s="5"/>
      <c r="I3334" s="5"/>
      <c r="J3334" s="5"/>
      <c r="K3334" s="5"/>
      <c r="L3334" s="5"/>
      <c r="M3334" s="5"/>
      <c r="N3334" s="5"/>
      <c r="O3334" s="5"/>
    </row>
    <row r="3335" spans="1:29" ht="30" customHeight="1" x14ac:dyDescent="0.3">
      <c r="A3335" s="5"/>
      <c r="B3335" s="5"/>
      <c r="C3335" s="5"/>
      <c r="D3335" s="5"/>
      <c r="E3335" s="5"/>
      <c r="F3335" s="9"/>
      <c r="G3335" s="5"/>
      <c r="H3335" s="5"/>
      <c r="I3335" s="5"/>
      <c r="J3335" s="5"/>
      <c r="K3335" s="5"/>
      <c r="L3335" s="5"/>
      <c r="M3335" s="5"/>
      <c r="N3335" s="5"/>
      <c r="O3335" s="5"/>
    </row>
    <row r="3336" spans="1:29" ht="30" customHeight="1" x14ac:dyDescent="0.3">
      <c r="A3336" s="5"/>
      <c r="B3336" s="5"/>
      <c r="C3336" s="5"/>
      <c r="D3336" s="5"/>
      <c r="E3336" s="5"/>
      <c r="F3336" s="9"/>
      <c r="G3336" s="5"/>
      <c r="H3336" s="5"/>
      <c r="I3336" s="5"/>
      <c r="J3336" s="5"/>
      <c r="K3336" s="5"/>
      <c r="L3336" s="5"/>
      <c r="M3336" s="5"/>
      <c r="N3336" s="5"/>
      <c r="O3336" s="5"/>
    </row>
    <row r="3337" spans="1:29" ht="30" customHeight="1" x14ac:dyDescent="0.3">
      <c r="A3337" s="5"/>
      <c r="B3337" s="5"/>
      <c r="C3337" s="5"/>
      <c r="D3337" s="5"/>
      <c r="E3337" s="5"/>
      <c r="F3337" s="9"/>
      <c r="G3337" s="5"/>
      <c r="H3337" s="5"/>
      <c r="I3337" s="5"/>
      <c r="J3337" s="5"/>
      <c r="K3337" s="5"/>
      <c r="L3337" s="5"/>
      <c r="M3337" s="5"/>
      <c r="N3337" s="5"/>
      <c r="O3337" s="5"/>
    </row>
    <row r="3338" spans="1:29" ht="30" customHeight="1" x14ac:dyDescent="0.3">
      <c r="A3338" s="5"/>
      <c r="B3338" s="5"/>
      <c r="C3338" s="5"/>
      <c r="D3338" s="5"/>
      <c r="E3338" s="5"/>
      <c r="F3338" s="9"/>
      <c r="G3338" s="5"/>
      <c r="H3338" s="5"/>
      <c r="I3338" s="5"/>
      <c r="J3338" s="5"/>
      <c r="K3338" s="5"/>
      <c r="L3338" s="5"/>
      <c r="M3338" s="5"/>
      <c r="N3338" s="5"/>
      <c r="O3338" s="5"/>
    </row>
    <row r="3339" spans="1:29" ht="30" customHeight="1" x14ac:dyDescent="0.3">
      <c r="A3339" s="5"/>
      <c r="B3339" s="5"/>
      <c r="C3339" s="5"/>
      <c r="D3339" s="5"/>
      <c r="E3339" s="5"/>
      <c r="F3339" s="9"/>
      <c r="G3339" s="5"/>
      <c r="H3339" s="5"/>
      <c r="I3339" s="5"/>
      <c r="J3339" s="5"/>
      <c r="K3339" s="5"/>
      <c r="L3339" s="5"/>
      <c r="M3339" s="5"/>
      <c r="N3339" s="5"/>
      <c r="O3339" s="5"/>
    </row>
    <row r="3340" spans="1:29" ht="30" customHeight="1" x14ac:dyDescent="0.3">
      <c r="A3340" s="5"/>
      <c r="B3340" s="5"/>
      <c r="C3340" s="5"/>
      <c r="D3340" s="5"/>
      <c r="E3340" s="5"/>
      <c r="F3340" s="9"/>
      <c r="G3340" s="5"/>
      <c r="H3340" s="5"/>
      <c r="I3340" s="5"/>
      <c r="J3340" s="5"/>
      <c r="K3340" s="5"/>
      <c r="L3340" s="5"/>
      <c r="M3340" s="5"/>
      <c r="N3340" s="5"/>
      <c r="O3340" s="5"/>
    </row>
    <row r="3341" spans="1:29" ht="30" customHeight="1" x14ac:dyDescent="0.3">
      <c r="A3341" s="5"/>
      <c r="B3341" s="5"/>
      <c r="C3341" s="5"/>
      <c r="D3341" s="5"/>
      <c r="E3341" s="5"/>
      <c r="F3341" s="9"/>
      <c r="G3341" s="5"/>
      <c r="H3341" s="5"/>
      <c r="I3341" s="5"/>
      <c r="J3341" s="5"/>
      <c r="K3341" s="5"/>
      <c r="L3341" s="5"/>
      <c r="M3341" s="5"/>
      <c r="N3341" s="5"/>
      <c r="O3341" s="5"/>
    </row>
    <row r="3342" spans="1:29" ht="30" customHeight="1" x14ac:dyDescent="0.3">
      <c r="A3342" s="5"/>
      <c r="B3342" s="5"/>
      <c r="C3342" s="5"/>
      <c r="D3342" s="5"/>
      <c r="E3342" s="5"/>
      <c r="F3342" s="9"/>
      <c r="G3342" s="5"/>
      <c r="H3342" s="5"/>
      <c r="I3342" s="5"/>
      <c r="J3342" s="5"/>
      <c r="K3342" s="5"/>
      <c r="L3342" s="5"/>
      <c r="M3342" s="5"/>
      <c r="N3342" s="5"/>
      <c r="O3342" s="5"/>
    </row>
    <row r="3343" spans="1:29" ht="30" customHeight="1" x14ac:dyDescent="0.3">
      <c r="A3343" s="5"/>
      <c r="B3343" s="5"/>
      <c r="C3343" s="5"/>
      <c r="D3343" s="5"/>
      <c r="E3343" s="5"/>
      <c r="F3343" s="9"/>
      <c r="G3343" s="5"/>
      <c r="H3343" s="5"/>
      <c r="I3343" s="5"/>
      <c r="J3343" s="5"/>
      <c r="K3343" s="5"/>
      <c r="L3343" s="5"/>
      <c r="M3343" s="5"/>
      <c r="N3343" s="5"/>
      <c r="O3343" s="5"/>
    </row>
    <row r="3344" spans="1:29" ht="30" customHeight="1" x14ac:dyDescent="0.3">
      <c r="A3344" s="5"/>
      <c r="B3344" s="5"/>
      <c r="C3344" s="5"/>
      <c r="D3344" s="5"/>
      <c r="E3344" s="5"/>
      <c r="F3344" s="9"/>
      <c r="G3344" s="5"/>
      <c r="H3344" s="5"/>
      <c r="I3344" s="5"/>
      <c r="J3344" s="5"/>
      <c r="K3344" s="5"/>
      <c r="L3344" s="5"/>
      <c r="M3344" s="5"/>
      <c r="N3344" s="5"/>
      <c r="O3344" s="5"/>
    </row>
    <row r="3345" spans="1:29" ht="30" customHeight="1" x14ac:dyDescent="0.3">
      <c r="A3345" s="5"/>
      <c r="B3345" s="5"/>
      <c r="C3345" s="5"/>
      <c r="D3345" s="5"/>
      <c r="E3345" s="5"/>
      <c r="F3345" s="9"/>
      <c r="G3345" s="5"/>
      <c r="H3345" s="5"/>
      <c r="I3345" s="5"/>
      <c r="J3345" s="5"/>
      <c r="K3345" s="5"/>
      <c r="L3345" s="5"/>
      <c r="M3345" s="5"/>
      <c r="N3345" s="5"/>
      <c r="O3345" s="5"/>
    </row>
    <row r="3346" spans="1:29" ht="30" customHeight="1" x14ac:dyDescent="0.3">
      <c r="A3346" s="5"/>
      <c r="B3346" s="5"/>
      <c r="C3346" s="5"/>
      <c r="D3346" s="5"/>
      <c r="E3346" s="5"/>
      <c r="F3346" s="9"/>
      <c r="G3346" s="5"/>
      <c r="H3346" s="5"/>
      <c r="I3346" s="5"/>
      <c r="J3346" s="5"/>
      <c r="K3346" s="5"/>
      <c r="L3346" s="5"/>
      <c r="M3346" s="5"/>
      <c r="N3346" s="5"/>
      <c r="O3346" s="5"/>
    </row>
    <row r="3347" spans="1:29" ht="30" customHeight="1" x14ac:dyDescent="0.3">
      <c r="A3347" s="5"/>
      <c r="B3347" s="5"/>
      <c r="C3347" s="5"/>
      <c r="D3347" s="5"/>
      <c r="E3347" s="5"/>
      <c r="F3347" s="9"/>
      <c r="G3347" s="5"/>
      <c r="H3347" s="5"/>
      <c r="I3347" s="5"/>
      <c r="J3347" s="5"/>
      <c r="K3347" s="5"/>
      <c r="L3347" s="5"/>
      <c r="M3347" s="5"/>
      <c r="N3347" s="5"/>
      <c r="O3347" s="5"/>
    </row>
    <row r="3348" spans="1:29" ht="30" customHeight="1" x14ac:dyDescent="0.3">
      <c r="A3348" s="5"/>
      <c r="B3348" s="5"/>
      <c r="C3348" s="5"/>
      <c r="D3348" s="5"/>
      <c r="E3348" s="5"/>
      <c r="F3348" s="9"/>
      <c r="G3348" s="5"/>
      <c r="H3348" s="5"/>
      <c r="I3348" s="5"/>
      <c r="J3348" s="5"/>
      <c r="K3348" s="5"/>
      <c r="L3348" s="5"/>
      <c r="M3348" s="5"/>
      <c r="N3348" s="5"/>
      <c r="O3348" s="5"/>
    </row>
    <row r="3349" spans="1:29" ht="30" customHeight="1" x14ac:dyDescent="0.3">
      <c r="A3349" s="5"/>
      <c r="B3349" s="5"/>
      <c r="C3349" s="5"/>
      <c r="D3349" s="5"/>
      <c r="E3349" s="5"/>
      <c r="F3349" s="9"/>
      <c r="G3349" s="5"/>
      <c r="H3349" s="5"/>
      <c r="I3349" s="5"/>
      <c r="J3349" s="5"/>
      <c r="K3349" s="5"/>
      <c r="L3349" s="5"/>
      <c r="M3349" s="5"/>
      <c r="N3349" s="5"/>
      <c r="O3349" s="5"/>
    </row>
    <row r="3350" spans="1:29" ht="30" customHeight="1" x14ac:dyDescent="0.3">
      <c r="A3350" s="5"/>
      <c r="B3350" s="5"/>
      <c r="C3350" s="5"/>
      <c r="D3350" s="5"/>
      <c r="E3350" s="5"/>
      <c r="F3350" s="9"/>
      <c r="G3350" s="5"/>
      <c r="H3350" s="5"/>
      <c r="I3350" s="5"/>
      <c r="J3350" s="5"/>
      <c r="K3350" s="5"/>
      <c r="L3350" s="5"/>
      <c r="M3350" s="5"/>
      <c r="N3350" s="5"/>
      <c r="O3350" s="5"/>
    </row>
    <row r="3351" spans="1:29" ht="30" customHeight="1" x14ac:dyDescent="0.3">
      <c r="A3351" s="5"/>
      <c r="B3351" s="5"/>
      <c r="C3351" s="5"/>
      <c r="D3351" s="5"/>
      <c r="E3351" s="5"/>
      <c r="F3351" s="9"/>
      <c r="G3351" s="5"/>
      <c r="H3351" s="5"/>
      <c r="I3351" s="5"/>
      <c r="J3351" s="5"/>
      <c r="K3351" s="5"/>
      <c r="L3351" s="5"/>
      <c r="M3351" s="5"/>
      <c r="N3351" s="5"/>
      <c r="O3351" s="5"/>
    </row>
    <row r="3352" spans="1:29" ht="30" customHeight="1" x14ac:dyDescent="0.3">
      <c r="A3352" s="5"/>
      <c r="B3352" s="5"/>
      <c r="C3352" s="5"/>
      <c r="D3352" s="5"/>
      <c r="E3352" s="5"/>
      <c r="F3352" s="9"/>
      <c r="G3352" s="5"/>
      <c r="H3352" s="5"/>
      <c r="I3352" s="5"/>
      <c r="J3352" s="5"/>
      <c r="K3352" s="5"/>
      <c r="L3352" s="5"/>
      <c r="M3352" s="5"/>
      <c r="N3352" s="5"/>
      <c r="O3352" s="5"/>
    </row>
    <row r="3353" spans="1:29" ht="30" customHeight="1" x14ac:dyDescent="0.3">
      <c r="A3353" s="5"/>
      <c r="B3353" s="5"/>
      <c r="C3353" s="5"/>
      <c r="D3353" s="5"/>
      <c r="E3353" s="5"/>
      <c r="F3353" s="9"/>
      <c r="G3353" s="5"/>
      <c r="H3353" s="5"/>
      <c r="I3353" s="5"/>
      <c r="J3353" s="5"/>
      <c r="K3353" s="5"/>
      <c r="L3353" s="5"/>
      <c r="M3353" s="5"/>
      <c r="N3353" s="5"/>
      <c r="O3353" s="5"/>
    </row>
    <row r="3354" spans="1:29" ht="30" customHeight="1" x14ac:dyDescent="0.3">
      <c r="A3354" s="5"/>
      <c r="B3354" s="5"/>
      <c r="C3354" s="5"/>
      <c r="D3354" s="5"/>
      <c r="E3354" s="5"/>
      <c r="F3354" s="9"/>
      <c r="G3354" s="5"/>
      <c r="H3354" s="5"/>
      <c r="I3354" s="5"/>
      <c r="J3354" s="5"/>
      <c r="K3354" s="5"/>
      <c r="L3354" s="5"/>
      <c r="M3354" s="5"/>
      <c r="N3354" s="5"/>
      <c r="O3354" s="5"/>
    </row>
    <row r="3355" spans="1:29" ht="30" customHeight="1" x14ac:dyDescent="0.3">
      <c r="A3355" s="5"/>
      <c r="B3355" s="5"/>
      <c r="C3355" s="5"/>
      <c r="D3355" s="5"/>
      <c r="E3355" s="5"/>
      <c r="F3355" s="9"/>
      <c r="G3355" s="5"/>
      <c r="H3355" s="5"/>
      <c r="I3355" s="5"/>
      <c r="J3355" s="5"/>
      <c r="K3355" s="5"/>
      <c r="L3355" s="5"/>
      <c r="M3355" s="5"/>
      <c r="N3355" s="5"/>
      <c r="O3355" s="5"/>
    </row>
    <row r="3356" spans="1:29" ht="30" customHeight="1" x14ac:dyDescent="0.3">
      <c r="A3356" s="5"/>
      <c r="B3356" s="5"/>
      <c r="C3356" s="5"/>
      <c r="D3356" s="5"/>
      <c r="E3356" s="5"/>
      <c r="F3356" s="9"/>
      <c r="G3356" s="5"/>
      <c r="H3356" s="5"/>
      <c r="I3356" s="5"/>
      <c r="J3356" s="5"/>
      <c r="K3356" s="5"/>
      <c r="L3356" s="5"/>
      <c r="M3356" s="5"/>
      <c r="N3356" s="5"/>
      <c r="O3356" s="5"/>
    </row>
    <row r="3357" spans="1:29" ht="30" customHeight="1" x14ac:dyDescent="0.3">
      <c r="A3357" s="5"/>
      <c r="B3357" s="5"/>
      <c r="C3357" s="5" t="s">
        <v>162</v>
      </c>
      <c r="D3357" s="5"/>
      <c r="E3357" s="5"/>
      <c r="F3357" s="9"/>
      <c r="G3357" s="5"/>
      <c r="H3357" s="5">
        <f>SUMIF(AC3229:AC3356, 1, H3229:H3356)</f>
        <v>290488704</v>
      </c>
      <c r="I3357" s="5"/>
      <c r="J3357" s="5">
        <f>SUMIF(AC3229:AC3356, 1, J3229:J3356)</f>
        <v>167047210</v>
      </c>
      <c r="K3357" s="5"/>
      <c r="L3357" s="5">
        <f>SUMIF(AC3229:AC3356, 1, L3229:L3356)</f>
        <v>29527689</v>
      </c>
      <c r="M3357" s="5"/>
      <c r="N3357" s="5">
        <f>H3357+J3357+L3357</f>
        <v>487063603</v>
      </c>
      <c r="O3357" s="5"/>
    </row>
    <row r="3358" spans="1:29" ht="30" customHeight="1" x14ac:dyDescent="0.3">
      <c r="A3358" s="5"/>
      <c r="B3358" s="5"/>
      <c r="C3358" s="6" t="s">
        <v>2941</v>
      </c>
      <c r="D3358" s="6"/>
      <c r="E3358" s="6"/>
      <c r="F3358" s="7"/>
      <c r="G3358" s="6"/>
      <c r="H3358" s="6"/>
      <c r="I3358" s="6"/>
      <c r="J3358" s="6"/>
      <c r="K3358" s="6"/>
      <c r="L3358" s="6"/>
      <c r="M3358" s="6"/>
      <c r="N3358" s="6"/>
      <c r="O3358" s="6"/>
    </row>
    <row r="3359" spans="1:29" ht="30" customHeight="1" x14ac:dyDescent="0.3">
      <c r="A3359" s="8" t="s">
        <v>2942</v>
      </c>
      <c r="B3359" s="8" t="s">
        <v>2943</v>
      </c>
      <c r="C3359" s="8" t="s">
        <v>2944</v>
      </c>
      <c r="D3359" s="8" t="s">
        <v>2945</v>
      </c>
      <c r="E3359" s="8" t="s">
        <v>721</v>
      </c>
      <c r="F3359" s="9">
        <v>1</v>
      </c>
      <c r="G3359" s="5">
        <f>TRUNC([1]단가대비표!O835,0)</f>
        <v>95000000</v>
      </c>
      <c r="H3359" s="5">
        <f>TRUNC(F3359*G3359,0)</f>
        <v>95000000</v>
      </c>
      <c r="I3359" s="5">
        <v>0</v>
      </c>
      <c r="J3359" s="5">
        <f>TRUNC(F3359*I3359,0)</f>
        <v>0</v>
      </c>
      <c r="K3359" s="5">
        <v>0</v>
      </c>
      <c r="L3359" s="5">
        <f>TRUNC(F3359*K3359,0)</f>
        <v>0</v>
      </c>
      <c r="M3359" s="5">
        <f t="shared" ref="M3359:N3361" si="317">G3359+I3359+K3359</f>
        <v>95000000</v>
      </c>
      <c r="N3359" s="5">
        <f t="shared" si="317"/>
        <v>95000000</v>
      </c>
      <c r="O3359" s="8" t="s">
        <v>20</v>
      </c>
      <c r="T3359">
        <v>0</v>
      </c>
      <c r="AC3359">
        <v>1</v>
      </c>
    </row>
    <row r="3360" spans="1:29" ht="30" customHeight="1" x14ac:dyDescent="0.3">
      <c r="A3360" s="8" t="s">
        <v>2942</v>
      </c>
      <c r="B3360" s="8" t="s">
        <v>2946</v>
      </c>
      <c r="C3360" s="8" t="s">
        <v>2947</v>
      </c>
      <c r="D3360" s="8" t="s">
        <v>2948</v>
      </c>
      <c r="E3360" s="8" t="s">
        <v>721</v>
      </c>
      <c r="F3360" s="9">
        <v>3</v>
      </c>
      <c r="G3360" s="5">
        <f>TRUNC([1]단가대비표!O836,0)</f>
        <v>4000000</v>
      </c>
      <c r="H3360" s="5">
        <f>TRUNC(F3360*G3360,0)</f>
        <v>12000000</v>
      </c>
      <c r="I3360" s="5">
        <v>0</v>
      </c>
      <c r="J3360" s="5">
        <f>TRUNC(F3360*I3360,0)</f>
        <v>0</v>
      </c>
      <c r="K3360" s="5">
        <v>0</v>
      </c>
      <c r="L3360" s="5">
        <f>TRUNC(F3360*K3360,0)</f>
        <v>0</v>
      </c>
      <c r="M3360" s="5">
        <f t="shared" si="317"/>
        <v>4000000</v>
      </c>
      <c r="N3360" s="5">
        <f t="shared" si="317"/>
        <v>12000000</v>
      </c>
      <c r="O3360" s="8" t="s">
        <v>20</v>
      </c>
      <c r="T3360">
        <v>0</v>
      </c>
      <c r="AC3360">
        <v>1</v>
      </c>
    </row>
    <row r="3361" spans="1:29" ht="30" customHeight="1" x14ac:dyDescent="0.3">
      <c r="A3361" s="8" t="s">
        <v>2942</v>
      </c>
      <c r="B3361" s="8" t="s">
        <v>2949</v>
      </c>
      <c r="C3361" s="8" t="s">
        <v>2950</v>
      </c>
      <c r="D3361" s="8" t="s">
        <v>2951</v>
      </c>
      <c r="E3361" s="8" t="s">
        <v>721</v>
      </c>
      <c r="F3361" s="9">
        <v>1</v>
      </c>
      <c r="G3361" s="5">
        <f>TRUNC([1]단가대비표!O837,0)</f>
        <v>2200000</v>
      </c>
      <c r="H3361" s="5">
        <f>TRUNC(F3361*G3361,0)</f>
        <v>2200000</v>
      </c>
      <c r="I3361" s="5">
        <v>0</v>
      </c>
      <c r="J3361" s="5">
        <f>TRUNC(F3361*I3361,0)</f>
        <v>0</v>
      </c>
      <c r="K3361" s="5">
        <v>0</v>
      </c>
      <c r="L3361" s="5">
        <f>TRUNC(F3361*K3361,0)</f>
        <v>0</v>
      </c>
      <c r="M3361" s="5">
        <f t="shared" si="317"/>
        <v>2200000</v>
      </c>
      <c r="N3361" s="5">
        <f t="shared" si="317"/>
        <v>2200000</v>
      </c>
      <c r="O3361" s="8" t="s">
        <v>20</v>
      </c>
      <c r="T3361">
        <v>0</v>
      </c>
      <c r="AC3361">
        <v>1</v>
      </c>
    </row>
    <row r="3362" spans="1:29" ht="30" customHeight="1" x14ac:dyDescent="0.3">
      <c r="A3362" s="5"/>
      <c r="B3362" s="5"/>
      <c r="C3362" s="5"/>
      <c r="D3362" s="5"/>
      <c r="E3362" s="5"/>
      <c r="F3362" s="9"/>
      <c r="G3362" s="5"/>
      <c r="H3362" s="5"/>
      <c r="I3362" s="5"/>
      <c r="J3362" s="5"/>
      <c r="K3362" s="5"/>
      <c r="L3362" s="5"/>
      <c r="M3362" s="5"/>
      <c r="N3362" s="5"/>
      <c r="O3362" s="5"/>
    </row>
    <row r="3363" spans="1:29" ht="30" customHeight="1" x14ac:dyDescent="0.3">
      <c r="A3363" s="5"/>
      <c r="B3363" s="5"/>
      <c r="C3363" s="5"/>
      <c r="D3363" s="5"/>
      <c r="E3363" s="5"/>
      <c r="F3363" s="9"/>
      <c r="G3363" s="5"/>
      <c r="H3363" s="5"/>
      <c r="I3363" s="5"/>
      <c r="J3363" s="5"/>
      <c r="K3363" s="5"/>
      <c r="L3363" s="5"/>
      <c r="M3363" s="5"/>
      <c r="N3363" s="5"/>
      <c r="O3363" s="5"/>
    </row>
    <row r="3364" spans="1:29" ht="30" customHeight="1" x14ac:dyDescent="0.3">
      <c r="A3364" s="5"/>
      <c r="B3364" s="5"/>
      <c r="C3364" s="5"/>
      <c r="D3364" s="5"/>
      <c r="E3364" s="5"/>
      <c r="F3364" s="9"/>
      <c r="G3364" s="5"/>
      <c r="H3364" s="5"/>
      <c r="I3364" s="5"/>
      <c r="J3364" s="5"/>
      <c r="K3364" s="5"/>
      <c r="L3364" s="5"/>
      <c r="M3364" s="5"/>
      <c r="N3364" s="5"/>
      <c r="O3364" s="5"/>
    </row>
    <row r="3365" spans="1:29" ht="30" customHeight="1" x14ac:dyDescent="0.3">
      <c r="A3365" s="5"/>
      <c r="B3365" s="5"/>
      <c r="C3365" s="5"/>
      <c r="D3365" s="5"/>
      <c r="E3365" s="5"/>
      <c r="F3365" s="9"/>
      <c r="G3365" s="5"/>
      <c r="H3365" s="5"/>
      <c r="I3365" s="5"/>
      <c r="J3365" s="5"/>
      <c r="K3365" s="5"/>
      <c r="L3365" s="5"/>
      <c r="M3365" s="5"/>
      <c r="N3365" s="5"/>
      <c r="O3365" s="5"/>
    </row>
    <row r="3366" spans="1:29" ht="30" customHeight="1" x14ac:dyDescent="0.3">
      <c r="A3366" s="5"/>
      <c r="B3366" s="5"/>
      <c r="C3366" s="5"/>
      <c r="D3366" s="5"/>
      <c r="E3366" s="5"/>
      <c r="F3366" s="9"/>
      <c r="G3366" s="5"/>
      <c r="H3366" s="5"/>
      <c r="I3366" s="5"/>
      <c r="J3366" s="5"/>
      <c r="K3366" s="5"/>
      <c r="L3366" s="5"/>
      <c r="M3366" s="5"/>
      <c r="N3366" s="5"/>
      <c r="O3366" s="5"/>
    </row>
    <row r="3367" spans="1:29" ht="30" customHeight="1" x14ac:dyDescent="0.3">
      <c r="A3367" s="5"/>
      <c r="B3367" s="5"/>
      <c r="C3367" s="5"/>
      <c r="D3367" s="5"/>
      <c r="E3367" s="5"/>
      <c r="F3367" s="9"/>
      <c r="G3367" s="5"/>
      <c r="H3367" s="5"/>
      <c r="I3367" s="5"/>
      <c r="J3367" s="5"/>
      <c r="K3367" s="5"/>
      <c r="L3367" s="5"/>
      <c r="M3367" s="5"/>
      <c r="N3367" s="5"/>
      <c r="O3367" s="5"/>
    </row>
    <row r="3368" spans="1:29" ht="30" customHeight="1" x14ac:dyDescent="0.3">
      <c r="A3368" s="5"/>
      <c r="B3368" s="5"/>
      <c r="C3368" s="5"/>
      <c r="D3368" s="5"/>
      <c r="E3368" s="5"/>
      <c r="F3368" s="9"/>
      <c r="G3368" s="5"/>
      <c r="H3368" s="5"/>
      <c r="I3368" s="5"/>
      <c r="J3368" s="5"/>
      <c r="K3368" s="5"/>
      <c r="L3368" s="5"/>
      <c r="M3368" s="5"/>
      <c r="N3368" s="5"/>
      <c r="O3368" s="5"/>
    </row>
    <row r="3369" spans="1:29" ht="30" customHeight="1" x14ac:dyDescent="0.3">
      <c r="A3369" s="5"/>
      <c r="B3369" s="5"/>
      <c r="C3369" s="5"/>
      <c r="D3369" s="5"/>
      <c r="E3369" s="5"/>
      <c r="F3369" s="9"/>
      <c r="G3369" s="5"/>
      <c r="H3369" s="5"/>
      <c r="I3369" s="5"/>
      <c r="J3369" s="5"/>
      <c r="K3369" s="5"/>
      <c r="L3369" s="5"/>
      <c r="M3369" s="5"/>
      <c r="N3369" s="5"/>
      <c r="O3369" s="5"/>
    </row>
    <row r="3370" spans="1:29" ht="30" customHeight="1" x14ac:dyDescent="0.3">
      <c r="A3370" s="5"/>
      <c r="B3370" s="5"/>
      <c r="C3370" s="5"/>
      <c r="D3370" s="5"/>
      <c r="E3370" s="5"/>
      <c r="F3370" s="9"/>
      <c r="G3370" s="5"/>
      <c r="H3370" s="5"/>
      <c r="I3370" s="5"/>
      <c r="J3370" s="5"/>
      <c r="K3370" s="5"/>
      <c r="L3370" s="5"/>
      <c r="M3370" s="5"/>
      <c r="N3370" s="5"/>
      <c r="O3370" s="5"/>
    </row>
    <row r="3371" spans="1:29" ht="30" customHeight="1" x14ac:dyDescent="0.3">
      <c r="A3371" s="5"/>
      <c r="B3371" s="5"/>
      <c r="C3371" s="5"/>
      <c r="D3371" s="5"/>
      <c r="E3371" s="5"/>
      <c r="F3371" s="9"/>
      <c r="G3371" s="5"/>
      <c r="H3371" s="5"/>
      <c r="I3371" s="5"/>
      <c r="J3371" s="5"/>
      <c r="K3371" s="5"/>
      <c r="L3371" s="5"/>
      <c r="M3371" s="5"/>
      <c r="N3371" s="5"/>
      <c r="O3371" s="5"/>
    </row>
    <row r="3372" spans="1:29" ht="30" customHeight="1" x14ac:dyDescent="0.3">
      <c r="A3372" s="5"/>
      <c r="B3372" s="5"/>
      <c r="C3372" s="5"/>
      <c r="D3372" s="5"/>
      <c r="E3372" s="5"/>
      <c r="F3372" s="9"/>
      <c r="G3372" s="5"/>
      <c r="H3372" s="5"/>
      <c r="I3372" s="5"/>
      <c r="J3372" s="5"/>
      <c r="K3372" s="5"/>
      <c r="L3372" s="5"/>
      <c r="M3372" s="5"/>
      <c r="N3372" s="5"/>
      <c r="O3372" s="5"/>
    </row>
    <row r="3373" spans="1:29" ht="30" customHeight="1" x14ac:dyDescent="0.3">
      <c r="A3373" s="5"/>
      <c r="B3373" s="5"/>
      <c r="C3373" s="5"/>
      <c r="D3373" s="5"/>
      <c r="E3373" s="5"/>
      <c r="F3373" s="9"/>
      <c r="G3373" s="5"/>
      <c r="H3373" s="5"/>
      <c r="I3373" s="5"/>
      <c r="J3373" s="5"/>
      <c r="K3373" s="5"/>
      <c r="L3373" s="5"/>
      <c r="M3373" s="5"/>
      <c r="N3373" s="5"/>
      <c r="O3373" s="5"/>
    </row>
    <row r="3374" spans="1:29" ht="30" customHeight="1" x14ac:dyDescent="0.3">
      <c r="A3374" s="5"/>
      <c r="B3374" s="5"/>
      <c r="C3374" s="5"/>
      <c r="D3374" s="5"/>
      <c r="E3374" s="5"/>
      <c r="F3374" s="9"/>
      <c r="G3374" s="5"/>
      <c r="H3374" s="5"/>
      <c r="I3374" s="5"/>
      <c r="J3374" s="5"/>
      <c r="K3374" s="5"/>
      <c r="L3374" s="5"/>
      <c r="M3374" s="5"/>
      <c r="N3374" s="5"/>
      <c r="O3374" s="5"/>
    </row>
    <row r="3375" spans="1:29" ht="30" customHeight="1" x14ac:dyDescent="0.3">
      <c r="A3375" s="5"/>
      <c r="B3375" s="5"/>
      <c r="C3375" s="5"/>
      <c r="D3375" s="5"/>
      <c r="E3375" s="5"/>
      <c r="F3375" s="9"/>
      <c r="G3375" s="5"/>
      <c r="H3375" s="5"/>
      <c r="I3375" s="5"/>
      <c r="J3375" s="5"/>
      <c r="K3375" s="5"/>
      <c r="L3375" s="5"/>
      <c r="M3375" s="5"/>
      <c r="N3375" s="5"/>
      <c r="O3375" s="5"/>
    </row>
    <row r="3376" spans="1:29" ht="30" customHeight="1" x14ac:dyDescent="0.3">
      <c r="A3376" s="5"/>
      <c r="B3376" s="5"/>
      <c r="C3376" s="5"/>
      <c r="D3376" s="5"/>
      <c r="E3376" s="5"/>
      <c r="F3376" s="9"/>
      <c r="G3376" s="5"/>
      <c r="H3376" s="5"/>
      <c r="I3376" s="5"/>
      <c r="J3376" s="5"/>
      <c r="K3376" s="5"/>
      <c r="L3376" s="5"/>
      <c r="M3376" s="5"/>
      <c r="N3376" s="5"/>
      <c r="O3376" s="5"/>
    </row>
    <row r="3377" spans="1:29" ht="30" customHeight="1" x14ac:dyDescent="0.3">
      <c r="A3377" s="5"/>
      <c r="B3377" s="5"/>
      <c r="C3377" s="5"/>
      <c r="D3377" s="5"/>
      <c r="E3377" s="5"/>
      <c r="F3377" s="9"/>
      <c r="G3377" s="5"/>
      <c r="H3377" s="5"/>
      <c r="I3377" s="5"/>
      <c r="J3377" s="5"/>
      <c r="K3377" s="5"/>
      <c r="L3377" s="5"/>
      <c r="M3377" s="5"/>
      <c r="N3377" s="5"/>
      <c r="O3377" s="5"/>
    </row>
    <row r="3378" spans="1:29" ht="30" customHeight="1" x14ac:dyDescent="0.3">
      <c r="A3378" s="5"/>
      <c r="B3378" s="5"/>
      <c r="C3378" s="5"/>
      <c r="D3378" s="5"/>
      <c r="E3378" s="5"/>
      <c r="F3378" s="9"/>
      <c r="G3378" s="5"/>
      <c r="H3378" s="5"/>
      <c r="I3378" s="5"/>
      <c r="J3378" s="5"/>
      <c r="K3378" s="5"/>
      <c r="L3378" s="5"/>
      <c r="M3378" s="5"/>
      <c r="N3378" s="5"/>
      <c r="O3378" s="5"/>
    </row>
    <row r="3379" spans="1:29" ht="30" customHeight="1" x14ac:dyDescent="0.3">
      <c r="A3379" s="5"/>
      <c r="B3379" s="5"/>
      <c r="C3379" s="5"/>
      <c r="D3379" s="5"/>
      <c r="E3379" s="5"/>
      <c r="F3379" s="9"/>
      <c r="G3379" s="5"/>
      <c r="H3379" s="5"/>
      <c r="I3379" s="5"/>
      <c r="J3379" s="5"/>
      <c r="K3379" s="5"/>
      <c r="L3379" s="5"/>
      <c r="M3379" s="5"/>
      <c r="N3379" s="5"/>
      <c r="O3379" s="5"/>
    </row>
    <row r="3380" spans="1:29" ht="30" customHeight="1" x14ac:dyDescent="0.3">
      <c r="A3380" s="5"/>
      <c r="B3380" s="5"/>
      <c r="C3380" s="5"/>
      <c r="D3380" s="5"/>
      <c r="E3380" s="5"/>
      <c r="F3380" s="9"/>
      <c r="G3380" s="5"/>
      <c r="H3380" s="5"/>
      <c r="I3380" s="5"/>
      <c r="J3380" s="5"/>
      <c r="K3380" s="5"/>
      <c r="L3380" s="5"/>
      <c r="M3380" s="5"/>
      <c r="N3380" s="5"/>
      <c r="O3380" s="5"/>
    </row>
    <row r="3381" spans="1:29" ht="30" customHeight="1" x14ac:dyDescent="0.3">
      <c r="A3381" s="5"/>
      <c r="B3381" s="5"/>
      <c r="C3381" s="5"/>
      <c r="D3381" s="5"/>
      <c r="E3381" s="5"/>
      <c r="F3381" s="9"/>
      <c r="G3381" s="5"/>
      <c r="H3381" s="5"/>
      <c r="I3381" s="5"/>
      <c r="J3381" s="5"/>
      <c r="K3381" s="5"/>
      <c r="L3381" s="5"/>
      <c r="M3381" s="5"/>
      <c r="N3381" s="5"/>
      <c r="O3381" s="5"/>
    </row>
    <row r="3382" spans="1:29" ht="30" customHeight="1" x14ac:dyDescent="0.3">
      <c r="A3382" s="5"/>
      <c r="B3382" s="5"/>
      <c r="C3382" s="5"/>
      <c r="D3382" s="5"/>
      <c r="E3382" s="5"/>
      <c r="F3382" s="9"/>
      <c r="G3382" s="5"/>
      <c r="H3382" s="5"/>
      <c r="I3382" s="5"/>
      <c r="J3382" s="5"/>
      <c r="K3382" s="5"/>
      <c r="L3382" s="5"/>
      <c r="M3382" s="5"/>
      <c r="N3382" s="5"/>
      <c r="O3382" s="5"/>
    </row>
    <row r="3383" spans="1:29" ht="30" customHeight="1" x14ac:dyDescent="0.3">
      <c r="A3383" s="5"/>
      <c r="B3383" s="5"/>
      <c r="C3383" s="5" t="s">
        <v>162</v>
      </c>
      <c r="D3383" s="5"/>
      <c r="E3383" s="5"/>
      <c r="F3383" s="9"/>
      <c r="G3383" s="5"/>
      <c r="H3383" s="5">
        <f>SUMIF(AC3359:AC3382, 1, H3359:H3382)</f>
        <v>109200000</v>
      </c>
      <c r="I3383" s="5"/>
      <c r="J3383" s="5">
        <f>SUMIF(AC3359:AC3382, 1, J3359:J3382)</f>
        <v>0</v>
      </c>
      <c r="K3383" s="5"/>
      <c r="L3383" s="5">
        <f>SUMIF(AC3359:AC3382, 1, L3359:L3382)</f>
        <v>0</v>
      </c>
      <c r="M3383" s="5"/>
      <c r="N3383" s="5">
        <f>H3383+J3383+L3383</f>
        <v>109200000</v>
      </c>
      <c r="O3383" s="5"/>
    </row>
    <row r="3384" spans="1:29" ht="30" customHeight="1" x14ac:dyDescent="0.3">
      <c r="A3384" s="5"/>
      <c r="B3384" s="5"/>
      <c r="C3384" s="6" t="s">
        <v>2952</v>
      </c>
      <c r="D3384" s="6"/>
      <c r="E3384" s="6"/>
      <c r="F3384" s="7"/>
      <c r="G3384" s="6"/>
      <c r="H3384" s="6"/>
      <c r="I3384" s="6"/>
      <c r="J3384" s="6"/>
      <c r="K3384" s="6"/>
      <c r="L3384" s="6"/>
      <c r="M3384" s="6"/>
      <c r="N3384" s="6"/>
      <c r="O3384" s="6"/>
    </row>
    <row r="3385" spans="1:29" ht="30" customHeight="1" x14ac:dyDescent="0.3">
      <c r="A3385" s="8" t="s">
        <v>2953</v>
      </c>
      <c r="B3385" s="8" t="s">
        <v>2954</v>
      </c>
      <c r="C3385" s="8" t="s">
        <v>2955</v>
      </c>
      <c r="D3385" s="8" t="s">
        <v>2956</v>
      </c>
      <c r="E3385" s="8" t="s">
        <v>2957</v>
      </c>
      <c r="F3385" s="9">
        <v>1</v>
      </c>
      <c r="G3385" s="5">
        <f>TRUNC([1]단가대비표!O838,0)</f>
        <v>2500000</v>
      </c>
      <c r="H3385" s="5">
        <f t="shared" ref="H3385:H3448" si="318">TRUNC(F3385*G3385,0)</f>
        <v>2500000</v>
      </c>
      <c r="I3385" s="5">
        <v>0</v>
      </c>
      <c r="J3385" s="5">
        <f t="shared" ref="J3385:J3448" si="319">TRUNC(F3385*I3385,0)</f>
        <v>0</v>
      </c>
      <c r="K3385" s="5">
        <v>0</v>
      </c>
      <c r="L3385" s="5">
        <f t="shared" ref="L3385:L3448" si="320">TRUNC(F3385*K3385,0)</f>
        <v>0</v>
      </c>
      <c r="M3385" s="5">
        <f t="shared" ref="M3385:N3416" si="321">G3385+I3385+K3385</f>
        <v>2500000</v>
      </c>
      <c r="N3385" s="5">
        <f t="shared" si="321"/>
        <v>2500000</v>
      </c>
      <c r="O3385" s="8" t="s">
        <v>20</v>
      </c>
      <c r="T3385">
        <v>0</v>
      </c>
      <c r="AC3385">
        <v>1</v>
      </c>
    </row>
    <row r="3386" spans="1:29" ht="30" customHeight="1" x14ac:dyDescent="0.3">
      <c r="A3386" s="8" t="s">
        <v>2953</v>
      </c>
      <c r="B3386" s="8" t="s">
        <v>2958</v>
      </c>
      <c r="C3386" s="8" t="s">
        <v>2959</v>
      </c>
      <c r="D3386" s="8" t="s">
        <v>20</v>
      </c>
      <c r="E3386" s="8" t="s">
        <v>721</v>
      </c>
      <c r="F3386" s="9">
        <v>1</v>
      </c>
      <c r="G3386" s="5">
        <f>TRUNC([1]단가대비표!O839,0)</f>
        <v>4500000</v>
      </c>
      <c r="H3386" s="5">
        <f t="shared" si="318"/>
        <v>4500000</v>
      </c>
      <c r="I3386" s="5">
        <v>0</v>
      </c>
      <c r="J3386" s="5">
        <f t="shared" si="319"/>
        <v>0</v>
      </c>
      <c r="K3386" s="5">
        <v>0</v>
      </c>
      <c r="L3386" s="5">
        <f t="shared" si="320"/>
        <v>0</v>
      </c>
      <c r="M3386" s="5">
        <f t="shared" si="321"/>
        <v>4500000</v>
      </c>
      <c r="N3386" s="5">
        <f t="shared" si="321"/>
        <v>4500000</v>
      </c>
      <c r="O3386" s="8" t="s">
        <v>20</v>
      </c>
      <c r="T3386">
        <v>0</v>
      </c>
      <c r="AC3386">
        <v>1</v>
      </c>
    </row>
    <row r="3387" spans="1:29" ht="30" customHeight="1" x14ac:dyDescent="0.3">
      <c r="A3387" s="8" t="s">
        <v>2953</v>
      </c>
      <c r="B3387" s="8" t="s">
        <v>2960</v>
      </c>
      <c r="C3387" s="8" t="s">
        <v>2961</v>
      </c>
      <c r="D3387" s="8" t="s">
        <v>2962</v>
      </c>
      <c r="E3387" s="8" t="s">
        <v>428</v>
      </c>
      <c r="F3387" s="9">
        <v>2</v>
      </c>
      <c r="G3387" s="5">
        <f>TRUNC([1]단가대비표!O840,0)</f>
        <v>365000</v>
      </c>
      <c r="H3387" s="5">
        <f t="shared" si="318"/>
        <v>730000</v>
      </c>
      <c r="I3387" s="5">
        <v>0</v>
      </c>
      <c r="J3387" s="5">
        <f t="shared" si="319"/>
        <v>0</v>
      </c>
      <c r="K3387" s="5">
        <v>0</v>
      </c>
      <c r="L3387" s="5">
        <f t="shared" si="320"/>
        <v>0</v>
      </c>
      <c r="M3387" s="5">
        <f t="shared" si="321"/>
        <v>365000</v>
      </c>
      <c r="N3387" s="5">
        <f t="shared" si="321"/>
        <v>730000</v>
      </c>
      <c r="O3387" s="8" t="s">
        <v>20</v>
      </c>
      <c r="T3387">
        <v>0</v>
      </c>
      <c r="AC3387">
        <v>1</v>
      </c>
    </row>
    <row r="3388" spans="1:29" ht="30" customHeight="1" x14ac:dyDescent="0.3">
      <c r="A3388" s="8" t="s">
        <v>2953</v>
      </c>
      <c r="B3388" s="8" t="s">
        <v>2963</v>
      </c>
      <c r="C3388" s="8" t="s">
        <v>2964</v>
      </c>
      <c r="D3388" s="8" t="s">
        <v>2965</v>
      </c>
      <c r="E3388" s="8" t="s">
        <v>428</v>
      </c>
      <c r="F3388" s="9">
        <v>4</v>
      </c>
      <c r="G3388" s="5">
        <f>TRUNC([1]단가대비표!O841,0)</f>
        <v>60000</v>
      </c>
      <c r="H3388" s="5">
        <f t="shared" si="318"/>
        <v>240000</v>
      </c>
      <c r="I3388" s="5">
        <v>0</v>
      </c>
      <c r="J3388" s="5">
        <f t="shared" si="319"/>
        <v>0</v>
      </c>
      <c r="K3388" s="5">
        <v>0</v>
      </c>
      <c r="L3388" s="5">
        <f t="shared" si="320"/>
        <v>0</v>
      </c>
      <c r="M3388" s="5">
        <f t="shared" si="321"/>
        <v>60000</v>
      </c>
      <c r="N3388" s="5">
        <f t="shared" si="321"/>
        <v>240000</v>
      </c>
      <c r="O3388" s="8" t="s">
        <v>20</v>
      </c>
      <c r="T3388">
        <v>0</v>
      </c>
      <c r="AC3388">
        <v>1</v>
      </c>
    </row>
    <row r="3389" spans="1:29" ht="30" customHeight="1" x14ac:dyDescent="0.3">
      <c r="A3389" s="8" t="s">
        <v>2953</v>
      </c>
      <c r="B3389" s="8" t="s">
        <v>2966</v>
      </c>
      <c r="C3389" s="8" t="s">
        <v>2967</v>
      </c>
      <c r="D3389" s="8" t="s">
        <v>2968</v>
      </c>
      <c r="E3389" s="8" t="s">
        <v>428</v>
      </c>
      <c r="F3389" s="9">
        <v>8</v>
      </c>
      <c r="G3389" s="5">
        <f>TRUNC([1]단가대비표!O842,0)</f>
        <v>58000</v>
      </c>
      <c r="H3389" s="5">
        <f t="shared" si="318"/>
        <v>464000</v>
      </c>
      <c r="I3389" s="5">
        <v>0</v>
      </c>
      <c r="J3389" s="5">
        <f t="shared" si="319"/>
        <v>0</v>
      </c>
      <c r="K3389" s="5">
        <v>0</v>
      </c>
      <c r="L3389" s="5">
        <f t="shared" si="320"/>
        <v>0</v>
      </c>
      <c r="M3389" s="5">
        <f t="shared" si="321"/>
        <v>58000</v>
      </c>
      <c r="N3389" s="5">
        <f t="shared" si="321"/>
        <v>464000</v>
      </c>
      <c r="O3389" s="8" t="s">
        <v>20</v>
      </c>
      <c r="T3389">
        <v>0</v>
      </c>
      <c r="AC3389">
        <v>1</v>
      </c>
    </row>
    <row r="3390" spans="1:29" ht="30" customHeight="1" x14ac:dyDescent="0.3">
      <c r="A3390" s="8" t="s">
        <v>2953</v>
      </c>
      <c r="B3390" s="8" t="s">
        <v>2969</v>
      </c>
      <c r="C3390" s="8" t="s">
        <v>2970</v>
      </c>
      <c r="D3390" s="8" t="s">
        <v>2971</v>
      </c>
      <c r="E3390" s="8" t="s">
        <v>428</v>
      </c>
      <c r="F3390" s="9">
        <v>2</v>
      </c>
      <c r="G3390" s="5">
        <f>TRUNC([1]단가대비표!O843,0)</f>
        <v>23500</v>
      </c>
      <c r="H3390" s="5">
        <f t="shared" si="318"/>
        <v>47000</v>
      </c>
      <c r="I3390" s="5">
        <v>0</v>
      </c>
      <c r="J3390" s="5">
        <f t="shared" si="319"/>
        <v>0</v>
      </c>
      <c r="K3390" s="5">
        <v>0</v>
      </c>
      <c r="L3390" s="5">
        <f t="shared" si="320"/>
        <v>0</v>
      </c>
      <c r="M3390" s="5">
        <f t="shared" si="321"/>
        <v>23500</v>
      </c>
      <c r="N3390" s="5">
        <f t="shared" si="321"/>
        <v>47000</v>
      </c>
      <c r="O3390" s="8" t="s">
        <v>20</v>
      </c>
      <c r="T3390">
        <v>0</v>
      </c>
      <c r="AC3390">
        <v>1</v>
      </c>
    </row>
    <row r="3391" spans="1:29" ht="30" customHeight="1" x14ac:dyDescent="0.3">
      <c r="A3391" s="8" t="s">
        <v>2953</v>
      </c>
      <c r="B3391" s="8" t="s">
        <v>2972</v>
      </c>
      <c r="C3391" s="8" t="s">
        <v>2973</v>
      </c>
      <c r="D3391" s="8" t="s">
        <v>2974</v>
      </c>
      <c r="E3391" s="8" t="s">
        <v>428</v>
      </c>
      <c r="F3391" s="9">
        <v>2</v>
      </c>
      <c r="G3391" s="5">
        <f>TRUNC([1]단가대비표!O844,0)</f>
        <v>6500</v>
      </c>
      <c r="H3391" s="5">
        <f t="shared" si="318"/>
        <v>13000</v>
      </c>
      <c r="I3391" s="5">
        <v>0</v>
      </c>
      <c r="J3391" s="5">
        <f t="shared" si="319"/>
        <v>0</v>
      </c>
      <c r="K3391" s="5">
        <v>0</v>
      </c>
      <c r="L3391" s="5">
        <f t="shared" si="320"/>
        <v>0</v>
      </c>
      <c r="M3391" s="5">
        <f t="shared" si="321"/>
        <v>6500</v>
      </c>
      <c r="N3391" s="5">
        <f t="shared" si="321"/>
        <v>13000</v>
      </c>
      <c r="O3391" s="8" t="s">
        <v>20</v>
      </c>
      <c r="T3391">
        <v>0</v>
      </c>
      <c r="AC3391">
        <v>1</v>
      </c>
    </row>
    <row r="3392" spans="1:29" ht="30" customHeight="1" x14ac:dyDescent="0.3">
      <c r="A3392" s="8" t="s">
        <v>2953</v>
      </c>
      <c r="B3392" s="8" t="s">
        <v>2975</v>
      </c>
      <c r="C3392" s="8" t="s">
        <v>2976</v>
      </c>
      <c r="D3392" s="8" t="s">
        <v>2977</v>
      </c>
      <c r="E3392" s="8" t="s">
        <v>428</v>
      </c>
      <c r="F3392" s="9">
        <v>7</v>
      </c>
      <c r="G3392" s="5">
        <f>TRUNC([1]단가대비표!O845,0)</f>
        <v>31000</v>
      </c>
      <c r="H3392" s="5">
        <f t="shared" si="318"/>
        <v>217000</v>
      </c>
      <c r="I3392" s="5">
        <v>0</v>
      </c>
      <c r="J3392" s="5">
        <f t="shared" si="319"/>
        <v>0</v>
      </c>
      <c r="K3392" s="5">
        <v>0</v>
      </c>
      <c r="L3392" s="5">
        <f t="shared" si="320"/>
        <v>0</v>
      </c>
      <c r="M3392" s="5">
        <f t="shared" si="321"/>
        <v>31000</v>
      </c>
      <c r="N3392" s="5">
        <f t="shared" si="321"/>
        <v>217000</v>
      </c>
      <c r="O3392" s="8" t="s">
        <v>20</v>
      </c>
      <c r="T3392">
        <v>0</v>
      </c>
      <c r="AC3392">
        <v>1</v>
      </c>
    </row>
    <row r="3393" spans="1:29" ht="30" customHeight="1" x14ac:dyDescent="0.3">
      <c r="A3393" s="8" t="s">
        <v>2953</v>
      </c>
      <c r="B3393" s="8" t="s">
        <v>2978</v>
      </c>
      <c r="C3393" s="8" t="s">
        <v>2979</v>
      </c>
      <c r="D3393" s="8" t="s">
        <v>2980</v>
      </c>
      <c r="E3393" s="8" t="s">
        <v>428</v>
      </c>
      <c r="F3393" s="9">
        <v>3</v>
      </c>
      <c r="G3393" s="5">
        <f>TRUNC([1]단가대비표!O846,0)</f>
        <v>26000</v>
      </c>
      <c r="H3393" s="5">
        <f t="shared" si="318"/>
        <v>78000</v>
      </c>
      <c r="I3393" s="5">
        <v>0</v>
      </c>
      <c r="J3393" s="5">
        <f t="shared" si="319"/>
        <v>0</v>
      </c>
      <c r="K3393" s="5">
        <v>0</v>
      </c>
      <c r="L3393" s="5">
        <f t="shared" si="320"/>
        <v>0</v>
      </c>
      <c r="M3393" s="5">
        <f t="shared" si="321"/>
        <v>26000</v>
      </c>
      <c r="N3393" s="5">
        <f t="shared" si="321"/>
        <v>78000</v>
      </c>
      <c r="O3393" s="8" t="s">
        <v>20</v>
      </c>
      <c r="T3393">
        <v>0</v>
      </c>
      <c r="AC3393">
        <v>1</v>
      </c>
    </row>
    <row r="3394" spans="1:29" ht="30" customHeight="1" x14ac:dyDescent="0.3">
      <c r="A3394" s="8" t="s">
        <v>2953</v>
      </c>
      <c r="B3394" s="8" t="s">
        <v>2981</v>
      </c>
      <c r="C3394" s="8" t="s">
        <v>2982</v>
      </c>
      <c r="D3394" s="8" t="s">
        <v>2983</v>
      </c>
      <c r="E3394" s="8" t="s">
        <v>428</v>
      </c>
      <c r="F3394" s="9">
        <v>3</v>
      </c>
      <c r="G3394" s="5">
        <f>TRUNC([1]단가대비표!O847,0)</f>
        <v>17000</v>
      </c>
      <c r="H3394" s="5">
        <f t="shared" si="318"/>
        <v>51000</v>
      </c>
      <c r="I3394" s="5">
        <v>0</v>
      </c>
      <c r="J3394" s="5">
        <f t="shared" si="319"/>
        <v>0</v>
      </c>
      <c r="K3394" s="5">
        <v>0</v>
      </c>
      <c r="L3394" s="5">
        <f t="shared" si="320"/>
        <v>0</v>
      </c>
      <c r="M3394" s="5">
        <f t="shared" si="321"/>
        <v>17000</v>
      </c>
      <c r="N3394" s="5">
        <f t="shared" si="321"/>
        <v>51000</v>
      </c>
      <c r="O3394" s="8" t="s">
        <v>20</v>
      </c>
      <c r="T3394">
        <v>0</v>
      </c>
      <c r="AC3394">
        <v>1</v>
      </c>
    </row>
    <row r="3395" spans="1:29" ht="30" customHeight="1" x14ac:dyDescent="0.3">
      <c r="A3395" s="8" t="s">
        <v>2953</v>
      </c>
      <c r="B3395" s="8" t="s">
        <v>2984</v>
      </c>
      <c r="C3395" s="8" t="s">
        <v>2985</v>
      </c>
      <c r="D3395" s="8" t="s">
        <v>2986</v>
      </c>
      <c r="E3395" s="8" t="s">
        <v>20</v>
      </c>
      <c r="F3395" s="9">
        <v>3</v>
      </c>
      <c r="G3395" s="5">
        <f>TRUNC([1]단가대비표!O848,0)</f>
        <v>9500</v>
      </c>
      <c r="H3395" s="5">
        <f t="shared" si="318"/>
        <v>28500</v>
      </c>
      <c r="I3395" s="5">
        <v>0</v>
      </c>
      <c r="J3395" s="5">
        <f t="shared" si="319"/>
        <v>0</v>
      </c>
      <c r="K3395" s="5">
        <v>0</v>
      </c>
      <c r="L3395" s="5">
        <f t="shared" si="320"/>
        <v>0</v>
      </c>
      <c r="M3395" s="5">
        <f t="shared" si="321"/>
        <v>9500</v>
      </c>
      <c r="N3395" s="5">
        <f t="shared" si="321"/>
        <v>28500</v>
      </c>
      <c r="O3395" s="8" t="s">
        <v>20</v>
      </c>
      <c r="T3395">
        <v>0</v>
      </c>
      <c r="AC3395">
        <v>1</v>
      </c>
    </row>
    <row r="3396" spans="1:29" ht="30" customHeight="1" x14ac:dyDescent="0.3">
      <c r="A3396" s="8" t="s">
        <v>2953</v>
      </c>
      <c r="B3396" s="8" t="s">
        <v>2987</v>
      </c>
      <c r="C3396" s="8" t="s">
        <v>2988</v>
      </c>
      <c r="D3396" s="8" t="s">
        <v>2989</v>
      </c>
      <c r="E3396" s="8" t="s">
        <v>428</v>
      </c>
      <c r="F3396" s="9">
        <v>6</v>
      </c>
      <c r="G3396" s="5">
        <f>TRUNC([1]단가대비표!O849,0)</f>
        <v>22000</v>
      </c>
      <c r="H3396" s="5">
        <f t="shared" si="318"/>
        <v>132000</v>
      </c>
      <c r="I3396" s="5">
        <v>0</v>
      </c>
      <c r="J3396" s="5">
        <f t="shared" si="319"/>
        <v>0</v>
      </c>
      <c r="K3396" s="5">
        <v>0</v>
      </c>
      <c r="L3396" s="5">
        <f t="shared" si="320"/>
        <v>0</v>
      </c>
      <c r="M3396" s="5">
        <f t="shared" si="321"/>
        <v>22000</v>
      </c>
      <c r="N3396" s="5">
        <f t="shared" si="321"/>
        <v>132000</v>
      </c>
      <c r="O3396" s="8" t="s">
        <v>20</v>
      </c>
      <c r="T3396">
        <v>0</v>
      </c>
      <c r="AC3396">
        <v>1</v>
      </c>
    </row>
    <row r="3397" spans="1:29" ht="30" customHeight="1" x14ac:dyDescent="0.3">
      <c r="A3397" s="8" t="s">
        <v>2953</v>
      </c>
      <c r="B3397" s="8" t="s">
        <v>2990</v>
      </c>
      <c r="C3397" s="8" t="s">
        <v>2991</v>
      </c>
      <c r="D3397" s="8" t="s">
        <v>2992</v>
      </c>
      <c r="E3397" s="8" t="s">
        <v>20</v>
      </c>
      <c r="F3397" s="9">
        <v>1</v>
      </c>
      <c r="G3397" s="5">
        <f>TRUNC([1]단가대비표!O850,0)</f>
        <v>19000</v>
      </c>
      <c r="H3397" s="5">
        <f t="shared" si="318"/>
        <v>19000</v>
      </c>
      <c r="I3397" s="5">
        <v>0</v>
      </c>
      <c r="J3397" s="5">
        <f t="shared" si="319"/>
        <v>0</v>
      </c>
      <c r="K3397" s="5">
        <v>0</v>
      </c>
      <c r="L3397" s="5">
        <f t="shared" si="320"/>
        <v>0</v>
      </c>
      <c r="M3397" s="5">
        <f t="shared" si="321"/>
        <v>19000</v>
      </c>
      <c r="N3397" s="5">
        <f t="shared" si="321"/>
        <v>19000</v>
      </c>
      <c r="O3397" s="8" t="s">
        <v>20</v>
      </c>
      <c r="T3397">
        <v>0</v>
      </c>
      <c r="AC3397">
        <v>1</v>
      </c>
    </row>
    <row r="3398" spans="1:29" ht="30" customHeight="1" x14ac:dyDescent="0.3">
      <c r="A3398" s="8" t="s">
        <v>2953</v>
      </c>
      <c r="B3398" s="8" t="s">
        <v>2993</v>
      </c>
      <c r="C3398" s="8" t="s">
        <v>2994</v>
      </c>
      <c r="D3398" s="8" t="s">
        <v>2995</v>
      </c>
      <c r="E3398" s="8" t="s">
        <v>20</v>
      </c>
      <c r="F3398" s="9">
        <v>7</v>
      </c>
      <c r="G3398" s="5">
        <f>TRUNC([1]단가대비표!O851,0)</f>
        <v>18500</v>
      </c>
      <c r="H3398" s="5">
        <f t="shared" si="318"/>
        <v>129500</v>
      </c>
      <c r="I3398" s="5">
        <v>0</v>
      </c>
      <c r="J3398" s="5">
        <f t="shared" si="319"/>
        <v>0</v>
      </c>
      <c r="K3398" s="5">
        <v>0</v>
      </c>
      <c r="L3398" s="5">
        <f t="shared" si="320"/>
        <v>0</v>
      </c>
      <c r="M3398" s="5">
        <f t="shared" si="321"/>
        <v>18500</v>
      </c>
      <c r="N3398" s="5">
        <f t="shared" si="321"/>
        <v>129500</v>
      </c>
      <c r="O3398" s="8" t="s">
        <v>20</v>
      </c>
      <c r="T3398">
        <v>0</v>
      </c>
      <c r="AC3398">
        <v>1</v>
      </c>
    </row>
    <row r="3399" spans="1:29" ht="30" customHeight="1" x14ac:dyDescent="0.3">
      <c r="A3399" s="8" t="s">
        <v>2953</v>
      </c>
      <c r="B3399" s="8" t="s">
        <v>2996</v>
      </c>
      <c r="C3399" s="8" t="s">
        <v>2997</v>
      </c>
      <c r="D3399" s="8" t="s">
        <v>2998</v>
      </c>
      <c r="E3399" s="8" t="s">
        <v>428</v>
      </c>
      <c r="F3399" s="9">
        <v>2</v>
      </c>
      <c r="G3399" s="5">
        <f>TRUNC([1]단가대비표!O852,0)</f>
        <v>15000</v>
      </c>
      <c r="H3399" s="5">
        <f t="shared" si="318"/>
        <v>30000</v>
      </c>
      <c r="I3399" s="5">
        <v>0</v>
      </c>
      <c r="J3399" s="5">
        <f t="shared" si="319"/>
        <v>0</v>
      </c>
      <c r="K3399" s="5">
        <v>0</v>
      </c>
      <c r="L3399" s="5">
        <f t="shared" si="320"/>
        <v>0</v>
      </c>
      <c r="M3399" s="5">
        <f t="shared" si="321"/>
        <v>15000</v>
      </c>
      <c r="N3399" s="5">
        <f t="shared" si="321"/>
        <v>30000</v>
      </c>
      <c r="O3399" s="8" t="s">
        <v>20</v>
      </c>
      <c r="T3399">
        <v>0</v>
      </c>
      <c r="AC3399">
        <v>1</v>
      </c>
    </row>
    <row r="3400" spans="1:29" ht="30" customHeight="1" x14ac:dyDescent="0.3">
      <c r="A3400" s="8" t="s">
        <v>2953</v>
      </c>
      <c r="B3400" s="8" t="s">
        <v>2999</v>
      </c>
      <c r="C3400" s="8" t="s">
        <v>3000</v>
      </c>
      <c r="D3400" s="8" t="s">
        <v>3001</v>
      </c>
      <c r="E3400" s="8" t="s">
        <v>428</v>
      </c>
      <c r="F3400" s="9">
        <v>2</v>
      </c>
      <c r="G3400" s="5">
        <f>TRUNC([1]단가대비표!O853,0)</f>
        <v>3000</v>
      </c>
      <c r="H3400" s="5">
        <f t="shared" si="318"/>
        <v>6000</v>
      </c>
      <c r="I3400" s="5">
        <v>0</v>
      </c>
      <c r="J3400" s="5">
        <f t="shared" si="319"/>
        <v>0</v>
      </c>
      <c r="K3400" s="5">
        <v>0</v>
      </c>
      <c r="L3400" s="5">
        <f t="shared" si="320"/>
        <v>0</v>
      </c>
      <c r="M3400" s="5">
        <f t="shared" si="321"/>
        <v>3000</v>
      </c>
      <c r="N3400" s="5">
        <f t="shared" si="321"/>
        <v>6000</v>
      </c>
      <c r="O3400" s="8" t="s">
        <v>20</v>
      </c>
      <c r="T3400">
        <v>0</v>
      </c>
      <c r="AC3400">
        <v>1</v>
      </c>
    </row>
    <row r="3401" spans="1:29" ht="30" customHeight="1" x14ac:dyDescent="0.3">
      <c r="A3401" s="8" t="s">
        <v>2953</v>
      </c>
      <c r="B3401" s="8" t="s">
        <v>3002</v>
      </c>
      <c r="C3401" s="8" t="s">
        <v>3003</v>
      </c>
      <c r="D3401" s="8" t="s">
        <v>3004</v>
      </c>
      <c r="E3401" s="8" t="s">
        <v>428</v>
      </c>
      <c r="F3401" s="9">
        <v>2</v>
      </c>
      <c r="G3401" s="5">
        <f>TRUNC([1]단가대비표!O854,0)</f>
        <v>10000</v>
      </c>
      <c r="H3401" s="5">
        <f t="shared" si="318"/>
        <v>20000</v>
      </c>
      <c r="I3401" s="5">
        <v>0</v>
      </c>
      <c r="J3401" s="5">
        <f t="shared" si="319"/>
        <v>0</v>
      </c>
      <c r="K3401" s="5">
        <v>0</v>
      </c>
      <c r="L3401" s="5">
        <f t="shared" si="320"/>
        <v>0</v>
      </c>
      <c r="M3401" s="5">
        <f t="shared" si="321"/>
        <v>10000</v>
      </c>
      <c r="N3401" s="5">
        <f t="shared" si="321"/>
        <v>20000</v>
      </c>
      <c r="O3401" s="8" t="s">
        <v>20</v>
      </c>
      <c r="T3401">
        <v>0</v>
      </c>
      <c r="AC3401">
        <v>1</v>
      </c>
    </row>
    <row r="3402" spans="1:29" ht="30" customHeight="1" x14ac:dyDescent="0.3">
      <c r="A3402" s="8" t="s">
        <v>2953</v>
      </c>
      <c r="B3402" s="8" t="s">
        <v>3005</v>
      </c>
      <c r="C3402" s="8" t="s">
        <v>3006</v>
      </c>
      <c r="D3402" s="8" t="s">
        <v>20</v>
      </c>
      <c r="E3402" s="8" t="s">
        <v>428</v>
      </c>
      <c r="F3402" s="9">
        <v>20</v>
      </c>
      <c r="G3402" s="5">
        <f>TRUNC([1]단가대비표!O855,0)</f>
        <v>3500</v>
      </c>
      <c r="H3402" s="5">
        <f t="shared" si="318"/>
        <v>70000</v>
      </c>
      <c r="I3402" s="5">
        <v>0</v>
      </c>
      <c r="J3402" s="5">
        <f t="shared" si="319"/>
        <v>0</v>
      </c>
      <c r="K3402" s="5">
        <v>0</v>
      </c>
      <c r="L3402" s="5">
        <f t="shared" si="320"/>
        <v>0</v>
      </c>
      <c r="M3402" s="5">
        <f t="shared" si="321"/>
        <v>3500</v>
      </c>
      <c r="N3402" s="5">
        <f t="shared" si="321"/>
        <v>70000</v>
      </c>
      <c r="O3402" s="8" t="s">
        <v>20</v>
      </c>
      <c r="T3402">
        <v>0</v>
      </c>
      <c r="AC3402">
        <v>1</v>
      </c>
    </row>
    <row r="3403" spans="1:29" ht="30" customHeight="1" x14ac:dyDescent="0.3">
      <c r="A3403" s="8" t="s">
        <v>2953</v>
      </c>
      <c r="B3403" s="8" t="s">
        <v>3007</v>
      </c>
      <c r="C3403" s="8" t="s">
        <v>3008</v>
      </c>
      <c r="D3403" s="8" t="s">
        <v>20</v>
      </c>
      <c r="E3403" s="8" t="s">
        <v>428</v>
      </c>
      <c r="F3403" s="9">
        <v>2</v>
      </c>
      <c r="G3403" s="5">
        <f>TRUNC([1]단가대비표!O856,0)</f>
        <v>3000</v>
      </c>
      <c r="H3403" s="5">
        <f t="shared" si="318"/>
        <v>6000</v>
      </c>
      <c r="I3403" s="5">
        <v>0</v>
      </c>
      <c r="J3403" s="5">
        <f t="shared" si="319"/>
        <v>0</v>
      </c>
      <c r="K3403" s="5">
        <v>0</v>
      </c>
      <c r="L3403" s="5">
        <f t="shared" si="320"/>
        <v>0</v>
      </c>
      <c r="M3403" s="5">
        <f t="shared" si="321"/>
        <v>3000</v>
      </c>
      <c r="N3403" s="5">
        <f t="shared" si="321"/>
        <v>6000</v>
      </c>
      <c r="O3403" s="8" t="s">
        <v>20</v>
      </c>
      <c r="T3403">
        <v>0</v>
      </c>
      <c r="AC3403">
        <v>1</v>
      </c>
    </row>
    <row r="3404" spans="1:29" ht="30" customHeight="1" x14ac:dyDescent="0.3">
      <c r="A3404" s="8" t="s">
        <v>2953</v>
      </c>
      <c r="B3404" s="8" t="s">
        <v>3009</v>
      </c>
      <c r="C3404" s="8" t="s">
        <v>3010</v>
      </c>
      <c r="D3404" s="8" t="s">
        <v>20</v>
      </c>
      <c r="E3404" s="8" t="s">
        <v>428</v>
      </c>
      <c r="F3404" s="9">
        <v>18</v>
      </c>
      <c r="G3404" s="5">
        <f>TRUNC([1]단가대비표!O857,0)</f>
        <v>2500</v>
      </c>
      <c r="H3404" s="5">
        <f t="shared" si="318"/>
        <v>45000</v>
      </c>
      <c r="I3404" s="5">
        <v>0</v>
      </c>
      <c r="J3404" s="5">
        <f t="shared" si="319"/>
        <v>0</v>
      </c>
      <c r="K3404" s="5">
        <v>0</v>
      </c>
      <c r="L3404" s="5">
        <f t="shared" si="320"/>
        <v>0</v>
      </c>
      <c r="M3404" s="5">
        <f t="shared" si="321"/>
        <v>2500</v>
      </c>
      <c r="N3404" s="5">
        <f t="shared" si="321"/>
        <v>45000</v>
      </c>
      <c r="O3404" s="8" t="s">
        <v>20</v>
      </c>
      <c r="T3404">
        <v>0</v>
      </c>
      <c r="AC3404">
        <v>1</v>
      </c>
    </row>
    <row r="3405" spans="1:29" ht="30" customHeight="1" x14ac:dyDescent="0.3">
      <c r="A3405" s="8" t="s">
        <v>2953</v>
      </c>
      <c r="B3405" s="8" t="s">
        <v>3011</v>
      </c>
      <c r="C3405" s="8" t="s">
        <v>3012</v>
      </c>
      <c r="D3405" s="8" t="s">
        <v>3013</v>
      </c>
      <c r="E3405" s="8" t="s">
        <v>428</v>
      </c>
      <c r="F3405" s="9">
        <v>4</v>
      </c>
      <c r="G3405" s="5">
        <f>TRUNC([1]단가대비표!O858,0)</f>
        <v>140000</v>
      </c>
      <c r="H3405" s="5">
        <f t="shared" si="318"/>
        <v>560000</v>
      </c>
      <c r="I3405" s="5">
        <v>0</v>
      </c>
      <c r="J3405" s="5">
        <f t="shared" si="319"/>
        <v>0</v>
      </c>
      <c r="K3405" s="5">
        <v>0</v>
      </c>
      <c r="L3405" s="5">
        <f t="shared" si="320"/>
        <v>0</v>
      </c>
      <c r="M3405" s="5">
        <f t="shared" si="321"/>
        <v>140000</v>
      </c>
      <c r="N3405" s="5">
        <f t="shared" si="321"/>
        <v>560000</v>
      </c>
      <c r="O3405" s="8" t="s">
        <v>20</v>
      </c>
      <c r="T3405">
        <v>0</v>
      </c>
      <c r="AC3405">
        <v>1</v>
      </c>
    </row>
    <row r="3406" spans="1:29" ht="30" customHeight="1" x14ac:dyDescent="0.3">
      <c r="A3406" s="8" t="s">
        <v>2953</v>
      </c>
      <c r="B3406" s="8" t="s">
        <v>3014</v>
      </c>
      <c r="C3406" s="8" t="s">
        <v>3015</v>
      </c>
      <c r="D3406" s="8" t="s">
        <v>20</v>
      </c>
      <c r="E3406" s="8" t="s">
        <v>428</v>
      </c>
      <c r="F3406" s="9">
        <v>20</v>
      </c>
      <c r="G3406" s="5">
        <f>TRUNC([1]단가대비표!O859,0)</f>
        <v>6000</v>
      </c>
      <c r="H3406" s="5">
        <f t="shared" si="318"/>
        <v>120000</v>
      </c>
      <c r="I3406" s="5">
        <v>0</v>
      </c>
      <c r="J3406" s="5">
        <f t="shared" si="319"/>
        <v>0</v>
      </c>
      <c r="K3406" s="5">
        <v>0</v>
      </c>
      <c r="L3406" s="5">
        <f t="shared" si="320"/>
        <v>0</v>
      </c>
      <c r="M3406" s="5">
        <f t="shared" si="321"/>
        <v>6000</v>
      </c>
      <c r="N3406" s="5">
        <f t="shared" si="321"/>
        <v>120000</v>
      </c>
      <c r="O3406" s="8" t="s">
        <v>20</v>
      </c>
      <c r="T3406">
        <v>0</v>
      </c>
      <c r="AC3406">
        <v>1</v>
      </c>
    </row>
    <row r="3407" spans="1:29" ht="30" customHeight="1" x14ac:dyDescent="0.3">
      <c r="A3407" s="8" t="s">
        <v>2953</v>
      </c>
      <c r="B3407" s="8" t="s">
        <v>3016</v>
      </c>
      <c r="C3407" s="8" t="s">
        <v>3017</v>
      </c>
      <c r="D3407" s="8" t="s">
        <v>3018</v>
      </c>
      <c r="E3407" s="8" t="s">
        <v>428</v>
      </c>
      <c r="F3407" s="9">
        <v>20</v>
      </c>
      <c r="G3407" s="5">
        <f>TRUNC([1]단가대비표!O860,0)</f>
        <v>8000</v>
      </c>
      <c r="H3407" s="5">
        <f t="shared" si="318"/>
        <v>160000</v>
      </c>
      <c r="I3407" s="5">
        <v>0</v>
      </c>
      <c r="J3407" s="5">
        <f t="shared" si="319"/>
        <v>0</v>
      </c>
      <c r="K3407" s="5">
        <v>0</v>
      </c>
      <c r="L3407" s="5">
        <f t="shared" si="320"/>
        <v>0</v>
      </c>
      <c r="M3407" s="5">
        <f t="shared" si="321"/>
        <v>8000</v>
      </c>
      <c r="N3407" s="5">
        <f t="shared" si="321"/>
        <v>160000</v>
      </c>
      <c r="O3407" s="8" t="s">
        <v>20</v>
      </c>
      <c r="T3407">
        <v>0</v>
      </c>
      <c r="AC3407">
        <v>1</v>
      </c>
    </row>
    <row r="3408" spans="1:29" ht="30" customHeight="1" x14ac:dyDescent="0.3">
      <c r="A3408" s="8" t="s">
        <v>2953</v>
      </c>
      <c r="B3408" s="8" t="s">
        <v>3019</v>
      </c>
      <c r="C3408" s="8" t="s">
        <v>3020</v>
      </c>
      <c r="D3408" s="8" t="s">
        <v>20</v>
      </c>
      <c r="E3408" s="8" t="s">
        <v>428</v>
      </c>
      <c r="F3408" s="9">
        <v>1</v>
      </c>
      <c r="G3408" s="5">
        <f>TRUNC([1]단가대비표!O861,0)</f>
        <v>150000</v>
      </c>
      <c r="H3408" s="5">
        <f t="shared" si="318"/>
        <v>150000</v>
      </c>
      <c r="I3408" s="5">
        <v>0</v>
      </c>
      <c r="J3408" s="5">
        <f t="shared" si="319"/>
        <v>0</v>
      </c>
      <c r="K3408" s="5">
        <v>0</v>
      </c>
      <c r="L3408" s="5">
        <f t="shared" si="320"/>
        <v>0</v>
      </c>
      <c r="M3408" s="5">
        <f t="shared" si="321"/>
        <v>150000</v>
      </c>
      <c r="N3408" s="5">
        <f t="shared" si="321"/>
        <v>150000</v>
      </c>
      <c r="O3408" s="8" t="s">
        <v>20</v>
      </c>
      <c r="T3408">
        <v>0</v>
      </c>
      <c r="AC3408">
        <v>1</v>
      </c>
    </row>
    <row r="3409" spans="1:29" ht="30" customHeight="1" x14ac:dyDescent="0.3">
      <c r="A3409" s="8" t="s">
        <v>2953</v>
      </c>
      <c r="B3409" s="8" t="s">
        <v>3021</v>
      </c>
      <c r="C3409" s="8" t="s">
        <v>3022</v>
      </c>
      <c r="D3409" s="8" t="s">
        <v>3023</v>
      </c>
      <c r="E3409" s="8" t="s">
        <v>428</v>
      </c>
      <c r="F3409" s="9">
        <v>1</v>
      </c>
      <c r="G3409" s="5">
        <f>TRUNC([1]단가대비표!O862,0)</f>
        <v>105000</v>
      </c>
      <c r="H3409" s="5">
        <f t="shared" si="318"/>
        <v>105000</v>
      </c>
      <c r="I3409" s="5">
        <v>0</v>
      </c>
      <c r="J3409" s="5">
        <f t="shared" si="319"/>
        <v>0</v>
      </c>
      <c r="K3409" s="5">
        <v>0</v>
      </c>
      <c r="L3409" s="5">
        <f t="shared" si="320"/>
        <v>0</v>
      </c>
      <c r="M3409" s="5">
        <f t="shared" si="321"/>
        <v>105000</v>
      </c>
      <c r="N3409" s="5">
        <f t="shared" si="321"/>
        <v>105000</v>
      </c>
      <c r="O3409" s="8" t="s">
        <v>20</v>
      </c>
      <c r="T3409">
        <v>0</v>
      </c>
      <c r="AC3409">
        <v>1</v>
      </c>
    </row>
    <row r="3410" spans="1:29" ht="30" customHeight="1" x14ac:dyDescent="0.3">
      <c r="A3410" s="8" t="s">
        <v>2953</v>
      </c>
      <c r="B3410" s="8" t="s">
        <v>3024</v>
      </c>
      <c r="C3410" s="8" t="s">
        <v>3025</v>
      </c>
      <c r="D3410" s="8" t="s">
        <v>3026</v>
      </c>
      <c r="E3410" s="8" t="s">
        <v>428</v>
      </c>
      <c r="F3410" s="9">
        <v>2</v>
      </c>
      <c r="G3410" s="5">
        <f>TRUNC([1]단가대비표!O863,0)</f>
        <v>90000</v>
      </c>
      <c r="H3410" s="5">
        <f t="shared" si="318"/>
        <v>180000</v>
      </c>
      <c r="I3410" s="5">
        <v>0</v>
      </c>
      <c r="J3410" s="5">
        <f t="shared" si="319"/>
        <v>0</v>
      </c>
      <c r="K3410" s="5">
        <v>0</v>
      </c>
      <c r="L3410" s="5">
        <f t="shared" si="320"/>
        <v>0</v>
      </c>
      <c r="M3410" s="5">
        <f t="shared" si="321"/>
        <v>90000</v>
      </c>
      <c r="N3410" s="5">
        <f t="shared" si="321"/>
        <v>180000</v>
      </c>
      <c r="O3410" s="8" t="s">
        <v>20</v>
      </c>
      <c r="T3410">
        <v>0</v>
      </c>
      <c r="AC3410">
        <v>1</v>
      </c>
    </row>
    <row r="3411" spans="1:29" ht="30" customHeight="1" x14ac:dyDescent="0.3">
      <c r="A3411" s="8" t="s">
        <v>2953</v>
      </c>
      <c r="B3411" s="8" t="s">
        <v>3027</v>
      </c>
      <c r="C3411" s="8" t="s">
        <v>3028</v>
      </c>
      <c r="D3411" s="8" t="s">
        <v>3026</v>
      </c>
      <c r="E3411" s="8" t="s">
        <v>428</v>
      </c>
      <c r="F3411" s="9">
        <v>2</v>
      </c>
      <c r="G3411" s="5">
        <f>TRUNC([1]단가대비표!O864,0)</f>
        <v>135000</v>
      </c>
      <c r="H3411" s="5">
        <f t="shared" si="318"/>
        <v>270000</v>
      </c>
      <c r="I3411" s="5">
        <v>0</v>
      </c>
      <c r="J3411" s="5">
        <f t="shared" si="319"/>
        <v>0</v>
      </c>
      <c r="K3411" s="5">
        <v>0</v>
      </c>
      <c r="L3411" s="5">
        <f t="shared" si="320"/>
        <v>0</v>
      </c>
      <c r="M3411" s="5">
        <f t="shared" si="321"/>
        <v>135000</v>
      </c>
      <c r="N3411" s="5">
        <f t="shared" si="321"/>
        <v>270000</v>
      </c>
      <c r="O3411" s="8" t="s">
        <v>20</v>
      </c>
      <c r="T3411">
        <v>0</v>
      </c>
      <c r="AC3411">
        <v>1</v>
      </c>
    </row>
    <row r="3412" spans="1:29" ht="30" customHeight="1" x14ac:dyDescent="0.3">
      <c r="A3412" s="8" t="s">
        <v>2953</v>
      </c>
      <c r="B3412" s="8" t="s">
        <v>3029</v>
      </c>
      <c r="C3412" s="8" t="s">
        <v>3030</v>
      </c>
      <c r="D3412" s="8" t="s">
        <v>20</v>
      </c>
      <c r="E3412" s="8" t="s">
        <v>428</v>
      </c>
      <c r="F3412" s="9">
        <v>1</v>
      </c>
      <c r="G3412" s="5">
        <f>TRUNC([1]단가대비표!O865,0)</f>
        <v>61000</v>
      </c>
      <c r="H3412" s="5">
        <f t="shared" si="318"/>
        <v>61000</v>
      </c>
      <c r="I3412" s="5">
        <v>0</v>
      </c>
      <c r="J3412" s="5">
        <f t="shared" si="319"/>
        <v>0</v>
      </c>
      <c r="K3412" s="5">
        <v>0</v>
      </c>
      <c r="L3412" s="5">
        <f t="shared" si="320"/>
        <v>0</v>
      </c>
      <c r="M3412" s="5">
        <f t="shared" si="321"/>
        <v>61000</v>
      </c>
      <c r="N3412" s="5">
        <f t="shared" si="321"/>
        <v>61000</v>
      </c>
      <c r="O3412" s="8" t="s">
        <v>20</v>
      </c>
      <c r="T3412">
        <v>0</v>
      </c>
      <c r="AC3412">
        <v>1</v>
      </c>
    </row>
    <row r="3413" spans="1:29" ht="30" customHeight="1" x14ac:dyDescent="0.3">
      <c r="A3413" s="8" t="s">
        <v>2953</v>
      </c>
      <c r="B3413" s="8" t="s">
        <v>3031</v>
      </c>
      <c r="C3413" s="8" t="s">
        <v>3032</v>
      </c>
      <c r="D3413" s="8" t="s">
        <v>3033</v>
      </c>
      <c r="E3413" s="8" t="s">
        <v>428</v>
      </c>
      <c r="F3413" s="9">
        <v>1</v>
      </c>
      <c r="G3413" s="5">
        <f>TRUNC([1]단가대비표!O866,0)</f>
        <v>1500000</v>
      </c>
      <c r="H3413" s="5">
        <f t="shared" si="318"/>
        <v>1500000</v>
      </c>
      <c r="I3413" s="5">
        <v>0</v>
      </c>
      <c r="J3413" s="5">
        <f t="shared" si="319"/>
        <v>0</v>
      </c>
      <c r="K3413" s="5">
        <v>0</v>
      </c>
      <c r="L3413" s="5">
        <f t="shared" si="320"/>
        <v>0</v>
      </c>
      <c r="M3413" s="5">
        <f t="shared" si="321"/>
        <v>1500000</v>
      </c>
      <c r="N3413" s="5">
        <f t="shared" si="321"/>
        <v>1500000</v>
      </c>
      <c r="O3413" s="8" t="s">
        <v>20</v>
      </c>
      <c r="T3413">
        <v>0</v>
      </c>
      <c r="AC3413">
        <v>1</v>
      </c>
    </row>
    <row r="3414" spans="1:29" ht="30" customHeight="1" x14ac:dyDescent="0.3">
      <c r="A3414" s="8" t="s">
        <v>2953</v>
      </c>
      <c r="B3414" s="8" t="s">
        <v>3034</v>
      </c>
      <c r="C3414" s="8" t="s">
        <v>3035</v>
      </c>
      <c r="D3414" s="8" t="s">
        <v>3036</v>
      </c>
      <c r="E3414" s="8" t="s">
        <v>428</v>
      </c>
      <c r="F3414" s="9">
        <v>1</v>
      </c>
      <c r="G3414" s="5">
        <f>TRUNC([1]단가대비표!O867,0)</f>
        <v>85000</v>
      </c>
      <c r="H3414" s="5">
        <f t="shared" si="318"/>
        <v>85000</v>
      </c>
      <c r="I3414" s="5">
        <v>0</v>
      </c>
      <c r="J3414" s="5">
        <f t="shared" si="319"/>
        <v>0</v>
      </c>
      <c r="K3414" s="5">
        <v>0</v>
      </c>
      <c r="L3414" s="5">
        <f t="shared" si="320"/>
        <v>0</v>
      </c>
      <c r="M3414" s="5">
        <f t="shared" si="321"/>
        <v>85000</v>
      </c>
      <c r="N3414" s="5">
        <f t="shared" si="321"/>
        <v>85000</v>
      </c>
      <c r="O3414" s="8" t="s">
        <v>20</v>
      </c>
      <c r="T3414">
        <v>0</v>
      </c>
      <c r="AC3414">
        <v>1</v>
      </c>
    </row>
    <row r="3415" spans="1:29" ht="30" customHeight="1" x14ac:dyDescent="0.3">
      <c r="A3415" s="8" t="s">
        <v>2953</v>
      </c>
      <c r="B3415" s="8" t="s">
        <v>3037</v>
      </c>
      <c r="C3415" s="8" t="s">
        <v>3038</v>
      </c>
      <c r="D3415" s="8" t="s">
        <v>20</v>
      </c>
      <c r="E3415" s="8" t="s">
        <v>428</v>
      </c>
      <c r="F3415" s="9">
        <v>3</v>
      </c>
      <c r="G3415" s="5">
        <f>TRUNC([1]단가대비표!O868,0)</f>
        <v>35000</v>
      </c>
      <c r="H3415" s="5">
        <f t="shared" si="318"/>
        <v>105000</v>
      </c>
      <c r="I3415" s="5">
        <v>0</v>
      </c>
      <c r="J3415" s="5">
        <f t="shared" si="319"/>
        <v>0</v>
      </c>
      <c r="K3415" s="5">
        <v>0</v>
      </c>
      <c r="L3415" s="5">
        <f t="shared" si="320"/>
        <v>0</v>
      </c>
      <c r="M3415" s="5">
        <f t="shared" si="321"/>
        <v>35000</v>
      </c>
      <c r="N3415" s="5">
        <f t="shared" si="321"/>
        <v>105000</v>
      </c>
      <c r="O3415" s="8" t="s">
        <v>20</v>
      </c>
      <c r="T3415">
        <v>0</v>
      </c>
      <c r="AC3415">
        <v>1</v>
      </c>
    </row>
    <row r="3416" spans="1:29" ht="30" customHeight="1" x14ac:dyDescent="0.3">
      <c r="A3416" s="8" t="s">
        <v>2953</v>
      </c>
      <c r="B3416" s="8" t="s">
        <v>3039</v>
      </c>
      <c r="C3416" s="8" t="s">
        <v>3040</v>
      </c>
      <c r="D3416" s="8" t="s">
        <v>3041</v>
      </c>
      <c r="E3416" s="8" t="s">
        <v>161</v>
      </c>
      <c r="F3416" s="9">
        <v>2</v>
      </c>
      <c r="G3416" s="5">
        <f>TRUNC([1]단가대비표!O869,0)</f>
        <v>13500</v>
      </c>
      <c r="H3416" s="5">
        <f t="shared" si="318"/>
        <v>27000</v>
      </c>
      <c r="I3416" s="5">
        <v>0</v>
      </c>
      <c r="J3416" s="5">
        <f t="shared" si="319"/>
        <v>0</v>
      </c>
      <c r="K3416" s="5">
        <v>0</v>
      </c>
      <c r="L3416" s="5">
        <f t="shared" si="320"/>
        <v>0</v>
      </c>
      <c r="M3416" s="5">
        <f t="shared" si="321"/>
        <v>13500</v>
      </c>
      <c r="N3416" s="5">
        <f t="shared" si="321"/>
        <v>27000</v>
      </c>
      <c r="O3416" s="8" t="s">
        <v>20</v>
      </c>
      <c r="T3416">
        <v>0</v>
      </c>
      <c r="AC3416">
        <v>1</v>
      </c>
    </row>
    <row r="3417" spans="1:29" ht="30" customHeight="1" x14ac:dyDescent="0.3">
      <c r="A3417" s="8" t="s">
        <v>2953</v>
      </c>
      <c r="B3417" s="8" t="s">
        <v>3042</v>
      </c>
      <c r="C3417" s="8" t="s">
        <v>3043</v>
      </c>
      <c r="D3417" s="8" t="s">
        <v>3044</v>
      </c>
      <c r="E3417" s="8" t="s">
        <v>161</v>
      </c>
      <c r="F3417" s="9">
        <v>4</v>
      </c>
      <c r="G3417" s="5">
        <f>TRUNC([1]단가대비표!O870,0)</f>
        <v>25000</v>
      </c>
      <c r="H3417" s="5">
        <f t="shared" si="318"/>
        <v>100000</v>
      </c>
      <c r="I3417" s="5">
        <v>0</v>
      </c>
      <c r="J3417" s="5">
        <f t="shared" si="319"/>
        <v>0</v>
      </c>
      <c r="K3417" s="5">
        <v>0</v>
      </c>
      <c r="L3417" s="5">
        <f t="shared" si="320"/>
        <v>0</v>
      </c>
      <c r="M3417" s="5">
        <f t="shared" ref="M3417:N3448" si="322">G3417+I3417+K3417</f>
        <v>25000</v>
      </c>
      <c r="N3417" s="5">
        <f t="shared" si="322"/>
        <v>100000</v>
      </c>
      <c r="O3417" s="8" t="s">
        <v>20</v>
      </c>
      <c r="T3417">
        <v>0</v>
      </c>
      <c r="AC3417">
        <v>1</v>
      </c>
    </row>
    <row r="3418" spans="1:29" ht="30" customHeight="1" x14ac:dyDescent="0.3">
      <c r="A3418" s="8" t="s">
        <v>2953</v>
      </c>
      <c r="B3418" s="8" t="s">
        <v>3045</v>
      </c>
      <c r="C3418" s="8" t="s">
        <v>3046</v>
      </c>
      <c r="D3418" s="8" t="s">
        <v>20</v>
      </c>
      <c r="E3418" s="8" t="s">
        <v>428</v>
      </c>
      <c r="F3418" s="9">
        <v>4</v>
      </c>
      <c r="G3418" s="5">
        <f>TRUNC([1]단가대비표!O871,0)</f>
        <v>3000</v>
      </c>
      <c r="H3418" s="5">
        <f t="shared" si="318"/>
        <v>12000</v>
      </c>
      <c r="I3418" s="5">
        <v>0</v>
      </c>
      <c r="J3418" s="5">
        <f t="shared" si="319"/>
        <v>0</v>
      </c>
      <c r="K3418" s="5">
        <v>0</v>
      </c>
      <c r="L3418" s="5">
        <f t="shared" si="320"/>
        <v>0</v>
      </c>
      <c r="M3418" s="5">
        <f t="shared" si="322"/>
        <v>3000</v>
      </c>
      <c r="N3418" s="5">
        <f t="shared" si="322"/>
        <v>12000</v>
      </c>
      <c r="O3418" s="8" t="s">
        <v>20</v>
      </c>
      <c r="T3418">
        <v>0</v>
      </c>
      <c r="AC3418">
        <v>1</v>
      </c>
    </row>
    <row r="3419" spans="1:29" ht="30" customHeight="1" x14ac:dyDescent="0.3">
      <c r="A3419" s="8" t="s">
        <v>2953</v>
      </c>
      <c r="B3419" s="8" t="s">
        <v>3047</v>
      </c>
      <c r="C3419" s="8" t="s">
        <v>3048</v>
      </c>
      <c r="D3419" s="8" t="s">
        <v>20</v>
      </c>
      <c r="E3419" s="8" t="s">
        <v>161</v>
      </c>
      <c r="F3419" s="9">
        <v>2</v>
      </c>
      <c r="G3419" s="5">
        <f>TRUNC([1]단가대비표!O872,0)</f>
        <v>90000</v>
      </c>
      <c r="H3419" s="5">
        <f t="shared" si="318"/>
        <v>180000</v>
      </c>
      <c r="I3419" s="5">
        <v>0</v>
      </c>
      <c r="J3419" s="5">
        <f t="shared" si="319"/>
        <v>0</v>
      </c>
      <c r="K3419" s="5">
        <v>0</v>
      </c>
      <c r="L3419" s="5">
        <f t="shared" si="320"/>
        <v>0</v>
      </c>
      <c r="M3419" s="5">
        <f t="shared" si="322"/>
        <v>90000</v>
      </c>
      <c r="N3419" s="5">
        <f t="shared" si="322"/>
        <v>180000</v>
      </c>
      <c r="O3419" s="8" t="s">
        <v>20</v>
      </c>
      <c r="T3419">
        <v>0</v>
      </c>
      <c r="AC3419">
        <v>1</v>
      </c>
    </row>
    <row r="3420" spans="1:29" ht="30" customHeight="1" x14ac:dyDescent="0.3">
      <c r="A3420" s="8" t="s">
        <v>2953</v>
      </c>
      <c r="B3420" s="8" t="s">
        <v>3049</v>
      </c>
      <c r="C3420" s="8" t="s">
        <v>3050</v>
      </c>
      <c r="D3420" s="8" t="s">
        <v>20</v>
      </c>
      <c r="E3420" s="8" t="s">
        <v>161</v>
      </c>
      <c r="F3420" s="9">
        <v>2</v>
      </c>
      <c r="G3420" s="5">
        <f>TRUNC([1]단가대비표!O873,0)</f>
        <v>35000</v>
      </c>
      <c r="H3420" s="5">
        <f t="shared" si="318"/>
        <v>70000</v>
      </c>
      <c r="I3420" s="5">
        <v>0</v>
      </c>
      <c r="J3420" s="5">
        <f t="shared" si="319"/>
        <v>0</v>
      </c>
      <c r="K3420" s="5">
        <v>0</v>
      </c>
      <c r="L3420" s="5">
        <f t="shared" si="320"/>
        <v>0</v>
      </c>
      <c r="M3420" s="5">
        <f t="shared" si="322"/>
        <v>35000</v>
      </c>
      <c r="N3420" s="5">
        <f t="shared" si="322"/>
        <v>70000</v>
      </c>
      <c r="O3420" s="8" t="s">
        <v>20</v>
      </c>
      <c r="T3420">
        <v>0</v>
      </c>
      <c r="AC3420">
        <v>1</v>
      </c>
    </row>
    <row r="3421" spans="1:29" ht="30" customHeight="1" x14ac:dyDescent="0.3">
      <c r="A3421" s="8" t="s">
        <v>2953</v>
      </c>
      <c r="B3421" s="8" t="s">
        <v>3051</v>
      </c>
      <c r="C3421" s="8" t="s">
        <v>3052</v>
      </c>
      <c r="D3421" s="8" t="s">
        <v>20</v>
      </c>
      <c r="E3421" s="8" t="s">
        <v>161</v>
      </c>
      <c r="F3421" s="9">
        <v>4</v>
      </c>
      <c r="G3421" s="5">
        <f>TRUNC([1]단가대비표!O874,0)</f>
        <v>35000</v>
      </c>
      <c r="H3421" s="5">
        <f t="shared" si="318"/>
        <v>140000</v>
      </c>
      <c r="I3421" s="5">
        <v>0</v>
      </c>
      <c r="J3421" s="5">
        <f t="shared" si="319"/>
        <v>0</v>
      </c>
      <c r="K3421" s="5">
        <v>0</v>
      </c>
      <c r="L3421" s="5">
        <f t="shared" si="320"/>
        <v>0</v>
      </c>
      <c r="M3421" s="5">
        <f t="shared" si="322"/>
        <v>35000</v>
      </c>
      <c r="N3421" s="5">
        <f t="shared" si="322"/>
        <v>140000</v>
      </c>
      <c r="O3421" s="8" t="s">
        <v>20</v>
      </c>
      <c r="T3421">
        <v>0</v>
      </c>
      <c r="AC3421">
        <v>1</v>
      </c>
    </row>
    <row r="3422" spans="1:29" ht="30" customHeight="1" x14ac:dyDescent="0.3">
      <c r="A3422" s="8" t="s">
        <v>2953</v>
      </c>
      <c r="B3422" s="8" t="s">
        <v>3053</v>
      </c>
      <c r="C3422" s="8" t="s">
        <v>3054</v>
      </c>
      <c r="D3422" s="8" t="s">
        <v>20</v>
      </c>
      <c r="E3422" s="8" t="s">
        <v>428</v>
      </c>
      <c r="F3422" s="9">
        <v>1</v>
      </c>
      <c r="G3422" s="5">
        <f>TRUNC([1]단가대비표!O875,0)</f>
        <v>3000000</v>
      </c>
      <c r="H3422" s="5">
        <f t="shared" si="318"/>
        <v>3000000</v>
      </c>
      <c r="I3422" s="5">
        <v>0</v>
      </c>
      <c r="J3422" s="5">
        <f t="shared" si="319"/>
        <v>0</v>
      </c>
      <c r="K3422" s="5">
        <v>0</v>
      </c>
      <c r="L3422" s="5">
        <f t="shared" si="320"/>
        <v>0</v>
      </c>
      <c r="M3422" s="5">
        <f t="shared" si="322"/>
        <v>3000000</v>
      </c>
      <c r="N3422" s="5">
        <f t="shared" si="322"/>
        <v>3000000</v>
      </c>
      <c r="O3422" s="8" t="s">
        <v>20</v>
      </c>
      <c r="T3422">
        <v>0</v>
      </c>
      <c r="AC3422">
        <v>1</v>
      </c>
    </row>
    <row r="3423" spans="1:29" ht="30" customHeight="1" x14ac:dyDescent="0.3">
      <c r="A3423" s="8" t="s">
        <v>2953</v>
      </c>
      <c r="B3423" s="8" t="s">
        <v>3055</v>
      </c>
      <c r="C3423" s="8" t="s">
        <v>3056</v>
      </c>
      <c r="D3423" s="8" t="s">
        <v>20</v>
      </c>
      <c r="E3423" s="8" t="s">
        <v>428</v>
      </c>
      <c r="F3423" s="9">
        <v>1</v>
      </c>
      <c r="G3423" s="5">
        <f>TRUNC([1]단가대비표!O876,0)</f>
        <v>3000000</v>
      </c>
      <c r="H3423" s="5">
        <f t="shared" si="318"/>
        <v>3000000</v>
      </c>
      <c r="I3423" s="5">
        <v>0</v>
      </c>
      <c r="J3423" s="5">
        <f t="shared" si="319"/>
        <v>0</v>
      </c>
      <c r="K3423" s="5">
        <v>0</v>
      </c>
      <c r="L3423" s="5">
        <f t="shared" si="320"/>
        <v>0</v>
      </c>
      <c r="M3423" s="5">
        <f t="shared" si="322"/>
        <v>3000000</v>
      </c>
      <c r="N3423" s="5">
        <f t="shared" si="322"/>
        <v>3000000</v>
      </c>
      <c r="O3423" s="8" t="s">
        <v>20</v>
      </c>
      <c r="T3423">
        <v>0</v>
      </c>
      <c r="AC3423">
        <v>1</v>
      </c>
    </row>
    <row r="3424" spans="1:29" ht="30" customHeight="1" x14ac:dyDescent="0.3">
      <c r="A3424" s="8" t="s">
        <v>2953</v>
      </c>
      <c r="B3424" s="8" t="s">
        <v>3057</v>
      </c>
      <c r="C3424" s="8" t="s">
        <v>3058</v>
      </c>
      <c r="D3424" s="8" t="s">
        <v>3059</v>
      </c>
      <c r="E3424" s="8" t="s">
        <v>168</v>
      </c>
      <c r="F3424" s="9">
        <v>20</v>
      </c>
      <c r="G3424" s="5">
        <f>TRUNC([1]단가대비표!O877,0)</f>
        <v>38000</v>
      </c>
      <c r="H3424" s="5">
        <f t="shared" si="318"/>
        <v>760000</v>
      </c>
      <c r="I3424" s="5">
        <v>0</v>
      </c>
      <c r="J3424" s="5">
        <f t="shared" si="319"/>
        <v>0</v>
      </c>
      <c r="K3424" s="5">
        <v>0</v>
      </c>
      <c r="L3424" s="5">
        <f t="shared" si="320"/>
        <v>0</v>
      </c>
      <c r="M3424" s="5">
        <f t="shared" si="322"/>
        <v>38000</v>
      </c>
      <c r="N3424" s="5">
        <f t="shared" si="322"/>
        <v>760000</v>
      </c>
      <c r="O3424" s="8" t="s">
        <v>20</v>
      </c>
      <c r="T3424">
        <v>0</v>
      </c>
      <c r="AC3424">
        <v>1</v>
      </c>
    </row>
    <row r="3425" spans="1:29" ht="30" customHeight="1" x14ac:dyDescent="0.3">
      <c r="A3425" s="8" t="s">
        <v>2953</v>
      </c>
      <c r="B3425" s="8" t="s">
        <v>3060</v>
      </c>
      <c r="C3425" s="8" t="s">
        <v>3061</v>
      </c>
      <c r="D3425" s="8" t="s">
        <v>3062</v>
      </c>
      <c r="E3425" s="8" t="s">
        <v>168</v>
      </c>
      <c r="F3425" s="9">
        <v>2</v>
      </c>
      <c r="G3425" s="5">
        <f>TRUNC([1]단가대비표!O878,0)</f>
        <v>3500</v>
      </c>
      <c r="H3425" s="5">
        <f t="shared" si="318"/>
        <v>7000</v>
      </c>
      <c r="I3425" s="5">
        <v>0</v>
      </c>
      <c r="J3425" s="5">
        <f t="shared" si="319"/>
        <v>0</v>
      </c>
      <c r="K3425" s="5">
        <v>0</v>
      </c>
      <c r="L3425" s="5">
        <f t="shared" si="320"/>
        <v>0</v>
      </c>
      <c r="M3425" s="5">
        <f t="shared" si="322"/>
        <v>3500</v>
      </c>
      <c r="N3425" s="5">
        <f t="shared" si="322"/>
        <v>7000</v>
      </c>
      <c r="O3425" s="8" t="s">
        <v>20</v>
      </c>
      <c r="T3425">
        <v>0</v>
      </c>
      <c r="AC3425">
        <v>1</v>
      </c>
    </row>
    <row r="3426" spans="1:29" ht="30" customHeight="1" x14ac:dyDescent="0.3">
      <c r="A3426" s="8" t="s">
        <v>2953</v>
      </c>
      <c r="B3426" s="8" t="s">
        <v>3063</v>
      </c>
      <c r="C3426" s="8" t="s">
        <v>3064</v>
      </c>
      <c r="D3426" s="8" t="s">
        <v>3062</v>
      </c>
      <c r="E3426" s="8" t="s">
        <v>168</v>
      </c>
      <c r="F3426" s="9">
        <v>2</v>
      </c>
      <c r="G3426" s="5">
        <f>TRUNC([1]단가대비표!O879,0)</f>
        <v>4500</v>
      </c>
      <c r="H3426" s="5">
        <f t="shared" si="318"/>
        <v>9000</v>
      </c>
      <c r="I3426" s="5">
        <v>0</v>
      </c>
      <c r="J3426" s="5">
        <f t="shared" si="319"/>
        <v>0</v>
      </c>
      <c r="K3426" s="5">
        <v>0</v>
      </c>
      <c r="L3426" s="5">
        <f t="shared" si="320"/>
        <v>0</v>
      </c>
      <c r="M3426" s="5">
        <f t="shared" si="322"/>
        <v>4500</v>
      </c>
      <c r="N3426" s="5">
        <f t="shared" si="322"/>
        <v>9000</v>
      </c>
      <c r="O3426" s="8" t="s">
        <v>20</v>
      </c>
      <c r="T3426">
        <v>0</v>
      </c>
      <c r="AC3426">
        <v>1</v>
      </c>
    </row>
    <row r="3427" spans="1:29" ht="30" customHeight="1" x14ac:dyDescent="0.3">
      <c r="A3427" s="8" t="s">
        <v>2953</v>
      </c>
      <c r="B3427" s="8" t="s">
        <v>3065</v>
      </c>
      <c r="C3427" s="8" t="s">
        <v>3066</v>
      </c>
      <c r="D3427" s="8" t="s">
        <v>3067</v>
      </c>
      <c r="E3427" s="8" t="s">
        <v>428</v>
      </c>
      <c r="F3427" s="9">
        <v>40</v>
      </c>
      <c r="G3427" s="5">
        <f>TRUNC([1]단가대비표!O880,0)</f>
        <v>850</v>
      </c>
      <c r="H3427" s="5">
        <f t="shared" si="318"/>
        <v>34000</v>
      </c>
      <c r="I3427" s="5">
        <v>0</v>
      </c>
      <c r="J3427" s="5">
        <f t="shared" si="319"/>
        <v>0</v>
      </c>
      <c r="K3427" s="5">
        <v>0</v>
      </c>
      <c r="L3427" s="5">
        <f t="shared" si="320"/>
        <v>0</v>
      </c>
      <c r="M3427" s="5">
        <f t="shared" si="322"/>
        <v>850</v>
      </c>
      <c r="N3427" s="5">
        <f t="shared" si="322"/>
        <v>34000</v>
      </c>
      <c r="O3427" s="8" t="s">
        <v>20</v>
      </c>
      <c r="T3427">
        <v>0</v>
      </c>
      <c r="AC3427">
        <v>1</v>
      </c>
    </row>
    <row r="3428" spans="1:29" ht="30" customHeight="1" x14ac:dyDescent="0.3">
      <c r="A3428" s="8" t="s">
        <v>2953</v>
      </c>
      <c r="B3428" s="8" t="s">
        <v>3068</v>
      </c>
      <c r="C3428" s="8" t="s">
        <v>3069</v>
      </c>
      <c r="D3428" s="8" t="s">
        <v>3070</v>
      </c>
      <c r="E3428" s="8" t="s">
        <v>428</v>
      </c>
      <c r="F3428" s="9">
        <v>208</v>
      </c>
      <c r="G3428" s="5">
        <f>TRUNC([1]단가대비표!O881,0)</f>
        <v>320</v>
      </c>
      <c r="H3428" s="5">
        <f t="shared" si="318"/>
        <v>66560</v>
      </c>
      <c r="I3428" s="5">
        <v>0</v>
      </c>
      <c r="J3428" s="5">
        <f t="shared" si="319"/>
        <v>0</v>
      </c>
      <c r="K3428" s="5">
        <v>0</v>
      </c>
      <c r="L3428" s="5">
        <f t="shared" si="320"/>
        <v>0</v>
      </c>
      <c r="M3428" s="5">
        <f t="shared" si="322"/>
        <v>320</v>
      </c>
      <c r="N3428" s="5">
        <f t="shared" si="322"/>
        <v>66560</v>
      </c>
      <c r="O3428" s="8" t="s">
        <v>20</v>
      </c>
      <c r="T3428">
        <v>0</v>
      </c>
      <c r="AC3428">
        <v>1</v>
      </c>
    </row>
    <row r="3429" spans="1:29" ht="30" customHeight="1" x14ac:dyDescent="0.3">
      <c r="A3429" s="8" t="s">
        <v>2953</v>
      </c>
      <c r="B3429" s="8" t="s">
        <v>3071</v>
      </c>
      <c r="C3429" s="8" t="s">
        <v>3072</v>
      </c>
      <c r="D3429" s="8" t="s">
        <v>3073</v>
      </c>
      <c r="E3429" s="8" t="s">
        <v>428</v>
      </c>
      <c r="F3429" s="9">
        <v>20</v>
      </c>
      <c r="G3429" s="5">
        <f>TRUNC([1]단가대비표!O882,0)</f>
        <v>1200</v>
      </c>
      <c r="H3429" s="5">
        <f t="shared" si="318"/>
        <v>24000</v>
      </c>
      <c r="I3429" s="5">
        <v>0</v>
      </c>
      <c r="J3429" s="5">
        <f t="shared" si="319"/>
        <v>0</v>
      </c>
      <c r="K3429" s="5">
        <v>0</v>
      </c>
      <c r="L3429" s="5">
        <f t="shared" si="320"/>
        <v>0</v>
      </c>
      <c r="M3429" s="5">
        <f t="shared" si="322"/>
        <v>1200</v>
      </c>
      <c r="N3429" s="5">
        <f t="shared" si="322"/>
        <v>24000</v>
      </c>
      <c r="O3429" s="8" t="s">
        <v>20</v>
      </c>
      <c r="T3429">
        <v>0</v>
      </c>
      <c r="AC3429">
        <v>1</v>
      </c>
    </row>
    <row r="3430" spans="1:29" ht="30" customHeight="1" x14ac:dyDescent="0.3">
      <c r="A3430" s="8" t="s">
        <v>2953</v>
      </c>
      <c r="B3430" s="8" t="s">
        <v>3074</v>
      </c>
      <c r="C3430" s="8" t="s">
        <v>3075</v>
      </c>
      <c r="D3430" s="8" t="s">
        <v>2845</v>
      </c>
      <c r="E3430" s="8" t="s">
        <v>168</v>
      </c>
      <c r="F3430" s="9">
        <v>284</v>
      </c>
      <c r="G3430" s="5">
        <f>TRUNC([1]단가대비표!O883,0)</f>
        <v>1200</v>
      </c>
      <c r="H3430" s="5">
        <f t="shared" si="318"/>
        <v>340800</v>
      </c>
      <c r="I3430" s="5">
        <v>0</v>
      </c>
      <c r="J3430" s="5">
        <f t="shared" si="319"/>
        <v>0</v>
      </c>
      <c r="K3430" s="5">
        <v>0</v>
      </c>
      <c r="L3430" s="5">
        <f t="shared" si="320"/>
        <v>0</v>
      </c>
      <c r="M3430" s="5">
        <f t="shared" si="322"/>
        <v>1200</v>
      </c>
      <c r="N3430" s="5">
        <f t="shared" si="322"/>
        <v>340800</v>
      </c>
      <c r="O3430" s="8" t="s">
        <v>20</v>
      </c>
      <c r="T3430">
        <v>0</v>
      </c>
      <c r="AC3430">
        <v>1</v>
      </c>
    </row>
    <row r="3431" spans="1:29" ht="30" customHeight="1" x14ac:dyDescent="0.3">
      <c r="A3431" s="8" t="s">
        <v>2953</v>
      </c>
      <c r="B3431" s="8" t="s">
        <v>3076</v>
      </c>
      <c r="C3431" s="8" t="s">
        <v>3075</v>
      </c>
      <c r="D3431" s="8" t="s">
        <v>2847</v>
      </c>
      <c r="E3431" s="8" t="s">
        <v>168</v>
      </c>
      <c r="F3431" s="9">
        <v>78</v>
      </c>
      <c r="G3431" s="5">
        <f>TRUNC([1]단가대비표!O884,0)</f>
        <v>1350</v>
      </c>
      <c r="H3431" s="5">
        <f t="shared" si="318"/>
        <v>105300</v>
      </c>
      <c r="I3431" s="5">
        <v>0</v>
      </c>
      <c r="J3431" s="5">
        <f t="shared" si="319"/>
        <v>0</v>
      </c>
      <c r="K3431" s="5">
        <v>0</v>
      </c>
      <c r="L3431" s="5">
        <f t="shared" si="320"/>
        <v>0</v>
      </c>
      <c r="M3431" s="5">
        <f t="shared" si="322"/>
        <v>1350</v>
      </c>
      <c r="N3431" s="5">
        <f t="shared" si="322"/>
        <v>105300</v>
      </c>
      <c r="O3431" s="8" t="s">
        <v>20</v>
      </c>
      <c r="T3431">
        <v>0</v>
      </c>
      <c r="AC3431">
        <v>1</v>
      </c>
    </row>
    <row r="3432" spans="1:29" ht="30" customHeight="1" x14ac:dyDescent="0.3">
      <c r="A3432" s="8" t="s">
        <v>2953</v>
      </c>
      <c r="B3432" s="8" t="s">
        <v>3077</v>
      </c>
      <c r="C3432" s="8" t="s">
        <v>3075</v>
      </c>
      <c r="D3432" s="8" t="s">
        <v>3078</v>
      </c>
      <c r="E3432" s="8" t="s">
        <v>168</v>
      </c>
      <c r="F3432" s="9">
        <v>30</v>
      </c>
      <c r="G3432" s="5">
        <f>TRUNC([1]단가대비표!O885,0)</f>
        <v>1150</v>
      </c>
      <c r="H3432" s="5">
        <f t="shared" si="318"/>
        <v>34500</v>
      </c>
      <c r="I3432" s="5">
        <v>0</v>
      </c>
      <c r="J3432" s="5">
        <f t="shared" si="319"/>
        <v>0</v>
      </c>
      <c r="K3432" s="5">
        <v>0</v>
      </c>
      <c r="L3432" s="5">
        <f t="shared" si="320"/>
        <v>0</v>
      </c>
      <c r="M3432" s="5">
        <f t="shared" si="322"/>
        <v>1150</v>
      </c>
      <c r="N3432" s="5">
        <f t="shared" si="322"/>
        <v>34500</v>
      </c>
      <c r="O3432" s="8" t="s">
        <v>20</v>
      </c>
      <c r="T3432">
        <v>0</v>
      </c>
      <c r="AC3432">
        <v>1</v>
      </c>
    </row>
    <row r="3433" spans="1:29" ht="30" customHeight="1" x14ac:dyDescent="0.3">
      <c r="A3433" s="8" t="s">
        <v>2953</v>
      </c>
      <c r="B3433" s="8" t="s">
        <v>3079</v>
      </c>
      <c r="C3433" s="8" t="s">
        <v>3080</v>
      </c>
      <c r="D3433" s="8" t="s">
        <v>2845</v>
      </c>
      <c r="E3433" s="8" t="s">
        <v>168</v>
      </c>
      <c r="F3433" s="9">
        <v>36</v>
      </c>
      <c r="G3433" s="5">
        <f>TRUNC([1]단가대비표!O886,0)</f>
        <v>850</v>
      </c>
      <c r="H3433" s="5">
        <f t="shared" si="318"/>
        <v>30600</v>
      </c>
      <c r="I3433" s="5">
        <v>0</v>
      </c>
      <c r="J3433" s="5">
        <f t="shared" si="319"/>
        <v>0</v>
      </c>
      <c r="K3433" s="5">
        <v>0</v>
      </c>
      <c r="L3433" s="5">
        <f t="shared" si="320"/>
        <v>0</v>
      </c>
      <c r="M3433" s="5">
        <f t="shared" si="322"/>
        <v>850</v>
      </c>
      <c r="N3433" s="5">
        <f t="shared" si="322"/>
        <v>30600</v>
      </c>
      <c r="O3433" s="8" t="s">
        <v>20</v>
      </c>
      <c r="T3433">
        <v>0</v>
      </c>
      <c r="AC3433">
        <v>1</v>
      </c>
    </row>
    <row r="3434" spans="1:29" ht="30" customHeight="1" x14ac:dyDescent="0.3">
      <c r="A3434" s="8" t="s">
        <v>2953</v>
      </c>
      <c r="B3434" s="8" t="s">
        <v>3081</v>
      </c>
      <c r="C3434" s="8" t="s">
        <v>3080</v>
      </c>
      <c r="D3434" s="8" t="s">
        <v>3078</v>
      </c>
      <c r="E3434" s="8" t="s">
        <v>168</v>
      </c>
      <c r="F3434" s="9">
        <v>10</v>
      </c>
      <c r="G3434" s="5">
        <f>TRUNC([1]단가대비표!O887,0)</f>
        <v>920</v>
      </c>
      <c r="H3434" s="5">
        <f t="shared" si="318"/>
        <v>9200</v>
      </c>
      <c r="I3434" s="5">
        <v>0</v>
      </c>
      <c r="J3434" s="5">
        <f t="shared" si="319"/>
        <v>0</v>
      </c>
      <c r="K3434" s="5">
        <v>0</v>
      </c>
      <c r="L3434" s="5">
        <f t="shared" si="320"/>
        <v>0</v>
      </c>
      <c r="M3434" s="5">
        <f t="shared" si="322"/>
        <v>920</v>
      </c>
      <c r="N3434" s="5">
        <f t="shared" si="322"/>
        <v>9200</v>
      </c>
      <c r="O3434" s="8" t="s">
        <v>20</v>
      </c>
      <c r="T3434">
        <v>0</v>
      </c>
      <c r="AC3434">
        <v>1</v>
      </c>
    </row>
    <row r="3435" spans="1:29" ht="30" customHeight="1" x14ac:dyDescent="0.3">
      <c r="A3435" s="8" t="s">
        <v>2953</v>
      </c>
      <c r="B3435" s="8" t="s">
        <v>3082</v>
      </c>
      <c r="C3435" s="8" t="s">
        <v>3080</v>
      </c>
      <c r="D3435" s="8" t="s">
        <v>3083</v>
      </c>
      <c r="E3435" s="8" t="s">
        <v>168</v>
      </c>
      <c r="F3435" s="9">
        <v>12</v>
      </c>
      <c r="G3435" s="5">
        <f>TRUNC([1]단가대비표!O888,0)</f>
        <v>1120</v>
      </c>
      <c r="H3435" s="5">
        <f t="shared" si="318"/>
        <v>13440</v>
      </c>
      <c r="I3435" s="5">
        <v>0</v>
      </c>
      <c r="J3435" s="5">
        <f t="shared" si="319"/>
        <v>0</v>
      </c>
      <c r="K3435" s="5">
        <v>0</v>
      </c>
      <c r="L3435" s="5">
        <f t="shared" si="320"/>
        <v>0</v>
      </c>
      <c r="M3435" s="5">
        <f t="shared" si="322"/>
        <v>1120</v>
      </c>
      <c r="N3435" s="5">
        <f t="shared" si="322"/>
        <v>13440</v>
      </c>
      <c r="O3435" s="8" t="s">
        <v>20</v>
      </c>
      <c r="T3435">
        <v>0</v>
      </c>
      <c r="AC3435">
        <v>1</v>
      </c>
    </row>
    <row r="3436" spans="1:29" ht="30" customHeight="1" x14ac:dyDescent="0.3">
      <c r="A3436" s="8" t="s">
        <v>2953</v>
      </c>
      <c r="B3436" s="8" t="s">
        <v>3084</v>
      </c>
      <c r="C3436" s="8" t="s">
        <v>3085</v>
      </c>
      <c r="D3436" s="8" t="s">
        <v>2845</v>
      </c>
      <c r="E3436" s="8" t="s">
        <v>428</v>
      </c>
      <c r="F3436" s="9">
        <v>72</v>
      </c>
      <c r="G3436" s="5">
        <f>TRUNC([1]단가대비표!O889,0)</f>
        <v>320</v>
      </c>
      <c r="H3436" s="5">
        <f t="shared" si="318"/>
        <v>23040</v>
      </c>
      <c r="I3436" s="5">
        <v>0</v>
      </c>
      <c r="J3436" s="5">
        <f t="shared" si="319"/>
        <v>0</v>
      </c>
      <c r="K3436" s="5">
        <v>0</v>
      </c>
      <c r="L3436" s="5">
        <f t="shared" si="320"/>
        <v>0</v>
      </c>
      <c r="M3436" s="5">
        <f t="shared" si="322"/>
        <v>320</v>
      </c>
      <c r="N3436" s="5">
        <f t="shared" si="322"/>
        <v>23040</v>
      </c>
      <c r="O3436" s="8" t="s">
        <v>20</v>
      </c>
      <c r="T3436">
        <v>0</v>
      </c>
      <c r="AC3436">
        <v>1</v>
      </c>
    </row>
    <row r="3437" spans="1:29" ht="30" customHeight="1" x14ac:dyDescent="0.3">
      <c r="A3437" s="8" t="s">
        <v>2953</v>
      </c>
      <c r="B3437" s="8" t="s">
        <v>3086</v>
      </c>
      <c r="C3437" s="8" t="s">
        <v>3085</v>
      </c>
      <c r="D3437" s="8" t="s">
        <v>3078</v>
      </c>
      <c r="E3437" s="8" t="s">
        <v>428</v>
      </c>
      <c r="F3437" s="9">
        <v>20</v>
      </c>
      <c r="G3437" s="5">
        <f>TRUNC([1]단가대비표!O890,0)</f>
        <v>450</v>
      </c>
      <c r="H3437" s="5">
        <f t="shared" si="318"/>
        <v>9000</v>
      </c>
      <c r="I3437" s="5">
        <v>0</v>
      </c>
      <c r="J3437" s="5">
        <f t="shared" si="319"/>
        <v>0</v>
      </c>
      <c r="K3437" s="5">
        <v>0</v>
      </c>
      <c r="L3437" s="5">
        <f t="shared" si="320"/>
        <v>0</v>
      </c>
      <c r="M3437" s="5">
        <f t="shared" si="322"/>
        <v>450</v>
      </c>
      <c r="N3437" s="5">
        <f t="shared" si="322"/>
        <v>9000</v>
      </c>
      <c r="O3437" s="8" t="s">
        <v>20</v>
      </c>
      <c r="T3437">
        <v>0</v>
      </c>
      <c r="AC3437">
        <v>1</v>
      </c>
    </row>
    <row r="3438" spans="1:29" ht="30" customHeight="1" x14ac:dyDescent="0.3">
      <c r="A3438" s="8" t="s">
        <v>2953</v>
      </c>
      <c r="B3438" s="8" t="s">
        <v>3087</v>
      </c>
      <c r="C3438" s="8" t="s">
        <v>3085</v>
      </c>
      <c r="D3438" s="8" t="s">
        <v>3083</v>
      </c>
      <c r="E3438" s="8" t="s">
        <v>428</v>
      </c>
      <c r="F3438" s="9">
        <v>40</v>
      </c>
      <c r="G3438" s="5">
        <f>TRUNC([1]단가대비표!O891,0)</f>
        <v>520</v>
      </c>
      <c r="H3438" s="5">
        <f t="shared" si="318"/>
        <v>20800</v>
      </c>
      <c r="I3438" s="5">
        <v>0</v>
      </c>
      <c r="J3438" s="5">
        <f t="shared" si="319"/>
        <v>0</v>
      </c>
      <c r="K3438" s="5">
        <v>0</v>
      </c>
      <c r="L3438" s="5">
        <f t="shared" si="320"/>
        <v>0</v>
      </c>
      <c r="M3438" s="5">
        <f t="shared" si="322"/>
        <v>520</v>
      </c>
      <c r="N3438" s="5">
        <f t="shared" si="322"/>
        <v>20800</v>
      </c>
      <c r="O3438" s="8" t="s">
        <v>20</v>
      </c>
      <c r="T3438">
        <v>0</v>
      </c>
      <c r="AC3438">
        <v>1</v>
      </c>
    </row>
    <row r="3439" spans="1:29" ht="30" customHeight="1" x14ac:dyDescent="0.3">
      <c r="A3439" s="8" t="s">
        <v>2953</v>
      </c>
      <c r="B3439" s="8" t="s">
        <v>3088</v>
      </c>
      <c r="C3439" s="8" t="s">
        <v>3089</v>
      </c>
      <c r="D3439" s="8" t="s">
        <v>20</v>
      </c>
      <c r="E3439" s="8" t="s">
        <v>428</v>
      </c>
      <c r="F3439" s="9">
        <v>20</v>
      </c>
      <c r="G3439" s="5">
        <f>TRUNC([1]단가대비표!O892,0)</f>
        <v>3500</v>
      </c>
      <c r="H3439" s="5">
        <f t="shared" si="318"/>
        <v>70000</v>
      </c>
      <c r="I3439" s="5">
        <v>0</v>
      </c>
      <c r="J3439" s="5">
        <f t="shared" si="319"/>
        <v>0</v>
      </c>
      <c r="K3439" s="5">
        <v>0</v>
      </c>
      <c r="L3439" s="5">
        <f t="shared" si="320"/>
        <v>0</v>
      </c>
      <c r="M3439" s="5">
        <f t="shared" si="322"/>
        <v>3500</v>
      </c>
      <c r="N3439" s="5">
        <f t="shared" si="322"/>
        <v>70000</v>
      </c>
      <c r="O3439" s="8" t="s">
        <v>20</v>
      </c>
      <c r="T3439">
        <v>0</v>
      </c>
      <c r="AC3439">
        <v>1</v>
      </c>
    </row>
    <row r="3440" spans="1:29" ht="30" customHeight="1" x14ac:dyDescent="0.3">
      <c r="A3440" s="8" t="s">
        <v>2953</v>
      </c>
      <c r="B3440" s="8" t="s">
        <v>3090</v>
      </c>
      <c r="C3440" s="8" t="s">
        <v>3091</v>
      </c>
      <c r="D3440" s="8" t="s">
        <v>3092</v>
      </c>
      <c r="E3440" s="8" t="s">
        <v>428</v>
      </c>
      <c r="F3440" s="9">
        <v>4</v>
      </c>
      <c r="G3440" s="5">
        <f>TRUNC([1]단가대비표!O893,0)</f>
        <v>12200</v>
      </c>
      <c r="H3440" s="5">
        <f t="shared" si="318"/>
        <v>48800</v>
      </c>
      <c r="I3440" s="5">
        <v>0</v>
      </c>
      <c r="J3440" s="5">
        <f t="shared" si="319"/>
        <v>0</v>
      </c>
      <c r="K3440" s="5">
        <v>0</v>
      </c>
      <c r="L3440" s="5">
        <f t="shared" si="320"/>
        <v>0</v>
      </c>
      <c r="M3440" s="5">
        <f t="shared" si="322"/>
        <v>12200</v>
      </c>
      <c r="N3440" s="5">
        <f t="shared" si="322"/>
        <v>48800</v>
      </c>
      <c r="O3440" s="8" t="s">
        <v>20</v>
      </c>
      <c r="T3440">
        <v>0</v>
      </c>
      <c r="AC3440">
        <v>1</v>
      </c>
    </row>
    <row r="3441" spans="1:29" ht="30" customHeight="1" x14ac:dyDescent="0.3">
      <c r="A3441" s="8" t="s">
        <v>2953</v>
      </c>
      <c r="B3441" s="8" t="s">
        <v>3093</v>
      </c>
      <c r="C3441" s="8" t="s">
        <v>3091</v>
      </c>
      <c r="D3441" s="8" t="s">
        <v>3059</v>
      </c>
      <c r="E3441" s="8" t="s">
        <v>428</v>
      </c>
      <c r="F3441" s="9">
        <v>4</v>
      </c>
      <c r="G3441" s="5">
        <f>TRUNC([1]단가대비표!O894,0)</f>
        <v>15300</v>
      </c>
      <c r="H3441" s="5">
        <f t="shared" si="318"/>
        <v>61200</v>
      </c>
      <c r="I3441" s="5">
        <v>0</v>
      </c>
      <c r="J3441" s="5">
        <f t="shared" si="319"/>
        <v>0</v>
      </c>
      <c r="K3441" s="5">
        <v>0</v>
      </c>
      <c r="L3441" s="5">
        <f t="shared" si="320"/>
        <v>0</v>
      </c>
      <c r="M3441" s="5">
        <f t="shared" si="322"/>
        <v>15300</v>
      </c>
      <c r="N3441" s="5">
        <f t="shared" si="322"/>
        <v>61200</v>
      </c>
      <c r="O3441" s="8" t="s">
        <v>20</v>
      </c>
      <c r="T3441">
        <v>0</v>
      </c>
      <c r="AC3441">
        <v>1</v>
      </c>
    </row>
    <row r="3442" spans="1:29" ht="30" customHeight="1" x14ac:dyDescent="0.3">
      <c r="A3442" s="8" t="s">
        <v>2953</v>
      </c>
      <c r="B3442" s="8" t="s">
        <v>3094</v>
      </c>
      <c r="C3442" s="8" t="s">
        <v>3095</v>
      </c>
      <c r="D3442" s="8" t="s">
        <v>20</v>
      </c>
      <c r="E3442" s="8" t="s">
        <v>428</v>
      </c>
      <c r="F3442" s="9">
        <v>52</v>
      </c>
      <c r="G3442" s="5">
        <f>TRUNC([1]단가대비표!O895,0)</f>
        <v>1000</v>
      </c>
      <c r="H3442" s="5">
        <f t="shared" si="318"/>
        <v>52000</v>
      </c>
      <c r="I3442" s="5">
        <v>0</v>
      </c>
      <c r="J3442" s="5">
        <f t="shared" si="319"/>
        <v>0</v>
      </c>
      <c r="K3442" s="5">
        <v>0</v>
      </c>
      <c r="L3442" s="5">
        <f t="shared" si="320"/>
        <v>0</v>
      </c>
      <c r="M3442" s="5">
        <f t="shared" si="322"/>
        <v>1000</v>
      </c>
      <c r="N3442" s="5">
        <f t="shared" si="322"/>
        <v>52000</v>
      </c>
      <c r="O3442" s="8" t="s">
        <v>20</v>
      </c>
      <c r="T3442">
        <v>0</v>
      </c>
      <c r="AC3442">
        <v>1</v>
      </c>
    </row>
    <row r="3443" spans="1:29" ht="30" customHeight="1" x14ac:dyDescent="0.3">
      <c r="A3443" s="8" t="s">
        <v>2953</v>
      </c>
      <c r="B3443" s="8" t="s">
        <v>3096</v>
      </c>
      <c r="C3443" s="8" t="s">
        <v>3097</v>
      </c>
      <c r="D3443" s="8" t="s">
        <v>20</v>
      </c>
      <c r="E3443" s="8" t="s">
        <v>161</v>
      </c>
      <c r="F3443" s="9">
        <v>1</v>
      </c>
      <c r="G3443" s="5">
        <f>TRUNC([1]단가대비표!O896,0)</f>
        <v>14805</v>
      </c>
      <c r="H3443" s="5">
        <f t="shared" si="318"/>
        <v>14805</v>
      </c>
      <c r="I3443" s="5">
        <v>0</v>
      </c>
      <c r="J3443" s="5">
        <f t="shared" si="319"/>
        <v>0</v>
      </c>
      <c r="K3443" s="5">
        <v>0</v>
      </c>
      <c r="L3443" s="5">
        <f t="shared" si="320"/>
        <v>0</v>
      </c>
      <c r="M3443" s="5">
        <f t="shared" si="322"/>
        <v>14805</v>
      </c>
      <c r="N3443" s="5">
        <f t="shared" si="322"/>
        <v>14805</v>
      </c>
      <c r="O3443" s="8" t="s">
        <v>20</v>
      </c>
      <c r="T3443">
        <v>0</v>
      </c>
      <c r="AC3443">
        <v>1</v>
      </c>
    </row>
    <row r="3444" spans="1:29" ht="30" customHeight="1" x14ac:dyDescent="0.3">
      <c r="A3444" s="8" t="s">
        <v>2953</v>
      </c>
      <c r="B3444" s="8" t="s">
        <v>3098</v>
      </c>
      <c r="C3444" s="8" t="s">
        <v>3099</v>
      </c>
      <c r="D3444" s="8" t="s">
        <v>3070</v>
      </c>
      <c r="E3444" s="8" t="s">
        <v>428</v>
      </c>
      <c r="F3444" s="9">
        <v>50</v>
      </c>
      <c r="G3444" s="5">
        <f>TRUNC([1]단가대비표!O897,0)</f>
        <v>850</v>
      </c>
      <c r="H3444" s="5">
        <f t="shared" si="318"/>
        <v>42500</v>
      </c>
      <c r="I3444" s="5">
        <v>0</v>
      </c>
      <c r="J3444" s="5">
        <f t="shared" si="319"/>
        <v>0</v>
      </c>
      <c r="K3444" s="5">
        <v>0</v>
      </c>
      <c r="L3444" s="5">
        <f t="shared" si="320"/>
        <v>0</v>
      </c>
      <c r="M3444" s="5">
        <f t="shared" si="322"/>
        <v>850</v>
      </c>
      <c r="N3444" s="5">
        <f t="shared" si="322"/>
        <v>42500</v>
      </c>
      <c r="O3444" s="8" t="s">
        <v>20</v>
      </c>
      <c r="T3444">
        <v>0</v>
      </c>
      <c r="AC3444">
        <v>1</v>
      </c>
    </row>
    <row r="3445" spans="1:29" ht="30" customHeight="1" x14ac:dyDescent="0.3">
      <c r="A3445" s="8" t="s">
        <v>2953</v>
      </c>
      <c r="B3445" s="8" t="s">
        <v>3100</v>
      </c>
      <c r="C3445" s="8" t="s">
        <v>3101</v>
      </c>
      <c r="D3445" s="8" t="s">
        <v>3070</v>
      </c>
      <c r="E3445" s="8" t="s">
        <v>428</v>
      </c>
      <c r="F3445" s="9">
        <v>50</v>
      </c>
      <c r="G3445" s="5">
        <f>TRUNC([1]단가대비표!O898,0)</f>
        <v>350</v>
      </c>
      <c r="H3445" s="5">
        <f t="shared" si="318"/>
        <v>17500</v>
      </c>
      <c r="I3445" s="5">
        <v>0</v>
      </c>
      <c r="J3445" s="5">
        <f t="shared" si="319"/>
        <v>0</v>
      </c>
      <c r="K3445" s="5">
        <v>0</v>
      </c>
      <c r="L3445" s="5">
        <f t="shared" si="320"/>
        <v>0</v>
      </c>
      <c r="M3445" s="5">
        <f t="shared" si="322"/>
        <v>350</v>
      </c>
      <c r="N3445" s="5">
        <f t="shared" si="322"/>
        <v>17500</v>
      </c>
      <c r="O3445" s="8" t="s">
        <v>20</v>
      </c>
      <c r="T3445">
        <v>0</v>
      </c>
      <c r="AC3445">
        <v>1</v>
      </c>
    </row>
    <row r="3446" spans="1:29" ht="30" customHeight="1" x14ac:dyDescent="0.3">
      <c r="A3446" s="8" t="s">
        <v>2953</v>
      </c>
      <c r="B3446" s="8" t="s">
        <v>3102</v>
      </c>
      <c r="C3446" s="8" t="s">
        <v>3103</v>
      </c>
      <c r="D3446" s="8" t="s">
        <v>3104</v>
      </c>
      <c r="E3446" s="8" t="s">
        <v>168</v>
      </c>
      <c r="F3446" s="9">
        <v>130</v>
      </c>
      <c r="G3446" s="5">
        <f>TRUNC([1]단가대비표!O899,0)</f>
        <v>850</v>
      </c>
      <c r="H3446" s="5">
        <f t="shared" si="318"/>
        <v>110500</v>
      </c>
      <c r="I3446" s="5">
        <v>0</v>
      </c>
      <c r="J3446" s="5">
        <f t="shared" si="319"/>
        <v>0</v>
      </c>
      <c r="K3446" s="5">
        <v>0</v>
      </c>
      <c r="L3446" s="5">
        <f t="shared" si="320"/>
        <v>0</v>
      </c>
      <c r="M3446" s="5">
        <f t="shared" si="322"/>
        <v>850</v>
      </c>
      <c r="N3446" s="5">
        <f t="shared" si="322"/>
        <v>110500</v>
      </c>
      <c r="O3446" s="8" t="s">
        <v>20</v>
      </c>
      <c r="T3446">
        <v>0</v>
      </c>
      <c r="AC3446">
        <v>1</v>
      </c>
    </row>
    <row r="3447" spans="1:29" ht="30" customHeight="1" x14ac:dyDescent="0.3">
      <c r="A3447" s="8" t="s">
        <v>2953</v>
      </c>
      <c r="B3447" s="8" t="s">
        <v>3105</v>
      </c>
      <c r="C3447" s="8" t="s">
        <v>3103</v>
      </c>
      <c r="D3447" s="8" t="s">
        <v>3106</v>
      </c>
      <c r="E3447" s="8" t="s">
        <v>168</v>
      </c>
      <c r="F3447" s="9">
        <v>130</v>
      </c>
      <c r="G3447" s="5">
        <f>TRUNC([1]단가대비표!O900,0)</f>
        <v>950</v>
      </c>
      <c r="H3447" s="5">
        <f t="shared" si="318"/>
        <v>123500</v>
      </c>
      <c r="I3447" s="5">
        <v>0</v>
      </c>
      <c r="J3447" s="5">
        <f t="shared" si="319"/>
        <v>0</v>
      </c>
      <c r="K3447" s="5">
        <v>0</v>
      </c>
      <c r="L3447" s="5">
        <f t="shared" si="320"/>
        <v>0</v>
      </c>
      <c r="M3447" s="5">
        <f t="shared" si="322"/>
        <v>950</v>
      </c>
      <c r="N3447" s="5">
        <f t="shared" si="322"/>
        <v>123500</v>
      </c>
      <c r="O3447" s="8" t="s">
        <v>20</v>
      </c>
      <c r="T3447">
        <v>0</v>
      </c>
      <c r="AC3447">
        <v>1</v>
      </c>
    </row>
    <row r="3448" spans="1:29" ht="30" customHeight="1" x14ac:dyDescent="0.3">
      <c r="A3448" s="8" t="s">
        <v>2953</v>
      </c>
      <c r="B3448" s="8" t="s">
        <v>3107</v>
      </c>
      <c r="C3448" s="8" t="s">
        <v>3108</v>
      </c>
      <c r="D3448" s="8" t="s">
        <v>3109</v>
      </c>
      <c r="E3448" s="8" t="s">
        <v>168</v>
      </c>
      <c r="F3448" s="9">
        <v>100</v>
      </c>
      <c r="G3448" s="5">
        <f>TRUNC([1]단가대비표!O901,0)</f>
        <v>6800</v>
      </c>
      <c r="H3448" s="5">
        <f t="shared" si="318"/>
        <v>680000</v>
      </c>
      <c r="I3448" s="5">
        <v>0</v>
      </c>
      <c r="J3448" s="5">
        <f t="shared" si="319"/>
        <v>0</v>
      </c>
      <c r="K3448" s="5">
        <v>0</v>
      </c>
      <c r="L3448" s="5">
        <f t="shared" si="320"/>
        <v>0</v>
      </c>
      <c r="M3448" s="5">
        <f t="shared" si="322"/>
        <v>6800</v>
      </c>
      <c r="N3448" s="5">
        <f t="shared" si="322"/>
        <v>680000</v>
      </c>
      <c r="O3448" s="8" t="s">
        <v>20</v>
      </c>
      <c r="T3448">
        <v>0</v>
      </c>
      <c r="AC3448">
        <v>1</v>
      </c>
    </row>
    <row r="3449" spans="1:29" ht="30" customHeight="1" x14ac:dyDescent="0.3">
      <c r="A3449" s="8" t="s">
        <v>2953</v>
      </c>
      <c r="B3449" s="8" t="s">
        <v>3110</v>
      </c>
      <c r="C3449" s="8" t="s">
        <v>3108</v>
      </c>
      <c r="D3449" s="8" t="s">
        <v>3111</v>
      </c>
      <c r="E3449" s="8" t="s">
        <v>168</v>
      </c>
      <c r="F3449" s="9">
        <v>20</v>
      </c>
      <c r="G3449" s="5">
        <f>TRUNC([1]단가대비표!O902,0)</f>
        <v>4850</v>
      </c>
      <c r="H3449" s="5">
        <f t="shared" ref="H3449:H3459" si="323">TRUNC(F3449*G3449,0)</f>
        <v>97000</v>
      </c>
      <c r="I3449" s="5">
        <v>0</v>
      </c>
      <c r="J3449" s="5">
        <f t="shared" ref="J3449:J3459" si="324">TRUNC(F3449*I3449,0)</f>
        <v>0</v>
      </c>
      <c r="K3449" s="5">
        <v>0</v>
      </c>
      <c r="L3449" s="5">
        <f t="shared" ref="L3449:L3459" si="325">TRUNC(F3449*K3449,0)</f>
        <v>0</v>
      </c>
      <c r="M3449" s="5">
        <f t="shared" ref="M3449:N3459" si="326">G3449+I3449+K3449</f>
        <v>4850</v>
      </c>
      <c r="N3449" s="5">
        <f t="shared" si="326"/>
        <v>97000</v>
      </c>
      <c r="O3449" s="8" t="s">
        <v>20</v>
      </c>
      <c r="T3449">
        <v>0</v>
      </c>
      <c r="AC3449">
        <v>1</v>
      </c>
    </row>
    <row r="3450" spans="1:29" ht="30" customHeight="1" x14ac:dyDescent="0.3">
      <c r="A3450" s="8" t="s">
        <v>2953</v>
      </c>
      <c r="B3450" s="8" t="s">
        <v>3112</v>
      </c>
      <c r="C3450" s="8" t="s">
        <v>3108</v>
      </c>
      <c r="D3450" s="8" t="s">
        <v>3113</v>
      </c>
      <c r="E3450" s="8" t="s">
        <v>168</v>
      </c>
      <c r="F3450" s="9">
        <v>40</v>
      </c>
      <c r="G3450" s="5">
        <f>TRUNC([1]단가대비표!O903,0)</f>
        <v>2800</v>
      </c>
      <c r="H3450" s="5">
        <f t="shared" si="323"/>
        <v>112000</v>
      </c>
      <c r="I3450" s="5">
        <v>0</v>
      </c>
      <c r="J3450" s="5">
        <f t="shared" si="324"/>
        <v>0</v>
      </c>
      <c r="K3450" s="5">
        <v>0</v>
      </c>
      <c r="L3450" s="5">
        <f t="shared" si="325"/>
        <v>0</v>
      </c>
      <c r="M3450" s="5">
        <f t="shared" si="326"/>
        <v>2800</v>
      </c>
      <c r="N3450" s="5">
        <f t="shared" si="326"/>
        <v>112000</v>
      </c>
      <c r="O3450" s="8" t="s">
        <v>20</v>
      </c>
      <c r="T3450">
        <v>0</v>
      </c>
      <c r="AC3450">
        <v>1</v>
      </c>
    </row>
    <row r="3451" spans="1:29" ht="30" customHeight="1" x14ac:dyDescent="0.3">
      <c r="A3451" s="8" t="s">
        <v>2953</v>
      </c>
      <c r="B3451" s="8" t="s">
        <v>3114</v>
      </c>
      <c r="C3451" s="8" t="s">
        <v>3115</v>
      </c>
      <c r="D3451" s="8" t="s">
        <v>3116</v>
      </c>
      <c r="E3451" s="8" t="s">
        <v>168</v>
      </c>
      <c r="F3451" s="9">
        <v>100</v>
      </c>
      <c r="G3451" s="5">
        <f>TRUNC([1]단가대비표!O904,0)</f>
        <v>1500</v>
      </c>
      <c r="H3451" s="5">
        <f t="shared" si="323"/>
        <v>150000</v>
      </c>
      <c r="I3451" s="5">
        <v>0</v>
      </c>
      <c r="J3451" s="5">
        <f t="shared" si="324"/>
        <v>0</v>
      </c>
      <c r="K3451" s="5">
        <v>0</v>
      </c>
      <c r="L3451" s="5">
        <f t="shared" si="325"/>
        <v>0</v>
      </c>
      <c r="M3451" s="5">
        <f t="shared" si="326"/>
        <v>1500</v>
      </c>
      <c r="N3451" s="5">
        <f t="shared" si="326"/>
        <v>150000</v>
      </c>
      <c r="O3451" s="8" t="s">
        <v>20</v>
      </c>
      <c r="T3451">
        <v>0</v>
      </c>
      <c r="AC3451">
        <v>1</v>
      </c>
    </row>
    <row r="3452" spans="1:29" ht="30" customHeight="1" x14ac:dyDescent="0.3">
      <c r="A3452" s="8" t="s">
        <v>2953</v>
      </c>
      <c r="B3452" s="8" t="s">
        <v>3117</v>
      </c>
      <c r="C3452" s="8" t="s">
        <v>3115</v>
      </c>
      <c r="D3452" s="8" t="s">
        <v>3118</v>
      </c>
      <c r="E3452" s="8" t="s">
        <v>168</v>
      </c>
      <c r="F3452" s="9">
        <v>240</v>
      </c>
      <c r="G3452" s="5">
        <f>TRUNC([1]단가대비표!O905,0)</f>
        <v>1650</v>
      </c>
      <c r="H3452" s="5">
        <f t="shared" si="323"/>
        <v>396000</v>
      </c>
      <c r="I3452" s="5">
        <v>0</v>
      </c>
      <c r="J3452" s="5">
        <f t="shared" si="324"/>
        <v>0</v>
      </c>
      <c r="K3452" s="5">
        <v>0</v>
      </c>
      <c r="L3452" s="5">
        <f t="shared" si="325"/>
        <v>0</v>
      </c>
      <c r="M3452" s="5">
        <f t="shared" si="326"/>
        <v>1650</v>
      </c>
      <c r="N3452" s="5">
        <f t="shared" si="326"/>
        <v>396000</v>
      </c>
      <c r="O3452" s="8" t="s">
        <v>20</v>
      </c>
      <c r="T3452">
        <v>0</v>
      </c>
      <c r="AC3452">
        <v>1</v>
      </c>
    </row>
    <row r="3453" spans="1:29" ht="30" customHeight="1" x14ac:dyDescent="0.3">
      <c r="A3453" s="8" t="s">
        <v>2953</v>
      </c>
      <c r="B3453" s="8" t="s">
        <v>3119</v>
      </c>
      <c r="C3453" s="8" t="s">
        <v>3120</v>
      </c>
      <c r="D3453" s="8" t="s">
        <v>3121</v>
      </c>
      <c r="E3453" s="8" t="s">
        <v>168</v>
      </c>
      <c r="F3453" s="9">
        <v>95</v>
      </c>
      <c r="G3453" s="5">
        <f>TRUNC([1]단가대비표!O906,0)</f>
        <v>1200</v>
      </c>
      <c r="H3453" s="5">
        <f t="shared" si="323"/>
        <v>114000</v>
      </c>
      <c r="I3453" s="5">
        <v>0</v>
      </c>
      <c r="J3453" s="5">
        <f t="shared" si="324"/>
        <v>0</v>
      </c>
      <c r="K3453" s="5">
        <v>0</v>
      </c>
      <c r="L3453" s="5">
        <f t="shared" si="325"/>
        <v>0</v>
      </c>
      <c r="M3453" s="5">
        <f t="shared" si="326"/>
        <v>1200</v>
      </c>
      <c r="N3453" s="5">
        <f t="shared" si="326"/>
        <v>114000</v>
      </c>
      <c r="O3453" s="8" t="s">
        <v>20</v>
      </c>
      <c r="T3453">
        <v>0</v>
      </c>
      <c r="AC3453">
        <v>1</v>
      </c>
    </row>
    <row r="3454" spans="1:29" ht="30" customHeight="1" x14ac:dyDescent="0.3">
      <c r="A3454" s="8" t="s">
        <v>2953</v>
      </c>
      <c r="B3454" s="8" t="s">
        <v>3122</v>
      </c>
      <c r="C3454" s="8" t="s">
        <v>3120</v>
      </c>
      <c r="D3454" s="8" t="s">
        <v>3123</v>
      </c>
      <c r="E3454" s="8" t="s">
        <v>168</v>
      </c>
      <c r="F3454" s="9">
        <v>95</v>
      </c>
      <c r="G3454" s="5">
        <f>TRUNC([1]단가대비표!O907,0)</f>
        <v>1200</v>
      </c>
      <c r="H3454" s="5">
        <f t="shared" si="323"/>
        <v>114000</v>
      </c>
      <c r="I3454" s="5">
        <v>0</v>
      </c>
      <c r="J3454" s="5">
        <f t="shared" si="324"/>
        <v>0</v>
      </c>
      <c r="K3454" s="5">
        <v>0</v>
      </c>
      <c r="L3454" s="5">
        <f t="shared" si="325"/>
        <v>0</v>
      </c>
      <c r="M3454" s="5">
        <f t="shared" si="326"/>
        <v>1200</v>
      </c>
      <c r="N3454" s="5">
        <f t="shared" si="326"/>
        <v>114000</v>
      </c>
      <c r="O3454" s="8" t="s">
        <v>20</v>
      </c>
      <c r="T3454">
        <v>0</v>
      </c>
      <c r="AC3454">
        <v>1</v>
      </c>
    </row>
    <row r="3455" spans="1:29" ht="30" customHeight="1" x14ac:dyDescent="0.3">
      <c r="A3455" s="8" t="s">
        <v>2953</v>
      </c>
      <c r="B3455" s="8" t="s">
        <v>3124</v>
      </c>
      <c r="C3455" s="8" t="s">
        <v>3125</v>
      </c>
      <c r="D3455" s="8" t="s">
        <v>3126</v>
      </c>
      <c r="E3455" s="8" t="s">
        <v>721</v>
      </c>
      <c r="F3455" s="9">
        <v>1</v>
      </c>
      <c r="G3455" s="5">
        <f>TRUNC([1]단가대비표!O908,0)</f>
        <v>12000000</v>
      </c>
      <c r="H3455" s="5">
        <f t="shared" si="323"/>
        <v>12000000</v>
      </c>
      <c r="I3455" s="5">
        <v>0</v>
      </c>
      <c r="J3455" s="5">
        <f t="shared" si="324"/>
        <v>0</v>
      </c>
      <c r="K3455" s="5">
        <v>0</v>
      </c>
      <c r="L3455" s="5">
        <f t="shared" si="325"/>
        <v>0</v>
      </c>
      <c r="M3455" s="5">
        <f t="shared" si="326"/>
        <v>12000000</v>
      </c>
      <c r="N3455" s="5">
        <f t="shared" si="326"/>
        <v>12000000</v>
      </c>
      <c r="O3455" s="8" t="s">
        <v>20</v>
      </c>
      <c r="T3455">
        <v>0</v>
      </c>
      <c r="AC3455">
        <v>1</v>
      </c>
    </row>
    <row r="3456" spans="1:29" ht="30" customHeight="1" x14ac:dyDescent="0.3">
      <c r="A3456" s="8" t="s">
        <v>2953</v>
      </c>
      <c r="B3456" s="8" t="s">
        <v>1538</v>
      </c>
      <c r="C3456" s="8" t="s">
        <v>153</v>
      </c>
      <c r="D3456" s="8" t="s">
        <v>1539</v>
      </c>
      <c r="E3456" s="8" t="s">
        <v>155</v>
      </c>
      <c r="F3456" s="9">
        <v>5</v>
      </c>
      <c r="G3456" s="5">
        <v>0</v>
      </c>
      <c r="H3456" s="5">
        <f t="shared" si="323"/>
        <v>0</v>
      </c>
      <c r="I3456" s="5">
        <f>TRUNC([1]단가대비표!O663,0)</f>
        <v>283405</v>
      </c>
      <c r="J3456" s="5">
        <f t="shared" si="324"/>
        <v>1417025</v>
      </c>
      <c r="K3456" s="5">
        <v>0</v>
      </c>
      <c r="L3456" s="5">
        <f t="shared" si="325"/>
        <v>0</v>
      </c>
      <c r="M3456" s="5">
        <f t="shared" si="326"/>
        <v>283405</v>
      </c>
      <c r="N3456" s="5">
        <f t="shared" si="326"/>
        <v>1417025</v>
      </c>
      <c r="O3456" s="8" t="s">
        <v>20</v>
      </c>
      <c r="T3456">
        <v>0</v>
      </c>
      <c r="W3456">
        <v>3</v>
      </c>
      <c r="AC3456">
        <v>1</v>
      </c>
    </row>
    <row r="3457" spans="1:29" ht="30" customHeight="1" x14ac:dyDescent="0.3">
      <c r="A3457" s="8" t="s">
        <v>2953</v>
      </c>
      <c r="B3457" s="8" t="s">
        <v>1534</v>
      </c>
      <c r="C3457" s="8" t="s">
        <v>153</v>
      </c>
      <c r="D3457" s="8" t="s">
        <v>1535</v>
      </c>
      <c r="E3457" s="8" t="s">
        <v>155</v>
      </c>
      <c r="F3457" s="9">
        <v>8</v>
      </c>
      <c r="G3457" s="5">
        <v>0</v>
      </c>
      <c r="H3457" s="5">
        <f t="shared" si="323"/>
        <v>0</v>
      </c>
      <c r="I3457" s="5">
        <f>TRUNC([1]단가대비표!O665,0)</f>
        <v>265406</v>
      </c>
      <c r="J3457" s="5">
        <f t="shared" si="324"/>
        <v>2123248</v>
      </c>
      <c r="K3457" s="5">
        <v>0</v>
      </c>
      <c r="L3457" s="5">
        <f t="shared" si="325"/>
        <v>0</v>
      </c>
      <c r="M3457" s="5">
        <f t="shared" si="326"/>
        <v>265406</v>
      </c>
      <c r="N3457" s="5">
        <f t="shared" si="326"/>
        <v>2123248</v>
      </c>
      <c r="O3457" s="8" t="s">
        <v>20</v>
      </c>
      <c r="T3457">
        <v>0</v>
      </c>
      <c r="W3457">
        <v>3</v>
      </c>
      <c r="AC3457">
        <v>1</v>
      </c>
    </row>
    <row r="3458" spans="1:29" ht="30" customHeight="1" x14ac:dyDescent="0.3">
      <c r="A3458" s="8" t="s">
        <v>2953</v>
      </c>
      <c r="B3458" s="8" t="s">
        <v>152</v>
      </c>
      <c r="C3458" s="8" t="s">
        <v>153</v>
      </c>
      <c r="D3458" s="8" t="s">
        <v>154</v>
      </c>
      <c r="E3458" s="8" t="s">
        <v>155</v>
      </c>
      <c r="F3458" s="9">
        <v>7</v>
      </c>
      <c r="G3458" s="5">
        <v>0</v>
      </c>
      <c r="H3458" s="5">
        <f t="shared" si="323"/>
        <v>0</v>
      </c>
      <c r="I3458" s="5">
        <f>TRUNC([1]단가대비표!O671,0)</f>
        <v>157068</v>
      </c>
      <c r="J3458" s="5">
        <f t="shared" si="324"/>
        <v>1099476</v>
      </c>
      <c r="K3458" s="5">
        <v>0</v>
      </c>
      <c r="L3458" s="5">
        <f t="shared" si="325"/>
        <v>0</v>
      </c>
      <c r="M3458" s="5">
        <f t="shared" si="326"/>
        <v>157068</v>
      </c>
      <c r="N3458" s="5">
        <f t="shared" si="326"/>
        <v>1099476</v>
      </c>
      <c r="O3458" s="8" t="s">
        <v>20</v>
      </c>
      <c r="T3458">
        <v>0</v>
      </c>
      <c r="W3458">
        <v>3</v>
      </c>
      <c r="AC3458">
        <v>1</v>
      </c>
    </row>
    <row r="3459" spans="1:29" ht="30" customHeight="1" x14ac:dyDescent="0.3">
      <c r="A3459" s="8" t="s">
        <v>2953</v>
      </c>
      <c r="B3459" s="8" t="s">
        <v>158</v>
      </c>
      <c r="C3459" s="8" t="s">
        <v>159</v>
      </c>
      <c r="D3459" s="8" t="s">
        <v>2044</v>
      </c>
      <c r="E3459" s="8" t="s">
        <v>161</v>
      </c>
      <c r="F3459" s="9">
        <v>1</v>
      </c>
      <c r="G3459" s="5">
        <f>ROUNDDOWN(SUMIF(W3385:W3459, RIGHTB(B3459, 1), J3385:J3459)*T3459, 0)</f>
        <v>139192</v>
      </c>
      <c r="H3459" s="5">
        <f t="shared" si="323"/>
        <v>139192</v>
      </c>
      <c r="I3459" s="5">
        <v>0</v>
      </c>
      <c r="J3459" s="5">
        <f t="shared" si="324"/>
        <v>0</v>
      </c>
      <c r="K3459" s="5">
        <v>0</v>
      </c>
      <c r="L3459" s="5">
        <f t="shared" si="325"/>
        <v>0</v>
      </c>
      <c r="M3459" s="5">
        <f t="shared" si="326"/>
        <v>139192</v>
      </c>
      <c r="N3459" s="5">
        <f t="shared" si="326"/>
        <v>139192</v>
      </c>
      <c r="O3459" s="8" t="s">
        <v>20</v>
      </c>
      <c r="P3459">
        <v>3459</v>
      </c>
      <c r="R3459">
        <v>1</v>
      </c>
      <c r="S3459">
        <v>0</v>
      </c>
      <c r="T3459">
        <v>0.03</v>
      </c>
      <c r="AC3459">
        <v>1</v>
      </c>
    </row>
    <row r="3460" spans="1:29" ht="30" customHeight="1" x14ac:dyDescent="0.3">
      <c r="A3460" s="5"/>
      <c r="B3460" s="5"/>
      <c r="C3460" s="5"/>
      <c r="D3460" s="5"/>
      <c r="E3460" s="5"/>
      <c r="F3460" s="9"/>
      <c r="G3460" s="5"/>
      <c r="H3460" s="5"/>
      <c r="I3460" s="5"/>
      <c r="J3460" s="5"/>
      <c r="K3460" s="5"/>
      <c r="L3460" s="5"/>
      <c r="M3460" s="5"/>
      <c r="N3460" s="5"/>
      <c r="O3460" s="5"/>
    </row>
    <row r="3461" spans="1:29" ht="30" customHeight="1" x14ac:dyDescent="0.3">
      <c r="A3461" s="5"/>
      <c r="B3461" s="5"/>
      <c r="C3461" s="5" t="s">
        <v>162</v>
      </c>
      <c r="D3461" s="5"/>
      <c r="E3461" s="5"/>
      <c r="F3461" s="9"/>
      <c r="G3461" s="5"/>
      <c r="H3461" s="5">
        <f>SUMIF(AC3385:AC3460, 1, H3385:H3460)</f>
        <v>34981237</v>
      </c>
      <c r="I3461" s="5"/>
      <c r="J3461" s="5">
        <f>SUMIF(AC3385:AC3460, 1, J3385:J3460)</f>
        <v>4639749</v>
      </c>
      <c r="K3461" s="5"/>
      <c r="L3461" s="5">
        <f>SUMIF(AC3385:AC3460, 1, L3385:L3460)</f>
        <v>0</v>
      </c>
      <c r="M3461" s="5"/>
      <c r="N3461" s="5">
        <f>H3461+J3461+L3461</f>
        <v>39620986</v>
      </c>
      <c r="O3461" s="5"/>
    </row>
    <row r="3462" spans="1:29" ht="30" customHeight="1" x14ac:dyDescent="0.3">
      <c r="A3462" s="5"/>
      <c r="B3462" s="5"/>
      <c r="C3462" s="6" t="s">
        <v>3127</v>
      </c>
      <c r="D3462" s="6"/>
      <c r="E3462" s="6"/>
      <c r="F3462" s="7"/>
      <c r="G3462" s="6"/>
      <c r="H3462" s="6"/>
      <c r="I3462" s="6"/>
      <c r="J3462" s="6"/>
      <c r="K3462" s="6"/>
      <c r="L3462" s="6"/>
      <c r="M3462" s="6"/>
      <c r="N3462" s="6"/>
      <c r="O3462" s="6"/>
    </row>
    <row r="3463" spans="1:29" ht="30" customHeight="1" x14ac:dyDescent="0.3">
      <c r="A3463" s="8" t="s">
        <v>3128</v>
      </c>
      <c r="B3463" s="8" t="s">
        <v>3129</v>
      </c>
      <c r="C3463" s="8" t="s">
        <v>3130</v>
      </c>
      <c r="D3463" s="8" t="s">
        <v>20</v>
      </c>
      <c r="E3463" s="8" t="s">
        <v>161</v>
      </c>
      <c r="F3463" s="9">
        <v>1</v>
      </c>
      <c r="G3463" s="5">
        <f>TRUNC([1]단가대비표!O909,0)</f>
        <v>14820000</v>
      </c>
      <c r="H3463" s="5">
        <f>TRUNC(F3463*G3463,0)</f>
        <v>14820000</v>
      </c>
      <c r="I3463" s="5">
        <v>0</v>
      </c>
      <c r="J3463" s="5">
        <f>TRUNC(F3463*I3463,0)</f>
        <v>0</v>
      </c>
      <c r="K3463" s="5">
        <v>0</v>
      </c>
      <c r="L3463" s="5">
        <f>TRUNC(F3463*K3463,0)</f>
        <v>0</v>
      </c>
      <c r="M3463" s="5">
        <f>G3463+I3463+K3463</f>
        <v>14820000</v>
      </c>
      <c r="N3463" s="5">
        <f>H3463+J3463+L3463</f>
        <v>14820000</v>
      </c>
      <c r="O3463" s="8" t="s">
        <v>20</v>
      </c>
      <c r="T3463">
        <v>0</v>
      </c>
      <c r="AC3463">
        <v>1</v>
      </c>
    </row>
    <row r="3464" spans="1:29" ht="30" customHeight="1" x14ac:dyDescent="0.3">
      <c r="A3464" s="8" t="s">
        <v>3128</v>
      </c>
      <c r="B3464" s="8" t="s">
        <v>3131</v>
      </c>
      <c r="C3464" s="8" t="s">
        <v>3132</v>
      </c>
      <c r="D3464" s="8" t="s">
        <v>20</v>
      </c>
      <c r="E3464" s="8" t="s">
        <v>161</v>
      </c>
      <c r="F3464" s="9">
        <v>1</v>
      </c>
      <c r="G3464" s="5">
        <f>TRUNC([1]단가대비표!O910,0)</f>
        <v>1548952</v>
      </c>
      <c r="H3464" s="5">
        <f>TRUNC(F3464*G3464,0)</f>
        <v>1548952</v>
      </c>
      <c r="I3464" s="5">
        <v>0</v>
      </c>
      <c r="J3464" s="5">
        <f>TRUNC(F3464*I3464,0)</f>
        <v>0</v>
      </c>
      <c r="K3464" s="5">
        <v>0</v>
      </c>
      <c r="L3464" s="5">
        <f>TRUNC(F3464*K3464,0)</f>
        <v>0</v>
      </c>
      <c r="M3464" s="5">
        <f>G3464+I3464+K3464</f>
        <v>1548952</v>
      </c>
      <c r="N3464" s="5">
        <f>H3464+J3464+L3464</f>
        <v>1548952</v>
      </c>
      <c r="O3464" s="8" t="s">
        <v>20</v>
      </c>
      <c r="T3464">
        <v>0</v>
      </c>
      <c r="AC3464">
        <v>1</v>
      </c>
    </row>
    <row r="3465" spans="1:29" ht="30" customHeight="1" x14ac:dyDescent="0.3">
      <c r="A3465" s="5"/>
      <c r="B3465" s="5"/>
      <c r="C3465" s="5"/>
      <c r="D3465" s="5"/>
      <c r="E3465" s="5"/>
      <c r="F3465" s="9"/>
      <c r="G3465" s="5"/>
      <c r="H3465" s="5"/>
      <c r="I3465" s="5"/>
      <c r="J3465" s="5"/>
      <c r="K3465" s="5"/>
      <c r="L3465" s="5"/>
      <c r="M3465" s="5"/>
      <c r="N3465" s="5"/>
      <c r="O3465" s="5"/>
    </row>
    <row r="3466" spans="1:29" ht="30" customHeight="1" x14ac:dyDescent="0.3">
      <c r="A3466" s="5"/>
      <c r="B3466" s="5"/>
      <c r="C3466" s="5"/>
      <c r="D3466" s="5"/>
      <c r="E3466" s="5"/>
      <c r="F3466" s="9"/>
      <c r="G3466" s="5"/>
      <c r="H3466" s="5"/>
      <c r="I3466" s="5"/>
      <c r="J3466" s="5"/>
      <c r="K3466" s="5"/>
      <c r="L3466" s="5"/>
      <c r="M3466" s="5"/>
      <c r="N3466" s="5"/>
      <c r="O3466" s="5"/>
    </row>
    <row r="3467" spans="1:29" ht="30" customHeight="1" x14ac:dyDescent="0.3">
      <c r="A3467" s="5"/>
      <c r="B3467" s="5"/>
      <c r="C3467" s="5"/>
      <c r="D3467" s="5"/>
      <c r="E3467" s="5"/>
      <c r="F3467" s="9"/>
      <c r="G3467" s="5"/>
      <c r="H3467" s="5"/>
      <c r="I3467" s="5"/>
      <c r="J3467" s="5"/>
      <c r="K3467" s="5"/>
      <c r="L3467" s="5"/>
      <c r="M3467" s="5"/>
      <c r="N3467" s="5"/>
      <c r="O3467" s="5"/>
    </row>
    <row r="3468" spans="1:29" ht="30" customHeight="1" x14ac:dyDescent="0.3">
      <c r="A3468" s="5"/>
      <c r="B3468" s="5"/>
      <c r="C3468" s="5"/>
      <c r="D3468" s="5"/>
      <c r="E3468" s="5"/>
      <c r="F3468" s="9"/>
      <c r="G3468" s="5"/>
      <c r="H3468" s="5"/>
      <c r="I3468" s="5"/>
      <c r="J3468" s="5"/>
      <c r="K3468" s="5"/>
      <c r="L3468" s="5"/>
      <c r="M3468" s="5"/>
      <c r="N3468" s="5"/>
      <c r="O3468" s="5"/>
    </row>
    <row r="3469" spans="1:29" ht="30" customHeight="1" x14ac:dyDescent="0.3">
      <c r="A3469" s="5"/>
      <c r="B3469" s="5"/>
      <c r="C3469" s="5"/>
      <c r="D3469" s="5"/>
      <c r="E3469" s="5"/>
      <c r="F3469" s="9"/>
      <c r="G3469" s="5"/>
      <c r="H3469" s="5"/>
      <c r="I3469" s="5"/>
      <c r="J3469" s="5"/>
      <c r="K3469" s="5"/>
      <c r="L3469" s="5"/>
      <c r="M3469" s="5"/>
      <c r="N3469" s="5"/>
      <c r="O3469" s="5"/>
    </row>
    <row r="3470" spans="1:29" ht="30" customHeight="1" x14ac:dyDescent="0.3">
      <c r="A3470" s="5"/>
      <c r="B3470" s="5"/>
      <c r="C3470" s="5"/>
      <c r="D3470" s="5"/>
      <c r="E3470" s="5"/>
      <c r="F3470" s="9"/>
      <c r="G3470" s="5"/>
      <c r="H3470" s="5"/>
      <c r="I3470" s="5"/>
      <c r="J3470" s="5"/>
      <c r="K3470" s="5"/>
      <c r="L3470" s="5"/>
      <c r="M3470" s="5"/>
      <c r="N3470" s="5"/>
      <c r="O3470" s="5"/>
    </row>
    <row r="3471" spans="1:29" ht="30" customHeight="1" x14ac:dyDescent="0.3">
      <c r="A3471" s="5"/>
      <c r="B3471" s="5"/>
      <c r="C3471" s="5"/>
      <c r="D3471" s="5"/>
      <c r="E3471" s="5"/>
      <c r="F3471" s="9"/>
      <c r="G3471" s="5"/>
      <c r="H3471" s="5"/>
      <c r="I3471" s="5"/>
      <c r="J3471" s="5"/>
      <c r="K3471" s="5"/>
      <c r="L3471" s="5"/>
      <c r="M3471" s="5"/>
      <c r="N3471" s="5"/>
      <c r="O3471" s="5"/>
    </row>
    <row r="3472" spans="1:29" ht="30" customHeight="1" x14ac:dyDescent="0.3">
      <c r="A3472" s="5"/>
      <c r="B3472" s="5"/>
      <c r="C3472" s="5"/>
      <c r="D3472" s="5"/>
      <c r="E3472" s="5"/>
      <c r="F3472" s="9"/>
      <c r="G3472" s="5"/>
      <c r="H3472" s="5"/>
      <c r="I3472" s="5"/>
      <c r="J3472" s="5"/>
      <c r="K3472" s="5"/>
      <c r="L3472" s="5"/>
      <c r="M3472" s="5"/>
      <c r="N3472" s="5"/>
      <c r="O3472" s="5"/>
    </row>
    <row r="3473" spans="1:15" ht="30" customHeight="1" x14ac:dyDescent="0.3">
      <c r="A3473" s="5"/>
      <c r="B3473" s="5"/>
      <c r="C3473" s="5"/>
      <c r="D3473" s="5"/>
      <c r="E3473" s="5"/>
      <c r="F3473" s="9"/>
      <c r="G3473" s="5"/>
      <c r="H3473" s="5"/>
      <c r="I3473" s="5"/>
      <c r="J3473" s="5"/>
      <c r="K3473" s="5"/>
      <c r="L3473" s="5"/>
      <c r="M3473" s="5"/>
      <c r="N3473" s="5"/>
      <c r="O3473" s="5"/>
    </row>
    <row r="3474" spans="1:15" ht="30" customHeight="1" x14ac:dyDescent="0.3">
      <c r="A3474" s="5"/>
      <c r="B3474" s="5"/>
      <c r="C3474" s="5"/>
      <c r="D3474" s="5"/>
      <c r="E3474" s="5"/>
      <c r="F3474" s="9"/>
      <c r="G3474" s="5"/>
      <c r="H3474" s="5"/>
      <c r="I3474" s="5"/>
      <c r="J3474" s="5"/>
      <c r="K3474" s="5"/>
      <c r="L3474" s="5"/>
      <c r="M3474" s="5"/>
      <c r="N3474" s="5"/>
      <c r="O3474" s="5"/>
    </row>
    <row r="3475" spans="1:15" ht="30" customHeight="1" x14ac:dyDescent="0.3">
      <c r="A3475" s="5"/>
      <c r="B3475" s="5"/>
      <c r="C3475" s="5"/>
      <c r="D3475" s="5"/>
      <c r="E3475" s="5"/>
      <c r="F3475" s="9"/>
      <c r="G3475" s="5"/>
      <c r="H3475" s="5"/>
      <c r="I3475" s="5"/>
      <c r="J3475" s="5"/>
      <c r="K3475" s="5"/>
      <c r="L3475" s="5"/>
      <c r="M3475" s="5"/>
      <c r="N3475" s="5"/>
      <c r="O3475" s="5"/>
    </row>
    <row r="3476" spans="1:15" ht="30" customHeight="1" x14ac:dyDescent="0.3">
      <c r="A3476" s="5"/>
      <c r="B3476" s="5"/>
      <c r="C3476" s="5"/>
      <c r="D3476" s="5"/>
      <c r="E3476" s="5"/>
      <c r="F3476" s="9"/>
      <c r="G3476" s="5"/>
      <c r="H3476" s="5"/>
      <c r="I3476" s="5"/>
      <c r="J3476" s="5"/>
      <c r="K3476" s="5"/>
      <c r="L3476" s="5"/>
      <c r="M3476" s="5"/>
      <c r="N3476" s="5"/>
      <c r="O3476" s="5"/>
    </row>
    <row r="3477" spans="1:15" ht="30" customHeight="1" x14ac:dyDescent="0.3">
      <c r="A3477" s="5"/>
      <c r="B3477" s="5"/>
      <c r="C3477" s="5"/>
      <c r="D3477" s="5"/>
      <c r="E3477" s="5"/>
      <c r="F3477" s="9"/>
      <c r="G3477" s="5"/>
      <c r="H3477" s="5"/>
      <c r="I3477" s="5"/>
      <c r="J3477" s="5"/>
      <c r="K3477" s="5"/>
      <c r="L3477" s="5"/>
      <c r="M3477" s="5"/>
      <c r="N3477" s="5"/>
      <c r="O3477" s="5"/>
    </row>
    <row r="3478" spans="1:15" ht="30" customHeight="1" x14ac:dyDescent="0.3">
      <c r="A3478" s="5"/>
      <c r="B3478" s="5"/>
      <c r="C3478" s="5"/>
      <c r="D3478" s="5"/>
      <c r="E3478" s="5"/>
      <c r="F3478" s="9"/>
      <c r="G3478" s="5"/>
      <c r="H3478" s="5"/>
      <c r="I3478" s="5"/>
      <c r="J3478" s="5"/>
      <c r="K3478" s="5"/>
      <c r="L3478" s="5"/>
      <c r="M3478" s="5"/>
      <c r="N3478" s="5"/>
      <c r="O3478" s="5"/>
    </row>
    <row r="3479" spans="1:15" ht="30" customHeight="1" x14ac:dyDescent="0.3">
      <c r="A3479" s="5"/>
      <c r="B3479" s="5"/>
      <c r="C3479" s="5"/>
      <c r="D3479" s="5"/>
      <c r="E3479" s="5"/>
      <c r="F3479" s="9"/>
      <c r="G3479" s="5"/>
      <c r="H3479" s="5"/>
      <c r="I3479" s="5"/>
      <c r="J3479" s="5"/>
      <c r="K3479" s="5"/>
      <c r="L3479" s="5"/>
      <c r="M3479" s="5"/>
      <c r="N3479" s="5"/>
      <c r="O3479" s="5"/>
    </row>
    <row r="3480" spans="1:15" ht="30" customHeight="1" x14ac:dyDescent="0.3">
      <c r="A3480" s="5"/>
      <c r="B3480" s="5"/>
      <c r="C3480" s="5"/>
      <c r="D3480" s="5"/>
      <c r="E3480" s="5"/>
      <c r="F3480" s="9"/>
      <c r="G3480" s="5"/>
      <c r="H3480" s="5"/>
      <c r="I3480" s="5"/>
      <c r="J3480" s="5"/>
      <c r="K3480" s="5"/>
      <c r="L3480" s="5"/>
      <c r="M3480" s="5"/>
      <c r="N3480" s="5"/>
      <c r="O3480" s="5"/>
    </row>
    <row r="3481" spans="1:15" ht="30" customHeight="1" x14ac:dyDescent="0.3">
      <c r="A3481" s="5"/>
      <c r="B3481" s="5"/>
      <c r="C3481" s="5"/>
      <c r="D3481" s="5"/>
      <c r="E3481" s="5"/>
      <c r="F3481" s="9"/>
      <c r="G3481" s="5"/>
      <c r="H3481" s="5"/>
      <c r="I3481" s="5"/>
      <c r="J3481" s="5"/>
      <c r="K3481" s="5"/>
      <c r="L3481" s="5"/>
      <c r="M3481" s="5"/>
      <c r="N3481" s="5"/>
      <c r="O3481" s="5"/>
    </row>
    <row r="3482" spans="1:15" ht="30" customHeight="1" x14ac:dyDescent="0.3">
      <c r="A3482" s="5"/>
      <c r="B3482" s="5"/>
      <c r="C3482" s="5"/>
      <c r="D3482" s="5"/>
      <c r="E3482" s="5"/>
      <c r="F3482" s="9"/>
      <c r="G3482" s="5"/>
      <c r="H3482" s="5"/>
      <c r="I3482" s="5"/>
      <c r="J3482" s="5"/>
      <c r="K3482" s="5"/>
      <c r="L3482" s="5"/>
      <c r="M3482" s="5"/>
      <c r="N3482" s="5"/>
      <c r="O3482" s="5"/>
    </row>
    <row r="3483" spans="1:15" ht="30" customHeight="1" x14ac:dyDescent="0.3">
      <c r="A3483" s="5"/>
      <c r="B3483" s="5"/>
      <c r="C3483" s="5"/>
      <c r="D3483" s="5"/>
      <c r="E3483" s="5"/>
      <c r="F3483" s="9"/>
      <c r="G3483" s="5"/>
      <c r="H3483" s="5"/>
      <c r="I3483" s="5"/>
      <c r="J3483" s="5"/>
      <c r="K3483" s="5"/>
      <c r="L3483" s="5"/>
      <c r="M3483" s="5"/>
      <c r="N3483" s="5"/>
      <c r="O3483" s="5"/>
    </row>
    <row r="3484" spans="1:15" ht="30" customHeight="1" x14ac:dyDescent="0.3">
      <c r="A3484" s="5"/>
      <c r="B3484" s="5"/>
      <c r="C3484" s="5"/>
      <c r="D3484" s="5"/>
      <c r="E3484" s="5"/>
      <c r="F3484" s="9"/>
      <c r="G3484" s="5"/>
      <c r="H3484" s="5"/>
      <c r="I3484" s="5"/>
      <c r="J3484" s="5"/>
      <c r="K3484" s="5"/>
      <c r="L3484" s="5"/>
      <c r="M3484" s="5"/>
      <c r="N3484" s="5"/>
      <c r="O3484" s="5"/>
    </row>
    <row r="3485" spans="1:15" ht="30" customHeight="1" x14ac:dyDescent="0.3">
      <c r="A3485" s="5"/>
      <c r="B3485" s="5"/>
      <c r="C3485" s="5"/>
      <c r="D3485" s="5"/>
      <c r="E3485" s="5"/>
      <c r="F3485" s="9"/>
      <c r="G3485" s="5"/>
      <c r="H3485" s="5"/>
      <c r="I3485" s="5"/>
      <c r="J3485" s="5"/>
      <c r="K3485" s="5"/>
      <c r="L3485" s="5"/>
      <c r="M3485" s="5"/>
      <c r="N3485" s="5"/>
      <c r="O3485" s="5"/>
    </row>
    <row r="3486" spans="1:15" ht="30" customHeight="1" x14ac:dyDescent="0.3">
      <c r="A3486" s="5"/>
      <c r="B3486" s="5"/>
      <c r="C3486" s="5"/>
      <c r="D3486" s="5"/>
      <c r="E3486" s="5"/>
      <c r="F3486" s="9"/>
      <c r="G3486" s="5"/>
      <c r="H3486" s="5"/>
      <c r="I3486" s="5"/>
      <c r="J3486" s="5"/>
      <c r="K3486" s="5"/>
      <c r="L3486" s="5"/>
      <c r="M3486" s="5"/>
      <c r="N3486" s="5"/>
      <c r="O3486" s="5"/>
    </row>
    <row r="3487" spans="1:15" ht="30" customHeight="1" x14ac:dyDescent="0.3">
      <c r="A3487" s="5"/>
      <c r="B3487" s="5"/>
      <c r="C3487" s="5" t="s">
        <v>162</v>
      </c>
      <c r="D3487" s="5"/>
      <c r="E3487" s="5"/>
      <c r="F3487" s="9"/>
      <c r="G3487" s="5"/>
      <c r="H3487" s="5">
        <f>SUMIF(AC3463:AC3486, 1, H3463:H3486)</f>
        <v>16368952</v>
      </c>
      <c r="I3487" s="5"/>
      <c r="J3487" s="5">
        <f>SUMIF(AC3463:AC3486, 1, J3463:J3486)</f>
        <v>0</v>
      </c>
      <c r="K3487" s="5"/>
      <c r="L3487" s="5">
        <f>SUMIF(AC3463:AC3486, 1, L3463:L3486)</f>
        <v>0</v>
      </c>
      <c r="M3487" s="5"/>
      <c r="N3487" s="5">
        <f>H3487+J3487+L3487</f>
        <v>16368952</v>
      </c>
      <c r="O3487" s="5"/>
    </row>
    <row r="3488" spans="1:15" ht="30" customHeight="1" x14ac:dyDescent="0.3">
      <c r="A3488" s="5"/>
      <c r="B3488" s="5"/>
      <c r="C3488" s="6" t="s">
        <v>3133</v>
      </c>
      <c r="D3488" s="6"/>
      <c r="E3488" s="6"/>
      <c r="F3488" s="7"/>
      <c r="G3488" s="6"/>
      <c r="H3488" s="6"/>
      <c r="I3488" s="6"/>
      <c r="J3488" s="6"/>
      <c r="K3488" s="6"/>
      <c r="L3488" s="6"/>
      <c r="M3488" s="6"/>
      <c r="N3488" s="6"/>
      <c r="O3488" s="6"/>
    </row>
    <row r="3489" spans="1:29" ht="30" customHeight="1" x14ac:dyDescent="0.3">
      <c r="A3489" s="8" t="s">
        <v>3134</v>
      </c>
      <c r="B3489" s="8" t="s">
        <v>3135</v>
      </c>
      <c r="C3489" s="8" t="s">
        <v>3136</v>
      </c>
      <c r="D3489" s="8" t="s">
        <v>3137</v>
      </c>
      <c r="E3489" s="8" t="s">
        <v>19</v>
      </c>
      <c r="F3489" s="9">
        <v>3</v>
      </c>
      <c r="G3489" s="5">
        <f>TRUNC([1]단가대비표!O1683,0)</f>
        <v>27500000</v>
      </c>
      <c r="H3489" s="5">
        <f t="shared" ref="H3489:H3498" si="327">TRUNC(F3489*G3489,0)</f>
        <v>82500000</v>
      </c>
      <c r="I3489" s="5">
        <v>0</v>
      </c>
      <c r="J3489" s="5">
        <f t="shared" ref="J3489:J3498" si="328">TRUNC(F3489*I3489,0)</f>
        <v>0</v>
      </c>
      <c r="K3489" s="5">
        <v>0</v>
      </c>
      <c r="L3489" s="5">
        <f t="shared" ref="L3489:L3498" si="329">TRUNC(F3489*K3489,0)</f>
        <v>0</v>
      </c>
      <c r="M3489" s="5">
        <f t="shared" ref="M3489:N3498" si="330">G3489+I3489+K3489</f>
        <v>27500000</v>
      </c>
      <c r="N3489" s="5">
        <f t="shared" si="330"/>
        <v>82500000</v>
      </c>
      <c r="O3489" s="8" t="s">
        <v>20</v>
      </c>
      <c r="T3489">
        <v>0</v>
      </c>
      <c r="AC3489">
        <v>1</v>
      </c>
    </row>
    <row r="3490" spans="1:29" ht="30" customHeight="1" x14ac:dyDescent="0.3">
      <c r="A3490" s="8" t="s">
        <v>3134</v>
      </c>
      <c r="B3490" s="8" t="s">
        <v>3138</v>
      </c>
      <c r="C3490" s="8" t="s">
        <v>3139</v>
      </c>
      <c r="D3490" s="8" t="s">
        <v>3140</v>
      </c>
      <c r="E3490" s="8" t="s">
        <v>19</v>
      </c>
      <c r="F3490" s="9">
        <v>1</v>
      </c>
      <c r="G3490" s="5">
        <f>TRUNC([1]단가대비표!O1684,0)</f>
        <v>27500000</v>
      </c>
      <c r="H3490" s="5">
        <f t="shared" si="327"/>
        <v>27500000</v>
      </c>
      <c r="I3490" s="5">
        <v>0</v>
      </c>
      <c r="J3490" s="5">
        <f t="shared" si="328"/>
        <v>0</v>
      </c>
      <c r="K3490" s="5">
        <v>0</v>
      </c>
      <c r="L3490" s="5">
        <f t="shared" si="329"/>
        <v>0</v>
      </c>
      <c r="M3490" s="5">
        <f t="shared" si="330"/>
        <v>27500000</v>
      </c>
      <c r="N3490" s="5">
        <f t="shared" si="330"/>
        <v>27500000</v>
      </c>
      <c r="O3490" s="8" t="s">
        <v>20</v>
      </c>
      <c r="T3490">
        <v>0</v>
      </c>
      <c r="AC3490">
        <v>1</v>
      </c>
    </row>
    <row r="3491" spans="1:29" ht="30" customHeight="1" x14ac:dyDescent="0.3">
      <c r="A3491" s="8" t="s">
        <v>3134</v>
      </c>
      <c r="B3491" s="8" t="s">
        <v>3141</v>
      </c>
      <c r="C3491" s="8" t="s">
        <v>3142</v>
      </c>
      <c r="D3491" s="8" t="s">
        <v>3143</v>
      </c>
      <c r="E3491" s="8" t="s">
        <v>19</v>
      </c>
      <c r="F3491" s="9">
        <v>5</v>
      </c>
      <c r="G3491" s="5">
        <f>TRUNC([1]단가대비표!O1685,0)</f>
        <v>2320000</v>
      </c>
      <c r="H3491" s="5">
        <f t="shared" si="327"/>
        <v>11600000</v>
      </c>
      <c r="I3491" s="5">
        <v>0</v>
      </c>
      <c r="J3491" s="5">
        <f t="shared" si="328"/>
        <v>0</v>
      </c>
      <c r="K3491" s="5">
        <v>0</v>
      </c>
      <c r="L3491" s="5">
        <f t="shared" si="329"/>
        <v>0</v>
      </c>
      <c r="M3491" s="5">
        <f t="shared" si="330"/>
        <v>2320000</v>
      </c>
      <c r="N3491" s="5">
        <f t="shared" si="330"/>
        <v>11600000</v>
      </c>
      <c r="O3491" s="8" t="s">
        <v>20</v>
      </c>
      <c r="T3491">
        <v>0</v>
      </c>
      <c r="AC3491">
        <v>1</v>
      </c>
    </row>
    <row r="3492" spans="1:29" ht="30" customHeight="1" x14ac:dyDescent="0.3">
      <c r="A3492" s="8" t="s">
        <v>3134</v>
      </c>
      <c r="B3492" s="8" t="s">
        <v>3144</v>
      </c>
      <c r="C3492" s="8" t="s">
        <v>3145</v>
      </c>
      <c r="D3492" s="8" t="s">
        <v>3146</v>
      </c>
      <c r="E3492" s="8" t="s">
        <v>19</v>
      </c>
      <c r="F3492" s="9">
        <v>2</v>
      </c>
      <c r="G3492" s="5">
        <f>TRUNC([1]단가대비표!O1686,0)</f>
        <v>2320000</v>
      </c>
      <c r="H3492" s="5">
        <f t="shared" si="327"/>
        <v>4640000</v>
      </c>
      <c r="I3492" s="5">
        <v>0</v>
      </c>
      <c r="J3492" s="5">
        <f t="shared" si="328"/>
        <v>0</v>
      </c>
      <c r="K3492" s="5">
        <v>0</v>
      </c>
      <c r="L3492" s="5">
        <f t="shared" si="329"/>
        <v>0</v>
      </c>
      <c r="M3492" s="5">
        <f t="shared" si="330"/>
        <v>2320000</v>
      </c>
      <c r="N3492" s="5">
        <f t="shared" si="330"/>
        <v>4640000</v>
      </c>
      <c r="O3492" s="8" t="s">
        <v>20</v>
      </c>
      <c r="T3492">
        <v>0</v>
      </c>
      <c r="AC3492">
        <v>1</v>
      </c>
    </row>
    <row r="3493" spans="1:29" ht="30" customHeight="1" x14ac:dyDescent="0.3">
      <c r="A3493" s="8" t="s">
        <v>3134</v>
      </c>
      <c r="B3493" s="8" t="s">
        <v>3147</v>
      </c>
      <c r="C3493" s="8" t="s">
        <v>3148</v>
      </c>
      <c r="D3493" s="8" t="s">
        <v>3149</v>
      </c>
      <c r="E3493" s="8" t="s">
        <v>19</v>
      </c>
      <c r="F3493" s="9">
        <v>2</v>
      </c>
      <c r="G3493" s="5">
        <f>TRUNC([1]단가대비표!O1687,0)</f>
        <v>3116000</v>
      </c>
      <c r="H3493" s="5">
        <f t="shared" si="327"/>
        <v>6232000</v>
      </c>
      <c r="I3493" s="5">
        <v>0</v>
      </c>
      <c r="J3493" s="5">
        <f t="shared" si="328"/>
        <v>0</v>
      </c>
      <c r="K3493" s="5">
        <v>0</v>
      </c>
      <c r="L3493" s="5">
        <f t="shared" si="329"/>
        <v>0</v>
      </c>
      <c r="M3493" s="5">
        <f t="shared" si="330"/>
        <v>3116000</v>
      </c>
      <c r="N3493" s="5">
        <f t="shared" si="330"/>
        <v>6232000</v>
      </c>
      <c r="O3493" s="8" t="s">
        <v>20</v>
      </c>
      <c r="T3493">
        <v>0</v>
      </c>
      <c r="AC3493">
        <v>1</v>
      </c>
    </row>
    <row r="3494" spans="1:29" ht="30" customHeight="1" x14ac:dyDescent="0.3">
      <c r="A3494" s="8" t="s">
        <v>3134</v>
      </c>
      <c r="B3494" s="8" t="s">
        <v>3150</v>
      </c>
      <c r="C3494" s="8" t="s">
        <v>3151</v>
      </c>
      <c r="D3494" s="8" t="s">
        <v>3152</v>
      </c>
      <c r="E3494" s="8" t="s">
        <v>19</v>
      </c>
      <c r="F3494" s="9">
        <v>2</v>
      </c>
      <c r="G3494" s="5">
        <f>TRUNC([1]단가대비표!O1688,0)</f>
        <v>2006000</v>
      </c>
      <c r="H3494" s="5">
        <f t="shared" si="327"/>
        <v>4012000</v>
      </c>
      <c r="I3494" s="5">
        <v>0</v>
      </c>
      <c r="J3494" s="5">
        <f t="shared" si="328"/>
        <v>0</v>
      </c>
      <c r="K3494" s="5">
        <v>0</v>
      </c>
      <c r="L3494" s="5">
        <f t="shared" si="329"/>
        <v>0</v>
      </c>
      <c r="M3494" s="5">
        <f t="shared" si="330"/>
        <v>2006000</v>
      </c>
      <c r="N3494" s="5">
        <f t="shared" si="330"/>
        <v>4012000</v>
      </c>
      <c r="O3494" s="8" t="s">
        <v>20</v>
      </c>
      <c r="T3494">
        <v>0</v>
      </c>
      <c r="AC3494">
        <v>1</v>
      </c>
    </row>
    <row r="3495" spans="1:29" ht="30" customHeight="1" x14ac:dyDescent="0.3">
      <c r="A3495" s="8" t="s">
        <v>3134</v>
      </c>
      <c r="B3495" s="8" t="s">
        <v>3153</v>
      </c>
      <c r="C3495" s="8" t="s">
        <v>3154</v>
      </c>
      <c r="D3495" s="8" t="s">
        <v>3149</v>
      </c>
      <c r="E3495" s="8" t="s">
        <v>19</v>
      </c>
      <c r="F3495" s="9">
        <v>2</v>
      </c>
      <c r="G3495" s="5">
        <f>TRUNC([1]단가대비표!O1689,0)</f>
        <v>3116000</v>
      </c>
      <c r="H3495" s="5">
        <f t="shared" si="327"/>
        <v>6232000</v>
      </c>
      <c r="I3495" s="5">
        <v>0</v>
      </c>
      <c r="J3495" s="5">
        <f t="shared" si="328"/>
        <v>0</v>
      </c>
      <c r="K3495" s="5">
        <v>0</v>
      </c>
      <c r="L3495" s="5">
        <f t="shared" si="329"/>
        <v>0</v>
      </c>
      <c r="M3495" s="5">
        <f t="shared" si="330"/>
        <v>3116000</v>
      </c>
      <c r="N3495" s="5">
        <f t="shared" si="330"/>
        <v>6232000</v>
      </c>
      <c r="O3495" s="8" t="s">
        <v>20</v>
      </c>
      <c r="T3495">
        <v>0</v>
      </c>
      <c r="AC3495">
        <v>1</v>
      </c>
    </row>
    <row r="3496" spans="1:29" ht="30" customHeight="1" x14ac:dyDescent="0.3">
      <c r="A3496" s="8" t="s">
        <v>3134</v>
      </c>
      <c r="B3496" s="8" t="s">
        <v>3155</v>
      </c>
      <c r="C3496" s="8" t="s">
        <v>3156</v>
      </c>
      <c r="D3496" s="8" t="s">
        <v>20</v>
      </c>
      <c r="E3496" s="8" t="s">
        <v>19</v>
      </c>
      <c r="F3496" s="9">
        <v>2</v>
      </c>
      <c r="G3496" s="5">
        <f>TRUNC([1]단가대비표!O1690,0)</f>
        <v>5500000</v>
      </c>
      <c r="H3496" s="5">
        <f t="shared" si="327"/>
        <v>11000000</v>
      </c>
      <c r="I3496" s="5">
        <v>0</v>
      </c>
      <c r="J3496" s="5">
        <f t="shared" si="328"/>
        <v>0</v>
      </c>
      <c r="K3496" s="5">
        <v>0</v>
      </c>
      <c r="L3496" s="5">
        <f t="shared" si="329"/>
        <v>0</v>
      </c>
      <c r="M3496" s="5">
        <f t="shared" si="330"/>
        <v>5500000</v>
      </c>
      <c r="N3496" s="5">
        <f t="shared" si="330"/>
        <v>11000000</v>
      </c>
      <c r="O3496" s="8" t="s">
        <v>20</v>
      </c>
      <c r="T3496">
        <v>0</v>
      </c>
      <c r="AC3496">
        <v>1</v>
      </c>
    </row>
    <row r="3497" spans="1:29" ht="30" customHeight="1" x14ac:dyDescent="0.3">
      <c r="A3497" s="8" t="s">
        <v>3134</v>
      </c>
      <c r="B3497" s="8" t="s">
        <v>3157</v>
      </c>
      <c r="C3497" s="8" t="s">
        <v>1899</v>
      </c>
      <c r="D3497" s="8" t="s">
        <v>3158</v>
      </c>
      <c r="E3497" s="8" t="s">
        <v>19</v>
      </c>
      <c r="F3497" s="9">
        <v>2</v>
      </c>
      <c r="G3497" s="5">
        <f>TRUNC([1]단가대비표!O1691,0)</f>
        <v>1150000</v>
      </c>
      <c r="H3497" s="5">
        <f t="shared" si="327"/>
        <v>2300000</v>
      </c>
      <c r="I3497" s="5">
        <v>0</v>
      </c>
      <c r="J3497" s="5">
        <f t="shared" si="328"/>
        <v>0</v>
      </c>
      <c r="K3497" s="5">
        <v>0</v>
      </c>
      <c r="L3497" s="5">
        <f t="shared" si="329"/>
        <v>0</v>
      </c>
      <c r="M3497" s="5">
        <f t="shared" si="330"/>
        <v>1150000</v>
      </c>
      <c r="N3497" s="5">
        <f t="shared" si="330"/>
        <v>2300000</v>
      </c>
      <c r="O3497" s="8" t="s">
        <v>20</v>
      </c>
      <c r="T3497">
        <v>0</v>
      </c>
      <c r="AC3497">
        <v>1</v>
      </c>
    </row>
    <row r="3498" spans="1:29" ht="30" customHeight="1" x14ac:dyDescent="0.3">
      <c r="A3498" s="8" t="s">
        <v>3134</v>
      </c>
      <c r="B3498" s="8" t="s">
        <v>3159</v>
      </c>
      <c r="C3498" s="8" t="s">
        <v>3160</v>
      </c>
      <c r="D3498" s="8" t="s">
        <v>3161</v>
      </c>
      <c r="E3498" s="8" t="s">
        <v>476</v>
      </c>
      <c r="F3498" s="9">
        <v>4</v>
      </c>
      <c r="G3498" s="5">
        <f>TRUNC([1]단가대비표!O1692,0)</f>
        <v>4320000</v>
      </c>
      <c r="H3498" s="5">
        <f t="shared" si="327"/>
        <v>17280000</v>
      </c>
      <c r="I3498" s="5">
        <v>0</v>
      </c>
      <c r="J3498" s="5">
        <f t="shared" si="328"/>
        <v>0</v>
      </c>
      <c r="K3498" s="5">
        <v>0</v>
      </c>
      <c r="L3498" s="5">
        <f t="shared" si="329"/>
        <v>0</v>
      </c>
      <c r="M3498" s="5">
        <f t="shared" si="330"/>
        <v>4320000</v>
      </c>
      <c r="N3498" s="5">
        <f t="shared" si="330"/>
        <v>17280000</v>
      </c>
      <c r="O3498" s="8" t="s">
        <v>20</v>
      </c>
      <c r="T3498">
        <v>0</v>
      </c>
      <c r="AC3498">
        <v>1</v>
      </c>
    </row>
    <row r="3499" spans="1:29" ht="30" customHeight="1" x14ac:dyDescent="0.3">
      <c r="A3499" s="5"/>
      <c r="B3499" s="5"/>
      <c r="C3499" s="5"/>
      <c r="D3499" s="5"/>
      <c r="E3499" s="5"/>
      <c r="F3499" s="9"/>
      <c r="G3499" s="5"/>
      <c r="H3499" s="5"/>
      <c r="I3499" s="5"/>
      <c r="J3499" s="5"/>
      <c r="K3499" s="5"/>
      <c r="L3499" s="5"/>
      <c r="M3499" s="5"/>
      <c r="N3499" s="5"/>
      <c r="O3499" s="5"/>
    </row>
    <row r="3500" spans="1:29" ht="30" customHeight="1" x14ac:dyDescent="0.3">
      <c r="A3500" s="5"/>
      <c r="B3500" s="5"/>
      <c r="C3500" s="5"/>
      <c r="D3500" s="5"/>
      <c r="E3500" s="5"/>
      <c r="F3500" s="9"/>
      <c r="G3500" s="5"/>
      <c r="H3500" s="5"/>
      <c r="I3500" s="5"/>
      <c r="J3500" s="5"/>
      <c r="K3500" s="5"/>
      <c r="L3500" s="5"/>
      <c r="M3500" s="5"/>
      <c r="N3500" s="5"/>
      <c r="O3500" s="5"/>
    </row>
    <row r="3501" spans="1:29" ht="30" customHeight="1" x14ac:dyDescent="0.3">
      <c r="A3501" s="5"/>
      <c r="B3501" s="5"/>
      <c r="C3501" s="5"/>
      <c r="D3501" s="5"/>
      <c r="E3501" s="5"/>
      <c r="F3501" s="9"/>
      <c r="G3501" s="5"/>
      <c r="H3501" s="5"/>
      <c r="I3501" s="5"/>
      <c r="J3501" s="5"/>
      <c r="K3501" s="5"/>
      <c r="L3501" s="5"/>
      <c r="M3501" s="5"/>
      <c r="N3501" s="5"/>
      <c r="O3501" s="5"/>
    </row>
    <row r="3502" spans="1:29" ht="30" customHeight="1" x14ac:dyDescent="0.3">
      <c r="A3502" s="5"/>
      <c r="B3502" s="5"/>
      <c r="C3502" s="5"/>
      <c r="D3502" s="5"/>
      <c r="E3502" s="5"/>
      <c r="F3502" s="9"/>
      <c r="G3502" s="5"/>
      <c r="H3502" s="5"/>
      <c r="I3502" s="5"/>
      <c r="J3502" s="5"/>
      <c r="K3502" s="5"/>
      <c r="L3502" s="5"/>
      <c r="M3502" s="5"/>
      <c r="N3502" s="5"/>
      <c r="O3502" s="5"/>
    </row>
    <row r="3503" spans="1:29" ht="30" customHeight="1" x14ac:dyDescent="0.3">
      <c r="A3503" s="5"/>
      <c r="B3503" s="5"/>
      <c r="C3503" s="5"/>
      <c r="D3503" s="5"/>
      <c r="E3503" s="5"/>
      <c r="F3503" s="9"/>
      <c r="G3503" s="5"/>
      <c r="H3503" s="5"/>
      <c r="I3503" s="5"/>
      <c r="J3503" s="5"/>
      <c r="K3503" s="5"/>
      <c r="L3503" s="5"/>
      <c r="M3503" s="5"/>
      <c r="N3503" s="5"/>
      <c r="O3503" s="5"/>
    </row>
    <row r="3504" spans="1:29" ht="30" customHeight="1" x14ac:dyDescent="0.3">
      <c r="A3504" s="5"/>
      <c r="B3504" s="5"/>
      <c r="C3504" s="5"/>
      <c r="D3504" s="5"/>
      <c r="E3504" s="5"/>
      <c r="F3504" s="9"/>
      <c r="G3504" s="5"/>
      <c r="H3504" s="5"/>
      <c r="I3504" s="5"/>
      <c r="J3504" s="5"/>
      <c r="K3504" s="5"/>
      <c r="L3504" s="5"/>
      <c r="M3504" s="5"/>
      <c r="N3504" s="5"/>
      <c r="O3504" s="5"/>
    </row>
    <row r="3505" spans="1:29" ht="30" customHeight="1" x14ac:dyDescent="0.3">
      <c r="A3505" s="5"/>
      <c r="B3505" s="5"/>
      <c r="C3505" s="5"/>
      <c r="D3505" s="5"/>
      <c r="E3505" s="5"/>
      <c r="F3505" s="9"/>
      <c r="G3505" s="5"/>
      <c r="H3505" s="5"/>
      <c r="I3505" s="5"/>
      <c r="J3505" s="5"/>
      <c r="K3505" s="5"/>
      <c r="L3505" s="5"/>
      <c r="M3505" s="5"/>
      <c r="N3505" s="5"/>
      <c r="O3505" s="5"/>
    </row>
    <row r="3506" spans="1:29" ht="30" customHeight="1" x14ac:dyDescent="0.3">
      <c r="A3506" s="5"/>
      <c r="B3506" s="5"/>
      <c r="C3506" s="5"/>
      <c r="D3506" s="5"/>
      <c r="E3506" s="5"/>
      <c r="F3506" s="9"/>
      <c r="G3506" s="5"/>
      <c r="H3506" s="5"/>
      <c r="I3506" s="5"/>
      <c r="J3506" s="5"/>
      <c r="K3506" s="5"/>
      <c r="L3506" s="5"/>
      <c r="M3506" s="5"/>
      <c r="N3506" s="5"/>
      <c r="O3506" s="5"/>
    </row>
    <row r="3507" spans="1:29" ht="30" customHeight="1" x14ac:dyDescent="0.3">
      <c r="A3507" s="5"/>
      <c r="B3507" s="5"/>
      <c r="C3507" s="5"/>
      <c r="D3507" s="5"/>
      <c r="E3507" s="5"/>
      <c r="F3507" s="9"/>
      <c r="G3507" s="5"/>
      <c r="H3507" s="5"/>
      <c r="I3507" s="5"/>
      <c r="J3507" s="5"/>
      <c r="K3507" s="5"/>
      <c r="L3507" s="5"/>
      <c r="M3507" s="5"/>
      <c r="N3507" s="5"/>
      <c r="O3507" s="5"/>
    </row>
    <row r="3508" spans="1:29" ht="30" customHeight="1" x14ac:dyDescent="0.3">
      <c r="A3508" s="5"/>
      <c r="B3508" s="5"/>
      <c r="C3508" s="5"/>
      <c r="D3508" s="5"/>
      <c r="E3508" s="5"/>
      <c r="F3508" s="9"/>
      <c r="G3508" s="5"/>
      <c r="H3508" s="5"/>
      <c r="I3508" s="5"/>
      <c r="J3508" s="5"/>
      <c r="K3508" s="5"/>
      <c r="L3508" s="5"/>
      <c r="M3508" s="5"/>
      <c r="N3508" s="5"/>
      <c r="O3508" s="5"/>
    </row>
    <row r="3509" spans="1:29" ht="30" customHeight="1" x14ac:dyDescent="0.3">
      <c r="A3509" s="5"/>
      <c r="B3509" s="5"/>
      <c r="C3509" s="5"/>
      <c r="D3509" s="5"/>
      <c r="E3509" s="5"/>
      <c r="F3509" s="9"/>
      <c r="G3509" s="5"/>
      <c r="H3509" s="5"/>
      <c r="I3509" s="5"/>
      <c r="J3509" s="5"/>
      <c r="K3509" s="5"/>
      <c r="L3509" s="5"/>
      <c r="M3509" s="5"/>
      <c r="N3509" s="5"/>
      <c r="O3509" s="5"/>
    </row>
    <row r="3510" spans="1:29" ht="30" customHeight="1" x14ac:dyDescent="0.3">
      <c r="A3510" s="5"/>
      <c r="B3510" s="5"/>
      <c r="C3510" s="5"/>
      <c r="D3510" s="5"/>
      <c r="E3510" s="5"/>
      <c r="F3510" s="9"/>
      <c r="G3510" s="5"/>
      <c r="H3510" s="5"/>
      <c r="I3510" s="5"/>
      <c r="J3510" s="5"/>
      <c r="K3510" s="5"/>
      <c r="L3510" s="5"/>
      <c r="M3510" s="5"/>
      <c r="N3510" s="5"/>
      <c r="O3510" s="5"/>
    </row>
    <row r="3511" spans="1:29" ht="30" customHeight="1" x14ac:dyDescent="0.3">
      <c r="A3511" s="5"/>
      <c r="B3511" s="5"/>
      <c r="C3511" s="5"/>
      <c r="D3511" s="5"/>
      <c r="E3511" s="5"/>
      <c r="F3511" s="9"/>
      <c r="G3511" s="5"/>
      <c r="H3511" s="5"/>
      <c r="I3511" s="5"/>
      <c r="J3511" s="5"/>
      <c r="K3511" s="5"/>
      <c r="L3511" s="5"/>
      <c r="M3511" s="5"/>
      <c r="N3511" s="5"/>
      <c r="O3511" s="5"/>
    </row>
    <row r="3512" spans="1:29" ht="30" customHeight="1" x14ac:dyDescent="0.3">
      <c r="A3512" s="5"/>
      <c r="B3512" s="5"/>
      <c r="C3512" s="5"/>
      <c r="D3512" s="5"/>
      <c r="E3512" s="5"/>
      <c r="F3512" s="9"/>
      <c r="G3512" s="5"/>
      <c r="H3512" s="5"/>
      <c r="I3512" s="5"/>
      <c r="J3512" s="5"/>
      <c r="K3512" s="5"/>
      <c r="L3512" s="5"/>
      <c r="M3512" s="5"/>
      <c r="N3512" s="5"/>
      <c r="O3512" s="5"/>
    </row>
    <row r="3513" spans="1:29" ht="30" customHeight="1" x14ac:dyDescent="0.3">
      <c r="A3513" s="5"/>
      <c r="B3513" s="5"/>
      <c r="C3513" s="5" t="s">
        <v>162</v>
      </c>
      <c r="D3513" s="5"/>
      <c r="E3513" s="5"/>
      <c r="F3513" s="9"/>
      <c r="G3513" s="5"/>
      <c r="H3513" s="5">
        <f>SUMIF(AC3489:AC3512, 1, H3489:H3512)</f>
        <v>173296000</v>
      </c>
      <c r="I3513" s="5"/>
      <c r="J3513" s="5">
        <f>SUMIF(AC3489:AC3512, 1, J3489:J3512)</f>
        <v>0</v>
      </c>
      <c r="K3513" s="5"/>
      <c r="L3513" s="5">
        <f>SUMIF(AC3489:AC3512, 1, L3489:L3512)</f>
        <v>0</v>
      </c>
      <c r="M3513" s="5"/>
      <c r="N3513" s="5">
        <f>H3513+J3513+L3513</f>
        <v>173296000</v>
      </c>
      <c r="O3513" s="5"/>
    </row>
    <row r="3514" spans="1:29" ht="30" customHeight="1" x14ac:dyDescent="0.3">
      <c r="A3514" s="5"/>
      <c r="B3514" s="5"/>
      <c r="C3514" s="6" t="s">
        <v>3162</v>
      </c>
      <c r="D3514" s="6"/>
      <c r="E3514" s="6"/>
      <c r="F3514" s="7"/>
      <c r="G3514" s="6"/>
      <c r="H3514" s="6"/>
      <c r="I3514" s="6"/>
      <c r="J3514" s="6"/>
      <c r="K3514" s="6"/>
      <c r="L3514" s="6"/>
      <c r="M3514" s="6"/>
      <c r="N3514" s="6"/>
      <c r="O3514" s="6"/>
    </row>
    <row r="3515" spans="1:29" ht="30" customHeight="1" x14ac:dyDescent="0.3">
      <c r="A3515" s="8" t="s">
        <v>3163</v>
      </c>
      <c r="B3515" s="8" t="s">
        <v>3164</v>
      </c>
      <c r="C3515" s="8" t="s">
        <v>3165</v>
      </c>
      <c r="D3515" s="8" t="s">
        <v>3166</v>
      </c>
      <c r="E3515" s="8" t="s">
        <v>168</v>
      </c>
      <c r="F3515" s="9">
        <v>90</v>
      </c>
      <c r="G3515" s="5">
        <f>TRUNC([1]단가대비표!O1693,0)</f>
        <v>38166</v>
      </c>
      <c r="H3515" s="5">
        <f t="shared" ref="H3515:H3552" si="331">TRUNC(F3515*G3515,0)</f>
        <v>3434940</v>
      </c>
      <c r="I3515" s="5">
        <v>0</v>
      </c>
      <c r="J3515" s="5">
        <f t="shared" ref="J3515:J3552" si="332">TRUNC(F3515*I3515,0)</f>
        <v>0</v>
      </c>
      <c r="K3515" s="5">
        <v>0</v>
      </c>
      <c r="L3515" s="5">
        <f t="shared" ref="L3515:L3552" si="333">TRUNC(F3515*K3515,0)</f>
        <v>0</v>
      </c>
      <c r="M3515" s="5">
        <f t="shared" ref="M3515:N3552" si="334">G3515+I3515+K3515</f>
        <v>38166</v>
      </c>
      <c r="N3515" s="5">
        <f t="shared" si="334"/>
        <v>3434940</v>
      </c>
      <c r="O3515" s="8" t="s">
        <v>20</v>
      </c>
      <c r="T3515">
        <v>0</v>
      </c>
      <c r="AC3515">
        <v>1</v>
      </c>
    </row>
    <row r="3516" spans="1:29" ht="30" customHeight="1" x14ac:dyDescent="0.3">
      <c r="A3516" s="8" t="s">
        <v>3163</v>
      </c>
      <c r="B3516" s="8" t="s">
        <v>3167</v>
      </c>
      <c r="C3516" s="8" t="s">
        <v>3165</v>
      </c>
      <c r="D3516" s="8" t="s">
        <v>3168</v>
      </c>
      <c r="E3516" s="8" t="s">
        <v>168</v>
      </c>
      <c r="F3516" s="9">
        <v>140</v>
      </c>
      <c r="G3516" s="5">
        <f>TRUNC([1]단가대비표!O1694,0)</f>
        <v>45273</v>
      </c>
      <c r="H3516" s="5">
        <f t="shared" si="331"/>
        <v>6338220</v>
      </c>
      <c r="I3516" s="5">
        <v>0</v>
      </c>
      <c r="J3516" s="5">
        <f t="shared" si="332"/>
        <v>0</v>
      </c>
      <c r="K3516" s="5">
        <v>0</v>
      </c>
      <c r="L3516" s="5">
        <f t="shared" si="333"/>
        <v>0</v>
      </c>
      <c r="M3516" s="5">
        <f t="shared" si="334"/>
        <v>45273</v>
      </c>
      <c r="N3516" s="5">
        <f t="shared" si="334"/>
        <v>6338220</v>
      </c>
      <c r="O3516" s="8" t="s">
        <v>20</v>
      </c>
      <c r="T3516">
        <v>0</v>
      </c>
      <c r="AC3516">
        <v>1</v>
      </c>
    </row>
    <row r="3517" spans="1:29" ht="30" customHeight="1" x14ac:dyDescent="0.3">
      <c r="A3517" s="8" t="s">
        <v>3163</v>
      </c>
      <c r="B3517" s="8" t="s">
        <v>3169</v>
      </c>
      <c r="C3517" s="8" t="s">
        <v>3165</v>
      </c>
      <c r="D3517" s="8" t="s">
        <v>3170</v>
      </c>
      <c r="E3517" s="8" t="s">
        <v>168</v>
      </c>
      <c r="F3517" s="9">
        <v>70</v>
      </c>
      <c r="G3517" s="5">
        <f>TRUNC([1]단가대비표!O1695,0)</f>
        <v>31125</v>
      </c>
      <c r="H3517" s="5">
        <f t="shared" si="331"/>
        <v>2178750</v>
      </c>
      <c r="I3517" s="5">
        <v>0</v>
      </c>
      <c r="J3517" s="5">
        <f t="shared" si="332"/>
        <v>0</v>
      </c>
      <c r="K3517" s="5">
        <v>0</v>
      </c>
      <c r="L3517" s="5">
        <f t="shared" si="333"/>
        <v>0</v>
      </c>
      <c r="M3517" s="5">
        <f t="shared" si="334"/>
        <v>31125</v>
      </c>
      <c r="N3517" s="5">
        <f t="shared" si="334"/>
        <v>2178750</v>
      </c>
      <c r="O3517" s="8" t="s">
        <v>20</v>
      </c>
      <c r="T3517">
        <v>0</v>
      </c>
      <c r="AC3517">
        <v>1</v>
      </c>
    </row>
    <row r="3518" spans="1:29" ht="30" customHeight="1" x14ac:dyDescent="0.3">
      <c r="A3518" s="8" t="s">
        <v>3163</v>
      </c>
      <c r="B3518" s="8" t="s">
        <v>3171</v>
      </c>
      <c r="C3518" s="8" t="s">
        <v>3165</v>
      </c>
      <c r="D3518" s="8" t="s">
        <v>3172</v>
      </c>
      <c r="E3518" s="8" t="s">
        <v>168</v>
      </c>
      <c r="F3518" s="9">
        <v>30</v>
      </c>
      <c r="G3518" s="5">
        <f>TRUNC([1]단가대비표!O1696,0)</f>
        <v>24056</v>
      </c>
      <c r="H3518" s="5">
        <f t="shared" si="331"/>
        <v>721680</v>
      </c>
      <c r="I3518" s="5">
        <v>0</v>
      </c>
      <c r="J3518" s="5">
        <f t="shared" si="332"/>
        <v>0</v>
      </c>
      <c r="K3518" s="5">
        <v>0</v>
      </c>
      <c r="L3518" s="5">
        <f t="shared" si="333"/>
        <v>0</v>
      </c>
      <c r="M3518" s="5">
        <f t="shared" si="334"/>
        <v>24056</v>
      </c>
      <c r="N3518" s="5">
        <f t="shared" si="334"/>
        <v>721680</v>
      </c>
      <c r="O3518" s="8" t="s">
        <v>20</v>
      </c>
      <c r="T3518">
        <v>0</v>
      </c>
      <c r="AC3518">
        <v>1</v>
      </c>
    </row>
    <row r="3519" spans="1:29" ht="30" customHeight="1" x14ac:dyDescent="0.3">
      <c r="A3519" s="8" t="s">
        <v>3163</v>
      </c>
      <c r="B3519" s="8" t="s">
        <v>3173</v>
      </c>
      <c r="C3519" s="8" t="s">
        <v>3165</v>
      </c>
      <c r="D3519" s="8" t="s">
        <v>3174</v>
      </c>
      <c r="E3519" s="8" t="s">
        <v>168</v>
      </c>
      <c r="F3519" s="9">
        <v>15</v>
      </c>
      <c r="G3519" s="5">
        <f>TRUNC([1]단가대비표!O1697,0)</f>
        <v>11113</v>
      </c>
      <c r="H3519" s="5">
        <f t="shared" si="331"/>
        <v>166695</v>
      </c>
      <c r="I3519" s="5">
        <v>0</v>
      </c>
      <c r="J3519" s="5">
        <f t="shared" si="332"/>
        <v>0</v>
      </c>
      <c r="K3519" s="5">
        <v>0</v>
      </c>
      <c r="L3519" s="5">
        <f t="shared" si="333"/>
        <v>0</v>
      </c>
      <c r="M3519" s="5">
        <f t="shared" si="334"/>
        <v>11113</v>
      </c>
      <c r="N3519" s="5">
        <f t="shared" si="334"/>
        <v>166695</v>
      </c>
      <c r="O3519" s="8" t="s">
        <v>20</v>
      </c>
      <c r="T3519">
        <v>0</v>
      </c>
      <c r="AC3519">
        <v>1</v>
      </c>
    </row>
    <row r="3520" spans="1:29" ht="30" customHeight="1" x14ac:dyDescent="0.3">
      <c r="A3520" s="8" t="s">
        <v>3163</v>
      </c>
      <c r="B3520" s="8" t="s">
        <v>3175</v>
      </c>
      <c r="C3520" s="8" t="s">
        <v>252</v>
      </c>
      <c r="D3520" s="8" t="s">
        <v>1594</v>
      </c>
      <c r="E3520" s="8" t="s">
        <v>179</v>
      </c>
      <c r="F3520" s="9">
        <v>41</v>
      </c>
      <c r="G3520" s="5">
        <f>TRUNC([1]단가대비표!O1698,0)</f>
        <v>88870</v>
      </c>
      <c r="H3520" s="5">
        <f t="shared" si="331"/>
        <v>3643670</v>
      </c>
      <c r="I3520" s="5">
        <v>0</v>
      </c>
      <c r="J3520" s="5">
        <f t="shared" si="332"/>
        <v>0</v>
      </c>
      <c r="K3520" s="5">
        <v>0</v>
      </c>
      <c r="L3520" s="5">
        <f t="shared" si="333"/>
        <v>0</v>
      </c>
      <c r="M3520" s="5">
        <f t="shared" si="334"/>
        <v>88870</v>
      </c>
      <c r="N3520" s="5">
        <f t="shared" si="334"/>
        <v>3643670</v>
      </c>
      <c r="O3520" s="8" t="s">
        <v>20</v>
      </c>
      <c r="T3520">
        <v>0</v>
      </c>
      <c r="AC3520">
        <v>1</v>
      </c>
    </row>
    <row r="3521" spans="1:29" ht="30" customHeight="1" x14ac:dyDescent="0.3">
      <c r="A3521" s="8" t="s">
        <v>3163</v>
      </c>
      <c r="B3521" s="8" t="s">
        <v>3176</v>
      </c>
      <c r="C3521" s="8" t="s">
        <v>252</v>
      </c>
      <c r="D3521" s="8" t="s">
        <v>3177</v>
      </c>
      <c r="E3521" s="8" t="s">
        <v>179</v>
      </c>
      <c r="F3521" s="9">
        <v>19</v>
      </c>
      <c r="G3521" s="5">
        <f>TRUNC([1]단가대비표!O1699,0)</f>
        <v>27320</v>
      </c>
      <c r="H3521" s="5">
        <f t="shared" si="331"/>
        <v>519080</v>
      </c>
      <c r="I3521" s="5">
        <v>0</v>
      </c>
      <c r="J3521" s="5">
        <f t="shared" si="332"/>
        <v>0</v>
      </c>
      <c r="K3521" s="5">
        <v>0</v>
      </c>
      <c r="L3521" s="5">
        <f t="shared" si="333"/>
        <v>0</v>
      </c>
      <c r="M3521" s="5">
        <f t="shared" si="334"/>
        <v>27320</v>
      </c>
      <c r="N3521" s="5">
        <f t="shared" si="334"/>
        <v>519080</v>
      </c>
      <c r="O3521" s="8" t="s">
        <v>20</v>
      </c>
      <c r="T3521">
        <v>0</v>
      </c>
      <c r="AC3521">
        <v>1</v>
      </c>
    </row>
    <row r="3522" spans="1:29" ht="30" customHeight="1" x14ac:dyDescent="0.3">
      <c r="A3522" s="8" t="s">
        <v>3163</v>
      </c>
      <c r="B3522" s="8" t="s">
        <v>3178</v>
      </c>
      <c r="C3522" s="8" t="s">
        <v>252</v>
      </c>
      <c r="D3522" s="8" t="s">
        <v>1592</v>
      </c>
      <c r="E3522" s="8" t="s">
        <v>179</v>
      </c>
      <c r="F3522" s="9">
        <v>2</v>
      </c>
      <c r="G3522" s="5">
        <f>TRUNC([1]단가대비표!O1700,0)</f>
        <v>36630</v>
      </c>
      <c r="H3522" s="5">
        <f t="shared" si="331"/>
        <v>73260</v>
      </c>
      <c r="I3522" s="5">
        <v>0</v>
      </c>
      <c r="J3522" s="5">
        <f t="shared" si="332"/>
        <v>0</v>
      </c>
      <c r="K3522" s="5">
        <v>0</v>
      </c>
      <c r="L3522" s="5">
        <f t="shared" si="333"/>
        <v>0</v>
      </c>
      <c r="M3522" s="5">
        <f t="shared" si="334"/>
        <v>36630</v>
      </c>
      <c r="N3522" s="5">
        <f t="shared" si="334"/>
        <v>73260</v>
      </c>
      <c r="O3522" s="8" t="s">
        <v>20</v>
      </c>
      <c r="T3522">
        <v>0</v>
      </c>
      <c r="AC3522">
        <v>1</v>
      </c>
    </row>
    <row r="3523" spans="1:29" ht="30" customHeight="1" x14ac:dyDescent="0.3">
      <c r="A3523" s="8" t="s">
        <v>3163</v>
      </c>
      <c r="B3523" s="8" t="s">
        <v>3179</v>
      </c>
      <c r="C3523" s="8" t="s">
        <v>252</v>
      </c>
      <c r="D3523" s="8" t="s">
        <v>1590</v>
      </c>
      <c r="E3523" s="8" t="s">
        <v>179</v>
      </c>
      <c r="F3523" s="9">
        <v>2</v>
      </c>
      <c r="G3523" s="5">
        <f>TRUNC([1]단가대비표!O1701,0)</f>
        <v>22000</v>
      </c>
      <c r="H3523" s="5">
        <f t="shared" si="331"/>
        <v>44000</v>
      </c>
      <c r="I3523" s="5">
        <v>0</v>
      </c>
      <c r="J3523" s="5">
        <f t="shared" si="332"/>
        <v>0</v>
      </c>
      <c r="K3523" s="5">
        <v>0</v>
      </c>
      <c r="L3523" s="5">
        <f t="shared" si="333"/>
        <v>0</v>
      </c>
      <c r="M3523" s="5">
        <f t="shared" si="334"/>
        <v>22000</v>
      </c>
      <c r="N3523" s="5">
        <f t="shared" si="334"/>
        <v>44000</v>
      </c>
      <c r="O3523" s="8" t="s">
        <v>20</v>
      </c>
      <c r="T3523">
        <v>0</v>
      </c>
      <c r="AC3523">
        <v>1</v>
      </c>
    </row>
    <row r="3524" spans="1:29" ht="30" customHeight="1" x14ac:dyDescent="0.3">
      <c r="A3524" s="8" t="s">
        <v>3163</v>
      </c>
      <c r="B3524" s="8" t="s">
        <v>3180</v>
      </c>
      <c r="C3524" s="8" t="s">
        <v>252</v>
      </c>
      <c r="D3524" s="8" t="s">
        <v>3181</v>
      </c>
      <c r="E3524" s="8" t="s">
        <v>179</v>
      </c>
      <c r="F3524" s="9">
        <v>4</v>
      </c>
      <c r="G3524" s="5">
        <f>TRUNC([1]단가대비표!O1702,0)</f>
        <v>2500</v>
      </c>
      <c r="H3524" s="5">
        <f t="shared" si="331"/>
        <v>10000</v>
      </c>
      <c r="I3524" s="5">
        <v>0</v>
      </c>
      <c r="J3524" s="5">
        <f t="shared" si="332"/>
        <v>0</v>
      </c>
      <c r="K3524" s="5">
        <v>0</v>
      </c>
      <c r="L3524" s="5">
        <f t="shared" si="333"/>
        <v>0</v>
      </c>
      <c r="M3524" s="5">
        <f t="shared" si="334"/>
        <v>2500</v>
      </c>
      <c r="N3524" s="5">
        <f t="shared" si="334"/>
        <v>10000</v>
      </c>
      <c r="O3524" s="8" t="s">
        <v>20</v>
      </c>
      <c r="T3524">
        <v>0</v>
      </c>
      <c r="AC3524">
        <v>1</v>
      </c>
    </row>
    <row r="3525" spans="1:29" ht="30" customHeight="1" x14ac:dyDescent="0.3">
      <c r="A3525" s="8" t="s">
        <v>3163</v>
      </c>
      <c r="B3525" s="8" t="s">
        <v>3182</v>
      </c>
      <c r="C3525" s="8" t="s">
        <v>252</v>
      </c>
      <c r="D3525" s="8" t="s">
        <v>3183</v>
      </c>
      <c r="E3525" s="8" t="s">
        <v>179</v>
      </c>
      <c r="F3525" s="9">
        <v>7</v>
      </c>
      <c r="G3525" s="5">
        <f>TRUNC([1]단가대비표!O1703,0)</f>
        <v>110100</v>
      </c>
      <c r="H3525" s="5">
        <f t="shared" si="331"/>
        <v>770700</v>
      </c>
      <c r="I3525" s="5">
        <v>0</v>
      </c>
      <c r="J3525" s="5">
        <f t="shared" si="332"/>
        <v>0</v>
      </c>
      <c r="K3525" s="5">
        <v>0</v>
      </c>
      <c r="L3525" s="5">
        <f t="shared" si="333"/>
        <v>0</v>
      </c>
      <c r="M3525" s="5">
        <f t="shared" si="334"/>
        <v>110100</v>
      </c>
      <c r="N3525" s="5">
        <f t="shared" si="334"/>
        <v>770700</v>
      </c>
      <c r="O3525" s="8" t="s">
        <v>20</v>
      </c>
      <c r="T3525">
        <v>0</v>
      </c>
      <c r="AC3525">
        <v>1</v>
      </c>
    </row>
    <row r="3526" spans="1:29" ht="30" customHeight="1" x14ac:dyDescent="0.3">
      <c r="A3526" s="8" t="s">
        <v>3163</v>
      </c>
      <c r="B3526" s="8" t="s">
        <v>3184</v>
      </c>
      <c r="C3526" s="8" t="s">
        <v>252</v>
      </c>
      <c r="D3526" s="8" t="s">
        <v>3185</v>
      </c>
      <c r="E3526" s="8" t="s">
        <v>179</v>
      </c>
      <c r="F3526" s="9">
        <v>3</v>
      </c>
      <c r="G3526" s="5">
        <f>TRUNC([1]단가대비표!O1704,0)</f>
        <v>79980</v>
      </c>
      <c r="H3526" s="5">
        <f t="shared" si="331"/>
        <v>239940</v>
      </c>
      <c r="I3526" s="5">
        <v>0</v>
      </c>
      <c r="J3526" s="5">
        <f t="shared" si="332"/>
        <v>0</v>
      </c>
      <c r="K3526" s="5">
        <v>0</v>
      </c>
      <c r="L3526" s="5">
        <f t="shared" si="333"/>
        <v>0</v>
      </c>
      <c r="M3526" s="5">
        <f t="shared" si="334"/>
        <v>79980</v>
      </c>
      <c r="N3526" s="5">
        <f t="shared" si="334"/>
        <v>239940</v>
      </c>
      <c r="O3526" s="8" t="s">
        <v>20</v>
      </c>
      <c r="T3526">
        <v>0</v>
      </c>
      <c r="AC3526">
        <v>1</v>
      </c>
    </row>
    <row r="3527" spans="1:29" ht="30" customHeight="1" x14ac:dyDescent="0.3">
      <c r="A3527" s="8" t="s">
        <v>3163</v>
      </c>
      <c r="B3527" s="8" t="s">
        <v>3186</v>
      </c>
      <c r="C3527" s="8" t="s">
        <v>252</v>
      </c>
      <c r="D3527" s="8" t="s">
        <v>3187</v>
      </c>
      <c r="E3527" s="8" t="s">
        <v>179</v>
      </c>
      <c r="F3527" s="9">
        <v>16</v>
      </c>
      <c r="G3527" s="5">
        <f>TRUNC([1]단가대비표!O1705,0)</f>
        <v>52310</v>
      </c>
      <c r="H3527" s="5">
        <f t="shared" si="331"/>
        <v>836960</v>
      </c>
      <c r="I3527" s="5">
        <v>0</v>
      </c>
      <c r="J3527" s="5">
        <f t="shared" si="332"/>
        <v>0</v>
      </c>
      <c r="K3527" s="5">
        <v>0</v>
      </c>
      <c r="L3527" s="5">
        <f t="shared" si="333"/>
        <v>0</v>
      </c>
      <c r="M3527" s="5">
        <f t="shared" si="334"/>
        <v>52310</v>
      </c>
      <c r="N3527" s="5">
        <f t="shared" si="334"/>
        <v>836960</v>
      </c>
      <c r="O3527" s="8" t="s">
        <v>20</v>
      </c>
      <c r="T3527">
        <v>0</v>
      </c>
      <c r="AC3527">
        <v>1</v>
      </c>
    </row>
    <row r="3528" spans="1:29" ht="30" customHeight="1" x14ac:dyDescent="0.3">
      <c r="A3528" s="8" t="s">
        <v>3163</v>
      </c>
      <c r="B3528" s="8" t="s">
        <v>3188</v>
      </c>
      <c r="C3528" s="8" t="s">
        <v>252</v>
      </c>
      <c r="D3528" s="8" t="s">
        <v>3189</v>
      </c>
      <c r="E3528" s="8" t="s">
        <v>179</v>
      </c>
      <c r="F3528" s="9">
        <v>4</v>
      </c>
      <c r="G3528" s="5">
        <f>TRUNC([1]단가대비표!O1706,0)</f>
        <v>34510</v>
      </c>
      <c r="H3528" s="5">
        <f t="shared" si="331"/>
        <v>138040</v>
      </c>
      <c r="I3528" s="5">
        <v>0</v>
      </c>
      <c r="J3528" s="5">
        <f t="shared" si="332"/>
        <v>0</v>
      </c>
      <c r="K3528" s="5">
        <v>0</v>
      </c>
      <c r="L3528" s="5">
        <f t="shared" si="333"/>
        <v>0</v>
      </c>
      <c r="M3528" s="5">
        <f t="shared" si="334"/>
        <v>34510</v>
      </c>
      <c r="N3528" s="5">
        <f t="shared" si="334"/>
        <v>138040</v>
      </c>
      <c r="O3528" s="8" t="s">
        <v>20</v>
      </c>
      <c r="T3528">
        <v>0</v>
      </c>
      <c r="AC3528">
        <v>1</v>
      </c>
    </row>
    <row r="3529" spans="1:29" ht="30" customHeight="1" x14ac:dyDescent="0.3">
      <c r="A3529" s="8" t="s">
        <v>3163</v>
      </c>
      <c r="B3529" s="8" t="s">
        <v>3190</v>
      </c>
      <c r="C3529" s="8" t="s">
        <v>3191</v>
      </c>
      <c r="D3529" s="8" t="s">
        <v>3192</v>
      </c>
      <c r="E3529" s="8" t="s">
        <v>179</v>
      </c>
      <c r="F3529" s="9">
        <v>10</v>
      </c>
      <c r="G3529" s="5">
        <f>TRUNC([1]단가대비표!O1707,0)</f>
        <v>35000</v>
      </c>
      <c r="H3529" s="5">
        <f t="shared" si="331"/>
        <v>350000</v>
      </c>
      <c r="I3529" s="5">
        <v>0</v>
      </c>
      <c r="J3529" s="5">
        <f t="shared" si="332"/>
        <v>0</v>
      </c>
      <c r="K3529" s="5">
        <v>0</v>
      </c>
      <c r="L3529" s="5">
        <f t="shared" si="333"/>
        <v>0</v>
      </c>
      <c r="M3529" s="5">
        <f t="shared" si="334"/>
        <v>35000</v>
      </c>
      <c r="N3529" s="5">
        <f t="shared" si="334"/>
        <v>350000</v>
      </c>
      <c r="O3529" s="8" t="s">
        <v>20</v>
      </c>
      <c r="T3529">
        <v>0</v>
      </c>
      <c r="AC3529">
        <v>1</v>
      </c>
    </row>
    <row r="3530" spans="1:29" ht="30" customHeight="1" x14ac:dyDescent="0.3">
      <c r="A3530" s="8" t="s">
        <v>3163</v>
      </c>
      <c r="B3530" s="8" t="s">
        <v>3193</v>
      </c>
      <c r="C3530" s="8" t="s">
        <v>391</v>
      </c>
      <c r="D3530" s="8" t="s">
        <v>398</v>
      </c>
      <c r="E3530" s="8" t="s">
        <v>179</v>
      </c>
      <c r="F3530" s="9">
        <v>16</v>
      </c>
      <c r="G3530" s="5">
        <f>TRUNC([1]단가대비표!O1708,0)</f>
        <v>188800</v>
      </c>
      <c r="H3530" s="5">
        <f t="shared" si="331"/>
        <v>3020800</v>
      </c>
      <c r="I3530" s="5">
        <v>0</v>
      </c>
      <c r="J3530" s="5">
        <f t="shared" si="332"/>
        <v>0</v>
      </c>
      <c r="K3530" s="5">
        <v>0</v>
      </c>
      <c r="L3530" s="5">
        <f t="shared" si="333"/>
        <v>0</v>
      </c>
      <c r="M3530" s="5">
        <f t="shared" si="334"/>
        <v>188800</v>
      </c>
      <c r="N3530" s="5">
        <f t="shared" si="334"/>
        <v>3020800</v>
      </c>
      <c r="O3530" s="8" t="s">
        <v>20</v>
      </c>
      <c r="T3530">
        <v>0</v>
      </c>
      <c r="AC3530">
        <v>1</v>
      </c>
    </row>
    <row r="3531" spans="1:29" ht="30" customHeight="1" x14ac:dyDescent="0.3">
      <c r="A3531" s="8" t="s">
        <v>3163</v>
      </c>
      <c r="B3531" s="8" t="s">
        <v>3194</v>
      </c>
      <c r="C3531" s="8" t="s">
        <v>391</v>
      </c>
      <c r="D3531" s="8" t="s">
        <v>396</v>
      </c>
      <c r="E3531" s="8" t="s">
        <v>179</v>
      </c>
      <c r="F3531" s="9">
        <v>10</v>
      </c>
      <c r="G3531" s="5">
        <f>TRUNC([1]단가대비표!O1709,0)</f>
        <v>160000</v>
      </c>
      <c r="H3531" s="5">
        <f t="shared" si="331"/>
        <v>1600000</v>
      </c>
      <c r="I3531" s="5">
        <v>0</v>
      </c>
      <c r="J3531" s="5">
        <f t="shared" si="332"/>
        <v>0</v>
      </c>
      <c r="K3531" s="5">
        <v>0</v>
      </c>
      <c r="L3531" s="5">
        <f t="shared" si="333"/>
        <v>0</v>
      </c>
      <c r="M3531" s="5">
        <f t="shared" si="334"/>
        <v>160000</v>
      </c>
      <c r="N3531" s="5">
        <f t="shared" si="334"/>
        <v>1600000</v>
      </c>
      <c r="O3531" s="8" t="s">
        <v>20</v>
      </c>
      <c r="T3531">
        <v>0</v>
      </c>
      <c r="AC3531">
        <v>1</v>
      </c>
    </row>
    <row r="3532" spans="1:29" ht="30" customHeight="1" x14ac:dyDescent="0.3">
      <c r="A3532" s="8" t="s">
        <v>3163</v>
      </c>
      <c r="B3532" s="8" t="s">
        <v>3195</v>
      </c>
      <c r="C3532" s="8" t="s">
        <v>391</v>
      </c>
      <c r="D3532" s="8" t="s">
        <v>626</v>
      </c>
      <c r="E3532" s="8" t="s">
        <v>179</v>
      </c>
      <c r="F3532" s="9">
        <v>46</v>
      </c>
      <c r="G3532" s="5">
        <f>TRUNC([1]단가대비표!O1710,0)</f>
        <v>132000</v>
      </c>
      <c r="H3532" s="5">
        <f t="shared" si="331"/>
        <v>6072000</v>
      </c>
      <c r="I3532" s="5">
        <v>0</v>
      </c>
      <c r="J3532" s="5">
        <f t="shared" si="332"/>
        <v>0</v>
      </c>
      <c r="K3532" s="5">
        <v>0</v>
      </c>
      <c r="L3532" s="5">
        <f t="shared" si="333"/>
        <v>0</v>
      </c>
      <c r="M3532" s="5">
        <f t="shared" si="334"/>
        <v>132000</v>
      </c>
      <c r="N3532" s="5">
        <f t="shared" si="334"/>
        <v>6072000</v>
      </c>
      <c r="O3532" s="8" t="s">
        <v>20</v>
      </c>
      <c r="T3532">
        <v>0</v>
      </c>
      <c r="AC3532">
        <v>1</v>
      </c>
    </row>
    <row r="3533" spans="1:29" ht="30" customHeight="1" x14ac:dyDescent="0.3">
      <c r="A3533" s="8" t="s">
        <v>3163</v>
      </c>
      <c r="B3533" s="8" t="s">
        <v>3196</v>
      </c>
      <c r="C3533" s="8" t="s">
        <v>391</v>
      </c>
      <c r="D3533" s="8" t="s">
        <v>394</v>
      </c>
      <c r="E3533" s="8" t="s">
        <v>179</v>
      </c>
      <c r="F3533" s="9">
        <v>12</v>
      </c>
      <c r="G3533" s="5">
        <f>TRUNC([1]단가대비표!O1711,0)</f>
        <v>105600</v>
      </c>
      <c r="H3533" s="5">
        <f t="shared" si="331"/>
        <v>1267200</v>
      </c>
      <c r="I3533" s="5">
        <v>0</v>
      </c>
      <c r="J3533" s="5">
        <f t="shared" si="332"/>
        <v>0</v>
      </c>
      <c r="K3533" s="5">
        <v>0</v>
      </c>
      <c r="L3533" s="5">
        <f t="shared" si="333"/>
        <v>0</v>
      </c>
      <c r="M3533" s="5">
        <f t="shared" si="334"/>
        <v>105600</v>
      </c>
      <c r="N3533" s="5">
        <f t="shared" si="334"/>
        <v>1267200</v>
      </c>
      <c r="O3533" s="8" t="s">
        <v>20</v>
      </c>
      <c r="T3533">
        <v>0</v>
      </c>
      <c r="AC3533">
        <v>1</v>
      </c>
    </row>
    <row r="3534" spans="1:29" ht="30" customHeight="1" x14ac:dyDescent="0.3">
      <c r="A3534" s="8" t="s">
        <v>3163</v>
      </c>
      <c r="B3534" s="8" t="s">
        <v>3197</v>
      </c>
      <c r="C3534" s="8" t="s">
        <v>615</v>
      </c>
      <c r="D3534" s="8" t="s">
        <v>3198</v>
      </c>
      <c r="E3534" s="8" t="s">
        <v>179</v>
      </c>
      <c r="F3534" s="9">
        <v>2</v>
      </c>
      <c r="G3534" s="5">
        <f>TRUNC([1]단가대비표!O1712,0)</f>
        <v>11019</v>
      </c>
      <c r="H3534" s="5">
        <f t="shared" si="331"/>
        <v>22038</v>
      </c>
      <c r="I3534" s="5">
        <v>0</v>
      </c>
      <c r="J3534" s="5">
        <f t="shared" si="332"/>
        <v>0</v>
      </c>
      <c r="K3534" s="5">
        <v>0</v>
      </c>
      <c r="L3534" s="5">
        <f t="shared" si="333"/>
        <v>0</v>
      </c>
      <c r="M3534" s="5">
        <f t="shared" si="334"/>
        <v>11019</v>
      </c>
      <c r="N3534" s="5">
        <f t="shared" si="334"/>
        <v>22038</v>
      </c>
      <c r="O3534" s="8" t="s">
        <v>20</v>
      </c>
      <c r="T3534">
        <v>0</v>
      </c>
      <c r="AC3534">
        <v>1</v>
      </c>
    </row>
    <row r="3535" spans="1:29" ht="30" customHeight="1" x14ac:dyDescent="0.3">
      <c r="A3535" s="8" t="s">
        <v>3163</v>
      </c>
      <c r="B3535" s="8" t="s">
        <v>3199</v>
      </c>
      <c r="C3535" s="8" t="s">
        <v>615</v>
      </c>
      <c r="D3535" s="8" t="s">
        <v>3200</v>
      </c>
      <c r="E3535" s="8" t="s">
        <v>179</v>
      </c>
      <c r="F3535" s="9">
        <v>1</v>
      </c>
      <c r="G3535" s="5">
        <f>TRUNC([1]단가대비표!O1713,0)</f>
        <v>101402</v>
      </c>
      <c r="H3535" s="5">
        <f t="shared" si="331"/>
        <v>101402</v>
      </c>
      <c r="I3535" s="5">
        <v>0</v>
      </c>
      <c r="J3535" s="5">
        <f t="shared" si="332"/>
        <v>0</v>
      </c>
      <c r="K3535" s="5">
        <v>0</v>
      </c>
      <c r="L3535" s="5">
        <f t="shared" si="333"/>
        <v>0</v>
      </c>
      <c r="M3535" s="5">
        <f t="shared" si="334"/>
        <v>101402</v>
      </c>
      <c r="N3535" s="5">
        <f t="shared" si="334"/>
        <v>101402</v>
      </c>
      <c r="O3535" s="8" t="s">
        <v>20</v>
      </c>
      <c r="T3535">
        <v>0</v>
      </c>
      <c r="AC3535">
        <v>1</v>
      </c>
    </row>
    <row r="3536" spans="1:29" ht="30" customHeight="1" x14ac:dyDescent="0.3">
      <c r="A3536" s="8" t="s">
        <v>3163</v>
      </c>
      <c r="B3536" s="8" t="s">
        <v>3201</v>
      </c>
      <c r="C3536" s="8" t="s">
        <v>615</v>
      </c>
      <c r="D3536" s="8" t="s">
        <v>3202</v>
      </c>
      <c r="E3536" s="8" t="s">
        <v>179</v>
      </c>
      <c r="F3536" s="9">
        <v>4</v>
      </c>
      <c r="G3536" s="5">
        <f>TRUNC([1]단가대비표!O1714,0)</f>
        <v>101402</v>
      </c>
      <c r="H3536" s="5">
        <f t="shared" si="331"/>
        <v>405608</v>
      </c>
      <c r="I3536" s="5">
        <v>0</v>
      </c>
      <c r="J3536" s="5">
        <f t="shared" si="332"/>
        <v>0</v>
      </c>
      <c r="K3536" s="5">
        <v>0</v>
      </c>
      <c r="L3536" s="5">
        <f t="shared" si="333"/>
        <v>0</v>
      </c>
      <c r="M3536" s="5">
        <f t="shared" si="334"/>
        <v>101402</v>
      </c>
      <c r="N3536" s="5">
        <f t="shared" si="334"/>
        <v>405608</v>
      </c>
      <c r="O3536" s="8" t="s">
        <v>20</v>
      </c>
      <c r="T3536">
        <v>0</v>
      </c>
      <c r="AC3536">
        <v>1</v>
      </c>
    </row>
    <row r="3537" spans="1:29" ht="30" customHeight="1" x14ac:dyDescent="0.3">
      <c r="A3537" s="8" t="s">
        <v>3163</v>
      </c>
      <c r="B3537" s="8" t="s">
        <v>3203</v>
      </c>
      <c r="C3537" s="8" t="s">
        <v>421</v>
      </c>
      <c r="D3537" s="8" t="s">
        <v>3204</v>
      </c>
      <c r="E3537" s="8" t="s">
        <v>179</v>
      </c>
      <c r="F3537" s="9">
        <v>8</v>
      </c>
      <c r="G3537" s="5">
        <f>TRUNC([1]단가대비표!O1715,0)</f>
        <v>118646</v>
      </c>
      <c r="H3537" s="5">
        <f t="shared" si="331"/>
        <v>949168</v>
      </c>
      <c r="I3537" s="5">
        <v>0</v>
      </c>
      <c r="J3537" s="5">
        <f t="shared" si="332"/>
        <v>0</v>
      </c>
      <c r="K3537" s="5">
        <v>0</v>
      </c>
      <c r="L3537" s="5">
        <f t="shared" si="333"/>
        <v>0</v>
      </c>
      <c r="M3537" s="5">
        <f t="shared" si="334"/>
        <v>118646</v>
      </c>
      <c r="N3537" s="5">
        <f t="shared" si="334"/>
        <v>949168</v>
      </c>
      <c r="O3537" s="8" t="s">
        <v>20</v>
      </c>
      <c r="T3537">
        <v>0</v>
      </c>
      <c r="AC3537">
        <v>1</v>
      </c>
    </row>
    <row r="3538" spans="1:29" ht="30" customHeight="1" x14ac:dyDescent="0.3">
      <c r="A3538" s="8" t="s">
        <v>3163</v>
      </c>
      <c r="B3538" s="8" t="s">
        <v>3205</v>
      </c>
      <c r="C3538" s="8" t="s">
        <v>421</v>
      </c>
      <c r="D3538" s="8" t="s">
        <v>424</v>
      </c>
      <c r="E3538" s="8" t="s">
        <v>179</v>
      </c>
      <c r="F3538" s="9">
        <v>4</v>
      </c>
      <c r="G3538" s="5">
        <f>TRUNC([1]단가대비표!O1716,0)</f>
        <v>94114</v>
      </c>
      <c r="H3538" s="5">
        <f t="shared" si="331"/>
        <v>376456</v>
      </c>
      <c r="I3538" s="5">
        <v>0</v>
      </c>
      <c r="J3538" s="5">
        <f t="shared" si="332"/>
        <v>0</v>
      </c>
      <c r="K3538" s="5">
        <v>0</v>
      </c>
      <c r="L3538" s="5">
        <f t="shared" si="333"/>
        <v>0</v>
      </c>
      <c r="M3538" s="5">
        <f t="shared" si="334"/>
        <v>94114</v>
      </c>
      <c r="N3538" s="5">
        <f t="shared" si="334"/>
        <v>376456</v>
      </c>
      <c r="O3538" s="8" t="s">
        <v>20</v>
      </c>
      <c r="T3538">
        <v>0</v>
      </c>
      <c r="AC3538">
        <v>1</v>
      </c>
    </row>
    <row r="3539" spans="1:29" ht="30" customHeight="1" x14ac:dyDescent="0.3">
      <c r="A3539" s="8" t="s">
        <v>3163</v>
      </c>
      <c r="B3539" s="8" t="s">
        <v>3206</v>
      </c>
      <c r="C3539" s="8" t="s">
        <v>421</v>
      </c>
      <c r="D3539" s="8" t="s">
        <v>3207</v>
      </c>
      <c r="E3539" s="8" t="s">
        <v>179</v>
      </c>
      <c r="F3539" s="9">
        <v>16</v>
      </c>
      <c r="G3539" s="5">
        <f>TRUNC([1]단가대비표!O1717,0)</f>
        <v>61257</v>
      </c>
      <c r="H3539" s="5">
        <f t="shared" si="331"/>
        <v>980112</v>
      </c>
      <c r="I3539" s="5">
        <v>0</v>
      </c>
      <c r="J3539" s="5">
        <f t="shared" si="332"/>
        <v>0</v>
      </c>
      <c r="K3539" s="5">
        <v>0</v>
      </c>
      <c r="L3539" s="5">
        <f t="shared" si="333"/>
        <v>0</v>
      </c>
      <c r="M3539" s="5">
        <f t="shared" si="334"/>
        <v>61257</v>
      </c>
      <c r="N3539" s="5">
        <f t="shared" si="334"/>
        <v>980112</v>
      </c>
      <c r="O3539" s="8" t="s">
        <v>20</v>
      </c>
      <c r="T3539">
        <v>0</v>
      </c>
      <c r="AC3539">
        <v>1</v>
      </c>
    </row>
    <row r="3540" spans="1:29" ht="30" customHeight="1" x14ac:dyDescent="0.3">
      <c r="A3540" s="8" t="s">
        <v>3163</v>
      </c>
      <c r="B3540" s="8" t="s">
        <v>3208</v>
      </c>
      <c r="C3540" s="8" t="s">
        <v>421</v>
      </c>
      <c r="D3540" s="8" t="s">
        <v>3209</v>
      </c>
      <c r="E3540" s="8" t="s">
        <v>179</v>
      </c>
      <c r="F3540" s="9">
        <v>4</v>
      </c>
      <c r="G3540" s="5">
        <f>TRUNC([1]단가대비표!O1718,0)</f>
        <v>49090</v>
      </c>
      <c r="H3540" s="5">
        <f t="shared" si="331"/>
        <v>196360</v>
      </c>
      <c r="I3540" s="5">
        <v>0</v>
      </c>
      <c r="J3540" s="5">
        <f t="shared" si="332"/>
        <v>0</v>
      </c>
      <c r="K3540" s="5">
        <v>0</v>
      </c>
      <c r="L3540" s="5">
        <f t="shared" si="333"/>
        <v>0</v>
      </c>
      <c r="M3540" s="5">
        <f t="shared" si="334"/>
        <v>49090</v>
      </c>
      <c r="N3540" s="5">
        <f t="shared" si="334"/>
        <v>196360</v>
      </c>
      <c r="O3540" s="8" t="s">
        <v>20</v>
      </c>
      <c r="T3540">
        <v>0</v>
      </c>
      <c r="AC3540">
        <v>1</v>
      </c>
    </row>
    <row r="3541" spans="1:29" ht="30" customHeight="1" x14ac:dyDescent="0.3">
      <c r="A3541" s="8" t="s">
        <v>3163</v>
      </c>
      <c r="B3541" s="8" t="s">
        <v>3210</v>
      </c>
      <c r="C3541" s="8" t="s">
        <v>3211</v>
      </c>
      <c r="D3541" s="8" t="s">
        <v>3212</v>
      </c>
      <c r="E3541" s="8" t="s">
        <v>179</v>
      </c>
      <c r="F3541" s="9">
        <v>8</v>
      </c>
      <c r="G3541" s="5">
        <f>TRUNC([1]단가대비표!O1719,0)</f>
        <v>630299</v>
      </c>
      <c r="H3541" s="5">
        <f t="shared" si="331"/>
        <v>5042392</v>
      </c>
      <c r="I3541" s="5">
        <v>0</v>
      </c>
      <c r="J3541" s="5">
        <f t="shared" si="332"/>
        <v>0</v>
      </c>
      <c r="K3541" s="5">
        <v>0</v>
      </c>
      <c r="L3541" s="5">
        <f t="shared" si="333"/>
        <v>0</v>
      </c>
      <c r="M3541" s="5">
        <f t="shared" si="334"/>
        <v>630299</v>
      </c>
      <c r="N3541" s="5">
        <f t="shared" si="334"/>
        <v>5042392</v>
      </c>
      <c r="O3541" s="8" t="s">
        <v>20</v>
      </c>
      <c r="T3541">
        <v>0</v>
      </c>
      <c r="AC3541">
        <v>1</v>
      </c>
    </row>
    <row r="3542" spans="1:29" ht="30" customHeight="1" x14ac:dyDescent="0.3">
      <c r="A3542" s="8" t="s">
        <v>3163</v>
      </c>
      <c r="B3542" s="8" t="s">
        <v>3213</v>
      </c>
      <c r="C3542" s="8" t="s">
        <v>3211</v>
      </c>
      <c r="D3542" s="8" t="s">
        <v>3214</v>
      </c>
      <c r="E3542" s="8" t="s">
        <v>179</v>
      </c>
      <c r="F3542" s="9">
        <v>2</v>
      </c>
      <c r="G3542" s="5">
        <f>TRUNC([1]단가대비표!O1720,0)</f>
        <v>551962</v>
      </c>
      <c r="H3542" s="5">
        <f t="shared" si="331"/>
        <v>1103924</v>
      </c>
      <c r="I3542" s="5">
        <v>0</v>
      </c>
      <c r="J3542" s="5">
        <f t="shared" si="332"/>
        <v>0</v>
      </c>
      <c r="K3542" s="5">
        <v>0</v>
      </c>
      <c r="L3542" s="5">
        <f t="shared" si="333"/>
        <v>0</v>
      </c>
      <c r="M3542" s="5">
        <f t="shared" si="334"/>
        <v>551962</v>
      </c>
      <c r="N3542" s="5">
        <f t="shared" si="334"/>
        <v>1103924</v>
      </c>
      <c r="O3542" s="8" t="s">
        <v>20</v>
      </c>
      <c r="T3542">
        <v>0</v>
      </c>
      <c r="AC3542">
        <v>1</v>
      </c>
    </row>
    <row r="3543" spans="1:29" ht="30" customHeight="1" x14ac:dyDescent="0.3">
      <c r="A3543" s="8" t="s">
        <v>3163</v>
      </c>
      <c r="B3543" s="8" t="s">
        <v>3215</v>
      </c>
      <c r="C3543" s="8" t="s">
        <v>3216</v>
      </c>
      <c r="D3543" s="8" t="s">
        <v>608</v>
      </c>
      <c r="E3543" s="8" t="s">
        <v>179</v>
      </c>
      <c r="F3543" s="9">
        <v>1</v>
      </c>
      <c r="G3543" s="5">
        <f>TRUNC([1]단가대비표!O1721,0)</f>
        <v>5851500</v>
      </c>
      <c r="H3543" s="5">
        <f t="shared" si="331"/>
        <v>5851500</v>
      </c>
      <c r="I3543" s="5">
        <v>0</v>
      </c>
      <c r="J3543" s="5">
        <f t="shared" si="332"/>
        <v>0</v>
      </c>
      <c r="K3543" s="5">
        <v>0</v>
      </c>
      <c r="L3543" s="5">
        <f t="shared" si="333"/>
        <v>0</v>
      </c>
      <c r="M3543" s="5">
        <f t="shared" si="334"/>
        <v>5851500</v>
      </c>
      <c r="N3543" s="5">
        <f t="shared" si="334"/>
        <v>5851500</v>
      </c>
      <c r="O3543" s="8" t="s">
        <v>20</v>
      </c>
      <c r="T3543">
        <v>0</v>
      </c>
      <c r="AC3543">
        <v>1</v>
      </c>
    </row>
    <row r="3544" spans="1:29" ht="30" customHeight="1" x14ac:dyDescent="0.3">
      <c r="A3544" s="8" t="s">
        <v>3163</v>
      </c>
      <c r="B3544" s="8" t="s">
        <v>3217</v>
      </c>
      <c r="C3544" s="8" t="s">
        <v>3218</v>
      </c>
      <c r="D3544" s="8" t="s">
        <v>352</v>
      </c>
      <c r="E3544" s="8" t="s">
        <v>185</v>
      </c>
      <c r="F3544" s="9">
        <v>30</v>
      </c>
      <c r="G3544" s="5">
        <f>TRUNC([1]단가대비표!O1722,0)</f>
        <v>88088</v>
      </c>
      <c r="H3544" s="5">
        <f t="shared" si="331"/>
        <v>2642640</v>
      </c>
      <c r="I3544" s="5">
        <v>0</v>
      </c>
      <c r="J3544" s="5">
        <f t="shared" si="332"/>
        <v>0</v>
      </c>
      <c r="K3544" s="5">
        <v>0</v>
      </c>
      <c r="L3544" s="5">
        <f t="shared" si="333"/>
        <v>0</v>
      </c>
      <c r="M3544" s="5">
        <f t="shared" si="334"/>
        <v>88088</v>
      </c>
      <c r="N3544" s="5">
        <f t="shared" si="334"/>
        <v>2642640</v>
      </c>
      <c r="O3544" s="8" t="s">
        <v>20</v>
      </c>
      <c r="T3544">
        <v>0</v>
      </c>
      <c r="AC3544">
        <v>1</v>
      </c>
    </row>
    <row r="3545" spans="1:29" ht="30" customHeight="1" x14ac:dyDescent="0.3">
      <c r="A3545" s="8" t="s">
        <v>3163</v>
      </c>
      <c r="B3545" s="8" t="s">
        <v>3219</v>
      </c>
      <c r="C3545" s="8" t="s">
        <v>3218</v>
      </c>
      <c r="D3545" s="8" t="s">
        <v>350</v>
      </c>
      <c r="E3545" s="8" t="s">
        <v>185</v>
      </c>
      <c r="F3545" s="9">
        <v>30</v>
      </c>
      <c r="G3545" s="5">
        <f>TRUNC([1]단가대비표!O1723,0)</f>
        <v>74837</v>
      </c>
      <c r="H3545" s="5">
        <f t="shared" si="331"/>
        <v>2245110</v>
      </c>
      <c r="I3545" s="5">
        <v>0</v>
      </c>
      <c r="J3545" s="5">
        <f t="shared" si="332"/>
        <v>0</v>
      </c>
      <c r="K3545" s="5">
        <v>0</v>
      </c>
      <c r="L3545" s="5">
        <f t="shared" si="333"/>
        <v>0</v>
      </c>
      <c r="M3545" s="5">
        <f t="shared" si="334"/>
        <v>74837</v>
      </c>
      <c r="N3545" s="5">
        <f t="shared" si="334"/>
        <v>2245110</v>
      </c>
      <c r="O3545" s="8" t="s">
        <v>20</v>
      </c>
      <c r="T3545">
        <v>0</v>
      </c>
      <c r="AC3545">
        <v>1</v>
      </c>
    </row>
    <row r="3546" spans="1:29" ht="30" customHeight="1" x14ac:dyDescent="0.3">
      <c r="A3546" s="8" t="s">
        <v>3163</v>
      </c>
      <c r="B3546" s="8" t="s">
        <v>3220</v>
      </c>
      <c r="C3546" s="8" t="s">
        <v>3218</v>
      </c>
      <c r="D3546" s="8" t="s">
        <v>348</v>
      </c>
      <c r="E3546" s="8" t="s">
        <v>185</v>
      </c>
      <c r="F3546" s="9">
        <v>65</v>
      </c>
      <c r="G3546" s="5">
        <f>TRUNC([1]단가대비표!O1724,0)</f>
        <v>46872</v>
      </c>
      <c r="H3546" s="5">
        <f t="shared" si="331"/>
        <v>3046680</v>
      </c>
      <c r="I3546" s="5">
        <v>0</v>
      </c>
      <c r="J3546" s="5">
        <f t="shared" si="332"/>
        <v>0</v>
      </c>
      <c r="K3546" s="5">
        <v>0</v>
      </c>
      <c r="L3546" s="5">
        <f t="shared" si="333"/>
        <v>0</v>
      </c>
      <c r="M3546" s="5">
        <f t="shared" si="334"/>
        <v>46872</v>
      </c>
      <c r="N3546" s="5">
        <f t="shared" si="334"/>
        <v>3046680</v>
      </c>
      <c r="O3546" s="8" t="s">
        <v>20</v>
      </c>
      <c r="T3546">
        <v>0</v>
      </c>
      <c r="AC3546">
        <v>1</v>
      </c>
    </row>
    <row r="3547" spans="1:29" ht="30" customHeight="1" x14ac:dyDescent="0.3">
      <c r="A3547" s="8" t="s">
        <v>3163</v>
      </c>
      <c r="B3547" s="8" t="s">
        <v>3221</v>
      </c>
      <c r="C3547" s="8" t="s">
        <v>3218</v>
      </c>
      <c r="D3547" s="8" t="s">
        <v>447</v>
      </c>
      <c r="E3547" s="8" t="s">
        <v>185</v>
      </c>
      <c r="F3547" s="9">
        <v>16</v>
      </c>
      <c r="G3547" s="5">
        <f>TRUNC([1]단가대비표!O1725,0)</f>
        <v>39327</v>
      </c>
      <c r="H3547" s="5">
        <f t="shared" si="331"/>
        <v>629232</v>
      </c>
      <c r="I3547" s="5">
        <v>0</v>
      </c>
      <c r="J3547" s="5">
        <f t="shared" si="332"/>
        <v>0</v>
      </c>
      <c r="K3547" s="5">
        <v>0</v>
      </c>
      <c r="L3547" s="5">
        <f t="shared" si="333"/>
        <v>0</v>
      </c>
      <c r="M3547" s="5">
        <f t="shared" si="334"/>
        <v>39327</v>
      </c>
      <c r="N3547" s="5">
        <f t="shared" si="334"/>
        <v>629232</v>
      </c>
      <c r="O3547" s="8" t="s">
        <v>20</v>
      </c>
      <c r="T3547">
        <v>0</v>
      </c>
      <c r="AC3547">
        <v>1</v>
      </c>
    </row>
    <row r="3548" spans="1:29" ht="30" customHeight="1" x14ac:dyDescent="0.3">
      <c r="A3548" s="8" t="s">
        <v>3163</v>
      </c>
      <c r="B3548" s="8" t="s">
        <v>3222</v>
      </c>
      <c r="C3548" s="8" t="s">
        <v>3223</v>
      </c>
      <c r="D3548" s="8" t="s">
        <v>352</v>
      </c>
      <c r="E3548" s="8" t="s">
        <v>185</v>
      </c>
      <c r="F3548" s="9">
        <v>60</v>
      </c>
      <c r="G3548" s="5">
        <f>TRUNC([1]단가대비표!O1726,0)</f>
        <v>151220</v>
      </c>
      <c r="H3548" s="5">
        <f t="shared" si="331"/>
        <v>9073200</v>
      </c>
      <c r="I3548" s="5">
        <v>0</v>
      </c>
      <c r="J3548" s="5">
        <f t="shared" si="332"/>
        <v>0</v>
      </c>
      <c r="K3548" s="5">
        <v>0</v>
      </c>
      <c r="L3548" s="5">
        <f t="shared" si="333"/>
        <v>0</v>
      </c>
      <c r="M3548" s="5">
        <f t="shared" si="334"/>
        <v>151220</v>
      </c>
      <c r="N3548" s="5">
        <f t="shared" si="334"/>
        <v>9073200</v>
      </c>
      <c r="O3548" s="8" t="s">
        <v>20</v>
      </c>
      <c r="T3548">
        <v>0</v>
      </c>
      <c r="AC3548">
        <v>1</v>
      </c>
    </row>
    <row r="3549" spans="1:29" ht="30" customHeight="1" x14ac:dyDescent="0.3">
      <c r="A3549" s="8" t="s">
        <v>3163</v>
      </c>
      <c r="B3549" s="8" t="s">
        <v>3224</v>
      </c>
      <c r="C3549" s="8" t="s">
        <v>3223</v>
      </c>
      <c r="D3549" s="8" t="s">
        <v>350</v>
      </c>
      <c r="E3549" s="8" t="s">
        <v>185</v>
      </c>
      <c r="F3549" s="9">
        <v>60</v>
      </c>
      <c r="G3549" s="5">
        <f>TRUNC([1]단가대비표!O1727,0)</f>
        <v>125233</v>
      </c>
      <c r="H3549" s="5">
        <f t="shared" si="331"/>
        <v>7513980</v>
      </c>
      <c r="I3549" s="5">
        <v>0</v>
      </c>
      <c r="J3549" s="5">
        <f t="shared" si="332"/>
        <v>0</v>
      </c>
      <c r="K3549" s="5">
        <v>0</v>
      </c>
      <c r="L3549" s="5">
        <f t="shared" si="333"/>
        <v>0</v>
      </c>
      <c r="M3549" s="5">
        <f t="shared" si="334"/>
        <v>125233</v>
      </c>
      <c r="N3549" s="5">
        <f t="shared" si="334"/>
        <v>7513980</v>
      </c>
      <c r="O3549" s="8" t="s">
        <v>20</v>
      </c>
      <c r="T3549">
        <v>0</v>
      </c>
      <c r="AC3549">
        <v>1</v>
      </c>
    </row>
    <row r="3550" spans="1:29" ht="30" customHeight="1" x14ac:dyDescent="0.3">
      <c r="A3550" s="8" t="s">
        <v>3163</v>
      </c>
      <c r="B3550" s="8" t="s">
        <v>3225</v>
      </c>
      <c r="C3550" s="8" t="s">
        <v>3223</v>
      </c>
      <c r="D3550" s="8" t="s">
        <v>348</v>
      </c>
      <c r="E3550" s="8" t="s">
        <v>185</v>
      </c>
      <c r="F3550" s="9">
        <v>30</v>
      </c>
      <c r="G3550" s="5">
        <f>TRUNC([1]단가대비표!O1728,0)</f>
        <v>80098</v>
      </c>
      <c r="H3550" s="5">
        <f t="shared" si="331"/>
        <v>2402940</v>
      </c>
      <c r="I3550" s="5">
        <v>0</v>
      </c>
      <c r="J3550" s="5">
        <f t="shared" si="332"/>
        <v>0</v>
      </c>
      <c r="K3550" s="5">
        <v>0</v>
      </c>
      <c r="L3550" s="5">
        <f t="shared" si="333"/>
        <v>0</v>
      </c>
      <c r="M3550" s="5">
        <f t="shared" si="334"/>
        <v>80098</v>
      </c>
      <c r="N3550" s="5">
        <f t="shared" si="334"/>
        <v>2402940</v>
      </c>
      <c r="O3550" s="8" t="s">
        <v>20</v>
      </c>
      <c r="T3550">
        <v>0</v>
      </c>
      <c r="AC3550">
        <v>1</v>
      </c>
    </row>
    <row r="3551" spans="1:29" ht="30" customHeight="1" x14ac:dyDescent="0.3">
      <c r="A3551" s="8" t="s">
        <v>3163</v>
      </c>
      <c r="B3551" s="8" t="s">
        <v>3226</v>
      </c>
      <c r="C3551" s="8" t="s">
        <v>3223</v>
      </c>
      <c r="D3551" s="8" t="s">
        <v>447</v>
      </c>
      <c r="E3551" s="8" t="s">
        <v>185</v>
      </c>
      <c r="F3551" s="9">
        <v>16</v>
      </c>
      <c r="G3551" s="5">
        <f>TRUNC([1]단가대비표!O1729,0)</f>
        <v>55737</v>
      </c>
      <c r="H3551" s="5">
        <f t="shared" si="331"/>
        <v>891792</v>
      </c>
      <c r="I3551" s="5">
        <v>0</v>
      </c>
      <c r="J3551" s="5">
        <f t="shared" si="332"/>
        <v>0</v>
      </c>
      <c r="K3551" s="5">
        <v>0</v>
      </c>
      <c r="L3551" s="5">
        <f t="shared" si="333"/>
        <v>0</v>
      </c>
      <c r="M3551" s="5">
        <f t="shared" si="334"/>
        <v>55737</v>
      </c>
      <c r="N3551" s="5">
        <f t="shared" si="334"/>
        <v>891792</v>
      </c>
      <c r="O3551" s="8" t="s">
        <v>20</v>
      </c>
      <c r="T3551">
        <v>0</v>
      </c>
      <c r="AC3551">
        <v>1</v>
      </c>
    </row>
    <row r="3552" spans="1:29" ht="30" customHeight="1" x14ac:dyDescent="0.3">
      <c r="A3552" s="8" t="s">
        <v>3163</v>
      </c>
      <c r="B3552" s="8" t="s">
        <v>3227</v>
      </c>
      <c r="C3552" s="8" t="s">
        <v>537</v>
      </c>
      <c r="D3552" s="8" t="s">
        <v>538</v>
      </c>
      <c r="E3552" s="8" t="s">
        <v>185</v>
      </c>
      <c r="F3552" s="9">
        <v>100</v>
      </c>
      <c r="G3552" s="5">
        <f>TRUNC([1]단가대비표!O1730,0)</f>
        <v>3652</v>
      </c>
      <c r="H3552" s="5">
        <f t="shared" si="331"/>
        <v>365200</v>
      </c>
      <c r="I3552" s="5">
        <v>0</v>
      </c>
      <c r="J3552" s="5">
        <f t="shared" si="332"/>
        <v>0</v>
      </c>
      <c r="K3552" s="5">
        <v>0</v>
      </c>
      <c r="L3552" s="5">
        <f t="shared" si="333"/>
        <v>0</v>
      </c>
      <c r="M3552" s="5">
        <f t="shared" si="334"/>
        <v>3652</v>
      </c>
      <c r="N3552" s="5">
        <f t="shared" si="334"/>
        <v>365200</v>
      </c>
      <c r="O3552" s="8" t="s">
        <v>20</v>
      </c>
      <c r="T3552">
        <v>0</v>
      </c>
      <c r="AC3552">
        <v>1</v>
      </c>
    </row>
    <row r="3553" spans="1:29" ht="30" customHeight="1" x14ac:dyDescent="0.3">
      <c r="A3553" s="5"/>
      <c r="B3553" s="5"/>
      <c r="C3553" s="5"/>
      <c r="D3553" s="5"/>
      <c r="E3553" s="5"/>
      <c r="F3553" s="9"/>
      <c r="G3553" s="5"/>
      <c r="H3553" s="5"/>
      <c r="I3553" s="5"/>
      <c r="J3553" s="5"/>
      <c r="K3553" s="5"/>
      <c r="L3553" s="5"/>
      <c r="M3553" s="5"/>
      <c r="N3553" s="5"/>
      <c r="O3553" s="5"/>
    </row>
    <row r="3554" spans="1:29" ht="30" customHeight="1" x14ac:dyDescent="0.3">
      <c r="A3554" s="5"/>
      <c r="B3554" s="5"/>
      <c r="C3554" s="5"/>
      <c r="D3554" s="5"/>
      <c r="E3554" s="5"/>
      <c r="F3554" s="9"/>
      <c r="G3554" s="5"/>
      <c r="H3554" s="5"/>
      <c r="I3554" s="5"/>
      <c r="J3554" s="5"/>
      <c r="K3554" s="5"/>
      <c r="L3554" s="5"/>
      <c r="M3554" s="5"/>
      <c r="N3554" s="5"/>
      <c r="O3554" s="5"/>
    </row>
    <row r="3555" spans="1:29" ht="30" customHeight="1" x14ac:dyDescent="0.3">
      <c r="A3555" s="5"/>
      <c r="B3555" s="5"/>
      <c r="C3555" s="5"/>
      <c r="D3555" s="5"/>
      <c r="E3555" s="5"/>
      <c r="F3555" s="9"/>
      <c r="G3555" s="5"/>
      <c r="H3555" s="5"/>
      <c r="I3555" s="5"/>
      <c r="J3555" s="5"/>
      <c r="K3555" s="5"/>
      <c r="L3555" s="5"/>
      <c r="M3555" s="5"/>
      <c r="N3555" s="5"/>
      <c r="O3555" s="5"/>
    </row>
    <row r="3556" spans="1:29" ht="30" customHeight="1" x14ac:dyDescent="0.3">
      <c r="A3556" s="5"/>
      <c r="B3556" s="5"/>
      <c r="C3556" s="5"/>
      <c r="D3556" s="5"/>
      <c r="E3556" s="5"/>
      <c r="F3556" s="9"/>
      <c r="G3556" s="5"/>
      <c r="H3556" s="5"/>
      <c r="I3556" s="5"/>
      <c r="J3556" s="5"/>
      <c r="K3556" s="5"/>
      <c r="L3556" s="5"/>
      <c r="M3556" s="5"/>
      <c r="N3556" s="5"/>
      <c r="O3556" s="5"/>
    </row>
    <row r="3557" spans="1:29" ht="30" customHeight="1" x14ac:dyDescent="0.3">
      <c r="A3557" s="5"/>
      <c r="B3557" s="5"/>
      <c r="C3557" s="5"/>
      <c r="D3557" s="5"/>
      <c r="E3557" s="5"/>
      <c r="F3557" s="9"/>
      <c r="G3557" s="5"/>
      <c r="H3557" s="5"/>
      <c r="I3557" s="5"/>
      <c r="J3557" s="5"/>
      <c r="K3557" s="5"/>
      <c r="L3557" s="5"/>
      <c r="M3557" s="5"/>
      <c r="N3557" s="5"/>
      <c r="O3557" s="5"/>
    </row>
    <row r="3558" spans="1:29" ht="30" customHeight="1" x14ac:dyDescent="0.3">
      <c r="A3558" s="5"/>
      <c r="B3558" s="5"/>
      <c r="C3558" s="5"/>
      <c r="D3558" s="5"/>
      <c r="E3558" s="5"/>
      <c r="F3558" s="9"/>
      <c r="G3558" s="5"/>
      <c r="H3558" s="5"/>
      <c r="I3558" s="5"/>
      <c r="J3558" s="5"/>
      <c r="K3558" s="5"/>
      <c r="L3558" s="5"/>
      <c r="M3558" s="5"/>
      <c r="N3558" s="5"/>
      <c r="O3558" s="5"/>
    </row>
    <row r="3559" spans="1:29" ht="30" customHeight="1" x14ac:dyDescent="0.3">
      <c r="A3559" s="5"/>
      <c r="B3559" s="5"/>
      <c r="C3559" s="5"/>
      <c r="D3559" s="5"/>
      <c r="E3559" s="5"/>
      <c r="F3559" s="9"/>
      <c r="G3559" s="5"/>
      <c r="H3559" s="5"/>
      <c r="I3559" s="5"/>
      <c r="J3559" s="5"/>
      <c r="K3559" s="5"/>
      <c r="L3559" s="5"/>
      <c r="M3559" s="5"/>
      <c r="N3559" s="5"/>
      <c r="O3559" s="5"/>
    </row>
    <row r="3560" spans="1:29" ht="30" customHeight="1" x14ac:dyDescent="0.3">
      <c r="A3560" s="5"/>
      <c r="B3560" s="5"/>
      <c r="C3560" s="5"/>
      <c r="D3560" s="5"/>
      <c r="E3560" s="5"/>
      <c r="F3560" s="9"/>
      <c r="G3560" s="5"/>
      <c r="H3560" s="5"/>
      <c r="I3560" s="5"/>
      <c r="J3560" s="5"/>
      <c r="K3560" s="5"/>
      <c r="L3560" s="5"/>
      <c r="M3560" s="5"/>
      <c r="N3560" s="5"/>
      <c r="O3560" s="5"/>
    </row>
    <row r="3561" spans="1:29" ht="30" customHeight="1" x14ac:dyDescent="0.3">
      <c r="A3561" s="5"/>
      <c r="B3561" s="5"/>
      <c r="C3561" s="5"/>
      <c r="D3561" s="5"/>
      <c r="E3561" s="5"/>
      <c r="F3561" s="9"/>
      <c r="G3561" s="5"/>
      <c r="H3561" s="5"/>
      <c r="I3561" s="5"/>
      <c r="J3561" s="5"/>
      <c r="K3561" s="5"/>
      <c r="L3561" s="5"/>
      <c r="M3561" s="5"/>
      <c r="N3561" s="5"/>
      <c r="O3561" s="5"/>
    </row>
    <row r="3562" spans="1:29" ht="30" customHeight="1" x14ac:dyDescent="0.3">
      <c r="A3562" s="5"/>
      <c r="B3562" s="5"/>
      <c r="C3562" s="5"/>
      <c r="D3562" s="5"/>
      <c r="E3562" s="5"/>
      <c r="F3562" s="9"/>
      <c r="G3562" s="5"/>
      <c r="H3562" s="5"/>
      <c r="I3562" s="5"/>
      <c r="J3562" s="5"/>
      <c r="K3562" s="5"/>
      <c r="L3562" s="5"/>
      <c r="M3562" s="5"/>
      <c r="N3562" s="5"/>
      <c r="O3562" s="5"/>
    </row>
    <row r="3563" spans="1:29" ht="30" customHeight="1" x14ac:dyDescent="0.3">
      <c r="A3563" s="5"/>
      <c r="B3563" s="5"/>
      <c r="C3563" s="5"/>
      <c r="D3563" s="5"/>
      <c r="E3563" s="5"/>
      <c r="F3563" s="9"/>
      <c r="G3563" s="5"/>
      <c r="H3563" s="5"/>
      <c r="I3563" s="5"/>
      <c r="J3563" s="5"/>
      <c r="K3563" s="5"/>
      <c r="L3563" s="5"/>
      <c r="M3563" s="5"/>
      <c r="N3563" s="5"/>
      <c r="O3563" s="5"/>
    </row>
    <row r="3564" spans="1:29" ht="30" customHeight="1" x14ac:dyDescent="0.3">
      <c r="A3564" s="5"/>
      <c r="B3564" s="5"/>
      <c r="C3564" s="5"/>
      <c r="D3564" s="5"/>
      <c r="E3564" s="5"/>
      <c r="F3564" s="9"/>
      <c r="G3564" s="5"/>
      <c r="H3564" s="5"/>
      <c r="I3564" s="5"/>
      <c r="J3564" s="5"/>
      <c r="K3564" s="5"/>
      <c r="L3564" s="5"/>
      <c r="M3564" s="5"/>
      <c r="N3564" s="5"/>
      <c r="O3564" s="5"/>
    </row>
    <row r="3565" spans="1:29" ht="30" customHeight="1" x14ac:dyDescent="0.3">
      <c r="A3565" s="5"/>
      <c r="B3565" s="5"/>
      <c r="C3565" s="5" t="s">
        <v>162</v>
      </c>
      <c r="D3565" s="5"/>
      <c r="E3565" s="5"/>
      <c r="F3565" s="9"/>
      <c r="G3565" s="5"/>
      <c r="H3565" s="5">
        <f>SUMIF(AC3515:AC3564, 1, H3515:H3564)</f>
        <v>75265669</v>
      </c>
      <c r="I3565" s="5"/>
      <c r="J3565" s="5">
        <f>SUMIF(AC3515:AC3564, 1, J3515:J3564)</f>
        <v>0</v>
      </c>
      <c r="K3565" s="5"/>
      <c r="L3565" s="5">
        <f>SUMIF(AC3515:AC3564, 1, L3515:L3564)</f>
        <v>0</v>
      </c>
      <c r="M3565" s="5"/>
      <c r="N3565" s="5">
        <f>H3565+J3565+L3565</f>
        <v>75265669</v>
      </c>
      <c r="O3565" s="5"/>
    </row>
    <row r="3566" spans="1:29" ht="30" customHeight="1" x14ac:dyDescent="0.3">
      <c r="A3566" s="5"/>
      <c r="B3566" s="5"/>
      <c r="C3566" s="6" t="s">
        <v>3228</v>
      </c>
      <c r="D3566" s="6"/>
      <c r="E3566" s="6"/>
      <c r="F3566" s="7"/>
      <c r="G3566" s="6"/>
      <c r="H3566" s="6"/>
      <c r="I3566" s="6"/>
      <c r="J3566" s="6"/>
      <c r="K3566" s="6"/>
      <c r="L3566" s="6"/>
      <c r="M3566" s="6"/>
      <c r="N3566" s="6"/>
      <c r="O3566" s="6"/>
    </row>
    <row r="3567" spans="1:29" ht="30" customHeight="1" x14ac:dyDescent="0.3">
      <c r="A3567" s="8" t="s">
        <v>3229</v>
      </c>
      <c r="B3567" s="8" t="s">
        <v>3230</v>
      </c>
      <c r="C3567" s="8" t="s">
        <v>3231</v>
      </c>
      <c r="D3567" s="8" t="s">
        <v>3232</v>
      </c>
      <c r="E3567" s="8" t="s">
        <v>168</v>
      </c>
      <c r="F3567" s="9">
        <v>10</v>
      </c>
      <c r="G3567" s="5">
        <f>TRUNC([1]단가대비표!O1731,0)</f>
        <v>59488</v>
      </c>
      <c r="H3567" s="5">
        <f t="shared" ref="H3567:H3576" si="335">TRUNC(F3567*G3567,0)</f>
        <v>594880</v>
      </c>
      <c r="I3567" s="5">
        <v>107929</v>
      </c>
      <c r="J3567" s="5">
        <f t="shared" ref="J3567:J3576" si="336">TRUNC(F3567*I3567,0)</f>
        <v>1079290</v>
      </c>
      <c r="K3567" s="5">
        <v>0</v>
      </c>
      <c r="L3567" s="5">
        <f t="shared" ref="L3567:L3576" si="337">TRUNC(F3567*K3567,0)</f>
        <v>0</v>
      </c>
      <c r="M3567" s="5">
        <f t="shared" ref="M3567:N3576" si="338">G3567+I3567+K3567</f>
        <v>167417</v>
      </c>
      <c r="N3567" s="5">
        <f t="shared" si="338"/>
        <v>1674170</v>
      </c>
      <c r="O3567" s="8" t="s">
        <v>20</v>
      </c>
      <c r="T3567">
        <v>0</v>
      </c>
      <c r="AC3567">
        <v>1</v>
      </c>
    </row>
    <row r="3568" spans="1:29" ht="30" customHeight="1" x14ac:dyDescent="0.3">
      <c r="A3568" s="8" t="s">
        <v>3229</v>
      </c>
      <c r="B3568" s="8" t="s">
        <v>3233</v>
      </c>
      <c r="C3568" s="8" t="s">
        <v>3231</v>
      </c>
      <c r="D3568" s="8" t="s">
        <v>3168</v>
      </c>
      <c r="E3568" s="8" t="s">
        <v>168</v>
      </c>
      <c r="F3568" s="9">
        <v>10</v>
      </c>
      <c r="G3568" s="5">
        <f>TRUNC([1]단가대비표!O1732,0)</f>
        <v>45273</v>
      </c>
      <c r="H3568" s="5">
        <f t="shared" si="335"/>
        <v>452730</v>
      </c>
      <c r="I3568" s="5">
        <v>77084</v>
      </c>
      <c r="J3568" s="5">
        <f t="shared" si="336"/>
        <v>770840</v>
      </c>
      <c r="K3568" s="5">
        <v>0</v>
      </c>
      <c r="L3568" s="5">
        <f t="shared" si="337"/>
        <v>0</v>
      </c>
      <c r="M3568" s="5">
        <f t="shared" si="338"/>
        <v>122357</v>
      </c>
      <c r="N3568" s="5">
        <f t="shared" si="338"/>
        <v>1223570</v>
      </c>
      <c r="O3568" s="8" t="s">
        <v>20</v>
      </c>
      <c r="T3568">
        <v>0</v>
      </c>
      <c r="AC3568">
        <v>1</v>
      </c>
    </row>
    <row r="3569" spans="1:29" ht="30" customHeight="1" x14ac:dyDescent="0.3">
      <c r="A3569" s="8" t="s">
        <v>3229</v>
      </c>
      <c r="B3569" s="8" t="s">
        <v>3234</v>
      </c>
      <c r="C3569" s="8" t="s">
        <v>1253</v>
      </c>
      <c r="D3569" s="8" t="s">
        <v>3235</v>
      </c>
      <c r="E3569" s="8" t="s">
        <v>721</v>
      </c>
      <c r="F3569" s="9">
        <v>1</v>
      </c>
      <c r="G3569" s="5">
        <f>TRUNC([1]단가대비표!O1733,0)</f>
        <v>35000000</v>
      </c>
      <c r="H3569" s="5">
        <f t="shared" si="335"/>
        <v>35000000</v>
      </c>
      <c r="I3569" s="5">
        <v>0</v>
      </c>
      <c r="J3569" s="5">
        <f t="shared" si="336"/>
        <v>0</v>
      </c>
      <c r="K3569" s="5">
        <v>0</v>
      </c>
      <c r="L3569" s="5">
        <f t="shared" si="337"/>
        <v>0</v>
      </c>
      <c r="M3569" s="5">
        <f t="shared" si="338"/>
        <v>35000000</v>
      </c>
      <c r="N3569" s="5">
        <f t="shared" si="338"/>
        <v>35000000</v>
      </c>
      <c r="O3569" s="8" t="s">
        <v>20</v>
      </c>
      <c r="T3569">
        <v>0</v>
      </c>
      <c r="AC3569">
        <v>1</v>
      </c>
    </row>
    <row r="3570" spans="1:29" ht="30" customHeight="1" x14ac:dyDescent="0.3">
      <c r="A3570" s="8" t="s">
        <v>3229</v>
      </c>
      <c r="B3570" s="8" t="s">
        <v>3236</v>
      </c>
      <c r="C3570" s="8" t="s">
        <v>3237</v>
      </c>
      <c r="D3570" s="8" t="s">
        <v>3238</v>
      </c>
      <c r="E3570" s="8" t="s">
        <v>721</v>
      </c>
      <c r="F3570" s="9">
        <v>1</v>
      </c>
      <c r="G3570" s="5">
        <f>TRUNC([1]단가대비표!O1734,0)</f>
        <v>16800</v>
      </c>
      <c r="H3570" s="5">
        <f t="shared" si="335"/>
        <v>16800</v>
      </c>
      <c r="I3570" s="5">
        <v>279520</v>
      </c>
      <c r="J3570" s="5">
        <f t="shared" si="336"/>
        <v>279520</v>
      </c>
      <c r="K3570" s="5">
        <v>320</v>
      </c>
      <c r="L3570" s="5">
        <f t="shared" si="337"/>
        <v>320</v>
      </c>
      <c r="M3570" s="5">
        <f t="shared" si="338"/>
        <v>296640</v>
      </c>
      <c r="N3570" s="5">
        <f t="shared" si="338"/>
        <v>296640</v>
      </c>
      <c r="O3570" s="8" t="s">
        <v>20</v>
      </c>
      <c r="T3570">
        <v>0</v>
      </c>
      <c r="AC3570">
        <v>1</v>
      </c>
    </row>
    <row r="3571" spans="1:29" ht="30" customHeight="1" x14ac:dyDescent="0.3">
      <c r="A3571" s="8" t="s">
        <v>3229</v>
      </c>
      <c r="B3571" s="8" t="s">
        <v>3239</v>
      </c>
      <c r="C3571" s="8" t="s">
        <v>3240</v>
      </c>
      <c r="D3571" s="8" t="s">
        <v>3241</v>
      </c>
      <c r="E3571" s="8" t="s">
        <v>545</v>
      </c>
      <c r="F3571" s="9">
        <v>1300</v>
      </c>
      <c r="G3571" s="5">
        <f>TRUNC([1]단가대비표!O1735,0)</f>
        <v>14177</v>
      </c>
      <c r="H3571" s="5">
        <f t="shared" si="335"/>
        <v>18430100</v>
      </c>
      <c r="I3571" s="5">
        <v>27384</v>
      </c>
      <c r="J3571" s="5">
        <f t="shared" si="336"/>
        <v>35599200</v>
      </c>
      <c r="K3571" s="5">
        <v>467</v>
      </c>
      <c r="L3571" s="5">
        <f t="shared" si="337"/>
        <v>607100</v>
      </c>
      <c r="M3571" s="5">
        <f t="shared" si="338"/>
        <v>42028</v>
      </c>
      <c r="N3571" s="5">
        <f t="shared" si="338"/>
        <v>54636400</v>
      </c>
      <c r="O3571" s="8" t="s">
        <v>20</v>
      </c>
      <c r="T3571">
        <v>0</v>
      </c>
      <c r="AC3571">
        <v>1</v>
      </c>
    </row>
    <row r="3572" spans="1:29" ht="30" customHeight="1" x14ac:dyDescent="0.3">
      <c r="A3572" s="8" t="s">
        <v>3229</v>
      </c>
      <c r="B3572" s="8" t="s">
        <v>3242</v>
      </c>
      <c r="C3572" s="8" t="s">
        <v>3243</v>
      </c>
      <c r="D3572" s="8" t="s">
        <v>3244</v>
      </c>
      <c r="E3572" s="8" t="s">
        <v>545</v>
      </c>
      <c r="F3572" s="9">
        <v>306</v>
      </c>
      <c r="G3572" s="5">
        <f>TRUNC([1]단가대비표!O1736,0)</f>
        <v>61850</v>
      </c>
      <c r="H3572" s="5">
        <f t="shared" si="335"/>
        <v>18926100</v>
      </c>
      <c r="I3572" s="5">
        <v>40501</v>
      </c>
      <c r="J3572" s="5">
        <f t="shared" si="336"/>
        <v>12393306</v>
      </c>
      <c r="K3572" s="5">
        <v>2471</v>
      </c>
      <c r="L3572" s="5">
        <f t="shared" si="337"/>
        <v>756126</v>
      </c>
      <c r="M3572" s="5">
        <f t="shared" si="338"/>
        <v>104822</v>
      </c>
      <c r="N3572" s="5">
        <f t="shared" si="338"/>
        <v>32075532</v>
      </c>
      <c r="O3572" s="8" t="s">
        <v>20</v>
      </c>
      <c r="T3572">
        <v>0</v>
      </c>
      <c r="AC3572">
        <v>1</v>
      </c>
    </row>
    <row r="3573" spans="1:29" ht="30" customHeight="1" x14ac:dyDescent="0.3">
      <c r="A3573" s="8" t="s">
        <v>3229</v>
      </c>
      <c r="B3573" s="8" t="s">
        <v>3245</v>
      </c>
      <c r="C3573" s="8" t="s">
        <v>3243</v>
      </c>
      <c r="D3573" s="8" t="s">
        <v>3246</v>
      </c>
      <c r="E3573" s="8" t="s">
        <v>545</v>
      </c>
      <c r="F3573" s="9">
        <v>315</v>
      </c>
      <c r="G3573" s="5">
        <f>TRUNC([1]단가대비표!O1737,0)</f>
        <v>61850</v>
      </c>
      <c r="H3573" s="5">
        <f t="shared" si="335"/>
        <v>19482750</v>
      </c>
      <c r="I3573" s="5">
        <v>40501</v>
      </c>
      <c r="J3573" s="5">
        <f t="shared" si="336"/>
        <v>12757815</v>
      </c>
      <c r="K3573" s="5">
        <v>2471</v>
      </c>
      <c r="L3573" s="5">
        <f t="shared" si="337"/>
        <v>778365</v>
      </c>
      <c r="M3573" s="5">
        <f t="shared" si="338"/>
        <v>104822</v>
      </c>
      <c r="N3573" s="5">
        <f t="shared" si="338"/>
        <v>33018930</v>
      </c>
      <c r="O3573" s="8" t="s">
        <v>20</v>
      </c>
      <c r="T3573">
        <v>0</v>
      </c>
      <c r="AC3573">
        <v>1</v>
      </c>
    </row>
    <row r="3574" spans="1:29" ht="30" customHeight="1" x14ac:dyDescent="0.3">
      <c r="A3574" s="8" t="s">
        <v>3229</v>
      </c>
      <c r="B3574" s="8" t="s">
        <v>3247</v>
      </c>
      <c r="C3574" s="8" t="s">
        <v>3243</v>
      </c>
      <c r="D3574" s="8" t="s">
        <v>3248</v>
      </c>
      <c r="E3574" s="8" t="s">
        <v>545</v>
      </c>
      <c r="F3574" s="9">
        <v>324</v>
      </c>
      <c r="G3574" s="5">
        <f>TRUNC([1]단가대비표!O1738,0)</f>
        <v>61850</v>
      </c>
      <c r="H3574" s="5">
        <f t="shared" si="335"/>
        <v>20039400</v>
      </c>
      <c r="I3574" s="5">
        <v>44563</v>
      </c>
      <c r="J3574" s="5">
        <f t="shared" si="336"/>
        <v>14438412</v>
      </c>
      <c r="K3574" s="5">
        <v>3675</v>
      </c>
      <c r="L3574" s="5">
        <f t="shared" si="337"/>
        <v>1190700</v>
      </c>
      <c r="M3574" s="5">
        <f t="shared" si="338"/>
        <v>110088</v>
      </c>
      <c r="N3574" s="5">
        <f t="shared" si="338"/>
        <v>35668512</v>
      </c>
      <c r="O3574" s="8" t="s">
        <v>20</v>
      </c>
      <c r="T3574">
        <v>0</v>
      </c>
      <c r="AC3574">
        <v>1</v>
      </c>
    </row>
    <row r="3575" spans="1:29" ht="30" customHeight="1" x14ac:dyDescent="0.3">
      <c r="A3575" s="8" t="s">
        <v>3229</v>
      </c>
      <c r="B3575" s="8" t="s">
        <v>3249</v>
      </c>
      <c r="C3575" s="8" t="s">
        <v>534</v>
      </c>
      <c r="D3575" s="8" t="s">
        <v>3250</v>
      </c>
      <c r="E3575" s="8" t="s">
        <v>1715</v>
      </c>
      <c r="F3575" s="9">
        <v>313</v>
      </c>
      <c r="G3575" s="5">
        <f>TRUNC([1]단가대비표!O1739,0)</f>
        <v>4142</v>
      </c>
      <c r="H3575" s="5">
        <f t="shared" si="335"/>
        <v>1296446</v>
      </c>
      <c r="I3575" s="5">
        <v>0</v>
      </c>
      <c r="J3575" s="5">
        <f t="shared" si="336"/>
        <v>0</v>
      </c>
      <c r="K3575" s="5">
        <v>0</v>
      </c>
      <c r="L3575" s="5">
        <f t="shared" si="337"/>
        <v>0</v>
      </c>
      <c r="M3575" s="5">
        <f t="shared" si="338"/>
        <v>4142</v>
      </c>
      <c r="N3575" s="5">
        <f t="shared" si="338"/>
        <v>1296446</v>
      </c>
      <c r="O3575" s="8" t="s">
        <v>20</v>
      </c>
      <c r="T3575">
        <v>0</v>
      </c>
      <c r="AC3575">
        <v>1</v>
      </c>
    </row>
    <row r="3576" spans="1:29" ht="30" customHeight="1" x14ac:dyDescent="0.3">
      <c r="A3576" s="8" t="s">
        <v>3229</v>
      </c>
      <c r="B3576" s="8" t="s">
        <v>3251</v>
      </c>
      <c r="C3576" s="8" t="s">
        <v>3252</v>
      </c>
      <c r="D3576" s="8" t="s">
        <v>3253</v>
      </c>
      <c r="E3576" s="8" t="s">
        <v>1715</v>
      </c>
      <c r="F3576" s="9">
        <v>313</v>
      </c>
      <c r="G3576" s="5">
        <f>TRUNC([1]단가대비표!O1740,0)</f>
        <v>439</v>
      </c>
      <c r="H3576" s="5">
        <f t="shared" si="335"/>
        <v>137407</v>
      </c>
      <c r="I3576" s="5">
        <v>6128</v>
      </c>
      <c r="J3576" s="5">
        <f t="shared" si="336"/>
        <v>1918064</v>
      </c>
      <c r="K3576" s="5">
        <v>13</v>
      </c>
      <c r="L3576" s="5">
        <f t="shared" si="337"/>
        <v>4069</v>
      </c>
      <c r="M3576" s="5">
        <f t="shared" si="338"/>
        <v>6580</v>
      </c>
      <c r="N3576" s="5">
        <f t="shared" si="338"/>
        <v>2059540</v>
      </c>
      <c r="O3576" s="8" t="s">
        <v>20</v>
      </c>
      <c r="T3576">
        <v>0</v>
      </c>
      <c r="AC3576">
        <v>1</v>
      </c>
    </row>
    <row r="3577" spans="1:29" ht="30" customHeight="1" x14ac:dyDescent="0.3">
      <c r="A3577" s="5"/>
      <c r="B3577" s="5"/>
      <c r="C3577" s="5"/>
      <c r="D3577" s="5"/>
      <c r="E3577" s="5"/>
      <c r="F3577" s="9"/>
      <c r="G3577" s="5"/>
      <c r="H3577" s="5"/>
      <c r="I3577" s="5"/>
      <c r="J3577" s="5"/>
      <c r="K3577" s="5"/>
      <c r="L3577" s="5"/>
      <c r="M3577" s="5"/>
      <c r="N3577" s="5"/>
      <c r="O3577" s="5"/>
    </row>
    <row r="3578" spans="1:29" ht="30" customHeight="1" x14ac:dyDescent="0.3">
      <c r="A3578" s="5"/>
      <c r="B3578" s="5"/>
      <c r="C3578" s="5"/>
      <c r="D3578" s="5"/>
      <c r="E3578" s="5"/>
      <c r="F3578" s="9"/>
      <c r="G3578" s="5"/>
      <c r="H3578" s="5"/>
      <c r="I3578" s="5"/>
      <c r="J3578" s="5"/>
      <c r="K3578" s="5"/>
      <c r="L3578" s="5"/>
      <c r="M3578" s="5"/>
      <c r="N3578" s="5"/>
      <c r="O3578" s="5"/>
    </row>
    <row r="3579" spans="1:29" ht="30" customHeight="1" x14ac:dyDescent="0.3">
      <c r="A3579" s="5"/>
      <c r="B3579" s="5"/>
      <c r="C3579" s="5"/>
      <c r="D3579" s="5"/>
      <c r="E3579" s="5"/>
      <c r="F3579" s="9"/>
      <c r="G3579" s="5"/>
      <c r="H3579" s="5"/>
      <c r="I3579" s="5"/>
      <c r="J3579" s="5"/>
      <c r="K3579" s="5"/>
      <c r="L3579" s="5"/>
      <c r="M3579" s="5"/>
      <c r="N3579" s="5"/>
      <c r="O3579" s="5"/>
    </row>
    <row r="3580" spans="1:29" ht="30" customHeight="1" x14ac:dyDescent="0.3">
      <c r="A3580" s="5"/>
      <c r="B3580" s="5"/>
      <c r="C3580" s="5"/>
      <c r="D3580" s="5"/>
      <c r="E3580" s="5"/>
      <c r="F3580" s="9"/>
      <c r="G3580" s="5"/>
      <c r="H3580" s="5"/>
      <c r="I3580" s="5"/>
      <c r="J3580" s="5"/>
      <c r="K3580" s="5"/>
      <c r="L3580" s="5"/>
      <c r="M3580" s="5"/>
      <c r="N3580" s="5"/>
      <c r="O3580" s="5"/>
    </row>
    <row r="3581" spans="1:29" ht="30" customHeight="1" x14ac:dyDescent="0.3">
      <c r="A3581" s="5"/>
      <c r="B3581" s="5"/>
      <c r="C3581" s="5"/>
      <c r="D3581" s="5"/>
      <c r="E3581" s="5"/>
      <c r="F3581" s="9"/>
      <c r="G3581" s="5"/>
      <c r="H3581" s="5"/>
      <c r="I3581" s="5"/>
      <c r="J3581" s="5"/>
      <c r="K3581" s="5"/>
      <c r="L3581" s="5"/>
      <c r="M3581" s="5"/>
      <c r="N3581" s="5"/>
      <c r="O3581" s="5"/>
    </row>
    <row r="3582" spans="1:29" ht="30" customHeight="1" x14ac:dyDescent="0.3">
      <c r="A3582" s="5"/>
      <c r="B3582" s="5"/>
      <c r="C3582" s="5"/>
      <c r="D3582" s="5"/>
      <c r="E3582" s="5"/>
      <c r="F3582" s="9"/>
      <c r="G3582" s="5"/>
      <c r="H3582" s="5"/>
      <c r="I3582" s="5"/>
      <c r="J3582" s="5"/>
      <c r="K3582" s="5"/>
      <c r="L3582" s="5"/>
      <c r="M3582" s="5"/>
      <c r="N3582" s="5"/>
      <c r="O3582" s="5"/>
    </row>
    <row r="3583" spans="1:29" ht="30" customHeight="1" x14ac:dyDescent="0.3">
      <c r="A3583" s="5"/>
      <c r="B3583" s="5"/>
      <c r="C3583" s="5"/>
      <c r="D3583" s="5"/>
      <c r="E3583" s="5"/>
      <c r="F3583" s="9"/>
      <c r="G3583" s="5"/>
      <c r="H3583" s="5"/>
      <c r="I3583" s="5"/>
      <c r="J3583" s="5"/>
      <c r="K3583" s="5"/>
      <c r="L3583" s="5"/>
      <c r="M3583" s="5"/>
      <c r="N3583" s="5"/>
      <c r="O3583" s="5"/>
    </row>
    <row r="3584" spans="1:29" ht="30" customHeight="1" x14ac:dyDescent="0.3">
      <c r="A3584" s="5"/>
      <c r="B3584" s="5"/>
      <c r="C3584" s="5"/>
      <c r="D3584" s="5"/>
      <c r="E3584" s="5"/>
      <c r="F3584" s="9"/>
      <c r="G3584" s="5"/>
      <c r="H3584" s="5"/>
      <c r="I3584" s="5"/>
      <c r="J3584" s="5"/>
      <c r="K3584" s="5"/>
      <c r="L3584" s="5"/>
      <c r="M3584" s="5"/>
      <c r="N3584" s="5"/>
      <c r="O3584" s="5"/>
    </row>
    <row r="3585" spans="1:29" ht="30" customHeight="1" x14ac:dyDescent="0.3">
      <c r="A3585" s="5"/>
      <c r="B3585" s="5"/>
      <c r="C3585" s="5"/>
      <c r="D3585" s="5"/>
      <c r="E3585" s="5"/>
      <c r="F3585" s="9"/>
      <c r="G3585" s="5"/>
      <c r="H3585" s="5"/>
      <c r="I3585" s="5"/>
      <c r="J3585" s="5"/>
      <c r="K3585" s="5"/>
      <c r="L3585" s="5"/>
      <c r="M3585" s="5"/>
      <c r="N3585" s="5"/>
      <c r="O3585" s="5"/>
    </row>
    <row r="3586" spans="1:29" ht="30" customHeight="1" x14ac:dyDescent="0.3">
      <c r="A3586" s="5"/>
      <c r="B3586" s="5"/>
      <c r="C3586" s="5"/>
      <c r="D3586" s="5"/>
      <c r="E3586" s="5"/>
      <c r="F3586" s="9"/>
      <c r="G3586" s="5"/>
      <c r="H3586" s="5"/>
      <c r="I3586" s="5"/>
      <c r="J3586" s="5"/>
      <c r="K3586" s="5"/>
      <c r="L3586" s="5"/>
      <c r="M3586" s="5"/>
      <c r="N3586" s="5"/>
      <c r="O3586" s="5"/>
    </row>
    <row r="3587" spans="1:29" ht="30" customHeight="1" x14ac:dyDescent="0.3">
      <c r="A3587" s="5"/>
      <c r="B3587" s="5"/>
      <c r="C3587" s="5"/>
      <c r="D3587" s="5"/>
      <c r="E3587" s="5"/>
      <c r="F3587" s="9"/>
      <c r="G3587" s="5"/>
      <c r="H3587" s="5"/>
      <c r="I3587" s="5"/>
      <c r="J3587" s="5"/>
      <c r="K3587" s="5"/>
      <c r="L3587" s="5"/>
      <c r="M3587" s="5"/>
      <c r="N3587" s="5"/>
      <c r="O3587" s="5"/>
    </row>
    <row r="3588" spans="1:29" ht="30" customHeight="1" x14ac:dyDescent="0.3">
      <c r="A3588" s="5"/>
      <c r="B3588" s="5"/>
      <c r="C3588" s="5"/>
      <c r="D3588" s="5"/>
      <c r="E3588" s="5"/>
      <c r="F3588" s="9"/>
      <c r="G3588" s="5"/>
      <c r="H3588" s="5"/>
      <c r="I3588" s="5"/>
      <c r="J3588" s="5"/>
      <c r="K3588" s="5"/>
      <c r="L3588" s="5"/>
      <c r="M3588" s="5"/>
      <c r="N3588" s="5"/>
      <c r="O3588" s="5"/>
    </row>
    <row r="3589" spans="1:29" ht="30" customHeight="1" x14ac:dyDescent="0.3">
      <c r="A3589" s="5"/>
      <c r="B3589" s="5"/>
      <c r="C3589" s="5"/>
      <c r="D3589" s="5"/>
      <c r="E3589" s="5"/>
      <c r="F3589" s="9"/>
      <c r="G3589" s="5"/>
      <c r="H3589" s="5"/>
      <c r="I3589" s="5"/>
      <c r="J3589" s="5"/>
      <c r="K3589" s="5"/>
      <c r="L3589" s="5"/>
      <c r="M3589" s="5"/>
      <c r="N3589" s="5"/>
      <c r="O3589" s="5"/>
    </row>
    <row r="3590" spans="1:29" ht="30" customHeight="1" x14ac:dyDescent="0.3">
      <c r="A3590" s="5"/>
      <c r="B3590" s="5"/>
      <c r="C3590" s="5"/>
      <c r="D3590" s="5"/>
      <c r="E3590" s="5"/>
      <c r="F3590" s="9"/>
      <c r="G3590" s="5"/>
      <c r="H3590" s="5"/>
      <c r="I3590" s="5"/>
      <c r="J3590" s="5"/>
      <c r="K3590" s="5"/>
      <c r="L3590" s="5"/>
      <c r="M3590" s="5"/>
      <c r="N3590" s="5"/>
      <c r="O3590" s="5"/>
    </row>
    <row r="3591" spans="1:29" ht="30" customHeight="1" x14ac:dyDescent="0.3">
      <c r="A3591" s="5"/>
      <c r="B3591" s="5"/>
      <c r="C3591" s="5" t="s">
        <v>162</v>
      </c>
      <c r="D3591" s="5"/>
      <c r="E3591" s="5"/>
      <c r="F3591" s="9"/>
      <c r="G3591" s="5"/>
      <c r="H3591" s="5">
        <f>SUMIF(AC3567:AC3590, 1, H3567:H3590)</f>
        <v>114376613</v>
      </c>
      <c r="I3591" s="5"/>
      <c r="J3591" s="5">
        <f>SUMIF(AC3567:AC3590, 1, J3567:J3590)</f>
        <v>79236447</v>
      </c>
      <c r="K3591" s="5"/>
      <c r="L3591" s="5">
        <f>SUMIF(AC3567:AC3590, 1, L3567:L3590)</f>
        <v>3336680</v>
      </c>
      <c r="M3591" s="5"/>
      <c r="N3591" s="5">
        <f>H3591+J3591+L3591</f>
        <v>196949740</v>
      </c>
      <c r="O3591" s="5"/>
    </row>
    <row r="3592" spans="1:29" ht="30" customHeight="1" x14ac:dyDescent="0.3">
      <c r="A3592" s="5"/>
      <c r="B3592" s="5"/>
      <c r="C3592" s="6" t="s">
        <v>3254</v>
      </c>
      <c r="D3592" s="6"/>
      <c r="E3592" s="6"/>
      <c r="F3592" s="7"/>
      <c r="G3592" s="6"/>
      <c r="H3592" s="6"/>
      <c r="I3592" s="6"/>
      <c r="J3592" s="6"/>
      <c r="K3592" s="6"/>
      <c r="L3592" s="6"/>
      <c r="M3592" s="6"/>
      <c r="N3592" s="6"/>
      <c r="O3592" s="6"/>
    </row>
    <row r="3593" spans="1:29" ht="30" customHeight="1" x14ac:dyDescent="0.3">
      <c r="A3593" s="8" t="s">
        <v>3255</v>
      </c>
      <c r="B3593" s="8" t="s">
        <v>3256</v>
      </c>
      <c r="C3593" s="8" t="s">
        <v>3257</v>
      </c>
      <c r="D3593" s="8" t="s">
        <v>20</v>
      </c>
      <c r="E3593" s="8" t="s">
        <v>185</v>
      </c>
      <c r="F3593" s="9">
        <v>5</v>
      </c>
      <c r="G3593" s="5">
        <f>TRUNC([1]단가대비표!O1741,0)</f>
        <v>14379</v>
      </c>
      <c r="H3593" s="5">
        <f t="shared" ref="H3593:H3609" si="339">TRUNC(F3593*G3593,0)</f>
        <v>71895</v>
      </c>
      <c r="I3593" s="5">
        <v>479308</v>
      </c>
      <c r="J3593" s="5">
        <f t="shared" ref="J3593:J3609" si="340">TRUNC(F3593*I3593,0)</f>
        <v>2396540</v>
      </c>
      <c r="K3593" s="5">
        <v>0</v>
      </c>
      <c r="L3593" s="5">
        <f t="shared" ref="L3593:L3609" si="341">TRUNC(F3593*K3593,0)</f>
        <v>0</v>
      </c>
      <c r="M3593" s="5">
        <f t="shared" ref="M3593:N3609" si="342">G3593+I3593+K3593</f>
        <v>493687</v>
      </c>
      <c r="N3593" s="5">
        <f t="shared" si="342"/>
        <v>2468435</v>
      </c>
      <c r="O3593" s="8" t="s">
        <v>20</v>
      </c>
      <c r="T3593">
        <v>0</v>
      </c>
      <c r="AC3593">
        <v>1</v>
      </c>
    </row>
    <row r="3594" spans="1:29" ht="30" customHeight="1" x14ac:dyDescent="0.3">
      <c r="A3594" s="8" t="s">
        <v>3255</v>
      </c>
      <c r="B3594" s="8" t="s">
        <v>3258</v>
      </c>
      <c r="C3594" s="8" t="s">
        <v>3259</v>
      </c>
      <c r="D3594" s="8" t="s">
        <v>3260</v>
      </c>
      <c r="E3594" s="8" t="s">
        <v>168</v>
      </c>
      <c r="F3594" s="9">
        <v>60</v>
      </c>
      <c r="G3594" s="5">
        <f>TRUNC([1]단가대비표!O1742,0)</f>
        <v>31205</v>
      </c>
      <c r="H3594" s="5">
        <f t="shared" si="339"/>
        <v>1872300</v>
      </c>
      <c r="I3594" s="5">
        <v>34040</v>
      </c>
      <c r="J3594" s="5">
        <f t="shared" si="340"/>
        <v>2042400</v>
      </c>
      <c r="K3594" s="5">
        <v>23510</v>
      </c>
      <c r="L3594" s="5">
        <f t="shared" si="341"/>
        <v>1410600</v>
      </c>
      <c r="M3594" s="5">
        <f t="shared" si="342"/>
        <v>88755</v>
      </c>
      <c r="N3594" s="5">
        <f t="shared" si="342"/>
        <v>5325300</v>
      </c>
      <c r="O3594" s="8" t="s">
        <v>20</v>
      </c>
      <c r="T3594">
        <v>0</v>
      </c>
      <c r="AC3594">
        <v>1</v>
      </c>
    </row>
    <row r="3595" spans="1:29" ht="30" customHeight="1" x14ac:dyDescent="0.3">
      <c r="A3595" s="8" t="s">
        <v>3255</v>
      </c>
      <c r="B3595" s="8" t="s">
        <v>3261</v>
      </c>
      <c r="C3595" s="8" t="s">
        <v>3262</v>
      </c>
      <c r="D3595" s="8" t="s">
        <v>3260</v>
      </c>
      <c r="E3595" s="8" t="s">
        <v>168</v>
      </c>
      <c r="F3595" s="9">
        <v>30</v>
      </c>
      <c r="G3595" s="5">
        <f>TRUNC([1]단가대비표!O1743,0)</f>
        <v>12392</v>
      </c>
      <c r="H3595" s="5">
        <f t="shared" si="339"/>
        <v>371760</v>
      </c>
      <c r="I3595" s="5">
        <v>40175</v>
      </c>
      <c r="J3595" s="5">
        <f t="shared" si="340"/>
        <v>1205250</v>
      </c>
      <c r="K3595" s="5">
        <v>27988</v>
      </c>
      <c r="L3595" s="5">
        <f t="shared" si="341"/>
        <v>839640</v>
      </c>
      <c r="M3595" s="5">
        <f t="shared" si="342"/>
        <v>80555</v>
      </c>
      <c r="N3595" s="5">
        <f t="shared" si="342"/>
        <v>2416650</v>
      </c>
      <c r="O3595" s="8" t="s">
        <v>20</v>
      </c>
      <c r="T3595">
        <v>0</v>
      </c>
      <c r="AC3595">
        <v>1</v>
      </c>
    </row>
    <row r="3596" spans="1:29" ht="30" customHeight="1" x14ac:dyDescent="0.3">
      <c r="A3596" s="8" t="s">
        <v>3255</v>
      </c>
      <c r="B3596" s="8" t="s">
        <v>3263</v>
      </c>
      <c r="C3596" s="8" t="s">
        <v>3264</v>
      </c>
      <c r="D3596" s="8" t="s">
        <v>3260</v>
      </c>
      <c r="E3596" s="8" t="s">
        <v>168</v>
      </c>
      <c r="F3596" s="9">
        <v>410</v>
      </c>
      <c r="G3596" s="5">
        <f>TRUNC([1]단가대비표!O1744,0)</f>
        <v>16240</v>
      </c>
      <c r="H3596" s="5">
        <f t="shared" si="339"/>
        <v>6658400</v>
      </c>
      <c r="I3596" s="5">
        <v>21180</v>
      </c>
      <c r="J3596" s="5">
        <f t="shared" si="340"/>
        <v>8683800</v>
      </c>
      <c r="K3596" s="5">
        <v>14833</v>
      </c>
      <c r="L3596" s="5">
        <f t="shared" si="341"/>
        <v>6081530</v>
      </c>
      <c r="M3596" s="5">
        <f t="shared" si="342"/>
        <v>52253</v>
      </c>
      <c r="N3596" s="5">
        <f t="shared" si="342"/>
        <v>21423730</v>
      </c>
      <c r="O3596" s="8" t="s">
        <v>20</v>
      </c>
      <c r="T3596">
        <v>0</v>
      </c>
      <c r="AC3596">
        <v>1</v>
      </c>
    </row>
    <row r="3597" spans="1:29" ht="30" customHeight="1" x14ac:dyDescent="0.3">
      <c r="A3597" s="8" t="s">
        <v>3255</v>
      </c>
      <c r="B3597" s="8" t="s">
        <v>3265</v>
      </c>
      <c r="C3597" s="8" t="s">
        <v>3266</v>
      </c>
      <c r="D3597" s="8" t="s">
        <v>3260</v>
      </c>
      <c r="E3597" s="8" t="s">
        <v>168</v>
      </c>
      <c r="F3597" s="9">
        <v>2000</v>
      </c>
      <c r="G3597" s="5">
        <f>TRUNC([1]단가대비표!O1745,0)</f>
        <v>31978</v>
      </c>
      <c r="H3597" s="5">
        <f t="shared" si="339"/>
        <v>63956000</v>
      </c>
      <c r="I3597" s="5">
        <v>39009</v>
      </c>
      <c r="J3597" s="5">
        <f t="shared" si="340"/>
        <v>78018000</v>
      </c>
      <c r="K3597" s="5">
        <v>27428</v>
      </c>
      <c r="L3597" s="5">
        <f t="shared" si="341"/>
        <v>54856000</v>
      </c>
      <c r="M3597" s="5">
        <f t="shared" si="342"/>
        <v>98415</v>
      </c>
      <c r="N3597" s="5">
        <f t="shared" si="342"/>
        <v>196830000</v>
      </c>
      <c r="O3597" s="8" t="s">
        <v>20</v>
      </c>
      <c r="T3597">
        <v>0</v>
      </c>
      <c r="AC3597">
        <v>1</v>
      </c>
    </row>
    <row r="3598" spans="1:29" ht="30" customHeight="1" x14ac:dyDescent="0.3">
      <c r="A3598" s="8" t="s">
        <v>3255</v>
      </c>
      <c r="B3598" s="8" t="s">
        <v>3267</v>
      </c>
      <c r="C3598" s="8" t="s">
        <v>3268</v>
      </c>
      <c r="D3598" s="8" t="s">
        <v>3269</v>
      </c>
      <c r="E3598" s="8" t="s">
        <v>168</v>
      </c>
      <c r="F3598" s="9">
        <v>90</v>
      </c>
      <c r="G3598" s="5">
        <f>TRUNC([1]단가대비표!O1746,0)</f>
        <v>918</v>
      </c>
      <c r="H3598" s="5">
        <f t="shared" si="339"/>
        <v>82620</v>
      </c>
      <c r="I3598" s="5">
        <v>30616</v>
      </c>
      <c r="J3598" s="5">
        <f t="shared" si="340"/>
        <v>2755440</v>
      </c>
      <c r="K3598" s="5">
        <v>0</v>
      </c>
      <c r="L3598" s="5">
        <f t="shared" si="341"/>
        <v>0</v>
      </c>
      <c r="M3598" s="5">
        <f t="shared" si="342"/>
        <v>31534</v>
      </c>
      <c r="N3598" s="5">
        <f t="shared" si="342"/>
        <v>2838060</v>
      </c>
      <c r="O3598" s="8" t="s">
        <v>20</v>
      </c>
      <c r="T3598">
        <v>0</v>
      </c>
      <c r="AC3598">
        <v>1</v>
      </c>
    </row>
    <row r="3599" spans="1:29" ht="30" customHeight="1" x14ac:dyDescent="0.3">
      <c r="A3599" s="8" t="s">
        <v>3255</v>
      </c>
      <c r="B3599" s="8" t="s">
        <v>3270</v>
      </c>
      <c r="C3599" s="8" t="s">
        <v>3271</v>
      </c>
      <c r="D3599" s="8" t="s">
        <v>3272</v>
      </c>
      <c r="E3599" s="8" t="s">
        <v>168</v>
      </c>
      <c r="F3599" s="9">
        <v>90</v>
      </c>
      <c r="G3599" s="5">
        <f>TRUNC([1]단가대비표!O1747,0)</f>
        <v>49510</v>
      </c>
      <c r="H3599" s="5">
        <f t="shared" si="339"/>
        <v>4455900</v>
      </c>
      <c r="I3599" s="5">
        <v>0</v>
      </c>
      <c r="J3599" s="5">
        <f t="shared" si="340"/>
        <v>0</v>
      </c>
      <c r="K3599" s="5">
        <v>0</v>
      </c>
      <c r="L3599" s="5">
        <f t="shared" si="341"/>
        <v>0</v>
      </c>
      <c r="M3599" s="5">
        <f t="shared" si="342"/>
        <v>49510</v>
      </c>
      <c r="N3599" s="5">
        <f t="shared" si="342"/>
        <v>4455900</v>
      </c>
      <c r="O3599" s="8" t="s">
        <v>20</v>
      </c>
      <c r="T3599">
        <v>0</v>
      </c>
      <c r="AC3599">
        <v>1</v>
      </c>
    </row>
    <row r="3600" spans="1:29" ht="30" customHeight="1" x14ac:dyDescent="0.3">
      <c r="A3600" s="8" t="s">
        <v>3255</v>
      </c>
      <c r="B3600" s="8" t="s">
        <v>3273</v>
      </c>
      <c r="C3600" s="8" t="s">
        <v>3274</v>
      </c>
      <c r="D3600" s="8" t="s">
        <v>3275</v>
      </c>
      <c r="E3600" s="8" t="s">
        <v>168</v>
      </c>
      <c r="F3600" s="9">
        <v>2500</v>
      </c>
      <c r="G3600" s="5">
        <f>TRUNC([1]단가대비표!O1748,0)</f>
        <v>1140</v>
      </c>
      <c r="H3600" s="5">
        <f t="shared" si="339"/>
        <v>2850000</v>
      </c>
      <c r="I3600" s="5">
        <v>38016</v>
      </c>
      <c r="J3600" s="5">
        <f t="shared" si="340"/>
        <v>95040000</v>
      </c>
      <c r="K3600" s="5">
        <v>0</v>
      </c>
      <c r="L3600" s="5">
        <f t="shared" si="341"/>
        <v>0</v>
      </c>
      <c r="M3600" s="5">
        <f t="shared" si="342"/>
        <v>39156</v>
      </c>
      <c r="N3600" s="5">
        <f t="shared" si="342"/>
        <v>97890000</v>
      </c>
      <c r="O3600" s="8" t="s">
        <v>20</v>
      </c>
      <c r="T3600">
        <v>0</v>
      </c>
      <c r="AC3600">
        <v>1</v>
      </c>
    </row>
    <row r="3601" spans="1:29" ht="30" customHeight="1" x14ac:dyDescent="0.3">
      <c r="A3601" s="8" t="s">
        <v>3255</v>
      </c>
      <c r="B3601" s="8" t="s">
        <v>3276</v>
      </c>
      <c r="C3601" s="8" t="s">
        <v>3277</v>
      </c>
      <c r="D3601" s="8" t="s">
        <v>20</v>
      </c>
      <c r="E3601" s="8" t="s">
        <v>168</v>
      </c>
      <c r="F3601" s="9">
        <v>2500</v>
      </c>
      <c r="G3601" s="5">
        <f>TRUNC([1]단가대비표!O1749,0)</f>
        <v>264</v>
      </c>
      <c r="H3601" s="5">
        <f t="shared" si="339"/>
        <v>660000</v>
      </c>
      <c r="I3601" s="5">
        <v>8803</v>
      </c>
      <c r="J3601" s="5">
        <f t="shared" si="340"/>
        <v>22007500</v>
      </c>
      <c r="K3601" s="5">
        <v>0</v>
      </c>
      <c r="L3601" s="5">
        <f t="shared" si="341"/>
        <v>0</v>
      </c>
      <c r="M3601" s="5">
        <f t="shared" si="342"/>
        <v>9067</v>
      </c>
      <c r="N3601" s="5">
        <f t="shared" si="342"/>
        <v>22667500</v>
      </c>
      <c r="O3601" s="8" t="s">
        <v>20</v>
      </c>
      <c r="T3601">
        <v>0</v>
      </c>
      <c r="AC3601">
        <v>1</v>
      </c>
    </row>
    <row r="3602" spans="1:29" ht="30" customHeight="1" x14ac:dyDescent="0.3">
      <c r="A3602" s="8" t="s">
        <v>3255</v>
      </c>
      <c r="B3602" s="8" t="s">
        <v>3278</v>
      </c>
      <c r="C3602" s="8" t="s">
        <v>3279</v>
      </c>
      <c r="D3602" s="8" t="s">
        <v>3280</v>
      </c>
      <c r="E3602" s="8" t="s">
        <v>168</v>
      </c>
      <c r="F3602" s="9">
        <v>500</v>
      </c>
      <c r="G3602" s="5">
        <f>TRUNC([1]단가대비표!O1750,0)</f>
        <v>11304</v>
      </c>
      <c r="H3602" s="5">
        <f t="shared" si="339"/>
        <v>5652000</v>
      </c>
      <c r="I3602" s="5">
        <v>45397</v>
      </c>
      <c r="J3602" s="5">
        <f t="shared" si="340"/>
        <v>22698500</v>
      </c>
      <c r="K3602" s="5">
        <v>0</v>
      </c>
      <c r="L3602" s="5">
        <f t="shared" si="341"/>
        <v>0</v>
      </c>
      <c r="M3602" s="5">
        <f t="shared" si="342"/>
        <v>56701</v>
      </c>
      <c r="N3602" s="5">
        <f t="shared" si="342"/>
        <v>28350500</v>
      </c>
      <c r="O3602" s="8" t="s">
        <v>20</v>
      </c>
      <c r="T3602">
        <v>0</v>
      </c>
      <c r="AC3602">
        <v>1</v>
      </c>
    </row>
    <row r="3603" spans="1:29" ht="30" customHeight="1" x14ac:dyDescent="0.3">
      <c r="A3603" s="8" t="s">
        <v>3255</v>
      </c>
      <c r="B3603" s="8" t="s">
        <v>3281</v>
      </c>
      <c r="C3603" s="8" t="s">
        <v>3279</v>
      </c>
      <c r="D3603" s="8" t="s">
        <v>3282</v>
      </c>
      <c r="E3603" s="8" t="s">
        <v>168</v>
      </c>
      <c r="F3603" s="9">
        <v>2000</v>
      </c>
      <c r="G3603" s="5">
        <f>TRUNC([1]단가대비표!O1751,0)</f>
        <v>8497</v>
      </c>
      <c r="H3603" s="5">
        <f t="shared" si="339"/>
        <v>16994000</v>
      </c>
      <c r="I3603" s="5">
        <v>38016</v>
      </c>
      <c r="J3603" s="5">
        <f t="shared" si="340"/>
        <v>76032000</v>
      </c>
      <c r="K3603" s="5">
        <v>0</v>
      </c>
      <c r="L3603" s="5">
        <f t="shared" si="341"/>
        <v>0</v>
      </c>
      <c r="M3603" s="5">
        <f t="shared" si="342"/>
        <v>46513</v>
      </c>
      <c r="N3603" s="5">
        <f t="shared" si="342"/>
        <v>93026000</v>
      </c>
      <c r="O3603" s="8" t="s">
        <v>20</v>
      </c>
      <c r="T3603">
        <v>0</v>
      </c>
      <c r="AC3603">
        <v>1</v>
      </c>
    </row>
    <row r="3604" spans="1:29" ht="30" customHeight="1" x14ac:dyDescent="0.3">
      <c r="A3604" s="8" t="s">
        <v>3255</v>
      </c>
      <c r="B3604" s="8" t="s">
        <v>3283</v>
      </c>
      <c r="C3604" s="8" t="s">
        <v>3284</v>
      </c>
      <c r="D3604" s="8" t="s">
        <v>3280</v>
      </c>
      <c r="E3604" s="8" t="s">
        <v>428</v>
      </c>
      <c r="F3604" s="9">
        <v>125</v>
      </c>
      <c r="G3604" s="5">
        <f>TRUNC([1]단가대비표!O1752,0)</f>
        <v>11304</v>
      </c>
      <c r="H3604" s="5">
        <f t="shared" si="339"/>
        <v>1413000</v>
      </c>
      <c r="I3604" s="5">
        <v>45397</v>
      </c>
      <c r="J3604" s="5">
        <f t="shared" si="340"/>
        <v>5674625</v>
      </c>
      <c r="K3604" s="5">
        <v>0</v>
      </c>
      <c r="L3604" s="5">
        <f t="shared" si="341"/>
        <v>0</v>
      </c>
      <c r="M3604" s="5">
        <f t="shared" si="342"/>
        <v>56701</v>
      </c>
      <c r="N3604" s="5">
        <f t="shared" si="342"/>
        <v>7087625</v>
      </c>
      <c r="O3604" s="8" t="s">
        <v>20</v>
      </c>
      <c r="T3604">
        <v>0</v>
      </c>
      <c r="AC3604">
        <v>1</v>
      </c>
    </row>
    <row r="3605" spans="1:29" ht="30" customHeight="1" x14ac:dyDescent="0.3">
      <c r="A3605" s="8" t="s">
        <v>3255</v>
      </c>
      <c r="B3605" s="8" t="s">
        <v>3285</v>
      </c>
      <c r="C3605" s="8" t="s">
        <v>3284</v>
      </c>
      <c r="D3605" s="8" t="s">
        <v>3286</v>
      </c>
      <c r="E3605" s="8" t="s">
        <v>168</v>
      </c>
      <c r="F3605" s="9">
        <v>500</v>
      </c>
      <c r="G3605" s="5">
        <f>TRUNC([1]단가대비표!O1753,0)</f>
        <v>8497</v>
      </c>
      <c r="H3605" s="5">
        <f t="shared" si="339"/>
        <v>4248500</v>
      </c>
      <c r="I3605" s="5">
        <v>38016</v>
      </c>
      <c r="J3605" s="5">
        <f t="shared" si="340"/>
        <v>19008000</v>
      </c>
      <c r="K3605" s="5">
        <v>0</v>
      </c>
      <c r="L3605" s="5">
        <f t="shared" si="341"/>
        <v>0</v>
      </c>
      <c r="M3605" s="5">
        <f t="shared" si="342"/>
        <v>46513</v>
      </c>
      <c r="N3605" s="5">
        <f t="shared" si="342"/>
        <v>23256500</v>
      </c>
      <c r="O3605" s="8" t="s">
        <v>20</v>
      </c>
      <c r="T3605">
        <v>0</v>
      </c>
      <c r="AC3605">
        <v>1</v>
      </c>
    </row>
    <row r="3606" spans="1:29" ht="30" customHeight="1" x14ac:dyDescent="0.3">
      <c r="A3606" s="8" t="s">
        <v>3255</v>
      </c>
      <c r="B3606" s="8" t="s">
        <v>3287</v>
      </c>
      <c r="C3606" s="8" t="s">
        <v>3288</v>
      </c>
      <c r="D3606" s="8" t="s">
        <v>3289</v>
      </c>
      <c r="E3606" s="8" t="s">
        <v>168</v>
      </c>
      <c r="F3606" s="9">
        <v>2650</v>
      </c>
      <c r="G3606" s="5">
        <f>TRUNC([1]단가대비표!O1754,0)</f>
        <v>2150</v>
      </c>
      <c r="H3606" s="5">
        <f t="shared" si="339"/>
        <v>5697500</v>
      </c>
      <c r="I3606" s="5">
        <v>0</v>
      </c>
      <c r="J3606" s="5">
        <f t="shared" si="340"/>
        <v>0</v>
      </c>
      <c r="K3606" s="5">
        <v>0</v>
      </c>
      <c r="L3606" s="5">
        <f t="shared" si="341"/>
        <v>0</v>
      </c>
      <c r="M3606" s="5">
        <f t="shared" si="342"/>
        <v>2150</v>
      </c>
      <c r="N3606" s="5">
        <f t="shared" si="342"/>
        <v>5697500</v>
      </c>
      <c r="O3606" s="8" t="s">
        <v>20</v>
      </c>
      <c r="T3606">
        <v>0</v>
      </c>
      <c r="AC3606">
        <v>1</v>
      </c>
    </row>
    <row r="3607" spans="1:29" ht="30" customHeight="1" x14ac:dyDescent="0.3">
      <c r="A3607" s="8" t="s">
        <v>3255</v>
      </c>
      <c r="B3607" s="8" t="s">
        <v>3290</v>
      </c>
      <c r="C3607" s="8" t="s">
        <v>3291</v>
      </c>
      <c r="D3607" s="8" t="s">
        <v>20</v>
      </c>
      <c r="E3607" s="8" t="s">
        <v>3292</v>
      </c>
      <c r="F3607" s="9">
        <v>5</v>
      </c>
      <c r="G3607" s="5">
        <f>TRUNC([1]단가대비표!O1755,0)</f>
        <v>2000000</v>
      </c>
      <c r="H3607" s="5">
        <f t="shared" si="339"/>
        <v>10000000</v>
      </c>
      <c r="I3607" s="5">
        <v>0</v>
      </c>
      <c r="J3607" s="5">
        <f t="shared" si="340"/>
        <v>0</v>
      </c>
      <c r="K3607" s="5">
        <v>0</v>
      </c>
      <c r="L3607" s="5">
        <f t="shared" si="341"/>
        <v>0</v>
      </c>
      <c r="M3607" s="5">
        <f t="shared" si="342"/>
        <v>2000000</v>
      </c>
      <c r="N3607" s="5">
        <f t="shared" si="342"/>
        <v>10000000</v>
      </c>
      <c r="O3607" s="8" t="s">
        <v>20</v>
      </c>
      <c r="T3607">
        <v>0</v>
      </c>
      <c r="AC3607">
        <v>1</v>
      </c>
    </row>
    <row r="3608" spans="1:29" ht="30" customHeight="1" x14ac:dyDescent="0.3">
      <c r="A3608" s="8" t="s">
        <v>3255</v>
      </c>
      <c r="B3608" s="8" t="s">
        <v>3293</v>
      </c>
      <c r="C3608" s="8" t="s">
        <v>3294</v>
      </c>
      <c r="D3608" s="8" t="s">
        <v>20</v>
      </c>
      <c r="E3608" s="8" t="s">
        <v>19</v>
      </c>
      <c r="F3608" s="9">
        <v>5</v>
      </c>
      <c r="G3608" s="5">
        <f>TRUNC([1]단가대비표!O1756,0)</f>
        <v>3000000</v>
      </c>
      <c r="H3608" s="5">
        <f t="shared" si="339"/>
        <v>15000000</v>
      </c>
      <c r="I3608" s="5">
        <v>0</v>
      </c>
      <c r="J3608" s="5">
        <f t="shared" si="340"/>
        <v>0</v>
      </c>
      <c r="K3608" s="5">
        <v>0</v>
      </c>
      <c r="L3608" s="5">
        <f t="shared" si="341"/>
        <v>0</v>
      </c>
      <c r="M3608" s="5">
        <f t="shared" si="342"/>
        <v>3000000</v>
      </c>
      <c r="N3608" s="5">
        <f t="shared" si="342"/>
        <v>15000000</v>
      </c>
      <c r="O3608" s="8" t="s">
        <v>20</v>
      </c>
      <c r="T3608">
        <v>0</v>
      </c>
      <c r="AC3608">
        <v>1</v>
      </c>
    </row>
    <row r="3609" spans="1:29" ht="30" customHeight="1" x14ac:dyDescent="0.3">
      <c r="A3609" s="8" t="s">
        <v>3255</v>
      </c>
      <c r="B3609" s="8" t="s">
        <v>3295</v>
      </c>
      <c r="C3609" s="8" t="s">
        <v>3296</v>
      </c>
      <c r="D3609" s="8" t="s">
        <v>3297</v>
      </c>
      <c r="E3609" s="8" t="s">
        <v>185</v>
      </c>
      <c r="F3609" s="9">
        <v>5</v>
      </c>
      <c r="G3609" s="5">
        <f>TRUNC([1]단가대비표!O1757,0)</f>
        <v>500000</v>
      </c>
      <c r="H3609" s="5">
        <f t="shared" si="339"/>
        <v>2500000</v>
      </c>
      <c r="I3609" s="5">
        <v>0</v>
      </c>
      <c r="J3609" s="5">
        <f t="shared" si="340"/>
        <v>0</v>
      </c>
      <c r="K3609" s="5">
        <v>0</v>
      </c>
      <c r="L3609" s="5">
        <f t="shared" si="341"/>
        <v>0</v>
      </c>
      <c r="M3609" s="5">
        <f t="shared" si="342"/>
        <v>500000</v>
      </c>
      <c r="N3609" s="5">
        <f t="shared" si="342"/>
        <v>2500000</v>
      </c>
      <c r="O3609" s="8" t="s">
        <v>20</v>
      </c>
      <c r="T3609">
        <v>0</v>
      </c>
      <c r="AC3609">
        <v>1</v>
      </c>
    </row>
    <row r="3610" spans="1:29" ht="30" customHeight="1" x14ac:dyDescent="0.3">
      <c r="A3610" s="5"/>
      <c r="B3610" s="5"/>
      <c r="C3610" s="5"/>
      <c r="D3610" s="5"/>
      <c r="E3610" s="5"/>
      <c r="F3610" s="9"/>
      <c r="G3610" s="5"/>
      <c r="H3610" s="5"/>
      <c r="I3610" s="5"/>
      <c r="J3610" s="5"/>
      <c r="K3610" s="5"/>
      <c r="L3610" s="5"/>
      <c r="M3610" s="5"/>
      <c r="N3610" s="5"/>
      <c r="O3610" s="5"/>
    </row>
    <row r="3611" spans="1:29" ht="30" customHeight="1" x14ac:dyDescent="0.3">
      <c r="A3611" s="5"/>
      <c r="B3611" s="5"/>
      <c r="C3611" s="5"/>
      <c r="D3611" s="5"/>
      <c r="E3611" s="5"/>
      <c r="F3611" s="9"/>
      <c r="G3611" s="5"/>
      <c r="H3611" s="5"/>
      <c r="I3611" s="5"/>
      <c r="J3611" s="5"/>
      <c r="K3611" s="5"/>
      <c r="L3611" s="5"/>
      <c r="M3611" s="5"/>
      <c r="N3611" s="5"/>
      <c r="O3611" s="5"/>
    </row>
    <row r="3612" spans="1:29" ht="30" customHeight="1" x14ac:dyDescent="0.3">
      <c r="A3612" s="5"/>
      <c r="B3612" s="5"/>
      <c r="C3612" s="5"/>
      <c r="D3612" s="5"/>
      <c r="E3612" s="5"/>
      <c r="F3612" s="9"/>
      <c r="G3612" s="5"/>
      <c r="H3612" s="5"/>
      <c r="I3612" s="5"/>
      <c r="J3612" s="5"/>
      <c r="K3612" s="5"/>
      <c r="L3612" s="5"/>
      <c r="M3612" s="5"/>
      <c r="N3612" s="5"/>
      <c r="O3612" s="5"/>
    </row>
    <row r="3613" spans="1:29" ht="30" customHeight="1" x14ac:dyDescent="0.3">
      <c r="A3613" s="5"/>
      <c r="B3613" s="5"/>
      <c r="C3613" s="5"/>
      <c r="D3613" s="5"/>
      <c r="E3613" s="5"/>
      <c r="F3613" s="9"/>
      <c r="G3613" s="5"/>
      <c r="H3613" s="5"/>
      <c r="I3613" s="5"/>
      <c r="J3613" s="5"/>
      <c r="K3613" s="5"/>
      <c r="L3613" s="5"/>
      <c r="M3613" s="5"/>
      <c r="N3613" s="5"/>
      <c r="O3613" s="5"/>
    </row>
    <row r="3614" spans="1:29" ht="30" customHeight="1" x14ac:dyDescent="0.3">
      <c r="A3614" s="5"/>
      <c r="B3614" s="5"/>
      <c r="C3614" s="5"/>
      <c r="D3614" s="5"/>
      <c r="E3614" s="5"/>
      <c r="F3614" s="9"/>
      <c r="G3614" s="5"/>
      <c r="H3614" s="5"/>
      <c r="I3614" s="5"/>
      <c r="J3614" s="5"/>
      <c r="K3614" s="5"/>
      <c r="L3614" s="5"/>
      <c r="M3614" s="5"/>
      <c r="N3614" s="5"/>
      <c r="O3614" s="5"/>
    </row>
    <row r="3615" spans="1:29" ht="30" customHeight="1" x14ac:dyDescent="0.3">
      <c r="A3615" s="5"/>
      <c r="B3615" s="5"/>
      <c r="C3615" s="5"/>
      <c r="D3615" s="5"/>
      <c r="E3615" s="5"/>
      <c r="F3615" s="9"/>
      <c r="G3615" s="5"/>
      <c r="H3615" s="5"/>
      <c r="I3615" s="5"/>
      <c r="J3615" s="5"/>
      <c r="K3615" s="5"/>
      <c r="L3615" s="5"/>
      <c r="M3615" s="5"/>
      <c r="N3615" s="5"/>
      <c r="O3615" s="5"/>
    </row>
    <row r="3616" spans="1:29" ht="30" customHeight="1" x14ac:dyDescent="0.3">
      <c r="A3616" s="5"/>
      <c r="B3616" s="5"/>
      <c r="C3616" s="5"/>
      <c r="D3616" s="5"/>
      <c r="E3616" s="5"/>
      <c r="F3616" s="9"/>
      <c r="G3616" s="5"/>
      <c r="H3616" s="5"/>
      <c r="I3616" s="5"/>
      <c r="J3616" s="5"/>
      <c r="K3616" s="5"/>
      <c r="L3616" s="5"/>
      <c r="M3616" s="5"/>
      <c r="N3616" s="5"/>
      <c r="O3616" s="5"/>
    </row>
    <row r="3617" spans="1:29" ht="30" customHeight="1" x14ac:dyDescent="0.3">
      <c r="A3617" s="5"/>
      <c r="B3617" s="5"/>
      <c r="C3617" s="5" t="s">
        <v>162</v>
      </c>
      <c r="D3617" s="5"/>
      <c r="E3617" s="5"/>
      <c r="F3617" s="9"/>
      <c r="G3617" s="5"/>
      <c r="H3617" s="5">
        <f>SUMIF(AC3593:AC3616, 1, H3593:H3616)</f>
        <v>142483875</v>
      </c>
      <c r="I3617" s="5"/>
      <c r="J3617" s="5">
        <f>SUMIF(AC3593:AC3616, 1, J3593:J3616)</f>
        <v>335562055</v>
      </c>
      <c r="K3617" s="5"/>
      <c r="L3617" s="5">
        <f>SUMIF(AC3593:AC3616, 1, L3593:L3616)</f>
        <v>63187770</v>
      </c>
      <c r="M3617" s="5"/>
      <c r="N3617" s="5">
        <f>H3617+J3617+L3617</f>
        <v>541233700</v>
      </c>
      <c r="O3617" s="5"/>
    </row>
    <row r="3618" spans="1:29" ht="30" customHeight="1" x14ac:dyDescent="0.3">
      <c r="A3618" s="5"/>
      <c r="B3618" s="5"/>
      <c r="C3618" s="6" t="s">
        <v>3298</v>
      </c>
      <c r="D3618" s="6"/>
      <c r="E3618" s="6"/>
      <c r="F3618" s="7"/>
      <c r="G3618" s="6"/>
      <c r="H3618" s="6"/>
      <c r="I3618" s="6"/>
      <c r="J3618" s="6"/>
      <c r="K3618" s="6"/>
      <c r="L3618" s="6"/>
      <c r="M3618" s="6"/>
      <c r="N3618" s="6"/>
      <c r="O3618" s="6"/>
    </row>
    <row r="3619" spans="1:29" ht="30" customHeight="1" x14ac:dyDescent="0.3">
      <c r="A3619" s="8" t="s">
        <v>3299</v>
      </c>
      <c r="B3619" s="8" t="s">
        <v>3300</v>
      </c>
      <c r="C3619" s="8" t="s">
        <v>3257</v>
      </c>
      <c r="D3619" s="8" t="s">
        <v>20</v>
      </c>
      <c r="E3619" s="8" t="s">
        <v>185</v>
      </c>
      <c r="F3619" s="9">
        <v>2</v>
      </c>
      <c r="G3619" s="5">
        <f>TRUNC([1]단가대비표!O1758,0)</f>
        <v>14379</v>
      </c>
      <c r="H3619" s="5">
        <f t="shared" ref="H3619:H3635" si="343">TRUNC(F3619*G3619,0)</f>
        <v>28758</v>
      </c>
      <c r="I3619" s="5">
        <v>479308</v>
      </c>
      <c r="J3619" s="5">
        <f t="shared" ref="J3619:J3635" si="344">TRUNC(F3619*I3619,0)</f>
        <v>958616</v>
      </c>
      <c r="K3619" s="5">
        <v>0</v>
      </c>
      <c r="L3619" s="5">
        <f t="shared" ref="L3619:L3635" si="345">TRUNC(F3619*K3619,0)</f>
        <v>0</v>
      </c>
      <c r="M3619" s="5">
        <f t="shared" ref="M3619:N3635" si="346">G3619+I3619+K3619</f>
        <v>493687</v>
      </c>
      <c r="N3619" s="5">
        <f t="shared" si="346"/>
        <v>987374</v>
      </c>
      <c r="O3619" s="8" t="s">
        <v>20</v>
      </c>
      <c r="T3619">
        <v>0</v>
      </c>
      <c r="AC3619">
        <v>1</v>
      </c>
    </row>
    <row r="3620" spans="1:29" ht="30" customHeight="1" x14ac:dyDescent="0.3">
      <c r="A3620" s="8" t="s">
        <v>3299</v>
      </c>
      <c r="B3620" s="8" t="s">
        <v>3301</v>
      </c>
      <c r="C3620" s="8" t="s">
        <v>3262</v>
      </c>
      <c r="D3620" s="8" t="s">
        <v>3260</v>
      </c>
      <c r="E3620" s="8" t="s">
        <v>168</v>
      </c>
      <c r="F3620" s="9">
        <v>24</v>
      </c>
      <c r="G3620" s="5">
        <f>TRUNC([1]단가대비표!O1759,0)</f>
        <v>12392</v>
      </c>
      <c r="H3620" s="5">
        <f t="shared" si="343"/>
        <v>297408</v>
      </c>
      <c r="I3620" s="5">
        <v>40175</v>
      </c>
      <c r="J3620" s="5">
        <f t="shared" si="344"/>
        <v>964200</v>
      </c>
      <c r="K3620" s="5">
        <v>27988</v>
      </c>
      <c r="L3620" s="5">
        <f t="shared" si="345"/>
        <v>671712</v>
      </c>
      <c r="M3620" s="5">
        <f t="shared" si="346"/>
        <v>80555</v>
      </c>
      <c r="N3620" s="5">
        <f t="shared" si="346"/>
        <v>1933320</v>
      </c>
      <c r="O3620" s="8" t="s">
        <v>20</v>
      </c>
      <c r="T3620">
        <v>0</v>
      </c>
      <c r="AC3620">
        <v>1</v>
      </c>
    </row>
    <row r="3621" spans="1:29" ht="30" customHeight="1" x14ac:dyDescent="0.3">
      <c r="A3621" s="8" t="s">
        <v>3299</v>
      </c>
      <c r="B3621" s="8" t="s">
        <v>3302</v>
      </c>
      <c r="C3621" s="8" t="s">
        <v>3259</v>
      </c>
      <c r="D3621" s="8" t="s">
        <v>3260</v>
      </c>
      <c r="E3621" s="8" t="s">
        <v>168</v>
      </c>
      <c r="F3621" s="9">
        <v>12</v>
      </c>
      <c r="G3621" s="5">
        <f>TRUNC([1]단가대비표!O1760,0)</f>
        <v>31205</v>
      </c>
      <c r="H3621" s="5">
        <f t="shared" si="343"/>
        <v>374460</v>
      </c>
      <c r="I3621" s="5">
        <v>34040</v>
      </c>
      <c r="J3621" s="5">
        <f t="shared" si="344"/>
        <v>408480</v>
      </c>
      <c r="K3621" s="5">
        <v>23510</v>
      </c>
      <c r="L3621" s="5">
        <f t="shared" si="345"/>
        <v>282120</v>
      </c>
      <c r="M3621" s="5">
        <f t="shared" si="346"/>
        <v>88755</v>
      </c>
      <c r="N3621" s="5">
        <f t="shared" si="346"/>
        <v>1065060</v>
      </c>
      <c r="O3621" s="8" t="s">
        <v>20</v>
      </c>
      <c r="T3621">
        <v>0</v>
      </c>
      <c r="AC3621">
        <v>1</v>
      </c>
    </row>
    <row r="3622" spans="1:29" ht="30" customHeight="1" x14ac:dyDescent="0.3">
      <c r="A3622" s="8" t="s">
        <v>3299</v>
      </c>
      <c r="B3622" s="8" t="s">
        <v>3303</v>
      </c>
      <c r="C3622" s="8" t="s">
        <v>3264</v>
      </c>
      <c r="D3622" s="8" t="s">
        <v>3260</v>
      </c>
      <c r="E3622" s="8" t="s">
        <v>168</v>
      </c>
      <c r="F3622" s="9">
        <v>164</v>
      </c>
      <c r="G3622" s="5">
        <f>TRUNC([1]단가대비표!O1761,0)</f>
        <v>16240</v>
      </c>
      <c r="H3622" s="5">
        <f t="shared" si="343"/>
        <v>2663360</v>
      </c>
      <c r="I3622" s="5">
        <v>21180</v>
      </c>
      <c r="J3622" s="5">
        <f t="shared" si="344"/>
        <v>3473520</v>
      </c>
      <c r="K3622" s="5">
        <v>14833</v>
      </c>
      <c r="L3622" s="5">
        <f t="shared" si="345"/>
        <v>2432612</v>
      </c>
      <c r="M3622" s="5">
        <f t="shared" si="346"/>
        <v>52253</v>
      </c>
      <c r="N3622" s="5">
        <f t="shared" si="346"/>
        <v>8569492</v>
      </c>
      <c r="O3622" s="8" t="s">
        <v>20</v>
      </c>
      <c r="T3622">
        <v>0</v>
      </c>
      <c r="AC3622">
        <v>1</v>
      </c>
    </row>
    <row r="3623" spans="1:29" ht="30" customHeight="1" x14ac:dyDescent="0.3">
      <c r="A3623" s="8" t="s">
        <v>3299</v>
      </c>
      <c r="B3623" s="8" t="s">
        <v>3304</v>
      </c>
      <c r="C3623" s="8" t="s">
        <v>3266</v>
      </c>
      <c r="D3623" s="8" t="s">
        <v>3260</v>
      </c>
      <c r="E3623" s="8" t="s">
        <v>168</v>
      </c>
      <c r="F3623" s="9">
        <v>800</v>
      </c>
      <c r="G3623" s="5">
        <f>TRUNC([1]단가대비표!O1762,0)</f>
        <v>31978</v>
      </c>
      <c r="H3623" s="5">
        <f t="shared" si="343"/>
        <v>25582400</v>
      </c>
      <c r="I3623" s="5">
        <v>39009</v>
      </c>
      <c r="J3623" s="5">
        <f t="shared" si="344"/>
        <v>31207200</v>
      </c>
      <c r="K3623" s="5">
        <v>27428</v>
      </c>
      <c r="L3623" s="5">
        <f t="shared" si="345"/>
        <v>21942400</v>
      </c>
      <c r="M3623" s="5">
        <f t="shared" si="346"/>
        <v>98415</v>
      </c>
      <c r="N3623" s="5">
        <f t="shared" si="346"/>
        <v>78732000</v>
      </c>
      <c r="O3623" s="8" t="s">
        <v>20</v>
      </c>
      <c r="T3623">
        <v>0</v>
      </c>
      <c r="AC3623">
        <v>1</v>
      </c>
    </row>
    <row r="3624" spans="1:29" ht="30" customHeight="1" x14ac:dyDescent="0.3">
      <c r="A3624" s="8" t="s">
        <v>3299</v>
      </c>
      <c r="B3624" s="8" t="s">
        <v>3305</v>
      </c>
      <c r="C3624" s="8" t="s">
        <v>3268</v>
      </c>
      <c r="D3624" s="8" t="s">
        <v>3269</v>
      </c>
      <c r="E3624" s="8" t="s">
        <v>168</v>
      </c>
      <c r="F3624" s="9">
        <v>36</v>
      </c>
      <c r="G3624" s="5">
        <f>TRUNC([1]단가대비표!O1763,0)</f>
        <v>918</v>
      </c>
      <c r="H3624" s="5">
        <f t="shared" si="343"/>
        <v>33048</v>
      </c>
      <c r="I3624" s="5">
        <v>30616</v>
      </c>
      <c r="J3624" s="5">
        <f t="shared" si="344"/>
        <v>1102176</v>
      </c>
      <c r="K3624" s="5">
        <v>0</v>
      </c>
      <c r="L3624" s="5">
        <f t="shared" si="345"/>
        <v>0</v>
      </c>
      <c r="M3624" s="5">
        <f t="shared" si="346"/>
        <v>31534</v>
      </c>
      <c r="N3624" s="5">
        <f t="shared" si="346"/>
        <v>1135224</v>
      </c>
      <c r="O3624" s="8" t="s">
        <v>20</v>
      </c>
      <c r="T3624">
        <v>0</v>
      </c>
      <c r="AC3624">
        <v>1</v>
      </c>
    </row>
    <row r="3625" spans="1:29" ht="30" customHeight="1" x14ac:dyDescent="0.3">
      <c r="A3625" s="8" t="s">
        <v>3299</v>
      </c>
      <c r="B3625" s="8" t="s">
        <v>3306</v>
      </c>
      <c r="C3625" s="8" t="s">
        <v>3271</v>
      </c>
      <c r="D3625" s="8" t="s">
        <v>3307</v>
      </c>
      <c r="E3625" s="8" t="s">
        <v>168</v>
      </c>
      <c r="F3625" s="9">
        <v>36</v>
      </c>
      <c r="G3625" s="5">
        <f>TRUNC([1]단가대비표!O1764,0)</f>
        <v>24402</v>
      </c>
      <c r="H3625" s="5">
        <f t="shared" si="343"/>
        <v>878472</v>
      </c>
      <c r="I3625" s="5">
        <v>0</v>
      </c>
      <c r="J3625" s="5">
        <f t="shared" si="344"/>
        <v>0</v>
      </c>
      <c r="K3625" s="5">
        <v>0</v>
      </c>
      <c r="L3625" s="5">
        <f t="shared" si="345"/>
        <v>0</v>
      </c>
      <c r="M3625" s="5">
        <f t="shared" si="346"/>
        <v>24402</v>
      </c>
      <c r="N3625" s="5">
        <f t="shared" si="346"/>
        <v>878472</v>
      </c>
      <c r="O3625" s="8" t="s">
        <v>20</v>
      </c>
      <c r="T3625">
        <v>0</v>
      </c>
      <c r="AC3625">
        <v>1</v>
      </c>
    </row>
    <row r="3626" spans="1:29" ht="30" customHeight="1" x14ac:dyDescent="0.3">
      <c r="A3626" s="8" t="s">
        <v>3299</v>
      </c>
      <c r="B3626" s="8" t="s">
        <v>3308</v>
      </c>
      <c r="C3626" s="8" t="s">
        <v>3274</v>
      </c>
      <c r="D3626" s="8" t="s">
        <v>3275</v>
      </c>
      <c r="E3626" s="8" t="s">
        <v>168</v>
      </c>
      <c r="F3626" s="9">
        <v>1000</v>
      </c>
      <c r="G3626" s="5">
        <f>TRUNC([1]단가대비표!O1765,0)</f>
        <v>1140</v>
      </c>
      <c r="H3626" s="5">
        <f t="shared" si="343"/>
        <v>1140000</v>
      </c>
      <c r="I3626" s="5">
        <v>38016</v>
      </c>
      <c r="J3626" s="5">
        <f t="shared" si="344"/>
        <v>38016000</v>
      </c>
      <c r="K3626" s="5">
        <v>0</v>
      </c>
      <c r="L3626" s="5">
        <f t="shared" si="345"/>
        <v>0</v>
      </c>
      <c r="M3626" s="5">
        <f t="shared" si="346"/>
        <v>39156</v>
      </c>
      <c r="N3626" s="5">
        <f t="shared" si="346"/>
        <v>39156000</v>
      </c>
      <c r="O3626" s="8" t="s">
        <v>20</v>
      </c>
      <c r="T3626">
        <v>0</v>
      </c>
      <c r="AC3626">
        <v>1</v>
      </c>
    </row>
    <row r="3627" spans="1:29" ht="30" customHeight="1" x14ac:dyDescent="0.3">
      <c r="A3627" s="8" t="s">
        <v>3299</v>
      </c>
      <c r="B3627" s="8" t="s">
        <v>3309</v>
      </c>
      <c r="C3627" s="8" t="s">
        <v>3277</v>
      </c>
      <c r="D3627" s="8" t="s">
        <v>20</v>
      </c>
      <c r="E3627" s="8" t="s">
        <v>168</v>
      </c>
      <c r="F3627" s="9">
        <v>1000</v>
      </c>
      <c r="G3627" s="5">
        <f>TRUNC([1]단가대비표!O1766,0)</f>
        <v>264</v>
      </c>
      <c r="H3627" s="5">
        <f t="shared" si="343"/>
        <v>264000</v>
      </c>
      <c r="I3627" s="5">
        <v>8803</v>
      </c>
      <c r="J3627" s="5">
        <f t="shared" si="344"/>
        <v>8803000</v>
      </c>
      <c r="K3627" s="5">
        <v>0</v>
      </c>
      <c r="L3627" s="5">
        <f t="shared" si="345"/>
        <v>0</v>
      </c>
      <c r="M3627" s="5">
        <f t="shared" si="346"/>
        <v>9067</v>
      </c>
      <c r="N3627" s="5">
        <f t="shared" si="346"/>
        <v>9067000</v>
      </c>
      <c r="O3627" s="8" t="s">
        <v>20</v>
      </c>
      <c r="T3627">
        <v>0</v>
      </c>
      <c r="AC3627">
        <v>1</v>
      </c>
    </row>
    <row r="3628" spans="1:29" ht="30" customHeight="1" x14ac:dyDescent="0.3">
      <c r="A3628" s="8" t="s">
        <v>3299</v>
      </c>
      <c r="B3628" s="8" t="s">
        <v>3310</v>
      </c>
      <c r="C3628" s="8" t="s">
        <v>3279</v>
      </c>
      <c r="D3628" s="8" t="s">
        <v>3280</v>
      </c>
      <c r="E3628" s="8" t="s">
        <v>168</v>
      </c>
      <c r="F3628" s="9">
        <v>200</v>
      </c>
      <c r="G3628" s="5">
        <f>TRUNC([1]단가대비표!O1767,0)</f>
        <v>11304</v>
      </c>
      <c r="H3628" s="5">
        <f t="shared" si="343"/>
        <v>2260800</v>
      </c>
      <c r="I3628" s="5">
        <v>45397</v>
      </c>
      <c r="J3628" s="5">
        <f t="shared" si="344"/>
        <v>9079400</v>
      </c>
      <c r="K3628" s="5">
        <v>0</v>
      </c>
      <c r="L3628" s="5">
        <f t="shared" si="345"/>
        <v>0</v>
      </c>
      <c r="M3628" s="5">
        <f t="shared" si="346"/>
        <v>56701</v>
      </c>
      <c r="N3628" s="5">
        <f t="shared" si="346"/>
        <v>11340200</v>
      </c>
      <c r="O3628" s="8" t="s">
        <v>20</v>
      </c>
      <c r="T3628">
        <v>0</v>
      </c>
      <c r="AC3628">
        <v>1</v>
      </c>
    </row>
    <row r="3629" spans="1:29" ht="30" customHeight="1" x14ac:dyDescent="0.3">
      <c r="A3629" s="8" t="s">
        <v>3299</v>
      </c>
      <c r="B3629" s="8" t="s">
        <v>3311</v>
      </c>
      <c r="C3629" s="8" t="s">
        <v>3279</v>
      </c>
      <c r="D3629" s="8" t="s">
        <v>3282</v>
      </c>
      <c r="E3629" s="8" t="s">
        <v>168</v>
      </c>
      <c r="F3629" s="9">
        <v>800</v>
      </c>
      <c r="G3629" s="5">
        <f>TRUNC([1]단가대비표!O1768,0)</f>
        <v>8497</v>
      </c>
      <c r="H3629" s="5">
        <f t="shared" si="343"/>
        <v>6797600</v>
      </c>
      <c r="I3629" s="5">
        <v>38016</v>
      </c>
      <c r="J3629" s="5">
        <f t="shared" si="344"/>
        <v>30412800</v>
      </c>
      <c r="K3629" s="5">
        <v>0</v>
      </c>
      <c r="L3629" s="5">
        <f t="shared" si="345"/>
        <v>0</v>
      </c>
      <c r="M3629" s="5">
        <f t="shared" si="346"/>
        <v>46513</v>
      </c>
      <c r="N3629" s="5">
        <f t="shared" si="346"/>
        <v>37210400</v>
      </c>
      <c r="O3629" s="8" t="s">
        <v>20</v>
      </c>
      <c r="T3629">
        <v>0</v>
      </c>
      <c r="AC3629">
        <v>1</v>
      </c>
    </row>
    <row r="3630" spans="1:29" ht="30" customHeight="1" x14ac:dyDescent="0.3">
      <c r="A3630" s="8" t="s">
        <v>3299</v>
      </c>
      <c r="B3630" s="8" t="s">
        <v>3312</v>
      </c>
      <c r="C3630" s="8" t="s">
        <v>3284</v>
      </c>
      <c r="D3630" s="8" t="s">
        <v>3280</v>
      </c>
      <c r="E3630" s="8" t="s">
        <v>428</v>
      </c>
      <c r="F3630" s="9">
        <v>50</v>
      </c>
      <c r="G3630" s="5">
        <f>TRUNC([1]단가대비표!O1769,0)</f>
        <v>11304</v>
      </c>
      <c r="H3630" s="5">
        <f t="shared" si="343"/>
        <v>565200</v>
      </c>
      <c r="I3630" s="5">
        <v>45397</v>
      </c>
      <c r="J3630" s="5">
        <f t="shared" si="344"/>
        <v>2269850</v>
      </c>
      <c r="K3630" s="5">
        <v>0</v>
      </c>
      <c r="L3630" s="5">
        <f t="shared" si="345"/>
        <v>0</v>
      </c>
      <c r="M3630" s="5">
        <f t="shared" si="346"/>
        <v>56701</v>
      </c>
      <c r="N3630" s="5">
        <f t="shared" si="346"/>
        <v>2835050</v>
      </c>
      <c r="O3630" s="8" t="s">
        <v>20</v>
      </c>
      <c r="T3630">
        <v>0</v>
      </c>
      <c r="AC3630">
        <v>1</v>
      </c>
    </row>
    <row r="3631" spans="1:29" ht="30" customHeight="1" x14ac:dyDescent="0.3">
      <c r="A3631" s="8" t="s">
        <v>3299</v>
      </c>
      <c r="B3631" s="8" t="s">
        <v>3313</v>
      </c>
      <c r="C3631" s="8" t="s">
        <v>3284</v>
      </c>
      <c r="D3631" s="8" t="s">
        <v>3282</v>
      </c>
      <c r="E3631" s="8" t="s">
        <v>428</v>
      </c>
      <c r="F3631" s="9">
        <v>200</v>
      </c>
      <c r="G3631" s="5">
        <f>TRUNC([1]단가대비표!O1770,0)</f>
        <v>11304</v>
      </c>
      <c r="H3631" s="5">
        <f t="shared" si="343"/>
        <v>2260800</v>
      </c>
      <c r="I3631" s="5">
        <v>45397</v>
      </c>
      <c r="J3631" s="5">
        <f t="shared" si="344"/>
        <v>9079400</v>
      </c>
      <c r="K3631" s="5">
        <v>0</v>
      </c>
      <c r="L3631" s="5">
        <f t="shared" si="345"/>
        <v>0</v>
      </c>
      <c r="M3631" s="5">
        <f t="shared" si="346"/>
        <v>56701</v>
      </c>
      <c r="N3631" s="5">
        <f t="shared" si="346"/>
        <v>11340200</v>
      </c>
      <c r="O3631" s="8" t="s">
        <v>20</v>
      </c>
      <c r="T3631">
        <v>0</v>
      </c>
      <c r="AC3631">
        <v>1</v>
      </c>
    </row>
    <row r="3632" spans="1:29" ht="30" customHeight="1" x14ac:dyDescent="0.3">
      <c r="A3632" s="8" t="s">
        <v>3299</v>
      </c>
      <c r="B3632" s="8" t="s">
        <v>3314</v>
      </c>
      <c r="C3632" s="8" t="s">
        <v>3288</v>
      </c>
      <c r="D3632" s="8" t="s">
        <v>3289</v>
      </c>
      <c r="E3632" s="8" t="s">
        <v>168</v>
      </c>
      <c r="F3632" s="9">
        <v>1060</v>
      </c>
      <c r="G3632" s="5">
        <f>TRUNC([1]단가대비표!O1771,0)</f>
        <v>2150</v>
      </c>
      <c r="H3632" s="5">
        <f t="shared" si="343"/>
        <v>2279000</v>
      </c>
      <c r="I3632" s="5">
        <v>0</v>
      </c>
      <c r="J3632" s="5">
        <f t="shared" si="344"/>
        <v>0</v>
      </c>
      <c r="K3632" s="5">
        <v>0</v>
      </c>
      <c r="L3632" s="5">
        <f t="shared" si="345"/>
        <v>0</v>
      </c>
      <c r="M3632" s="5">
        <f t="shared" si="346"/>
        <v>2150</v>
      </c>
      <c r="N3632" s="5">
        <f t="shared" si="346"/>
        <v>2279000</v>
      </c>
      <c r="O3632" s="8" t="s">
        <v>20</v>
      </c>
      <c r="T3632">
        <v>0</v>
      </c>
      <c r="AC3632">
        <v>1</v>
      </c>
    </row>
    <row r="3633" spans="1:29" ht="30" customHeight="1" x14ac:dyDescent="0.3">
      <c r="A3633" s="8" t="s">
        <v>3299</v>
      </c>
      <c r="B3633" s="8" t="s">
        <v>3315</v>
      </c>
      <c r="C3633" s="8" t="s">
        <v>3291</v>
      </c>
      <c r="D3633" s="8" t="s">
        <v>20</v>
      </c>
      <c r="E3633" s="8" t="s">
        <v>3292</v>
      </c>
      <c r="F3633" s="9">
        <v>2</v>
      </c>
      <c r="G3633" s="5">
        <f>TRUNC([1]단가대비표!O1772,0)</f>
        <v>2000000</v>
      </c>
      <c r="H3633" s="5">
        <f t="shared" si="343"/>
        <v>4000000</v>
      </c>
      <c r="I3633" s="5">
        <v>0</v>
      </c>
      <c r="J3633" s="5">
        <f t="shared" si="344"/>
        <v>0</v>
      </c>
      <c r="K3633" s="5">
        <v>0</v>
      </c>
      <c r="L3633" s="5">
        <f t="shared" si="345"/>
        <v>0</v>
      </c>
      <c r="M3633" s="5">
        <f t="shared" si="346"/>
        <v>2000000</v>
      </c>
      <c r="N3633" s="5">
        <f t="shared" si="346"/>
        <v>4000000</v>
      </c>
      <c r="O3633" s="8" t="s">
        <v>20</v>
      </c>
      <c r="T3633">
        <v>0</v>
      </c>
      <c r="AC3633">
        <v>1</v>
      </c>
    </row>
    <row r="3634" spans="1:29" ht="30" customHeight="1" x14ac:dyDescent="0.3">
      <c r="A3634" s="8" t="s">
        <v>3299</v>
      </c>
      <c r="B3634" s="8" t="s">
        <v>3316</v>
      </c>
      <c r="C3634" s="8" t="s">
        <v>3294</v>
      </c>
      <c r="D3634" s="8" t="s">
        <v>20</v>
      </c>
      <c r="E3634" s="8" t="s">
        <v>19</v>
      </c>
      <c r="F3634" s="9">
        <v>2</v>
      </c>
      <c r="G3634" s="5">
        <f>TRUNC([1]단가대비표!O1773,0)</f>
        <v>3000000</v>
      </c>
      <c r="H3634" s="5">
        <f t="shared" si="343"/>
        <v>6000000</v>
      </c>
      <c r="I3634" s="5">
        <v>0</v>
      </c>
      <c r="J3634" s="5">
        <f t="shared" si="344"/>
        <v>0</v>
      </c>
      <c r="K3634" s="5">
        <v>0</v>
      </c>
      <c r="L3634" s="5">
        <f t="shared" si="345"/>
        <v>0</v>
      </c>
      <c r="M3634" s="5">
        <f t="shared" si="346"/>
        <v>3000000</v>
      </c>
      <c r="N3634" s="5">
        <f t="shared" si="346"/>
        <v>6000000</v>
      </c>
      <c r="O3634" s="8" t="s">
        <v>20</v>
      </c>
      <c r="T3634">
        <v>0</v>
      </c>
      <c r="AC3634">
        <v>1</v>
      </c>
    </row>
    <row r="3635" spans="1:29" ht="30" customHeight="1" x14ac:dyDescent="0.3">
      <c r="A3635" s="8" t="s">
        <v>3299</v>
      </c>
      <c r="B3635" s="8" t="s">
        <v>3317</v>
      </c>
      <c r="C3635" s="8" t="s">
        <v>3296</v>
      </c>
      <c r="D3635" s="8" t="s">
        <v>3297</v>
      </c>
      <c r="E3635" s="8" t="s">
        <v>185</v>
      </c>
      <c r="F3635" s="9">
        <v>2</v>
      </c>
      <c r="G3635" s="5">
        <f>TRUNC([1]단가대비표!O1774,0)</f>
        <v>500000</v>
      </c>
      <c r="H3635" s="5">
        <f t="shared" si="343"/>
        <v>1000000</v>
      </c>
      <c r="I3635" s="5">
        <v>0</v>
      </c>
      <c r="J3635" s="5">
        <f t="shared" si="344"/>
        <v>0</v>
      </c>
      <c r="K3635" s="5">
        <v>0</v>
      </c>
      <c r="L3635" s="5">
        <f t="shared" si="345"/>
        <v>0</v>
      </c>
      <c r="M3635" s="5">
        <f t="shared" si="346"/>
        <v>500000</v>
      </c>
      <c r="N3635" s="5">
        <f t="shared" si="346"/>
        <v>1000000</v>
      </c>
      <c r="O3635" s="8" t="s">
        <v>20</v>
      </c>
      <c r="T3635">
        <v>0</v>
      </c>
      <c r="AC3635">
        <v>1</v>
      </c>
    </row>
    <row r="3636" spans="1:29" ht="30" customHeight="1" x14ac:dyDescent="0.3">
      <c r="A3636" s="5"/>
      <c r="B3636" s="5"/>
      <c r="C3636" s="5"/>
      <c r="D3636" s="5"/>
      <c r="E3636" s="5"/>
      <c r="F3636" s="9"/>
      <c r="G3636" s="5"/>
      <c r="H3636" s="5"/>
      <c r="I3636" s="5"/>
      <c r="J3636" s="5"/>
      <c r="K3636" s="5"/>
      <c r="L3636" s="5"/>
      <c r="M3636" s="5"/>
      <c r="N3636" s="5"/>
      <c r="O3636" s="5"/>
    </row>
    <row r="3637" spans="1:29" ht="30" customHeight="1" x14ac:dyDescent="0.3">
      <c r="A3637" s="5"/>
      <c r="B3637" s="5"/>
      <c r="C3637" s="5"/>
      <c r="D3637" s="5"/>
      <c r="E3637" s="5"/>
      <c r="F3637" s="9"/>
      <c r="G3637" s="5"/>
      <c r="H3637" s="5"/>
      <c r="I3637" s="5"/>
      <c r="J3637" s="5"/>
      <c r="K3637" s="5"/>
      <c r="L3637" s="5"/>
      <c r="M3637" s="5"/>
      <c r="N3637" s="5"/>
      <c r="O3637" s="5"/>
    </row>
    <row r="3638" spans="1:29" ht="30" customHeight="1" x14ac:dyDescent="0.3">
      <c r="A3638" s="5"/>
      <c r="B3638" s="5"/>
      <c r="C3638" s="5"/>
      <c r="D3638" s="5"/>
      <c r="E3638" s="5"/>
      <c r="F3638" s="9"/>
      <c r="G3638" s="5"/>
      <c r="H3638" s="5"/>
      <c r="I3638" s="5"/>
      <c r="J3638" s="5"/>
      <c r="K3638" s="5"/>
      <c r="L3638" s="5"/>
      <c r="M3638" s="5"/>
      <c r="N3638" s="5"/>
      <c r="O3638" s="5"/>
    </row>
    <row r="3639" spans="1:29" ht="30" customHeight="1" x14ac:dyDescent="0.3">
      <c r="A3639" s="5"/>
      <c r="B3639" s="5"/>
      <c r="C3639" s="5"/>
      <c r="D3639" s="5"/>
      <c r="E3639" s="5"/>
      <c r="F3639" s="9"/>
      <c r="G3639" s="5"/>
      <c r="H3639" s="5"/>
      <c r="I3639" s="5"/>
      <c r="J3639" s="5"/>
      <c r="K3639" s="5"/>
      <c r="L3639" s="5"/>
      <c r="M3639" s="5"/>
      <c r="N3639" s="5"/>
      <c r="O3639" s="5"/>
    </row>
    <row r="3640" spans="1:29" ht="30" customHeight="1" x14ac:dyDescent="0.3">
      <c r="A3640" s="5"/>
      <c r="B3640" s="5"/>
      <c r="C3640" s="5"/>
      <c r="D3640" s="5"/>
      <c r="E3640" s="5"/>
      <c r="F3640" s="9"/>
      <c r="G3640" s="5"/>
      <c r="H3640" s="5"/>
      <c r="I3640" s="5"/>
      <c r="J3640" s="5"/>
      <c r="K3640" s="5"/>
      <c r="L3640" s="5"/>
      <c r="M3640" s="5"/>
      <c r="N3640" s="5"/>
      <c r="O3640" s="5"/>
    </row>
    <row r="3641" spans="1:29" ht="30" customHeight="1" x14ac:dyDescent="0.3">
      <c r="A3641" s="5"/>
      <c r="B3641" s="5"/>
      <c r="C3641" s="5"/>
      <c r="D3641" s="5"/>
      <c r="E3641" s="5"/>
      <c r="F3641" s="9"/>
      <c r="G3641" s="5"/>
      <c r="H3641" s="5"/>
      <c r="I3641" s="5"/>
      <c r="J3641" s="5"/>
      <c r="K3641" s="5"/>
      <c r="L3641" s="5"/>
      <c r="M3641" s="5"/>
      <c r="N3641" s="5"/>
      <c r="O3641" s="5"/>
    </row>
    <row r="3642" spans="1:29" ht="30" customHeight="1" x14ac:dyDescent="0.3">
      <c r="A3642" s="5"/>
      <c r="B3642" s="5"/>
      <c r="C3642" s="5"/>
      <c r="D3642" s="5"/>
      <c r="E3642" s="5"/>
      <c r="F3642" s="9"/>
      <c r="G3642" s="5"/>
      <c r="H3642" s="5"/>
      <c r="I3642" s="5"/>
      <c r="J3642" s="5"/>
      <c r="K3642" s="5"/>
      <c r="L3642" s="5"/>
      <c r="M3642" s="5"/>
      <c r="N3642" s="5"/>
      <c r="O3642" s="5"/>
    </row>
    <row r="3643" spans="1:29" ht="30" customHeight="1" x14ac:dyDescent="0.3">
      <c r="A3643" s="5"/>
      <c r="B3643" s="5"/>
      <c r="C3643" s="5" t="s">
        <v>162</v>
      </c>
      <c r="D3643" s="5"/>
      <c r="E3643" s="5"/>
      <c r="F3643" s="9"/>
      <c r="G3643" s="5"/>
      <c r="H3643" s="5">
        <f>SUMIF(AC3619:AC3642, 1, H3619:H3642)</f>
        <v>56425306</v>
      </c>
      <c r="I3643" s="5"/>
      <c r="J3643" s="5">
        <f>SUMIF(AC3619:AC3642, 1, J3619:J3642)</f>
        <v>135774642</v>
      </c>
      <c r="K3643" s="5"/>
      <c r="L3643" s="5">
        <f>SUMIF(AC3619:AC3642, 1, L3619:L3642)</f>
        <v>25328844</v>
      </c>
      <c r="M3643" s="5"/>
      <c r="N3643" s="5">
        <f>H3643+J3643+L3643</f>
        <v>217528792</v>
      </c>
      <c r="O3643" s="5"/>
    </row>
    <row r="3644" spans="1:29" ht="30" customHeight="1" x14ac:dyDescent="0.3">
      <c r="A3644" s="5"/>
      <c r="B3644" s="5"/>
      <c r="C3644" s="6" t="s">
        <v>3318</v>
      </c>
      <c r="D3644" s="6"/>
      <c r="E3644" s="6"/>
      <c r="F3644" s="7"/>
      <c r="G3644" s="6"/>
      <c r="H3644" s="6"/>
      <c r="I3644" s="6"/>
      <c r="J3644" s="6"/>
      <c r="K3644" s="6"/>
      <c r="L3644" s="6"/>
      <c r="M3644" s="6"/>
      <c r="N3644" s="6"/>
      <c r="O3644" s="6"/>
    </row>
    <row r="3645" spans="1:29" ht="30" customHeight="1" x14ac:dyDescent="0.3">
      <c r="A3645" s="8" t="s">
        <v>3319</v>
      </c>
      <c r="B3645" s="8" t="s">
        <v>3320</v>
      </c>
      <c r="C3645" s="8" t="s">
        <v>166</v>
      </c>
      <c r="D3645" s="8" t="s">
        <v>3321</v>
      </c>
      <c r="E3645" s="8" t="s">
        <v>168</v>
      </c>
      <c r="F3645" s="9">
        <v>78.75</v>
      </c>
      <c r="G3645" s="5">
        <f>TRUNC([1]단가대비표!O1775,0)</f>
        <v>13570</v>
      </c>
      <c r="H3645" s="5">
        <f t="shared" ref="H3645:H3655" si="347">TRUNC(F3645*G3645,0)</f>
        <v>1068637</v>
      </c>
      <c r="I3645" s="5">
        <v>0</v>
      </c>
      <c r="J3645" s="5">
        <f t="shared" ref="J3645:J3655" si="348">TRUNC(F3645*I3645,0)</f>
        <v>0</v>
      </c>
      <c r="K3645" s="5">
        <v>0</v>
      </c>
      <c r="L3645" s="5">
        <f t="shared" ref="L3645:L3655" si="349">TRUNC(F3645*K3645,0)</f>
        <v>0</v>
      </c>
      <c r="M3645" s="5">
        <f t="shared" ref="M3645:N3655" si="350">G3645+I3645+K3645</f>
        <v>13570</v>
      </c>
      <c r="N3645" s="5">
        <f t="shared" si="350"/>
        <v>1068637</v>
      </c>
      <c r="O3645" s="8" t="s">
        <v>20</v>
      </c>
      <c r="T3645">
        <v>0</v>
      </c>
      <c r="AC3645">
        <v>1</v>
      </c>
    </row>
    <row r="3646" spans="1:29" ht="30" customHeight="1" x14ac:dyDescent="0.3">
      <c r="A3646" s="8" t="s">
        <v>3319</v>
      </c>
      <c r="B3646" s="8" t="s">
        <v>3322</v>
      </c>
      <c r="C3646" s="8" t="s">
        <v>166</v>
      </c>
      <c r="D3646" s="8" t="s">
        <v>3323</v>
      </c>
      <c r="E3646" s="8" t="s">
        <v>168</v>
      </c>
      <c r="F3646" s="9">
        <v>21</v>
      </c>
      <c r="G3646" s="5">
        <f>TRUNC([1]단가대비표!O1776,0)</f>
        <v>8370</v>
      </c>
      <c r="H3646" s="5">
        <f t="shared" si="347"/>
        <v>175770</v>
      </c>
      <c r="I3646" s="5">
        <v>0</v>
      </c>
      <c r="J3646" s="5">
        <f t="shared" si="348"/>
        <v>0</v>
      </c>
      <c r="K3646" s="5">
        <v>0</v>
      </c>
      <c r="L3646" s="5">
        <f t="shared" si="349"/>
        <v>0</v>
      </c>
      <c r="M3646" s="5">
        <f t="shared" si="350"/>
        <v>8370</v>
      </c>
      <c r="N3646" s="5">
        <f t="shared" si="350"/>
        <v>175770</v>
      </c>
      <c r="O3646" s="8" t="s">
        <v>20</v>
      </c>
      <c r="T3646">
        <v>0</v>
      </c>
      <c r="AC3646">
        <v>1</v>
      </c>
    </row>
    <row r="3647" spans="1:29" ht="30" customHeight="1" x14ac:dyDescent="0.3">
      <c r="A3647" s="8" t="s">
        <v>3319</v>
      </c>
      <c r="B3647" s="8" t="s">
        <v>3324</v>
      </c>
      <c r="C3647" s="8" t="s">
        <v>166</v>
      </c>
      <c r="D3647" s="8" t="s">
        <v>3325</v>
      </c>
      <c r="E3647" s="8" t="s">
        <v>168</v>
      </c>
      <c r="F3647" s="9">
        <v>136.5</v>
      </c>
      <c r="G3647" s="5">
        <f>TRUNC([1]단가대비표!O1777,0)</f>
        <v>5930</v>
      </c>
      <c r="H3647" s="5">
        <f t="shared" si="347"/>
        <v>809445</v>
      </c>
      <c r="I3647" s="5">
        <v>0</v>
      </c>
      <c r="J3647" s="5">
        <f t="shared" si="348"/>
        <v>0</v>
      </c>
      <c r="K3647" s="5">
        <v>0</v>
      </c>
      <c r="L3647" s="5">
        <f t="shared" si="349"/>
        <v>0</v>
      </c>
      <c r="M3647" s="5">
        <f t="shared" si="350"/>
        <v>5930</v>
      </c>
      <c r="N3647" s="5">
        <f t="shared" si="350"/>
        <v>809445</v>
      </c>
      <c r="O3647" s="8" t="s">
        <v>20</v>
      </c>
      <c r="T3647">
        <v>0</v>
      </c>
      <c r="AC3647">
        <v>1</v>
      </c>
    </row>
    <row r="3648" spans="1:29" ht="30" customHeight="1" x14ac:dyDescent="0.3">
      <c r="A3648" s="8" t="s">
        <v>3319</v>
      </c>
      <c r="B3648" s="8" t="s">
        <v>3326</v>
      </c>
      <c r="C3648" s="8" t="s">
        <v>177</v>
      </c>
      <c r="D3648" s="8" t="s">
        <v>3327</v>
      </c>
      <c r="E3648" s="8" t="s">
        <v>179</v>
      </c>
      <c r="F3648" s="9">
        <v>2</v>
      </c>
      <c r="G3648" s="5">
        <f>TRUNC([1]단가대비표!O1778,0)</f>
        <v>58280</v>
      </c>
      <c r="H3648" s="5">
        <f t="shared" si="347"/>
        <v>116560</v>
      </c>
      <c r="I3648" s="5">
        <v>0</v>
      </c>
      <c r="J3648" s="5">
        <f t="shared" si="348"/>
        <v>0</v>
      </c>
      <c r="K3648" s="5">
        <v>0</v>
      </c>
      <c r="L3648" s="5">
        <f t="shared" si="349"/>
        <v>0</v>
      </c>
      <c r="M3648" s="5">
        <f t="shared" si="350"/>
        <v>58280</v>
      </c>
      <c r="N3648" s="5">
        <f t="shared" si="350"/>
        <v>116560</v>
      </c>
      <c r="O3648" s="8" t="s">
        <v>20</v>
      </c>
      <c r="T3648">
        <v>0</v>
      </c>
      <c r="AC3648">
        <v>1</v>
      </c>
    </row>
    <row r="3649" spans="1:29" ht="30" customHeight="1" x14ac:dyDescent="0.3">
      <c r="A3649" s="8" t="s">
        <v>3319</v>
      </c>
      <c r="B3649" s="8" t="s">
        <v>3328</v>
      </c>
      <c r="C3649" s="8" t="s">
        <v>177</v>
      </c>
      <c r="D3649" s="8" t="s">
        <v>3329</v>
      </c>
      <c r="E3649" s="8" t="s">
        <v>179</v>
      </c>
      <c r="F3649" s="9">
        <v>2</v>
      </c>
      <c r="G3649" s="5">
        <f>TRUNC([1]단가대비표!O1779,0)</f>
        <v>46750</v>
      </c>
      <c r="H3649" s="5">
        <f t="shared" si="347"/>
        <v>93500</v>
      </c>
      <c r="I3649" s="5">
        <v>0</v>
      </c>
      <c r="J3649" s="5">
        <f t="shared" si="348"/>
        <v>0</v>
      </c>
      <c r="K3649" s="5">
        <v>0</v>
      </c>
      <c r="L3649" s="5">
        <f t="shared" si="349"/>
        <v>0</v>
      </c>
      <c r="M3649" s="5">
        <f t="shared" si="350"/>
        <v>46750</v>
      </c>
      <c r="N3649" s="5">
        <f t="shared" si="350"/>
        <v>93500</v>
      </c>
      <c r="O3649" s="8" t="s">
        <v>20</v>
      </c>
      <c r="T3649">
        <v>0</v>
      </c>
      <c r="AC3649">
        <v>1</v>
      </c>
    </row>
    <row r="3650" spans="1:29" ht="30" customHeight="1" x14ac:dyDescent="0.3">
      <c r="A3650" s="8" t="s">
        <v>3319</v>
      </c>
      <c r="B3650" s="8" t="s">
        <v>3330</v>
      </c>
      <c r="C3650" s="8" t="s">
        <v>177</v>
      </c>
      <c r="D3650" s="8" t="s">
        <v>3331</v>
      </c>
      <c r="E3650" s="8" t="s">
        <v>179</v>
      </c>
      <c r="F3650" s="9">
        <v>8</v>
      </c>
      <c r="G3650" s="5">
        <f>TRUNC([1]단가대비표!O1780,0)</f>
        <v>34080</v>
      </c>
      <c r="H3650" s="5">
        <f t="shared" si="347"/>
        <v>272640</v>
      </c>
      <c r="I3650" s="5">
        <v>0</v>
      </c>
      <c r="J3650" s="5">
        <f t="shared" si="348"/>
        <v>0</v>
      </c>
      <c r="K3650" s="5">
        <v>0</v>
      </c>
      <c r="L3650" s="5">
        <f t="shared" si="349"/>
        <v>0</v>
      </c>
      <c r="M3650" s="5">
        <f t="shared" si="350"/>
        <v>34080</v>
      </c>
      <c r="N3650" s="5">
        <f t="shared" si="350"/>
        <v>272640</v>
      </c>
      <c r="O3650" s="8" t="s">
        <v>20</v>
      </c>
      <c r="T3650">
        <v>0</v>
      </c>
      <c r="AC3650">
        <v>1</v>
      </c>
    </row>
    <row r="3651" spans="1:29" ht="30" customHeight="1" x14ac:dyDescent="0.3">
      <c r="A3651" s="8" t="s">
        <v>3319</v>
      </c>
      <c r="B3651" s="8" t="s">
        <v>3332</v>
      </c>
      <c r="C3651" s="8" t="s">
        <v>177</v>
      </c>
      <c r="D3651" s="8" t="s">
        <v>3333</v>
      </c>
      <c r="E3651" s="8" t="s">
        <v>428</v>
      </c>
      <c r="F3651" s="9">
        <v>2</v>
      </c>
      <c r="G3651" s="5">
        <f>TRUNC([1]단가대비표!O1781,0)</f>
        <v>28040</v>
      </c>
      <c r="H3651" s="5">
        <f t="shared" si="347"/>
        <v>56080</v>
      </c>
      <c r="I3651" s="5">
        <v>0</v>
      </c>
      <c r="J3651" s="5">
        <f t="shared" si="348"/>
        <v>0</v>
      </c>
      <c r="K3651" s="5">
        <v>0</v>
      </c>
      <c r="L3651" s="5">
        <f t="shared" si="349"/>
        <v>0</v>
      </c>
      <c r="M3651" s="5">
        <f t="shared" si="350"/>
        <v>28040</v>
      </c>
      <c r="N3651" s="5">
        <f t="shared" si="350"/>
        <v>56080</v>
      </c>
      <c r="O3651" s="8" t="s">
        <v>20</v>
      </c>
      <c r="T3651">
        <v>0</v>
      </c>
      <c r="AC3651">
        <v>1</v>
      </c>
    </row>
    <row r="3652" spans="1:29" ht="30" customHeight="1" x14ac:dyDescent="0.3">
      <c r="A3652" s="8" t="s">
        <v>3319</v>
      </c>
      <c r="B3652" s="8" t="s">
        <v>3334</v>
      </c>
      <c r="C3652" s="8" t="s">
        <v>177</v>
      </c>
      <c r="D3652" s="8" t="s">
        <v>3335</v>
      </c>
      <c r="E3652" s="8" t="s">
        <v>428</v>
      </c>
      <c r="F3652" s="9">
        <v>2</v>
      </c>
      <c r="G3652" s="5">
        <f>TRUNC([1]단가대비표!O1782,0)</f>
        <v>28040</v>
      </c>
      <c r="H3652" s="5">
        <f t="shared" si="347"/>
        <v>56080</v>
      </c>
      <c r="I3652" s="5">
        <v>0</v>
      </c>
      <c r="J3652" s="5">
        <f t="shared" si="348"/>
        <v>0</v>
      </c>
      <c r="K3652" s="5">
        <v>0</v>
      </c>
      <c r="L3652" s="5">
        <f t="shared" si="349"/>
        <v>0</v>
      </c>
      <c r="M3652" s="5">
        <f t="shared" si="350"/>
        <v>28040</v>
      </c>
      <c r="N3652" s="5">
        <f t="shared" si="350"/>
        <v>56080</v>
      </c>
      <c r="O3652" s="8" t="s">
        <v>20</v>
      </c>
      <c r="T3652">
        <v>0</v>
      </c>
      <c r="AC3652">
        <v>1</v>
      </c>
    </row>
    <row r="3653" spans="1:29" ht="30" customHeight="1" x14ac:dyDescent="0.3">
      <c r="A3653" s="8" t="s">
        <v>3319</v>
      </c>
      <c r="B3653" s="8" t="s">
        <v>3336</v>
      </c>
      <c r="C3653" s="8" t="s">
        <v>177</v>
      </c>
      <c r="D3653" s="8" t="s">
        <v>3337</v>
      </c>
      <c r="E3653" s="8" t="s">
        <v>428</v>
      </c>
      <c r="F3653" s="9">
        <v>4</v>
      </c>
      <c r="G3653" s="5">
        <f>TRUNC([1]단가대비표!O1783,0)</f>
        <v>59560</v>
      </c>
      <c r="H3653" s="5">
        <f t="shared" si="347"/>
        <v>238240</v>
      </c>
      <c r="I3653" s="5">
        <v>0</v>
      </c>
      <c r="J3653" s="5">
        <f t="shared" si="348"/>
        <v>0</v>
      </c>
      <c r="K3653" s="5">
        <v>0</v>
      </c>
      <c r="L3653" s="5">
        <f t="shared" si="349"/>
        <v>0</v>
      </c>
      <c r="M3653" s="5">
        <f t="shared" si="350"/>
        <v>59560</v>
      </c>
      <c r="N3653" s="5">
        <f t="shared" si="350"/>
        <v>238240</v>
      </c>
      <c r="O3653" s="8" t="s">
        <v>20</v>
      </c>
      <c r="T3653">
        <v>0</v>
      </c>
      <c r="AC3653">
        <v>1</v>
      </c>
    </row>
    <row r="3654" spans="1:29" ht="30" customHeight="1" x14ac:dyDescent="0.3">
      <c r="A3654" s="8" t="s">
        <v>3319</v>
      </c>
      <c r="B3654" s="8" t="s">
        <v>3338</v>
      </c>
      <c r="C3654" s="8" t="s">
        <v>177</v>
      </c>
      <c r="D3654" s="8" t="s">
        <v>3339</v>
      </c>
      <c r="E3654" s="8" t="s">
        <v>428</v>
      </c>
      <c r="F3654" s="9">
        <v>8</v>
      </c>
      <c r="G3654" s="5">
        <f>TRUNC([1]단가대비표!O1784,0)</f>
        <v>41900</v>
      </c>
      <c r="H3654" s="5">
        <f t="shared" si="347"/>
        <v>335200</v>
      </c>
      <c r="I3654" s="5">
        <v>0</v>
      </c>
      <c r="J3654" s="5">
        <f t="shared" si="348"/>
        <v>0</v>
      </c>
      <c r="K3654" s="5">
        <v>0</v>
      </c>
      <c r="L3654" s="5">
        <f t="shared" si="349"/>
        <v>0</v>
      </c>
      <c r="M3654" s="5">
        <f t="shared" si="350"/>
        <v>41900</v>
      </c>
      <c r="N3654" s="5">
        <f t="shared" si="350"/>
        <v>335200</v>
      </c>
      <c r="O3654" s="8" t="s">
        <v>20</v>
      </c>
      <c r="T3654">
        <v>0</v>
      </c>
      <c r="AC3654">
        <v>1</v>
      </c>
    </row>
    <row r="3655" spans="1:29" ht="30" customHeight="1" x14ac:dyDescent="0.3">
      <c r="A3655" s="8" t="s">
        <v>3319</v>
      </c>
      <c r="B3655" s="8" t="s">
        <v>3340</v>
      </c>
      <c r="C3655" s="8" t="s">
        <v>177</v>
      </c>
      <c r="D3655" s="8" t="s">
        <v>3341</v>
      </c>
      <c r="E3655" s="8" t="s">
        <v>428</v>
      </c>
      <c r="F3655" s="9">
        <v>4</v>
      </c>
      <c r="G3655" s="5">
        <f>TRUNC([1]단가대비표!O1785,0)</f>
        <v>37110</v>
      </c>
      <c r="H3655" s="5">
        <f t="shared" si="347"/>
        <v>148440</v>
      </c>
      <c r="I3655" s="5">
        <v>0</v>
      </c>
      <c r="J3655" s="5">
        <f t="shared" si="348"/>
        <v>0</v>
      </c>
      <c r="K3655" s="5">
        <v>0</v>
      </c>
      <c r="L3655" s="5">
        <f t="shared" si="349"/>
        <v>0</v>
      </c>
      <c r="M3655" s="5">
        <f t="shared" si="350"/>
        <v>37110</v>
      </c>
      <c r="N3655" s="5">
        <f t="shared" si="350"/>
        <v>148440</v>
      </c>
      <c r="O3655" s="8" t="s">
        <v>20</v>
      </c>
      <c r="T3655">
        <v>0</v>
      </c>
      <c r="AC3655">
        <v>1</v>
      </c>
    </row>
    <row r="3656" spans="1:29" ht="30" customHeight="1" x14ac:dyDescent="0.3">
      <c r="A3656" s="5"/>
      <c r="B3656" s="5"/>
      <c r="C3656" s="5"/>
      <c r="D3656" s="5"/>
      <c r="E3656" s="5"/>
      <c r="F3656" s="9"/>
      <c r="G3656" s="5"/>
      <c r="H3656" s="5"/>
      <c r="I3656" s="5"/>
      <c r="J3656" s="5"/>
      <c r="K3656" s="5"/>
      <c r="L3656" s="5"/>
      <c r="M3656" s="5"/>
      <c r="N3656" s="5"/>
      <c r="O3656" s="5"/>
    </row>
    <row r="3657" spans="1:29" ht="30" customHeight="1" x14ac:dyDescent="0.3">
      <c r="A3657" s="5"/>
      <c r="B3657" s="5"/>
      <c r="C3657" s="5"/>
      <c r="D3657" s="5"/>
      <c r="E3657" s="5"/>
      <c r="F3657" s="9"/>
      <c r="G3657" s="5"/>
      <c r="H3657" s="5"/>
      <c r="I3657" s="5"/>
      <c r="J3657" s="5"/>
      <c r="K3657" s="5"/>
      <c r="L3657" s="5"/>
      <c r="M3657" s="5"/>
      <c r="N3657" s="5"/>
      <c r="O3657" s="5"/>
    </row>
    <row r="3658" spans="1:29" ht="30" customHeight="1" x14ac:dyDescent="0.3">
      <c r="A3658" s="5"/>
      <c r="B3658" s="5"/>
      <c r="C3658" s="5"/>
      <c r="D3658" s="5"/>
      <c r="E3658" s="5"/>
      <c r="F3658" s="9"/>
      <c r="G3658" s="5"/>
      <c r="H3658" s="5"/>
      <c r="I3658" s="5"/>
      <c r="J3658" s="5"/>
      <c r="K3658" s="5"/>
      <c r="L3658" s="5"/>
      <c r="M3658" s="5"/>
      <c r="N3658" s="5"/>
      <c r="O3658" s="5"/>
    </row>
    <row r="3659" spans="1:29" ht="30" customHeight="1" x14ac:dyDescent="0.3">
      <c r="A3659" s="5"/>
      <c r="B3659" s="5"/>
      <c r="C3659" s="5"/>
      <c r="D3659" s="5"/>
      <c r="E3659" s="5"/>
      <c r="F3659" s="9"/>
      <c r="G3659" s="5"/>
      <c r="H3659" s="5"/>
      <c r="I3659" s="5"/>
      <c r="J3659" s="5"/>
      <c r="K3659" s="5"/>
      <c r="L3659" s="5"/>
      <c r="M3659" s="5"/>
      <c r="N3659" s="5"/>
      <c r="O3659" s="5"/>
    </row>
    <row r="3660" spans="1:29" ht="30" customHeight="1" x14ac:dyDescent="0.3">
      <c r="A3660" s="5"/>
      <c r="B3660" s="5"/>
      <c r="C3660" s="5"/>
      <c r="D3660" s="5"/>
      <c r="E3660" s="5"/>
      <c r="F3660" s="9"/>
      <c r="G3660" s="5"/>
      <c r="H3660" s="5"/>
      <c r="I3660" s="5"/>
      <c r="J3660" s="5"/>
      <c r="K3660" s="5"/>
      <c r="L3660" s="5"/>
      <c r="M3660" s="5"/>
      <c r="N3660" s="5"/>
      <c r="O3660" s="5"/>
    </row>
    <row r="3661" spans="1:29" ht="30" customHeight="1" x14ac:dyDescent="0.3">
      <c r="A3661" s="5"/>
      <c r="B3661" s="5"/>
      <c r="C3661" s="5"/>
      <c r="D3661" s="5"/>
      <c r="E3661" s="5"/>
      <c r="F3661" s="9"/>
      <c r="G3661" s="5"/>
      <c r="H3661" s="5"/>
      <c r="I3661" s="5"/>
      <c r="J3661" s="5"/>
      <c r="K3661" s="5"/>
      <c r="L3661" s="5"/>
      <c r="M3661" s="5"/>
      <c r="N3661" s="5"/>
      <c r="O3661" s="5"/>
    </row>
    <row r="3662" spans="1:29" ht="30" customHeight="1" x14ac:dyDescent="0.3">
      <c r="A3662" s="5"/>
      <c r="B3662" s="5"/>
      <c r="C3662" s="5"/>
      <c r="D3662" s="5"/>
      <c r="E3662" s="5"/>
      <c r="F3662" s="9"/>
      <c r="G3662" s="5"/>
      <c r="H3662" s="5"/>
      <c r="I3662" s="5"/>
      <c r="J3662" s="5"/>
      <c r="K3662" s="5"/>
      <c r="L3662" s="5"/>
      <c r="M3662" s="5"/>
      <c r="N3662" s="5"/>
      <c r="O3662" s="5"/>
    </row>
    <row r="3663" spans="1:29" ht="30" customHeight="1" x14ac:dyDescent="0.3">
      <c r="A3663" s="5"/>
      <c r="B3663" s="5"/>
      <c r="C3663" s="5"/>
      <c r="D3663" s="5"/>
      <c r="E3663" s="5"/>
      <c r="F3663" s="9"/>
      <c r="G3663" s="5"/>
      <c r="H3663" s="5"/>
      <c r="I3663" s="5"/>
      <c r="J3663" s="5"/>
      <c r="K3663" s="5"/>
      <c r="L3663" s="5"/>
      <c r="M3663" s="5"/>
      <c r="N3663" s="5"/>
      <c r="O3663" s="5"/>
    </row>
    <row r="3664" spans="1:29" ht="30" customHeight="1" x14ac:dyDescent="0.3">
      <c r="A3664" s="5"/>
      <c r="B3664" s="5"/>
      <c r="C3664" s="5"/>
      <c r="D3664" s="5"/>
      <c r="E3664" s="5"/>
      <c r="F3664" s="9"/>
      <c r="G3664" s="5"/>
      <c r="H3664" s="5"/>
      <c r="I3664" s="5"/>
      <c r="J3664" s="5"/>
      <c r="K3664" s="5"/>
      <c r="L3664" s="5"/>
      <c r="M3664" s="5"/>
      <c r="N3664" s="5"/>
      <c r="O3664" s="5"/>
    </row>
    <row r="3665" spans="1:29" ht="30" customHeight="1" x14ac:dyDescent="0.3">
      <c r="A3665" s="5"/>
      <c r="B3665" s="5"/>
      <c r="C3665" s="5"/>
      <c r="D3665" s="5"/>
      <c r="E3665" s="5"/>
      <c r="F3665" s="9"/>
      <c r="G3665" s="5"/>
      <c r="H3665" s="5"/>
      <c r="I3665" s="5"/>
      <c r="J3665" s="5"/>
      <c r="K3665" s="5"/>
      <c r="L3665" s="5"/>
      <c r="M3665" s="5"/>
      <c r="N3665" s="5"/>
      <c r="O3665" s="5"/>
    </row>
    <row r="3666" spans="1:29" ht="30" customHeight="1" x14ac:dyDescent="0.3">
      <c r="A3666" s="5"/>
      <c r="B3666" s="5"/>
      <c r="C3666" s="5"/>
      <c r="D3666" s="5"/>
      <c r="E3666" s="5"/>
      <c r="F3666" s="9"/>
      <c r="G3666" s="5"/>
      <c r="H3666" s="5"/>
      <c r="I3666" s="5"/>
      <c r="J3666" s="5"/>
      <c r="K3666" s="5"/>
      <c r="L3666" s="5"/>
      <c r="M3666" s="5"/>
      <c r="N3666" s="5"/>
      <c r="O3666" s="5"/>
    </row>
    <row r="3667" spans="1:29" ht="30" customHeight="1" x14ac:dyDescent="0.3">
      <c r="A3667" s="5"/>
      <c r="B3667" s="5"/>
      <c r="C3667" s="5"/>
      <c r="D3667" s="5"/>
      <c r="E3667" s="5"/>
      <c r="F3667" s="9"/>
      <c r="G3667" s="5"/>
      <c r="H3667" s="5"/>
      <c r="I3667" s="5"/>
      <c r="J3667" s="5"/>
      <c r="K3667" s="5"/>
      <c r="L3667" s="5"/>
      <c r="M3667" s="5"/>
      <c r="N3667" s="5"/>
      <c r="O3667" s="5"/>
    </row>
    <row r="3668" spans="1:29" ht="30" customHeight="1" x14ac:dyDescent="0.3">
      <c r="A3668" s="5"/>
      <c r="B3668" s="5"/>
      <c r="C3668" s="5"/>
      <c r="D3668" s="5"/>
      <c r="E3668" s="5"/>
      <c r="F3668" s="9"/>
      <c r="G3668" s="5"/>
      <c r="H3668" s="5"/>
      <c r="I3668" s="5"/>
      <c r="J3668" s="5"/>
      <c r="K3668" s="5"/>
      <c r="L3668" s="5"/>
      <c r="M3668" s="5"/>
      <c r="N3668" s="5"/>
      <c r="O3668" s="5"/>
    </row>
    <row r="3669" spans="1:29" ht="30" customHeight="1" x14ac:dyDescent="0.3">
      <c r="A3669" s="5"/>
      <c r="B3669" s="5"/>
      <c r="C3669" s="5" t="s">
        <v>162</v>
      </c>
      <c r="D3669" s="5"/>
      <c r="E3669" s="5"/>
      <c r="F3669" s="9"/>
      <c r="G3669" s="5"/>
      <c r="H3669" s="5">
        <f>SUMIF(AC3645:AC3668, 1, H3645:H3668)</f>
        <v>3370592</v>
      </c>
      <c r="I3669" s="5"/>
      <c r="J3669" s="5">
        <f>SUMIF(AC3645:AC3668, 1, J3645:J3668)</f>
        <v>0</v>
      </c>
      <c r="K3669" s="5"/>
      <c r="L3669" s="5">
        <f>SUMIF(AC3645:AC3668, 1, L3645:L3668)</f>
        <v>0</v>
      </c>
      <c r="M3669" s="5"/>
      <c r="N3669" s="5">
        <f>H3669+J3669+L3669</f>
        <v>3370592</v>
      </c>
      <c r="O3669" s="5"/>
    </row>
    <row r="3670" spans="1:29" ht="30" customHeight="1" x14ac:dyDescent="0.3">
      <c r="A3670" s="5"/>
      <c r="B3670" s="5"/>
      <c r="C3670" s="6" t="s">
        <v>3342</v>
      </c>
      <c r="D3670" s="6"/>
      <c r="E3670" s="6"/>
      <c r="F3670" s="7"/>
      <c r="G3670" s="6"/>
      <c r="H3670" s="6"/>
      <c r="I3670" s="6"/>
      <c r="J3670" s="6"/>
      <c r="K3670" s="6"/>
      <c r="L3670" s="6"/>
      <c r="M3670" s="6"/>
      <c r="N3670" s="6"/>
      <c r="O3670" s="6"/>
    </row>
    <row r="3671" spans="1:29" ht="30" customHeight="1" x14ac:dyDescent="0.3">
      <c r="A3671" s="8" t="s">
        <v>3343</v>
      </c>
      <c r="B3671" s="8" t="s">
        <v>3344</v>
      </c>
      <c r="C3671" s="8" t="s">
        <v>166</v>
      </c>
      <c r="D3671" s="8" t="s">
        <v>3321</v>
      </c>
      <c r="E3671" s="8" t="s">
        <v>168</v>
      </c>
      <c r="F3671" s="9">
        <v>73.5</v>
      </c>
      <c r="G3671" s="5">
        <f>TRUNC([1]단가대비표!O1786,0)</f>
        <v>13570</v>
      </c>
      <c r="H3671" s="5">
        <f t="shared" ref="H3671:H3679" si="351">TRUNC(F3671*G3671,0)</f>
        <v>997395</v>
      </c>
      <c r="I3671" s="5">
        <v>0</v>
      </c>
      <c r="J3671" s="5">
        <f t="shared" ref="J3671:J3679" si="352">TRUNC(F3671*I3671,0)</f>
        <v>0</v>
      </c>
      <c r="K3671" s="5">
        <v>0</v>
      </c>
      <c r="L3671" s="5">
        <f t="shared" ref="L3671:L3679" si="353">TRUNC(F3671*K3671,0)</f>
        <v>0</v>
      </c>
      <c r="M3671" s="5">
        <f t="shared" ref="M3671:N3679" si="354">G3671+I3671+K3671</f>
        <v>13570</v>
      </c>
      <c r="N3671" s="5">
        <f t="shared" si="354"/>
        <v>997395</v>
      </c>
      <c r="O3671" s="8" t="s">
        <v>20</v>
      </c>
      <c r="T3671">
        <v>0</v>
      </c>
      <c r="AC3671">
        <v>1</v>
      </c>
    </row>
    <row r="3672" spans="1:29" ht="30" customHeight="1" x14ac:dyDescent="0.3">
      <c r="A3672" s="8" t="s">
        <v>3343</v>
      </c>
      <c r="B3672" s="8" t="s">
        <v>3345</v>
      </c>
      <c r="C3672" s="8" t="s">
        <v>166</v>
      </c>
      <c r="D3672" s="8" t="s">
        <v>3323</v>
      </c>
      <c r="E3672" s="8" t="s">
        <v>168</v>
      </c>
      <c r="F3672" s="9">
        <v>22.05</v>
      </c>
      <c r="G3672" s="5">
        <f>TRUNC([1]단가대비표!O1787,0)</f>
        <v>8370</v>
      </c>
      <c r="H3672" s="5">
        <f t="shared" si="351"/>
        <v>184558</v>
      </c>
      <c r="I3672" s="5">
        <v>0</v>
      </c>
      <c r="J3672" s="5">
        <f t="shared" si="352"/>
        <v>0</v>
      </c>
      <c r="K3672" s="5">
        <v>0</v>
      </c>
      <c r="L3672" s="5">
        <f t="shared" si="353"/>
        <v>0</v>
      </c>
      <c r="M3672" s="5">
        <f t="shared" si="354"/>
        <v>8370</v>
      </c>
      <c r="N3672" s="5">
        <f t="shared" si="354"/>
        <v>184558</v>
      </c>
      <c r="O3672" s="8" t="s">
        <v>20</v>
      </c>
      <c r="T3672">
        <v>0</v>
      </c>
      <c r="AC3672">
        <v>1</v>
      </c>
    </row>
    <row r="3673" spans="1:29" ht="30" customHeight="1" x14ac:dyDescent="0.3">
      <c r="A3673" s="8" t="s">
        <v>3343</v>
      </c>
      <c r="B3673" s="8" t="s">
        <v>3346</v>
      </c>
      <c r="C3673" s="8" t="s">
        <v>166</v>
      </c>
      <c r="D3673" s="8" t="s">
        <v>3325</v>
      </c>
      <c r="E3673" s="8" t="s">
        <v>168</v>
      </c>
      <c r="F3673" s="9">
        <v>22.05</v>
      </c>
      <c r="G3673" s="5">
        <f>TRUNC([1]단가대비표!O1788,0)</f>
        <v>5930</v>
      </c>
      <c r="H3673" s="5">
        <f t="shared" si="351"/>
        <v>130756</v>
      </c>
      <c r="I3673" s="5">
        <v>0</v>
      </c>
      <c r="J3673" s="5">
        <f t="shared" si="352"/>
        <v>0</v>
      </c>
      <c r="K3673" s="5">
        <v>0</v>
      </c>
      <c r="L3673" s="5">
        <f t="shared" si="353"/>
        <v>0</v>
      </c>
      <c r="M3673" s="5">
        <f t="shared" si="354"/>
        <v>5930</v>
      </c>
      <c r="N3673" s="5">
        <f t="shared" si="354"/>
        <v>130756</v>
      </c>
      <c r="O3673" s="8" t="s">
        <v>20</v>
      </c>
      <c r="T3673">
        <v>0</v>
      </c>
      <c r="AC3673">
        <v>1</v>
      </c>
    </row>
    <row r="3674" spans="1:29" ht="30" customHeight="1" x14ac:dyDescent="0.3">
      <c r="A3674" s="8" t="s">
        <v>3343</v>
      </c>
      <c r="B3674" s="8" t="s">
        <v>3347</v>
      </c>
      <c r="C3674" s="8" t="s">
        <v>177</v>
      </c>
      <c r="D3674" s="8" t="s">
        <v>3327</v>
      </c>
      <c r="E3674" s="8" t="s">
        <v>179</v>
      </c>
      <c r="F3674" s="9">
        <v>2</v>
      </c>
      <c r="G3674" s="5">
        <f>TRUNC([1]단가대비표!O1789,0)</f>
        <v>58280</v>
      </c>
      <c r="H3674" s="5">
        <f t="shared" si="351"/>
        <v>116560</v>
      </c>
      <c r="I3674" s="5">
        <v>0</v>
      </c>
      <c r="J3674" s="5">
        <f t="shared" si="352"/>
        <v>0</v>
      </c>
      <c r="K3674" s="5">
        <v>0</v>
      </c>
      <c r="L3674" s="5">
        <f t="shared" si="353"/>
        <v>0</v>
      </c>
      <c r="M3674" s="5">
        <f t="shared" si="354"/>
        <v>58280</v>
      </c>
      <c r="N3674" s="5">
        <f t="shared" si="354"/>
        <v>116560</v>
      </c>
      <c r="O3674" s="8" t="s">
        <v>20</v>
      </c>
      <c r="T3674">
        <v>0</v>
      </c>
      <c r="AC3674">
        <v>1</v>
      </c>
    </row>
    <row r="3675" spans="1:29" ht="30" customHeight="1" x14ac:dyDescent="0.3">
      <c r="A3675" s="8" t="s">
        <v>3343</v>
      </c>
      <c r="B3675" s="8" t="s">
        <v>3348</v>
      </c>
      <c r="C3675" s="8" t="s">
        <v>177</v>
      </c>
      <c r="D3675" s="8" t="s">
        <v>3329</v>
      </c>
      <c r="E3675" s="8" t="s">
        <v>179</v>
      </c>
      <c r="F3675" s="9">
        <v>2</v>
      </c>
      <c r="G3675" s="5">
        <f>TRUNC([1]단가대비표!O1790,0)</f>
        <v>46750</v>
      </c>
      <c r="H3675" s="5">
        <f t="shared" si="351"/>
        <v>93500</v>
      </c>
      <c r="I3675" s="5">
        <v>0</v>
      </c>
      <c r="J3675" s="5">
        <f t="shared" si="352"/>
        <v>0</v>
      </c>
      <c r="K3675" s="5">
        <v>0</v>
      </c>
      <c r="L3675" s="5">
        <f t="shared" si="353"/>
        <v>0</v>
      </c>
      <c r="M3675" s="5">
        <f t="shared" si="354"/>
        <v>46750</v>
      </c>
      <c r="N3675" s="5">
        <f t="shared" si="354"/>
        <v>93500</v>
      </c>
      <c r="O3675" s="8" t="s">
        <v>20</v>
      </c>
      <c r="T3675">
        <v>0</v>
      </c>
      <c r="AC3675">
        <v>1</v>
      </c>
    </row>
    <row r="3676" spans="1:29" ht="30" customHeight="1" x14ac:dyDescent="0.3">
      <c r="A3676" s="8" t="s">
        <v>3343</v>
      </c>
      <c r="B3676" s="8" t="s">
        <v>3349</v>
      </c>
      <c r="C3676" s="8" t="s">
        <v>177</v>
      </c>
      <c r="D3676" s="8" t="s">
        <v>3331</v>
      </c>
      <c r="E3676" s="8" t="s">
        <v>179</v>
      </c>
      <c r="F3676" s="9">
        <v>4</v>
      </c>
      <c r="G3676" s="5">
        <f>TRUNC([1]단가대비표!O1791,0)</f>
        <v>34080</v>
      </c>
      <c r="H3676" s="5">
        <f t="shared" si="351"/>
        <v>136320</v>
      </c>
      <c r="I3676" s="5">
        <v>0</v>
      </c>
      <c r="J3676" s="5">
        <f t="shared" si="352"/>
        <v>0</v>
      </c>
      <c r="K3676" s="5">
        <v>0</v>
      </c>
      <c r="L3676" s="5">
        <f t="shared" si="353"/>
        <v>0</v>
      </c>
      <c r="M3676" s="5">
        <f t="shared" si="354"/>
        <v>34080</v>
      </c>
      <c r="N3676" s="5">
        <f t="shared" si="354"/>
        <v>136320</v>
      </c>
      <c r="O3676" s="8" t="s">
        <v>20</v>
      </c>
      <c r="T3676">
        <v>0</v>
      </c>
      <c r="AC3676">
        <v>1</v>
      </c>
    </row>
    <row r="3677" spans="1:29" ht="30" customHeight="1" x14ac:dyDescent="0.3">
      <c r="A3677" s="8" t="s">
        <v>3343</v>
      </c>
      <c r="B3677" s="8" t="s">
        <v>3350</v>
      </c>
      <c r="C3677" s="8" t="s">
        <v>177</v>
      </c>
      <c r="D3677" s="8" t="s">
        <v>3333</v>
      </c>
      <c r="E3677" s="8" t="s">
        <v>428</v>
      </c>
      <c r="F3677" s="9">
        <v>2</v>
      </c>
      <c r="G3677" s="5">
        <f>TRUNC([1]단가대비표!O1792,0)</f>
        <v>28040</v>
      </c>
      <c r="H3677" s="5">
        <f t="shared" si="351"/>
        <v>56080</v>
      </c>
      <c r="I3677" s="5">
        <v>0</v>
      </c>
      <c r="J3677" s="5">
        <f t="shared" si="352"/>
        <v>0</v>
      </c>
      <c r="K3677" s="5">
        <v>0</v>
      </c>
      <c r="L3677" s="5">
        <f t="shared" si="353"/>
        <v>0</v>
      </c>
      <c r="M3677" s="5">
        <f t="shared" si="354"/>
        <v>28040</v>
      </c>
      <c r="N3677" s="5">
        <f t="shared" si="354"/>
        <v>56080</v>
      </c>
      <c r="O3677" s="8" t="s">
        <v>20</v>
      </c>
      <c r="T3677">
        <v>0</v>
      </c>
      <c r="AC3677">
        <v>1</v>
      </c>
    </row>
    <row r="3678" spans="1:29" ht="30" customHeight="1" x14ac:dyDescent="0.3">
      <c r="A3678" s="8" t="s">
        <v>3343</v>
      </c>
      <c r="B3678" s="8" t="s">
        <v>3351</v>
      </c>
      <c r="C3678" s="8" t="s">
        <v>177</v>
      </c>
      <c r="D3678" s="8" t="s">
        <v>3337</v>
      </c>
      <c r="E3678" s="8" t="s">
        <v>428</v>
      </c>
      <c r="F3678" s="9">
        <v>2</v>
      </c>
      <c r="G3678" s="5">
        <f>TRUNC([1]단가대비표!O1793,0)</f>
        <v>59560</v>
      </c>
      <c r="H3678" s="5">
        <f t="shared" si="351"/>
        <v>119120</v>
      </c>
      <c r="I3678" s="5">
        <v>0</v>
      </c>
      <c r="J3678" s="5">
        <f t="shared" si="352"/>
        <v>0</v>
      </c>
      <c r="K3678" s="5">
        <v>0</v>
      </c>
      <c r="L3678" s="5">
        <f t="shared" si="353"/>
        <v>0</v>
      </c>
      <c r="M3678" s="5">
        <f t="shared" si="354"/>
        <v>59560</v>
      </c>
      <c r="N3678" s="5">
        <f t="shared" si="354"/>
        <v>119120</v>
      </c>
      <c r="O3678" s="8" t="s">
        <v>20</v>
      </c>
      <c r="T3678">
        <v>0</v>
      </c>
      <c r="AC3678">
        <v>1</v>
      </c>
    </row>
    <row r="3679" spans="1:29" ht="30" customHeight="1" x14ac:dyDescent="0.3">
      <c r="A3679" s="8" t="s">
        <v>3343</v>
      </c>
      <c r="B3679" s="8" t="s">
        <v>3352</v>
      </c>
      <c r="C3679" s="8" t="s">
        <v>177</v>
      </c>
      <c r="D3679" s="8" t="s">
        <v>3339</v>
      </c>
      <c r="E3679" s="8" t="s">
        <v>428</v>
      </c>
      <c r="F3679" s="9">
        <v>2</v>
      </c>
      <c r="G3679" s="5">
        <f>TRUNC([1]단가대비표!O1794,0)</f>
        <v>41900</v>
      </c>
      <c r="H3679" s="5">
        <f t="shared" si="351"/>
        <v>83800</v>
      </c>
      <c r="I3679" s="5">
        <v>0</v>
      </c>
      <c r="J3679" s="5">
        <f t="shared" si="352"/>
        <v>0</v>
      </c>
      <c r="K3679" s="5">
        <v>0</v>
      </c>
      <c r="L3679" s="5">
        <f t="shared" si="353"/>
        <v>0</v>
      </c>
      <c r="M3679" s="5">
        <f t="shared" si="354"/>
        <v>41900</v>
      </c>
      <c r="N3679" s="5">
        <f t="shared" si="354"/>
        <v>83800</v>
      </c>
      <c r="O3679" s="8" t="s">
        <v>20</v>
      </c>
      <c r="T3679">
        <v>0</v>
      </c>
      <c r="AC3679">
        <v>1</v>
      </c>
    </row>
    <row r="3680" spans="1:29" ht="30" customHeight="1" x14ac:dyDescent="0.3">
      <c r="A3680" s="5"/>
      <c r="B3680" s="5"/>
      <c r="C3680" s="5"/>
      <c r="D3680" s="5"/>
      <c r="E3680" s="5"/>
      <c r="F3680" s="9"/>
      <c r="G3680" s="5"/>
      <c r="H3680" s="5"/>
      <c r="I3680" s="5"/>
      <c r="J3680" s="5"/>
      <c r="K3680" s="5"/>
      <c r="L3680" s="5"/>
      <c r="M3680" s="5"/>
      <c r="N3680" s="5"/>
      <c r="O3680" s="5"/>
    </row>
    <row r="3681" spans="1:15" ht="30" customHeight="1" x14ac:dyDescent="0.3">
      <c r="A3681" s="5"/>
      <c r="B3681" s="5"/>
      <c r="C3681" s="5"/>
      <c r="D3681" s="5"/>
      <c r="E3681" s="5"/>
      <c r="F3681" s="9"/>
      <c r="G3681" s="5"/>
      <c r="H3681" s="5"/>
      <c r="I3681" s="5"/>
      <c r="J3681" s="5"/>
      <c r="K3681" s="5"/>
      <c r="L3681" s="5"/>
      <c r="M3681" s="5"/>
      <c r="N3681" s="5"/>
      <c r="O3681" s="5"/>
    </row>
    <row r="3682" spans="1:15" ht="30" customHeight="1" x14ac:dyDescent="0.3">
      <c r="A3682" s="5"/>
      <c r="B3682" s="5"/>
      <c r="C3682" s="5"/>
      <c r="D3682" s="5"/>
      <c r="E3682" s="5"/>
      <c r="F3682" s="9"/>
      <c r="G3682" s="5"/>
      <c r="H3682" s="5"/>
      <c r="I3682" s="5"/>
      <c r="J3682" s="5"/>
      <c r="K3682" s="5"/>
      <c r="L3682" s="5"/>
      <c r="M3682" s="5"/>
      <c r="N3682" s="5"/>
      <c r="O3682" s="5"/>
    </row>
    <row r="3683" spans="1:15" ht="30" customHeight="1" x14ac:dyDescent="0.3">
      <c r="A3683" s="5"/>
      <c r="B3683" s="5"/>
      <c r="C3683" s="5"/>
      <c r="D3683" s="5"/>
      <c r="E3683" s="5"/>
      <c r="F3683" s="9"/>
      <c r="G3683" s="5"/>
      <c r="H3683" s="5"/>
      <c r="I3683" s="5"/>
      <c r="J3683" s="5"/>
      <c r="K3683" s="5"/>
      <c r="L3683" s="5"/>
      <c r="M3683" s="5"/>
      <c r="N3683" s="5"/>
      <c r="O3683" s="5"/>
    </row>
    <row r="3684" spans="1:15" ht="30" customHeight="1" x14ac:dyDescent="0.3">
      <c r="A3684" s="5"/>
      <c r="B3684" s="5"/>
      <c r="C3684" s="5"/>
      <c r="D3684" s="5"/>
      <c r="E3684" s="5"/>
      <c r="F3684" s="9"/>
      <c r="G3684" s="5"/>
      <c r="H3684" s="5"/>
      <c r="I3684" s="5"/>
      <c r="J3684" s="5"/>
      <c r="K3684" s="5"/>
      <c r="L3684" s="5"/>
      <c r="M3684" s="5"/>
      <c r="N3684" s="5"/>
      <c r="O3684" s="5"/>
    </row>
    <row r="3685" spans="1:15" ht="30" customHeight="1" x14ac:dyDescent="0.3">
      <c r="A3685" s="5"/>
      <c r="B3685" s="5"/>
      <c r="C3685" s="5"/>
      <c r="D3685" s="5"/>
      <c r="E3685" s="5"/>
      <c r="F3685" s="9"/>
      <c r="G3685" s="5"/>
      <c r="H3685" s="5"/>
      <c r="I3685" s="5"/>
      <c r="J3685" s="5"/>
      <c r="K3685" s="5"/>
      <c r="L3685" s="5"/>
      <c r="M3685" s="5"/>
      <c r="N3685" s="5"/>
      <c r="O3685" s="5"/>
    </row>
    <row r="3686" spans="1:15" ht="30" customHeight="1" x14ac:dyDescent="0.3">
      <c r="A3686" s="5"/>
      <c r="B3686" s="5"/>
      <c r="C3686" s="5"/>
      <c r="D3686" s="5"/>
      <c r="E3686" s="5"/>
      <c r="F3686" s="9"/>
      <c r="G3686" s="5"/>
      <c r="H3686" s="5"/>
      <c r="I3686" s="5"/>
      <c r="J3686" s="5"/>
      <c r="K3686" s="5"/>
      <c r="L3686" s="5"/>
      <c r="M3686" s="5"/>
      <c r="N3686" s="5"/>
      <c r="O3686" s="5"/>
    </row>
    <row r="3687" spans="1:15" ht="30" customHeight="1" x14ac:dyDescent="0.3">
      <c r="A3687" s="5"/>
      <c r="B3687" s="5"/>
      <c r="C3687" s="5"/>
      <c r="D3687" s="5"/>
      <c r="E3687" s="5"/>
      <c r="F3687" s="9"/>
      <c r="G3687" s="5"/>
      <c r="H3687" s="5"/>
      <c r="I3687" s="5"/>
      <c r="J3687" s="5"/>
      <c r="K3687" s="5"/>
      <c r="L3687" s="5"/>
      <c r="M3687" s="5"/>
      <c r="N3687" s="5"/>
      <c r="O3687" s="5"/>
    </row>
    <row r="3688" spans="1:15" ht="30" customHeight="1" x14ac:dyDescent="0.3">
      <c r="A3688" s="5"/>
      <c r="B3688" s="5"/>
      <c r="C3688" s="5"/>
      <c r="D3688" s="5"/>
      <c r="E3688" s="5"/>
      <c r="F3688" s="9"/>
      <c r="G3688" s="5"/>
      <c r="H3688" s="5"/>
      <c r="I3688" s="5"/>
      <c r="J3688" s="5"/>
      <c r="K3688" s="5"/>
      <c r="L3688" s="5"/>
      <c r="M3688" s="5"/>
      <c r="N3688" s="5"/>
      <c r="O3688" s="5"/>
    </row>
    <row r="3689" spans="1:15" ht="30" customHeight="1" x14ac:dyDescent="0.3">
      <c r="A3689" s="5"/>
      <c r="B3689" s="5"/>
      <c r="C3689" s="5"/>
      <c r="D3689" s="5"/>
      <c r="E3689" s="5"/>
      <c r="F3689" s="9"/>
      <c r="G3689" s="5"/>
      <c r="H3689" s="5"/>
      <c r="I3689" s="5"/>
      <c r="J3689" s="5"/>
      <c r="K3689" s="5"/>
      <c r="L3689" s="5"/>
      <c r="M3689" s="5"/>
      <c r="N3689" s="5"/>
      <c r="O3689" s="5"/>
    </row>
    <row r="3690" spans="1:15" ht="30" customHeight="1" x14ac:dyDescent="0.3">
      <c r="A3690" s="5"/>
      <c r="B3690" s="5"/>
      <c r="C3690" s="5"/>
      <c r="D3690" s="5"/>
      <c r="E3690" s="5"/>
      <c r="F3690" s="9"/>
      <c r="G3690" s="5"/>
      <c r="H3690" s="5"/>
      <c r="I3690" s="5"/>
      <c r="J3690" s="5"/>
      <c r="K3690" s="5"/>
      <c r="L3690" s="5"/>
      <c r="M3690" s="5"/>
      <c r="N3690" s="5"/>
      <c r="O3690" s="5"/>
    </row>
    <row r="3691" spans="1:15" ht="30" customHeight="1" x14ac:dyDescent="0.3">
      <c r="A3691" s="5"/>
      <c r="B3691" s="5"/>
      <c r="C3691" s="5"/>
      <c r="D3691" s="5"/>
      <c r="E3691" s="5"/>
      <c r="F3691" s="9"/>
      <c r="G3691" s="5"/>
      <c r="H3691" s="5"/>
      <c r="I3691" s="5"/>
      <c r="J3691" s="5"/>
      <c r="K3691" s="5"/>
      <c r="L3691" s="5"/>
      <c r="M3691" s="5"/>
      <c r="N3691" s="5"/>
      <c r="O3691" s="5"/>
    </row>
    <row r="3692" spans="1:15" ht="30" customHeight="1" x14ac:dyDescent="0.3">
      <c r="A3692" s="5"/>
      <c r="B3692" s="5"/>
      <c r="C3692" s="5"/>
      <c r="D3692" s="5"/>
      <c r="E3692" s="5"/>
      <c r="F3692" s="9"/>
      <c r="G3692" s="5"/>
      <c r="H3692" s="5"/>
      <c r="I3692" s="5"/>
      <c r="J3692" s="5"/>
      <c r="K3692" s="5"/>
      <c r="L3692" s="5"/>
      <c r="M3692" s="5"/>
      <c r="N3692" s="5"/>
      <c r="O3692" s="5"/>
    </row>
    <row r="3693" spans="1:15" ht="30" customHeight="1" x14ac:dyDescent="0.3">
      <c r="A3693" s="5"/>
      <c r="B3693" s="5"/>
      <c r="C3693" s="5"/>
      <c r="D3693" s="5"/>
      <c r="E3693" s="5"/>
      <c r="F3693" s="9"/>
      <c r="G3693" s="5"/>
      <c r="H3693" s="5"/>
      <c r="I3693" s="5"/>
      <c r="J3693" s="5"/>
      <c r="K3693" s="5"/>
      <c r="L3693" s="5"/>
      <c r="M3693" s="5"/>
      <c r="N3693" s="5"/>
      <c r="O3693" s="5"/>
    </row>
    <row r="3694" spans="1:15" ht="30" customHeight="1" x14ac:dyDescent="0.3">
      <c r="A3694" s="5"/>
      <c r="B3694" s="5"/>
      <c r="C3694" s="5"/>
      <c r="D3694" s="5"/>
      <c r="E3694" s="5"/>
      <c r="F3694" s="9"/>
      <c r="G3694" s="5"/>
      <c r="H3694" s="5"/>
      <c r="I3694" s="5"/>
      <c r="J3694" s="5"/>
      <c r="K3694" s="5"/>
      <c r="L3694" s="5"/>
      <c r="M3694" s="5"/>
      <c r="N3694" s="5"/>
      <c r="O3694" s="5"/>
    </row>
    <row r="3695" spans="1:15" ht="30" customHeight="1" x14ac:dyDescent="0.3">
      <c r="A3695" s="5"/>
      <c r="B3695" s="5"/>
      <c r="C3695" s="5" t="s">
        <v>162</v>
      </c>
      <c r="D3695" s="5"/>
      <c r="E3695" s="5"/>
      <c r="F3695" s="9"/>
      <c r="G3695" s="5"/>
      <c r="H3695" s="5">
        <f>SUMIF(AC3671:AC3694, 1, H3671:H3694)</f>
        <v>1918089</v>
      </c>
      <c r="I3695" s="5"/>
      <c r="J3695" s="5">
        <f>SUMIF(AC3671:AC3694, 1, J3671:J3694)</f>
        <v>0</v>
      </c>
      <c r="K3695" s="5"/>
      <c r="L3695" s="5">
        <f>SUMIF(AC3671:AC3694, 1, L3671:L3694)</f>
        <v>0</v>
      </c>
      <c r="M3695" s="5"/>
      <c r="N3695" s="5">
        <f>H3695+J3695+L3695</f>
        <v>1918089</v>
      </c>
      <c r="O3695" s="5"/>
    </row>
    <row r="3696" spans="1:15" ht="30" customHeight="1" x14ac:dyDescent="0.3">
      <c r="A3696" s="5"/>
      <c r="B3696" s="5"/>
      <c r="C3696" s="6" t="s">
        <v>3353</v>
      </c>
      <c r="D3696" s="6"/>
      <c r="E3696" s="6"/>
      <c r="F3696" s="7"/>
      <c r="G3696" s="6"/>
      <c r="H3696" s="6"/>
      <c r="I3696" s="6"/>
      <c r="J3696" s="6"/>
      <c r="K3696" s="6"/>
      <c r="L3696" s="6"/>
      <c r="M3696" s="6"/>
      <c r="N3696" s="6"/>
      <c r="O3696" s="6"/>
    </row>
    <row r="3697" spans="1:29" ht="30" customHeight="1" x14ac:dyDescent="0.3">
      <c r="A3697" s="8" t="s">
        <v>3354</v>
      </c>
      <c r="B3697" s="8" t="s">
        <v>3355</v>
      </c>
      <c r="C3697" s="8" t="s">
        <v>3356</v>
      </c>
      <c r="D3697" s="8" t="s">
        <v>3357</v>
      </c>
      <c r="E3697" s="8" t="s">
        <v>428</v>
      </c>
      <c r="F3697" s="9">
        <v>1</v>
      </c>
      <c r="G3697" s="5">
        <f>TRUNC([1]단가대비표!O1795,0)</f>
        <v>3400000</v>
      </c>
      <c r="H3697" s="5">
        <f t="shared" ref="H3697:H3721" si="355">TRUNC(F3697*G3697,0)</f>
        <v>3400000</v>
      </c>
      <c r="I3697" s="5">
        <v>0</v>
      </c>
      <c r="J3697" s="5">
        <f t="shared" ref="J3697:J3721" si="356">TRUNC(F3697*I3697,0)</f>
        <v>0</v>
      </c>
      <c r="K3697" s="5">
        <v>0</v>
      </c>
      <c r="L3697" s="5">
        <f t="shared" ref="L3697:L3721" si="357">TRUNC(F3697*K3697,0)</f>
        <v>0</v>
      </c>
      <c r="M3697" s="5">
        <f t="shared" ref="M3697:N3721" si="358">G3697+I3697+K3697</f>
        <v>3400000</v>
      </c>
      <c r="N3697" s="5">
        <f t="shared" si="358"/>
        <v>3400000</v>
      </c>
      <c r="O3697" s="8" t="s">
        <v>20</v>
      </c>
      <c r="T3697">
        <v>0</v>
      </c>
      <c r="AC3697">
        <v>1</v>
      </c>
    </row>
    <row r="3698" spans="1:29" ht="30" customHeight="1" x14ac:dyDescent="0.3">
      <c r="A3698" s="8" t="s">
        <v>3354</v>
      </c>
      <c r="B3698" s="8" t="s">
        <v>3358</v>
      </c>
      <c r="C3698" s="8" t="s">
        <v>3359</v>
      </c>
      <c r="D3698" s="8" t="s">
        <v>3360</v>
      </c>
      <c r="E3698" s="8" t="s">
        <v>428</v>
      </c>
      <c r="F3698" s="9">
        <v>1</v>
      </c>
      <c r="G3698" s="5">
        <f>TRUNC([1]단가대비표!O1796,0)</f>
        <v>3500000</v>
      </c>
      <c r="H3698" s="5">
        <f t="shared" si="355"/>
        <v>3500000</v>
      </c>
      <c r="I3698" s="5">
        <v>0</v>
      </c>
      <c r="J3698" s="5">
        <f t="shared" si="356"/>
        <v>0</v>
      </c>
      <c r="K3698" s="5">
        <v>0</v>
      </c>
      <c r="L3698" s="5">
        <f t="shared" si="357"/>
        <v>0</v>
      </c>
      <c r="M3698" s="5">
        <f t="shared" si="358"/>
        <v>3500000</v>
      </c>
      <c r="N3698" s="5">
        <f t="shared" si="358"/>
        <v>3500000</v>
      </c>
      <c r="O3698" s="8" t="s">
        <v>20</v>
      </c>
      <c r="T3698">
        <v>0</v>
      </c>
      <c r="AC3698">
        <v>1</v>
      </c>
    </row>
    <row r="3699" spans="1:29" ht="30" customHeight="1" x14ac:dyDescent="0.3">
      <c r="A3699" s="8" t="s">
        <v>3354</v>
      </c>
      <c r="B3699" s="8" t="s">
        <v>3361</v>
      </c>
      <c r="C3699" s="8" t="s">
        <v>3362</v>
      </c>
      <c r="D3699" s="8" t="s">
        <v>3363</v>
      </c>
      <c r="E3699" s="8" t="s">
        <v>161</v>
      </c>
      <c r="F3699" s="9">
        <v>1</v>
      </c>
      <c r="G3699" s="5">
        <f>TRUNC([1]단가대비표!O1797,0)</f>
        <v>3800000</v>
      </c>
      <c r="H3699" s="5">
        <f t="shared" si="355"/>
        <v>3800000</v>
      </c>
      <c r="I3699" s="5">
        <v>0</v>
      </c>
      <c r="J3699" s="5">
        <f t="shared" si="356"/>
        <v>0</v>
      </c>
      <c r="K3699" s="5">
        <v>0</v>
      </c>
      <c r="L3699" s="5">
        <f t="shared" si="357"/>
        <v>0</v>
      </c>
      <c r="M3699" s="5">
        <f t="shared" si="358"/>
        <v>3800000</v>
      </c>
      <c r="N3699" s="5">
        <f t="shared" si="358"/>
        <v>3800000</v>
      </c>
      <c r="O3699" s="8" t="s">
        <v>20</v>
      </c>
      <c r="T3699">
        <v>0</v>
      </c>
      <c r="AC3699">
        <v>1</v>
      </c>
    </row>
    <row r="3700" spans="1:29" ht="30" customHeight="1" x14ac:dyDescent="0.3">
      <c r="A3700" s="8" t="s">
        <v>3354</v>
      </c>
      <c r="B3700" s="8" t="s">
        <v>3364</v>
      </c>
      <c r="C3700" s="8" t="s">
        <v>3365</v>
      </c>
      <c r="D3700" s="8" t="s">
        <v>3366</v>
      </c>
      <c r="E3700" s="8" t="s">
        <v>428</v>
      </c>
      <c r="F3700" s="9">
        <v>1</v>
      </c>
      <c r="G3700" s="5">
        <f>TRUNC([1]단가대비표!O1798,0)</f>
        <v>1000000</v>
      </c>
      <c r="H3700" s="5">
        <f t="shared" si="355"/>
        <v>1000000</v>
      </c>
      <c r="I3700" s="5">
        <v>0</v>
      </c>
      <c r="J3700" s="5">
        <f t="shared" si="356"/>
        <v>0</v>
      </c>
      <c r="K3700" s="5">
        <v>0</v>
      </c>
      <c r="L3700" s="5">
        <f t="shared" si="357"/>
        <v>0</v>
      </c>
      <c r="M3700" s="5">
        <f t="shared" si="358"/>
        <v>1000000</v>
      </c>
      <c r="N3700" s="5">
        <f t="shared" si="358"/>
        <v>1000000</v>
      </c>
      <c r="O3700" s="8" t="s">
        <v>20</v>
      </c>
      <c r="T3700">
        <v>0</v>
      </c>
      <c r="AC3700">
        <v>1</v>
      </c>
    </row>
    <row r="3701" spans="1:29" ht="30" customHeight="1" x14ac:dyDescent="0.3">
      <c r="A3701" s="8" t="s">
        <v>3354</v>
      </c>
      <c r="B3701" s="8" t="s">
        <v>3367</v>
      </c>
      <c r="C3701" s="8" t="s">
        <v>3368</v>
      </c>
      <c r="D3701" s="8" t="s">
        <v>2847</v>
      </c>
      <c r="E3701" s="8" t="s">
        <v>428</v>
      </c>
      <c r="F3701" s="9">
        <v>20</v>
      </c>
      <c r="G3701" s="5">
        <f>TRUNC([1]단가대비표!O1799,0)</f>
        <v>2300</v>
      </c>
      <c r="H3701" s="5">
        <f t="shared" si="355"/>
        <v>46000</v>
      </c>
      <c r="I3701" s="5">
        <v>0</v>
      </c>
      <c r="J3701" s="5">
        <f t="shared" si="356"/>
        <v>0</v>
      </c>
      <c r="K3701" s="5">
        <v>0</v>
      </c>
      <c r="L3701" s="5">
        <f t="shared" si="357"/>
        <v>0</v>
      </c>
      <c r="M3701" s="5">
        <f t="shared" si="358"/>
        <v>2300</v>
      </c>
      <c r="N3701" s="5">
        <f t="shared" si="358"/>
        <v>46000</v>
      </c>
      <c r="O3701" s="8" t="s">
        <v>20</v>
      </c>
      <c r="T3701">
        <v>0</v>
      </c>
      <c r="AC3701">
        <v>1</v>
      </c>
    </row>
    <row r="3702" spans="1:29" ht="30" customHeight="1" x14ac:dyDescent="0.3">
      <c r="A3702" s="8" t="s">
        <v>3354</v>
      </c>
      <c r="B3702" s="8" t="s">
        <v>3369</v>
      </c>
      <c r="C3702" s="8" t="s">
        <v>3368</v>
      </c>
      <c r="D3702" s="8" t="s">
        <v>2845</v>
      </c>
      <c r="E3702" s="8" t="s">
        <v>428</v>
      </c>
      <c r="F3702" s="9">
        <v>20</v>
      </c>
      <c r="G3702" s="5">
        <f>TRUNC([1]단가대비표!O1800,0)</f>
        <v>2000</v>
      </c>
      <c r="H3702" s="5">
        <f t="shared" si="355"/>
        <v>40000</v>
      </c>
      <c r="I3702" s="5">
        <v>0</v>
      </c>
      <c r="J3702" s="5">
        <f t="shared" si="356"/>
        <v>0</v>
      </c>
      <c r="K3702" s="5">
        <v>0</v>
      </c>
      <c r="L3702" s="5">
        <f t="shared" si="357"/>
        <v>0</v>
      </c>
      <c r="M3702" s="5">
        <f t="shared" si="358"/>
        <v>2000</v>
      </c>
      <c r="N3702" s="5">
        <f t="shared" si="358"/>
        <v>40000</v>
      </c>
      <c r="O3702" s="8" t="s">
        <v>20</v>
      </c>
      <c r="T3702">
        <v>0</v>
      </c>
      <c r="AC3702">
        <v>1</v>
      </c>
    </row>
    <row r="3703" spans="1:29" ht="30" customHeight="1" x14ac:dyDescent="0.3">
      <c r="A3703" s="8" t="s">
        <v>3354</v>
      </c>
      <c r="B3703" s="8" t="s">
        <v>3370</v>
      </c>
      <c r="C3703" s="8" t="s">
        <v>3371</v>
      </c>
      <c r="D3703" s="8" t="s">
        <v>2847</v>
      </c>
      <c r="E3703" s="8" t="s">
        <v>168</v>
      </c>
      <c r="F3703" s="9">
        <v>20</v>
      </c>
      <c r="G3703" s="5">
        <f>TRUNC([1]단가대비표!O1801,0)</f>
        <v>2500</v>
      </c>
      <c r="H3703" s="5">
        <f t="shared" si="355"/>
        <v>50000</v>
      </c>
      <c r="I3703" s="5">
        <v>0</v>
      </c>
      <c r="J3703" s="5">
        <f t="shared" si="356"/>
        <v>0</v>
      </c>
      <c r="K3703" s="5">
        <v>0</v>
      </c>
      <c r="L3703" s="5">
        <f t="shared" si="357"/>
        <v>0</v>
      </c>
      <c r="M3703" s="5">
        <f t="shared" si="358"/>
        <v>2500</v>
      </c>
      <c r="N3703" s="5">
        <f t="shared" si="358"/>
        <v>50000</v>
      </c>
      <c r="O3703" s="8" t="s">
        <v>20</v>
      </c>
      <c r="T3703">
        <v>0</v>
      </c>
      <c r="AC3703">
        <v>1</v>
      </c>
    </row>
    <row r="3704" spans="1:29" ht="30" customHeight="1" x14ac:dyDescent="0.3">
      <c r="A3704" s="8" t="s">
        <v>3354</v>
      </c>
      <c r="B3704" s="8" t="s">
        <v>3372</v>
      </c>
      <c r="C3704" s="8" t="s">
        <v>3371</v>
      </c>
      <c r="D3704" s="8" t="s">
        <v>2845</v>
      </c>
      <c r="E3704" s="8" t="s">
        <v>168</v>
      </c>
      <c r="F3704" s="9">
        <v>20</v>
      </c>
      <c r="G3704" s="5">
        <f>TRUNC([1]단가대비표!O1802,0)</f>
        <v>1900</v>
      </c>
      <c r="H3704" s="5">
        <f t="shared" si="355"/>
        <v>38000</v>
      </c>
      <c r="I3704" s="5">
        <v>0</v>
      </c>
      <c r="J3704" s="5">
        <f t="shared" si="356"/>
        <v>0</v>
      </c>
      <c r="K3704" s="5">
        <v>0</v>
      </c>
      <c r="L3704" s="5">
        <f t="shared" si="357"/>
        <v>0</v>
      </c>
      <c r="M3704" s="5">
        <f t="shared" si="358"/>
        <v>1900</v>
      </c>
      <c r="N3704" s="5">
        <f t="shared" si="358"/>
        <v>38000</v>
      </c>
      <c r="O3704" s="8" t="s">
        <v>20</v>
      </c>
      <c r="T3704">
        <v>0</v>
      </c>
      <c r="AC3704">
        <v>1</v>
      </c>
    </row>
    <row r="3705" spans="1:29" ht="30" customHeight="1" x14ac:dyDescent="0.3">
      <c r="A3705" s="8" t="s">
        <v>3354</v>
      </c>
      <c r="B3705" s="8" t="s">
        <v>3373</v>
      </c>
      <c r="C3705" s="8" t="s">
        <v>3374</v>
      </c>
      <c r="D3705" s="8" t="s">
        <v>3375</v>
      </c>
      <c r="E3705" s="8" t="s">
        <v>168</v>
      </c>
      <c r="F3705" s="9">
        <v>400</v>
      </c>
      <c r="G3705" s="5">
        <f>TRUNC([1]단가대비표!O1803,0)</f>
        <v>600</v>
      </c>
      <c r="H3705" s="5">
        <f t="shared" si="355"/>
        <v>240000</v>
      </c>
      <c r="I3705" s="5">
        <v>0</v>
      </c>
      <c r="J3705" s="5">
        <f t="shared" si="356"/>
        <v>0</v>
      </c>
      <c r="K3705" s="5">
        <v>0</v>
      </c>
      <c r="L3705" s="5">
        <f t="shared" si="357"/>
        <v>0</v>
      </c>
      <c r="M3705" s="5">
        <f t="shared" si="358"/>
        <v>600</v>
      </c>
      <c r="N3705" s="5">
        <f t="shared" si="358"/>
        <v>240000</v>
      </c>
      <c r="O3705" s="8" t="s">
        <v>20</v>
      </c>
      <c r="T3705">
        <v>0</v>
      </c>
      <c r="AC3705">
        <v>1</v>
      </c>
    </row>
    <row r="3706" spans="1:29" ht="30" customHeight="1" x14ac:dyDescent="0.3">
      <c r="A3706" s="8" t="s">
        <v>3354</v>
      </c>
      <c r="B3706" s="8" t="s">
        <v>3376</v>
      </c>
      <c r="C3706" s="8" t="s">
        <v>3377</v>
      </c>
      <c r="D3706" s="8" t="s">
        <v>3378</v>
      </c>
      <c r="E3706" s="8" t="s">
        <v>168</v>
      </c>
      <c r="F3706" s="9">
        <v>60</v>
      </c>
      <c r="G3706" s="5">
        <f>TRUNC([1]단가대비표!O1804,0)</f>
        <v>3400</v>
      </c>
      <c r="H3706" s="5">
        <f t="shared" si="355"/>
        <v>204000</v>
      </c>
      <c r="I3706" s="5">
        <v>0</v>
      </c>
      <c r="J3706" s="5">
        <f t="shared" si="356"/>
        <v>0</v>
      </c>
      <c r="K3706" s="5">
        <v>0</v>
      </c>
      <c r="L3706" s="5">
        <f t="shared" si="357"/>
        <v>0</v>
      </c>
      <c r="M3706" s="5">
        <f t="shared" si="358"/>
        <v>3400</v>
      </c>
      <c r="N3706" s="5">
        <f t="shared" si="358"/>
        <v>204000</v>
      </c>
      <c r="O3706" s="8" t="s">
        <v>20</v>
      </c>
      <c r="T3706">
        <v>0</v>
      </c>
      <c r="AC3706">
        <v>1</v>
      </c>
    </row>
    <row r="3707" spans="1:29" ht="30" customHeight="1" x14ac:dyDescent="0.3">
      <c r="A3707" s="8" t="s">
        <v>3354</v>
      </c>
      <c r="B3707" s="8" t="s">
        <v>3379</v>
      </c>
      <c r="C3707" s="8" t="s">
        <v>3377</v>
      </c>
      <c r="D3707" s="8" t="s">
        <v>3380</v>
      </c>
      <c r="E3707" s="8" t="s">
        <v>168</v>
      </c>
      <c r="F3707" s="9">
        <v>60</v>
      </c>
      <c r="G3707" s="5">
        <f>TRUNC([1]단가대비표!O1805,0)</f>
        <v>2600</v>
      </c>
      <c r="H3707" s="5">
        <f t="shared" si="355"/>
        <v>156000</v>
      </c>
      <c r="I3707" s="5">
        <v>0</v>
      </c>
      <c r="J3707" s="5">
        <f t="shared" si="356"/>
        <v>0</v>
      </c>
      <c r="K3707" s="5">
        <v>0</v>
      </c>
      <c r="L3707" s="5">
        <f t="shared" si="357"/>
        <v>0</v>
      </c>
      <c r="M3707" s="5">
        <f t="shared" si="358"/>
        <v>2600</v>
      </c>
      <c r="N3707" s="5">
        <f t="shared" si="358"/>
        <v>156000</v>
      </c>
      <c r="O3707" s="8" t="s">
        <v>20</v>
      </c>
      <c r="T3707">
        <v>0</v>
      </c>
      <c r="AC3707">
        <v>1</v>
      </c>
    </row>
    <row r="3708" spans="1:29" ht="30" customHeight="1" x14ac:dyDescent="0.3">
      <c r="A3708" s="8" t="s">
        <v>3354</v>
      </c>
      <c r="B3708" s="8" t="s">
        <v>3381</v>
      </c>
      <c r="C3708" s="8" t="s">
        <v>3377</v>
      </c>
      <c r="D3708" s="8" t="s">
        <v>3382</v>
      </c>
      <c r="E3708" s="8" t="s">
        <v>168</v>
      </c>
      <c r="F3708" s="9">
        <v>100</v>
      </c>
      <c r="G3708" s="5">
        <f>TRUNC([1]단가대비표!O1806,0)</f>
        <v>1989</v>
      </c>
      <c r="H3708" s="5">
        <f t="shared" si="355"/>
        <v>198900</v>
      </c>
      <c r="I3708" s="5">
        <v>0</v>
      </c>
      <c r="J3708" s="5">
        <f t="shared" si="356"/>
        <v>0</v>
      </c>
      <c r="K3708" s="5">
        <v>0</v>
      </c>
      <c r="L3708" s="5">
        <f t="shared" si="357"/>
        <v>0</v>
      </c>
      <c r="M3708" s="5">
        <f t="shared" si="358"/>
        <v>1989</v>
      </c>
      <c r="N3708" s="5">
        <f t="shared" si="358"/>
        <v>198900</v>
      </c>
      <c r="O3708" s="8" t="s">
        <v>20</v>
      </c>
      <c r="T3708">
        <v>0</v>
      </c>
      <c r="AC3708">
        <v>1</v>
      </c>
    </row>
    <row r="3709" spans="1:29" ht="30" customHeight="1" x14ac:dyDescent="0.3">
      <c r="A3709" s="8" t="s">
        <v>3354</v>
      </c>
      <c r="B3709" s="8" t="s">
        <v>3383</v>
      </c>
      <c r="C3709" s="8" t="s">
        <v>3377</v>
      </c>
      <c r="D3709" s="8" t="s">
        <v>3384</v>
      </c>
      <c r="E3709" s="8" t="s">
        <v>168</v>
      </c>
      <c r="F3709" s="9">
        <v>120</v>
      </c>
      <c r="G3709" s="5">
        <f>TRUNC([1]단가대비표!O1807,0)</f>
        <v>1547</v>
      </c>
      <c r="H3709" s="5">
        <f t="shared" si="355"/>
        <v>185640</v>
      </c>
      <c r="I3709" s="5">
        <v>0</v>
      </c>
      <c r="J3709" s="5">
        <f t="shared" si="356"/>
        <v>0</v>
      </c>
      <c r="K3709" s="5">
        <v>0</v>
      </c>
      <c r="L3709" s="5">
        <f t="shared" si="357"/>
        <v>0</v>
      </c>
      <c r="M3709" s="5">
        <f t="shared" si="358"/>
        <v>1547</v>
      </c>
      <c r="N3709" s="5">
        <f t="shared" si="358"/>
        <v>185640</v>
      </c>
      <c r="O3709" s="8" t="s">
        <v>20</v>
      </c>
      <c r="T3709">
        <v>0</v>
      </c>
      <c r="AC3709">
        <v>1</v>
      </c>
    </row>
    <row r="3710" spans="1:29" ht="30" customHeight="1" x14ac:dyDescent="0.3">
      <c r="A3710" s="8" t="s">
        <v>3354</v>
      </c>
      <c r="B3710" s="8" t="s">
        <v>3385</v>
      </c>
      <c r="C3710" s="8" t="s">
        <v>3386</v>
      </c>
      <c r="D3710" s="8" t="s">
        <v>3387</v>
      </c>
      <c r="E3710" s="8" t="s">
        <v>428</v>
      </c>
      <c r="F3710" s="9">
        <v>1</v>
      </c>
      <c r="G3710" s="5">
        <f>TRUNC([1]단가대비표!O1808,0)</f>
        <v>1330000</v>
      </c>
      <c r="H3710" s="5">
        <f t="shared" si="355"/>
        <v>1330000</v>
      </c>
      <c r="I3710" s="5">
        <v>0</v>
      </c>
      <c r="J3710" s="5">
        <f t="shared" si="356"/>
        <v>0</v>
      </c>
      <c r="K3710" s="5">
        <v>0</v>
      </c>
      <c r="L3710" s="5">
        <f t="shared" si="357"/>
        <v>0</v>
      </c>
      <c r="M3710" s="5">
        <f t="shared" si="358"/>
        <v>1330000</v>
      </c>
      <c r="N3710" s="5">
        <f t="shared" si="358"/>
        <v>1330000</v>
      </c>
      <c r="O3710" s="8" t="s">
        <v>20</v>
      </c>
      <c r="T3710">
        <v>0</v>
      </c>
      <c r="AC3710">
        <v>1</v>
      </c>
    </row>
    <row r="3711" spans="1:29" ht="30" customHeight="1" x14ac:dyDescent="0.3">
      <c r="A3711" s="8" t="s">
        <v>3354</v>
      </c>
      <c r="B3711" s="8" t="s">
        <v>3388</v>
      </c>
      <c r="C3711" s="8" t="s">
        <v>3374</v>
      </c>
      <c r="D3711" s="8" t="s">
        <v>3389</v>
      </c>
      <c r="E3711" s="8" t="s">
        <v>168</v>
      </c>
      <c r="F3711" s="9">
        <v>100</v>
      </c>
      <c r="G3711" s="5">
        <f>TRUNC([1]단가대비표!O1809,0)</f>
        <v>200</v>
      </c>
      <c r="H3711" s="5">
        <f t="shared" si="355"/>
        <v>20000</v>
      </c>
      <c r="I3711" s="5">
        <v>0</v>
      </c>
      <c r="J3711" s="5">
        <f t="shared" si="356"/>
        <v>0</v>
      </c>
      <c r="K3711" s="5">
        <v>0</v>
      </c>
      <c r="L3711" s="5">
        <f t="shared" si="357"/>
        <v>0</v>
      </c>
      <c r="M3711" s="5">
        <f t="shared" si="358"/>
        <v>200</v>
      </c>
      <c r="N3711" s="5">
        <f t="shared" si="358"/>
        <v>20000</v>
      </c>
      <c r="O3711" s="8" t="s">
        <v>20</v>
      </c>
      <c r="T3711">
        <v>0</v>
      </c>
      <c r="AC3711">
        <v>1</v>
      </c>
    </row>
    <row r="3712" spans="1:29" ht="30" customHeight="1" x14ac:dyDescent="0.3">
      <c r="A3712" s="8" t="s">
        <v>3354</v>
      </c>
      <c r="B3712" s="8" t="s">
        <v>3390</v>
      </c>
      <c r="C3712" s="8" t="s">
        <v>2861</v>
      </c>
      <c r="D3712" s="8" t="s">
        <v>3078</v>
      </c>
      <c r="E3712" s="8" t="s">
        <v>428</v>
      </c>
      <c r="F3712" s="9">
        <v>20</v>
      </c>
      <c r="G3712" s="5">
        <f>TRUNC([1]단가대비표!O1810,0)</f>
        <v>1900</v>
      </c>
      <c r="H3712" s="5">
        <f t="shared" si="355"/>
        <v>38000</v>
      </c>
      <c r="I3712" s="5">
        <v>0</v>
      </c>
      <c r="J3712" s="5">
        <f t="shared" si="356"/>
        <v>0</v>
      </c>
      <c r="K3712" s="5">
        <v>0</v>
      </c>
      <c r="L3712" s="5">
        <f t="shared" si="357"/>
        <v>0</v>
      </c>
      <c r="M3712" s="5">
        <f t="shared" si="358"/>
        <v>1900</v>
      </c>
      <c r="N3712" s="5">
        <f t="shared" si="358"/>
        <v>38000</v>
      </c>
      <c r="O3712" s="8" t="s">
        <v>20</v>
      </c>
      <c r="T3712">
        <v>0</v>
      </c>
      <c r="AC3712">
        <v>1</v>
      </c>
    </row>
    <row r="3713" spans="1:29" ht="30" customHeight="1" x14ac:dyDescent="0.3">
      <c r="A3713" s="8" t="s">
        <v>3354</v>
      </c>
      <c r="B3713" s="8" t="s">
        <v>3391</v>
      </c>
      <c r="C3713" s="8" t="s">
        <v>2861</v>
      </c>
      <c r="D3713" s="8" t="s">
        <v>3392</v>
      </c>
      <c r="E3713" s="8" t="s">
        <v>428</v>
      </c>
      <c r="F3713" s="9">
        <v>10</v>
      </c>
      <c r="G3713" s="5">
        <f>TRUNC([1]단가대비표!O1811,0)</f>
        <v>2800</v>
      </c>
      <c r="H3713" s="5">
        <f t="shared" si="355"/>
        <v>28000</v>
      </c>
      <c r="I3713" s="5">
        <v>0</v>
      </c>
      <c r="J3713" s="5">
        <f t="shared" si="356"/>
        <v>0</v>
      </c>
      <c r="K3713" s="5">
        <v>0</v>
      </c>
      <c r="L3713" s="5">
        <f t="shared" si="357"/>
        <v>0</v>
      </c>
      <c r="M3713" s="5">
        <f t="shared" si="358"/>
        <v>2800</v>
      </c>
      <c r="N3713" s="5">
        <f t="shared" si="358"/>
        <v>28000</v>
      </c>
      <c r="O3713" s="8" t="s">
        <v>20</v>
      </c>
      <c r="T3713">
        <v>0</v>
      </c>
      <c r="AC3713">
        <v>1</v>
      </c>
    </row>
    <row r="3714" spans="1:29" ht="30" customHeight="1" x14ac:dyDescent="0.3">
      <c r="A3714" s="8" t="s">
        <v>3354</v>
      </c>
      <c r="B3714" s="8" t="s">
        <v>3393</v>
      </c>
      <c r="C3714" s="8" t="s">
        <v>3394</v>
      </c>
      <c r="D3714" s="8" t="s">
        <v>3395</v>
      </c>
      <c r="E3714" s="8" t="s">
        <v>428</v>
      </c>
      <c r="F3714" s="9">
        <v>1</v>
      </c>
      <c r="G3714" s="5">
        <f>TRUNC([1]단가대비표!O1812,0)</f>
        <v>462000</v>
      </c>
      <c r="H3714" s="5">
        <f t="shared" si="355"/>
        <v>462000</v>
      </c>
      <c r="I3714" s="5">
        <v>0</v>
      </c>
      <c r="J3714" s="5">
        <f t="shared" si="356"/>
        <v>0</v>
      </c>
      <c r="K3714" s="5">
        <v>0</v>
      </c>
      <c r="L3714" s="5">
        <f t="shared" si="357"/>
        <v>0</v>
      </c>
      <c r="M3714" s="5">
        <f t="shared" si="358"/>
        <v>462000</v>
      </c>
      <c r="N3714" s="5">
        <f t="shared" si="358"/>
        <v>462000</v>
      </c>
      <c r="O3714" s="8" t="s">
        <v>20</v>
      </c>
      <c r="T3714">
        <v>0</v>
      </c>
      <c r="AC3714">
        <v>1</v>
      </c>
    </row>
    <row r="3715" spans="1:29" ht="30" customHeight="1" x14ac:dyDescent="0.3">
      <c r="A3715" s="8" t="s">
        <v>3354</v>
      </c>
      <c r="B3715" s="8" t="s">
        <v>3396</v>
      </c>
      <c r="C3715" s="8" t="s">
        <v>3397</v>
      </c>
      <c r="D3715" s="8" t="s">
        <v>3398</v>
      </c>
      <c r="E3715" s="8" t="s">
        <v>428</v>
      </c>
      <c r="F3715" s="9">
        <v>1</v>
      </c>
      <c r="G3715" s="5">
        <f>TRUNC([1]단가대비표!O1813,0)</f>
        <v>94000</v>
      </c>
      <c r="H3715" s="5">
        <f t="shared" si="355"/>
        <v>94000</v>
      </c>
      <c r="I3715" s="5">
        <v>0</v>
      </c>
      <c r="J3715" s="5">
        <f t="shared" si="356"/>
        <v>0</v>
      </c>
      <c r="K3715" s="5">
        <v>0</v>
      </c>
      <c r="L3715" s="5">
        <f t="shared" si="357"/>
        <v>0</v>
      </c>
      <c r="M3715" s="5">
        <f t="shared" si="358"/>
        <v>94000</v>
      </c>
      <c r="N3715" s="5">
        <f t="shared" si="358"/>
        <v>94000</v>
      </c>
      <c r="O3715" s="8" t="s">
        <v>20</v>
      </c>
      <c r="T3715">
        <v>0</v>
      </c>
      <c r="AC3715">
        <v>1</v>
      </c>
    </row>
    <row r="3716" spans="1:29" ht="30" customHeight="1" x14ac:dyDescent="0.3">
      <c r="A3716" s="8" t="s">
        <v>3354</v>
      </c>
      <c r="B3716" s="8" t="s">
        <v>3399</v>
      </c>
      <c r="C3716" s="8" t="s">
        <v>3400</v>
      </c>
      <c r="D3716" s="8" t="s">
        <v>3401</v>
      </c>
      <c r="E3716" s="8" t="s">
        <v>168</v>
      </c>
      <c r="F3716" s="9">
        <v>20</v>
      </c>
      <c r="G3716" s="5">
        <f>TRUNC([1]단가대비표!O1814,0)</f>
        <v>2716</v>
      </c>
      <c r="H3716" s="5">
        <f t="shared" si="355"/>
        <v>54320</v>
      </c>
      <c r="I3716" s="5">
        <v>23012</v>
      </c>
      <c r="J3716" s="5">
        <f t="shared" si="356"/>
        <v>460240</v>
      </c>
      <c r="K3716" s="5">
        <v>0</v>
      </c>
      <c r="L3716" s="5">
        <f t="shared" si="357"/>
        <v>0</v>
      </c>
      <c r="M3716" s="5">
        <f t="shared" si="358"/>
        <v>25728</v>
      </c>
      <c r="N3716" s="5">
        <f t="shared" si="358"/>
        <v>514560</v>
      </c>
      <c r="O3716" s="8" t="s">
        <v>20</v>
      </c>
      <c r="T3716">
        <v>0</v>
      </c>
      <c r="AC3716">
        <v>1</v>
      </c>
    </row>
    <row r="3717" spans="1:29" ht="30" customHeight="1" x14ac:dyDescent="0.3">
      <c r="A3717" s="8" t="s">
        <v>3354</v>
      </c>
      <c r="B3717" s="8" t="s">
        <v>3402</v>
      </c>
      <c r="C3717" s="8" t="s">
        <v>3400</v>
      </c>
      <c r="D3717" s="8" t="s">
        <v>1530</v>
      </c>
      <c r="E3717" s="8" t="s">
        <v>168</v>
      </c>
      <c r="F3717" s="9">
        <v>10</v>
      </c>
      <c r="G3717" s="5">
        <f>TRUNC([1]단가대비표!O1815,0)</f>
        <v>3560</v>
      </c>
      <c r="H3717" s="5">
        <f t="shared" si="355"/>
        <v>35600</v>
      </c>
      <c r="I3717" s="5">
        <v>31642</v>
      </c>
      <c r="J3717" s="5">
        <f t="shared" si="356"/>
        <v>316420</v>
      </c>
      <c r="K3717" s="5">
        <v>0</v>
      </c>
      <c r="L3717" s="5">
        <f t="shared" si="357"/>
        <v>0</v>
      </c>
      <c r="M3717" s="5">
        <f t="shared" si="358"/>
        <v>35202</v>
      </c>
      <c r="N3717" s="5">
        <f t="shared" si="358"/>
        <v>352020</v>
      </c>
      <c r="O3717" s="8" t="s">
        <v>20</v>
      </c>
      <c r="T3717">
        <v>0</v>
      </c>
      <c r="AC3717">
        <v>1</v>
      </c>
    </row>
    <row r="3718" spans="1:29" ht="30" customHeight="1" x14ac:dyDescent="0.3">
      <c r="A3718" s="8" t="s">
        <v>3354</v>
      </c>
      <c r="B3718" s="8" t="s">
        <v>3403</v>
      </c>
      <c r="C3718" s="8" t="s">
        <v>3400</v>
      </c>
      <c r="D3718" s="8" t="s">
        <v>3404</v>
      </c>
      <c r="E3718" s="8" t="s">
        <v>168</v>
      </c>
      <c r="F3718" s="9">
        <v>20</v>
      </c>
      <c r="G3718" s="5">
        <f>TRUNC([1]단가대비표!O1816,0)</f>
        <v>4670</v>
      </c>
      <c r="H3718" s="5">
        <f t="shared" si="355"/>
        <v>93400</v>
      </c>
      <c r="I3718" s="5">
        <v>36862</v>
      </c>
      <c r="J3718" s="5">
        <f t="shared" si="356"/>
        <v>737240</v>
      </c>
      <c r="K3718" s="5">
        <v>0</v>
      </c>
      <c r="L3718" s="5">
        <f t="shared" si="357"/>
        <v>0</v>
      </c>
      <c r="M3718" s="5">
        <f t="shared" si="358"/>
        <v>41532</v>
      </c>
      <c r="N3718" s="5">
        <f t="shared" si="358"/>
        <v>830640</v>
      </c>
      <c r="O3718" s="8" t="s">
        <v>20</v>
      </c>
      <c r="T3718">
        <v>0</v>
      </c>
      <c r="AC3718">
        <v>1</v>
      </c>
    </row>
    <row r="3719" spans="1:29" ht="30" customHeight="1" x14ac:dyDescent="0.3">
      <c r="A3719" s="8" t="s">
        <v>3354</v>
      </c>
      <c r="B3719" s="8" t="s">
        <v>3405</v>
      </c>
      <c r="C3719" s="8" t="s">
        <v>3400</v>
      </c>
      <c r="D3719" s="8" t="s">
        <v>3406</v>
      </c>
      <c r="E3719" s="8" t="s">
        <v>168</v>
      </c>
      <c r="F3719" s="9">
        <v>20</v>
      </c>
      <c r="G3719" s="5">
        <f>TRUNC([1]단가대비표!O1817,0)</f>
        <v>4670</v>
      </c>
      <c r="H3719" s="5">
        <f t="shared" si="355"/>
        <v>93400</v>
      </c>
      <c r="I3719" s="5">
        <v>36862</v>
      </c>
      <c r="J3719" s="5">
        <f t="shared" si="356"/>
        <v>737240</v>
      </c>
      <c r="K3719" s="5">
        <v>0</v>
      </c>
      <c r="L3719" s="5">
        <f t="shared" si="357"/>
        <v>0</v>
      </c>
      <c r="M3719" s="5">
        <f t="shared" si="358"/>
        <v>41532</v>
      </c>
      <c r="N3719" s="5">
        <f t="shared" si="358"/>
        <v>830640</v>
      </c>
      <c r="O3719" s="8" t="s">
        <v>20</v>
      </c>
      <c r="T3719">
        <v>0</v>
      </c>
      <c r="AC3719">
        <v>1</v>
      </c>
    </row>
    <row r="3720" spans="1:29" ht="30" customHeight="1" x14ac:dyDescent="0.3">
      <c r="A3720" s="8" t="s">
        <v>3354</v>
      </c>
      <c r="B3720" s="8" t="s">
        <v>3407</v>
      </c>
      <c r="C3720" s="8" t="s">
        <v>3408</v>
      </c>
      <c r="D3720" s="8" t="s">
        <v>3409</v>
      </c>
      <c r="E3720" s="8" t="s">
        <v>428</v>
      </c>
      <c r="F3720" s="9">
        <v>2</v>
      </c>
      <c r="G3720" s="5">
        <f>TRUNC([1]단가대비표!O1818,0)</f>
        <v>1417</v>
      </c>
      <c r="H3720" s="5">
        <f t="shared" si="355"/>
        <v>2834</v>
      </c>
      <c r="I3720" s="5">
        <v>0</v>
      </c>
      <c r="J3720" s="5">
        <f t="shared" si="356"/>
        <v>0</v>
      </c>
      <c r="K3720" s="5">
        <v>0</v>
      </c>
      <c r="L3720" s="5">
        <f t="shared" si="357"/>
        <v>0</v>
      </c>
      <c r="M3720" s="5">
        <f t="shared" si="358"/>
        <v>1417</v>
      </c>
      <c r="N3720" s="5">
        <f t="shared" si="358"/>
        <v>2834</v>
      </c>
      <c r="O3720" s="8" t="s">
        <v>20</v>
      </c>
      <c r="T3720">
        <v>0</v>
      </c>
      <c r="AC3720">
        <v>1</v>
      </c>
    </row>
    <row r="3721" spans="1:29" ht="30" customHeight="1" x14ac:dyDescent="0.3">
      <c r="A3721" s="8" t="s">
        <v>3354</v>
      </c>
      <c r="B3721" s="8" t="s">
        <v>3410</v>
      </c>
      <c r="C3721" s="8" t="s">
        <v>3411</v>
      </c>
      <c r="D3721" s="8" t="s">
        <v>3412</v>
      </c>
      <c r="E3721" s="8" t="s">
        <v>428</v>
      </c>
      <c r="F3721" s="9">
        <v>2</v>
      </c>
      <c r="G3721" s="5">
        <f>TRUNC([1]단가대비표!O1819,0)</f>
        <v>3500000</v>
      </c>
      <c r="H3721" s="5">
        <f t="shared" si="355"/>
        <v>7000000</v>
      </c>
      <c r="I3721" s="5">
        <v>0</v>
      </c>
      <c r="J3721" s="5">
        <f t="shared" si="356"/>
        <v>0</v>
      </c>
      <c r="K3721" s="5">
        <v>0</v>
      </c>
      <c r="L3721" s="5">
        <f t="shared" si="357"/>
        <v>0</v>
      </c>
      <c r="M3721" s="5">
        <f t="shared" si="358"/>
        <v>3500000</v>
      </c>
      <c r="N3721" s="5">
        <f t="shared" si="358"/>
        <v>7000000</v>
      </c>
      <c r="O3721" s="8" t="s">
        <v>20</v>
      </c>
      <c r="T3721">
        <v>0</v>
      </c>
      <c r="AC3721">
        <v>1</v>
      </c>
    </row>
    <row r="3722" spans="1:29" ht="30" customHeight="1" x14ac:dyDescent="0.3">
      <c r="A3722" s="5"/>
      <c r="B3722" s="5"/>
      <c r="C3722" s="5"/>
      <c r="D3722" s="5"/>
      <c r="E3722" s="5"/>
      <c r="F3722" s="9"/>
      <c r="G3722" s="5"/>
      <c r="H3722" s="5"/>
      <c r="I3722" s="5"/>
      <c r="J3722" s="5"/>
      <c r="K3722" s="5"/>
      <c r="L3722" s="5"/>
      <c r="M3722" s="5"/>
      <c r="N3722" s="5"/>
      <c r="O3722" s="5"/>
    </row>
    <row r="3723" spans="1:29" ht="30" customHeight="1" x14ac:dyDescent="0.3">
      <c r="A3723" s="5"/>
      <c r="B3723" s="5"/>
      <c r="C3723" s="5"/>
      <c r="D3723" s="5"/>
      <c r="E3723" s="5"/>
      <c r="F3723" s="9"/>
      <c r="G3723" s="5"/>
      <c r="H3723" s="5"/>
      <c r="I3723" s="5"/>
      <c r="J3723" s="5"/>
      <c r="K3723" s="5"/>
      <c r="L3723" s="5"/>
      <c r="M3723" s="5"/>
      <c r="N3723" s="5"/>
      <c r="O3723" s="5"/>
    </row>
    <row r="3724" spans="1:29" ht="30" customHeight="1" x14ac:dyDescent="0.3">
      <c r="A3724" s="5"/>
      <c r="B3724" s="5"/>
      <c r="C3724" s="5"/>
      <c r="D3724" s="5"/>
      <c r="E3724" s="5"/>
      <c r="F3724" s="9"/>
      <c r="G3724" s="5"/>
      <c r="H3724" s="5"/>
      <c r="I3724" s="5"/>
      <c r="J3724" s="5"/>
      <c r="K3724" s="5"/>
      <c r="L3724" s="5"/>
      <c r="M3724" s="5"/>
      <c r="N3724" s="5"/>
      <c r="O3724" s="5"/>
    </row>
    <row r="3725" spans="1:29" ht="30" customHeight="1" x14ac:dyDescent="0.3">
      <c r="A3725" s="5"/>
      <c r="B3725" s="5"/>
      <c r="C3725" s="5"/>
      <c r="D3725" s="5"/>
      <c r="E3725" s="5"/>
      <c r="F3725" s="9"/>
      <c r="G3725" s="5"/>
      <c r="H3725" s="5"/>
      <c r="I3725" s="5"/>
      <c r="J3725" s="5"/>
      <c r="K3725" s="5"/>
      <c r="L3725" s="5"/>
      <c r="M3725" s="5"/>
      <c r="N3725" s="5"/>
      <c r="O3725" s="5"/>
    </row>
    <row r="3726" spans="1:29" ht="30" customHeight="1" x14ac:dyDescent="0.3">
      <c r="A3726" s="5"/>
      <c r="B3726" s="5"/>
      <c r="C3726" s="5"/>
      <c r="D3726" s="5"/>
      <c r="E3726" s="5"/>
      <c r="F3726" s="9"/>
      <c r="G3726" s="5"/>
      <c r="H3726" s="5"/>
      <c r="I3726" s="5"/>
      <c r="J3726" s="5"/>
      <c r="K3726" s="5"/>
      <c r="L3726" s="5"/>
      <c r="M3726" s="5"/>
      <c r="N3726" s="5"/>
      <c r="O3726" s="5"/>
    </row>
    <row r="3727" spans="1:29" ht="30" customHeight="1" x14ac:dyDescent="0.3">
      <c r="A3727" s="5"/>
      <c r="B3727" s="5"/>
      <c r="C3727" s="5"/>
      <c r="D3727" s="5"/>
      <c r="E3727" s="5"/>
      <c r="F3727" s="9"/>
      <c r="G3727" s="5"/>
      <c r="H3727" s="5"/>
      <c r="I3727" s="5"/>
      <c r="J3727" s="5"/>
      <c r="K3727" s="5"/>
      <c r="L3727" s="5"/>
      <c r="M3727" s="5"/>
      <c r="N3727" s="5"/>
      <c r="O3727" s="5"/>
    </row>
    <row r="3728" spans="1:29" ht="30" customHeight="1" x14ac:dyDescent="0.3">
      <c r="A3728" s="5"/>
      <c r="B3728" s="5"/>
      <c r="C3728" s="5"/>
      <c r="D3728" s="5"/>
      <c r="E3728" s="5"/>
      <c r="F3728" s="9"/>
      <c r="G3728" s="5"/>
      <c r="H3728" s="5"/>
      <c r="I3728" s="5"/>
      <c r="J3728" s="5"/>
      <c r="K3728" s="5"/>
      <c r="L3728" s="5"/>
      <c r="M3728" s="5"/>
      <c r="N3728" s="5"/>
      <c r="O3728" s="5"/>
    </row>
    <row r="3729" spans="1:15" ht="30" customHeight="1" x14ac:dyDescent="0.3">
      <c r="A3729" s="5"/>
      <c r="B3729" s="5"/>
      <c r="C3729" s="5"/>
      <c r="D3729" s="5"/>
      <c r="E3729" s="5"/>
      <c r="F3729" s="9"/>
      <c r="G3729" s="5"/>
      <c r="H3729" s="5"/>
      <c r="I3729" s="5"/>
      <c r="J3729" s="5"/>
      <c r="K3729" s="5"/>
      <c r="L3729" s="5"/>
      <c r="M3729" s="5"/>
      <c r="N3729" s="5"/>
      <c r="O3729" s="5"/>
    </row>
    <row r="3730" spans="1:15" ht="30" customHeight="1" x14ac:dyDescent="0.3">
      <c r="A3730" s="5"/>
      <c r="B3730" s="5"/>
      <c r="C3730" s="5"/>
      <c r="D3730" s="5"/>
      <c r="E3730" s="5"/>
      <c r="F3730" s="9"/>
      <c r="G3730" s="5"/>
      <c r="H3730" s="5"/>
      <c r="I3730" s="5"/>
      <c r="J3730" s="5"/>
      <c r="K3730" s="5"/>
      <c r="L3730" s="5"/>
      <c r="M3730" s="5"/>
      <c r="N3730" s="5"/>
      <c r="O3730" s="5"/>
    </row>
    <row r="3731" spans="1:15" ht="30" customHeight="1" x14ac:dyDescent="0.3">
      <c r="A3731" s="5"/>
      <c r="B3731" s="5"/>
      <c r="C3731" s="5"/>
      <c r="D3731" s="5"/>
      <c r="E3731" s="5"/>
      <c r="F3731" s="9"/>
      <c r="G3731" s="5"/>
      <c r="H3731" s="5"/>
      <c r="I3731" s="5"/>
      <c r="J3731" s="5"/>
      <c r="K3731" s="5"/>
      <c r="L3731" s="5"/>
      <c r="M3731" s="5"/>
      <c r="N3731" s="5"/>
      <c r="O3731" s="5"/>
    </row>
    <row r="3732" spans="1:15" ht="30" customHeight="1" x14ac:dyDescent="0.3">
      <c r="A3732" s="5"/>
      <c r="B3732" s="5"/>
      <c r="C3732" s="5"/>
      <c r="D3732" s="5"/>
      <c r="E3732" s="5"/>
      <c r="F3732" s="9"/>
      <c r="G3732" s="5"/>
      <c r="H3732" s="5"/>
      <c r="I3732" s="5"/>
      <c r="J3732" s="5"/>
      <c r="K3732" s="5"/>
      <c r="L3732" s="5"/>
      <c r="M3732" s="5"/>
      <c r="N3732" s="5"/>
      <c r="O3732" s="5"/>
    </row>
    <row r="3733" spans="1:15" ht="30" customHeight="1" x14ac:dyDescent="0.3">
      <c r="A3733" s="5"/>
      <c r="B3733" s="5"/>
      <c r="C3733" s="5"/>
      <c r="D3733" s="5"/>
      <c r="E3733" s="5"/>
      <c r="F3733" s="9"/>
      <c r="G3733" s="5"/>
      <c r="H3733" s="5"/>
      <c r="I3733" s="5"/>
      <c r="J3733" s="5"/>
      <c r="K3733" s="5"/>
      <c r="L3733" s="5"/>
      <c r="M3733" s="5"/>
      <c r="N3733" s="5"/>
      <c r="O3733" s="5"/>
    </row>
    <row r="3734" spans="1:15" ht="30" customHeight="1" x14ac:dyDescent="0.3">
      <c r="A3734" s="5"/>
      <c r="B3734" s="5"/>
      <c r="C3734" s="5"/>
      <c r="D3734" s="5"/>
      <c r="E3734" s="5"/>
      <c r="F3734" s="9"/>
      <c r="G3734" s="5"/>
      <c r="H3734" s="5"/>
      <c r="I3734" s="5"/>
      <c r="J3734" s="5"/>
      <c r="K3734" s="5"/>
      <c r="L3734" s="5"/>
      <c r="M3734" s="5"/>
      <c r="N3734" s="5"/>
      <c r="O3734" s="5"/>
    </row>
    <row r="3735" spans="1:15" ht="30" customHeight="1" x14ac:dyDescent="0.3">
      <c r="A3735" s="5"/>
      <c r="B3735" s="5"/>
      <c r="C3735" s="5"/>
      <c r="D3735" s="5"/>
      <c r="E3735" s="5"/>
      <c r="F3735" s="9"/>
      <c r="G3735" s="5"/>
      <c r="H3735" s="5"/>
      <c r="I3735" s="5"/>
      <c r="J3735" s="5"/>
      <c r="K3735" s="5"/>
      <c r="L3735" s="5"/>
      <c r="M3735" s="5"/>
      <c r="N3735" s="5"/>
      <c r="O3735" s="5"/>
    </row>
    <row r="3736" spans="1:15" ht="30" customHeight="1" x14ac:dyDescent="0.3">
      <c r="A3736" s="5"/>
      <c r="B3736" s="5"/>
      <c r="C3736" s="5"/>
      <c r="D3736" s="5"/>
      <c r="E3736" s="5"/>
      <c r="F3736" s="9"/>
      <c r="G3736" s="5"/>
      <c r="H3736" s="5"/>
      <c r="I3736" s="5"/>
      <c r="J3736" s="5"/>
      <c r="K3736" s="5"/>
      <c r="L3736" s="5"/>
      <c r="M3736" s="5"/>
      <c r="N3736" s="5"/>
      <c r="O3736" s="5"/>
    </row>
    <row r="3737" spans="1:15" ht="30" customHeight="1" x14ac:dyDescent="0.3">
      <c r="A3737" s="5"/>
      <c r="B3737" s="5"/>
      <c r="C3737" s="5"/>
      <c r="D3737" s="5"/>
      <c r="E3737" s="5"/>
      <c r="F3737" s="9"/>
      <c r="G3737" s="5"/>
      <c r="H3737" s="5"/>
      <c r="I3737" s="5"/>
      <c r="J3737" s="5"/>
      <c r="K3737" s="5"/>
      <c r="L3737" s="5"/>
      <c r="M3737" s="5"/>
      <c r="N3737" s="5"/>
      <c r="O3737" s="5"/>
    </row>
    <row r="3738" spans="1:15" ht="30" customHeight="1" x14ac:dyDescent="0.3">
      <c r="A3738" s="5"/>
      <c r="B3738" s="5"/>
      <c r="C3738" s="5"/>
      <c r="D3738" s="5"/>
      <c r="E3738" s="5"/>
      <c r="F3738" s="9"/>
      <c r="G3738" s="5"/>
      <c r="H3738" s="5"/>
      <c r="I3738" s="5"/>
      <c r="J3738" s="5"/>
      <c r="K3738" s="5"/>
      <c r="L3738" s="5"/>
      <c r="M3738" s="5"/>
      <c r="N3738" s="5"/>
      <c r="O3738" s="5"/>
    </row>
    <row r="3739" spans="1:15" ht="30" customHeight="1" x14ac:dyDescent="0.3">
      <c r="A3739" s="5"/>
      <c r="B3739" s="5"/>
      <c r="C3739" s="5"/>
      <c r="D3739" s="5"/>
      <c r="E3739" s="5"/>
      <c r="F3739" s="9"/>
      <c r="G3739" s="5"/>
      <c r="H3739" s="5"/>
      <c r="I3739" s="5"/>
      <c r="J3739" s="5"/>
      <c r="K3739" s="5"/>
      <c r="L3739" s="5"/>
      <c r="M3739" s="5"/>
      <c r="N3739" s="5"/>
      <c r="O3739" s="5"/>
    </row>
    <row r="3740" spans="1:15" ht="30" customHeight="1" x14ac:dyDescent="0.3">
      <c r="A3740" s="5"/>
      <c r="B3740" s="5"/>
      <c r="C3740" s="5"/>
      <c r="D3740" s="5"/>
      <c r="E3740" s="5"/>
      <c r="F3740" s="9"/>
      <c r="G3740" s="5"/>
      <c r="H3740" s="5"/>
      <c r="I3740" s="5"/>
      <c r="J3740" s="5"/>
      <c r="K3740" s="5"/>
      <c r="L3740" s="5"/>
      <c r="M3740" s="5"/>
      <c r="N3740" s="5"/>
      <c r="O3740" s="5"/>
    </row>
    <row r="3741" spans="1:15" ht="30" customHeight="1" x14ac:dyDescent="0.3">
      <c r="A3741" s="5"/>
      <c r="B3741" s="5"/>
      <c r="C3741" s="5"/>
      <c r="D3741" s="5"/>
      <c r="E3741" s="5"/>
      <c r="F3741" s="9"/>
      <c r="G3741" s="5"/>
      <c r="H3741" s="5"/>
      <c r="I3741" s="5"/>
      <c r="J3741" s="5"/>
      <c r="K3741" s="5"/>
      <c r="L3741" s="5"/>
      <c r="M3741" s="5"/>
      <c r="N3741" s="5"/>
      <c r="O3741" s="5"/>
    </row>
    <row r="3742" spans="1:15" ht="30" customHeight="1" x14ac:dyDescent="0.3">
      <c r="A3742" s="5"/>
      <c r="B3742" s="5"/>
      <c r="C3742" s="5"/>
      <c r="D3742" s="5"/>
      <c r="E3742" s="5"/>
      <c r="F3742" s="9"/>
      <c r="G3742" s="5"/>
      <c r="H3742" s="5"/>
      <c r="I3742" s="5"/>
      <c r="J3742" s="5"/>
      <c r="K3742" s="5"/>
      <c r="L3742" s="5"/>
      <c r="M3742" s="5"/>
      <c r="N3742" s="5"/>
      <c r="O3742" s="5"/>
    </row>
    <row r="3743" spans="1:15" ht="30" customHeight="1" x14ac:dyDescent="0.3">
      <c r="A3743" s="5"/>
      <c r="B3743" s="5"/>
      <c r="C3743" s="5"/>
      <c r="D3743" s="5"/>
      <c r="E3743" s="5"/>
      <c r="F3743" s="9"/>
      <c r="G3743" s="5"/>
      <c r="H3743" s="5"/>
      <c r="I3743" s="5"/>
      <c r="J3743" s="5"/>
      <c r="K3743" s="5"/>
      <c r="L3743" s="5"/>
      <c r="M3743" s="5"/>
      <c r="N3743" s="5"/>
      <c r="O3743" s="5"/>
    </row>
    <row r="3744" spans="1:15" ht="30" customHeight="1" x14ac:dyDescent="0.3">
      <c r="A3744" s="5"/>
      <c r="B3744" s="5"/>
      <c r="C3744" s="5"/>
      <c r="D3744" s="5"/>
      <c r="E3744" s="5"/>
      <c r="F3744" s="9"/>
      <c r="G3744" s="5"/>
      <c r="H3744" s="5"/>
      <c r="I3744" s="5"/>
      <c r="J3744" s="5"/>
      <c r="K3744" s="5"/>
      <c r="L3744" s="5"/>
      <c r="M3744" s="5"/>
      <c r="N3744" s="5"/>
      <c r="O3744" s="5"/>
    </row>
    <row r="3745" spans="1:29" ht="30" customHeight="1" x14ac:dyDescent="0.3">
      <c r="A3745" s="5"/>
      <c r="B3745" s="5"/>
      <c r="C3745" s="5"/>
      <c r="D3745" s="5"/>
      <c r="E3745" s="5"/>
      <c r="F3745" s="9"/>
      <c r="G3745" s="5"/>
      <c r="H3745" s="5"/>
      <c r="I3745" s="5"/>
      <c r="J3745" s="5"/>
      <c r="K3745" s="5"/>
      <c r="L3745" s="5"/>
      <c r="M3745" s="5"/>
      <c r="N3745" s="5"/>
      <c r="O3745" s="5"/>
    </row>
    <row r="3746" spans="1:29" ht="30" customHeight="1" x14ac:dyDescent="0.3">
      <c r="A3746" s="5"/>
      <c r="B3746" s="5"/>
      <c r="C3746" s="5"/>
      <c r="D3746" s="5"/>
      <c r="E3746" s="5"/>
      <c r="F3746" s="9"/>
      <c r="G3746" s="5"/>
      <c r="H3746" s="5"/>
      <c r="I3746" s="5"/>
      <c r="J3746" s="5"/>
      <c r="K3746" s="5"/>
      <c r="L3746" s="5"/>
      <c r="M3746" s="5"/>
      <c r="N3746" s="5"/>
      <c r="O3746" s="5"/>
    </row>
    <row r="3747" spans="1:29" ht="30" customHeight="1" x14ac:dyDescent="0.3">
      <c r="A3747" s="5"/>
      <c r="B3747" s="5"/>
      <c r="C3747" s="5" t="s">
        <v>162</v>
      </c>
      <c r="D3747" s="5"/>
      <c r="E3747" s="5"/>
      <c r="F3747" s="9"/>
      <c r="G3747" s="5"/>
      <c r="H3747" s="5">
        <f>SUMIF(AC3697:AC3746, 1, H3697:H3746)</f>
        <v>22110094</v>
      </c>
      <c r="I3747" s="5"/>
      <c r="J3747" s="5">
        <f>SUMIF(AC3697:AC3746, 1, J3697:J3746)</f>
        <v>2251140</v>
      </c>
      <c r="K3747" s="5"/>
      <c r="L3747" s="5">
        <f>SUMIF(AC3697:AC3746, 1, L3697:L3746)</f>
        <v>0</v>
      </c>
      <c r="M3747" s="5"/>
      <c r="N3747" s="5">
        <f>H3747+J3747+L3747</f>
        <v>24361234</v>
      </c>
      <c r="O3747" s="5"/>
    </row>
    <row r="3748" spans="1:29" ht="30" customHeight="1" x14ac:dyDescent="0.3">
      <c r="A3748" s="5"/>
      <c r="B3748" s="5"/>
      <c r="C3748" s="6" t="s">
        <v>3413</v>
      </c>
      <c r="D3748" s="6"/>
      <c r="E3748" s="6"/>
      <c r="F3748" s="7"/>
      <c r="G3748" s="6"/>
      <c r="H3748" s="6"/>
      <c r="I3748" s="6"/>
      <c r="J3748" s="6"/>
      <c r="K3748" s="6"/>
      <c r="L3748" s="6"/>
      <c r="M3748" s="6"/>
      <c r="N3748" s="6"/>
      <c r="O3748" s="6"/>
    </row>
    <row r="3749" spans="1:29" ht="30" customHeight="1" x14ac:dyDescent="0.3">
      <c r="A3749" s="8" t="s">
        <v>3414</v>
      </c>
      <c r="B3749" s="8" t="s">
        <v>3415</v>
      </c>
      <c r="C3749" s="8" t="s">
        <v>3416</v>
      </c>
      <c r="D3749" s="8" t="s">
        <v>3417</v>
      </c>
      <c r="E3749" s="8" t="s">
        <v>19</v>
      </c>
      <c r="F3749" s="9">
        <v>4</v>
      </c>
      <c r="G3749" s="5">
        <f>TRUNC([1]단가대비표!O1820,0)</f>
        <v>71951</v>
      </c>
      <c r="H3749" s="5">
        <f>TRUNC(F3749*G3749,0)</f>
        <v>287804</v>
      </c>
      <c r="I3749" s="5">
        <v>1199192</v>
      </c>
      <c r="J3749" s="5">
        <f>TRUNC(F3749*I3749,0)</f>
        <v>4796768</v>
      </c>
      <c r="K3749" s="5">
        <v>0</v>
      </c>
      <c r="L3749" s="5">
        <f>TRUNC(F3749*K3749,0)</f>
        <v>0</v>
      </c>
      <c r="M3749" s="5">
        <f t="shared" ref="M3749:N3751" si="359">G3749+I3749+K3749</f>
        <v>1271143</v>
      </c>
      <c r="N3749" s="5">
        <f t="shared" si="359"/>
        <v>5084572</v>
      </c>
      <c r="O3749" s="8" t="s">
        <v>20</v>
      </c>
      <c r="T3749">
        <v>0</v>
      </c>
      <c r="AC3749">
        <v>1</v>
      </c>
    </row>
    <row r="3750" spans="1:29" ht="30" customHeight="1" x14ac:dyDescent="0.3">
      <c r="A3750" s="8" t="s">
        <v>3414</v>
      </c>
      <c r="B3750" s="8" t="s">
        <v>3418</v>
      </c>
      <c r="C3750" s="8" t="s">
        <v>3419</v>
      </c>
      <c r="D3750" s="8" t="s">
        <v>3420</v>
      </c>
      <c r="E3750" s="8" t="s">
        <v>19</v>
      </c>
      <c r="F3750" s="9">
        <v>4</v>
      </c>
      <c r="G3750" s="5">
        <f>TRUNC([1]단가대비표!O1821,0)</f>
        <v>12727</v>
      </c>
      <c r="H3750" s="5">
        <f>TRUNC(F3750*G3750,0)</f>
        <v>50908</v>
      </c>
      <c r="I3750" s="5">
        <v>424236</v>
      </c>
      <c r="J3750" s="5">
        <f>TRUNC(F3750*I3750,0)</f>
        <v>1696944</v>
      </c>
      <c r="K3750" s="5">
        <v>0</v>
      </c>
      <c r="L3750" s="5">
        <f>TRUNC(F3750*K3750,0)</f>
        <v>0</v>
      </c>
      <c r="M3750" s="5">
        <f t="shared" si="359"/>
        <v>436963</v>
      </c>
      <c r="N3750" s="5">
        <f t="shared" si="359"/>
        <v>1747852</v>
      </c>
      <c r="O3750" s="8" t="s">
        <v>20</v>
      </c>
      <c r="T3750">
        <v>0</v>
      </c>
      <c r="AC3750">
        <v>1</v>
      </c>
    </row>
    <row r="3751" spans="1:29" ht="30" customHeight="1" x14ac:dyDescent="0.3">
      <c r="A3751" s="8" t="s">
        <v>3414</v>
      </c>
      <c r="B3751" s="8" t="s">
        <v>3421</v>
      </c>
      <c r="C3751" s="8" t="s">
        <v>3419</v>
      </c>
      <c r="D3751" s="8" t="s">
        <v>3422</v>
      </c>
      <c r="E3751" s="8" t="s">
        <v>19</v>
      </c>
      <c r="F3751" s="9">
        <v>2</v>
      </c>
      <c r="G3751" s="5">
        <f>TRUNC([1]단가대비표!O1822,0)</f>
        <v>8372</v>
      </c>
      <c r="H3751" s="5">
        <f>TRUNC(F3751*G3751,0)</f>
        <v>16744</v>
      </c>
      <c r="I3751" s="5">
        <v>279072</v>
      </c>
      <c r="J3751" s="5">
        <f>TRUNC(F3751*I3751,0)</f>
        <v>558144</v>
      </c>
      <c r="K3751" s="5">
        <v>0</v>
      </c>
      <c r="L3751" s="5">
        <f>TRUNC(F3751*K3751,0)</f>
        <v>0</v>
      </c>
      <c r="M3751" s="5">
        <f t="shared" si="359"/>
        <v>287444</v>
      </c>
      <c r="N3751" s="5">
        <f t="shared" si="359"/>
        <v>574888</v>
      </c>
      <c r="O3751" s="8" t="s">
        <v>20</v>
      </c>
      <c r="T3751">
        <v>0</v>
      </c>
      <c r="AC3751">
        <v>1</v>
      </c>
    </row>
    <row r="3752" spans="1:29" ht="30" customHeight="1" x14ac:dyDescent="0.3">
      <c r="A3752" s="5"/>
      <c r="B3752" s="5"/>
      <c r="C3752" s="5"/>
      <c r="D3752" s="5"/>
      <c r="E3752" s="5"/>
      <c r="F3752" s="9"/>
      <c r="G3752" s="5"/>
      <c r="H3752" s="5"/>
      <c r="I3752" s="5"/>
      <c r="J3752" s="5"/>
      <c r="K3752" s="5"/>
      <c r="L3752" s="5"/>
      <c r="M3752" s="5"/>
      <c r="N3752" s="5"/>
      <c r="O3752" s="5"/>
    </row>
    <row r="3753" spans="1:29" ht="30" customHeight="1" x14ac:dyDescent="0.3">
      <c r="A3753" s="5"/>
      <c r="B3753" s="5"/>
      <c r="C3753" s="5"/>
      <c r="D3753" s="5"/>
      <c r="E3753" s="5"/>
      <c r="F3753" s="9"/>
      <c r="G3753" s="5"/>
      <c r="H3753" s="5"/>
      <c r="I3753" s="5"/>
      <c r="J3753" s="5"/>
      <c r="K3753" s="5"/>
      <c r="L3753" s="5"/>
      <c r="M3753" s="5"/>
      <c r="N3753" s="5"/>
      <c r="O3753" s="5"/>
    </row>
    <row r="3754" spans="1:29" ht="30" customHeight="1" x14ac:dyDescent="0.3">
      <c r="A3754" s="5"/>
      <c r="B3754" s="5"/>
      <c r="C3754" s="5"/>
      <c r="D3754" s="5"/>
      <c r="E3754" s="5"/>
      <c r="F3754" s="9"/>
      <c r="G3754" s="5"/>
      <c r="H3754" s="5"/>
      <c r="I3754" s="5"/>
      <c r="J3754" s="5"/>
      <c r="K3754" s="5"/>
      <c r="L3754" s="5"/>
      <c r="M3754" s="5"/>
      <c r="N3754" s="5"/>
      <c r="O3754" s="5"/>
    </row>
    <row r="3755" spans="1:29" ht="30" customHeight="1" x14ac:dyDescent="0.3">
      <c r="A3755" s="5"/>
      <c r="B3755" s="5"/>
      <c r="C3755" s="5"/>
      <c r="D3755" s="5"/>
      <c r="E3755" s="5"/>
      <c r="F3755" s="9"/>
      <c r="G3755" s="5"/>
      <c r="H3755" s="5"/>
      <c r="I3755" s="5"/>
      <c r="J3755" s="5"/>
      <c r="K3755" s="5"/>
      <c r="L3755" s="5"/>
      <c r="M3755" s="5"/>
      <c r="N3755" s="5"/>
      <c r="O3755" s="5"/>
    </row>
    <row r="3756" spans="1:29" ht="30" customHeight="1" x14ac:dyDescent="0.3">
      <c r="A3756" s="5"/>
      <c r="B3756" s="5"/>
      <c r="C3756" s="5"/>
      <c r="D3756" s="5"/>
      <c r="E3756" s="5"/>
      <c r="F3756" s="9"/>
      <c r="G3756" s="5"/>
      <c r="H3756" s="5"/>
      <c r="I3756" s="5"/>
      <c r="J3756" s="5"/>
      <c r="K3756" s="5"/>
      <c r="L3756" s="5"/>
      <c r="M3756" s="5"/>
      <c r="N3756" s="5"/>
      <c r="O3756" s="5"/>
    </row>
    <row r="3757" spans="1:29" ht="30" customHeight="1" x14ac:dyDescent="0.3">
      <c r="A3757" s="5"/>
      <c r="B3757" s="5"/>
      <c r="C3757" s="5"/>
      <c r="D3757" s="5"/>
      <c r="E3757" s="5"/>
      <c r="F3757" s="9"/>
      <c r="G3757" s="5"/>
      <c r="H3757" s="5"/>
      <c r="I3757" s="5"/>
      <c r="J3757" s="5"/>
      <c r="K3757" s="5"/>
      <c r="L3757" s="5"/>
      <c r="M3757" s="5"/>
      <c r="N3757" s="5"/>
      <c r="O3757" s="5"/>
    </row>
    <row r="3758" spans="1:29" ht="30" customHeight="1" x14ac:dyDescent="0.3">
      <c r="A3758" s="5"/>
      <c r="B3758" s="5"/>
      <c r="C3758" s="5"/>
      <c r="D3758" s="5"/>
      <c r="E3758" s="5"/>
      <c r="F3758" s="9"/>
      <c r="G3758" s="5"/>
      <c r="H3758" s="5"/>
      <c r="I3758" s="5"/>
      <c r="J3758" s="5"/>
      <c r="K3758" s="5"/>
      <c r="L3758" s="5"/>
      <c r="M3758" s="5"/>
      <c r="N3758" s="5"/>
      <c r="O3758" s="5"/>
    </row>
    <row r="3759" spans="1:29" ht="30" customHeight="1" x14ac:dyDescent="0.3">
      <c r="A3759" s="5"/>
      <c r="B3759" s="5"/>
      <c r="C3759" s="5"/>
      <c r="D3759" s="5"/>
      <c r="E3759" s="5"/>
      <c r="F3759" s="9"/>
      <c r="G3759" s="5"/>
      <c r="H3759" s="5"/>
      <c r="I3759" s="5"/>
      <c r="J3759" s="5"/>
      <c r="K3759" s="5"/>
      <c r="L3759" s="5"/>
      <c r="M3759" s="5"/>
      <c r="N3759" s="5"/>
      <c r="O3759" s="5"/>
    </row>
    <row r="3760" spans="1:29" ht="30" customHeight="1" x14ac:dyDescent="0.3">
      <c r="A3760" s="5"/>
      <c r="B3760" s="5"/>
      <c r="C3760" s="5"/>
      <c r="D3760" s="5"/>
      <c r="E3760" s="5"/>
      <c r="F3760" s="9"/>
      <c r="G3760" s="5"/>
      <c r="H3760" s="5"/>
      <c r="I3760" s="5"/>
      <c r="J3760" s="5"/>
      <c r="K3760" s="5"/>
      <c r="L3760" s="5"/>
      <c r="M3760" s="5"/>
      <c r="N3760" s="5"/>
      <c r="O3760" s="5"/>
    </row>
    <row r="3761" spans="1:29" ht="30" customHeight="1" x14ac:dyDescent="0.3">
      <c r="A3761" s="5"/>
      <c r="B3761" s="5"/>
      <c r="C3761" s="5"/>
      <c r="D3761" s="5"/>
      <c r="E3761" s="5"/>
      <c r="F3761" s="9"/>
      <c r="G3761" s="5"/>
      <c r="H3761" s="5"/>
      <c r="I3761" s="5"/>
      <c r="J3761" s="5"/>
      <c r="K3761" s="5"/>
      <c r="L3761" s="5"/>
      <c r="M3761" s="5"/>
      <c r="N3761" s="5"/>
      <c r="O3761" s="5"/>
    </row>
    <row r="3762" spans="1:29" ht="30" customHeight="1" x14ac:dyDescent="0.3">
      <c r="A3762" s="5"/>
      <c r="B3762" s="5"/>
      <c r="C3762" s="5"/>
      <c r="D3762" s="5"/>
      <c r="E3762" s="5"/>
      <c r="F3762" s="9"/>
      <c r="G3762" s="5"/>
      <c r="H3762" s="5"/>
      <c r="I3762" s="5"/>
      <c r="J3762" s="5"/>
      <c r="K3762" s="5"/>
      <c r="L3762" s="5"/>
      <c r="M3762" s="5"/>
      <c r="N3762" s="5"/>
      <c r="O3762" s="5"/>
    </row>
    <row r="3763" spans="1:29" ht="30" customHeight="1" x14ac:dyDescent="0.3">
      <c r="A3763" s="5"/>
      <c r="B3763" s="5"/>
      <c r="C3763" s="5"/>
      <c r="D3763" s="5"/>
      <c r="E3763" s="5"/>
      <c r="F3763" s="9"/>
      <c r="G3763" s="5"/>
      <c r="H3763" s="5"/>
      <c r="I3763" s="5"/>
      <c r="J3763" s="5"/>
      <c r="K3763" s="5"/>
      <c r="L3763" s="5"/>
      <c r="M3763" s="5"/>
      <c r="N3763" s="5"/>
      <c r="O3763" s="5"/>
    </row>
    <row r="3764" spans="1:29" ht="30" customHeight="1" x14ac:dyDescent="0.3">
      <c r="A3764" s="5"/>
      <c r="B3764" s="5"/>
      <c r="C3764" s="5"/>
      <c r="D3764" s="5"/>
      <c r="E3764" s="5"/>
      <c r="F3764" s="9"/>
      <c r="G3764" s="5"/>
      <c r="H3764" s="5"/>
      <c r="I3764" s="5"/>
      <c r="J3764" s="5"/>
      <c r="K3764" s="5"/>
      <c r="L3764" s="5"/>
      <c r="M3764" s="5"/>
      <c r="N3764" s="5"/>
      <c r="O3764" s="5"/>
    </row>
    <row r="3765" spans="1:29" ht="30" customHeight="1" x14ac:dyDescent="0.3">
      <c r="A3765" s="5"/>
      <c r="B3765" s="5"/>
      <c r="C3765" s="5"/>
      <c r="D3765" s="5"/>
      <c r="E3765" s="5"/>
      <c r="F3765" s="9"/>
      <c r="G3765" s="5"/>
      <c r="H3765" s="5"/>
      <c r="I3765" s="5"/>
      <c r="J3765" s="5"/>
      <c r="K3765" s="5"/>
      <c r="L3765" s="5"/>
      <c r="M3765" s="5"/>
      <c r="N3765" s="5"/>
      <c r="O3765" s="5"/>
    </row>
    <row r="3766" spans="1:29" ht="30" customHeight="1" x14ac:dyDescent="0.3">
      <c r="A3766" s="5"/>
      <c r="B3766" s="5"/>
      <c r="C3766" s="5"/>
      <c r="D3766" s="5"/>
      <c r="E3766" s="5"/>
      <c r="F3766" s="9"/>
      <c r="G3766" s="5"/>
      <c r="H3766" s="5"/>
      <c r="I3766" s="5"/>
      <c r="J3766" s="5"/>
      <c r="K3766" s="5"/>
      <c r="L3766" s="5"/>
      <c r="M3766" s="5"/>
      <c r="N3766" s="5"/>
      <c r="O3766" s="5"/>
    </row>
    <row r="3767" spans="1:29" ht="30" customHeight="1" x14ac:dyDescent="0.3">
      <c r="A3767" s="5"/>
      <c r="B3767" s="5"/>
      <c r="C3767" s="5"/>
      <c r="D3767" s="5"/>
      <c r="E3767" s="5"/>
      <c r="F3767" s="9"/>
      <c r="G3767" s="5"/>
      <c r="H3767" s="5"/>
      <c r="I3767" s="5"/>
      <c r="J3767" s="5"/>
      <c r="K3767" s="5"/>
      <c r="L3767" s="5"/>
      <c r="M3767" s="5"/>
      <c r="N3767" s="5"/>
      <c r="O3767" s="5"/>
    </row>
    <row r="3768" spans="1:29" ht="30" customHeight="1" x14ac:dyDescent="0.3">
      <c r="A3768" s="5"/>
      <c r="B3768" s="5"/>
      <c r="C3768" s="5"/>
      <c r="D3768" s="5"/>
      <c r="E3768" s="5"/>
      <c r="F3768" s="9"/>
      <c r="G3768" s="5"/>
      <c r="H3768" s="5"/>
      <c r="I3768" s="5"/>
      <c r="J3768" s="5"/>
      <c r="K3768" s="5"/>
      <c r="L3768" s="5"/>
      <c r="M3768" s="5"/>
      <c r="N3768" s="5"/>
      <c r="O3768" s="5"/>
    </row>
    <row r="3769" spans="1:29" ht="30" customHeight="1" x14ac:dyDescent="0.3">
      <c r="A3769" s="5"/>
      <c r="B3769" s="5"/>
      <c r="C3769" s="5"/>
      <c r="D3769" s="5"/>
      <c r="E3769" s="5"/>
      <c r="F3769" s="9"/>
      <c r="G3769" s="5"/>
      <c r="H3769" s="5"/>
      <c r="I3769" s="5"/>
      <c r="J3769" s="5"/>
      <c r="K3769" s="5"/>
      <c r="L3769" s="5"/>
      <c r="M3769" s="5"/>
      <c r="N3769" s="5"/>
      <c r="O3769" s="5"/>
    </row>
    <row r="3770" spans="1:29" ht="30" customHeight="1" x14ac:dyDescent="0.3">
      <c r="A3770" s="5"/>
      <c r="B3770" s="5"/>
      <c r="C3770" s="5"/>
      <c r="D3770" s="5"/>
      <c r="E3770" s="5"/>
      <c r="F3770" s="9"/>
      <c r="G3770" s="5"/>
      <c r="H3770" s="5"/>
      <c r="I3770" s="5"/>
      <c r="J3770" s="5"/>
      <c r="K3770" s="5"/>
      <c r="L3770" s="5"/>
      <c r="M3770" s="5"/>
      <c r="N3770" s="5"/>
      <c r="O3770" s="5"/>
    </row>
    <row r="3771" spans="1:29" ht="30" customHeight="1" x14ac:dyDescent="0.3">
      <c r="A3771" s="5"/>
      <c r="B3771" s="5"/>
      <c r="C3771" s="5"/>
      <c r="D3771" s="5"/>
      <c r="E3771" s="5"/>
      <c r="F3771" s="9"/>
      <c r="G3771" s="5"/>
      <c r="H3771" s="5"/>
      <c r="I3771" s="5"/>
      <c r="J3771" s="5"/>
      <c r="K3771" s="5"/>
      <c r="L3771" s="5"/>
      <c r="M3771" s="5"/>
      <c r="N3771" s="5"/>
      <c r="O3771" s="5"/>
    </row>
    <row r="3772" spans="1:29" ht="30" customHeight="1" x14ac:dyDescent="0.3">
      <c r="A3772" s="5"/>
      <c r="B3772" s="5"/>
      <c r="C3772" s="5"/>
      <c r="D3772" s="5"/>
      <c r="E3772" s="5"/>
      <c r="F3772" s="9"/>
      <c r="G3772" s="5"/>
      <c r="H3772" s="5"/>
      <c r="I3772" s="5"/>
      <c r="J3772" s="5"/>
      <c r="K3772" s="5"/>
      <c r="L3772" s="5"/>
      <c r="M3772" s="5"/>
      <c r="N3772" s="5"/>
      <c r="O3772" s="5"/>
    </row>
    <row r="3773" spans="1:29" ht="30" customHeight="1" x14ac:dyDescent="0.3">
      <c r="A3773" s="5"/>
      <c r="B3773" s="5"/>
      <c r="C3773" s="5" t="s">
        <v>162</v>
      </c>
      <c r="D3773" s="5"/>
      <c r="E3773" s="5"/>
      <c r="F3773" s="9"/>
      <c r="G3773" s="5"/>
      <c r="H3773" s="5">
        <f>SUMIF(AC3749:AC3772, 1, H3749:H3772)</f>
        <v>355456</v>
      </c>
      <c r="I3773" s="5"/>
      <c r="J3773" s="5">
        <f>SUMIF(AC3749:AC3772, 1, J3749:J3772)</f>
        <v>7051856</v>
      </c>
      <c r="K3773" s="5"/>
      <c r="L3773" s="5">
        <f>SUMIF(AC3749:AC3772, 1, L3749:L3772)</f>
        <v>0</v>
      </c>
      <c r="M3773" s="5"/>
      <c r="N3773" s="5">
        <f>H3773+J3773+L3773</f>
        <v>7407312</v>
      </c>
      <c r="O3773" s="5"/>
    </row>
    <row r="3774" spans="1:29" ht="30" customHeight="1" x14ac:dyDescent="0.3">
      <c r="A3774" s="5"/>
      <c r="B3774" s="5"/>
      <c r="C3774" s="6" t="s">
        <v>3423</v>
      </c>
      <c r="D3774" s="6"/>
      <c r="E3774" s="6"/>
      <c r="F3774" s="7"/>
      <c r="G3774" s="6"/>
      <c r="H3774" s="6"/>
      <c r="I3774" s="6"/>
      <c r="J3774" s="6"/>
      <c r="K3774" s="6"/>
      <c r="L3774" s="6"/>
      <c r="M3774" s="6"/>
      <c r="N3774" s="6"/>
      <c r="O3774" s="6"/>
    </row>
    <row r="3775" spans="1:29" ht="30" customHeight="1" x14ac:dyDescent="0.3">
      <c r="A3775" s="8" t="s">
        <v>3424</v>
      </c>
      <c r="B3775" s="8" t="s">
        <v>3425</v>
      </c>
      <c r="C3775" s="8" t="s">
        <v>3426</v>
      </c>
      <c r="D3775" s="8" t="s">
        <v>3166</v>
      </c>
      <c r="E3775" s="8" t="s">
        <v>168</v>
      </c>
      <c r="F3775" s="9">
        <v>90</v>
      </c>
      <c r="G3775" s="5">
        <v>0</v>
      </c>
      <c r="H3775" s="5">
        <f t="shared" ref="H3775:H3814" si="360">TRUNC(F3775*G3775,0)</f>
        <v>0</v>
      </c>
      <c r="I3775" s="5">
        <f>TRUNC([1]단가대비표!O1823,0)</f>
        <v>52049</v>
      </c>
      <c r="J3775" s="5">
        <f t="shared" ref="J3775:J3814" si="361">TRUNC(F3775*I3775,0)</f>
        <v>4684410</v>
      </c>
      <c r="K3775" s="5">
        <v>0</v>
      </c>
      <c r="L3775" s="5">
        <f t="shared" ref="L3775:L3814" si="362">TRUNC(F3775*K3775,0)</f>
        <v>0</v>
      </c>
      <c r="M3775" s="5">
        <f t="shared" ref="M3775:N3814" si="363">G3775+I3775+K3775</f>
        <v>52049</v>
      </c>
      <c r="N3775" s="5">
        <f t="shared" si="363"/>
        <v>4684410</v>
      </c>
      <c r="O3775" s="8" t="s">
        <v>20</v>
      </c>
      <c r="T3775">
        <v>0</v>
      </c>
      <c r="AC3775">
        <v>1</v>
      </c>
    </row>
    <row r="3776" spans="1:29" ht="30" customHeight="1" x14ac:dyDescent="0.3">
      <c r="A3776" s="8" t="s">
        <v>3424</v>
      </c>
      <c r="B3776" s="8" t="s">
        <v>3427</v>
      </c>
      <c r="C3776" s="8" t="s">
        <v>3426</v>
      </c>
      <c r="D3776" s="8" t="s">
        <v>3168</v>
      </c>
      <c r="E3776" s="8" t="s">
        <v>168</v>
      </c>
      <c r="F3776" s="9">
        <v>140</v>
      </c>
      <c r="G3776" s="5">
        <v>0</v>
      </c>
      <c r="H3776" s="5">
        <f t="shared" si="360"/>
        <v>0</v>
      </c>
      <c r="I3776" s="5">
        <f>TRUNC([1]단가대비표!O1824,0)</f>
        <v>65246</v>
      </c>
      <c r="J3776" s="5">
        <f t="shared" si="361"/>
        <v>9134440</v>
      </c>
      <c r="K3776" s="5">
        <v>0</v>
      </c>
      <c r="L3776" s="5">
        <f t="shared" si="362"/>
        <v>0</v>
      </c>
      <c r="M3776" s="5">
        <f t="shared" si="363"/>
        <v>65246</v>
      </c>
      <c r="N3776" s="5">
        <f t="shared" si="363"/>
        <v>9134440</v>
      </c>
      <c r="O3776" s="8" t="s">
        <v>20</v>
      </c>
      <c r="T3776">
        <v>0</v>
      </c>
      <c r="AC3776">
        <v>1</v>
      </c>
    </row>
    <row r="3777" spans="1:29" ht="30" customHeight="1" x14ac:dyDescent="0.3">
      <c r="A3777" s="8" t="s">
        <v>3424</v>
      </c>
      <c r="B3777" s="8" t="s">
        <v>3428</v>
      </c>
      <c r="C3777" s="8" t="s">
        <v>3426</v>
      </c>
      <c r="D3777" s="8" t="s">
        <v>3170</v>
      </c>
      <c r="E3777" s="8" t="s">
        <v>168</v>
      </c>
      <c r="F3777" s="9">
        <v>70</v>
      </c>
      <c r="G3777" s="5">
        <v>0</v>
      </c>
      <c r="H3777" s="5">
        <f t="shared" si="360"/>
        <v>0</v>
      </c>
      <c r="I3777" s="5">
        <f>TRUNC([1]단가대비표!O1825,0)</f>
        <v>38989</v>
      </c>
      <c r="J3777" s="5">
        <f t="shared" si="361"/>
        <v>2729230</v>
      </c>
      <c r="K3777" s="5">
        <v>0</v>
      </c>
      <c r="L3777" s="5">
        <f t="shared" si="362"/>
        <v>0</v>
      </c>
      <c r="M3777" s="5">
        <f t="shared" si="363"/>
        <v>38989</v>
      </c>
      <c r="N3777" s="5">
        <f t="shared" si="363"/>
        <v>2729230</v>
      </c>
      <c r="O3777" s="8" t="s">
        <v>20</v>
      </c>
      <c r="T3777">
        <v>0</v>
      </c>
      <c r="AC3777">
        <v>1</v>
      </c>
    </row>
    <row r="3778" spans="1:29" ht="30" customHeight="1" x14ac:dyDescent="0.3">
      <c r="A3778" s="8" t="s">
        <v>3424</v>
      </c>
      <c r="B3778" s="8" t="s">
        <v>3429</v>
      </c>
      <c r="C3778" s="8" t="s">
        <v>3426</v>
      </c>
      <c r="D3778" s="8" t="s">
        <v>3172</v>
      </c>
      <c r="E3778" s="8" t="s">
        <v>168</v>
      </c>
      <c r="F3778" s="9">
        <v>30</v>
      </c>
      <c r="G3778" s="5">
        <v>0</v>
      </c>
      <c r="H3778" s="5">
        <f t="shared" si="360"/>
        <v>0</v>
      </c>
      <c r="I3778" s="5">
        <f>TRUNC([1]단가대비표!O1826,0)</f>
        <v>27013</v>
      </c>
      <c r="J3778" s="5">
        <f t="shared" si="361"/>
        <v>810390</v>
      </c>
      <c r="K3778" s="5">
        <v>0</v>
      </c>
      <c r="L3778" s="5">
        <f t="shared" si="362"/>
        <v>0</v>
      </c>
      <c r="M3778" s="5">
        <f t="shared" si="363"/>
        <v>27013</v>
      </c>
      <c r="N3778" s="5">
        <f t="shared" si="363"/>
        <v>810390</v>
      </c>
      <c r="O3778" s="8" t="s">
        <v>20</v>
      </c>
      <c r="T3778">
        <v>0</v>
      </c>
      <c r="AC3778">
        <v>1</v>
      </c>
    </row>
    <row r="3779" spans="1:29" ht="30" customHeight="1" x14ac:dyDescent="0.3">
      <c r="A3779" s="8" t="s">
        <v>3424</v>
      </c>
      <c r="B3779" s="8" t="s">
        <v>3430</v>
      </c>
      <c r="C3779" s="8" t="s">
        <v>3426</v>
      </c>
      <c r="D3779" s="8" t="s">
        <v>3174</v>
      </c>
      <c r="E3779" s="8" t="s">
        <v>168</v>
      </c>
      <c r="F3779" s="9">
        <v>15</v>
      </c>
      <c r="G3779" s="5">
        <v>0</v>
      </c>
      <c r="H3779" s="5">
        <f t="shared" si="360"/>
        <v>0</v>
      </c>
      <c r="I3779" s="5">
        <f>TRUNC([1]단가대비표!O1827,0)</f>
        <v>14608</v>
      </c>
      <c r="J3779" s="5">
        <f t="shared" si="361"/>
        <v>219120</v>
      </c>
      <c r="K3779" s="5">
        <v>0</v>
      </c>
      <c r="L3779" s="5">
        <f t="shared" si="362"/>
        <v>0</v>
      </c>
      <c r="M3779" s="5">
        <f t="shared" si="363"/>
        <v>14608</v>
      </c>
      <c r="N3779" s="5">
        <f t="shared" si="363"/>
        <v>219120</v>
      </c>
      <c r="O3779" s="8" t="s">
        <v>20</v>
      </c>
      <c r="T3779">
        <v>0</v>
      </c>
      <c r="AC3779">
        <v>1</v>
      </c>
    </row>
    <row r="3780" spans="1:29" ht="30" customHeight="1" x14ac:dyDescent="0.3">
      <c r="A3780" s="8" t="s">
        <v>3424</v>
      </c>
      <c r="B3780" s="8" t="s">
        <v>3431</v>
      </c>
      <c r="C3780" s="8" t="s">
        <v>3432</v>
      </c>
      <c r="D3780" s="8" t="s">
        <v>398</v>
      </c>
      <c r="E3780" s="8" t="s">
        <v>179</v>
      </c>
      <c r="F3780" s="9">
        <v>16</v>
      </c>
      <c r="G3780" s="5">
        <v>0</v>
      </c>
      <c r="H3780" s="5">
        <f t="shared" si="360"/>
        <v>0</v>
      </c>
      <c r="I3780" s="5">
        <f>TRUNC([1]단가대비표!O1828,0)</f>
        <v>85156</v>
      </c>
      <c r="J3780" s="5">
        <f t="shared" si="361"/>
        <v>1362496</v>
      </c>
      <c r="K3780" s="5">
        <v>2</v>
      </c>
      <c r="L3780" s="5">
        <f t="shared" si="362"/>
        <v>32</v>
      </c>
      <c r="M3780" s="5">
        <f t="shared" si="363"/>
        <v>85158</v>
      </c>
      <c r="N3780" s="5">
        <f t="shared" si="363"/>
        <v>1362528</v>
      </c>
      <c r="O3780" s="8" t="s">
        <v>20</v>
      </c>
      <c r="T3780">
        <v>0</v>
      </c>
      <c r="AC3780">
        <v>1</v>
      </c>
    </row>
    <row r="3781" spans="1:29" ht="30" customHeight="1" x14ac:dyDescent="0.3">
      <c r="A3781" s="8" t="s">
        <v>3424</v>
      </c>
      <c r="B3781" s="8" t="s">
        <v>3433</v>
      </c>
      <c r="C3781" s="8" t="s">
        <v>3432</v>
      </c>
      <c r="D3781" s="8" t="s">
        <v>396</v>
      </c>
      <c r="E3781" s="8" t="s">
        <v>179</v>
      </c>
      <c r="F3781" s="9">
        <v>10</v>
      </c>
      <c r="G3781" s="5">
        <v>0</v>
      </c>
      <c r="H3781" s="5">
        <f t="shared" si="360"/>
        <v>0</v>
      </c>
      <c r="I3781" s="5">
        <f>TRUNC([1]단가대비표!O1829,0)</f>
        <v>69275</v>
      </c>
      <c r="J3781" s="5">
        <f t="shared" si="361"/>
        <v>692750</v>
      </c>
      <c r="K3781" s="5">
        <v>467</v>
      </c>
      <c r="L3781" s="5">
        <f t="shared" si="362"/>
        <v>4670</v>
      </c>
      <c r="M3781" s="5">
        <f t="shared" si="363"/>
        <v>69742</v>
      </c>
      <c r="N3781" s="5">
        <f t="shared" si="363"/>
        <v>697420</v>
      </c>
      <c r="O3781" s="8" t="s">
        <v>20</v>
      </c>
      <c r="T3781">
        <v>0</v>
      </c>
      <c r="AC3781">
        <v>1</v>
      </c>
    </row>
    <row r="3782" spans="1:29" ht="30" customHeight="1" x14ac:dyDescent="0.3">
      <c r="A3782" s="8" t="s">
        <v>3424</v>
      </c>
      <c r="B3782" s="8" t="s">
        <v>3434</v>
      </c>
      <c r="C3782" s="8" t="s">
        <v>3432</v>
      </c>
      <c r="D3782" s="8" t="s">
        <v>626</v>
      </c>
      <c r="E3782" s="8" t="s">
        <v>179</v>
      </c>
      <c r="F3782" s="9">
        <v>46</v>
      </c>
      <c r="G3782" s="5">
        <v>0</v>
      </c>
      <c r="H3782" s="5">
        <f t="shared" si="360"/>
        <v>0</v>
      </c>
      <c r="I3782" s="5">
        <f>TRUNC([1]단가대비표!O1830,0)</f>
        <v>54967</v>
      </c>
      <c r="J3782" s="5">
        <f t="shared" si="361"/>
        <v>2528482</v>
      </c>
      <c r="K3782" s="5">
        <v>0</v>
      </c>
      <c r="L3782" s="5">
        <f t="shared" si="362"/>
        <v>0</v>
      </c>
      <c r="M3782" s="5">
        <f t="shared" si="363"/>
        <v>54967</v>
      </c>
      <c r="N3782" s="5">
        <f t="shared" si="363"/>
        <v>2528482</v>
      </c>
      <c r="O3782" s="8" t="s">
        <v>20</v>
      </c>
      <c r="T3782">
        <v>0</v>
      </c>
      <c r="AC3782">
        <v>1</v>
      </c>
    </row>
    <row r="3783" spans="1:29" ht="30" customHeight="1" x14ac:dyDescent="0.3">
      <c r="A3783" s="8" t="s">
        <v>3424</v>
      </c>
      <c r="B3783" s="8" t="s">
        <v>3435</v>
      </c>
      <c r="C3783" s="8" t="s">
        <v>3432</v>
      </c>
      <c r="D3783" s="8" t="s">
        <v>394</v>
      </c>
      <c r="E3783" s="8" t="s">
        <v>179</v>
      </c>
      <c r="F3783" s="9">
        <v>12</v>
      </c>
      <c r="G3783" s="5">
        <v>0</v>
      </c>
      <c r="H3783" s="5">
        <f t="shared" si="360"/>
        <v>0</v>
      </c>
      <c r="I3783" s="5">
        <f>TRUNC([1]단가대비표!O1831,0)</f>
        <v>38127</v>
      </c>
      <c r="J3783" s="5">
        <f t="shared" si="361"/>
        <v>457524</v>
      </c>
      <c r="K3783" s="5">
        <v>0</v>
      </c>
      <c r="L3783" s="5">
        <f t="shared" si="362"/>
        <v>0</v>
      </c>
      <c r="M3783" s="5">
        <f t="shared" si="363"/>
        <v>38127</v>
      </c>
      <c r="N3783" s="5">
        <f t="shared" si="363"/>
        <v>457524</v>
      </c>
      <c r="O3783" s="8" t="s">
        <v>20</v>
      </c>
      <c r="T3783">
        <v>0</v>
      </c>
      <c r="AC3783">
        <v>1</v>
      </c>
    </row>
    <row r="3784" spans="1:29" ht="30" customHeight="1" x14ac:dyDescent="0.3">
      <c r="A3784" s="8" t="s">
        <v>3424</v>
      </c>
      <c r="B3784" s="8" t="s">
        <v>3436</v>
      </c>
      <c r="C3784" s="8" t="s">
        <v>3437</v>
      </c>
      <c r="D3784" s="8" t="s">
        <v>3198</v>
      </c>
      <c r="E3784" s="8" t="s">
        <v>179</v>
      </c>
      <c r="F3784" s="9">
        <v>2</v>
      </c>
      <c r="G3784" s="5">
        <v>0</v>
      </c>
      <c r="H3784" s="5">
        <f t="shared" si="360"/>
        <v>0</v>
      </c>
      <c r="I3784" s="5">
        <f>TRUNC([1]단가대비표!O1832,0)</f>
        <v>13986</v>
      </c>
      <c r="J3784" s="5">
        <f t="shared" si="361"/>
        <v>27972</v>
      </c>
      <c r="K3784" s="5">
        <v>0</v>
      </c>
      <c r="L3784" s="5">
        <f t="shared" si="362"/>
        <v>0</v>
      </c>
      <c r="M3784" s="5">
        <f t="shared" si="363"/>
        <v>13986</v>
      </c>
      <c r="N3784" s="5">
        <f t="shared" si="363"/>
        <v>27972</v>
      </c>
      <c r="O3784" s="8" t="s">
        <v>20</v>
      </c>
      <c r="T3784">
        <v>0</v>
      </c>
      <c r="AC3784">
        <v>1</v>
      </c>
    </row>
    <row r="3785" spans="1:29" ht="30" customHeight="1" x14ac:dyDescent="0.3">
      <c r="A3785" s="8" t="s">
        <v>3424</v>
      </c>
      <c r="B3785" s="8" t="s">
        <v>3438</v>
      </c>
      <c r="C3785" s="8" t="s">
        <v>3437</v>
      </c>
      <c r="D3785" s="8" t="s">
        <v>3200</v>
      </c>
      <c r="E3785" s="8" t="s">
        <v>179</v>
      </c>
      <c r="F3785" s="9">
        <v>1</v>
      </c>
      <c r="G3785" s="5">
        <v>0</v>
      </c>
      <c r="H3785" s="5">
        <f t="shared" si="360"/>
        <v>0</v>
      </c>
      <c r="I3785" s="5">
        <f>TRUNC([1]단가대비표!O1833,0)</f>
        <v>38127</v>
      </c>
      <c r="J3785" s="5">
        <f t="shared" si="361"/>
        <v>38127</v>
      </c>
      <c r="K3785" s="5">
        <v>0</v>
      </c>
      <c r="L3785" s="5">
        <f t="shared" si="362"/>
        <v>0</v>
      </c>
      <c r="M3785" s="5">
        <f t="shared" si="363"/>
        <v>38127</v>
      </c>
      <c r="N3785" s="5">
        <f t="shared" si="363"/>
        <v>38127</v>
      </c>
      <c r="O3785" s="8" t="s">
        <v>20</v>
      </c>
      <c r="T3785">
        <v>0</v>
      </c>
      <c r="AC3785">
        <v>1</v>
      </c>
    </row>
    <row r="3786" spans="1:29" ht="30" customHeight="1" x14ac:dyDescent="0.3">
      <c r="A3786" s="8" t="s">
        <v>3424</v>
      </c>
      <c r="B3786" s="8" t="s">
        <v>3439</v>
      </c>
      <c r="C3786" s="8" t="s">
        <v>3437</v>
      </c>
      <c r="D3786" s="8" t="s">
        <v>3202</v>
      </c>
      <c r="E3786" s="8" t="s">
        <v>179</v>
      </c>
      <c r="F3786" s="9">
        <v>4</v>
      </c>
      <c r="G3786" s="5">
        <v>0</v>
      </c>
      <c r="H3786" s="5">
        <f t="shared" si="360"/>
        <v>0</v>
      </c>
      <c r="I3786" s="5">
        <f>TRUNC([1]단가대비표!O1834,0)</f>
        <v>38127</v>
      </c>
      <c r="J3786" s="5">
        <f t="shared" si="361"/>
        <v>152508</v>
      </c>
      <c r="K3786" s="5">
        <v>0</v>
      </c>
      <c r="L3786" s="5">
        <f t="shared" si="362"/>
        <v>0</v>
      </c>
      <c r="M3786" s="5">
        <f t="shared" si="363"/>
        <v>38127</v>
      </c>
      <c r="N3786" s="5">
        <f t="shared" si="363"/>
        <v>152508</v>
      </c>
      <c r="O3786" s="8" t="s">
        <v>20</v>
      </c>
      <c r="T3786">
        <v>0</v>
      </c>
      <c r="AC3786">
        <v>1</v>
      </c>
    </row>
    <row r="3787" spans="1:29" ht="30" customHeight="1" x14ac:dyDescent="0.3">
      <c r="A3787" s="8" t="s">
        <v>3424</v>
      </c>
      <c r="B3787" s="8" t="s">
        <v>3440</v>
      </c>
      <c r="C3787" s="8" t="s">
        <v>3441</v>
      </c>
      <c r="D3787" s="8" t="s">
        <v>3204</v>
      </c>
      <c r="E3787" s="8" t="s">
        <v>179</v>
      </c>
      <c r="F3787" s="9">
        <v>8</v>
      </c>
      <c r="G3787" s="5">
        <v>0</v>
      </c>
      <c r="H3787" s="5">
        <f t="shared" si="360"/>
        <v>0</v>
      </c>
      <c r="I3787" s="5">
        <f>TRUNC([1]단가대비표!O1835,0)</f>
        <v>164320</v>
      </c>
      <c r="J3787" s="5">
        <f t="shared" si="361"/>
        <v>1314560</v>
      </c>
      <c r="K3787" s="5">
        <v>0</v>
      </c>
      <c r="L3787" s="5">
        <f t="shared" si="362"/>
        <v>0</v>
      </c>
      <c r="M3787" s="5">
        <f t="shared" si="363"/>
        <v>164320</v>
      </c>
      <c r="N3787" s="5">
        <f t="shared" si="363"/>
        <v>1314560</v>
      </c>
      <c r="O3787" s="8" t="s">
        <v>20</v>
      </c>
      <c r="T3787">
        <v>0</v>
      </c>
      <c r="AC3787">
        <v>1</v>
      </c>
    </row>
    <row r="3788" spans="1:29" ht="30" customHeight="1" x14ac:dyDescent="0.3">
      <c r="A3788" s="8" t="s">
        <v>3424</v>
      </c>
      <c r="B3788" s="8" t="s">
        <v>3442</v>
      </c>
      <c r="C3788" s="8" t="s">
        <v>3441</v>
      </c>
      <c r="D3788" s="8" t="s">
        <v>424</v>
      </c>
      <c r="E3788" s="8" t="s">
        <v>179</v>
      </c>
      <c r="F3788" s="9">
        <v>4</v>
      </c>
      <c r="G3788" s="5">
        <v>0</v>
      </c>
      <c r="H3788" s="5">
        <f t="shared" si="360"/>
        <v>0</v>
      </c>
      <c r="I3788" s="5">
        <f>TRUNC([1]단가대비표!O1836,0)</f>
        <v>132531</v>
      </c>
      <c r="J3788" s="5">
        <f t="shared" si="361"/>
        <v>530124</v>
      </c>
      <c r="K3788" s="5">
        <v>0</v>
      </c>
      <c r="L3788" s="5">
        <f t="shared" si="362"/>
        <v>0</v>
      </c>
      <c r="M3788" s="5">
        <f t="shared" si="363"/>
        <v>132531</v>
      </c>
      <c r="N3788" s="5">
        <f t="shared" si="363"/>
        <v>530124</v>
      </c>
      <c r="O3788" s="8" t="s">
        <v>20</v>
      </c>
      <c r="T3788">
        <v>0</v>
      </c>
      <c r="AC3788">
        <v>1</v>
      </c>
    </row>
    <row r="3789" spans="1:29" ht="30" customHeight="1" x14ac:dyDescent="0.3">
      <c r="A3789" s="8" t="s">
        <v>3424</v>
      </c>
      <c r="B3789" s="8" t="s">
        <v>3443</v>
      </c>
      <c r="C3789" s="8" t="s">
        <v>3441</v>
      </c>
      <c r="D3789" s="8" t="s">
        <v>3207</v>
      </c>
      <c r="E3789" s="8" t="s">
        <v>179</v>
      </c>
      <c r="F3789" s="9">
        <v>16</v>
      </c>
      <c r="G3789" s="5">
        <v>0</v>
      </c>
      <c r="H3789" s="5">
        <f t="shared" si="360"/>
        <v>0</v>
      </c>
      <c r="I3789" s="5">
        <f>TRUNC([1]단가대비표!O1837,0)</f>
        <v>96482</v>
      </c>
      <c r="J3789" s="5">
        <f t="shared" si="361"/>
        <v>1543712</v>
      </c>
      <c r="K3789" s="5">
        <v>0</v>
      </c>
      <c r="L3789" s="5">
        <f t="shared" si="362"/>
        <v>0</v>
      </c>
      <c r="M3789" s="5">
        <f t="shared" si="363"/>
        <v>96482</v>
      </c>
      <c r="N3789" s="5">
        <f t="shared" si="363"/>
        <v>1543712</v>
      </c>
      <c r="O3789" s="8" t="s">
        <v>20</v>
      </c>
      <c r="T3789">
        <v>0</v>
      </c>
      <c r="AC3789">
        <v>1</v>
      </c>
    </row>
    <row r="3790" spans="1:29" ht="30" customHeight="1" x14ac:dyDescent="0.3">
      <c r="A3790" s="8" t="s">
        <v>3424</v>
      </c>
      <c r="B3790" s="8" t="s">
        <v>3444</v>
      </c>
      <c r="C3790" s="8" t="s">
        <v>3441</v>
      </c>
      <c r="D3790" s="8" t="s">
        <v>3209</v>
      </c>
      <c r="E3790" s="8" t="s">
        <v>179</v>
      </c>
      <c r="F3790" s="9">
        <v>4</v>
      </c>
      <c r="G3790" s="5">
        <v>0</v>
      </c>
      <c r="H3790" s="5">
        <f t="shared" si="360"/>
        <v>0</v>
      </c>
      <c r="I3790" s="5">
        <f>TRUNC([1]단가대비표!O1838,0)</f>
        <v>64905</v>
      </c>
      <c r="J3790" s="5">
        <f t="shared" si="361"/>
        <v>259620</v>
      </c>
      <c r="K3790" s="5">
        <v>0</v>
      </c>
      <c r="L3790" s="5">
        <f t="shared" si="362"/>
        <v>0</v>
      </c>
      <c r="M3790" s="5">
        <f t="shared" si="363"/>
        <v>64905</v>
      </c>
      <c r="N3790" s="5">
        <f t="shared" si="363"/>
        <v>259620</v>
      </c>
      <c r="O3790" s="8" t="s">
        <v>20</v>
      </c>
      <c r="T3790">
        <v>0</v>
      </c>
      <c r="AC3790">
        <v>1</v>
      </c>
    </row>
    <row r="3791" spans="1:29" ht="30" customHeight="1" x14ac:dyDescent="0.3">
      <c r="A3791" s="8" t="s">
        <v>3424</v>
      </c>
      <c r="B3791" s="8" t="s">
        <v>3445</v>
      </c>
      <c r="C3791" s="8" t="s">
        <v>3446</v>
      </c>
      <c r="D3791" s="8" t="s">
        <v>3212</v>
      </c>
      <c r="E3791" s="8" t="s">
        <v>179</v>
      </c>
      <c r="F3791" s="9">
        <v>8</v>
      </c>
      <c r="G3791" s="5">
        <v>0</v>
      </c>
      <c r="H3791" s="5">
        <f t="shared" si="360"/>
        <v>0</v>
      </c>
      <c r="I3791" s="5">
        <f>TRUNC([1]단가대비표!O1839,0)</f>
        <v>54967</v>
      </c>
      <c r="J3791" s="5">
        <f t="shared" si="361"/>
        <v>439736</v>
      </c>
      <c r="K3791" s="5">
        <v>0</v>
      </c>
      <c r="L3791" s="5">
        <f t="shared" si="362"/>
        <v>0</v>
      </c>
      <c r="M3791" s="5">
        <f t="shared" si="363"/>
        <v>54967</v>
      </c>
      <c r="N3791" s="5">
        <f t="shared" si="363"/>
        <v>439736</v>
      </c>
      <c r="O3791" s="8" t="s">
        <v>20</v>
      </c>
      <c r="T3791">
        <v>0</v>
      </c>
      <c r="AC3791">
        <v>1</v>
      </c>
    </row>
    <row r="3792" spans="1:29" ht="30" customHeight="1" x14ac:dyDescent="0.3">
      <c r="A3792" s="8" t="s">
        <v>3424</v>
      </c>
      <c r="B3792" s="8" t="s">
        <v>3447</v>
      </c>
      <c r="C3792" s="8" t="s">
        <v>3446</v>
      </c>
      <c r="D3792" s="8" t="s">
        <v>3214</v>
      </c>
      <c r="E3792" s="8" t="s">
        <v>179</v>
      </c>
      <c r="F3792" s="9">
        <v>2</v>
      </c>
      <c r="G3792" s="5">
        <v>0</v>
      </c>
      <c r="H3792" s="5">
        <f t="shared" si="360"/>
        <v>0</v>
      </c>
      <c r="I3792" s="5">
        <f>TRUNC([1]단가대비표!O1840,0)</f>
        <v>38127</v>
      </c>
      <c r="J3792" s="5">
        <f t="shared" si="361"/>
        <v>76254</v>
      </c>
      <c r="K3792" s="5">
        <v>0</v>
      </c>
      <c r="L3792" s="5">
        <f t="shared" si="362"/>
        <v>0</v>
      </c>
      <c r="M3792" s="5">
        <f t="shared" si="363"/>
        <v>38127</v>
      </c>
      <c r="N3792" s="5">
        <f t="shared" si="363"/>
        <v>76254</v>
      </c>
      <c r="O3792" s="8" t="s">
        <v>20</v>
      </c>
      <c r="T3792">
        <v>0</v>
      </c>
      <c r="AC3792">
        <v>1</v>
      </c>
    </row>
    <row r="3793" spans="1:29" ht="30" customHeight="1" x14ac:dyDescent="0.3">
      <c r="A3793" s="8" t="s">
        <v>3424</v>
      </c>
      <c r="B3793" s="8" t="s">
        <v>3448</v>
      </c>
      <c r="C3793" s="8" t="s">
        <v>3449</v>
      </c>
      <c r="D3793" s="8" t="s">
        <v>352</v>
      </c>
      <c r="E3793" s="8" t="s">
        <v>185</v>
      </c>
      <c r="F3793" s="9">
        <v>30</v>
      </c>
      <c r="G3793" s="5">
        <v>0</v>
      </c>
      <c r="H3793" s="5">
        <f t="shared" si="360"/>
        <v>0</v>
      </c>
      <c r="I3793" s="5">
        <f>TRUNC([1]단가대비표!O1841,0)</f>
        <v>103068</v>
      </c>
      <c r="J3793" s="5">
        <f t="shared" si="361"/>
        <v>3092040</v>
      </c>
      <c r="K3793" s="5">
        <v>0</v>
      </c>
      <c r="L3793" s="5">
        <f t="shared" si="362"/>
        <v>0</v>
      </c>
      <c r="M3793" s="5">
        <f t="shared" si="363"/>
        <v>103068</v>
      </c>
      <c r="N3793" s="5">
        <f t="shared" si="363"/>
        <v>3092040</v>
      </c>
      <c r="O3793" s="8" t="s">
        <v>20</v>
      </c>
      <c r="T3793">
        <v>0</v>
      </c>
      <c r="AC3793">
        <v>1</v>
      </c>
    </row>
    <row r="3794" spans="1:29" ht="30" customHeight="1" x14ac:dyDescent="0.3">
      <c r="A3794" s="8" t="s">
        <v>3424</v>
      </c>
      <c r="B3794" s="8" t="s">
        <v>3450</v>
      </c>
      <c r="C3794" s="8" t="s">
        <v>3449</v>
      </c>
      <c r="D3794" s="8" t="s">
        <v>350</v>
      </c>
      <c r="E3794" s="8" t="s">
        <v>185</v>
      </c>
      <c r="F3794" s="9">
        <v>30</v>
      </c>
      <c r="G3794" s="5">
        <v>0</v>
      </c>
      <c r="H3794" s="5">
        <f t="shared" si="360"/>
        <v>0</v>
      </c>
      <c r="I3794" s="5">
        <f>TRUNC([1]단가대비표!O1842,0)</f>
        <v>88790</v>
      </c>
      <c r="J3794" s="5">
        <f t="shared" si="361"/>
        <v>2663700</v>
      </c>
      <c r="K3794" s="5">
        <v>0</v>
      </c>
      <c r="L3794" s="5">
        <f t="shared" si="362"/>
        <v>0</v>
      </c>
      <c r="M3794" s="5">
        <f t="shared" si="363"/>
        <v>88790</v>
      </c>
      <c r="N3794" s="5">
        <f t="shared" si="363"/>
        <v>2663700</v>
      </c>
      <c r="O3794" s="8" t="s">
        <v>20</v>
      </c>
      <c r="T3794">
        <v>0</v>
      </c>
      <c r="AC3794">
        <v>1</v>
      </c>
    </row>
    <row r="3795" spans="1:29" ht="30" customHeight="1" x14ac:dyDescent="0.3">
      <c r="A3795" s="8" t="s">
        <v>3424</v>
      </c>
      <c r="B3795" s="8" t="s">
        <v>3451</v>
      </c>
      <c r="C3795" s="8" t="s">
        <v>3449</v>
      </c>
      <c r="D3795" s="8" t="s">
        <v>348</v>
      </c>
      <c r="E3795" s="8" t="s">
        <v>185</v>
      </c>
      <c r="F3795" s="9">
        <v>65</v>
      </c>
      <c r="G3795" s="5">
        <v>0</v>
      </c>
      <c r="H3795" s="5">
        <f t="shared" si="360"/>
        <v>0</v>
      </c>
      <c r="I3795" s="5">
        <f>TRUNC([1]단가대비표!O1843,0)</f>
        <v>74512</v>
      </c>
      <c r="J3795" s="5">
        <f t="shared" si="361"/>
        <v>4843280</v>
      </c>
      <c r="K3795" s="5">
        <v>0</v>
      </c>
      <c r="L3795" s="5">
        <f t="shared" si="362"/>
        <v>0</v>
      </c>
      <c r="M3795" s="5">
        <f t="shared" si="363"/>
        <v>74512</v>
      </c>
      <c r="N3795" s="5">
        <f t="shared" si="363"/>
        <v>4843280</v>
      </c>
      <c r="O3795" s="8" t="s">
        <v>20</v>
      </c>
      <c r="T3795">
        <v>0</v>
      </c>
      <c r="AC3795">
        <v>1</v>
      </c>
    </row>
    <row r="3796" spans="1:29" ht="30" customHeight="1" x14ac:dyDescent="0.3">
      <c r="A3796" s="8" t="s">
        <v>3424</v>
      </c>
      <c r="B3796" s="8" t="s">
        <v>3452</v>
      </c>
      <c r="C3796" s="8" t="s">
        <v>3449</v>
      </c>
      <c r="D3796" s="8" t="s">
        <v>447</v>
      </c>
      <c r="E3796" s="8" t="s">
        <v>185</v>
      </c>
      <c r="F3796" s="9">
        <v>16</v>
      </c>
      <c r="G3796" s="5">
        <v>0</v>
      </c>
      <c r="H3796" s="5">
        <f t="shared" si="360"/>
        <v>0</v>
      </c>
      <c r="I3796" s="5">
        <f>TRUNC([1]단가대비표!O1844,0)</f>
        <v>60234</v>
      </c>
      <c r="J3796" s="5">
        <f t="shared" si="361"/>
        <v>963744</v>
      </c>
      <c r="K3796" s="5">
        <v>0</v>
      </c>
      <c r="L3796" s="5">
        <f t="shared" si="362"/>
        <v>0</v>
      </c>
      <c r="M3796" s="5">
        <f t="shared" si="363"/>
        <v>60234</v>
      </c>
      <c r="N3796" s="5">
        <f t="shared" si="363"/>
        <v>963744</v>
      </c>
      <c r="O3796" s="8" t="s">
        <v>20</v>
      </c>
      <c r="T3796">
        <v>0</v>
      </c>
      <c r="AC3796">
        <v>1</v>
      </c>
    </row>
    <row r="3797" spans="1:29" ht="30" customHeight="1" x14ac:dyDescent="0.3">
      <c r="A3797" s="8" t="s">
        <v>3424</v>
      </c>
      <c r="B3797" s="8" t="s">
        <v>3453</v>
      </c>
      <c r="C3797" s="8" t="s">
        <v>3454</v>
      </c>
      <c r="D3797" s="8" t="s">
        <v>352</v>
      </c>
      <c r="E3797" s="8" t="s">
        <v>185</v>
      </c>
      <c r="F3797" s="9">
        <v>60</v>
      </c>
      <c r="G3797" s="5">
        <v>0</v>
      </c>
      <c r="H3797" s="5">
        <f t="shared" si="360"/>
        <v>0</v>
      </c>
      <c r="I3797" s="5">
        <f>TRUNC([1]단가대비표!O1845,0)</f>
        <v>206136</v>
      </c>
      <c r="J3797" s="5">
        <f t="shared" si="361"/>
        <v>12368160</v>
      </c>
      <c r="K3797" s="5">
        <v>0</v>
      </c>
      <c r="L3797" s="5">
        <f t="shared" si="362"/>
        <v>0</v>
      </c>
      <c r="M3797" s="5">
        <f t="shared" si="363"/>
        <v>206136</v>
      </c>
      <c r="N3797" s="5">
        <f t="shared" si="363"/>
        <v>12368160</v>
      </c>
      <c r="O3797" s="8" t="s">
        <v>20</v>
      </c>
      <c r="T3797">
        <v>0</v>
      </c>
      <c r="AC3797">
        <v>1</v>
      </c>
    </row>
    <row r="3798" spans="1:29" ht="30" customHeight="1" x14ac:dyDescent="0.3">
      <c r="A3798" s="8" t="s">
        <v>3424</v>
      </c>
      <c r="B3798" s="8" t="s">
        <v>3455</v>
      </c>
      <c r="C3798" s="8" t="s">
        <v>3454</v>
      </c>
      <c r="D3798" s="8" t="s">
        <v>350</v>
      </c>
      <c r="E3798" s="8" t="s">
        <v>185</v>
      </c>
      <c r="F3798" s="9">
        <v>60</v>
      </c>
      <c r="G3798" s="5">
        <v>0</v>
      </c>
      <c r="H3798" s="5">
        <f t="shared" si="360"/>
        <v>0</v>
      </c>
      <c r="I3798" s="5">
        <f>TRUNC([1]단가대비표!O1846,0)</f>
        <v>177580</v>
      </c>
      <c r="J3798" s="5">
        <f t="shared" si="361"/>
        <v>10654800</v>
      </c>
      <c r="K3798" s="5">
        <v>0</v>
      </c>
      <c r="L3798" s="5">
        <f t="shared" si="362"/>
        <v>0</v>
      </c>
      <c r="M3798" s="5">
        <f t="shared" si="363"/>
        <v>177580</v>
      </c>
      <c r="N3798" s="5">
        <f t="shared" si="363"/>
        <v>10654800</v>
      </c>
      <c r="O3798" s="8" t="s">
        <v>20</v>
      </c>
      <c r="T3798">
        <v>0</v>
      </c>
      <c r="AC3798">
        <v>1</v>
      </c>
    </row>
    <row r="3799" spans="1:29" ht="30" customHeight="1" x14ac:dyDescent="0.3">
      <c r="A3799" s="8" t="s">
        <v>3424</v>
      </c>
      <c r="B3799" s="8" t="s">
        <v>3456</v>
      </c>
      <c r="C3799" s="8" t="s">
        <v>3454</v>
      </c>
      <c r="D3799" s="8" t="s">
        <v>348</v>
      </c>
      <c r="E3799" s="8" t="s">
        <v>185</v>
      </c>
      <c r="F3799" s="9">
        <v>30</v>
      </c>
      <c r="G3799" s="5">
        <v>0</v>
      </c>
      <c r="H3799" s="5">
        <f t="shared" si="360"/>
        <v>0</v>
      </c>
      <c r="I3799" s="5">
        <f>TRUNC([1]단가대비표!O1847,0)</f>
        <v>149024</v>
      </c>
      <c r="J3799" s="5">
        <f t="shared" si="361"/>
        <v>4470720</v>
      </c>
      <c r="K3799" s="5">
        <v>0</v>
      </c>
      <c r="L3799" s="5">
        <f t="shared" si="362"/>
        <v>0</v>
      </c>
      <c r="M3799" s="5">
        <f t="shared" si="363"/>
        <v>149024</v>
      </c>
      <c r="N3799" s="5">
        <f t="shared" si="363"/>
        <v>4470720</v>
      </c>
      <c r="O3799" s="8" t="s">
        <v>20</v>
      </c>
      <c r="T3799">
        <v>0</v>
      </c>
      <c r="AC3799">
        <v>1</v>
      </c>
    </row>
    <row r="3800" spans="1:29" ht="30" customHeight="1" x14ac:dyDescent="0.3">
      <c r="A3800" s="8" t="s">
        <v>3424</v>
      </c>
      <c r="B3800" s="8" t="s">
        <v>3457</v>
      </c>
      <c r="C3800" s="8" t="s">
        <v>3454</v>
      </c>
      <c r="D3800" s="8" t="s">
        <v>447</v>
      </c>
      <c r="E3800" s="8" t="s">
        <v>185</v>
      </c>
      <c r="F3800" s="9">
        <v>16</v>
      </c>
      <c r="G3800" s="5">
        <v>0</v>
      </c>
      <c r="H3800" s="5">
        <f t="shared" si="360"/>
        <v>0</v>
      </c>
      <c r="I3800" s="5">
        <f>TRUNC([1]단가대비표!O1848,0)</f>
        <v>60234</v>
      </c>
      <c r="J3800" s="5">
        <f t="shared" si="361"/>
        <v>963744</v>
      </c>
      <c r="K3800" s="5">
        <v>0</v>
      </c>
      <c r="L3800" s="5">
        <f t="shared" si="362"/>
        <v>0</v>
      </c>
      <c r="M3800" s="5">
        <f t="shared" si="363"/>
        <v>60234</v>
      </c>
      <c r="N3800" s="5">
        <f t="shared" si="363"/>
        <v>963744</v>
      </c>
      <c r="O3800" s="8" t="s">
        <v>20</v>
      </c>
      <c r="T3800">
        <v>0</v>
      </c>
      <c r="AC3800">
        <v>1</v>
      </c>
    </row>
    <row r="3801" spans="1:29" ht="30" customHeight="1" x14ac:dyDescent="0.3">
      <c r="A3801" s="8" t="s">
        <v>3424</v>
      </c>
      <c r="B3801" s="8" t="s">
        <v>3458</v>
      </c>
      <c r="C3801" s="8" t="s">
        <v>3459</v>
      </c>
      <c r="D3801" s="8" t="s">
        <v>352</v>
      </c>
      <c r="E3801" s="8" t="s">
        <v>185</v>
      </c>
      <c r="F3801" s="9">
        <v>61</v>
      </c>
      <c r="G3801" s="5">
        <f>TRUNC([1]단가대비표!O1849,0)</f>
        <v>13066</v>
      </c>
      <c r="H3801" s="5">
        <f t="shared" si="360"/>
        <v>797026</v>
      </c>
      <c r="I3801" s="5">
        <v>51534</v>
      </c>
      <c r="J3801" s="5">
        <f t="shared" si="361"/>
        <v>3143574</v>
      </c>
      <c r="K3801" s="5">
        <v>0</v>
      </c>
      <c r="L3801" s="5">
        <f t="shared" si="362"/>
        <v>0</v>
      </c>
      <c r="M3801" s="5">
        <f t="shared" si="363"/>
        <v>64600</v>
      </c>
      <c r="N3801" s="5">
        <f t="shared" si="363"/>
        <v>3940600</v>
      </c>
      <c r="O3801" s="8" t="s">
        <v>20</v>
      </c>
      <c r="T3801">
        <v>0</v>
      </c>
      <c r="AC3801">
        <v>1</v>
      </c>
    </row>
    <row r="3802" spans="1:29" ht="30" customHeight="1" x14ac:dyDescent="0.3">
      <c r="A3802" s="8" t="s">
        <v>3424</v>
      </c>
      <c r="B3802" s="8" t="s">
        <v>3460</v>
      </c>
      <c r="C3802" s="8" t="s">
        <v>3459</v>
      </c>
      <c r="D3802" s="8" t="s">
        <v>350</v>
      </c>
      <c r="E3802" s="8" t="s">
        <v>185</v>
      </c>
      <c r="F3802" s="9">
        <v>77</v>
      </c>
      <c r="G3802" s="5">
        <f>TRUNC([1]단가대비표!O1850,0)</f>
        <v>10533</v>
      </c>
      <c r="H3802" s="5">
        <f t="shared" si="360"/>
        <v>811041</v>
      </c>
      <c r="I3802" s="5">
        <v>44395</v>
      </c>
      <c r="J3802" s="5">
        <f t="shared" si="361"/>
        <v>3418415</v>
      </c>
      <c r="K3802" s="5">
        <v>0</v>
      </c>
      <c r="L3802" s="5">
        <f t="shared" si="362"/>
        <v>0</v>
      </c>
      <c r="M3802" s="5">
        <f t="shared" si="363"/>
        <v>54928</v>
      </c>
      <c r="N3802" s="5">
        <f t="shared" si="363"/>
        <v>4229456</v>
      </c>
      <c r="O3802" s="8" t="s">
        <v>20</v>
      </c>
      <c r="T3802">
        <v>0</v>
      </c>
      <c r="AC3802">
        <v>1</v>
      </c>
    </row>
    <row r="3803" spans="1:29" ht="30" customHeight="1" x14ac:dyDescent="0.3">
      <c r="A3803" s="8" t="s">
        <v>3424</v>
      </c>
      <c r="B3803" s="8" t="s">
        <v>3461</v>
      </c>
      <c r="C3803" s="8" t="s">
        <v>3459</v>
      </c>
      <c r="D3803" s="8" t="s">
        <v>348</v>
      </c>
      <c r="E3803" s="8" t="s">
        <v>185</v>
      </c>
      <c r="F3803" s="9">
        <v>70</v>
      </c>
      <c r="G3803" s="5">
        <f>TRUNC([1]단가대비표!O1851,0)</f>
        <v>7348</v>
      </c>
      <c r="H3803" s="5">
        <f t="shared" si="360"/>
        <v>514360</v>
      </c>
      <c r="I3803" s="5">
        <v>37256</v>
      </c>
      <c r="J3803" s="5">
        <f t="shared" si="361"/>
        <v>2607920</v>
      </c>
      <c r="K3803" s="5">
        <v>0</v>
      </c>
      <c r="L3803" s="5">
        <f t="shared" si="362"/>
        <v>0</v>
      </c>
      <c r="M3803" s="5">
        <f t="shared" si="363"/>
        <v>44604</v>
      </c>
      <c r="N3803" s="5">
        <f t="shared" si="363"/>
        <v>3122280</v>
      </c>
      <c r="O3803" s="8" t="s">
        <v>20</v>
      </c>
      <c r="T3803">
        <v>0</v>
      </c>
      <c r="AC3803">
        <v>1</v>
      </c>
    </row>
    <row r="3804" spans="1:29" ht="30" customHeight="1" x14ac:dyDescent="0.3">
      <c r="A3804" s="8" t="s">
        <v>3424</v>
      </c>
      <c r="B3804" s="8" t="s">
        <v>3462</v>
      </c>
      <c r="C3804" s="8" t="s">
        <v>3459</v>
      </c>
      <c r="D3804" s="8" t="s">
        <v>447</v>
      </c>
      <c r="E3804" s="8" t="s">
        <v>185</v>
      </c>
      <c r="F3804" s="9">
        <v>16</v>
      </c>
      <c r="G3804" s="5">
        <f>TRUNC([1]단가대비표!O1852,0)</f>
        <v>4996</v>
      </c>
      <c r="H3804" s="5">
        <f t="shared" si="360"/>
        <v>79936</v>
      </c>
      <c r="I3804" s="5">
        <v>30117</v>
      </c>
      <c r="J3804" s="5">
        <f t="shared" si="361"/>
        <v>481872</v>
      </c>
      <c r="K3804" s="5">
        <v>0</v>
      </c>
      <c r="L3804" s="5">
        <f t="shared" si="362"/>
        <v>0</v>
      </c>
      <c r="M3804" s="5">
        <f t="shared" si="363"/>
        <v>35113</v>
      </c>
      <c r="N3804" s="5">
        <f t="shared" si="363"/>
        <v>561808</v>
      </c>
      <c r="O3804" s="8" t="s">
        <v>20</v>
      </c>
      <c r="T3804">
        <v>0</v>
      </c>
      <c r="AC3804">
        <v>1</v>
      </c>
    </row>
    <row r="3805" spans="1:29" ht="30" customHeight="1" x14ac:dyDescent="0.3">
      <c r="A3805" s="8" t="s">
        <v>3424</v>
      </c>
      <c r="B3805" s="8" t="s">
        <v>3463</v>
      </c>
      <c r="C3805" s="8" t="s">
        <v>3464</v>
      </c>
      <c r="D3805" s="8" t="s">
        <v>472</v>
      </c>
      <c r="E3805" s="8" t="s">
        <v>168</v>
      </c>
      <c r="F3805" s="9">
        <v>140</v>
      </c>
      <c r="G3805" s="5">
        <f>TRUNC([1]단가대비표!O1853,0)</f>
        <v>19636</v>
      </c>
      <c r="H3805" s="5">
        <f t="shared" si="360"/>
        <v>2749040</v>
      </c>
      <c r="I3805" s="5">
        <v>31975</v>
      </c>
      <c r="J3805" s="5">
        <f t="shared" si="361"/>
        <v>4476500</v>
      </c>
      <c r="K3805" s="5">
        <v>0</v>
      </c>
      <c r="L3805" s="5">
        <f t="shared" si="362"/>
        <v>0</v>
      </c>
      <c r="M3805" s="5">
        <f t="shared" si="363"/>
        <v>51611</v>
      </c>
      <c r="N3805" s="5">
        <f t="shared" si="363"/>
        <v>7225540</v>
      </c>
      <c r="O3805" s="8" t="s">
        <v>20</v>
      </c>
      <c r="T3805">
        <v>0</v>
      </c>
      <c r="AC3805">
        <v>1</v>
      </c>
    </row>
    <row r="3806" spans="1:29" ht="30" customHeight="1" x14ac:dyDescent="0.3">
      <c r="A3806" s="8" t="s">
        <v>3424</v>
      </c>
      <c r="B3806" s="8" t="s">
        <v>3465</v>
      </c>
      <c r="C3806" s="8" t="s">
        <v>3464</v>
      </c>
      <c r="D3806" s="8" t="s">
        <v>3466</v>
      </c>
      <c r="E3806" s="8" t="s">
        <v>168</v>
      </c>
      <c r="F3806" s="9">
        <v>90</v>
      </c>
      <c r="G3806" s="5">
        <f>TRUNC([1]단가대비표!O1854,0)</f>
        <v>17996</v>
      </c>
      <c r="H3806" s="5">
        <f t="shared" si="360"/>
        <v>1619640</v>
      </c>
      <c r="I3806" s="5">
        <v>27000</v>
      </c>
      <c r="J3806" s="5">
        <f t="shared" si="361"/>
        <v>2430000</v>
      </c>
      <c r="K3806" s="5">
        <v>0</v>
      </c>
      <c r="L3806" s="5">
        <f t="shared" si="362"/>
        <v>0</v>
      </c>
      <c r="M3806" s="5">
        <f t="shared" si="363"/>
        <v>44996</v>
      </c>
      <c r="N3806" s="5">
        <f t="shared" si="363"/>
        <v>4049640</v>
      </c>
      <c r="O3806" s="8" t="s">
        <v>20</v>
      </c>
      <c r="T3806">
        <v>0</v>
      </c>
      <c r="AC3806">
        <v>1</v>
      </c>
    </row>
    <row r="3807" spans="1:29" ht="30" customHeight="1" x14ac:dyDescent="0.3">
      <c r="A3807" s="8" t="s">
        <v>3424</v>
      </c>
      <c r="B3807" s="8" t="s">
        <v>3467</v>
      </c>
      <c r="C3807" s="8" t="s">
        <v>3464</v>
      </c>
      <c r="D3807" s="8" t="s">
        <v>3468</v>
      </c>
      <c r="E3807" s="8" t="s">
        <v>168</v>
      </c>
      <c r="F3807" s="9">
        <v>70</v>
      </c>
      <c r="G3807" s="5">
        <f>TRUNC([1]단가대비표!O1855,0)</f>
        <v>15286</v>
      </c>
      <c r="H3807" s="5">
        <f t="shared" si="360"/>
        <v>1070020</v>
      </c>
      <c r="I3807" s="5">
        <v>22429</v>
      </c>
      <c r="J3807" s="5">
        <f t="shared" si="361"/>
        <v>1570030</v>
      </c>
      <c r="K3807" s="5">
        <v>0</v>
      </c>
      <c r="L3807" s="5">
        <f t="shared" si="362"/>
        <v>0</v>
      </c>
      <c r="M3807" s="5">
        <f t="shared" si="363"/>
        <v>37715</v>
      </c>
      <c r="N3807" s="5">
        <f t="shared" si="363"/>
        <v>2640050</v>
      </c>
      <c r="O3807" s="8" t="s">
        <v>20</v>
      </c>
      <c r="T3807">
        <v>0</v>
      </c>
      <c r="AC3807">
        <v>1</v>
      </c>
    </row>
    <row r="3808" spans="1:29" ht="30" customHeight="1" x14ac:dyDescent="0.3">
      <c r="A3808" s="8" t="s">
        <v>3424</v>
      </c>
      <c r="B3808" s="8" t="s">
        <v>3469</v>
      </c>
      <c r="C3808" s="8" t="s">
        <v>3464</v>
      </c>
      <c r="D3808" s="8" t="s">
        <v>470</v>
      </c>
      <c r="E3808" s="8" t="s">
        <v>168</v>
      </c>
      <c r="F3808" s="9">
        <v>30</v>
      </c>
      <c r="G3808" s="5">
        <f>TRUNC([1]단가대비표!O1856,0)</f>
        <v>13530</v>
      </c>
      <c r="H3808" s="5">
        <f t="shared" si="360"/>
        <v>405900</v>
      </c>
      <c r="I3808" s="5">
        <v>18677</v>
      </c>
      <c r="J3808" s="5">
        <f t="shared" si="361"/>
        <v>560310</v>
      </c>
      <c r="K3808" s="5">
        <v>0</v>
      </c>
      <c r="L3808" s="5">
        <f t="shared" si="362"/>
        <v>0</v>
      </c>
      <c r="M3808" s="5">
        <f t="shared" si="363"/>
        <v>32207</v>
      </c>
      <c r="N3808" s="5">
        <f t="shared" si="363"/>
        <v>966210</v>
      </c>
      <c r="O3808" s="8" t="s">
        <v>20</v>
      </c>
      <c r="T3808">
        <v>0</v>
      </c>
      <c r="AC3808">
        <v>1</v>
      </c>
    </row>
    <row r="3809" spans="1:29" ht="30" customHeight="1" x14ac:dyDescent="0.3">
      <c r="A3809" s="8" t="s">
        <v>3424</v>
      </c>
      <c r="B3809" s="8" t="s">
        <v>3470</v>
      </c>
      <c r="C3809" s="8" t="s">
        <v>3464</v>
      </c>
      <c r="D3809" s="8" t="s">
        <v>240</v>
      </c>
      <c r="E3809" s="8" t="s">
        <v>168</v>
      </c>
      <c r="F3809" s="9">
        <v>15</v>
      </c>
      <c r="G3809" s="5">
        <f>TRUNC([1]단가대비표!O1857,0)</f>
        <v>6997</v>
      </c>
      <c r="H3809" s="5">
        <f t="shared" si="360"/>
        <v>104955</v>
      </c>
      <c r="I3809" s="5">
        <v>9588</v>
      </c>
      <c r="J3809" s="5">
        <f t="shared" si="361"/>
        <v>143820</v>
      </c>
      <c r="K3809" s="5">
        <v>0</v>
      </c>
      <c r="L3809" s="5">
        <f t="shared" si="362"/>
        <v>0</v>
      </c>
      <c r="M3809" s="5">
        <f t="shared" si="363"/>
        <v>16585</v>
      </c>
      <c r="N3809" s="5">
        <f t="shared" si="363"/>
        <v>248775</v>
      </c>
      <c r="O3809" s="8" t="s">
        <v>20</v>
      </c>
      <c r="T3809">
        <v>0</v>
      </c>
      <c r="AC3809">
        <v>1</v>
      </c>
    </row>
    <row r="3810" spans="1:29" ht="30" customHeight="1" x14ac:dyDescent="0.3">
      <c r="A3810" s="8" t="s">
        <v>3424</v>
      </c>
      <c r="B3810" s="8" t="s">
        <v>3471</v>
      </c>
      <c r="C3810" s="8" t="s">
        <v>474</v>
      </c>
      <c r="D3810" s="8" t="s">
        <v>3472</v>
      </c>
      <c r="E3810" s="8" t="s">
        <v>476</v>
      </c>
      <c r="F3810" s="9">
        <v>46</v>
      </c>
      <c r="G3810" s="5">
        <f>TRUNC([1]단가대비표!O1858,0)</f>
        <v>12540</v>
      </c>
      <c r="H3810" s="5">
        <f t="shared" si="360"/>
        <v>576840</v>
      </c>
      <c r="I3810" s="5">
        <v>9450</v>
      </c>
      <c r="J3810" s="5">
        <f t="shared" si="361"/>
        <v>434700</v>
      </c>
      <c r="K3810" s="5">
        <v>0</v>
      </c>
      <c r="L3810" s="5">
        <f t="shared" si="362"/>
        <v>0</v>
      </c>
      <c r="M3810" s="5">
        <f t="shared" si="363"/>
        <v>21990</v>
      </c>
      <c r="N3810" s="5">
        <f t="shared" si="363"/>
        <v>1011540</v>
      </c>
      <c r="O3810" s="8" t="s">
        <v>20</v>
      </c>
      <c r="T3810">
        <v>0</v>
      </c>
      <c r="AC3810">
        <v>1</v>
      </c>
    </row>
    <row r="3811" spans="1:29" ht="30" customHeight="1" x14ac:dyDescent="0.3">
      <c r="A3811" s="8" t="s">
        <v>3424</v>
      </c>
      <c r="B3811" s="8" t="s">
        <v>3473</v>
      </c>
      <c r="C3811" s="8" t="s">
        <v>478</v>
      </c>
      <c r="D3811" s="8" t="s">
        <v>20</v>
      </c>
      <c r="E3811" s="8" t="s">
        <v>476</v>
      </c>
      <c r="F3811" s="9">
        <v>36</v>
      </c>
      <c r="G3811" s="5">
        <f>TRUNC([1]단가대비표!O1859,0)</f>
        <v>36340</v>
      </c>
      <c r="H3811" s="5">
        <f t="shared" si="360"/>
        <v>1308240</v>
      </c>
      <c r="I3811" s="5">
        <v>10773</v>
      </c>
      <c r="J3811" s="5">
        <f t="shared" si="361"/>
        <v>387828</v>
      </c>
      <c r="K3811" s="5">
        <v>0</v>
      </c>
      <c r="L3811" s="5">
        <f t="shared" si="362"/>
        <v>0</v>
      </c>
      <c r="M3811" s="5">
        <f t="shared" si="363"/>
        <v>47113</v>
      </c>
      <c r="N3811" s="5">
        <f t="shared" si="363"/>
        <v>1696068</v>
      </c>
      <c r="O3811" s="8" t="s">
        <v>20</v>
      </c>
      <c r="T3811">
        <v>0</v>
      </c>
      <c r="AC3811">
        <v>1</v>
      </c>
    </row>
    <row r="3812" spans="1:29" ht="30" customHeight="1" x14ac:dyDescent="0.3">
      <c r="A3812" s="8" t="s">
        <v>3424</v>
      </c>
      <c r="B3812" s="8" t="s">
        <v>3474</v>
      </c>
      <c r="C3812" s="8" t="s">
        <v>3475</v>
      </c>
      <c r="D3812" s="8" t="s">
        <v>184</v>
      </c>
      <c r="E3812" s="8" t="s">
        <v>185</v>
      </c>
      <c r="F3812" s="9">
        <v>24</v>
      </c>
      <c r="G3812" s="5">
        <f>TRUNC([1]단가대비표!O1860,0)</f>
        <v>69406</v>
      </c>
      <c r="H3812" s="5">
        <f t="shared" si="360"/>
        <v>1665744</v>
      </c>
      <c r="I3812" s="5">
        <v>32319</v>
      </c>
      <c r="J3812" s="5">
        <f t="shared" si="361"/>
        <v>775656</v>
      </c>
      <c r="K3812" s="5">
        <v>0</v>
      </c>
      <c r="L3812" s="5">
        <f t="shared" si="362"/>
        <v>0</v>
      </c>
      <c r="M3812" s="5">
        <f t="shared" si="363"/>
        <v>101725</v>
      </c>
      <c r="N3812" s="5">
        <f t="shared" si="363"/>
        <v>2441400</v>
      </c>
      <c r="O3812" s="8" t="s">
        <v>20</v>
      </c>
      <c r="T3812">
        <v>0</v>
      </c>
      <c r="AC3812">
        <v>1</v>
      </c>
    </row>
    <row r="3813" spans="1:29" ht="30" customHeight="1" x14ac:dyDescent="0.3">
      <c r="A3813" s="8" t="s">
        <v>3424</v>
      </c>
      <c r="B3813" s="8" t="s">
        <v>3476</v>
      </c>
      <c r="C3813" s="8" t="s">
        <v>3477</v>
      </c>
      <c r="D3813" s="8" t="s">
        <v>538</v>
      </c>
      <c r="E3813" s="8" t="s">
        <v>185</v>
      </c>
      <c r="F3813" s="9">
        <v>100</v>
      </c>
      <c r="G3813" s="5">
        <v>0</v>
      </c>
      <c r="H3813" s="5">
        <f t="shared" si="360"/>
        <v>0</v>
      </c>
      <c r="I3813" s="5">
        <f>TRUNC([1]단가대비표!O1861,0)</f>
        <v>20651</v>
      </c>
      <c r="J3813" s="5">
        <f t="shared" si="361"/>
        <v>2065100</v>
      </c>
      <c r="K3813" s="5">
        <v>0</v>
      </c>
      <c r="L3813" s="5">
        <f t="shared" si="362"/>
        <v>0</v>
      </c>
      <c r="M3813" s="5">
        <f t="shared" si="363"/>
        <v>20651</v>
      </c>
      <c r="N3813" s="5">
        <f t="shared" si="363"/>
        <v>2065100</v>
      </c>
      <c r="O3813" s="8" t="s">
        <v>20</v>
      </c>
      <c r="T3813">
        <v>0</v>
      </c>
      <c r="AC3813">
        <v>1</v>
      </c>
    </row>
    <row r="3814" spans="1:29" ht="30" customHeight="1" x14ac:dyDescent="0.3">
      <c r="A3814" s="8" t="s">
        <v>3424</v>
      </c>
      <c r="B3814" s="8" t="s">
        <v>3478</v>
      </c>
      <c r="C3814" s="8" t="s">
        <v>3479</v>
      </c>
      <c r="D3814" s="8" t="s">
        <v>3480</v>
      </c>
      <c r="E3814" s="8" t="s">
        <v>185</v>
      </c>
      <c r="F3814" s="9">
        <v>14</v>
      </c>
      <c r="G3814" s="5">
        <f>TRUNC([1]단가대비표!O1862,0)</f>
        <v>1760</v>
      </c>
      <c r="H3814" s="5">
        <f t="shared" si="360"/>
        <v>24640</v>
      </c>
      <c r="I3814" s="5">
        <v>20075</v>
      </c>
      <c r="J3814" s="5">
        <f t="shared" si="361"/>
        <v>281050</v>
      </c>
      <c r="K3814" s="5">
        <v>0</v>
      </c>
      <c r="L3814" s="5">
        <f t="shared" si="362"/>
        <v>0</v>
      </c>
      <c r="M3814" s="5">
        <f t="shared" si="363"/>
        <v>21835</v>
      </c>
      <c r="N3814" s="5">
        <f t="shared" si="363"/>
        <v>305690</v>
      </c>
      <c r="O3814" s="8" t="s">
        <v>20</v>
      </c>
      <c r="T3814">
        <v>0</v>
      </c>
      <c r="AC3814">
        <v>1</v>
      </c>
    </row>
    <row r="3815" spans="1:29" ht="30" customHeight="1" x14ac:dyDescent="0.3">
      <c r="A3815" s="5"/>
      <c r="B3815" s="5"/>
      <c r="C3815" s="5"/>
      <c r="D3815" s="5"/>
      <c r="E3815" s="5"/>
      <c r="F3815" s="9"/>
      <c r="G3815" s="5"/>
      <c r="H3815" s="5"/>
      <c r="I3815" s="5"/>
      <c r="J3815" s="5"/>
      <c r="K3815" s="5"/>
      <c r="L3815" s="5"/>
      <c r="M3815" s="5"/>
      <c r="N3815" s="5"/>
      <c r="O3815" s="5"/>
    </row>
    <row r="3816" spans="1:29" ht="30" customHeight="1" x14ac:dyDescent="0.3">
      <c r="A3816" s="5"/>
      <c r="B3816" s="5"/>
      <c r="C3816" s="5"/>
      <c r="D3816" s="5"/>
      <c r="E3816" s="5"/>
      <c r="F3816" s="9"/>
      <c r="G3816" s="5"/>
      <c r="H3816" s="5"/>
      <c r="I3816" s="5"/>
      <c r="J3816" s="5"/>
      <c r="K3816" s="5"/>
      <c r="L3816" s="5"/>
      <c r="M3816" s="5"/>
      <c r="N3816" s="5"/>
      <c r="O3816" s="5"/>
    </row>
    <row r="3817" spans="1:29" ht="30" customHeight="1" x14ac:dyDescent="0.3">
      <c r="A3817" s="5"/>
      <c r="B3817" s="5"/>
      <c r="C3817" s="5"/>
      <c r="D3817" s="5"/>
      <c r="E3817" s="5"/>
      <c r="F3817" s="9"/>
      <c r="G3817" s="5"/>
      <c r="H3817" s="5"/>
      <c r="I3817" s="5"/>
      <c r="J3817" s="5"/>
      <c r="K3817" s="5"/>
      <c r="L3817" s="5"/>
      <c r="M3817" s="5"/>
      <c r="N3817" s="5"/>
      <c r="O3817" s="5"/>
    </row>
    <row r="3818" spans="1:29" ht="30" customHeight="1" x14ac:dyDescent="0.3">
      <c r="A3818" s="5"/>
      <c r="B3818" s="5"/>
      <c r="C3818" s="5"/>
      <c r="D3818" s="5"/>
      <c r="E3818" s="5"/>
      <c r="F3818" s="9"/>
      <c r="G3818" s="5"/>
      <c r="H3818" s="5"/>
      <c r="I3818" s="5"/>
      <c r="J3818" s="5"/>
      <c r="K3818" s="5"/>
      <c r="L3818" s="5"/>
      <c r="M3818" s="5"/>
      <c r="N3818" s="5"/>
      <c r="O3818" s="5"/>
    </row>
    <row r="3819" spans="1:29" ht="30" customHeight="1" x14ac:dyDescent="0.3">
      <c r="A3819" s="5"/>
      <c r="B3819" s="5"/>
      <c r="C3819" s="5"/>
      <c r="D3819" s="5"/>
      <c r="E3819" s="5"/>
      <c r="F3819" s="9"/>
      <c r="G3819" s="5"/>
      <c r="H3819" s="5"/>
      <c r="I3819" s="5"/>
      <c r="J3819" s="5"/>
      <c r="K3819" s="5"/>
      <c r="L3819" s="5"/>
      <c r="M3819" s="5"/>
      <c r="N3819" s="5"/>
      <c r="O3819" s="5"/>
    </row>
    <row r="3820" spans="1:29" ht="30" customHeight="1" x14ac:dyDescent="0.3">
      <c r="A3820" s="5"/>
      <c r="B3820" s="5"/>
      <c r="C3820" s="5"/>
      <c r="D3820" s="5"/>
      <c r="E3820" s="5"/>
      <c r="F3820" s="9"/>
      <c r="G3820" s="5"/>
      <c r="H3820" s="5"/>
      <c r="I3820" s="5"/>
      <c r="J3820" s="5"/>
      <c r="K3820" s="5"/>
      <c r="L3820" s="5"/>
      <c r="M3820" s="5"/>
      <c r="N3820" s="5"/>
      <c r="O3820" s="5"/>
    </row>
    <row r="3821" spans="1:29" ht="30" customHeight="1" x14ac:dyDescent="0.3">
      <c r="A3821" s="5"/>
      <c r="B3821" s="5"/>
      <c r="C3821" s="5"/>
      <c r="D3821" s="5"/>
      <c r="E3821" s="5"/>
      <c r="F3821" s="9"/>
      <c r="G3821" s="5"/>
      <c r="H3821" s="5"/>
      <c r="I3821" s="5"/>
      <c r="J3821" s="5"/>
      <c r="K3821" s="5"/>
      <c r="L3821" s="5"/>
      <c r="M3821" s="5"/>
      <c r="N3821" s="5"/>
      <c r="O3821" s="5"/>
    </row>
    <row r="3822" spans="1:29" ht="30" customHeight="1" x14ac:dyDescent="0.3">
      <c r="A3822" s="5"/>
      <c r="B3822" s="5"/>
      <c r="C3822" s="5"/>
      <c r="D3822" s="5"/>
      <c r="E3822" s="5"/>
      <c r="F3822" s="9"/>
      <c r="G3822" s="5"/>
      <c r="H3822" s="5"/>
      <c r="I3822" s="5"/>
      <c r="J3822" s="5"/>
      <c r="K3822" s="5"/>
      <c r="L3822" s="5"/>
      <c r="M3822" s="5"/>
      <c r="N3822" s="5"/>
      <c r="O3822" s="5"/>
    </row>
    <row r="3823" spans="1:29" ht="30" customHeight="1" x14ac:dyDescent="0.3">
      <c r="A3823" s="5"/>
      <c r="B3823" s="5"/>
      <c r="C3823" s="5"/>
      <c r="D3823" s="5"/>
      <c r="E3823" s="5"/>
      <c r="F3823" s="9"/>
      <c r="G3823" s="5"/>
      <c r="H3823" s="5"/>
      <c r="I3823" s="5"/>
      <c r="J3823" s="5"/>
      <c r="K3823" s="5"/>
      <c r="L3823" s="5"/>
      <c r="M3823" s="5"/>
      <c r="N3823" s="5"/>
      <c r="O3823" s="5"/>
    </row>
    <row r="3824" spans="1:29" ht="30" customHeight="1" x14ac:dyDescent="0.3">
      <c r="A3824" s="5"/>
      <c r="B3824" s="5"/>
      <c r="C3824" s="5"/>
      <c r="D3824" s="5"/>
      <c r="E3824" s="5"/>
      <c r="F3824" s="9"/>
      <c r="G3824" s="5"/>
      <c r="H3824" s="5"/>
      <c r="I3824" s="5"/>
      <c r="J3824" s="5"/>
      <c r="K3824" s="5"/>
      <c r="L3824" s="5"/>
      <c r="M3824" s="5"/>
      <c r="N3824" s="5"/>
      <c r="O3824" s="5"/>
    </row>
    <row r="3825" spans="1:29" ht="30" customHeight="1" x14ac:dyDescent="0.3">
      <c r="A3825" s="5"/>
      <c r="B3825" s="5"/>
      <c r="C3825" s="5" t="s">
        <v>162</v>
      </c>
      <c r="D3825" s="5"/>
      <c r="E3825" s="5"/>
      <c r="F3825" s="9"/>
      <c r="G3825" s="5"/>
      <c r="H3825" s="5">
        <f>SUMIF(AC3775:AC3824, 1, H3775:H3824)</f>
        <v>11727382</v>
      </c>
      <c r="I3825" s="5"/>
      <c r="J3825" s="5">
        <f>SUMIF(AC3775:AC3824, 1, J3775:J3824)</f>
        <v>89798418</v>
      </c>
      <c r="K3825" s="5"/>
      <c r="L3825" s="5">
        <f>SUMIF(AC3775:AC3824, 1, L3775:L3824)</f>
        <v>4702</v>
      </c>
      <c r="M3825" s="5"/>
      <c r="N3825" s="5">
        <f>H3825+J3825+L3825</f>
        <v>101530502</v>
      </c>
      <c r="O3825" s="5"/>
    </row>
    <row r="3826" spans="1:29" ht="30" customHeight="1" x14ac:dyDescent="0.3">
      <c r="A3826" s="5"/>
      <c r="B3826" s="5"/>
      <c r="C3826" s="6" t="s">
        <v>3481</v>
      </c>
      <c r="D3826" s="6"/>
      <c r="E3826" s="6"/>
      <c r="F3826" s="7"/>
      <c r="G3826" s="6"/>
      <c r="H3826" s="6"/>
      <c r="I3826" s="6"/>
      <c r="J3826" s="6"/>
      <c r="K3826" s="6"/>
      <c r="L3826" s="6"/>
      <c r="M3826" s="6"/>
      <c r="N3826" s="6"/>
      <c r="O3826" s="6"/>
    </row>
    <row r="3827" spans="1:29" ht="30" customHeight="1" x14ac:dyDescent="0.3">
      <c r="A3827" s="8" t="s">
        <v>3482</v>
      </c>
      <c r="B3827" s="8" t="s">
        <v>3483</v>
      </c>
      <c r="C3827" s="8" t="s">
        <v>3484</v>
      </c>
      <c r="D3827" s="8" t="s">
        <v>3485</v>
      </c>
      <c r="E3827" s="8" t="s">
        <v>185</v>
      </c>
      <c r="F3827" s="9">
        <v>35</v>
      </c>
      <c r="G3827" s="5">
        <f>TRUNC([1]단가대비표!O1863,0)</f>
        <v>918</v>
      </c>
      <c r="H3827" s="5">
        <f t="shared" ref="H3827:H3833" si="364">TRUNC(F3827*G3827,0)</f>
        <v>32130</v>
      </c>
      <c r="I3827" s="5">
        <v>30619</v>
      </c>
      <c r="J3827" s="5">
        <f t="shared" ref="J3827:J3833" si="365">TRUNC(F3827*I3827,0)</f>
        <v>1071665</v>
      </c>
      <c r="K3827" s="5">
        <v>0</v>
      </c>
      <c r="L3827" s="5">
        <f t="shared" ref="L3827:L3833" si="366">TRUNC(F3827*K3827,0)</f>
        <v>0</v>
      </c>
      <c r="M3827" s="5">
        <f t="shared" ref="M3827:N3833" si="367">G3827+I3827+K3827</f>
        <v>31537</v>
      </c>
      <c r="N3827" s="5">
        <f t="shared" si="367"/>
        <v>1103795</v>
      </c>
      <c r="O3827" s="8" t="s">
        <v>20</v>
      </c>
      <c r="T3827">
        <v>0</v>
      </c>
      <c r="AC3827">
        <v>1</v>
      </c>
    </row>
    <row r="3828" spans="1:29" ht="30" customHeight="1" x14ac:dyDescent="0.3">
      <c r="A3828" s="8" t="s">
        <v>3482</v>
      </c>
      <c r="B3828" s="8" t="s">
        <v>3486</v>
      </c>
      <c r="C3828" s="8" t="s">
        <v>3484</v>
      </c>
      <c r="D3828" s="8" t="s">
        <v>3487</v>
      </c>
      <c r="E3828" s="8" t="s">
        <v>185</v>
      </c>
      <c r="F3828" s="9">
        <v>20</v>
      </c>
      <c r="G3828" s="5">
        <f>TRUNC([1]단가대비표!O1864,0)</f>
        <v>1124</v>
      </c>
      <c r="H3828" s="5">
        <f t="shared" si="364"/>
        <v>22480</v>
      </c>
      <c r="I3828" s="5">
        <v>37472</v>
      </c>
      <c r="J3828" s="5">
        <f t="shared" si="365"/>
        <v>749440</v>
      </c>
      <c r="K3828" s="5">
        <v>0</v>
      </c>
      <c r="L3828" s="5">
        <f t="shared" si="366"/>
        <v>0</v>
      </c>
      <c r="M3828" s="5">
        <f t="shared" si="367"/>
        <v>38596</v>
      </c>
      <c r="N3828" s="5">
        <f t="shared" si="367"/>
        <v>771920</v>
      </c>
      <c r="O3828" s="8" t="s">
        <v>20</v>
      </c>
      <c r="T3828">
        <v>0</v>
      </c>
      <c r="AC3828">
        <v>1</v>
      </c>
    </row>
    <row r="3829" spans="1:29" ht="30" customHeight="1" x14ac:dyDescent="0.3">
      <c r="A3829" s="8" t="s">
        <v>3482</v>
      </c>
      <c r="B3829" s="8" t="s">
        <v>3488</v>
      </c>
      <c r="C3829" s="8" t="s">
        <v>3484</v>
      </c>
      <c r="D3829" s="8" t="s">
        <v>3489</v>
      </c>
      <c r="E3829" s="8" t="s">
        <v>185</v>
      </c>
      <c r="F3829" s="9">
        <v>10</v>
      </c>
      <c r="G3829" s="5">
        <f>TRUNC([1]단가대비표!O1865,0)</f>
        <v>1124</v>
      </c>
      <c r="H3829" s="5">
        <f t="shared" si="364"/>
        <v>11240</v>
      </c>
      <c r="I3829" s="5">
        <v>37472</v>
      </c>
      <c r="J3829" s="5">
        <f t="shared" si="365"/>
        <v>374720</v>
      </c>
      <c r="K3829" s="5">
        <v>0</v>
      </c>
      <c r="L3829" s="5">
        <f t="shared" si="366"/>
        <v>0</v>
      </c>
      <c r="M3829" s="5">
        <f t="shared" si="367"/>
        <v>38596</v>
      </c>
      <c r="N3829" s="5">
        <f t="shared" si="367"/>
        <v>385960</v>
      </c>
      <c r="O3829" s="8" t="s">
        <v>20</v>
      </c>
      <c r="T3829">
        <v>0</v>
      </c>
      <c r="AC3829">
        <v>1</v>
      </c>
    </row>
    <row r="3830" spans="1:29" ht="30" customHeight="1" x14ac:dyDescent="0.3">
      <c r="A3830" s="8" t="s">
        <v>3482</v>
      </c>
      <c r="B3830" s="8" t="s">
        <v>3490</v>
      </c>
      <c r="C3830" s="8" t="s">
        <v>3491</v>
      </c>
      <c r="D3830" s="8" t="s">
        <v>3492</v>
      </c>
      <c r="E3830" s="8" t="s">
        <v>1464</v>
      </c>
      <c r="F3830" s="9">
        <v>70</v>
      </c>
      <c r="G3830" s="5">
        <f>TRUNC([1]단가대비표!O1866,0)</f>
        <v>203</v>
      </c>
      <c r="H3830" s="5">
        <f t="shared" si="364"/>
        <v>14210</v>
      </c>
      <c r="I3830" s="5">
        <v>522</v>
      </c>
      <c r="J3830" s="5">
        <f t="shared" si="365"/>
        <v>36540</v>
      </c>
      <c r="K3830" s="5">
        <v>263</v>
      </c>
      <c r="L3830" s="5">
        <f t="shared" si="366"/>
        <v>18410</v>
      </c>
      <c r="M3830" s="5">
        <f t="shared" si="367"/>
        <v>988</v>
      </c>
      <c r="N3830" s="5">
        <f t="shared" si="367"/>
        <v>69160</v>
      </c>
      <c r="O3830" s="8" t="s">
        <v>20</v>
      </c>
      <c r="T3830">
        <v>0</v>
      </c>
      <c r="AC3830">
        <v>1</v>
      </c>
    </row>
    <row r="3831" spans="1:29" ht="30" customHeight="1" x14ac:dyDescent="0.3">
      <c r="A3831" s="8" t="s">
        <v>3482</v>
      </c>
      <c r="B3831" s="8" t="s">
        <v>3493</v>
      </c>
      <c r="C3831" s="8" t="s">
        <v>3494</v>
      </c>
      <c r="D3831" s="8" t="s">
        <v>3495</v>
      </c>
      <c r="E3831" s="8" t="s">
        <v>1464</v>
      </c>
      <c r="F3831" s="9">
        <v>20</v>
      </c>
      <c r="G3831" s="5">
        <f>TRUNC([1]단가대비표!O1867,0)</f>
        <v>142</v>
      </c>
      <c r="H3831" s="5">
        <f t="shared" si="364"/>
        <v>2840</v>
      </c>
      <c r="I3831" s="5">
        <v>8664</v>
      </c>
      <c r="J3831" s="5">
        <f t="shared" si="365"/>
        <v>173280</v>
      </c>
      <c r="K3831" s="5">
        <v>184</v>
      </c>
      <c r="L3831" s="5">
        <f t="shared" si="366"/>
        <v>3680</v>
      </c>
      <c r="M3831" s="5">
        <f t="shared" si="367"/>
        <v>8990</v>
      </c>
      <c r="N3831" s="5">
        <f t="shared" si="367"/>
        <v>179800</v>
      </c>
      <c r="O3831" s="8" t="s">
        <v>20</v>
      </c>
      <c r="T3831">
        <v>0</v>
      </c>
      <c r="AC3831">
        <v>1</v>
      </c>
    </row>
    <row r="3832" spans="1:29" ht="30" customHeight="1" x14ac:dyDescent="0.3">
      <c r="A3832" s="8" t="s">
        <v>3482</v>
      </c>
      <c r="B3832" s="8" t="s">
        <v>3496</v>
      </c>
      <c r="C3832" s="8" t="s">
        <v>3497</v>
      </c>
      <c r="D3832" s="8" t="s">
        <v>3498</v>
      </c>
      <c r="E3832" s="8" t="s">
        <v>1464</v>
      </c>
      <c r="F3832" s="9">
        <v>20</v>
      </c>
      <c r="G3832" s="5">
        <f>TRUNC([1]단가대비표!O1868,0)</f>
        <v>312</v>
      </c>
      <c r="H3832" s="5">
        <f t="shared" si="364"/>
        <v>6240</v>
      </c>
      <c r="I3832" s="5">
        <v>2586</v>
      </c>
      <c r="J3832" s="5">
        <f t="shared" si="365"/>
        <v>51720</v>
      </c>
      <c r="K3832" s="5">
        <v>209</v>
      </c>
      <c r="L3832" s="5">
        <f t="shared" si="366"/>
        <v>4180</v>
      </c>
      <c r="M3832" s="5">
        <f t="shared" si="367"/>
        <v>3107</v>
      </c>
      <c r="N3832" s="5">
        <f t="shared" si="367"/>
        <v>62140</v>
      </c>
      <c r="O3832" s="8" t="s">
        <v>20</v>
      </c>
      <c r="T3832">
        <v>0</v>
      </c>
      <c r="AC3832">
        <v>1</v>
      </c>
    </row>
    <row r="3833" spans="1:29" ht="30" customHeight="1" x14ac:dyDescent="0.3">
      <c r="A3833" s="8" t="s">
        <v>3482</v>
      </c>
      <c r="B3833" s="8" t="s">
        <v>3499</v>
      </c>
      <c r="C3833" s="8" t="s">
        <v>3500</v>
      </c>
      <c r="D3833" s="8" t="s">
        <v>3501</v>
      </c>
      <c r="E3833" s="8" t="s">
        <v>1464</v>
      </c>
      <c r="F3833" s="9">
        <v>90</v>
      </c>
      <c r="G3833" s="5">
        <f>TRUNC([1]단가대비표!O1869,0)</f>
        <v>194</v>
      </c>
      <c r="H3833" s="5">
        <f t="shared" si="364"/>
        <v>17460</v>
      </c>
      <c r="I3833" s="5">
        <v>8799</v>
      </c>
      <c r="J3833" s="5">
        <f t="shared" si="365"/>
        <v>791910</v>
      </c>
      <c r="K3833" s="5">
        <v>253</v>
      </c>
      <c r="L3833" s="5">
        <f t="shared" si="366"/>
        <v>22770</v>
      </c>
      <c r="M3833" s="5">
        <f t="shared" si="367"/>
        <v>9246</v>
      </c>
      <c r="N3833" s="5">
        <f t="shared" si="367"/>
        <v>832140</v>
      </c>
      <c r="O3833" s="8" t="s">
        <v>20</v>
      </c>
      <c r="T3833">
        <v>0</v>
      </c>
      <c r="AC3833">
        <v>1</v>
      </c>
    </row>
    <row r="3834" spans="1:29" ht="30" customHeight="1" x14ac:dyDescent="0.3">
      <c r="A3834" s="5"/>
      <c r="B3834" s="5"/>
      <c r="C3834" s="5"/>
      <c r="D3834" s="5"/>
      <c r="E3834" s="5"/>
      <c r="F3834" s="9"/>
      <c r="G3834" s="5"/>
      <c r="H3834" s="5"/>
      <c r="I3834" s="5"/>
      <c r="J3834" s="5"/>
      <c r="K3834" s="5"/>
      <c r="L3834" s="5"/>
      <c r="M3834" s="5"/>
      <c r="N3834" s="5"/>
      <c r="O3834" s="5"/>
    </row>
    <row r="3835" spans="1:29" ht="30" customHeight="1" x14ac:dyDescent="0.3">
      <c r="A3835" s="5"/>
      <c r="B3835" s="5"/>
      <c r="C3835" s="5"/>
      <c r="D3835" s="5"/>
      <c r="E3835" s="5"/>
      <c r="F3835" s="9"/>
      <c r="G3835" s="5"/>
      <c r="H3835" s="5"/>
      <c r="I3835" s="5"/>
      <c r="J3835" s="5"/>
      <c r="K3835" s="5"/>
      <c r="L3835" s="5"/>
      <c r="M3835" s="5"/>
      <c r="N3835" s="5"/>
      <c r="O3835" s="5"/>
    </row>
    <row r="3836" spans="1:29" ht="30" customHeight="1" x14ac:dyDescent="0.3">
      <c r="A3836" s="5"/>
      <c r="B3836" s="5"/>
      <c r="C3836" s="5"/>
      <c r="D3836" s="5"/>
      <c r="E3836" s="5"/>
      <c r="F3836" s="9"/>
      <c r="G3836" s="5"/>
      <c r="H3836" s="5"/>
      <c r="I3836" s="5"/>
      <c r="J3836" s="5"/>
      <c r="K3836" s="5"/>
      <c r="L3836" s="5"/>
      <c r="M3836" s="5"/>
      <c r="N3836" s="5"/>
      <c r="O3836" s="5"/>
    </row>
    <row r="3837" spans="1:29" ht="30" customHeight="1" x14ac:dyDescent="0.3">
      <c r="A3837" s="5"/>
      <c r="B3837" s="5"/>
      <c r="C3837" s="5"/>
      <c r="D3837" s="5"/>
      <c r="E3837" s="5"/>
      <c r="F3837" s="9"/>
      <c r="G3837" s="5"/>
      <c r="H3837" s="5"/>
      <c r="I3837" s="5"/>
      <c r="J3837" s="5"/>
      <c r="K3837" s="5"/>
      <c r="L3837" s="5"/>
      <c r="M3837" s="5"/>
      <c r="N3837" s="5"/>
      <c r="O3837" s="5"/>
    </row>
    <row r="3838" spans="1:29" ht="30" customHeight="1" x14ac:dyDescent="0.3">
      <c r="A3838" s="5"/>
      <c r="B3838" s="5"/>
      <c r="C3838" s="5"/>
      <c r="D3838" s="5"/>
      <c r="E3838" s="5"/>
      <c r="F3838" s="9"/>
      <c r="G3838" s="5"/>
      <c r="H3838" s="5"/>
      <c r="I3838" s="5"/>
      <c r="J3838" s="5"/>
      <c r="K3838" s="5"/>
      <c r="L3838" s="5"/>
      <c r="M3838" s="5"/>
      <c r="N3838" s="5"/>
      <c r="O3838" s="5"/>
    </row>
    <row r="3839" spans="1:29" ht="30" customHeight="1" x14ac:dyDescent="0.3">
      <c r="A3839" s="5"/>
      <c r="B3839" s="5"/>
      <c r="C3839" s="5"/>
      <c r="D3839" s="5"/>
      <c r="E3839" s="5"/>
      <c r="F3839" s="9"/>
      <c r="G3839" s="5"/>
      <c r="H3839" s="5"/>
      <c r="I3839" s="5"/>
      <c r="J3839" s="5"/>
      <c r="K3839" s="5"/>
      <c r="L3839" s="5"/>
      <c r="M3839" s="5"/>
      <c r="N3839" s="5"/>
      <c r="O3839" s="5"/>
    </row>
    <row r="3840" spans="1:29" ht="30" customHeight="1" x14ac:dyDescent="0.3">
      <c r="A3840" s="5"/>
      <c r="B3840" s="5"/>
      <c r="C3840" s="5"/>
      <c r="D3840" s="5"/>
      <c r="E3840" s="5"/>
      <c r="F3840" s="9"/>
      <c r="G3840" s="5"/>
      <c r="H3840" s="5"/>
      <c r="I3840" s="5"/>
      <c r="J3840" s="5"/>
      <c r="K3840" s="5"/>
      <c r="L3840" s="5"/>
      <c r="M3840" s="5"/>
      <c r="N3840" s="5"/>
      <c r="O3840" s="5"/>
    </row>
    <row r="3841" spans="1:29" ht="30" customHeight="1" x14ac:dyDescent="0.3">
      <c r="A3841" s="5"/>
      <c r="B3841" s="5"/>
      <c r="C3841" s="5"/>
      <c r="D3841" s="5"/>
      <c r="E3841" s="5"/>
      <c r="F3841" s="9"/>
      <c r="G3841" s="5"/>
      <c r="H3841" s="5"/>
      <c r="I3841" s="5"/>
      <c r="J3841" s="5"/>
      <c r="K3841" s="5"/>
      <c r="L3841" s="5"/>
      <c r="M3841" s="5"/>
      <c r="N3841" s="5"/>
      <c r="O3841" s="5"/>
    </row>
    <row r="3842" spans="1:29" ht="30" customHeight="1" x14ac:dyDescent="0.3">
      <c r="A3842" s="5"/>
      <c r="B3842" s="5"/>
      <c r="C3842" s="5"/>
      <c r="D3842" s="5"/>
      <c r="E3842" s="5"/>
      <c r="F3842" s="9"/>
      <c r="G3842" s="5"/>
      <c r="H3842" s="5"/>
      <c r="I3842" s="5"/>
      <c r="J3842" s="5"/>
      <c r="K3842" s="5"/>
      <c r="L3842" s="5"/>
      <c r="M3842" s="5"/>
      <c r="N3842" s="5"/>
      <c r="O3842" s="5"/>
    </row>
    <row r="3843" spans="1:29" ht="30" customHeight="1" x14ac:dyDescent="0.3">
      <c r="A3843" s="5"/>
      <c r="B3843" s="5"/>
      <c r="C3843" s="5"/>
      <c r="D3843" s="5"/>
      <c r="E3843" s="5"/>
      <c r="F3843" s="9"/>
      <c r="G3843" s="5"/>
      <c r="H3843" s="5"/>
      <c r="I3843" s="5"/>
      <c r="J3843" s="5"/>
      <c r="K3843" s="5"/>
      <c r="L3843" s="5"/>
      <c r="M3843" s="5"/>
      <c r="N3843" s="5"/>
      <c r="O3843" s="5"/>
    </row>
    <row r="3844" spans="1:29" ht="30" customHeight="1" x14ac:dyDescent="0.3">
      <c r="A3844" s="5"/>
      <c r="B3844" s="5"/>
      <c r="C3844" s="5"/>
      <c r="D3844" s="5"/>
      <c r="E3844" s="5"/>
      <c r="F3844" s="9"/>
      <c r="G3844" s="5"/>
      <c r="H3844" s="5"/>
      <c r="I3844" s="5"/>
      <c r="J3844" s="5"/>
      <c r="K3844" s="5"/>
      <c r="L3844" s="5"/>
      <c r="M3844" s="5"/>
      <c r="N3844" s="5"/>
      <c r="O3844" s="5"/>
    </row>
    <row r="3845" spans="1:29" ht="30" customHeight="1" x14ac:dyDescent="0.3">
      <c r="A3845" s="5"/>
      <c r="B3845" s="5"/>
      <c r="C3845" s="5"/>
      <c r="D3845" s="5"/>
      <c r="E3845" s="5"/>
      <c r="F3845" s="9"/>
      <c r="G3845" s="5"/>
      <c r="H3845" s="5"/>
      <c r="I3845" s="5"/>
      <c r="J3845" s="5"/>
      <c r="K3845" s="5"/>
      <c r="L3845" s="5"/>
      <c r="M3845" s="5"/>
      <c r="N3845" s="5"/>
      <c r="O3845" s="5"/>
    </row>
    <row r="3846" spans="1:29" ht="30" customHeight="1" x14ac:dyDescent="0.3">
      <c r="A3846" s="5"/>
      <c r="B3846" s="5"/>
      <c r="C3846" s="5"/>
      <c r="D3846" s="5"/>
      <c r="E3846" s="5"/>
      <c r="F3846" s="9"/>
      <c r="G3846" s="5"/>
      <c r="H3846" s="5"/>
      <c r="I3846" s="5"/>
      <c r="J3846" s="5"/>
      <c r="K3846" s="5"/>
      <c r="L3846" s="5"/>
      <c r="M3846" s="5"/>
      <c r="N3846" s="5"/>
      <c r="O3846" s="5"/>
    </row>
    <row r="3847" spans="1:29" ht="30" customHeight="1" x14ac:dyDescent="0.3">
      <c r="A3847" s="5"/>
      <c r="B3847" s="5"/>
      <c r="C3847" s="5"/>
      <c r="D3847" s="5"/>
      <c r="E3847" s="5"/>
      <c r="F3847" s="9"/>
      <c r="G3847" s="5"/>
      <c r="H3847" s="5"/>
      <c r="I3847" s="5"/>
      <c r="J3847" s="5"/>
      <c r="K3847" s="5"/>
      <c r="L3847" s="5"/>
      <c r="M3847" s="5"/>
      <c r="N3847" s="5"/>
      <c r="O3847" s="5"/>
    </row>
    <row r="3848" spans="1:29" ht="30" customHeight="1" x14ac:dyDescent="0.3">
      <c r="A3848" s="5"/>
      <c r="B3848" s="5"/>
      <c r="C3848" s="5"/>
      <c r="D3848" s="5"/>
      <c r="E3848" s="5"/>
      <c r="F3848" s="9"/>
      <c r="G3848" s="5"/>
      <c r="H3848" s="5"/>
      <c r="I3848" s="5"/>
      <c r="J3848" s="5"/>
      <c r="K3848" s="5"/>
      <c r="L3848" s="5"/>
      <c r="M3848" s="5"/>
      <c r="N3848" s="5"/>
      <c r="O3848" s="5"/>
    </row>
    <row r="3849" spans="1:29" ht="30" customHeight="1" x14ac:dyDescent="0.3">
      <c r="A3849" s="5"/>
      <c r="B3849" s="5"/>
      <c r="C3849" s="5"/>
      <c r="D3849" s="5"/>
      <c r="E3849" s="5"/>
      <c r="F3849" s="9"/>
      <c r="G3849" s="5"/>
      <c r="H3849" s="5"/>
      <c r="I3849" s="5"/>
      <c r="J3849" s="5"/>
      <c r="K3849" s="5"/>
      <c r="L3849" s="5"/>
      <c r="M3849" s="5"/>
      <c r="N3849" s="5"/>
      <c r="O3849" s="5"/>
    </row>
    <row r="3850" spans="1:29" ht="30" customHeight="1" x14ac:dyDescent="0.3">
      <c r="A3850" s="5"/>
      <c r="B3850" s="5"/>
      <c r="C3850" s="5"/>
      <c r="D3850" s="5"/>
      <c r="E3850" s="5"/>
      <c r="F3850" s="9"/>
      <c r="G3850" s="5"/>
      <c r="H3850" s="5"/>
      <c r="I3850" s="5"/>
      <c r="J3850" s="5"/>
      <c r="K3850" s="5"/>
      <c r="L3850" s="5"/>
      <c r="M3850" s="5"/>
      <c r="N3850" s="5"/>
      <c r="O3850" s="5"/>
    </row>
    <row r="3851" spans="1:29" ht="30" customHeight="1" x14ac:dyDescent="0.3">
      <c r="A3851" s="5"/>
      <c r="B3851" s="5"/>
      <c r="C3851" s="5" t="s">
        <v>162</v>
      </c>
      <c r="D3851" s="5"/>
      <c r="E3851" s="5"/>
      <c r="F3851" s="9"/>
      <c r="G3851" s="5"/>
      <c r="H3851" s="5">
        <f>SUMIF(AC3827:AC3850, 1, H3827:H3850)</f>
        <v>106600</v>
      </c>
      <c r="I3851" s="5"/>
      <c r="J3851" s="5">
        <f>SUMIF(AC3827:AC3850, 1, J3827:J3850)</f>
        <v>3249275</v>
      </c>
      <c r="K3851" s="5"/>
      <c r="L3851" s="5">
        <f>SUMIF(AC3827:AC3850, 1, L3827:L3850)</f>
        <v>49040</v>
      </c>
      <c r="M3851" s="5"/>
      <c r="N3851" s="5">
        <f>H3851+J3851+L3851</f>
        <v>3404915</v>
      </c>
      <c r="O3851" s="5"/>
    </row>
    <row r="3852" spans="1:29" ht="30" customHeight="1" x14ac:dyDescent="0.3">
      <c r="A3852" s="5"/>
      <c r="B3852" s="5"/>
      <c r="C3852" s="6" t="s">
        <v>3502</v>
      </c>
      <c r="D3852" s="6"/>
      <c r="E3852" s="6"/>
      <c r="F3852" s="7"/>
      <c r="G3852" s="6"/>
      <c r="H3852" s="6"/>
      <c r="I3852" s="6"/>
      <c r="J3852" s="6"/>
      <c r="K3852" s="6"/>
      <c r="L3852" s="6"/>
      <c r="M3852" s="6"/>
      <c r="N3852" s="6"/>
      <c r="O3852" s="6"/>
    </row>
    <row r="3853" spans="1:29" ht="30" customHeight="1" x14ac:dyDescent="0.3">
      <c r="A3853" s="8" t="s">
        <v>3503</v>
      </c>
      <c r="B3853" s="8" t="s">
        <v>3504</v>
      </c>
      <c r="C3853" s="8" t="s">
        <v>3484</v>
      </c>
      <c r="D3853" s="8" t="s">
        <v>3489</v>
      </c>
      <c r="E3853" s="8" t="s">
        <v>185</v>
      </c>
      <c r="F3853" s="9">
        <v>6</v>
      </c>
      <c r="G3853" s="5">
        <f>TRUNC([1]단가대비표!O1870,0)</f>
        <v>1124</v>
      </c>
      <c r="H3853" s="5">
        <f t="shared" ref="H3853:H3859" si="368">TRUNC(F3853*G3853,0)</f>
        <v>6744</v>
      </c>
      <c r="I3853" s="5">
        <v>37472</v>
      </c>
      <c r="J3853" s="5">
        <f t="shared" ref="J3853:J3859" si="369">TRUNC(F3853*I3853,0)</f>
        <v>224832</v>
      </c>
      <c r="K3853" s="5">
        <v>0</v>
      </c>
      <c r="L3853" s="5">
        <f t="shared" ref="L3853:L3859" si="370">TRUNC(F3853*K3853,0)</f>
        <v>0</v>
      </c>
      <c r="M3853" s="5">
        <f t="shared" ref="M3853:N3859" si="371">G3853+I3853+K3853</f>
        <v>38596</v>
      </c>
      <c r="N3853" s="5">
        <f t="shared" si="371"/>
        <v>231576</v>
      </c>
      <c r="O3853" s="8" t="s">
        <v>20</v>
      </c>
      <c r="T3853">
        <v>0</v>
      </c>
      <c r="AC3853">
        <v>1</v>
      </c>
    </row>
    <row r="3854" spans="1:29" ht="30" customHeight="1" x14ac:dyDescent="0.3">
      <c r="A3854" s="8" t="s">
        <v>3503</v>
      </c>
      <c r="B3854" s="8" t="s">
        <v>3505</v>
      </c>
      <c r="C3854" s="8" t="s">
        <v>3484</v>
      </c>
      <c r="D3854" s="8" t="s">
        <v>3487</v>
      </c>
      <c r="E3854" s="8" t="s">
        <v>185</v>
      </c>
      <c r="F3854" s="9">
        <v>12</v>
      </c>
      <c r="G3854" s="5">
        <f>TRUNC([1]단가대비표!O1871,0)</f>
        <v>1124</v>
      </c>
      <c r="H3854" s="5">
        <f t="shared" si="368"/>
        <v>13488</v>
      </c>
      <c r="I3854" s="5">
        <v>37472</v>
      </c>
      <c r="J3854" s="5">
        <f t="shared" si="369"/>
        <v>449664</v>
      </c>
      <c r="K3854" s="5">
        <v>0</v>
      </c>
      <c r="L3854" s="5">
        <f t="shared" si="370"/>
        <v>0</v>
      </c>
      <c r="M3854" s="5">
        <f t="shared" si="371"/>
        <v>38596</v>
      </c>
      <c r="N3854" s="5">
        <f t="shared" si="371"/>
        <v>463152</v>
      </c>
      <c r="O3854" s="8" t="s">
        <v>20</v>
      </c>
      <c r="T3854">
        <v>0</v>
      </c>
      <c r="AC3854">
        <v>1</v>
      </c>
    </row>
    <row r="3855" spans="1:29" ht="30" customHeight="1" x14ac:dyDescent="0.3">
      <c r="A3855" s="8" t="s">
        <v>3503</v>
      </c>
      <c r="B3855" s="8" t="s">
        <v>3506</v>
      </c>
      <c r="C3855" s="8" t="s">
        <v>3484</v>
      </c>
      <c r="D3855" s="8" t="s">
        <v>3485</v>
      </c>
      <c r="E3855" s="8" t="s">
        <v>185</v>
      </c>
      <c r="F3855" s="9">
        <v>10</v>
      </c>
      <c r="G3855" s="5">
        <f>TRUNC([1]단가대비표!O1872,0)</f>
        <v>918</v>
      </c>
      <c r="H3855" s="5">
        <f t="shared" si="368"/>
        <v>9180</v>
      </c>
      <c r="I3855" s="5">
        <v>30619</v>
      </c>
      <c r="J3855" s="5">
        <f t="shared" si="369"/>
        <v>306190</v>
      </c>
      <c r="K3855" s="5">
        <v>0</v>
      </c>
      <c r="L3855" s="5">
        <f t="shared" si="370"/>
        <v>0</v>
      </c>
      <c r="M3855" s="5">
        <f t="shared" si="371"/>
        <v>31537</v>
      </c>
      <c r="N3855" s="5">
        <f t="shared" si="371"/>
        <v>315370</v>
      </c>
      <c r="O3855" s="8" t="s">
        <v>20</v>
      </c>
      <c r="T3855">
        <v>0</v>
      </c>
      <c r="AC3855">
        <v>1</v>
      </c>
    </row>
    <row r="3856" spans="1:29" ht="30" customHeight="1" x14ac:dyDescent="0.3">
      <c r="A3856" s="8" t="s">
        <v>3503</v>
      </c>
      <c r="B3856" s="8" t="s">
        <v>3507</v>
      </c>
      <c r="C3856" s="8" t="s">
        <v>3491</v>
      </c>
      <c r="D3856" s="8" t="s">
        <v>3492</v>
      </c>
      <c r="E3856" s="8" t="s">
        <v>1464</v>
      </c>
      <c r="F3856" s="9">
        <v>20</v>
      </c>
      <c r="G3856" s="5">
        <f>TRUNC([1]단가대비표!O1873,0)</f>
        <v>203</v>
      </c>
      <c r="H3856" s="5">
        <f t="shared" si="368"/>
        <v>4060</v>
      </c>
      <c r="I3856" s="5">
        <v>522</v>
      </c>
      <c r="J3856" s="5">
        <f t="shared" si="369"/>
        <v>10440</v>
      </c>
      <c r="K3856" s="5">
        <v>263</v>
      </c>
      <c r="L3856" s="5">
        <f t="shared" si="370"/>
        <v>5260</v>
      </c>
      <c r="M3856" s="5">
        <f t="shared" si="371"/>
        <v>988</v>
      </c>
      <c r="N3856" s="5">
        <f t="shared" si="371"/>
        <v>19760</v>
      </c>
      <c r="O3856" s="8" t="s">
        <v>20</v>
      </c>
      <c r="T3856">
        <v>0</v>
      </c>
      <c r="AC3856">
        <v>1</v>
      </c>
    </row>
    <row r="3857" spans="1:29" ht="30" customHeight="1" x14ac:dyDescent="0.3">
      <c r="A3857" s="8" t="s">
        <v>3503</v>
      </c>
      <c r="B3857" s="8" t="s">
        <v>3508</v>
      </c>
      <c r="C3857" s="8" t="s">
        <v>3494</v>
      </c>
      <c r="D3857" s="8" t="s">
        <v>3495</v>
      </c>
      <c r="E3857" s="8" t="s">
        <v>1464</v>
      </c>
      <c r="F3857" s="9">
        <v>20</v>
      </c>
      <c r="G3857" s="5">
        <f>TRUNC([1]단가대비표!O1874,0)</f>
        <v>142</v>
      </c>
      <c r="H3857" s="5">
        <f t="shared" si="368"/>
        <v>2840</v>
      </c>
      <c r="I3857" s="5">
        <v>8664</v>
      </c>
      <c r="J3857" s="5">
        <f t="shared" si="369"/>
        <v>173280</v>
      </c>
      <c r="K3857" s="5">
        <v>184</v>
      </c>
      <c r="L3857" s="5">
        <f t="shared" si="370"/>
        <v>3680</v>
      </c>
      <c r="M3857" s="5">
        <f t="shared" si="371"/>
        <v>8990</v>
      </c>
      <c r="N3857" s="5">
        <f t="shared" si="371"/>
        <v>179800</v>
      </c>
      <c r="O3857" s="8" t="s">
        <v>20</v>
      </c>
      <c r="T3857">
        <v>0</v>
      </c>
      <c r="AC3857">
        <v>1</v>
      </c>
    </row>
    <row r="3858" spans="1:29" ht="30" customHeight="1" x14ac:dyDescent="0.3">
      <c r="A3858" s="8" t="s">
        <v>3503</v>
      </c>
      <c r="B3858" s="8" t="s">
        <v>3509</v>
      </c>
      <c r="C3858" s="8" t="s">
        <v>3497</v>
      </c>
      <c r="D3858" s="8" t="s">
        <v>3498</v>
      </c>
      <c r="E3858" s="8" t="s">
        <v>1464</v>
      </c>
      <c r="F3858" s="9">
        <v>20</v>
      </c>
      <c r="G3858" s="5">
        <f>TRUNC([1]단가대비표!O1875,0)</f>
        <v>312</v>
      </c>
      <c r="H3858" s="5">
        <f t="shared" si="368"/>
        <v>6240</v>
      </c>
      <c r="I3858" s="5">
        <v>2586</v>
      </c>
      <c r="J3858" s="5">
        <f t="shared" si="369"/>
        <v>51720</v>
      </c>
      <c r="K3858" s="5">
        <v>209</v>
      </c>
      <c r="L3858" s="5">
        <f t="shared" si="370"/>
        <v>4180</v>
      </c>
      <c r="M3858" s="5">
        <f t="shared" si="371"/>
        <v>3107</v>
      </c>
      <c r="N3858" s="5">
        <f t="shared" si="371"/>
        <v>62140</v>
      </c>
      <c r="O3858" s="8" t="s">
        <v>20</v>
      </c>
      <c r="T3858">
        <v>0</v>
      </c>
      <c r="AC3858">
        <v>1</v>
      </c>
    </row>
    <row r="3859" spans="1:29" ht="30" customHeight="1" x14ac:dyDescent="0.3">
      <c r="A3859" s="8" t="s">
        <v>3503</v>
      </c>
      <c r="B3859" s="8" t="s">
        <v>3510</v>
      </c>
      <c r="C3859" s="8" t="s">
        <v>3500</v>
      </c>
      <c r="D3859" s="8" t="s">
        <v>3501</v>
      </c>
      <c r="E3859" s="8" t="s">
        <v>1464</v>
      </c>
      <c r="F3859" s="9">
        <v>90</v>
      </c>
      <c r="G3859" s="5">
        <f>TRUNC([1]단가대비표!O1876,0)</f>
        <v>194</v>
      </c>
      <c r="H3859" s="5">
        <f t="shared" si="368"/>
        <v>17460</v>
      </c>
      <c r="I3859" s="5">
        <v>8799</v>
      </c>
      <c r="J3859" s="5">
        <f t="shared" si="369"/>
        <v>791910</v>
      </c>
      <c r="K3859" s="5">
        <v>253</v>
      </c>
      <c r="L3859" s="5">
        <f t="shared" si="370"/>
        <v>22770</v>
      </c>
      <c r="M3859" s="5">
        <f t="shared" si="371"/>
        <v>9246</v>
      </c>
      <c r="N3859" s="5">
        <f t="shared" si="371"/>
        <v>832140</v>
      </c>
      <c r="O3859" s="8" t="s">
        <v>20</v>
      </c>
      <c r="T3859">
        <v>0</v>
      </c>
      <c r="AC3859">
        <v>1</v>
      </c>
    </row>
    <row r="3860" spans="1:29" ht="30" customHeight="1" x14ac:dyDescent="0.3">
      <c r="A3860" s="5"/>
      <c r="B3860" s="5"/>
      <c r="C3860" s="5"/>
      <c r="D3860" s="5"/>
      <c r="E3860" s="5"/>
      <c r="F3860" s="9"/>
      <c r="G3860" s="5"/>
      <c r="H3860" s="5"/>
      <c r="I3860" s="5"/>
      <c r="J3860" s="5"/>
      <c r="K3860" s="5"/>
      <c r="L3860" s="5"/>
      <c r="M3860" s="5"/>
      <c r="N3860" s="5"/>
      <c r="O3860" s="5"/>
    </row>
    <row r="3861" spans="1:29" ht="30" customHeight="1" x14ac:dyDescent="0.3">
      <c r="A3861" s="5"/>
      <c r="B3861" s="5"/>
      <c r="C3861" s="5"/>
      <c r="D3861" s="5"/>
      <c r="E3861" s="5"/>
      <c r="F3861" s="9"/>
      <c r="G3861" s="5"/>
      <c r="H3861" s="5"/>
      <c r="I3861" s="5"/>
      <c r="J3861" s="5"/>
      <c r="K3861" s="5"/>
      <c r="L3861" s="5"/>
      <c r="M3861" s="5"/>
      <c r="N3861" s="5"/>
      <c r="O3861" s="5"/>
    </row>
    <row r="3862" spans="1:29" ht="30" customHeight="1" x14ac:dyDescent="0.3">
      <c r="A3862" s="5"/>
      <c r="B3862" s="5"/>
      <c r="C3862" s="5"/>
      <c r="D3862" s="5"/>
      <c r="E3862" s="5"/>
      <c r="F3862" s="9"/>
      <c r="G3862" s="5"/>
      <c r="H3862" s="5"/>
      <c r="I3862" s="5"/>
      <c r="J3862" s="5"/>
      <c r="K3862" s="5"/>
      <c r="L3862" s="5"/>
      <c r="M3862" s="5"/>
      <c r="N3862" s="5"/>
      <c r="O3862" s="5"/>
    </row>
    <row r="3863" spans="1:29" ht="30" customHeight="1" x14ac:dyDescent="0.3">
      <c r="A3863" s="5"/>
      <c r="B3863" s="5"/>
      <c r="C3863" s="5"/>
      <c r="D3863" s="5"/>
      <c r="E3863" s="5"/>
      <c r="F3863" s="9"/>
      <c r="G3863" s="5"/>
      <c r="H3863" s="5"/>
      <c r="I3863" s="5"/>
      <c r="J3863" s="5"/>
      <c r="K3863" s="5"/>
      <c r="L3863" s="5"/>
      <c r="M3863" s="5"/>
      <c r="N3863" s="5"/>
      <c r="O3863" s="5"/>
    </row>
    <row r="3864" spans="1:29" ht="30" customHeight="1" x14ac:dyDescent="0.3">
      <c r="A3864" s="5"/>
      <c r="B3864" s="5"/>
      <c r="C3864" s="5"/>
      <c r="D3864" s="5"/>
      <c r="E3864" s="5"/>
      <c r="F3864" s="9"/>
      <c r="G3864" s="5"/>
      <c r="H3864" s="5"/>
      <c r="I3864" s="5"/>
      <c r="J3864" s="5"/>
      <c r="K3864" s="5"/>
      <c r="L3864" s="5"/>
      <c r="M3864" s="5"/>
      <c r="N3864" s="5"/>
      <c r="O3864" s="5"/>
    </row>
    <row r="3865" spans="1:29" ht="30" customHeight="1" x14ac:dyDescent="0.3">
      <c r="A3865" s="5"/>
      <c r="B3865" s="5"/>
      <c r="C3865" s="5"/>
      <c r="D3865" s="5"/>
      <c r="E3865" s="5"/>
      <c r="F3865" s="9"/>
      <c r="G3865" s="5"/>
      <c r="H3865" s="5"/>
      <c r="I3865" s="5"/>
      <c r="J3865" s="5"/>
      <c r="K3865" s="5"/>
      <c r="L3865" s="5"/>
      <c r="M3865" s="5"/>
      <c r="N3865" s="5"/>
      <c r="O3865" s="5"/>
    </row>
    <row r="3866" spans="1:29" ht="30" customHeight="1" x14ac:dyDescent="0.3">
      <c r="A3866" s="5"/>
      <c r="B3866" s="5"/>
      <c r="C3866" s="5"/>
      <c r="D3866" s="5"/>
      <c r="E3866" s="5"/>
      <c r="F3866" s="9"/>
      <c r="G3866" s="5"/>
      <c r="H3866" s="5"/>
      <c r="I3866" s="5"/>
      <c r="J3866" s="5"/>
      <c r="K3866" s="5"/>
      <c r="L3866" s="5"/>
      <c r="M3866" s="5"/>
      <c r="N3866" s="5"/>
      <c r="O3866" s="5"/>
    </row>
    <row r="3867" spans="1:29" ht="30" customHeight="1" x14ac:dyDescent="0.3">
      <c r="A3867" s="5"/>
      <c r="B3867" s="5"/>
      <c r="C3867" s="5"/>
      <c r="D3867" s="5"/>
      <c r="E3867" s="5"/>
      <c r="F3867" s="9"/>
      <c r="G3867" s="5"/>
      <c r="H3867" s="5"/>
      <c r="I3867" s="5"/>
      <c r="J3867" s="5"/>
      <c r="K3867" s="5"/>
      <c r="L3867" s="5"/>
      <c r="M3867" s="5"/>
      <c r="N3867" s="5"/>
      <c r="O3867" s="5"/>
    </row>
    <row r="3868" spans="1:29" ht="30" customHeight="1" x14ac:dyDescent="0.3">
      <c r="A3868" s="5"/>
      <c r="B3868" s="5"/>
      <c r="C3868" s="5"/>
      <c r="D3868" s="5"/>
      <c r="E3868" s="5"/>
      <c r="F3868" s="9"/>
      <c r="G3868" s="5"/>
      <c r="H3868" s="5"/>
      <c r="I3868" s="5"/>
      <c r="J3868" s="5"/>
      <c r="K3868" s="5"/>
      <c r="L3868" s="5"/>
      <c r="M3868" s="5"/>
      <c r="N3868" s="5"/>
      <c r="O3868" s="5"/>
    </row>
    <row r="3869" spans="1:29" ht="30" customHeight="1" x14ac:dyDescent="0.3">
      <c r="A3869" s="5"/>
      <c r="B3869" s="5"/>
      <c r="C3869" s="5"/>
      <c r="D3869" s="5"/>
      <c r="E3869" s="5"/>
      <c r="F3869" s="9"/>
      <c r="G3869" s="5"/>
      <c r="H3869" s="5"/>
      <c r="I3869" s="5"/>
      <c r="J3869" s="5"/>
      <c r="K3869" s="5"/>
      <c r="L3869" s="5"/>
      <c r="M3869" s="5"/>
      <c r="N3869" s="5"/>
      <c r="O3869" s="5"/>
    </row>
    <row r="3870" spans="1:29" ht="30" customHeight="1" x14ac:dyDescent="0.3">
      <c r="A3870" s="5"/>
      <c r="B3870" s="5"/>
      <c r="C3870" s="5"/>
      <c r="D3870" s="5"/>
      <c r="E3870" s="5"/>
      <c r="F3870" s="9"/>
      <c r="G3870" s="5"/>
      <c r="H3870" s="5"/>
      <c r="I3870" s="5"/>
      <c r="J3870" s="5"/>
      <c r="K3870" s="5"/>
      <c r="L3870" s="5"/>
      <c r="M3870" s="5"/>
      <c r="N3870" s="5"/>
      <c r="O3870" s="5"/>
    </row>
    <row r="3871" spans="1:29" ht="30" customHeight="1" x14ac:dyDescent="0.3">
      <c r="A3871" s="5"/>
      <c r="B3871" s="5"/>
      <c r="C3871" s="5"/>
      <c r="D3871" s="5"/>
      <c r="E3871" s="5"/>
      <c r="F3871" s="9"/>
      <c r="G3871" s="5"/>
      <c r="H3871" s="5"/>
      <c r="I3871" s="5"/>
      <c r="J3871" s="5"/>
      <c r="K3871" s="5"/>
      <c r="L3871" s="5"/>
      <c r="M3871" s="5"/>
      <c r="N3871" s="5"/>
      <c r="O3871" s="5"/>
    </row>
    <row r="3872" spans="1:29" ht="30" customHeight="1" x14ac:dyDescent="0.3">
      <c r="A3872" s="5"/>
      <c r="B3872" s="5"/>
      <c r="C3872" s="5"/>
      <c r="D3872" s="5"/>
      <c r="E3872" s="5"/>
      <c r="F3872" s="9"/>
      <c r="G3872" s="5"/>
      <c r="H3872" s="5"/>
      <c r="I3872" s="5"/>
      <c r="J3872" s="5"/>
      <c r="K3872" s="5"/>
      <c r="L3872" s="5"/>
      <c r="M3872" s="5"/>
      <c r="N3872" s="5"/>
      <c r="O3872" s="5"/>
    </row>
    <row r="3873" spans="1:29" ht="30" customHeight="1" x14ac:dyDescent="0.3">
      <c r="A3873" s="5"/>
      <c r="B3873" s="5"/>
      <c r="C3873" s="5"/>
      <c r="D3873" s="5"/>
      <c r="E3873" s="5"/>
      <c r="F3873" s="9"/>
      <c r="G3873" s="5"/>
      <c r="H3873" s="5"/>
      <c r="I3873" s="5"/>
      <c r="J3873" s="5"/>
      <c r="K3873" s="5"/>
      <c r="L3873" s="5"/>
      <c r="M3873" s="5"/>
      <c r="N3873" s="5"/>
      <c r="O3873" s="5"/>
    </row>
    <row r="3874" spans="1:29" ht="30" customHeight="1" x14ac:dyDescent="0.3">
      <c r="A3874" s="5"/>
      <c r="B3874" s="5"/>
      <c r="C3874" s="5"/>
      <c r="D3874" s="5"/>
      <c r="E3874" s="5"/>
      <c r="F3874" s="9"/>
      <c r="G3874" s="5"/>
      <c r="H3874" s="5"/>
      <c r="I3874" s="5"/>
      <c r="J3874" s="5"/>
      <c r="K3874" s="5"/>
      <c r="L3874" s="5"/>
      <c r="M3874" s="5"/>
      <c r="N3874" s="5"/>
      <c r="O3874" s="5"/>
    </row>
    <row r="3875" spans="1:29" ht="30" customHeight="1" x14ac:dyDescent="0.3">
      <c r="A3875" s="5"/>
      <c r="B3875" s="5"/>
      <c r="C3875" s="5"/>
      <c r="D3875" s="5"/>
      <c r="E3875" s="5"/>
      <c r="F3875" s="9"/>
      <c r="G3875" s="5"/>
      <c r="H3875" s="5"/>
      <c r="I3875" s="5"/>
      <c r="J3875" s="5"/>
      <c r="K3875" s="5"/>
      <c r="L3875" s="5"/>
      <c r="M3875" s="5"/>
      <c r="N3875" s="5"/>
      <c r="O3875" s="5"/>
    </row>
    <row r="3876" spans="1:29" ht="30" customHeight="1" x14ac:dyDescent="0.3">
      <c r="A3876" s="5"/>
      <c r="B3876" s="5"/>
      <c r="C3876" s="5"/>
      <c r="D3876" s="5"/>
      <c r="E3876" s="5"/>
      <c r="F3876" s="9"/>
      <c r="G3876" s="5"/>
      <c r="H3876" s="5"/>
      <c r="I3876" s="5"/>
      <c r="J3876" s="5"/>
      <c r="K3876" s="5"/>
      <c r="L3876" s="5"/>
      <c r="M3876" s="5"/>
      <c r="N3876" s="5"/>
      <c r="O3876" s="5"/>
    </row>
    <row r="3877" spans="1:29" ht="30" customHeight="1" x14ac:dyDescent="0.3">
      <c r="A3877" s="5"/>
      <c r="B3877" s="5"/>
      <c r="C3877" s="5" t="s">
        <v>162</v>
      </c>
      <c r="D3877" s="5"/>
      <c r="E3877" s="5"/>
      <c r="F3877" s="9"/>
      <c r="G3877" s="5"/>
      <c r="H3877" s="5">
        <f>SUMIF(AC3853:AC3876, 1, H3853:H3876)</f>
        <v>60012</v>
      </c>
      <c r="I3877" s="5"/>
      <c r="J3877" s="5">
        <f>SUMIF(AC3853:AC3876, 1, J3853:J3876)</f>
        <v>2008036</v>
      </c>
      <c r="K3877" s="5"/>
      <c r="L3877" s="5">
        <f>SUMIF(AC3853:AC3876, 1, L3853:L3876)</f>
        <v>35890</v>
      </c>
      <c r="M3877" s="5"/>
      <c r="N3877" s="5">
        <f>H3877+J3877+L3877</f>
        <v>2103938</v>
      </c>
      <c r="O3877" s="5"/>
    </row>
    <row r="3878" spans="1:29" ht="30" customHeight="1" x14ac:dyDescent="0.3">
      <c r="A3878" s="5"/>
      <c r="B3878" s="5"/>
      <c r="C3878" s="6" t="s">
        <v>3511</v>
      </c>
      <c r="D3878" s="6"/>
      <c r="E3878" s="6"/>
      <c r="F3878" s="7"/>
      <c r="G3878" s="6"/>
      <c r="H3878" s="6"/>
      <c r="I3878" s="6"/>
      <c r="J3878" s="6"/>
      <c r="K3878" s="6"/>
      <c r="L3878" s="6"/>
      <c r="M3878" s="6"/>
      <c r="N3878" s="6"/>
      <c r="O3878" s="6"/>
    </row>
    <row r="3879" spans="1:29" ht="30" customHeight="1" x14ac:dyDescent="0.3">
      <c r="A3879" s="8" t="s">
        <v>3512</v>
      </c>
      <c r="B3879" s="8" t="s">
        <v>3513</v>
      </c>
      <c r="C3879" s="8" t="s">
        <v>2919</v>
      </c>
      <c r="D3879" s="8" t="s">
        <v>3514</v>
      </c>
      <c r="E3879" s="8" t="s">
        <v>161</v>
      </c>
      <c r="F3879" s="9">
        <v>1</v>
      </c>
      <c r="G3879" s="5">
        <v>0</v>
      </c>
      <c r="H3879" s="5">
        <f t="shared" ref="H3879:H3885" si="372">TRUNC(F3879*G3879,0)</f>
        <v>0</v>
      </c>
      <c r="I3879" s="5">
        <v>0</v>
      </c>
      <c r="J3879" s="5">
        <f t="shared" ref="J3879:J3885" si="373">TRUNC(F3879*I3879,0)</f>
        <v>0</v>
      </c>
      <c r="K3879" s="5">
        <f>TRUNC([1]단가대비표!O1877,0)</f>
        <v>3777981</v>
      </c>
      <c r="L3879" s="5">
        <f t="shared" ref="L3879:L3885" si="374">TRUNC(F3879*K3879,0)</f>
        <v>3777981</v>
      </c>
      <c r="M3879" s="5">
        <f t="shared" ref="M3879:N3885" si="375">G3879+I3879+K3879</f>
        <v>3777981</v>
      </c>
      <c r="N3879" s="5">
        <f t="shared" si="375"/>
        <v>3777981</v>
      </c>
      <c r="O3879" s="8" t="s">
        <v>20</v>
      </c>
      <c r="T3879">
        <v>0</v>
      </c>
      <c r="AC3879">
        <v>1</v>
      </c>
    </row>
    <row r="3880" spans="1:29" ht="30" customHeight="1" x14ac:dyDescent="0.3">
      <c r="A3880" s="8" t="s">
        <v>3512</v>
      </c>
      <c r="B3880" s="8" t="s">
        <v>3515</v>
      </c>
      <c r="C3880" s="8" t="s">
        <v>2922</v>
      </c>
      <c r="D3880" s="8" t="s">
        <v>3516</v>
      </c>
      <c r="E3880" s="8" t="s">
        <v>161</v>
      </c>
      <c r="F3880" s="9">
        <v>1</v>
      </c>
      <c r="G3880" s="5">
        <v>0</v>
      </c>
      <c r="H3880" s="5">
        <f t="shared" si="372"/>
        <v>0</v>
      </c>
      <c r="I3880" s="5">
        <v>0</v>
      </c>
      <c r="J3880" s="5">
        <f t="shared" si="373"/>
        <v>0</v>
      </c>
      <c r="K3880" s="5">
        <f>TRUNC([1]단가대비표!O1878,0)</f>
        <v>1031286</v>
      </c>
      <c r="L3880" s="5">
        <f t="shared" si="374"/>
        <v>1031286</v>
      </c>
      <c r="M3880" s="5">
        <f t="shared" si="375"/>
        <v>1031286</v>
      </c>
      <c r="N3880" s="5">
        <f t="shared" si="375"/>
        <v>1031286</v>
      </c>
      <c r="O3880" s="8" t="s">
        <v>20</v>
      </c>
      <c r="T3880">
        <v>0</v>
      </c>
      <c r="AC3880">
        <v>1</v>
      </c>
    </row>
    <row r="3881" spans="1:29" ht="30" customHeight="1" x14ac:dyDescent="0.3">
      <c r="A3881" s="8" t="s">
        <v>3512</v>
      </c>
      <c r="B3881" s="8" t="s">
        <v>3517</v>
      </c>
      <c r="C3881" s="8" t="s">
        <v>3518</v>
      </c>
      <c r="D3881" s="8" t="s">
        <v>3519</v>
      </c>
      <c r="E3881" s="8" t="s">
        <v>161</v>
      </c>
      <c r="F3881" s="9">
        <v>1</v>
      </c>
      <c r="G3881" s="5">
        <v>0</v>
      </c>
      <c r="H3881" s="5">
        <f t="shared" si="372"/>
        <v>0</v>
      </c>
      <c r="I3881" s="5">
        <v>0</v>
      </c>
      <c r="J3881" s="5">
        <f t="shared" si="373"/>
        <v>0</v>
      </c>
      <c r="K3881" s="5">
        <f>TRUNC([1]단가대비표!O1879,0)</f>
        <v>3568660</v>
      </c>
      <c r="L3881" s="5">
        <f t="shared" si="374"/>
        <v>3568660</v>
      </c>
      <c r="M3881" s="5">
        <f t="shared" si="375"/>
        <v>3568660</v>
      </c>
      <c r="N3881" s="5">
        <f t="shared" si="375"/>
        <v>3568660</v>
      </c>
      <c r="O3881" s="8" t="s">
        <v>20</v>
      </c>
      <c r="T3881">
        <v>0</v>
      </c>
      <c r="AC3881">
        <v>1</v>
      </c>
    </row>
    <row r="3882" spans="1:29" ht="30" customHeight="1" x14ac:dyDescent="0.3">
      <c r="A3882" s="8" t="s">
        <v>3512</v>
      </c>
      <c r="B3882" s="8" t="s">
        <v>3520</v>
      </c>
      <c r="C3882" s="8" t="s">
        <v>2925</v>
      </c>
      <c r="D3882" s="8" t="s">
        <v>3521</v>
      </c>
      <c r="E3882" s="8" t="s">
        <v>161</v>
      </c>
      <c r="F3882" s="9">
        <v>1</v>
      </c>
      <c r="G3882" s="5">
        <v>0</v>
      </c>
      <c r="H3882" s="5">
        <f t="shared" si="372"/>
        <v>0</v>
      </c>
      <c r="I3882" s="5">
        <v>0</v>
      </c>
      <c r="J3882" s="5">
        <f t="shared" si="373"/>
        <v>0</v>
      </c>
      <c r="K3882" s="5">
        <f>TRUNC([1]단가대비표!O1880,0)</f>
        <v>4594841</v>
      </c>
      <c r="L3882" s="5">
        <f t="shared" si="374"/>
        <v>4594841</v>
      </c>
      <c r="M3882" s="5">
        <f t="shared" si="375"/>
        <v>4594841</v>
      </c>
      <c r="N3882" s="5">
        <f t="shared" si="375"/>
        <v>4594841</v>
      </c>
      <c r="O3882" s="8" t="s">
        <v>20</v>
      </c>
      <c r="T3882">
        <v>0</v>
      </c>
      <c r="AC3882">
        <v>1</v>
      </c>
    </row>
    <row r="3883" spans="1:29" ht="30" customHeight="1" x14ac:dyDescent="0.3">
      <c r="A3883" s="8" t="s">
        <v>3512</v>
      </c>
      <c r="B3883" s="8" t="s">
        <v>3522</v>
      </c>
      <c r="C3883" s="8" t="s">
        <v>2931</v>
      </c>
      <c r="D3883" s="8" t="s">
        <v>3523</v>
      </c>
      <c r="E3883" s="8" t="s">
        <v>161</v>
      </c>
      <c r="F3883" s="9">
        <v>1</v>
      </c>
      <c r="G3883" s="5">
        <v>0</v>
      </c>
      <c r="H3883" s="5">
        <f t="shared" si="372"/>
        <v>0</v>
      </c>
      <c r="I3883" s="5">
        <v>0</v>
      </c>
      <c r="J3883" s="5">
        <f t="shared" si="373"/>
        <v>0</v>
      </c>
      <c r="K3883" s="5">
        <f>TRUNC([1]단가대비표!O1881,0)</f>
        <v>437874</v>
      </c>
      <c r="L3883" s="5">
        <f t="shared" si="374"/>
        <v>437874</v>
      </c>
      <c r="M3883" s="5">
        <f t="shared" si="375"/>
        <v>437874</v>
      </c>
      <c r="N3883" s="5">
        <f t="shared" si="375"/>
        <v>437874</v>
      </c>
      <c r="O3883" s="8" t="s">
        <v>20</v>
      </c>
      <c r="T3883">
        <v>0</v>
      </c>
      <c r="AC3883">
        <v>1</v>
      </c>
    </row>
    <row r="3884" spans="1:29" ht="30" customHeight="1" x14ac:dyDescent="0.3">
      <c r="A3884" s="8" t="s">
        <v>3512</v>
      </c>
      <c r="B3884" s="8" t="s">
        <v>3524</v>
      </c>
      <c r="C3884" s="8" t="s">
        <v>2937</v>
      </c>
      <c r="D3884" s="8" t="s">
        <v>20</v>
      </c>
      <c r="E3884" s="8" t="s">
        <v>161</v>
      </c>
      <c r="F3884" s="9">
        <v>1</v>
      </c>
      <c r="G3884" s="5">
        <f>TRUNC([1]단가대비표!O1882,0)</f>
        <v>135878180</v>
      </c>
      <c r="H3884" s="5">
        <f t="shared" si="372"/>
        <v>135878180</v>
      </c>
      <c r="I3884" s="5">
        <v>0</v>
      </c>
      <c r="J3884" s="5">
        <f t="shared" si="373"/>
        <v>0</v>
      </c>
      <c r="K3884" s="5">
        <v>0</v>
      </c>
      <c r="L3884" s="5">
        <f t="shared" si="374"/>
        <v>0</v>
      </c>
      <c r="M3884" s="5">
        <f t="shared" si="375"/>
        <v>135878180</v>
      </c>
      <c r="N3884" s="5">
        <f t="shared" si="375"/>
        <v>135878180</v>
      </c>
      <c r="O3884" s="8" t="s">
        <v>20</v>
      </c>
      <c r="T3884">
        <v>0</v>
      </c>
      <c r="AC3884">
        <v>1</v>
      </c>
    </row>
    <row r="3885" spans="1:29" ht="30" customHeight="1" x14ac:dyDescent="0.3">
      <c r="A3885" s="8" t="s">
        <v>3512</v>
      </c>
      <c r="B3885" s="8" t="s">
        <v>3525</v>
      </c>
      <c r="C3885" s="8" t="s">
        <v>2467</v>
      </c>
      <c r="D3885" s="8" t="s">
        <v>3526</v>
      </c>
      <c r="E3885" s="8" t="s">
        <v>161</v>
      </c>
      <c r="F3885" s="9">
        <v>1</v>
      </c>
      <c r="G3885" s="5">
        <f>TRUNC([1]단가대비표!O1883,0)</f>
        <v>10552682</v>
      </c>
      <c r="H3885" s="5">
        <f t="shared" si="372"/>
        <v>10552682</v>
      </c>
      <c r="I3885" s="5">
        <v>0</v>
      </c>
      <c r="J3885" s="5">
        <f t="shared" si="373"/>
        <v>0</v>
      </c>
      <c r="K3885" s="5">
        <v>0</v>
      </c>
      <c r="L3885" s="5">
        <f t="shared" si="374"/>
        <v>0</v>
      </c>
      <c r="M3885" s="5">
        <f t="shared" si="375"/>
        <v>10552682</v>
      </c>
      <c r="N3885" s="5">
        <f t="shared" si="375"/>
        <v>10552682</v>
      </c>
      <c r="O3885" s="8" t="s">
        <v>20</v>
      </c>
      <c r="T3885">
        <v>0</v>
      </c>
      <c r="AC3885">
        <v>1</v>
      </c>
    </row>
    <row r="3886" spans="1:29" ht="30" customHeight="1" x14ac:dyDescent="0.3">
      <c r="A3886" s="5"/>
      <c r="B3886" s="5"/>
      <c r="C3886" s="5"/>
      <c r="D3886" s="5"/>
      <c r="E3886" s="5"/>
      <c r="F3886" s="9"/>
      <c r="G3886" s="5"/>
      <c r="H3886" s="5"/>
      <c r="I3886" s="5"/>
      <c r="J3886" s="5"/>
      <c r="K3886" s="5"/>
      <c r="L3886" s="5"/>
      <c r="M3886" s="5"/>
      <c r="N3886" s="5"/>
      <c r="O3886" s="5"/>
    </row>
    <row r="3887" spans="1:29" ht="30" customHeight="1" x14ac:dyDescent="0.3">
      <c r="A3887" s="5"/>
      <c r="B3887" s="5"/>
      <c r="C3887" s="5"/>
      <c r="D3887" s="5"/>
      <c r="E3887" s="5"/>
      <c r="F3887" s="9"/>
      <c r="G3887" s="5"/>
      <c r="H3887" s="5"/>
      <c r="I3887" s="5"/>
      <c r="J3887" s="5"/>
      <c r="K3887" s="5"/>
      <c r="L3887" s="5"/>
      <c r="M3887" s="5"/>
      <c r="N3887" s="5"/>
      <c r="O3887" s="5"/>
    </row>
    <row r="3888" spans="1:29" ht="30" customHeight="1" x14ac:dyDescent="0.3">
      <c r="A3888" s="5"/>
      <c r="B3888" s="5"/>
      <c r="C3888" s="5"/>
      <c r="D3888" s="5"/>
      <c r="E3888" s="5"/>
      <c r="F3888" s="9"/>
      <c r="G3888" s="5"/>
      <c r="H3888" s="5"/>
      <c r="I3888" s="5"/>
      <c r="J3888" s="5"/>
      <c r="K3888" s="5"/>
      <c r="L3888" s="5"/>
      <c r="M3888" s="5"/>
      <c r="N3888" s="5"/>
      <c r="O3888" s="5"/>
    </row>
    <row r="3889" spans="1:15" ht="30" customHeight="1" x14ac:dyDescent="0.3">
      <c r="A3889" s="5"/>
      <c r="B3889" s="5"/>
      <c r="C3889" s="5"/>
      <c r="D3889" s="5"/>
      <c r="E3889" s="5"/>
      <c r="F3889" s="9"/>
      <c r="G3889" s="5"/>
      <c r="H3889" s="5"/>
      <c r="I3889" s="5"/>
      <c r="J3889" s="5"/>
      <c r="K3889" s="5"/>
      <c r="L3889" s="5"/>
      <c r="M3889" s="5"/>
      <c r="N3889" s="5"/>
      <c r="O3889" s="5"/>
    </row>
    <row r="3890" spans="1:15" ht="30" customHeight="1" x14ac:dyDescent="0.3">
      <c r="A3890" s="5"/>
      <c r="B3890" s="5"/>
      <c r="C3890" s="5"/>
      <c r="D3890" s="5"/>
      <c r="E3890" s="5"/>
      <c r="F3890" s="9"/>
      <c r="G3890" s="5"/>
      <c r="H3890" s="5"/>
      <c r="I3890" s="5"/>
      <c r="J3890" s="5"/>
      <c r="K3890" s="5"/>
      <c r="L3890" s="5"/>
      <c r="M3890" s="5"/>
      <c r="N3890" s="5"/>
      <c r="O3890" s="5"/>
    </row>
    <row r="3891" spans="1:15" ht="30" customHeight="1" x14ac:dyDescent="0.3">
      <c r="A3891" s="5"/>
      <c r="B3891" s="5"/>
      <c r="C3891" s="5"/>
      <c r="D3891" s="5"/>
      <c r="E3891" s="5"/>
      <c r="F3891" s="9"/>
      <c r="G3891" s="5"/>
      <c r="H3891" s="5"/>
      <c r="I3891" s="5"/>
      <c r="J3891" s="5"/>
      <c r="K3891" s="5"/>
      <c r="L3891" s="5"/>
      <c r="M3891" s="5"/>
      <c r="N3891" s="5"/>
      <c r="O3891" s="5"/>
    </row>
    <row r="3892" spans="1:15" ht="30" customHeight="1" x14ac:dyDescent="0.3">
      <c r="A3892" s="5"/>
      <c r="B3892" s="5"/>
      <c r="C3892" s="5"/>
      <c r="D3892" s="5"/>
      <c r="E3892" s="5"/>
      <c r="F3892" s="9"/>
      <c r="G3892" s="5"/>
      <c r="H3892" s="5"/>
      <c r="I3892" s="5"/>
      <c r="J3892" s="5"/>
      <c r="K3892" s="5"/>
      <c r="L3892" s="5"/>
      <c r="M3892" s="5"/>
      <c r="N3892" s="5"/>
      <c r="O3892" s="5"/>
    </row>
    <row r="3893" spans="1:15" ht="30" customHeight="1" x14ac:dyDescent="0.3">
      <c r="A3893" s="5"/>
      <c r="B3893" s="5"/>
      <c r="C3893" s="5"/>
      <c r="D3893" s="5"/>
      <c r="E3893" s="5"/>
      <c r="F3893" s="9"/>
      <c r="G3893" s="5"/>
      <c r="H3893" s="5"/>
      <c r="I3893" s="5"/>
      <c r="J3893" s="5"/>
      <c r="K3893" s="5"/>
      <c r="L3893" s="5"/>
      <c r="M3893" s="5"/>
      <c r="N3893" s="5"/>
      <c r="O3893" s="5"/>
    </row>
    <row r="3894" spans="1:15" ht="30" customHeight="1" x14ac:dyDescent="0.3">
      <c r="A3894" s="5"/>
      <c r="B3894" s="5"/>
      <c r="C3894" s="5"/>
      <c r="D3894" s="5"/>
      <c r="E3894" s="5"/>
      <c r="F3894" s="9"/>
      <c r="G3894" s="5"/>
      <c r="H3894" s="5"/>
      <c r="I3894" s="5"/>
      <c r="J3894" s="5"/>
      <c r="K3894" s="5"/>
      <c r="L3894" s="5"/>
      <c r="M3894" s="5"/>
      <c r="N3894" s="5"/>
      <c r="O3894" s="5"/>
    </row>
    <row r="3895" spans="1:15" ht="30" customHeight="1" x14ac:dyDescent="0.3">
      <c r="A3895" s="5"/>
      <c r="B3895" s="5"/>
      <c r="C3895" s="5"/>
      <c r="D3895" s="5"/>
      <c r="E3895" s="5"/>
      <c r="F3895" s="9"/>
      <c r="G3895" s="5"/>
      <c r="H3895" s="5"/>
      <c r="I3895" s="5"/>
      <c r="J3895" s="5"/>
      <c r="K3895" s="5"/>
      <c r="L3895" s="5"/>
      <c r="M3895" s="5"/>
      <c r="N3895" s="5"/>
      <c r="O3895" s="5"/>
    </row>
    <row r="3896" spans="1:15" ht="30" customHeight="1" x14ac:dyDescent="0.3">
      <c r="A3896" s="5"/>
      <c r="B3896" s="5"/>
      <c r="C3896" s="5"/>
      <c r="D3896" s="5"/>
      <c r="E3896" s="5"/>
      <c r="F3896" s="9"/>
      <c r="G3896" s="5"/>
      <c r="H3896" s="5"/>
      <c r="I3896" s="5"/>
      <c r="J3896" s="5"/>
      <c r="K3896" s="5"/>
      <c r="L3896" s="5"/>
      <c r="M3896" s="5"/>
      <c r="N3896" s="5"/>
      <c r="O3896" s="5"/>
    </row>
    <row r="3897" spans="1:15" ht="30" customHeight="1" x14ac:dyDescent="0.3">
      <c r="A3897" s="5"/>
      <c r="B3897" s="5"/>
      <c r="C3897" s="5"/>
      <c r="D3897" s="5"/>
      <c r="E3897" s="5"/>
      <c r="F3897" s="9"/>
      <c r="G3897" s="5"/>
      <c r="H3897" s="5"/>
      <c r="I3897" s="5"/>
      <c r="J3897" s="5"/>
      <c r="K3897" s="5"/>
      <c r="L3897" s="5"/>
      <c r="M3897" s="5"/>
      <c r="N3897" s="5"/>
      <c r="O3897" s="5"/>
    </row>
    <row r="3898" spans="1:15" ht="30" customHeight="1" x14ac:dyDescent="0.3">
      <c r="A3898" s="5"/>
      <c r="B3898" s="5"/>
      <c r="C3898" s="5"/>
      <c r="D3898" s="5"/>
      <c r="E3898" s="5"/>
      <c r="F3898" s="9"/>
      <c r="G3898" s="5"/>
      <c r="H3898" s="5"/>
      <c r="I3898" s="5"/>
      <c r="J3898" s="5"/>
      <c r="K3898" s="5"/>
      <c r="L3898" s="5"/>
      <c r="M3898" s="5"/>
      <c r="N3898" s="5"/>
      <c r="O3898" s="5"/>
    </row>
    <row r="3899" spans="1:15" ht="30" customHeight="1" x14ac:dyDescent="0.3">
      <c r="A3899" s="5"/>
      <c r="B3899" s="5"/>
      <c r="C3899" s="5"/>
      <c r="D3899" s="5"/>
      <c r="E3899" s="5"/>
      <c r="F3899" s="9"/>
      <c r="G3899" s="5"/>
      <c r="H3899" s="5"/>
      <c r="I3899" s="5"/>
      <c r="J3899" s="5"/>
      <c r="K3899" s="5"/>
      <c r="L3899" s="5"/>
      <c r="M3899" s="5"/>
      <c r="N3899" s="5"/>
      <c r="O3899" s="5"/>
    </row>
    <row r="3900" spans="1:15" ht="30" customHeight="1" x14ac:dyDescent="0.3">
      <c r="A3900" s="5"/>
      <c r="B3900" s="5"/>
      <c r="C3900" s="5"/>
      <c r="D3900" s="5"/>
      <c r="E3900" s="5"/>
      <c r="F3900" s="9"/>
      <c r="G3900" s="5"/>
      <c r="H3900" s="5"/>
      <c r="I3900" s="5"/>
      <c r="J3900" s="5"/>
      <c r="K3900" s="5"/>
      <c r="L3900" s="5"/>
      <c r="M3900" s="5"/>
      <c r="N3900" s="5"/>
      <c r="O3900" s="5"/>
    </row>
    <row r="3901" spans="1:15" ht="30" customHeight="1" x14ac:dyDescent="0.3">
      <c r="A3901" s="5"/>
      <c r="B3901" s="5"/>
      <c r="C3901" s="5"/>
      <c r="D3901" s="5"/>
      <c r="E3901" s="5"/>
      <c r="F3901" s="9"/>
      <c r="G3901" s="5"/>
      <c r="H3901" s="5"/>
      <c r="I3901" s="5"/>
      <c r="J3901" s="5"/>
      <c r="K3901" s="5"/>
      <c r="L3901" s="5"/>
      <c r="M3901" s="5"/>
      <c r="N3901" s="5"/>
      <c r="O3901" s="5"/>
    </row>
    <row r="3902" spans="1:15" ht="30" customHeight="1" x14ac:dyDescent="0.3">
      <c r="A3902" s="5"/>
      <c r="B3902" s="5"/>
      <c r="C3902" s="5"/>
      <c r="D3902" s="5"/>
      <c r="E3902" s="5"/>
      <c r="F3902" s="9"/>
      <c r="G3902" s="5"/>
      <c r="H3902" s="5"/>
      <c r="I3902" s="5"/>
      <c r="J3902" s="5"/>
      <c r="K3902" s="5"/>
      <c r="L3902" s="5"/>
      <c r="M3902" s="5"/>
      <c r="N3902" s="5"/>
      <c r="O3902" s="5"/>
    </row>
    <row r="3903" spans="1:15" ht="30" customHeight="1" x14ac:dyDescent="0.3">
      <c r="A3903" s="5"/>
      <c r="B3903" s="5"/>
      <c r="C3903" s="5" t="s">
        <v>162</v>
      </c>
      <c r="D3903" s="5"/>
      <c r="E3903" s="5"/>
      <c r="F3903" s="9"/>
      <c r="G3903" s="5"/>
      <c r="H3903" s="5">
        <f>SUMIF(AC3879:AC3902, 1, H3879:H3902)</f>
        <v>146430862</v>
      </c>
      <c r="I3903" s="5"/>
      <c r="J3903" s="5">
        <f>SUMIF(AC3879:AC3902, 1, J3879:J3902)</f>
        <v>0</v>
      </c>
      <c r="K3903" s="5"/>
      <c r="L3903" s="5">
        <f>SUMIF(AC3879:AC3902, 1, L3879:L3902)</f>
        <v>13410642</v>
      </c>
      <c r="M3903" s="5"/>
      <c r="N3903" s="5">
        <f>H3903+J3903+L3903</f>
        <v>159841504</v>
      </c>
      <c r="O3903" s="5"/>
    </row>
    <row r="3904" spans="1:15" ht="30" customHeight="1" x14ac:dyDescent="0.3">
      <c r="A3904" s="5"/>
      <c r="B3904" s="5"/>
      <c r="C3904" s="6" t="s">
        <v>3527</v>
      </c>
      <c r="D3904" s="6"/>
      <c r="E3904" s="6"/>
      <c r="F3904" s="7"/>
      <c r="G3904" s="6"/>
      <c r="H3904" s="6"/>
      <c r="I3904" s="6"/>
      <c r="J3904" s="6"/>
      <c r="K3904" s="6"/>
      <c r="L3904" s="6"/>
      <c r="M3904" s="6"/>
      <c r="N3904" s="6"/>
      <c r="O3904" s="6"/>
    </row>
    <row r="3905" spans="1:29" ht="30" customHeight="1" x14ac:dyDescent="0.3">
      <c r="A3905" s="8" t="s">
        <v>3528</v>
      </c>
      <c r="B3905" s="8" t="s">
        <v>3529</v>
      </c>
      <c r="C3905" s="8" t="s">
        <v>3530</v>
      </c>
      <c r="D3905" s="8" t="s">
        <v>20</v>
      </c>
      <c r="E3905" s="8" t="s">
        <v>19</v>
      </c>
      <c r="F3905" s="9">
        <v>3</v>
      </c>
      <c r="G3905" s="5">
        <f>TRUNC([1]단가대비표!O1292,0)</f>
        <v>40690000</v>
      </c>
      <c r="H3905" s="5">
        <f t="shared" ref="H3905:H3915" si="376">TRUNC(F3905*G3905,0)</f>
        <v>122070000</v>
      </c>
      <c r="I3905" s="5">
        <v>0</v>
      </c>
      <c r="J3905" s="5">
        <f t="shared" ref="J3905:J3915" si="377">TRUNC(F3905*I3905,0)</f>
        <v>0</v>
      </c>
      <c r="K3905" s="5">
        <v>0</v>
      </c>
      <c r="L3905" s="5">
        <f t="shared" ref="L3905:L3915" si="378">TRUNC(F3905*K3905,0)</f>
        <v>0</v>
      </c>
      <c r="M3905" s="5">
        <f t="shared" ref="M3905:N3915" si="379">G3905+I3905+K3905</f>
        <v>40690000</v>
      </c>
      <c r="N3905" s="5">
        <f t="shared" si="379"/>
        <v>122070000</v>
      </c>
      <c r="O3905" s="8" t="s">
        <v>3531</v>
      </c>
      <c r="T3905">
        <v>0</v>
      </c>
      <c r="AC3905">
        <v>1</v>
      </c>
    </row>
    <row r="3906" spans="1:29" ht="30" customHeight="1" x14ac:dyDescent="0.3">
      <c r="A3906" s="8" t="s">
        <v>3528</v>
      </c>
      <c r="B3906" s="8" t="s">
        <v>3532</v>
      </c>
      <c r="C3906" s="8" t="s">
        <v>3533</v>
      </c>
      <c r="D3906" s="8" t="s">
        <v>20</v>
      </c>
      <c r="E3906" s="8" t="s">
        <v>161</v>
      </c>
      <c r="F3906" s="9">
        <v>3</v>
      </c>
      <c r="G3906" s="5">
        <f>TRUNC([1]단가대비표!O1293,0)</f>
        <v>708840</v>
      </c>
      <c r="H3906" s="5">
        <f t="shared" si="376"/>
        <v>2126520</v>
      </c>
      <c r="I3906" s="5">
        <v>0</v>
      </c>
      <c r="J3906" s="5">
        <f t="shared" si="377"/>
        <v>0</v>
      </c>
      <c r="K3906" s="5">
        <v>0</v>
      </c>
      <c r="L3906" s="5">
        <f t="shared" si="378"/>
        <v>0</v>
      </c>
      <c r="M3906" s="5">
        <f t="shared" si="379"/>
        <v>708840</v>
      </c>
      <c r="N3906" s="5">
        <f t="shared" si="379"/>
        <v>2126520</v>
      </c>
      <c r="O3906" s="8" t="s">
        <v>2565</v>
      </c>
      <c r="T3906">
        <v>0</v>
      </c>
      <c r="AC3906">
        <v>1</v>
      </c>
    </row>
    <row r="3907" spans="1:29" ht="30" customHeight="1" x14ac:dyDescent="0.3">
      <c r="A3907" s="8" t="s">
        <v>3528</v>
      </c>
      <c r="B3907" s="8" t="s">
        <v>3534</v>
      </c>
      <c r="C3907" s="8" t="s">
        <v>3535</v>
      </c>
      <c r="D3907" s="8" t="s">
        <v>3536</v>
      </c>
      <c r="E3907" s="8" t="s">
        <v>895</v>
      </c>
      <c r="F3907" s="9">
        <v>300</v>
      </c>
      <c r="G3907" s="5">
        <f>TRUNC([1]단가대비표!O1294,0)</f>
        <v>8110</v>
      </c>
      <c r="H3907" s="5">
        <f t="shared" si="376"/>
        <v>2433000</v>
      </c>
      <c r="I3907" s="5">
        <v>0</v>
      </c>
      <c r="J3907" s="5">
        <f t="shared" si="377"/>
        <v>0</v>
      </c>
      <c r="K3907" s="5">
        <v>0</v>
      </c>
      <c r="L3907" s="5">
        <f t="shared" si="378"/>
        <v>0</v>
      </c>
      <c r="M3907" s="5">
        <f t="shared" si="379"/>
        <v>8110</v>
      </c>
      <c r="N3907" s="5">
        <f t="shared" si="379"/>
        <v>2433000</v>
      </c>
      <c r="O3907" s="8" t="s">
        <v>2570</v>
      </c>
      <c r="T3907">
        <v>0</v>
      </c>
      <c r="AC3907">
        <v>1</v>
      </c>
    </row>
    <row r="3908" spans="1:29" ht="30" customHeight="1" x14ac:dyDescent="0.3">
      <c r="A3908" s="8" t="s">
        <v>3528</v>
      </c>
      <c r="B3908" s="8" t="s">
        <v>3537</v>
      </c>
      <c r="C3908" s="8" t="s">
        <v>3538</v>
      </c>
      <c r="D3908" s="8" t="s">
        <v>3539</v>
      </c>
      <c r="E3908" s="8" t="s">
        <v>895</v>
      </c>
      <c r="F3908" s="9">
        <v>300</v>
      </c>
      <c r="G3908" s="5">
        <f>TRUNC([1]단가대비표!O1295,0)</f>
        <v>13220</v>
      </c>
      <c r="H3908" s="5">
        <f t="shared" si="376"/>
        <v>3966000</v>
      </c>
      <c r="I3908" s="5">
        <v>0</v>
      </c>
      <c r="J3908" s="5">
        <f t="shared" si="377"/>
        <v>0</v>
      </c>
      <c r="K3908" s="5">
        <v>0</v>
      </c>
      <c r="L3908" s="5">
        <f t="shared" si="378"/>
        <v>0</v>
      </c>
      <c r="M3908" s="5">
        <f t="shared" si="379"/>
        <v>13220</v>
      </c>
      <c r="N3908" s="5">
        <f t="shared" si="379"/>
        <v>3966000</v>
      </c>
      <c r="O3908" s="8" t="s">
        <v>2576</v>
      </c>
      <c r="T3908">
        <v>0</v>
      </c>
      <c r="AC3908">
        <v>1</v>
      </c>
    </row>
    <row r="3909" spans="1:29" ht="30" customHeight="1" x14ac:dyDescent="0.3">
      <c r="A3909" s="8" t="s">
        <v>3528</v>
      </c>
      <c r="B3909" s="8" t="s">
        <v>3540</v>
      </c>
      <c r="C3909" s="8" t="s">
        <v>3541</v>
      </c>
      <c r="D3909" s="8" t="s">
        <v>3542</v>
      </c>
      <c r="E3909" s="8" t="s">
        <v>895</v>
      </c>
      <c r="F3909" s="9">
        <v>300</v>
      </c>
      <c r="G3909" s="5">
        <f>TRUNC([1]단가대비표!O1296,0)</f>
        <v>6480</v>
      </c>
      <c r="H3909" s="5">
        <f t="shared" si="376"/>
        <v>1944000</v>
      </c>
      <c r="I3909" s="5">
        <v>0</v>
      </c>
      <c r="J3909" s="5">
        <f t="shared" si="377"/>
        <v>0</v>
      </c>
      <c r="K3909" s="5">
        <v>0</v>
      </c>
      <c r="L3909" s="5">
        <f t="shared" si="378"/>
        <v>0</v>
      </c>
      <c r="M3909" s="5">
        <f t="shared" si="379"/>
        <v>6480</v>
      </c>
      <c r="N3909" s="5">
        <f t="shared" si="379"/>
        <v>1944000</v>
      </c>
      <c r="O3909" s="8" t="s">
        <v>2581</v>
      </c>
      <c r="T3909">
        <v>0</v>
      </c>
      <c r="AC3909">
        <v>1</v>
      </c>
    </row>
    <row r="3910" spans="1:29" ht="30" customHeight="1" x14ac:dyDescent="0.3">
      <c r="A3910" s="8" t="s">
        <v>3528</v>
      </c>
      <c r="B3910" s="8" t="s">
        <v>3543</v>
      </c>
      <c r="C3910" s="8" t="s">
        <v>3544</v>
      </c>
      <c r="D3910" s="8" t="s">
        <v>20</v>
      </c>
      <c r="E3910" s="8" t="s">
        <v>3545</v>
      </c>
      <c r="F3910" s="9">
        <v>40</v>
      </c>
      <c r="G3910" s="5">
        <f>TRUNC([1]단가대비표!O1297,0)</f>
        <v>50820</v>
      </c>
      <c r="H3910" s="5">
        <f t="shared" si="376"/>
        <v>2032800</v>
      </c>
      <c r="I3910" s="5">
        <v>0</v>
      </c>
      <c r="J3910" s="5">
        <f t="shared" si="377"/>
        <v>0</v>
      </c>
      <c r="K3910" s="5">
        <v>0</v>
      </c>
      <c r="L3910" s="5">
        <f t="shared" si="378"/>
        <v>0</v>
      </c>
      <c r="M3910" s="5">
        <f t="shared" si="379"/>
        <v>50820</v>
      </c>
      <c r="N3910" s="5">
        <f t="shared" si="379"/>
        <v>2032800</v>
      </c>
      <c r="O3910" s="8" t="s">
        <v>2584</v>
      </c>
      <c r="T3910">
        <v>0</v>
      </c>
      <c r="AC3910">
        <v>1</v>
      </c>
    </row>
    <row r="3911" spans="1:29" ht="30" customHeight="1" x14ac:dyDescent="0.3">
      <c r="A3911" s="8" t="s">
        <v>3528</v>
      </c>
      <c r="B3911" s="8" t="s">
        <v>3546</v>
      </c>
      <c r="C3911" s="8" t="s">
        <v>3547</v>
      </c>
      <c r="D3911" s="8" t="s">
        <v>20</v>
      </c>
      <c r="E3911" s="8" t="s">
        <v>476</v>
      </c>
      <c r="F3911" s="9">
        <v>40</v>
      </c>
      <c r="G3911" s="5">
        <f>TRUNC([1]단가대비표!O1298,0)</f>
        <v>51920</v>
      </c>
      <c r="H3911" s="5">
        <f t="shared" si="376"/>
        <v>2076800</v>
      </c>
      <c r="I3911" s="5">
        <v>0</v>
      </c>
      <c r="J3911" s="5">
        <f t="shared" si="377"/>
        <v>0</v>
      </c>
      <c r="K3911" s="5">
        <v>0</v>
      </c>
      <c r="L3911" s="5">
        <f t="shared" si="378"/>
        <v>0</v>
      </c>
      <c r="M3911" s="5">
        <f t="shared" si="379"/>
        <v>51920</v>
      </c>
      <c r="N3911" s="5">
        <f t="shared" si="379"/>
        <v>2076800</v>
      </c>
      <c r="O3911" s="8" t="s">
        <v>2600</v>
      </c>
      <c r="T3911">
        <v>0</v>
      </c>
      <c r="AC3911">
        <v>1</v>
      </c>
    </row>
    <row r="3912" spans="1:29" ht="30" customHeight="1" x14ac:dyDescent="0.3">
      <c r="A3912" s="8" t="s">
        <v>3528</v>
      </c>
      <c r="B3912" s="8" t="s">
        <v>3548</v>
      </c>
      <c r="C3912" s="8" t="s">
        <v>3549</v>
      </c>
      <c r="D3912" s="8" t="s">
        <v>20</v>
      </c>
      <c r="E3912" s="8" t="s">
        <v>895</v>
      </c>
      <c r="F3912" s="9">
        <v>300</v>
      </c>
      <c r="G3912" s="5">
        <f>TRUNC([1]단가대비표!O1299,0)</f>
        <v>9890</v>
      </c>
      <c r="H3912" s="5">
        <f t="shared" si="376"/>
        <v>2967000</v>
      </c>
      <c r="I3912" s="5">
        <v>0</v>
      </c>
      <c r="J3912" s="5">
        <f t="shared" si="377"/>
        <v>0</v>
      </c>
      <c r="K3912" s="5">
        <v>0</v>
      </c>
      <c r="L3912" s="5">
        <f t="shared" si="378"/>
        <v>0</v>
      </c>
      <c r="M3912" s="5">
        <f t="shared" si="379"/>
        <v>9890</v>
      </c>
      <c r="N3912" s="5">
        <f t="shared" si="379"/>
        <v>2967000</v>
      </c>
      <c r="O3912" s="8" t="s">
        <v>2595</v>
      </c>
      <c r="T3912">
        <v>0</v>
      </c>
      <c r="AC3912">
        <v>1</v>
      </c>
    </row>
    <row r="3913" spans="1:29" ht="30" customHeight="1" x14ac:dyDescent="0.3">
      <c r="A3913" s="8" t="s">
        <v>3528</v>
      </c>
      <c r="B3913" s="8" t="s">
        <v>3550</v>
      </c>
      <c r="C3913" s="8" t="s">
        <v>3551</v>
      </c>
      <c r="D3913" s="8" t="s">
        <v>3552</v>
      </c>
      <c r="E3913" s="8" t="s">
        <v>19</v>
      </c>
      <c r="F3913" s="9">
        <v>2</v>
      </c>
      <c r="G3913" s="5">
        <f>TRUNC([1]단가대비표!O1300,0)</f>
        <v>752700</v>
      </c>
      <c r="H3913" s="5">
        <f t="shared" si="376"/>
        <v>1505400</v>
      </c>
      <c r="I3913" s="5">
        <v>0</v>
      </c>
      <c r="J3913" s="5">
        <f t="shared" si="377"/>
        <v>0</v>
      </c>
      <c r="K3913" s="5">
        <v>0</v>
      </c>
      <c r="L3913" s="5">
        <f t="shared" si="378"/>
        <v>0</v>
      </c>
      <c r="M3913" s="5">
        <f t="shared" si="379"/>
        <v>752700</v>
      </c>
      <c r="N3913" s="5">
        <f t="shared" si="379"/>
        <v>1505400</v>
      </c>
      <c r="O3913" s="8" t="s">
        <v>2597</v>
      </c>
      <c r="T3913">
        <v>0</v>
      </c>
      <c r="AC3913">
        <v>1</v>
      </c>
    </row>
    <row r="3914" spans="1:29" ht="30" customHeight="1" x14ac:dyDescent="0.3">
      <c r="A3914" s="8" t="s">
        <v>3528</v>
      </c>
      <c r="B3914" s="8" t="s">
        <v>3553</v>
      </c>
      <c r="C3914" s="8" t="s">
        <v>3554</v>
      </c>
      <c r="D3914" s="8" t="s">
        <v>3555</v>
      </c>
      <c r="E3914" s="8" t="s">
        <v>428</v>
      </c>
      <c r="F3914" s="9">
        <v>6</v>
      </c>
      <c r="G3914" s="5">
        <f>TRUNC([1]단가대비표!O1301,0)</f>
        <v>430000</v>
      </c>
      <c r="H3914" s="5">
        <f t="shared" si="376"/>
        <v>2580000</v>
      </c>
      <c r="I3914" s="5">
        <v>0</v>
      </c>
      <c r="J3914" s="5">
        <f t="shared" si="377"/>
        <v>0</v>
      </c>
      <c r="K3914" s="5">
        <v>0</v>
      </c>
      <c r="L3914" s="5">
        <f t="shared" si="378"/>
        <v>0</v>
      </c>
      <c r="M3914" s="5">
        <f t="shared" si="379"/>
        <v>430000</v>
      </c>
      <c r="N3914" s="5">
        <f t="shared" si="379"/>
        <v>2580000</v>
      </c>
      <c r="O3914" s="8" t="s">
        <v>3556</v>
      </c>
      <c r="T3914">
        <v>0</v>
      </c>
      <c r="AC3914">
        <v>1</v>
      </c>
    </row>
    <row r="3915" spans="1:29" ht="30" customHeight="1" x14ac:dyDescent="0.3">
      <c r="A3915" s="8" t="s">
        <v>3528</v>
      </c>
      <c r="B3915" s="8" t="s">
        <v>3557</v>
      </c>
      <c r="C3915" s="8" t="s">
        <v>3558</v>
      </c>
      <c r="D3915" s="8" t="s">
        <v>3559</v>
      </c>
      <c r="E3915" s="8" t="s">
        <v>161</v>
      </c>
      <c r="F3915" s="9">
        <v>1</v>
      </c>
      <c r="G3915" s="5">
        <f>TRUNC([1]단가대비표!O1931,0)</f>
        <v>775988</v>
      </c>
      <c r="H3915" s="5">
        <f t="shared" si="376"/>
        <v>775988</v>
      </c>
      <c r="I3915" s="5">
        <v>0</v>
      </c>
      <c r="J3915" s="5">
        <f t="shared" si="377"/>
        <v>0</v>
      </c>
      <c r="K3915" s="5">
        <v>0</v>
      </c>
      <c r="L3915" s="5">
        <f t="shared" si="378"/>
        <v>0</v>
      </c>
      <c r="M3915" s="5">
        <f t="shared" si="379"/>
        <v>775988</v>
      </c>
      <c r="N3915" s="5">
        <f t="shared" si="379"/>
        <v>775988</v>
      </c>
      <c r="O3915" s="8" t="s">
        <v>20</v>
      </c>
      <c r="T3915">
        <v>0</v>
      </c>
      <c r="AC3915">
        <v>1</v>
      </c>
    </row>
    <row r="3916" spans="1:29" ht="30" customHeight="1" x14ac:dyDescent="0.3">
      <c r="A3916" s="5"/>
      <c r="B3916" s="5"/>
      <c r="C3916" s="5"/>
      <c r="D3916" s="5"/>
      <c r="E3916" s="5"/>
      <c r="F3916" s="9"/>
      <c r="G3916" s="5"/>
      <c r="H3916" s="5"/>
      <c r="I3916" s="5"/>
      <c r="J3916" s="5"/>
      <c r="K3916" s="5"/>
      <c r="L3916" s="5"/>
      <c r="M3916" s="5"/>
      <c r="N3916" s="5"/>
      <c r="O3916" s="5"/>
    </row>
    <row r="3917" spans="1:29" ht="30" customHeight="1" x14ac:dyDescent="0.3">
      <c r="A3917" s="5"/>
      <c r="B3917" s="5"/>
      <c r="C3917" s="5"/>
      <c r="D3917" s="5"/>
      <c r="E3917" s="5"/>
      <c r="F3917" s="9"/>
      <c r="G3917" s="5"/>
      <c r="H3917" s="5"/>
      <c r="I3917" s="5"/>
      <c r="J3917" s="5"/>
      <c r="K3917" s="5"/>
      <c r="L3917" s="5"/>
      <c r="M3917" s="5"/>
      <c r="N3917" s="5"/>
      <c r="O3917" s="5"/>
    </row>
    <row r="3918" spans="1:29" ht="30" customHeight="1" x14ac:dyDescent="0.3">
      <c r="A3918" s="5"/>
      <c r="B3918" s="5"/>
      <c r="C3918" s="5"/>
      <c r="D3918" s="5"/>
      <c r="E3918" s="5"/>
      <c r="F3918" s="9"/>
      <c r="G3918" s="5"/>
      <c r="H3918" s="5"/>
      <c r="I3918" s="5"/>
      <c r="J3918" s="5"/>
      <c r="K3918" s="5"/>
      <c r="L3918" s="5"/>
      <c r="M3918" s="5"/>
      <c r="N3918" s="5"/>
      <c r="O3918" s="5"/>
    </row>
    <row r="3919" spans="1:29" ht="30" customHeight="1" x14ac:dyDescent="0.3">
      <c r="A3919" s="5"/>
      <c r="B3919" s="5"/>
      <c r="C3919" s="5"/>
      <c r="D3919" s="5"/>
      <c r="E3919" s="5"/>
      <c r="F3919" s="9"/>
      <c r="G3919" s="5"/>
      <c r="H3919" s="5"/>
      <c r="I3919" s="5"/>
      <c r="J3919" s="5"/>
      <c r="K3919" s="5"/>
      <c r="L3919" s="5"/>
      <c r="M3919" s="5"/>
      <c r="N3919" s="5"/>
      <c r="O3919" s="5"/>
    </row>
    <row r="3920" spans="1:29" ht="30" customHeight="1" x14ac:dyDescent="0.3">
      <c r="A3920" s="5"/>
      <c r="B3920" s="5"/>
      <c r="C3920" s="5"/>
      <c r="D3920" s="5"/>
      <c r="E3920" s="5"/>
      <c r="F3920" s="9"/>
      <c r="G3920" s="5"/>
      <c r="H3920" s="5"/>
      <c r="I3920" s="5"/>
      <c r="J3920" s="5"/>
      <c r="K3920" s="5"/>
      <c r="L3920" s="5"/>
      <c r="M3920" s="5"/>
      <c r="N3920" s="5"/>
      <c r="O3920" s="5"/>
    </row>
    <row r="3921" spans="1:29" ht="30" customHeight="1" x14ac:dyDescent="0.3">
      <c r="A3921" s="5"/>
      <c r="B3921" s="5"/>
      <c r="C3921" s="5"/>
      <c r="D3921" s="5"/>
      <c r="E3921" s="5"/>
      <c r="F3921" s="9"/>
      <c r="G3921" s="5"/>
      <c r="H3921" s="5"/>
      <c r="I3921" s="5"/>
      <c r="J3921" s="5"/>
      <c r="K3921" s="5"/>
      <c r="L3921" s="5"/>
      <c r="M3921" s="5"/>
      <c r="N3921" s="5"/>
      <c r="O3921" s="5"/>
    </row>
    <row r="3922" spans="1:29" ht="30" customHeight="1" x14ac:dyDescent="0.3">
      <c r="A3922" s="5"/>
      <c r="B3922" s="5"/>
      <c r="C3922" s="5"/>
      <c r="D3922" s="5"/>
      <c r="E3922" s="5"/>
      <c r="F3922" s="9"/>
      <c r="G3922" s="5"/>
      <c r="H3922" s="5"/>
      <c r="I3922" s="5"/>
      <c r="J3922" s="5"/>
      <c r="K3922" s="5"/>
      <c r="L3922" s="5"/>
      <c r="M3922" s="5"/>
      <c r="N3922" s="5"/>
      <c r="O3922" s="5"/>
    </row>
    <row r="3923" spans="1:29" ht="30" customHeight="1" x14ac:dyDescent="0.3">
      <c r="A3923" s="5"/>
      <c r="B3923" s="5"/>
      <c r="C3923" s="5"/>
      <c r="D3923" s="5"/>
      <c r="E3923" s="5"/>
      <c r="F3923" s="9"/>
      <c r="G3923" s="5"/>
      <c r="H3923" s="5"/>
      <c r="I3923" s="5"/>
      <c r="J3923" s="5"/>
      <c r="K3923" s="5"/>
      <c r="L3923" s="5"/>
      <c r="M3923" s="5"/>
      <c r="N3923" s="5"/>
      <c r="O3923" s="5"/>
    </row>
    <row r="3924" spans="1:29" ht="30" customHeight="1" x14ac:dyDescent="0.3">
      <c r="A3924" s="5"/>
      <c r="B3924" s="5"/>
      <c r="C3924" s="5"/>
      <c r="D3924" s="5"/>
      <c r="E3924" s="5"/>
      <c r="F3924" s="9"/>
      <c r="G3924" s="5"/>
      <c r="H3924" s="5"/>
      <c r="I3924" s="5"/>
      <c r="J3924" s="5"/>
      <c r="K3924" s="5"/>
      <c r="L3924" s="5"/>
      <c r="M3924" s="5"/>
      <c r="N3924" s="5"/>
      <c r="O3924" s="5"/>
    </row>
    <row r="3925" spans="1:29" ht="30" customHeight="1" x14ac:dyDescent="0.3">
      <c r="A3925" s="5"/>
      <c r="B3925" s="5"/>
      <c r="C3925" s="5"/>
      <c r="D3925" s="5"/>
      <c r="E3925" s="5"/>
      <c r="F3925" s="9"/>
      <c r="G3925" s="5"/>
      <c r="H3925" s="5"/>
      <c r="I3925" s="5"/>
      <c r="J3925" s="5"/>
      <c r="K3925" s="5"/>
      <c r="L3925" s="5"/>
      <c r="M3925" s="5"/>
      <c r="N3925" s="5"/>
      <c r="O3925" s="5"/>
    </row>
    <row r="3926" spans="1:29" ht="30" customHeight="1" x14ac:dyDescent="0.3">
      <c r="A3926" s="5"/>
      <c r="B3926" s="5"/>
      <c r="C3926" s="5"/>
      <c r="D3926" s="5"/>
      <c r="E3926" s="5"/>
      <c r="F3926" s="9"/>
      <c r="G3926" s="5"/>
      <c r="H3926" s="5"/>
      <c r="I3926" s="5"/>
      <c r="J3926" s="5"/>
      <c r="K3926" s="5"/>
      <c r="L3926" s="5"/>
      <c r="M3926" s="5"/>
      <c r="N3926" s="5"/>
      <c r="O3926" s="5"/>
    </row>
    <row r="3927" spans="1:29" ht="30" customHeight="1" x14ac:dyDescent="0.3">
      <c r="A3927" s="5"/>
      <c r="B3927" s="5"/>
      <c r="C3927" s="5"/>
      <c r="D3927" s="5"/>
      <c r="E3927" s="5"/>
      <c r="F3927" s="9"/>
      <c r="G3927" s="5"/>
      <c r="H3927" s="5"/>
      <c r="I3927" s="5"/>
      <c r="J3927" s="5"/>
      <c r="K3927" s="5"/>
      <c r="L3927" s="5"/>
      <c r="M3927" s="5"/>
      <c r="N3927" s="5"/>
      <c r="O3927" s="5"/>
    </row>
    <row r="3928" spans="1:29" ht="30" customHeight="1" x14ac:dyDescent="0.3">
      <c r="A3928" s="5"/>
      <c r="B3928" s="5"/>
      <c r="C3928" s="5"/>
      <c r="D3928" s="5"/>
      <c r="E3928" s="5"/>
      <c r="F3928" s="9"/>
      <c r="G3928" s="5"/>
      <c r="H3928" s="5"/>
      <c r="I3928" s="5"/>
      <c r="J3928" s="5"/>
      <c r="K3928" s="5"/>
      <c r="L3928" s="5"/>
      <c r="M3928" s="5"/>
      <c r="N3928" s="5"/>
      <c r="O3928" s="5"/>
    </row>
    <row r="3929" spans="1:29" ht="30" customHeight="1" x14ac:dyDescent="0.3">
      <c r="A3929" s="5"/>
      <c r="B3929" s="5"/>
      <c r="C3929" s="5" t="s">
        <v>162</v>
      </c>
      <c r="D3929" s="5"/>
      <c r="E3929" s="5"/>
      <c r="F3929" s="9"/>
      <c r="G3929" s="5"/>
      <c r="H3929" s="5">
        <f>SUMIF(AC3905:AC3928, 1, H3905:H3928)</f>
        <v>144477508</v>
      </c>
      <c r="I3929" s="5"/>
      <c r="J3929" s="5">
        <f>SUMIF(AC3905:AC3928, 1, J3905:J3928)</f>
        <v>0</v>
      </c>
      <c r="K3929" s="5"/>
      <c r="L3929" s="5">
        <f>SUMIF(AC3905:AC3928, 1, L3905:L3928)</f>
        <v>0</v>
      </c>
      <c r="M3929" s="5"/>
      <c r="N3929" s="5">
        <f>H3929+J3929+L3929</f>
        <v>144477508</v>
      </c>
      <c r="O3929" s="5"/>
    </row>
    <row r="3930" spans="1:29" s="12" customFormat="1" ht="30" hidden="1" customHeight="1" x14ac:dyDescent="0.3">
      <c r="A3930" s="13"/>
      <c r="B3930" s="13"/>
      <c r="C3930" s="14"/>
      <c r="D3930" s="14"/>
      <c r="E3930" s="14"/>
      <c r="F3930" s="15"/>
      <c r="G3930" s="14"/>
      <c r="H3930" s="14"/>
      <c r="I3930" s="14"/>
      <c r="J3930" s="14"/>
      <c r="K3930" s="14"/>
      <c r="L3930" s="14"/>
      <c r="M3930" s="14"/>
      <c r="N3930" s="14"/>
      <c r="O3930" s="14"/>
    </row>
    <row r="3931" spans="1:29" s="12" customFormat="1" ht="30" hidden="1" customHeight="1" x14ac:dyDescent="0.3">
      <c r="A3931" s="16" t="s">
        <v>3560</v>
      </c>
      <c r="B3931" s="16" t="s">
        <v>3561</v>
      </c>
      <c r="C3931" s="16"/>
      <c r="D3931" s="16"/>
      <c r="E3931" s="16"/>
      <c r="F3931" s="17"/>
      <c r="G3931" s="13"/>
      <c r="H3931" s="13"/>
      <c r="I3931" s="13"/>
      <c r="J3931" s="13"/>
      <c r="K3931" s="13"/>
      <c r="L3931" s="13"/>
      <c r="M3931" s="13"/>
      <c r="N3931" s="13"/>
      <c r="O3931" s="16"/>
      <c r="T3931" s="12">
        <v>0</v>
      </c>
      <c r="AC3931" s="12">
        <v>1</v>
      </c>
    </row>
    <row r="3932" spans="1:29" s="12" customFormat="1" ht="30" hidden="1" customHeight="1" x14ac:dyDescent="0.3">
      <c r="A3932" s="16" t="s">
        <v>3560</v>
      </c>
      <c r="B3932" s="16" t="s">
        <v>3562</v>
      </c>
      <c r="C3932" s="16"/>
      <c r="D3932" s="16"/>
      <c r="E3932" s="16"/>
      <c r="F3932" s="17"/>
      <c r="G3932" s="13"/>
      <c r="H3932" s="13"/>
      <c r="I3932" s="13"/>
      <c r="J3932" s="13"/>
      <c r="K3932" s="13"/>
      <c r="L3932" s="13"/>
      <c r="M3932" s="13"/>
      <c r="N3932" s="13"/>
      <c r="O3932" s="16"/>
      <c r="T3932" s="12">
        <v>0</v>
      </c>
      <c r="AC3932" s="12">
        <v>1</v>
      </c>
    </row>
    <row r="3933" spans="1:29" s="12" customFormat="1" ht="30" hidden="1" customHeight="1" x14ac:dyDescent="0.3">
      <c r="A3933" s="16" t="s">
        <v>3560</v>
      </c>
      <c r="B3933" s="16" t="s">
        <v>3563</v>
      </c>
      <c r="C3933" s="16"/>
      <c r="D3933" s="16"/>
      <c r="E3933" s="16"/>
      <c r="F3933" s="17"/>
      <c r="G3933" s="13"/>
      <c r="H3933" s="13"/>
      <c r="I3933" s="13"/>
      <c r="J3933" s="13"/>
      <c r="K3933" s="13"/>
      <c r="L3933" s="13"/>
      <c r="M3933" s="13"/>
      <c r="N3933" s="13"/>
      <c r="O3933" s="16"/>
      <c r="T3933" s="12">
        <v>0</v>
      </c>
      <c r="AC3933" s="12">
        <v>1</v>
      </c>
    </row>
    <row r="3934" spans="1:29" s="12" customFormat="1" ht="30" hidden="1" customHeight="1" x14ac:dyDescent="0.3">
      <c r="A3934" s="16" t="s">
        <v>3560</v>
      </c>
      <c r="B3934" s="16" t="s">
        <v>3564</v>
      </c>
      <c r="C3934" s="16"/>
      <c r="D3934" s="16"/>
      <c r="E3934" s="16"/>
      <c r="F3934" s="17"/>
      <c r="G3934" s="13"/>
      <c r="H3934" s="13"/>
      <c r="I3934" s="13"/>
      <c r="J3934" s="13"/>
      <c r="K3934" s="13"/>
      <c r="L3934" s="13"/>
      <c r="M3934" s="13"/>
      <c r="N3934" s="13"/>
      <c r="O3934" s="16"/>
      <c r="T3934" s="12">
        <v>0</v>
      </c>
      <c r="AC3934" s="12">
        <v>1</v>
      </c>
    </row>
    <row r="3935" spans="1:29" s="12" customFormat="1" ht="30" hidden="1" customHeight="1" x14ac:dyDescent="0.3">
      <c r="A3935" s="16" t="s">
        <v>3560</v>
      </c>
      <c r="B3935" s="16" t="s">
        <v>3565</v>
      </c>
      <c r="C3935" s="16"/>
      <c r="D3935" s="16"/>
      <c r="E3935" s="16"/>
      <c r="F3935" s="17"/>
      <c r="G3935" s="13"/>
      <c r="H3935" s="13"/>
      <c r="I3935" s="13"/>
      <c r="J3935" s="13"/>
      <c r="K3935" s="13"/>
      <c r="L3935" s="13"/>
      <c r="M3935" s="13"/>
      <c r="N3935" s="13"/>
      <c r="O3935" s="16"/>
      <c r="T3935" s="12">
        <v>0</v>
      </c>
      <c r="AC3935" s="12">
        <v>1</v>
      </c>
    </row>
    <row r="3936" spans="1:29" s="12" customFormat="1" ht="30" hidden="1" customHeight="1" x14ac:dyDescent="0.3">
      <c r="A3936" s="16" t="s">
        <v>3560</v>
      </c>
      <c r="B3936" s="16" t="s">
        <v>3566</v>
      </c>
      <c r="C3936" s="16"/>
      <c r="D3936" s="16"/>
      <c r="E3936" s="16"/>
      <c r="F3936" s="17"/>
      <c r="G3936" s="13"/>
      <c r="H3936" s="13"/>
      <c r="I3936" s="13"/>
      <c r="J3936" s="13"/>
      <c r="K3936" s="13"/>
      <c r="L3936" s="13"/>
      <c r="M3936" s="13"/>
      <c r="N3936" s="13"/>
      <c r="O3936" s="16"/>
      <c r="T3936" s="12">
        <v>0</v>
      </c>
      <c r="AC3936" s="12">
        <v>1</v>
      </c>
    </row>
    <row r="3937" spans="1:29" s="12" customFormat="1" ht="30" hidden="1" customHeight="1" x14ac:dyDescent="0.3">
      <c r="A3937" s="16" t="s">
        <v>3560</v>
      </c>
      <c r="B3937" s="16" t="s">
        <v>3567</v>
      </c>
      <c r="C3937" s="16"/>
      <c r="D3937" s="16"/>
      <c r="E3937" s="16"/>
      <c r="F3937" s="17"/>
      <c r="G3937" s="13"/>
      <c r="H3937" s="13"/>
      <c r="I3937" s="13"/>
      <c r="J3937" s="13"/>
      <c r="K3937" s="13"/>
      <c r="L3937" s="13"/>
      <c r="M3937" s="13"/>
      <c r="N3937" s="13"/>
      <c r="O3937" s="16"/>
      <c r="T3937" s="12">
        <v>0</v>
      </c>
      <c r="AC3937" s="12">
        <v>1</v>
      </c>
    </row>
    <row r="3938" spans="1:29" s="12" customFormat="1" ht="30" hidden="1" customHeight="1" x14ac:dyDescent="0.3">
      <c r="A3938" s="16" t="s">
        <v>3560</v>
      </c>
      <c r="B3938" s="16" t="s">
        <v>3568</v>
      </c>
      <c r="C3938" s="16"/>
      <c r="D3938" s="16"/>
      <c r="E3938" s="16"/>
      <c r="F3938" s="17"/>
      <c r="G3938" s="13"/>
      <c r="H3938" s="13"/>
      <c r="I3938" s="13"/>
      <c r="J3938" s="13"/>
      <c r="K3938" s="13"/>
      <c r="L3938" s="13"/>
      <c r="M3938" s="13"/>
      <c r="N3938" s="13"/>
      <c r="O3938" s="16"/>
      <c r="T3938" s="12">
        <v>0</v>
      </c>
      <c r="AC3938" s="12">
        <v>1</v>
      </c>
    </row>
    <row r="3939" spans="1:29" s="12" customFormat="1" ht="30" hidden="1" customHeight="1" x14ac:dyDescent="0.3">
      <c r="A3939" s="16" t="s">
        <v>3560</v>
      </c>
      <c r="B3939" s="16" t="s">
        <v>3569</v>
      </c>
      <c r="C3939" s="16"/>
      <c r="D3939" s="16"/>
      <c r="E3939" s="16"/>
      <c r="F3939" s="17"/>
      <c r="G3939" s="13"/>
      <c r="H3939" s="13"/>
      <c r="I3939" s="13"/>
      <c r="J3939" s="13"/>
      <c r="K3939" s="13"/>
      <c r="L3939" s="13"/>
      <c r="M3939" s="13"/>
      <c r="N3939" s="13"/>
      <c r="O3939" s="16"/>
      <c r="T3939" s="12">
        <v>0</v>
      </c>
      <c r="AC3939" s="12">
        <v>1</v>
      </c>
    </row>
    <row r="3940" spans="1:29" s="12" customFormat="1" ht="30" hidden="1" customHeight="1" x14ac:dyDescent="0.3">
      <c r="A3940" s="16" t="s">
        <v>3560</v>
      </c>
      <c r="B3940" s="16" t="s">
        <v>3570</v>
      </c>
      <c r="C3940" s="16"/>
      <c r="D3940" s="16"/>
      <c r="E3940" s="16"/>
      <c r="F3940" s="17"/>
      <c r="G3940" s="13"/>
      <c r="H3940" s="13"/>
      <c r="I3940" s="13"/>
      <c r="J3940" s="13"/>
      <c r="K3940" s="13"/>
      <c r="L3940" s="13"/>
      <c r="M3940" s="13"/>
      <c r="N3940" s="13"/>
      <c r="O3940" s="16"/>
      <c r="T3940" s="12">
        <v>0</v>
      </c>
      <c r="AC3940" s="12">
        <v>1</v>
      </c>
    </row>
    <row r="3941" spans="1:29" s="12" customFormat="1" ht="30" hidden="1" customHeight="1" x14ac:dyDescent="0.3">
      <c r="A3941" s="16" t="s">
        <v>3560</v>
      </c>
      <c r="B3941" s="16" t="s">
        <v>3571</v>
      </c>
      <c r="C3941" s="16"/>
      <c r="D3941" s="16"/>
      <c r="E3941" s="16"/>
      <c r="F3941" s="17"/>
      <c r="G3941" s="13"/>
      <c r="H3941" s="13"/>
      <c r="I3941" s="13"/>
      <c r="J3941" s="13"/>
      <c r="K3941" s="13"/>
      <c r="L3941" s="13"/>
      <c r="M3941" s="13"/>
      <c r="N3941" s="13"/>
      <c r="O3941" s="16"/>
      <c r="T3941" s="12">
        <v>0</v>
      </c>
      <c r="AC3941" s="12">
        <v>1</v>
      </c>
    </row>
    <row r="3942" spans="1:29" s="12" customFormat="1" ht="30" hidden="1" customHeight="1" x14ac:dyDescent="0.3">
      <c r="A3942" s="16" t="s">
        <v>3560</v>
      </c>
      <c r="B3942" s="16" t="s">
        <v>3572</v>
      </c>
      <c r="C3942" s="16"/>
      <c r="D3942" s="16"/>
      <c r="E3942" s="16"/>
      <c r="F3942" s="17"/>
      <c r="G3942" s="13"/>
      <c r="H3942" s="13"/>
      <c r="I3942" s="13"/>
      <c r="J3942" s="13"/>
      <c r="K3942" s="13"/>
      <c r="L3942" s="13"/>
      <c r="M3942" s="13"/>
      <c r="N3942" s="13"/>
      <c r="O3942" s="16"/>
      <c r="T3942" s="12">
        <v>0</v>
      </c>
      <c r="AC3942" s="12">
        <v>1</v>
      </c>
    </row>
    <row r="3943" spans="1:29" s="12" customFormat="1" ht="30" hidden="1" customHeight="1" x14ac:dyDescent="0.3">
      <c r="A3943" s="16" t="s">
        <v>3560</v>
      </c>
      <c r="B3943" s="16" t="s">
        <v>3573</v>
      </c>
      <c r="C3943" s="16"/>
      <c r="D3943" s="16"/>
      <c r="E3943" s="16"/>
      <c r="F3943" s="17"/>
      <c r="G3943" s="13"/>
      <c r="H3943" s="13"/>
      <c r="I3943" s="13"/>
      <c r="J3943" s="13"/>
      <c r="K3943" s="13"/>
      <c r="L3943" s="13"/>
      <c r="M3943" s="13"/>
      <c r="N3943" s="13"/>
      <c r="O3943" s="16"/>
      <c r="T3943" s="12">
        <v>0</v>
      </c>
      <c r="AC3943" s="12">
        <v>1</v>
      </c>
    </row>
    <row r="3944" spans="1:29" s="12" customFormat="1" ht="30" hidden="1" customHeight="1" x14ac:dyDescent="0.3">
      <c r="A3944" s="16" t="s">
        <v>3560</v>
      </c>
      <c r="B3944" s="16" t="s">
        <v>3574</v>
      </c>
      <c r="C3944" s="16"/>
      <c r="D3944" s="16"/>
      <c r="E3944" s="16"/>
      <c r="F3944" s="17"/>
      <c r="G3944" s="13"/>
      <c r="H3944" s="13"/>
      <c r="I3944" s="13"/>
      <c r="J3944" s="13"/>
      <c r="K3944" s="13"/>
      <c r="L3944" s="13"/>
      <c r="M3944" s="13"/>
      <c r="N3944" s="13"/>
      <c r="O3944" s="16"/>
      <c r="T3944" s="12">
        <v>0</v>
      </c>
      <c r="AC3944" s="12">
        <v>1</v>
      </c>
    </row>
    <row r="3945" spans="1:29" s="12" customFormat="1" ht="30" hidden="1" customHeight="1" x14ac:dyDescent="0.3">
      <c r="A3945" s="16" t="s">
        <v>3560</v>
      </c>
      <c r="B3945" s="16" t="s">
        <v>3575</v>
      </c>
      <c r="C3945" s="16"/>
      <c r="D3945" s="16"/>
      <c r="E3945" s="16"/>
      <c r="F3945" s="17"/>
      <c r="G3945" s="13"/>
      <c r="H3945" s="13"/>
      <c r="I3945" s="13"/>
      <c r="J3945" s="13"/>
      <c r="K3945" s="13"/>
      <c r="L3945" s="13"/>
      <c r="M3945" s="13"/>
      <c r="N3945" s="13"/>
      <c r="O3945" s="16"/>
      <c r="T3945" s="12">
        <v>0</v>
      </c>
      <c r="AC3945" s="12">
        <v>1</v>
      </c>
    </row>
    <row r="3946" spans="1:29" s="12" customFormat="1" ht="30" hidden="1" customHeight="1" x14ac:dyDescent="0.3">
      <c r="A3946" s="16" t="s">
        <v>3560</v>
      </c>
      <c r="B3946" s="16" t="s">
        <v>3576</v>
      </c>
      <c r="C3946" s="16"/>
      <c r="D3946" s="16"/>
      <c r="E3946" s="16"/>
      <c r="F3946" s="17"/>
      <c r="G3946" s="13"/>
      <c r="H3946" s="13"/>
      <c r="I3946" s="13"/>
      <c r="J3946" s="13"/>
      <c r="K3946" s="13"/>
      <c r="L3946" s="13"/>
      <c r="M3946" s="13"/>
      <c r="N3946" s="13"/>
      <c r="O3946" s="16"/>
      <c r="T3946" s="12">
        <v>0</v>
      </c>
      <c r="AC3946" s="12">
        <v>1</v>
      </c>
    </row>
    <row r="3947" spans="1:29" s="12" customFormat="1" ht="30" hidden="1" customHeight="1" x14ac:dyDescent="0.3">
      <c r="A3947" s="16" t="s">
        <v>3560</v>
      </c>
      <c r="B3947" s="16" t="s">
        <v>3577</v>
      </c>
      <c r="C3947" s="16"/>
      <c r="D3947" s="16"/>
      <c r="E3947" s="16"/>
      <c r="F3947" s="17"/>
      <c r="G3947" s="13"/>
      <c r="H3947" s="13"/>
      <c r="I3947" s="13"/>
      <c r="J3947" s="13"/>
      <c r="K3947" s="13"/>
      <c r="L3947" s="13"/>
      <c r="M3947" s="13"/>
      <c r="N3947" s="13"/>
      <c r="O3947" s="16"/>
      <c r="T3947" s="12">
        <v>0</v>
      </c>
      <c r="AC3947" s="12">
        <v>1</v>
      </c>
    </row>
    <row r="3948" spans="1:29" s="12" customFormat="1" ht="30" hidden="1" customHeight="1" x14ac:dyDescent="0.3">
      <c r="A3948" s="16" t="s">
        <v>3560</v>
      </c>
      <c r="B3948" s="16" t="s">
        <v>3578</v>
      </c>
      <c r="C3948" s="16"/>
      <c r="D3948" s="16"/>
      <c r="E3948" s="16"/>
      <c r="F3948" s="17"/>
      <c r="G3948" s="13"/>
      <c r="H3948" s="13"/>
      <c r="I3948" s="13"/>
      <c r="J3948" s="13"/>
      <c r="K3948" s="13"/>
      <c r="L3948" s="13"/>
      <c r="M3948" s="13"/>
      <c r="N3948" s="13"/>
      <c r="O3948" s="16"/>
      <c r="T3948" s="12">
        <v>0</v>
      </c>
      <c r="AC3948" s="12">
        <v>1</v>
      </c>
    </row>
    <row r="3949" spans="1:29" s="12" customFormat="1" ht="30" hidden="1" customHeight="1" x14ac:dyDescent="0.3">
      <c r="A3949" s="16" t="s">
        <v>3560</v>
      </c>
      <c r="B3949" s="16" t="s">
        <v>3579</v>
      </c>
      <c r="C3949" s="16"/>
      <c r="D3949" s="16"/>
      <c r="E3949" s="16"/>
      <c r="F3949" s="17"/>
      <c r="G3949" s="13"/>
      <c r="H3949" s="13"/>
      <c r="I3949" s="13"/>
      <c r="J3949" s="13"/>
      <c r="K3949" s="13"/>
      <c r="L3949" s="13"/>
      <c r="M3949" s="13"/>
      <c r="N3949" s="13"/>
      <c r="O3949" s="16"/>
      <c r="T3949" s="12">
        <v>0</v>
      </c>
      <c r="AC3949" s="12">
        <v>1</v>
      </c>
    </row>
    <row r="3950" spans="1:29" s="12" customFormat="1" ht="30" hidden="1" customHeight="1" x14ac:dyDescent="0.3">
      <c r="A3950" s="16" t="s">
        <v>3560</v>
      </c>
      <c r="B3950" s="16" t="s">
        <v>3580</v>
      </c>
      <c r="C3950" s="16"/>
      <c r="D3950" s="16"/>
      <c r="E3950" s="16"/>
      <c r="F3950" s="17"/>
      <c r="G3950" s="13"/>
      <c r="H3950" s="13"/>
      <c r="I3950" s="13"/>
      <c r="J3950" s="13"/>
      <c r="K3950" s="13"/>
      <c r="L3950" s="13"/>
      <c r="M3950" s="13"/>
      <c r="N3950" s="13"/>
      <c r="O3950" s="16"/>
      <c r="T3950" s="12">
        <v>0</v>
      </c>
      <c r="AC3950" s="12">
        <v>1</v>
      </c>
    </row>
    <row r="3951" spans="1:29" s="12" customFormat="1" ht="30" hidden="1" customHeight="1" x14ac:dyDescent="0.3">
      <c r="A3951" s="16" t="s">
        <v>3560</v>
      </c>
      <c r="B3951" s="16" t="s">
        <v>3581</v>
      </c>
      <c r="C3951" s="16"/>
      <c r="D3951" s="16"/>
      <c r="E3951" s="16"/>
      <c r="F3951" s="17"/>
      <c r="G3951" s="13"/>
      <c r="H3951" s="13"/>
      <c r="I3951" s="13"/>
      <c r="J3951" s="13"/>
      <c r="K3951" s="13"/>
      <c r="L3951" s="13"/>
      <c r="M3951" s="13"/>
      <c r="N3951" s="13"/>
      <c r="O3951" s="16"/>
      <c r="T3951" s="12">
        <v>0</v>
      </c>
      <c r="AC3951" s="12">
        <v>1</v>
      </c>
    </row>
    <row r="3952" spans="1:29" s="12" customFormat="1" ht="30" hidden="1" customHeight="1" x14ac:dyDescent="0.3">
      <c r="A3952" s="16" t="s">
        <v>3560</v>
      </c>
      <c r="B3952" s="16" t="s">
        <v>3582</v>
      </c>
      <c r="C3952" s="16"/>
      <c r="D3952" s="16"/>
      <c r="E3952" s="16"/>
      <c r="F3952" s="17"/>
      <c r="G3952" s="13"/>
      <c r="H3952" s="13"/>
      <c r="I3952" s="13"/>
      <c r="J3952" s="13"/>
      <c r="K3952" s="13"/>
      <c r="L3952" s="13"/>
      <c r="M3952" s="13"/>
      <c r="N3952" s="13"/>
      <c r="O3952" s="16"/>
      <c r="T3952" s="12">
        <v>0</v>
      </c>
      <c r="AC3952" s="12">
        <v>1</v>
      </c>
    </row>
    <row r="3953" spans="1:29" s="12" customFormat="1" ht="30" hidden="1" customHeight="1" x14ac:dyDescent="0.3">
      <c r="A3953" s="16" t="s">
        <v>3560</v>
      </c>
      <c r="B3953" s="16" t="s">
        <v>3583</v>
      </c>
      <c r="C3953" s="16"/>
      <c r="D3953" s="16"/>
      <c r="E3953" s="16"/>
      <c r="F3953" s="17"/>
      <c r="G3953" s="13"/>
      <c r="H3953" s="13"/>
      <c r="I3953" s="13"/>
      <c r="J3953" s="13"/>
      <c r="K3953" s="13"/>
      <c r="L3953" s="13"/>
      <c r="M3953" s="13"/>
      <c r="N3953" s="13"/>
      <c r="O3953" s="16"/>
      <c r="T3953" s="12">
        <v>0</v>
      </c>
      <c r="AC3953" s="12">
        <v>1</v>
      </c>
    </row>
    <row r="3954" spans="1:29" s="12" customFormat="1" ht="30" hidden="1" customHeight="1" x14ac:dyDescent="0.3">
      <c r="A3954" s="16" t="s">
        <v>3560</v>
      </c>
      <c r="B3954" s="16" t="s">
        <v>3584</v>
      </c>
      <c r="C3954" s="16"/>
      <c r="D3954" s="16"/>
      <c r="E3954" s="16"/>
      <c r="F3954" s="17"/>
      <c r="G3954" s="13"/>
      <c r="H3954" s="13"/>
      <c r="I3954" s="13"/>
      <c r="J3954" s="13"/>
      <c r="K3954" s="13"/>
      <c r="L3954" s="13"/>
      <c r="M3954" s="13"/>
      <c r="N3954" s="13"/>
      <c r="O3954" s="16"/>
      <c r="T3954" s="12">
        <v>0</v>
      </c>
      <c r="AC3954" s="12">
        <v>1</v>
      </c>
    </row>
    <row r="3955" spans="1:29" s="12" customFormat="1" ht="30" hidden="1" customHeight="1" x14ac:dyDescent="0.3">
      <c r="A3955" s="16" t="s">
        <v>3560</v>
      </c>
      <c r="B3955" s="16" t="s">
        <v>3585</v>
      </c>
      <c r="C3955" s="16"/>
      <c r="D3955" s="16"/>
      <c r="E3955" s="16"/>
      <c r="F3955" s="17"/>
      <c r="G3955" s="13"/>
      <c r="H3955" s="13"/>
      <c r="I3955" s="13"/>
      <c r="J3955" s="13"/>
      <c r="K3955" s="13"/>
      <c r="L3955" s="13"/>
      <c r="M3955" s="13"/>
      <c r="N3955" s="13"/>
      <c r="O3955" s="16"/>
      <c r="T3955" s="12">
        <v>0</v>
      </c>
      <c r="AC3955" s="12">
        <v>1</v>
      </c>
    </row>
    <row r="3956" spans="1:29" s="12" customFormat="1" ht="30" hidden="1" customHeight="1" x14ac:dyDescent="0.3">
      <c r="A3956" s="16" t="s">
        <v>3560</v>
      </c>
      <c r="B3956" s="16" t="s">
        <v>3586</v>
      </c>
      <c r="C3956" s="16"/>
      <c r="D3956" s="16"/>
      <c r="E3956" s="16"/>
      <c r="F3956" s="17"/>
      <c r="G3956" s="13"/>
      <c r="H3956" s="13"/>
      <c r="I3956" s="13"/>
      <c r="J3956" s="13"/>
      <c r="K3956" s="13"/>
      <c r="L3956" s="13"/>
      <c r="M3956" s="13"/>
      <c r="N3956" s="13"/>
      <c r="O3956" s="16"/>
      <c r="T3956" s="12">
        <v>0</v>
      </c>
      <c r="AC3956" s="12">
        <v>1</v>
      </c>
    </row>
    <row r="3957" spans="1:29" s="12" customFormat="1" ht="30" hidden="1" customHeight="1" x14ac:dyDescent="0.3">
      <c r="A3957" s="16" t="s">
        <v>3560</v>
      </c>
      <c r="B3957" s="16" t="s">
        <v>3587</v>
      </c>
      <c r="C3957" s="16"/>
      <c r="D3957" s="16"/>
      <c r="E3957" s="16"/>
      <c r="F3957" s="17"/>
      <c r="G3957" s="13"/>
      <c r="H3957" s="13"/>
      <c r="I3957" s="13"/>
      <c r="J3957" s="13"/>
      <c r="K3957" s="13"/>
      <c r="L3957" s="13"/>
      <c r="M3957" s="13"/>
      <c r="N3957" s="13"/>
      <c r="O3957" s="16"/>
      <c r="T3957" s="12">
        <v>0</v>
      </c>
      <c r="AC3957" s="12">
        <v>1</v>
      </c>
    </row>
    <row r="3958" spans="1:29" s="12" customFormat="1" ht="30" hidden="1" customHeight="1" x14ac:dyDescent="0.3">
      <c r="A3958" s="16" t="s">
        <v>3560</v>
      </c>
      <c r="B3958" s="16" t="s">
        <v>3588</v>
      </c>
      <c r="C3958" s="16"/>
      <c r="D3958" s="16"/>
      <c r="E3958" s="16"/>
      <c r="F3958" s="17"/>
      <c r="G3958" s="13"/>
      <c r="H3958" s="13"/>
      <c r="I3958" s="13"/>
      <c r="J3958" s="13"/>
      <c r="K3958" s="13"/>
      <c r="L3958" s="13"/>
      <c r="M3958" s="13"/>
      <c r="N3958" s="13"/>
      <c r="O3958" s="16"/>
      <c r="T3958" s="12">
        <v>0</v>
      </c>
      <c r="AC3958" s="12">
        <v>1</v>
      </c>
    </row>
    <row r="3959" spans="1:29" s="12" customFormat="1" ht="30" hidden="1" customHeight="1" x14ac:dyDescent="0.3">
      <c r="A3959" s="16" t="s">
        <v>3560</v>
      </c>
      <c r="B3959" s="16" t="s">
        <v>3589</v>
      </c>
      <c r="C3959" s="16"/>
      <c r="D3959" s="16"/>
      <c r="E3959" s="16"/>
      <c r="F3959" s="17"/>
      <c r="G3959" s="13"/>
      <c r="H3959" s="13"/>
      <c r="I3959" s="13"/>
      <c r="J3959" s="13"/>
      <c r="K3959" s="13"/>
      <c r="L3959" s="13"/>
      <c r="M3959" s="13"/>
      <c r="N3959" s="13"/>
      <c r="O3959" s="16"/>
      <c r="T3959" s="12">
        <v>0</v>
      </c>
      <c r="AC3959" s="12">
        <v>1</v>
      </c>
    </row>
    <row r="3960" spans="1:29" s="12" customFormat="1" ht="30" hidden="1" customHeight="1" x14ac:dyDescent="0.3">
      <c r="A3960" s="16" t="s">
        <v>3560</v>
      </c>
      <c r="B3960" s="16" t="s">
        <v>3590</v>
      </c>
      <c r="C3960" s="16"/>
      <c r="D3960" s="16"/>
      <c r="E3960" s="16"/>
      <c r="F3960" s="17"/>
      <c r="G3960" s="13"/>
      <c r="H3960" s="13"/>
      <c r="I3960" s="13"/>
      <c r="J3960" s="13"/>
      <c r="K3960" s="13"/>
      <c r="L3960" s="13"/>
      <c r="M3960" s="13"/>
      <c r="N3960" s="13"/>
      <c r="O3960" s="16"/>
      <c r="T3960" s="12">
        <v>0</v>
      </c>
      <c r="AC3960" s="12">
        <v>1</v>
      </c>
    </row>
    <row r="3961" spans="1:29" s="12" customFormat="1" ht="30" hidden="1" customHeight="1" x14ac:dyDescent="0.3">
      <c r="A3961" s="16" t="s">
        <v>3560</v>
      </c>
      <c r="B3961" s="16" t="s">
        <v>3591</v>
      </c>
      <c r="C3961" s="16"/>
      <c r="D3961" s="16"/>
      <c r="E3961" s="16"/>
      <c r="F3961" s="17"/>
      <c r="G3961" s="13"/>
      <c r="H3961" s="13"/>
      <c r="I3961" s="13"/>
      <c r="J3961" s="13"/>
      <c r="K3961" s="13"/>
      <c r="L3961" s="13"/>
      <c r="M3961" s="13"/>
      <c r="N3961" s="13"/>
      <c r="O3961" s="16"/>
      <c r="T3961" s="12">
        <v>0</v>
      </c>
      <c r="AC3961" s="12">
        <v>1</v>
      </c>
    </row>
    <row r="3962" spans="1:29" s="12" customFormat="1" ht="30" hidden="1" customHeight="1" x14ac:dyDescent="0.3">
      <c r="A3962" s="16" t="s">
        <v>3560</v>
      </c>
      <c r="B3962" s="16" t="s">
        <v>3592</v>
      </c>
      <c r="C3962" s="16"/>
      <c r="D3962" s="16"/>
      <c r="E3962" s="16"/>
      <c r="F3962" s="17"/>
      <c r="G3962" s="13"/>
      <c r="H3962" s="13"/>
      <c r="I3962" s="13"/>
      <c r="J3962" s="13"/>
      <c r="K3962" s="13"/>
      <c r="L3962" s="13"/>
      <c r="M3962" s="13"/>
      <c r="N3962" s="13"/>
      <c r="O3962" s="16"/>
      <c r="T3962" s="12">
        <v>0</v>
      </c>
      <c r="AC3962" s="12">
        <v>1</v>
      </c>
    </row>
    <row r="3963" spans="1:29" s="12" customFormat="1" ht="30" hidden="1" customHeight="1" x14ac:dyDescent="0.3">
      <c r="A3963" s="16" t="s">
        <v>3560</v>
      </c>
      <c r="B3963" s="16" t="s">
        <v>3593</v>
      </c>
      <c r="C3963" s="16"/>
      <c r="D3963" s="16"/>
      <c r="E3963" s="16"/>
      <c r="F3963" s="17"/>
      <c r="G3963" s="13"/>
      <c r="H3963" s="13"/>
      <c r="I3963" s="13"/>
      <c r="J3963" s="13"/>
      <c r="K3963" s="13"/>
      <c r="L3963" s="13"/>
      <c r="M3963" s="13"/>
      <c r="N3963" s="13"/>
      <c r="O3963" s="16"/>
      <c r="T3963" s="12">
        <v>0</v>
      </c>
      <c r="AC3963" s="12">
        <v>1</v>
      </c>
    </row>
    <row r="3964" spans="1:29" s="12" customFormat="1" ht="30" hidden="1" customHeight="1" x14ac:dyDescent="0.3">
      <c r="A3964" s="16" t="s">
        <v>3560</v>
      </c>
      <c r="B3964" s="16" t="s">
        <v>3594</v>
      </c>
      <c r="C3964" s="16"/>
      <c r="D3964" s="16"/>
      <c r="E3964" s="16"/>
      <c r="F3964" s="17"/>
      <c r="G3964" s="13"/>
      <c r="H3964" s="13"/>
      <c r="I3964" s="13"/>
      <c r="J3964" s="13"/>
      <c r="K3964" s="13"/>
      <c r="L3964" s="13"/>
      <c r="M3964" s="13"/>
      <c r="N3964" s="13"/>
      <c r="O3964" s="16"/>
      <c r="T3964" s="12">
        <v>0</v>
      </c>
      <c r="AC3964" s="12">
        <v>1</v>
      </c>
    </row>
    <row r="3965" spans="1:29" s="12" customFormat="1" ht="30" hidden="1" customHeight="1" x14ac:dyDescent="0.3">
      <c r="A3965" s="16" t="s">
        <v>3560</v>
      </c>
      <c r="B3965" s="16" t="s">
        <v>3595</v>
      </c>
      <c r="C3965" s="16"/>
      <c r="D3965" s="16"/>
      <c r="E3965" s="16"/>
      <c r="F3965" s="17"/>
      <c r="G3965" s="13"/>
      <c r="H3965" s="13"/>
      <c r="I3965" s="13"/>
      <c r="J3965" s="13"/>
      <c r="K3965" s="13"/>
      <c r="L3965" s="13"/>
      <c r="M3965" s="13"/>
      <c r="N3965" s="13"/>
      <c r="O3965" s="16"/>
      <c r="T3965" s="12">
        <v>0</v>
      </c>
      <c r="AC3965" s="12">
        <v>1</v>
      </c>
    </row>
    <row r="3966" spans="1:29" s="12" customFormat="1" ht="30" hidden="1" customHeight="1" x14ac:dyDescent="0.3">
      <c r="A3966" s="16" t="s">
        <v>3560</v>
      </c>
      <c r="B3966" s="16" t="s">
        <v>3596</v>
      </c>
      <c r="C3966" s="16"/>
      <c r="D3966" s="16"/>
      <c r="E3966" s="16"/>
      <c r="F3966" s="17"/>
      <c r="G3966" s="13"/>
      <c r="H3966" s="13"/>
      <c r="I3966" s="13"/>
      <c r="J3966" s="13"/>
      <c r="K3966" s="13"/>
      <c r="L3966" s="13"/>
      <c r="M3966" s="13"/>
      <c r="N3966" s="13"/>
      <c r="O3966" s="16"/>
      <c r="T3966" s="12">
        <v>0</v>
      </c>
      <c r="AC3966" s="12">
        <v>1</v>
      </c>
    </row>
    <row r="3967" spans="1:29" s="12" customFormat="1" ht="30" hidden="1" customHeight="1" x14ac:dyDescent="0.3">
      <c r="A3967" s="16" t="s">
        <v>3560</v>
      </c>
      <c r="B3967" s="16" t="s">
        <v>3597</v>
      </c>
      <c r="C3967" s="16"/>
      <c r="D3967" s="16"/>
      <c r="E3967" s="16"/>
      <c r="F3967" s="17"/>
      <c r="G3967" s="13"/>
      <c r="H3967" s="13"/>
      <c r="I3967" s="13"/>
      <c r="J3967" s="13"/>
      <c r="K3967" s="13"/>
      <c r="L3967" s="13"/>
      <c r="M3967" s="13"/>
      <c r="N3967" s="13"/>
      <c r="O3967" s="16"/>
      <c r="T3967" s="12">
        <v>0</v>
      </c>
      <c r="AC3967" s="12">
        <v>1</v>
      </c>
    </row>
    <row r="3968" spans="1:29" s="12" customFormat="1" ht="30" hidden="1" customHeight="1" x14ac:dyDescent="0.3">
      <c r="A3968" s="16" t="s">
        <v>3560</v>
      </c>
      <c r="B3968" s="16" t="s">
        <v>3598</v>
      </c>
      <c r="C3968" s="16"/>
      <c r="D3968" s="16"/>
      <c r="E3968" s="16"/>
      <c r="F3968" s="17"/>
      <c r="G3968" s="13"/>
      <c r="H3968" s="13"/>
      <c r="I3968" s="13"/>
      <c r="J3968" s="13"/>
      <c r="K3968" s="13"/>
      <c r="L3968" s="13"/>
      <c r="M3968" s="13"/>
      <c r="N3968" s="13"/>
      <c r="O3968" s="16"/>
      <c r="T3968" s="12">
        <v>0</v>
      </c>
      <c r="AC3968" s="12">
        <v>1</v>
      </c>
    </row>
    <row r="3969" spans="1:29" s="12" customFormat="1" ht="30" hidden="1" customHeight="1" x14ac:dyDescent="0.3">
      <c r="A3969" s="16" t="s">
        <v>3560</v>
      </c>
      <c r="B3969" s="16" t="s">
        <v>3599</v>
      </c>
      <c r="C3969" s="16"/>
      <c r="D3969" s="16"/>
      <c r="E3969" s="16"/>
      <c r="F3969" s="17"/>
      <c r="G3969" s="13"/>
      <c r="H3969" s="13"/>
      <c r="I3969" s="13"/>
      <c r="J3969" s="13"/>
      <c r="K3969" s="13"/>
      <c r="L3969" s="13"/>
      <c r="M3969" s="13"/>
      <c r="N3969" s="13"/>
      <c r="O3969" s="16"/>
      <c r="T3969" s="12">
        <v>0</v>
      </c>
      <c r="AC3969" s="12">
        <v>1</v>
      </c>
    </row>
    <row r="3970" spans="1:29" s="12" customFormat="1" ht="30" hidden="1" customHeight="1" x14ac:dyDescent="0.3">
      <c r="A3970" s="16" t="s">
        <v>3560</v>
      </c>
      <c r="B3970" s="16" t="s">
        <v>3600</v>
      </c>
      <c r="C3970" s="16"/>
      <c r="D3970" s="16"/>
      <c r="E3970" s="16"/>
      <c r="F3970" s="17"/>
      <c r="G3970" s="13"/>
      <c r="H3970" s="13"/>
      <c r="I3970" s="13"/>
      <c r="J3970" s="13"/>
      <c r="K3970" s="13"/>
      <c r="L3970" s="13"/>
      <c r="M3970" s="13"/>
      <c r="N3970" s="13"/>
      <c r="O3970" s="16"/>
      <c r="T3970" s="12">
        <v>0</v>
      </c>
      <c r="AC3970" s="12">
        <v>1</v>
      </c>
    </row>
    <row r="3971" spans="1:29" s="12" customFormat="1" ht="30" hidden="1" customHeight="1" x14ac:dyDescent="0.3">
      <c r="A3971" s="16" t="s">
        <v>3560</v>
      </c>
      <c r="B3971" s="16" t="s">
        <v>3601</v>
      </c>
      <c r="C3971" s="16"/>
      <c r="D3971" s="16"/>
      <c r="E3971" s="16"/>
      <c r="F3971" s="17"/>
      <c r="G3971" s="13"/>
      <c r="H3971" s="13"/>
      <c r="I3971" s="13"/>
      <c r="J3971" s="13"/>
      <c r="K3971" s="13"/>
      <c r="L3971" s="13"/>
      <c r="M3971" s="13"/>
      <c r="N3971" s="13"/>
      <c r="O3971" s="16"/>
      <c r="T3971" s="12">
        <v>0</v>
      </c>
      <c r="AC3971" s="12">
        <v>1</v>
      </c>
    </row>
    <row r="3972" spans="1:29" s="12" customFormat="1" ht="30" hidden="1" customHeight="1" x14ac:dyDescent="0.3">
      <c r="A3972" s="16" t="s">
        <v>3560</v>
      </c>
      <c r="B3972" s="16" t="s">
        <v>3602</v>
      </c>
      <c r="C3972" s="16"/>
      <c r="D3972" s="16"/>
      <c r="E3972" s="16"/>
      <c r="F3972" s="17"/>
      <c r="G3972" s="13"/>
      <c r="H3972" s="13"/>
      <c r="I3972" s="13"/>
      <c r="J3972" s="13"/>
      <c r="K3972" s="13"/>
      <c r="L3972" s="13"/>
      <c r="M3972" s="13"/>
      <c r="N3972" s="13"/>
      <c r="O3972" s="16"/>
      <c r="T3972" s="12">
        <v>0</v>
      </c>
      <c r="AC3972" s="12">
        <v>1</v>
      </c>
    </row>
    <row r="3973" spans="1:29" s="12" customFormat="1" ht="30" hidden="1" customHeight="1" x14ac:dyDescent="0.3">
      <c r="A3973" s="16" t="s">
        <v>3560</v>
      </c>
      <c r="B3973" s="16" t="s">
        <v>3603</v>
      </c>
      <c r="C3973" s="16"/>
      <c r="D3973" s="16"/>
      <c r="E3973" s="16"/>
      <c r="F3973" s="17"/>
      <c r="G3973" s="13"/>
      <c r="H3973" s="13"/>
      <c r="I3973" s="13"/>
      <c r="J3973" s="13"/>
      <c r="K3973" s="13"/>
      <c r="L3973" s="13"/>
      <c r="M3973" s="13"/>
      <c r="N3973" s="13"/>
      <c r="O3973" s="16"/>
      <c r="T3973" s="12">
        <v>0</v>
      </c>
      <c r="AC3973" s="12">
        <v>1</v>
      </c>
    </row>
    <row r="3974" spans="1:29" s="12" customFormat="1" ht="30" hidden="1" customHeight="1" x14ac:dyDescent="0.3">
      <c r="A3974" s="16" t="s">
        <v>3560</v>
      </c>
      <c r="B3974" s="16" t="s">
        <v>3604</v>
      </c>
      <c r="C3974" s="16"/>
      <c r="D3974" s="16"/>
      <c r="E3974" s="16"/>
      <c r="F3974" s="17"/>
      <c r="G3974" s="13"/>
      <c r="H3974" s="13"/>
      <c r="I3974" s="13"/>
      <c r="J3974" s="13"/>
      <c r="K3974" s="13"/>
      <c r="L3974" s="13"/>
      <c r="M3974" s="13"/>
      <c r="N3974" s="13"/>
      <c r="O3974" s="16"/>
      <c r="T3974" s="12">
        <v>0</v>
      </c>
      <c r="AC3974" s="12">
        <v>1</v>
      </c>
    </row>
    <row r="3975" spans="1:29" s="12" customFormat="1" ht="30" hidden="1" customHeight="1" x14ac:dyDescent="0.3">
      <c r="A3975" s="16" t="s">
        <v>3560</v>
      </c>
      <c r="B3975" s="16" t="s">
        <v>3605</v>
      </c>
      <c r="C3975" s="16"/>
      <c r="D3975" s="16"/>
      <c r="E3975" s="16"/>
      <c r="F3975" s="17"/>
      <c r="G3975" s="13"/>
      <c r="H3975" s="13"/>
      <c r="I3975" s="13"/>
      <c r="J3975" s="13"/>
      <c r="K3975" s="13"/>
      <c r="L3975" s="13"/>
      <c r="M3975" s="13"/>
      <c r="N3975" s="13"/>
      <c r="O3975" s="16"/>
      <c r="T3975" s="12">
        <v>0</v>
      </c>
      <c r="AC3975" s="12">
        <v>1</v>
      </c>
    </row>
    <row r="3976" spans="1:29" s="12" customFormat="1" ht="30" hidden="1" customHeight="1" x14ac:dyDescent="0.3">
      <c r="A3976" s="16" t="s">
        <v>3560</v>
      </c>
      <c r="B3976" s="16" t="s">
        <v>3606</v>
      </c>
      <c r="C3976" s="16"/>
      <c r="D3976" s="16"/>
      <c r="E3976" s="16"/>
      <c r="F3976" s="17"/>
      <c r="G3976" s="13"/>
      <c r="H3976" s="13"/>
      <c r="I3976" s="13"/>
      <c r="J3976" s="13"/>
      <c r="K3976" s="13"/>
      <c r="L3976" s="13"/>
      <c r="M3976" s="13"/>
      <c r="N3976" s="13"/>
      <c r="O3976" s="16"/>
      <c r="T3976" s="12">
        <v>0</v>
      </c>
      <c r="AC3976" s="12">
        <v>1</v>
      </c>
    </row>
    <row r="3977" spans="1:29" s="12" customFormat="1" ht="30" hidden="1" customHeight="1" x14ac:dyDescent="0.3">
      <c r="A3977" s="16" t="s">
        <v>3560</v>
      </c>
      <c r="B3977" s="16" t="s">
        <v>3607</v>
      </c>
      <c r="C3977" s="16"/>
      <c r="D3977" s="16"/>
      <c r="E3977" s="16"/>
      <c r="F3977" s="17"/>
      <c r="G3977" s="13"/>
      <c r="H3977" s="13"/>
      <c r="I3977" s="13"/>
      <c r="J3977" s="13"/>
      <c r="K3977" s="13"/>
      <c r="L3977" s="13"/>
      <c r="M3977" s="13"/>
      <c r="N3977" s="13"/>
      <c r="O3977" s="16"/>
      <c r="T3977" s="12">
        <v>0</v>
      </c>
      <c r="AC3977" s="12">
        <v>1</v>
      </c>
    </row>
    <row r="3978" spans="1:29" s="12" customFormat="1" ht="30" hidden="1" customHeight="1" x14ac:dyDescent="0.3">
      <c r="A3978" s="16" t="s">
        <v>3560</v>
      </c>
      <c r="B3978" s="16" t="s">
        <v>3608</v>
      </c>
      <c r="C3978" s="16"/>
      <c r="D3978" s="16"/>
      <c r="E3978" s="16"/>
      <c r="F3978" s="17"/>
      <c r="G3978" s="13"/>
      <c r="H3978" s="13"/>
      <c r="I3978" s="13"/>
      <c r="J3978" s="13"/>
      <c r="K3978" s="13"/>
      <c r="L3978" s="13"/>
      <c r="M3978" s="13"/>
      <c r="N3978" s="13"/>
      <c r="O3978" s="16"/>
      <c r="T3978" s="12">
        <v>0</v>
      </c>
      <c r="AC3978" s="12">
        <v>1</v>
      </c>
    </row>
    <row r="3979" spans="1:29" s="12" customFormat="1" ht="30" hidden="1" customHeight="1" x14ac:dyDescent="0.3">
      <c r="A3979" s="16" t="s">
        <v>3560</v>
      </c>
      <c r="B3979" s="16" t="s">
        <v>3609</v>
      </c>
      <c r="C3979" s="16"/>
      <c r="D3979" s="16"/>
      <c r="E3979" s="16"/>
      <c r="F3979" s="17"/>
      <c r="G3979" s="13"/>
      <c r="H3979" s="13"/>
      <c r="I3979" s="13"/>
      <c r="J3979" s="13"/>
      <c r="K3979" s="13"/>
      <c r="L3979" s="13"/>
      <c r="M3979" s="13"/>
      <c r="N3979" s="13"/>
      <c r="O3979" s="16"/>
      <c r="T3979" s="12">
        <v>0</v>
      </c>
      <c r="AC3979" s="12">
        <v>1</v>
      </c>
    </row>
    <row r="3980" spans="1:29" s="12" customFormat="1" ht="30" hidden="1" customHeight="1" x14ac:dyDescent="0.3">
      <c r="A3980" s="16" t="s">
        <v>3560</v>
      </c>
      <c r="B3980" s="16" t="s">
        <v>3610</v>
      </c>
      <c r="C3980" s="16"/>
      <c r="D3980" s="16"/>
      <c r="E3980" s="16"/>
      <c r="F3980" s="17"/>
      <c r="G3980" s="13"/>
      <c r="H3980" s="13"/>
      <c r="I3980" s="13"/>
      <c r="J3980" s="13"/>
      <c r="K3980" s="13"/>
      <c r="L3980" s="13"/>
      <c r="M3980" s="13"/>
      <c r="N3980" s="13"/>
      <c r="O3980" s="16"/>
      <c r="T3980" s="12">
        <v>0</v>
      </c>
      <c r="AC3980" s="12">
        <v>1</v>
      </c>
    </row>
    <row r="3981" spans="1:29" s="12" customFormat="1" ht="30" hidden="1" customHeight="1" x14ac:dyDescent="0.3">
      <c r="A3981" s="16" t="s">
        <v>3560</v>
      </c>
      <c r="B3981" s="16" t="s">
        <v>3611</v>
      </c>
      <c r="C3981" s="16"/>
      <c r="D3981" s="16"/>
      <c r="E3981" s="16"/>
      <c r="F3981" s="17"/>
      <c r="G3981" s="13"/>
      <c r="H3981" s="13"/>
      <c r="I3981" s="13"/>
      <c r="J3981" s="13"/>
      <c r="K3981" s="13"/>
      <c r="L3981" s="13"/>
      <c r="M3981" s="13"/>
      <c r="N3981" s="13"/>
      <c r="O3981" s="16"/>
      <c r="T3981" s="12">
        <v>0</v>
      </c>
      <c r="AC3981" s="12">
        <v>1</v>
      </c>
    </row>
    <row r="3982" spans="1:29" s="12" customFormat="1" ht="30" hidden="1" customHeight="1" x14ac:dyDescent="0.3">
      <c r="A3982" s="16" t="s">
        <v>3560</v>
      </c>
      <c r="B3982" s="16" t="s">
        <v>3612</v>
      </c>
      <c r="C3982" s="16"/>
      <c r="D3982" s="16"/>
      <c r="E3982" s="16"/>
      <c r="F3982" s="17"/>
      <c r="G3982" s="13"/>
      <c r="H3982" s="13"/>
      <c r="I3982" s="13"/>
      <c r="J3982" s="13"/>
      <c r="K3982" s="13"/>
      <c r="L3982" s="13"/>
      <c r="M3982" s="13"/>
      <c r="N3982" s="13"/>
      <c r="O3982" s="16"/>
      <c r="T3982" s="12">
        <v>0</v>
      </c>
      <c r="AC3982" s="12">
        <v>1</v>
      </c>
    </row>
    <row r="3983" spans="1:29" s="12" customFormat="1" ht="30" hidden="1" customHeight="1" x14ac:dyDescent="0.3">
      <c r="A3983" s="16" t="s">
        <v>3560</v>
      </c>
      <c r="B3983" s="16" t="s">
        <v>3613</v>
      </c>
      <c r="C3983" s="16"/>
      <c r="D3983" s="16"/>
      <c r="E3983" s="16"/>
      <c r="F3983" s="17"/>
      <c r="G3983" s="13"/>
      <c r="H3983" s="13"/>
      <c r="I3983" s="13"/>
      <c r="J3983" s="13"/>
      <c r="K3983" s="13"/>
      <c r="L3983" s="13"/>
      <c r="M3983" s="13"/>
      <c r="N3983" s="13"/>
      <c r="O3983" s="16"/>
      <c r="T3983" s="12">
        <v>0</v>
      </c>
      <c r="AC3983" s="12">
        <v>1</v>
      </c>
    </row>
    <row r="3984" spans="1:29" s="12" customFormat="1" ht="30" hidden="1" customHeight="1" x14ac:dyDescent="0.3">
      <c r="A3984" s="13"/>
      <c r="B3984" s="13"/>
      <c r="C3984" s="13"/>
      <c r="D3984" s="13"/>
      <c r="E3984" s="13"/>
      <c r="F3984" s="17"/>
      <c r="G3984" s="13"/>
      <c r="H3984" s="13"/>
      <c r="I3984" s="13"/>
      <c r="J3984" s="13"/>
      <c r="K3984" s="13"/>
      <c r="L3984" s="13"/>
      <c r="M3984" s="13"/>
      <c r="N3984" s="13"/>
      <c r="O3984" s="13"/>
    </row>
    <row r="3985" spans="1:15" s="12" customFormat="1" ht="30" hidden="1" customHeight="1" x14ac:dyDescent="0.3">
      <c r="A3985" s="13"/>
      <c r="B3985" s="13"/>
      <c r="C3985" s="13"/>
      <c r="D3985" s="13"/>
      <c r="E3985" s="13"/>
      <c r="F3985" s="17"/>
      <c r="G3985" s="13"/>
      <c r="H3985" s="13"/>
      <c r="I3985" s="13"/>
      <c r="J3985" s="13"/>
      <c r="K3985" s="13"/>
      <c r="L3985" s="13"/>
      <c r="M3985" s="13"/>
      <c r="N3985" s="13"/>
      <c r="O3985" s="13"/>
    </row>
    <row r="3986" spans="1:15" s="12" customFormat="1" ht="30" hidden="1" customHeight="1" x14ac:dyDescent="0.3">
      <c r="A3986" s="13"/>
      <c r="B3986" s="13"/>
      <c r="C3986" s="13"/>
      <c r="D3986" s="13"/>
      <c r="E3986" s="13"/>
      <c r="F3986" s="17"/>
      <c r="G3986" s="13"/>
      <c r="H3986" s="13"/>
      <c r="I3986" s="13"/>
      <c r="J3986" s="13"/>
      <c r="K3986" s="13"/>
      <c r="L3986" s="13"/>
      <c r="M3986" s="13"/>
      <c r="N3986" s="13"/>
      <c r="O3986" s="13"/>
    </row>
    <row r="3987" spans="1:15" s="12" customFormat="1" ht="30" hidden="1" customHeight="1" x14ac:dyDescent="0.3">
      <c r="A3987" s="13"/>
      <c r="B3987" s="13"/>
      <c r="C3987" s="13"/>
      <c r="D3987" s="13"/>
      <c r="E3987" s="13"/>
      <c r="F3987" s="17"/>
      <c r="G3987" s="13"/>
      <c r="H3987" s="13"/>
      <c r="I3987" s="13"/>
      <c r="J3987" s="13"/>
      <c r="K3987" s="13"/>
      <c r="L3987" s="13"/>
      <c r="M3987" s="13"/>
      <c r="N3987" s="13"/>
      <c r="O3987" s="13"/>
    </row>
    <row r="3988" spans="1:15" s="12" customFormat="1" ht="30" hidden="1" customHeight="1" x14ac:dyDescent="0.3">
      <c r="A3988" s="13"/>
      <c r="B3988" s="13"/>
      <c r="C3988" s="13"/>
      <c r="D3988" s="13"/>
      <c r="E3988" s="13"/>
      <c r="F3988" s="17"/>
      <c r="G3988" s="13"/>
      <c r="H3988" s="13"/>
      <c r="I3988" s="13"/>
      <c r="J3988" s="13"/>
      <c r="K3988" s="13"/>
      <c r="L3988" s="13"/>
      <c r="M3988" s="13"/>
      <c r="N3988" s="13"/>
      <c r="O3988" s="13"/>
    </row>
    <row r="3989" spans="1:15" s="12" customFormat="1" ht="30" hidden="1" customHeight="1" x14ac:dyDescent="0.3">
      <c r="A3989" s="13"/>
      <c r="B3989" s="13"/>
      <c r="C3989" s="13"/>
      <c r="D3989" s="13"/>
      <c r="E3989" s="13"/>
      <c r="F3989" s="17"/>
      <c r="G3989" s="13"/>
      <c r="H3989" s="13"/>
      <c r="I3989" s="13"/>
      <c r="J3989" s="13"/>
      <c r="K3989" s="13"/>
      <c r="L3989" s="13"/>
      <c r="M3989" s="13"/>
      <c r="N3989" s="13"/>
      <c r="O3989" s="13"/>
    </row>
    <row r="3990" spans="1:15" s="12" customFormat="1" ht="30" hidden="1" customHeight="1" x14ac:dyDescent="0.3">
      <c r="A3990" s="13"/>
      <c r="B3990" s="13"/>
      <c r="C3990" s="13"/>
      <c r="D3990" s="13"/>
      <c r="E3990" s="13"/>
      <c r="F3990" s="17"/>
      <c r="G3990" s="13"/>
      <c r="H3990" s="13"/>
      <c r="I3990" s="13"/>
      <c r="J3990" s="13"/>
      <c r="K3990" s="13"/>
      <c r="L3990" s="13"/>
      <c r="M3990" s="13"/>
      <c r="N3990" s="13"/>
      <c r="O3990" s="13"/>
    </row>
    <row r="3991" spans="1:15" s="12" customFormat="1" ht="30" hidden="1" customHeight="1" x14ac:dyDescent="0.3">
      <c r="A3991" s="13"/>
      <c r="B3991" s="13"/>
      <c r="C3991" s="13"/>
      <c r="D3991" s="13"/>
      <c r="E3991" s="13"/>
      <c r="F3991" s="17"/>
      <c r="G3991" s="13"/>
      <c r="H3991" s="13"/>
      <c r="I3991" s="13"/>
      <c r="J3991" s="13"/>
      <c r="K3991" s="13"/>
      <c r="L3991" s="13"/>
      <c r="M3991" s="13"/>
      <c r="N3991" s="13"/>
      <c r="O3991" s="13"/>
    </row>
    <row r="3992" spans="1:15" s="12" customFormat="1" ht="30" hidden="1" customHeight="1" x14ac:dyDescent="0.3">
      <c r="A3992" s="13"/>
      <c r="B3992" s="13"/>
      <c r="C3992" s="13"/>
      <c r="D3992" s="13"/>
      <c r="E3992" s="13"/>
      <c r="F3992" s="17"/>
      <c r="G3992" s="13"/>
      <c r="H3992" s="13"/>
      <c r="I3992" s="13"/>
      <c r="J3992" s="13"/>
      <c r="K3992" s="13"/>
      <c r="L3992" s="13"/>
      <c r="M3992" s="13"/>
      <c r="N3992" s="13"/>
      <c r="O3992" s="13"/>
    </row>
    <row r="3993" spans="1:15" s="12" customFormat="1" ht="30" hidden="1" customHeight="1" x14ac:dyDescent="0.3">
      <c r="A3993" s="13"/>
      <c r="B3993" s="13"/>
      <c r="C3993" s="13"/>
      <c r="D3993" s="13"/>
      <c r="E3993" s="13"/>
      <c r="F3993" s="17"/>
      <c r="G3993" s="13"/>
      <c r="H3993" s="13"/>
      <c r="I3993" s="13"/>
      <c r="J3993" s="13"/>
      <c r="K3993" s="13"/>
      <c r="L3993" s="13"/>
      <c r="M3993" s="13"/>
      <c r="N3993" s="13"/>
      <c r="O3993" s="13"/>
    </row>
    <row r="3994" spans="1:15" s="12" customFormat="1" ht="30" hidden="1" customHeight="1" x14ac:dyDescent="0.3">
      <c r="A3994" s="13"/>
      <c r="B3994" s="13"/>
      <c r="C3994" s="13"/>
      <c r="D3994" s="13"/>
      <c r="E3994" s="13"/>
      <c r="F3994" s="17"/>
      <c r="G3994" s="13"/>
      <c r="H3994" s="13"/>
      <c r="I3994" s="13"/>
      <c r="J3994" s="13"/>
      <c r="K3994" s="13"/>
      <c r="L3994" s="13"/>
      <c r="M3994" s="13"/>
      <c r="N3994" s="13"/>
      <c r="O3994" s="13"/>
    </row>
    <row r="3995" spans="1:15" s="12" customFormat="1" ht="30" hidden="1" customHeight="1" x14ac:dyDescent="0.3">
      <c r="A3995" s="13"/>
      <c r="B3995" s="13"/>
      <c r="C3995" s="13"/>
      <c r="D3995" s="13"/>
      <c r="E3995" s="13"/>
      <c r="F3995" s="17"/>
      <c r="G3995" s="13"/>
      <c r="H3995" s="13"/>
      <c r="I3995" s="13"/>
      <c r="J3995" s="13"/>
      <c r="K3995" s="13"/>
      <c r="L3995" s="13"/>
      <c r="M3995" s="13"/>
      <c r="N3995" s="13"/>
      <c r="O3995" s="13"/>
    </row>
    <row r="3996" spans="1:15" s="12" customFormat="1" ht="30" hidden="1" customHeight="1" x14ac:dyDescent="0.3">
      <c r="A3996" s="13"/>
      <c r="B3996" s="13"/>
      <c r="C3996" s="13"/>
      <c r="D3996" s="13"/>
      <c r="E3996" s="13"/>
      <c r="F3996" s="17"/>
      <c r="G3996" s="13"/>
      <c r="H3996" s="13"/>
      <c r="I3996" s="13"/>
      <c r="J3996" s="13"/>
      <c r="K3996" s="13"/>
      <c r="L3996" s="13"/>
      <c r="M3996" s="13"/>
      <c r="N3996" s="13"/>
      <c r="O3996" s="13"/>
    </row>
    <row r="3997" spans="1:15" s="12" customFormat="1" ht="30" hidden="1" customHeight="1" x14ac:dyDescent="0.3">
      <c r="A3997" s="13"/>
      <c r="B3997" s="13"/>
      <c r="C3997" s="13"/>
      <c r="D3997" s="13"/>
      <c r="E3997" s="13"/>
      <c r="F3997" s="17"/>
      <c r="G3997" s="13"/>
      <c r="H3997" s="13"/>
      <c r="I3997" s="13"/>
      <c r="J3997" s="13"/>
      <c r="K3997" s="13"/>
      <c r="L3997" s="13"/>
      <c r="M3997" s="13"/>
      <c r="N3997" s="13"/>
      <c r="O3997" s="13"/>
    </row>
    <row r="3998" spans="1:15" s="12" customFormat="1" ht="30" hidden="1" customHeight="1" x14ac:dyDescent="0.3">
      <c r="A3998" s="13"/>
      <c r="B3998" s="13"/>
      <c r="C3998" s="13"/>
      <c r="D3998" s="13"/>
      <c r="E3998" s="13"/>
      <c r="F3998" s="17"/>
      <c r="G3998" s="13"/>
      <c r="H3998" s="13"/>
      <c r="I3998" s="13"/>
      <c r="J3998" s="13"/>
      <c r="K3998" s="13"/>
      <c r="L3998" s="13"/>
      <c r="M3998" s="13"/>
      <c r="N3998" s="13"/>
      <c r="O3998" s="13"/>
    </row>
    <row r="3999" spans="1:15" s="12" customFormat="1" ht="30" hidden="1" customHeight="1" x14ac:dyDescent="0.3">
      <c r="A3999" s="13"/>
      <c r="B3999" s="13"/>
      <c r="C3999" s="13"/>
      <c r="D3999" s="13"/>
      <c r="E3999" s="13"/>
      <c r="F3999" s="17"/>
      <c r="G3999" s="13"/>
      <c r="H3999" s="13"/>
      <c r="I3999" s="13"/>
      <c r="J3999" s="13"/>
      <c r="K3999" s="13"/>
      <c r="L3999" s="13"/>
      <c r="M3999" s="13"/>
      <c r="N3999" s="13"/>
      <c r="O3999" s="13"/>
    </row>
    <row r="4000" spans="1:15" s="12" customFormat="1" ht="30" hidden="1" customHeight="1" x14ac:dyDescent="0.3">
      <c r="A4000" s="13"/>
      <c r="B4000" s="13"/>
      <c r="C4000" s="13"/>
      <c r="D4000" s="13"/>
      <c r="E4000" s="13"/>
      <c r="F4000" s="17"/>
      <c r="G4000" s="13"/>
      <c r="H4000" s="13"/>
      <c r="I4000" s="13"/>
      <c r="J4000" s="13"/>
      <c r="K4000" s="13"/>
      <c r="L4000" s="13"/>
      <c r="M4000" s="13"/>
      <c r="N4000" s="13"/>
      <c r="O4000" s="13"/>
    </row>
    <row r="4001" spans="1:29" s="12" customFormat="1" ht="30" hidden="1" customHeight="1" x14ac:dyDescent="0.3">
      <c r="A4001" s="13"/>
      <c r="B4001" s="13"/>
      <c r="C4001" s="13"/>
      <c r="D4001" s="13"/>
      <c r="E4001" s="13"/>
      <c r="F4001" s="17"/>
      <c r="G4001" s="13"/>
      <c r="H4001" s="13"/>
      <c r="I4001" s="13"/>
      <c r="J4001" s="13"/>
      <c r="K4001" s="13"/>
      <c r="L4001" s="13"/>
      <c r="M4001" s="13"/>
      <c r="N4001" s="13"/>
      <c r="O4001" s="13"/>
    </row>
    <row r="4002" spans="1:29" s="12" customFormat="1" ht="30" hidden="1" customHeight="1" x14ac:dyDescent="0.3">
      <c r="A4002" s="13"/>
      <c r="B4002" s="13"/>
      <c r="C4002" s="13"/>
      <c r="D4002" s="13"/>
      <c r="E4002" s="13"/>
      <c r="F4002" s="17"/>
      <c r="G4002" s="13"/>
      <c r="H4002" s="13"/>
      <c r="I4002" s="13"/>
      <c r="J4002" s="13"/>
      <c r="K4002" s="13"/>
      <c r="L4002" s="13"/>
      <c r="M4002" s="13"/>
      <c r="N4002" s="13"/>
      <c r="O4002" s="13"/>
    </row>
    <row r="4003" spans="1:29" s="12" customFormat="1" ht="30" hidden="1" customHeight="1" x14ac:dyDescent="0.3">
      <c r="A4003" s="13"/>
      <c r="B4003" s="13"/>
      <c r="C4003" s="13"/>
      <c r="D4003" s="13"/>
      <c r="E4003" s="13"/>
      <c r="F4003" s="17"/>
      <c r="G4003" s="13"/>
      <c r="H4003" s="13"/>
      <c r="I4003" s="13"/>
      <c r="J4003" s="13"/>
      <c r="K4003" s="13"/>
      <c r="L4003" s="13"/>
      <c r="M4003" s="13"/>
      <c r="N4003" s="13"/>
      <c r="O4003" s="13"/>
    </row>
    <row r="4004" spans="1:29" s="12" customFormat="1" ht="30" hidden="1" customHeight="1" x14ac:dyDescent="0.3">
      <c r="A4004" s="13"/>
      <c r="B4004" s="13"/>
      <c r="C4004" s="13"/>
      <c r="D4004" s="13"/>
      <c r="E4004" s="13"/>
      <c r="F4004" s="17"/>
      <c r="G4004" s="13"/>
      <c r="H4004" s="13"/>
      <c r="I4004" s="13"/>
      <c r="J4004" s="13"/>
      <c r="K4004" s="13"/>
      <c r="L4004" s="13"/>
      <c r="M4004" s="13"/>
      <c r="N4004" s="13"/>
      <c r="O4004" s="13"/>
    </row>
    <row r="4005" spans="1:29" s="12" customFormat="1" ht="30" hidden="1" customHeight="1" x14ac:dyDescent="0.3">
      <c r="A4005" s="13"/>
      <c r="B4005" s="13"/>
      <c r="C4005" s="13"/>
      <c r="D4005" s="13"/>
      <c r="E4005" s="13"/>
      <c r="F4005" s="17"/>
      <c r="G4005" s="13"/>
      <c r="H4005" s="13"/>
      <c r="I4005" s="13"/>
      <c r="J4005" s="13"/>
      <c r="K4005" s="13"/>
      <c r="L4005" s="13"/>
      <c r="M4005" s="13"/>
      <c r="N4005" s="13"/>
      <c r="O4005" s="13"/>
    </row>
    <row r="4006" spans="1:29" s="12" customFormat="1" ht="30" hidden="1" customHeight="1" x14ac:dyDescent="0.3">
      <c r="A4006" s="13"/>
      <c r="B4006" s="13"/>
      <c r="C4006" s="13"/>
      <c r="D4006" s="13"/>
      <c r="E4006" s="13"/>
      <c r="F4006" s="17"/>
      <c r="G4006" s="13"/>
      <c r="H4006" s="13"/>
      <c r="I4006" s="13"/>
      <c r="J4006" s="13"/>
      <c r="K4006" s="13"/>
      <c r="L4006" s="13"/>
      <c r="M4006" s="13"/>
      <c r="N4006" s="13"/>
      <c r="O4006" s="13"/>
    </row>
    <row r="4007" spans="1:29" s="12" customFormat="1" ht="30" hidden="1" customHeight="1" x14ac:dyDescent="0.3">
      <c r="A4007" s="13"/>
      <c r="B4007" s="13"/>
      <c r="C4007" s="13"/>
      <c r="D4007" s="13"/>
      <c r="E4007" s="13"/>
      <c r="F4007" s="17"/>
      <c r="G4007" s="13"/>
      <c r="H4007" s="13"/>
      <c r="I4007" s="13"/>
      <c r="J4007" s="13"/>
      <c r="K4007" s="13"/>
      <c r="L4007" s="13"/>
      <c r="M4007" s="13"/>
      <c r="N4007" s="13"/>
      <c r="O4007" s="13"/>
    </row>
    <row r="4008" spans="1:29" ht="30" customHeight="1" x14ac:dyDescent="0.3">
      <c r="A4008" s="5"/>
      <c r="B4008" s="5"/>
      <c r="C4008" s="6" t="s">
        <v>3614</v>
      </c>
      <c r="D4008" s="6"/>
      <c r="E4008" s="6"/>
      <c r="F4008" s="7"/>
      <c r="G4008" s="6"/>
      <c r="H4008" s="6"/>
      <c r="I4008" s="6"/>
      <c r="J4008" s="6"/>
      <c r="K4008" s="6"/>
      <c r="L4008" s="6"/>
      <c r="M4008" s="6"/>
      <c r="N4008" s="6"/>
      <c r="O4008" s="6"/>
    </row>
    <row r="4009" spans="1:29" ht="30" customHeight="1" x14ac:dyDescent="0.3">
      <c r="A4009" s="8" t="s">
        <v>3615</v>
      </c>
      <c r="B4009" s="8" t="s">
        <v>3616</v>
      </c>
      <c r="C4009" s="8" t="s">
        <v>2520</v>
      </c>
      <c r="D4009" s="8" t="s">
        <v>3617</v>
      </c>
      <c r="E4009" s="8" t="s">
        <v>19</v>
      </c>
      <c r="F4009" s="9">
        <v>1</v>
      </c>
      <c r="G4009" s="5">
        <f>TRUNC([1]단가대비표!O1395,0)</f>
        <v>8627000</v>
      </c>
      <c r="H4009" s="5">
        <f t="shared" ref="H4009:H4026" si="380">TRUNC(F4009*G4009,0)</f>
        <v>8627000</v>
      </c>
      <c r="I4009" s="5">
        <v>0</v>
      </c>
      <c r="J4009" s="5">
        <f t="shared" ref="J4009:J4026" si="381">TRUNC(F4009*I4009,0)</f>
        <v>0</v>
      </c>
      <c r="K4009" s="5">
        <v>0</v>
      </c>
      <c r="L4009" s="5">
        <f t="shared" ref="L4009:L4026" si="382">TRUNC(F4009*K4009,0)</f>
        <v>0</v>
      </c>
      <c r="M4009" s="5">
        <f t="shared" ref="M4009:N4026" si="383">G4009+I4009+K4009</f>
        <v>8627000</v>
      </c>
      <c r="N4009" s="5">
        <f t="shared" si="383"/>
        <v>8627000</v>
      </c>
      <c r="O4009" s="8" t="s">
        <v>3618</v>
      </c>
      <c r="T4009">
        <v>0</v>
      </c>
      <c r="AC4009">
        <v>1</v>
      </c>
    </row>
    <row r="4010" spans="1:29" ht="30" customHeight="1" x14ac:dyDescent="0.3">
      <c r="A4010" s="8" t="s">
        <v>3615</v>
      </c>
      <c r="B4010" s="8" t="s">
        <v>3619</v>
      </c>
      <c r="C4010" s="8" t="s">
        <v>2527</v>
      </c>
      <c r="D4010" s="8" t="s">
        <v>3620</v>
      </c>
      <c r="E4010" s="8" t="s">
        <v>19</v>
      </c>
      <c r="F4010" s="9">
        <v>1</v>
      </c>
      <c r="G4010" s="5">
        <f>TRUNC([1]단가대비표!O1396,0)</f>
        <v>723000</v>
      </c>
      <c r="H4010" s="5">
        <f t="shared" si="380"/>
        <v>723000</v>
      </c>
      <c r="I4010" s="5">
        <v>0</v>
      </c>
      <c r="J4010" s="5">
        <f t="shared" si="381"/>
        <v>0</v>
      </c>
      <c r="K4010" s="5">
        <v>0</v>
      </c>
      <c r="L4010" s="5">
        <f t="shared" si="382"/>
        <v>0</v>
      </c>
      <c r="M4010" s="5">
        <f t="shared" si="383"/>
        <v>723000</v>
      </c>
      <c r="N4010" s="5">
        <f t="shared" si="383"/>
        <v>723000</v>
      </c>
      <c r="O4010" s="8" t="s">
        <v>3621</v>
      </c>
      <c r="T4010">
        <v>0</v>
      </c>
      <c r="AC4010">
        <v>1</v>
      </c>
    </row>
    <row r="4011" spans="1:29" ht="30" customHeight="1" x14ac:dyDescent="0.3">
      <c r="A4011" s="8" t="s">
        <v>3615</v>
      </c>
      <c r="B4011" s="8" t="s">
        <v>3622</v>
      </c>
      <c r="C4011" s="8" t="s">
        <v>2527</v>
      </c>
      <c r="D4011" s="8" t="s">
        <v>3623</v>
      </c>
      <c r="E4011" s="8" t="s">
        <v>19</v>
      </c>
      <c r="F4011" s="9">
        <v>4</v>
      </c>
      <c r="G4011" s="5">
        <f>TRUNC([1]단가대비표!O1397,0)</f>
        <v>730000</v>
      </c>
      <c r="H4011" s="5">
        <f t="shared" si="380"/>
        <v>2920000</v>
      </c>
      <c r="I4011" s="5">
        <v>0</v>
      </c>
      <c r="J4011" s="5">
        <f t="shared" si="381"/>
        <v>0</v>
      </c>
      <c r="K4011" s="5">
        <v>0</v>
      </c>
      <c r="L4011" s="5">
        <f t="shared" si="382"/>
        <v>0</v>
      </c>
      <c r="M4011" s="5">
        <f t="shared" si="383"/>
        <v>730000</v>
      </c>
      <c r="N4011" s="5">
        <f t="shared" si="383"/>
        <v>2920000</v>
      </c>
      <c r="O4011" s="8" t="s">
        <v>3624</v>
      </c>
      <c r="T4011">
        <v>0</v>
      </c>
      <c r="AC4011">
        <v>1</v>
      </c>
    </row>
    <row r="4012" spans="1:29" ht="30" customHeight="1" x14ac:dyDescent="0.3">
      <c r="A4012" s="8" t="s">
        <v>3615</v>
      </c>
      <c r="B4012" s="8" t="s">
        <v>3625</v>
      </c>
      <c r="C4012" s="8" t="s">
        <v>2546</v>
      </c>
      <c r="D4012" s="8" t="s">
        <v>3626</v>
      </c>
      <c r="E4012" s="8" t="s">
        <v>19</v>
      </c>
      <c r="F4012" s="9">
        <v>5</v>
      </c>
      <c r="G4012" s="5">
        <f>TRUNC([1]단가대비표!O1398,0)</f>
        <v>53400</v>
      </c>
      <c r="H4012" s="5">
        <f t="shared" si="380"/>
        <v>267000</v>
      </c>
      <c r="I4012" s="5">
        <v>0</v>
      </c>
      <c r="J4012" s="5">
        <f t="shared" si="381"/>
        <v>0</v>
      </c>
      <c r="K4012" s="5">
        <v>0</v>
      </c>
      <c r="L4012" s="5">
        <f t="shared" si="382"/>
        <v>0</v>
      </c>
      <c r="M4012" s="5">
        <f t="shared" si="383"/>
        <v>53400</v>
      </c>
      <c r="N4012" s="5">
        <f t="shared" si="383"/>
        <v>267000</v>
      </c>
      <c r="O4012" s="8" t="s">
        <v>2547</v>
      </c>
      <c r="T4012">
        <v>0</v>
      </c>
      <c r="AC4012">
        <v>1</v>
      </c>
    </row>
    <row r="4013" spans="1:29" ht="30" customHeight="1" x14ac:dyDescent="0.3">
      <c r="A4013" s="8" t="s">
        <v>3615</v>
      </c>
      <c r="B4013" s="8" t="s">
        <v>3627</v>
      </c>
      <c r="C4013" s="8" t="s">
        <v>2555</v>
      </c>
      <c r="D4013" s="8" t="s">
        <v>3628</v>
      </c>
      <c r="E4013" s="8" t="s">
        <v>428</v>
      </c>
      <c r="F4013" s="9">
        <v>4</v>
      </c>
      <c r="G4013" s="5">
        <f>TRUNC([1]단가대비표!O1399,0)</f>
        <v>52100</v>
      </c>
      <c r="H4013" s="5">
        <f t="shared" si="380"/>
        <v>208400</v>
      </c>
      <c r="I4013" s="5">
        <v>0</v>
      </c>
      <c r="J4013" s="5">
        <f t="shared" si="381"/>
        <v>0</v>
      </c>
      <c r="K4013" s="5">
        <v>0</v>
      </c>
      <c r="L4013" s="5">
        <f t="shared" si="382"/>
        <v>0</v>
      </c>
      <c r="M4013" s="5">
        <f t="shared" si="383"/>
        <v>52100</v>
      </c>
      <c r="N4013" s="5">
        <f t="shared" si="383"/>
        <v>208400</v>
      </c>
      <c r="O4013" s="8" t="s">
        <v>2556</v>
      </c>
      <c r="T4013">
        <v>0</v>
      </c>
      <c r="AC4013">
        <v>1</v>
      </c>
    </row>
    <row r="4014" spans="1:29" ht="30" customHeight="1" x14ac:dyDescent="0.3">
      <c r="A4014" s="8" t="s">
        <v>3615</v>
      </c>
      <c r="B4014" s="8" t="s">
        <v>3629</v>
      </c>
      <c r="C4014" s="8" t="s">
        <v>2564</v>
      </c>
      <c r="D4014" s="8" t="s">
        <v>3630</v>
      </c>
      <c r="E4014" s="8" t="s">
        <v>161</v>
      </c>
      <c r="F4014" s="9">
        <v>5</v>
      </c>
      <c r="G4014" s="5">
        <f>TRUNC([1]단가대비표!O1400,0)</f>
        <v>708840</v>
      </c>
      <c r="H4014" s="5">
        <f t="shared" si="380"/>
        <v>3544200</v>
      </c>
      <c r="I4014" s="5">
        <v>0</v>
      </c>
      <c r="J4014" s="5">
        <f t="shared" si="381"/>
        <v>0</v>
      </c>
      <c r="K4014" s="5">
        <v>0</v>
      </c>
      <c r="L4014" s="5">
        <f t="shared" si="382"/>
        <v>0</v>
      </c>
      <c r="M4014" s="5">
        <f t="shared" si="383"/>
        <v>708840</v>
      </c>
      <c r="N4014" s="5">
        <f t="shared" si="383"/>
        <v>3544200</v>
      </c>
      <c r="O4014" s="8" t="s">
        <v>2565</v>
      </c>
      <c r="T4014">
        <v>0</v>
      </c>
      <c r="AC4014">
        <v>1</v>
      </c>
    </row>
    <row r="4015" spans="1:29" ht="30" customHeight="1" x14ac:dyDescent="0.3">
      <c r="A4015" s="8" t="s">
        <v>3615</v>
      </c>
      <c r="B4015" s="8" t="s">
        <v>3631</v>
      </c>
      <c r="C4015" s="8" t="s">
        <v>2567</v>
      </c>
      <c r="D4015" s="8" t="s">
        <v>3632</v>
      </c>
      <c r="E4015" s="8" t="s">
        <v>895</v>
      </c>
      <c r="F4015" s="9">
        <v>76</v>
      </c>
      <c r="G4015" s="5">
        <f>TRUNC([1]단가대비표!O1401,0)</f>
        <v>6800</v>
      </c>
      <c r="H4015" s="5">
        <f t="shared" si="380"/>
        <v>516800</v>
      </c>
      <c r="I4015" s="5">
        <v>0</v>
      </c>
      <c r="J4015" s="5">
        <f t="shared" si="381"/>
        <v>0</v>
      </c>
      <c r="K4015" s="5">
        <v>0</v>
      </c>
      <c r="L4015" s="5">
        <f t="shared" si="382"/>
        <v>0</v>
      </c>
      <c r="M4015" s="5">
        <f t="shared" si="383"/>
        <v>6800</v>
      </c>
      <c r="N4015" s="5">
        <f t="shared" si="383"/>
        <v>516800</v>
      </c>
      <c r="O4015" s="8" t="s">
        <v>2568</v>
      </c>
      <c r="T4015">
        <v>0</v>
      </c>
      <c r="AC4015">
        <v>1</v>
      </c>
    </row>
    <row r="4016" spans="1:29" ht="30" customHeight="1" x14ac:dyDescent="0.3">
      <c r="A4016" s="8" t="s">
        <v>3615</v>
      </c>
      <c r="B4016" s="8" t="s">
        <v>3633</v>
      </c>
      <c r="C4016" s="8" t="s">
        <v>2567</v>
      </c>
      <c r="D4016" s="8" t="s">
        <v>3634</v>
      </c>
      <c r="E4016" s="8" t="s">
        <v>895</v>
      </c>
      <c r="F4016" s="9">
        <v>42</v>
      </c>
      <c r="G4016" s="5">
        <f>TRUNC([1]단가대비표!O1402,0)</f>
        <v>8110</v>
      </c>
      <c r="H4016" s="5">
        <f t="shared" si="380"/>
        <v>340620</v>
      </c>
      <c r="I4016" s="5">
        <v>0</v>
      </c>
      <c r="J4016" s="5">
        <f t="shared" si="381"/>
        <v>0</v>
      </c>
      <c r="K4016" s="5">
        <v>0</v>
      </c>
      <c r="L4016" s="5">
        <f t="shared" si="382"/>
        <v>0</v>
      </c>
      <c r="M4016" s="5">
        <f t="shared" si="383"/>
        <v>8110</v>
      </c>
      <c r="N4016" s="5">
        <f t="shared" si="383"/>
        <v>340620</v>
      </c>
      <c r="O4016" s="8" t="s">
        <v>2570</v>
      </c>
      <c r="T4016">
        <v>0</v>
      </c>
      <c r="AC4016">
        <v>1</v>
      </c>
    </row>
    <row r="4017" spans="1:29" ht="30" customHeight="1" x14ac:dyDescent="0.3">
      <c r="A4017" s="8" t="s">
        <v>3615</v>
      </c>
      <c r="B4017" s="8" t="s">
        <v>3635</v>
      </c>
      <c r="C4017" s="8" t="s">
        <v>2567</v>
      </c>
      <c r="D4017" s="8" t="s">
        <v>3636</v>
      </c>
      <c r="E4017" s="8" t="s">
        <v>895</v>
      </c>
      <c r="F4017" s="9">
        <v>21</v>
      </c>
      <c r="G4017" s="5">
        <f>TRUNC([1]단가대비표!O1403,0)</f>
        <v>9970</v>
      </c>
      <c r="H4017" s="5">
        <f t="shared" si="380"/>
        <v>209370</v>
      </c>
      <c r="I4017" s="5">
        <v>0</v>
      </c>
      <c r="J4017" s="5">
        <f t="shared" si="381"/>
        <v>0</v>
      </c>
      <c r="K4017" s="5">
        <v>0</v>
      </c>
      <c r="L4017" s="5">
        <f t="shared" si="382"/>
        <v>0</v>
      </c>
      <c r="M4017" s="5">
        <f t="shared" si="383"/>
        <v>9970</v>
      </c>
      <c r="N4017" s="5">
        <f t="shared" si="383"/>
        <v>209370</v>
      </c>
      <c r="O4017" s="8" t="s">
        <v>2572</v>
      </c>
      <c r="T4017">
        <v>0</v>
      </c>
      <c r="AC4017">
        <v>1</v>
      </c>
    </row>
    <row r="4018" spans="1:29" ht="30" customHeight="1" x14ac:dyDescent="0.3">
      <c r="A4018" s="8" t="s">
        <v>3615</v>
      </c>
      <c r="B4018" s="8" t="s">
        <v>3637</v>
      </c>
      <c r="C4018" s="8" t="s">
        <v>2567</v>
      </c>
      <c r="D4018" s="8" t="s">
        <v>3638</v>
      </c>
      <c r="E4018" s="8" t="s">
        <v>895</v>
      </c>
      <c r="F4018" s="9">
        <v>22</v>
      </c>
      <c r="G4018" s="5">
        <f>TRUNC([1]단가대비표!O1404,0)</f>
        <v>12130</v>
      </c>
      <c r="H4018" s="5">
        <f t="shared" si="380"/>
        <v>266860</v>
      </c>
      <c r="I4018" s="5">
        <v>0</v>
      </c>
      <c r="J4018" s="5">
        <f t="shared" si="381"/>
        <v>0</v>
      </c>
      <c r="K4018" s="5">
        <v>0</v>
      </c>
      <c r="L4018" s="5">
        <f t="shared" si="382"/>
        <v>0</v>
      </c>
      <c r="M4018" s="5">
        <f t="shared" si="383"/>
        <v>12130</v>
      </c>
      <c r="N4018" s="5">
        <f t="shared" si="383"/>
        <v>266860</v>
      </c>
      <c r="O4018" s="8" t="s">
        <v>2574</v>
      </c>
      <c r="T4018">
        <v>0</v>
      </c>
      <c r="AC4018">
        <v>1</v>
      </c>
    </row>
    <row r="4019" spans="1:29" ht="30" customHeight="1" x14ac:dyDescent="0.3">
      <c r="A4019" s="8" t="s">
        <v>3615</v>
      </c>
      <c r="B4019" s="8" t="s">
        <v>3639</v>
      </c>
      <c r="C4019" s="8" t="s">
        <v>2567</v>
      </c>
      <c r="D4019" s="8" t="s">
        <v>3640</v>
      </c>
      <c r="E4019" s="8" t="s">
        <v>895</v>
      </c>
      <c r="F4019" s="9">
        <v>24</v>
      </c>
      <c r="G4019" s="5">
        <f>TRUNC([1]단가대비표!O1405,0)</f>
        <v>13220</v>
      </c>
      <c r="H4019" s="5">
        <f t="shared" si="380"/>
        <v>317280</v>
      </c>
      <c r="I4019" s="5">
        <v>0</v>
      </c>
      <c r="J4019" s="5">
        <f t="shared" si="381"/>
        <v>0</v>
      </c>
      <c r="K4019" s="5">
        <v>0</v>
      </c>
      <c r="L4019" s="5">
        <f t="shared" si="382"/>
        <v>0</v>
      </c>
      <c r="M4019" s="5">
        <f t="shared" si="383"/>
        <v>13220</v>
      </c>
      <c r="N4019" s="5">
        <f t="shared" si="383"/>
        <v>317280</v>
      </c>
      <c r="O4019" s="8" t="s">
        <v>2576</v>
      </c>
      <c r="T4019">
        <v>0</v>
      </c>
      <c r="AC4019">
        <v>1</v>
      </c>
    </row>
    <row r="4020" spans="1:29" ht="30" customHeight="1" x14ac:dyDescent="0.3">
      <c r="A4020" s="8" t="s">
        <v>3615</v>
      </c>
      <c r="B4020" s="8" t="s">
        <v>3641</v>
      </c>
      <c r="C4020" s="8" t="s">
        <v>2580</v>
      </c>
      <c r="D4020" s="8" t="s">
        <v>3642</v>
      </c>
      <c r="E4020" s="8" t="s">
        <v>895</v>
      </c>
      <c r="F4020" s="9">
        <v>58</v>
      </c>
      <c r="G4020" s="5">
        <f>TRUNC([1]단가대비표!O1406,0)</f>
        <v>6480</v>
      </c>
      <c r="H4020" s="5">
        <f t="shared" si="380"/>
        <v>375840</v>
      </c>
      <c r="I4020" s="5">
        <v>0</v>
      </c>
      <c r="J4020" s="5">
        <f t="shared" si="381"/>
        <v>0</v>
      </c>
      <c r="K4020" s="5">
        <v>0</v>
      </c>
      <c r="L4020" s="5">
        <f t="shared" si="382"/>
        <v>0</v>
      </c>
      <c r="M4020" s="5">
        <f t="shared" si="383"/>
        <v>6480</v>
      </c>
      <c r="N4020" s="5">
        <f t="shared" si="383"/>
        <v>375840</v>
      </c>
      <c r="O4020" s="8" t="s">
        <v>2581</v>
      </c>
      <c r="T4020">
        <v>0</v>
      </c>
      <c r="AC4020">
        <v>1</v>
      </c>
    </row>
    <row r="4021" spans="1:29" ht="30" customHeight="1" x14ac:dyDescent="0.3">
      <c r="A4021" s="8" t="s">
        <v>3615</v>
      </c>
      <c r="B4021" s="8" t="s">
        <v>3643</v>
      </c>
      <c r="C4021" s="8" t="s">
        <v>2589</v>
      </c>
      <c r="D4021" s="8" t="s">
        <v>3644</v>
      </c>
      <c r="E4021" s="8" t="s">
        <v>895</v>
      </c>
      <c r="F4021" s="9">
        <v>60</v>
      </c>
      <c r="G4021" s="5">
        <f>TRUNC([1]단가대비표!O1407,0)</f>
        <v>7320</v>
      </c>
      <c r="H4021" s="5">
        <f t="shared" si="380"/>
        <v>439200</v>
      </c>
      <c r="I4021" s="5">
        <v>0</v>
      </c>
      <c r="J4021" s="5">
        <f t="shared" si="381"/>
        <v>0</v>
      </c>
      <c r="K4021" s="5">
        <v>0</v>
      </c>
      <c r="L4021" s="5">
        <f t="shared" si="382"/>
        <v>0</v>
      </c>
      <c r="M4021" s="5">
        <f t="shared" si="383"/>
        <v>7320</v>
      </c>
      <c r="N4021" s="5">
        <f t="shared" si="383"/>
        <v>439200</v>
      </c>
      <c r="O4021" s="8" t="s">
        <v>2590</v>
      </c>
      <c r="T4021">
        <v>0</v>
      </c>
      <c r="AC4021">
        <v>1</v>
      </c>
    </row>
    <row r="4022" spans="1:29" ht="30" customHeight="1" x14ac:dyDescent="0.3">
      <c r="A4022" s="8" t="s">
        <v>3615</v>
      </c>
      <c r="B4022" s="8" t="s">
        <v>3645</v>
      </c>
      <c r="C4022" s="8" t="s">
        <v>2594</v>
      </c>
      <c r="D4022" s="8" t="s">
        <v>20</v>
      </c>
      <c r="E4022" s="8" t="s">
        <v>895</v>
      </c>
      <c r="F4022" s="9">
        <v>80</v>
      </c>
      <c r="G4022" s="5">
        <f>TRUNC([1]단가대비표!O1408,0)</f>
        <v>9890</v>
      </c>
      <c r="H4022" s="5">
        <f t="shared" si="380"/>
        <v>791200</v>
      </c>
      <c r="I4022" s="5">
        <v>0</v>
      </c>
      <c r="J4022" s="5">
        <f t="shared" si="381"/>
        <v>0</v>
      </c>
      <c r="K4022" s="5">
        <v>0</v>
      </c>
      <c r="L4022" s="5">
        <f t="shared" si="382"/>
        <v>0</v>
      </c>
      <c r="M4022" s="5">
        <f t="shared" si="383"/>
        <v>9890</v>
      </c>
      <c r="N4022" s="5">
        <f t="shared" si="383"/>
        <v>791200</v>
      </c>
      <c r="O4022" s="8" t="s">
        <v>2595</v>
      </c>
      <c r="T4022">
        <v>0</v>
      </c>
      <c r="AC4022">
        <v>1</v>
      </c>
    </row>
    <row r="4023" spans="1:29" ht="30" customHeight="1" x14ac:dyDescent="0.3">
      <c r="A4023" s="8" t="s">
        <v>3615</v>
      </c>
      <c r="B4023" s="8" t="s">
        <v>3646</v>
      </c>
      <c r="C4023" s="8" t="s">
        <v>1902</v>
      </c>
      <c r="D4023" s="8" t="s">
        <v>3647</v>
      </c>
      <c r="E4023" s="8" t="s">
        <v>19</v>
      </c>
      <c r="F4023" s="9">
        <v>1</v>
      </c>
      <c r="G4023" s="5">
        <f>TRUNC([1]단가대비표!O1409,0)</f>
        <v>388000</v>
      </c>
      <c r="H4023" s="5">
        <f t="shared" si="380"/>
        <v>388000</v>
      </c>
      <c r="I4023" s="5">
        <v>0</v>
      </c>
      <c r="J4023" s="5">
        <f t="shared" si="381"/>
        <v>0</v>
      </c>
      <c r="K4023" s="5">
        <v>0</v>
      </c>
      <c r="L4023" s="5">
        <f t="shared" si="382"/>
        <v>0</v>
      </c>
      <c r="M4023" s="5">
        <f t="shared" si="383"/>
        <v>388000</v>
      </c>
      <c r="N4023" s="5">
        <f t="shared" si="383"/>
        <v>388000</v>
      </c>
      <c r="O4023" s="8" t="s">
        <v>3648</v>
      </c>
      <c r="T4023">
        <v>0</v>
      </c>
      <c r="AC4023">
        <v>1</v>
      </c>
    </row>
    <row r="4024" spans="1:29" ht="30" customHeight="1" x14ac:dyDescent="0.3">
      <c r="A4024" s="8" t="s">
        <v>3615</v>
      </c>
      <c r="B4024" s="8" t="s">
        <v>3649</v>
      </c>
      <c r="C4024" s="8" t="s">
        <v>2599</v>
      </c>
      <c r="D4024" s="8" t="s">
        <v>3650</v>
      </c>
      <c r="E4024" s="8" t="s">
        <v>895</v>
      </c>
      <c r="F4024" s="9">
        <v>5</v>
      </c>
      <c r="G4024" s="5">
        <f>TRUNC([1]단가대비표!O1410,0)</f>
        <v>51920</v>
      </c>
      <c r="H4024" s="5">
        <f t="shared" si="380"/>
        <v>259600</v>
      </c>
      <c r="I4024" s="5">
        <v>0</v>
      </c>
      <c r="J4024" s="5">
        <f t="shared" si="381"/>
        <v>0</v>
      </c>
      <c r="K4024" s="5">
        <v>0</v>
      </c>
      <c r="L4024" s="5">
        <f t="shared" si="382"/>
        <v>0</v>
      </c>
      <c r="M4024" s="5">
        <f t="shared" si="383"/>
        <v>51920</v>
      </c>
      <c r="N4024" s="5">
        <f t="shared" si="383"/>
        <v>259600</v>
      </c>
      <c r="O4024" s="8" t="s">
        <v>2600</v>
      </c>
      <c r="T4024">
        <v>0</v>
      </c>
      <c r="AC4024">
        <v>1</v>
      </c>
    </row>
    <row r="4025" spans="1:29" ht="30" customHeight="1" x14ac:dyDescent="0.3">
      <c r="A4025" s="8" t="s">
        <v>3615</v>
      </c>
      <c r="B4025" s="8" t="s">
        <v>3651</v>
      </c>
      <c r="C4025" s="8" t="s">
        <v>2602</v>
      </c>
      <c r="D4025" s="8" t="s">
        <v>3652</v>
      </c>
      <c r="E4025" s="8" t="s">
        <v>476</v>
      </c>
      <c r="F4025" s="9">
        <v>1</v>
      </c>
      <c r="G4025" s="5">
        <f>TRUNC([1]단가대비표!O1411,0)</f>
        <v>116400</v>
      </c>
      <c r="H4025" s="5">
        <f t="shared" si="380"/>
        <v>116400</v>
      </c>
      <c r="I4025" s="5">
        <v>0</v>
      </c>
      <c r="J4025" s="5">
        <f t="shared" si="381"/>
        <v>0</v>
      </c>
      <c r="K4025" s="5">
        <v>0</v>
      </c>
      <c r="L4025" s="5">
        <f t="shared" si="382"/>
        <v>0</v>
      </c>
      <c r="M4025" s="5">
        <f t="shared" si="383"/>
        <v>116400</v>
      </c>
      <c r="N4025" s="5">
        <f t="shared" si="383"/>
        <v>116400</v>
      </c>
      <c r="O4025" s="8" t="s">
        <v>2603</v>
      </c>
      <c r="T4025">
        <v>0</v>
      </c>
      <c r="AC4025">
        <v>1</v>
      </c>
    </row>
    <row r="4026" spans="1:29" ht="30" customHeight="1" x14ac:dyDescent="0.3">
      <c r="A4026" s="8" t="s">
        <v>3615</v>
      </c>
      <c r="B4026" s="8" t="s">
        <v>3653</v>
      </c>
      <c r="C4026" s="8" t="s">
        <v>2467</v>
      </c>
      <c r="D4026" s="8" t="s">
        <v>2468</v>
      </c>
      <c r="E4026" s="8" t="s">
        <v>161</v>
      </c>
      <c r="F4026" s="9">
        <v>1</v>
      </c>
      <c r="G4026" s="5">
        <f>TRUNC([1]단가대비표!O1412,0)</f>
        <v>109678</v>
      </c>
      <c r="H4026" s="5">
        <f t="shared" si="380"/>
        <v>109678</v>
      </c>
      <c r="I4026" s="5">
        <v>0</v>
      </c>
      <c r="J4026" s="5">
        <f t="shared" si="381"/>
        <v>0</v>
      </c>
      <c r="K4026" s="5">
        <v>0</v>
      </c>
      <c r="L4026" s="5">
        <f t="shared" si="382"/>
        <v>0</v>
      </c>
      <c r="M4026" s="5">
        <f t="shared" si="383"/>
        <v>109678</v>
      </c>
      <c r="N4026" s="5">
        <f t="shared" si="383"/>
        <v>109678</v>
      </c>
      <c r="O4026" s="8" t="s">
        <v>20</v>
      </c>
      <c r="T4026">
        <v>0</v>
      </c>
      <c r="AC4026">
        <v>1</v>
      </c>
    </row>
    <row r="4027" spans="1:29" ht="30" customHeight="1" x14ac:dyDescent="0.3">
      <c r="A4027" s="5"/>
      <c r="B4027" s="5"/>
      <c r="C4027" s="5"/>
      <c r="D4027" s="5"/>
      <c r="E4027" s="5"/>
      <c r="F4027" s="9"/>
      <c r="G4027" s="5"/>
      <c r="H4027" s="5"/>
      <c r="I4027" s="5"/>
      <c r="J4027" s="5"/>
      <c r="K4027" s="5"/>
      <c r="L4027" s="5"/>
      <c r="M4027" s="5"/>
      <c r="N4027" s="5"/>
      <c r="O4027" s="5"/>
    </row>
    <row r="4028" spans="1:29" ht="30" customHeight="1" x14ac:dyDescent="0.3">
      <c r="A4028" s="5"/>
      <c r="B4028" s="5"/>
      <c r="C4028" s="5"/>
      <c r="D4028" s="5"/>
      <c r="E4028" s="5"/>
      <c r="F4028" s="9"/>
      <c r="G4028" s="5"/>
      <c r="H4028" s="5"/>
      <c r="I4028" s="5"/>
      <c r="J4028" s="5"/>
      <c r="K4028" s="5"/>
      <c r="L4028" s="5"/>
      <c r="M4028" s="5"/>
      <c r="N4028" s="5"/>
      <c r="O4028" s="5"/>
    </row>
    <row r="4029" spans="1:29" ht="30" customHeight="1" x14ac:dyDescent="0.3">
      <c r="A4029" s="5"/>
      <c r="B4029" s="5"/>
      <c r="C4029" s="5"/>
      <c r="D4029" s="5"/>
      <c r="E4029" s="5"/>
      <c r="F4029" s="9"/>
      <c r="G4029" s="5"/>
      <c r="H4029" s="5"/>
      <c r="I4029" s="5"/>
      <c r="J4029" s="5"/>
      <c r="K4029" s="5"/>
      <c r="L4029" s="5"/>
      <c r="M4029" s="5"/>
      <c r="N4029" s="5"/>
      <c r="O4029" s="5"/>
    </row>
    <row r="4030" spans="1:29" ht="30" customHeight="1" x14ac:dyDescent="0.3">
      <c r="A4030" s="5"/>
      <c r="B4030" s="5"/>
      <c r="C4030" s="5"/>
      <c r="D4030" s="5"/>
      <c r="E4030" s="5"/>
      <c r="F4030" s="9"/>
      <c r="G4030" s="5"/>
      <c r="H4030" s="5"/>
      <c r="I4030" s="5"/>
      <c r="J4030" s="5"/>
      <c r="K4030" s="5"/>
      <c r="L4030" s="5"/>
      <c r="M4030" s="5"/>
      <c r="N4030" s="5"/>
      <c r="O4030" s="5"/>
    </row>
    <row r="4031" spans="1:29" ht="30" customHeight="1" x14ac:dyDescent="0.3">
      <c r="A4031" s="5"/>
      <c r="B4031" s="5"/>
      <c r="C4031" s="5"/>
      <c r="D4031" s="5"/>
      <c r="E4031" s="5"/>
      <c r="F4031" s="9"/>
      <c r="G4031" s="5"/>
      <c r="H4031" s="5"/>
      <c r="I4031" s="5"/>
      <c r="J4031" s="5"/>
      <c r="K4031" s="5"/>
      <c r="L4031" s="5"/>
      <c r="M4031" s="5"/>
      <c r="N4031" s="5"/>
      <c r="O4031" s="5"/>
    </row>
    <row r="4032" spans="1:29" ht="30" customHeight="1" x14ac:dyDescent="0.3">
      <c r="A4032" s="5"/>
      <c r="B4032" s="5"/>
      <c r="C4032" s="5"/>
      <c r="D4032" s="5"/>
      <c r="E4032" s="5"/>
      <c r="F4032" s="9"/>
      <c r="G4032" s="5"/>
      <c r="H4032" s="5"/>
      <c r="I4032" s="5"/>
      <c r="J4032" s="5"/>
      <c r="K4032" s="5"/>
      <c r="L4032" s="5"/>
      <c r="M4032" s="5"/>
      <c r="N4032" s="5"/>
      <c r="O4032" s="5"/>
    </row>
    <row r="4033" spans="1:29" ht="30" customHeight="1" x14ac:dyDescent="0.3">
      <c r="A4033" s="5"/>
      <c r="B4033" s="5"/>
      <c r="C4033" s="5" t="s">
        <v>162</v>
      </c>
      <c r="D4033" s="5"/>
      <c r="E4033" s="5"/>
      <c r="F4033" s="9"/>
      <c r="G4033" s="5"/>
      <c r="H4033" s="5">
        <f>SUMIF(AC4009:AC4032, 1, H4009:H4032)</f>
        <v>20420448</v>
      </c>
      <c r="I4033" s="5"/>
      <c r="J4033" s="5">
        <f>SUMIF(AC4009:AC4032, 1, J4009:J4032)</f>
        <v>0</v>
      </c>
      <c r="K4033" s="5"/>
      <c r="L4033" s="5">
        <f>SUMIF(AC4009:AC4032, 1, L4009:L4032)</f>
        <v>0</v>
      </c>
      <c r="M4033" s="5"/>
      <c r="N4033" s="5">
        <f>H4033+J4033+L4033</f>
        <v>20420448</v>
      </c>
      <c r="O4033" s="5"/>
    </row>
    <row r="4034" spans="1:29" ht="30" customHeight="1" x14ac:dyDescent="0.3">
      <c r="A4034" s="5"/>
      <c r="B4034" s="5"/>
      <c r="C4034" s="6" t="s">
        <v>3654</v>
      </c>
      <c r="D4034" s="6"/>
      <c r="E4034" s="6"/>
      <c r="F4034" s="7"/>
      <c r="G4034" s="6"/>
      <c r="H4034" s="6"/>
      <c r="I4034" s="6"/>
      <c r="J4034" s="6"/>
      <c r="K4034" s="6"/>
      <c r="L4034" s="6"/>
      <c r="M4034" s="6"/>
      <c r="N4034" s="6"/>
      <c r="O4034" s="6"/>
    </row>
    <row r="4035" spans="1:29" ht="30" customHeight="1" x14ac:dyDescent="0.3">
      <c r="A4035" s="8" t="s">
        <v>3655</v>
      </c>
      <c r="B4035" s="8" t="s">
        <v>3656</v>
      </c>
      <c r="C4035" s="8" t="s">
        <v>2608</v>
      </c>
      <c r="D4035" s="8" t="s">
        <v>2615</v>
      </c>
      <c r="E4035" s="8" t="s">
        <v>19</v>
      </c>
      <c r="F4035" s="9">
        <v>1</v>
      </c>
      <c r="G4035" s="5">
        <f>TRUNC([1]단가대비표!O1459,0)</f>
        <v>620000</v>
      </c>
      <c r="H4035" s="5">
        <f t="shared" ref="H4035:H4047" si="384">TRUNC(F4035*G4035,0)</f>
        <v>620000</v>
      </c>
      <c r="I4035" s="5">
        <v>0</v>
      </c>
      <c r="J4035" s="5">
        <f t="shared" ref="J4035:J4047" si="385">TRUNC(F4035*I4035,0)</f>
        <v>0</v>
      </c>
      <c r="K4035" s="5">
        <v>0</v>
      </c>
      <c r="L4035" s="5">
        <f t="shared" ref="L4035:L4047" si="386">TRUNC(F4035*K4035,0)</f>
        <v>0</v>
      </c>
      <c r="M4035" s="5">
        <f t="shared" ref="M4035:N4047" si="387">G4035+I4035+K4035</f>
        <v>620000</v>
      </c>
      <c r="N4035" s="5">
        <f t="shared" si="387"/>
        <v>620000</v>
      </c>
      <c r="O4035" s="8" t="s">
        <v>2616</v>
      </c>
      <c r="T4035">
        <v>0</v>
      </c>
      <c r="AC4035">
        <v>1</v>
      </c>
    </row>
    <row r="4036" spans="1:29" ht="30" customHeight="1" x14ac:dyDescent="0.3">
      <c r="A4036" s="8" t="s">
        <v>3655</v>
      </c>
      <c r="B4036" s="8" t="s">
        <v>3657</v>
      </c>
      <c r="C4036" s="8" t="s">
        <v>2608</v>
      </c>
      <c r="D4036" s="8" t="s">
        <v>3658</v>
      </c>
      <c r="E4036" s="8" t="s">
        <v>19</v>
      </c>
      <c r="F4036" s="9">
        <v>2</v>
      </c>
      <c r="G4036" s="5">
        <f>TRUNC([1]단가대비표!O1460,0)</f>
        <v>1160000</v>
      </c>
      <c r="H4036" s="5">
        <f t="shared" si="384"/>
        <v>2320000</v>
      </c>
      <c r="I4036" s="5">
        <v>0</v>
      </c>
      <c r="J4036" s="5">
        <f t="shared" si="385"/>
        <v>0</v>
      </c>
      <c r="K4036" s="5">
        <v>0</v>
      </c>
      <c r="L4036" s="5">
        <f t="shared" si="386"/>
        <v>0</v>
      </c>
      <c r="M4036" s="5">
        <f t="shared" si="387"/>
        <v>1160000</v>
      </c>
      <c r="N4036" s="5">
        <f t="shared" si="387"/>
        <v>2320000</v>
      </c>
      <c r="O4036" s="8" t="s">
        <v>2622</v>
      </c>
      <c r="T4036">
        <v>0</v>
      </c>
      <c r="AC4036">
        <v>1</v>
      </c>
    </row>
    <row r="4037" spans="1:29" ht="30" customHeight="1" x14ac:dyDescent="0.3">
      <c r="A4037" s="8" t="s">
        <v>3655</v>
      </c>
      <c r="B4037" s="8" t="s">
        <v>3659</v>
      </c>
      <c r="C4037" s="8" t="s">
        <v>2627</v>
      </c>
      <c r="D4037" s="8" t="s">
        <v>3660</v>
      </c>
      <c r="E4037" s="8" t="s">
        <v>161</v>
      </c>
      <c r="F4037" s="9">
        <v>1</v>
      </c>
      <c r="G4037" s="5">
        <f>TRUNC([1]단가대비표!O1461,0)</f>
        <v>1280000</v>
      </c>
      <c r="H4037" s="5">
        <f t="shared" si="384"/>
        <v>1280000</v>
      </c>
      <c r="I4037" s="5">
        <v>0</v>
      </c>
      <c r="J4037" s="5">
        <f t="shared" si="385"/>
        <v>0</v>
      </c>
      <c r="K4037" s="5">
        <v>0</v>
      </c>
      <c r="L4037" s="5">
        <f t="shared" si="386"/>
        <v>0</v>
      </c>
      <c r="M4037" s="5">
        <f t="shared" si="387"/>
        <v>1280000</v>
      </c>
      <c r="N4037" s="5">
        <f t="shared" si="387"/>
        <v>1280000</v>
      </c>
      <c r="O4037" s="8" t="s">
        <v>2632</v>
      </c>
      <c r="T4037">
        <v>0</v>
      </c>
      <c r="AC4037">
        <v>1</v>
      </c>
    </row>
    <row r="4038" spans="1:29" ht="30" customHeight="1" x14ac:dyDescent="0.3">
      <c r="A4038" s="8" t="s">
        <v>3655</v>
      </c>
      <c r="B4038" s="8" t="s">
        <v>3661</v>
      </c>
      <c r="C4038" s="8" t="s">
        <v>2627</v>
      </c>
      <c r="D4038" s="8" t="s">
        <v>3662</v>
      </c>
      <c r="E4038" s="8" t="s">
        <v>161</v>
      </c>
      <c r="F4038" s="9">
        <v>2</v>
      </c>
      <c r="G4038" s="5">
        <f>TRUNC([1]단가대비표!O1462,0)</f>
        <v>1750000</v>
      </c>
      <c r="H4038" s="5">
        <f t="shared" si="384"/>
        <v>3500000</v>
      </c>
      <c r="I4038" s="5">
        <v>0</v>
      </c>
      <c r="J4038" s="5">
        <f t="shared" si="385"/>
        <v>0</v>
      </c>
      <c r="K4038" s="5">
        <v>0</v>
      </c>
      <c r="L4038" s="5">
        <f t="shared" si="386"/>
        <v>0</v>
      </c>
      <c r="M4038" s="5">
        <f t="shared" si="387"/>
        <v>1750000</v>
      </c>
      <c r="N4038" s="5">
        <f t="shared" si="387"/>
        <v>3500000</v>
      </c>
      <c r="O4038" s="8" t="s">
        <v>2638</v>
      </c>
      <c r="T4038">
        <v>0</v>
      </c>
      <c r="AC4038">
        <v>1</v>
      </c>
    </row>
    <row r="4039" spans="1:29" ht="30" customHeight="1" x14ac:dyDescent="0.3">
      <c r="A4039" s="8" t="s">
        <v>3655</v>
      </c>
      <c r="B4039" s="8" t="s">
        <v>3663</v>
      </c>
      <c r="C4039" s="8" t="s">
        <v>2640</v>
      </c>
      <c r="D4039" s="8" t="s">
        <v>2634</v>
      </c>
      <c r="E4039" s="8" t="s">
        <v>895</v>
      </c>
      <c r="F4039" s="9">
        <v>40</v>
      </c>
      <c r="G4039" s="5">
        <f>TRUNC([1]단가대비표!O1463,0)</f>
        <v>17190</v>
      </c>
      <c r="H4039" s="5">
        <f t="shared" si="384"/>
        <v>687600</v>
      </c>
      <c r="I4039" s="5">
        <v>0</v>
      </c>
      <c r="J4039" s="5">
        <f t="shared" si="385"/>
        <v>0</v>
      </c>
      <c r="K4039" s="5">
        <v>0</v>
      </c>
      <c r="L4039" s="5">
        <f t="shared" si="386"/>
        <v>0</v>
      </c>
      <c r="M4039" s="5">
        <f t="shared" si="387"/>
        <v>17190</v>
      </c>
      <c r="N4039" s="5">
        <f t="shared" si="387"/>
        <v>687600</v>
      </c>
      <c r="O4039" s="8" t="s">
        <v>2641</v>
      </c>
      <c r="T4039">
        <v>0</v>
      </c>
      <c r="AC4039">
        <v>1</v>
      </c>
    </row>
    <row r="4040" spans="1:29" ht="30" customHeight="1" x14ac:dyDescent="0.3">
      <c r="A4040" s="8" t="s">
        <v>3655</v>
      </c>
      <c r="B4040" s="8" t="s">
        <v>3664</v>
      </c>
      <c r="C4040" s="8" t="s">
        <v>2643</v>
      </c>
      <c r="D4040" s="8" t="s">
        <v>2634</v>
      </c>
      <c r="E4040" s="8" t="s">
        <v>895</v>
      </c>
      <c r="F4040" s="9">
        <v>24</v>
      </c>
      <c r="G4040" s="5">
        <f>TRUNC([1]단가대비표!O1464,0)</f>
        <v>6170</v>
      </c>
      <c r="H4040" s="5">
        <f t="shared" si="384"/>
        <v>148080</v>
      </c>
      <c r="I4040" s="5">
        <v>0</v>
      </c>
      <c r="J4040" s="5">
        <f t="shared" si="385"/>
        <v>0</v>
      </c>
      <c r="K4040" s="5">
        <v>0</v>
      </c>
      <c r="L4040" s="5">
        <f t="shared" si="386"/>
        <v>0</v>
      </c>
      <c r="M4040" s="5">
        <f t="shared" si="387"/>
        <v>6170</v>
      </c>
      <c r="N4040" s="5">
        <f t="shared" si="387"/>
        <v>148080</v>
      </c>
      <c r="O4040" s="8" t="s">
        <v>2644</v>
      </c>
      <c r="T4040">
        <v>0</v>
      </c>
      <c r="AC4040">
        <v>1</v>
      </c>
    </row>
    <row r="4041" spans="1:29" ht="30" customHeight="1" x14ac:dyDescent="0.3">
      <c r="A4041" s="8" t="s">
        <v>3655</v>
      </c>
      <c r="B4041" s="8" t="s">
        <v>3665</v>
      </c>
      <c r="C4041" s="8" t="s">
        <v>2646</v>
      </c>
      <c r="D4041" s="8" t="s">
        <v>2647</v>
      </c>
      <c r="E4041" s="8" t="s">
        <v>895</v>
      </c>
      <c r="F4041" s="9">
        <v>16</v>
      </c>
      <c r="G4041" s="5">
        <f>TRUNC([1]단가대비표!O1465,0)</f>
        <v>13000</v>
      </c>
      <c r="H4041" s="5">
        <f t="shared" si="384"/>
        <v>208000</v>
      </c>
      <c r="I4041" s="5">
        <v>0</v>
      </c>
      <c r="J4041" s="5">
        <f t="shared" si="385"/>
        <v>0</v>
      </c>
      <c r="K4041" s="5">
        <v>0</v>
      </c>
      <c r="L4041" s="5">
        <f t="shared" si="386"/>
        <v>0</v>
      </c>
      <c r="M4041" s="5">
        <f t="shared" si="387"/>
        <v>13000</v>
      </c>
      <c r="N4041" s="5">
        <f t="shared" si="387"/>
        <v>208000</v>
      </c>
      <c r="O4041" s="8" t="s">
        <v>2648</v>
      </c>
      <c r="T4041">
        <v>0</v>
      </c>
      <c r="AC4041">
        <v>1</v>
      </c>
    </row>
    <row r="4042" spans="1:29" ht="30" customHeight="1" x14ac:dyDescent="0.3">
      <c r="A4042" s="8" t="s">
        <v>3655</v>
      </c>
      <c r="B4042" s="8" t="s">
        <v>3666</v>
      </c>
      <c r="C4042" s="8" t="s">
        <v>2650</v>
      </c>
      <c r="D4042" s="8" t="s">
        <v>20</v>
      </c>
      <c r="E4042" s="8" t="s">
        <v>428</v>
      </c>
      <c r="F4042" s="9">
        <v>3</v>
      </c>
      <c r="G4042" s="5">
        <f>TRUNC([1]단가대비표!O1466,0)</f>
        <v>28500</v>
      </c>
      <c r="H4042" s="5">
        <f t="shared" si="384"/>
        <v>85500</v>
      </c>
      <c r="I4042" s="5">
        <v>0</v>
      </c>
      <c r="J4042" s="5">
        <f t="shared" si="385"/>
        <v>0</v>
      </c>
      <c r="K4042" s="5">
        <v>0</v>
      </c>
      <c r="L4042" s="5">
        <f t="shared" si="386"/>
        <v>0</v>
      </c>
      <c r="M4042" s="5">
        <f t="shared" si="387"/>
        <v>28500</v>
      </c>
      <c r="N4042" s="5">
        <f t="shared" si="387"/>
        <v>85500</v>
      </c>
      <c r="O4042" s="8" t="s">
        <v>2651</v>
      </c>
      <c r="T4042">
        <v>0</v>
      </c>
      <c r="AC4042">
        <v>1</v>
      </c>
    </row>
    <row r="4043" spans="1:29" ht="30" customHeight="1" x14ac:dyDescent="0.3">
      <c r="A4043" s="8" t="s">
        <v>3655</v>
      </c>
      <c r="B4043" s="8" t="s">
        <v>3667</v>
      </c>
      <c r="C4043" s="8" t="s">
        <v>2653</v>
      </c>
      <c r="D4043" s="8" t="s">
        <v>20</v>
      </c>
      <c r="E4043" s="8" t="s">
        <v>428</v>
      </c>
      <c r="F4043" s="9">
        <v>1</v>
      </c>
      <c r="G4043" s="5">
        <f>TRUNC([1]단가대비표!O1467,0)</f>
        <v>237500</v>
      </c>
      <c r="H4043" s="5">
        <f t="shared" si="384"/>
        <v>237500</v>
      </c>
      <c r="I4043" s="5">
        <v>0</v>
      </c>
      <c r="J4043" s="5">
        <f t="shared" si="385"/>
        <v>0</v>
      </c>
      <c r="K4043" s="5">
        <v>0</v>
      </c>
      <c r="L4043" s="5">
        <f t="shared" si="386"/>
        <v>0</v>
      </c>
      <c r="M4043" s="5">
        <f t="shared" si="387"/>
        <v>237500</v>
      </c>
      <c r="N4043" s="5">
        <f t="shared" si="387"/>
        <v>237500</v>
      </c>
      <c r="O4043" s="8" t="s">
        <v>2654</v>
      </c>
      <c r="T4043">
        <v>0</v>
      </c>
      <c r="AC4043">
        <v>1</v>
      </c>
    </row>
    <row r="4044" spans="1:29" ht="30" customHeight="1" x14ac:dyDescent="0.3">
      <c r="A4044" s="8" t="s">
        <v>3655</v>
      </c>
      <c r="B4044" s="8" t="s">
        <v>3668</v>
      </c>
      <c r="C4044" s="8" t="s">
        <v>2656</v>
      </c>
      <c r="D4044" s="8" t="s">
        <v>20</v>
      </c>
      <c r="E4044" s="8" t="s">
        <v>895</v>
      </c>
      <c r="F4044" s="9">
        <v>90</v>
      </c>
      <c r="G4044" s="5">
        <f>TRUNC([1]단가대비표!O1468,0)</f>
        <v>4080</v>
      </c>
      <c r="H4044" s="5">
        <f t="shared" si="384"/>
        <v>367200</v>
      </c>
      <c r="I4044" s="5">
        <v>0</v>
      </c>
      <c r="J4044" s="5">
        <f t="shared" si="385"/>
        <v>0</v>
      </c>
      <c r="K4044" s="5">
        <v>0</v>
      </c>
      <c r="L4044" s="5">
        <f t="shared" si="386"/>
        <v>0</v>
      </c>
      <c r="M4044" s="5">
        <f t="shared" si="387"/>
        <v>4080</v>
      </c>
      <c r="N4044" s="5">
        <f t="shared" si="387"/>
        <v>367200</v>
      </c>
      <c r="O4044" s="8" t="s">
        <v>2657</v>
      </c>
      <c r="T4044">
        <v>0</v>
      </c>
      <c r="AC4044">
        <v>1</v>
      </c>
    </row>
    <row r="4045" spans="1:29" ht="30" customHeight="1" x14ac:dyDescent="0.3">
      <c r="A4045" s="8" t="s">
        <v>3655</v>
      </c>
      <c r="B4045" s="8" t="s">
        <v>3669</v>
      </c>
      <c r="C4045" s="8" t="s">
        <v>2659</v>
      </c>
      <c r="D4045" s="8" t="s">
        <v>20</v>
      </c>
      <c r="E4045" s="8" t="s">
        <v>895</v>
      </c>
      <c r="F4045" s="9">
        <v>45</v>
      </c>
      <c r="G4045" s="5">
        <f>TRUNC([1]단가대비표!O1469,0)</f>
        <v>3200</v>
      </c>
      <c r="H4045" s="5">
        <f t="shared" si="384"/>
        <v>144000</v>
      </c>
      <c r="I4045" s="5">
        <v>0</v>
      </c>
      <c r="J4045" s="5">
        <f t="shared" si="385"/>
        <v>0</v>
      </c>
      <c r="K4045" s="5">
        <v>0</v>
      </c>
      <c r="L4045" s="5">
        <f t="shared" si="386"/>
        <v>0</v>
      </c>
      <c r="M4045" s="5">
        <f t="shared" si="387"/>
        <v>3200</v>
      </c>
      <c r="N4045" s="5">
        <f t="shared" si="387"/>
        <v>144000</v>
      </c>
      <c r="O4045" s="8" t="s">
        <v>2660</v>
      </c>
      <c r="T4045">
        <v>0</v>
      </c>
      <c r="AC4045">
        <v>1</v>
      </c>
    </row>
    <row r="4046" spans="1:29" ht="30" customHeight="1" x14ac:dyDescent="0.3">
      <c r="A4046" s="8" t="s">
        <v>3655</v>
      </c>
      <c r="B4046" s="8" t="s">
        <v>3670</v>
      </c>
      <c r="C4046" s="8" t="s">
        <v>2662</v>
      </c>
      <c r="D4046" s="8" t="s">
        <v>20</v>
      </c>
      <c r="E4046" s="8" t="s">
        <v>428</v>
      </c>
      <c r="F4046" s="9">
        <v>3</v>
      </c>
      <c r="G4046" s="5">
        <f>TRUNC([1]단가대비표!O1470,0)</f>
        <v>100000</v>
      </c>
      <c r="H4046" s="5">
        <f t="shared" si="384"/>
        <v>300000</v>
      </c>
      <c r="I4046" s="5">
        <v>0</v>
      </c>
      <c r="J4046" s="5">
        <f t="shared" si="385"/>
        <v>0</v>
      </c>
      <c r="K4046" s="5">
        <v>0</v>
      </c>
      <c r="L4046" s="5">
        <f t="shared" si="386"/>
        <v>0</v>
      </c>
      <c r="M4046" s="5">
        <f t="shared" si="387"/>
        <v>100000</v>
      </c>
      <c r="N4046" s="5">
        <f t="shared" si="387"/>
        <v>300000</v>
      </c>
      <c r="O4046" s="8" t="s">
        <v>2663</v>
      </c>
      <c r="T4046">
        <v>0</v>
      </c>
      <c r="AC4046">
        <v>1</v>
      </c>
    </row>
    <row r="4047" spans="1:29" ht="30" customHeight="1" x14ac:dyDescent="0.3">
      <c r="A4047" s="8" t="s">
        <v>3655</v>
      </c>
      <c r="B4047" s="8" t="s">
        <v>3671</v>
      </c>
      <c r="C4047" s="8" t="s">
        <v>2665</v>
      </c>
      <c r="D4047" s="8" t="s">
        <v>2468</v>
      </c>
      <c r="E4047" s="8" t="s">
        <v>161</v>
      </c>
      <c r="F4047" s="9">
        <v>1</v>
      </c>
      <c r="G4047" s="5">
        <f>TRUNC([1]단가대비표!O1471,0)</f>
        <v>53449</v>
      </c>
      <c r="H4047" s="5">
        <f t="shared" si="384"/>
        <v>53449</v>
      </c>
      <c r="I4047" s="5">
        <v>0</v>
      </c>
      <c r="J4047" s="5">
        <f t="shared" si="385"/>
        <v>0</v>
      </c>
      <c r="K4047" s="5">
        <v>0</v>
      </c>
      <c r="L4047" s="5">
        <f t="shared" si="386"/>
        <v>0</v>
      </c>
      <c r="M4047" s="5">
        <f t="shared" si="387"/>
        <v>53449</v>
      </c>
      <c r="N4047" s="5">
        <f t="shared" si="387"/>
        <v>53449</v>
      </c>
      <c r="O4047" s="8" t="s">
        <v>20</v>
      </c>
      <c r="T4047">
        <v>0</v>
      </c>
      <c r="AC4047">
        <v>1</v>
      </c>
    </row>
    <row r="4048" spans="1:29" ht="30" customHeight="1" x14ac:dyDescent="0.3">
      <c r="A4048" s="5"/>
      <c r="B4048" s="5"/>
      <c r="C4048" s="5"/>
      <c r="D4048" s="5"/>
      <c r="E4048" s="5"/>
      <c r="F4048" s="9"/>
      <c r="G4048" s="5"/>
      <c r="H4048" s="5"/>
      <c r="I4048" s="5"/>
      <c r="J4048" s="5"/>
      <c r="K4048" s="5"/>
      <c r="L4048" s="5"/>
      <c r="M4048" s="5"/>
      <c r="N4048" s="5"/>
      <c r="O4048" s="5"/>
    </row>
    <row r="4049" spans="1:29" ht="30" customHeight="1" x14ac:dyDescent="0.3">
      <c r="A4049" s="5"/>
      <c r="B4049" s="5"/>
      <c r="C4049" s="5"/>
      <c r="D4049" s="5"/>
      <c r="E4049" s="5"/>
      <c r="F4049" s="9"/>
      <c r="G4049" s="5"/>
      <c r="H4049" s="5"/>
      <c r="I4049" s="5"/>
      <c r="J4049" s="5"/>
      <c r="K4049" s="5"/>
      <c r="L4049" s="5"/>
      <c r="M4049" s="5"/>
      <c r="N4049" s="5"/>
      <c r="O4049" s="5"/>
    </row>
    <row r="4050" spans="1:29" ht="30" customHeight="1" x14ac:dyDescent="0.3">
      <c r="A4050" s="5"/>
      <c r="B4050" s="5"/>
      <c r="C4050" s="5"/>
      <c r="D4050" s="5"/>
      <c r="E4050" s="5"/>
      <c r="F4050" s="9"/>
      <c r="G4050" s="5"/>
      <c r="H4050" s="5"/>
      <c r="I4050" s="5"/>
      <c r="J4050" s="5"/>
      <c r="K4050" s="5"/>
      <c r="L4050" s="5"/>
      <c r="M4050" s="5"/>
      <c r="N4050" s="5"/>
      <c r="O4050" s="5"/>
    </row>
    <row r="4051" spans="1:29" ht="30" customHeight="1" x14ac:dyDescent="0.3">
      <c r="A4051" s="5"/>
      <c r="B4051" s="5"/>
      <c r="C4051" s="5"/>
      <c r="D4051" s="5"/>
      <c r="E4051" s="5"/>
      <c r="F4051" s="9"/>
      <c r="G4051" s="5"/>
      <c r="H4051" s="5"/>
      <c r="I4051" s="5"/>
      <c r="J4051" s="5"/>
      <c r="K4051" s="5"/>
      <c r="L4051" s="5"/>
      <c r="M4051" s="5"/>
      <c r="N4051" s="5"/>
      <c r="O4051" s="5"/>
    </row>
    <row r="4052" spans="1:29" ht="30" customHeight="1" x14ac:dyDescent="0.3">
      <c r="A4052" s="5"/>
      <c r="B4052" s="5"/>
      <c r="C4052" s="5"/>
      <c r="D4052" s="5"/>
      <c r="E4052" s="5"/>
      <c r="F4052" s="9"/>
      <c r="G4052" s="5"/>
      <c r="H4052" s="5"/>
      <c r="I4052" s="5"/>
      <c r="J4052" s="5"/>
      <c r="K4052" s="5"/>
      <c r="L4052" s="5"/>
      <c r="M4052" s="5"/>
      <c r="N4052" s="5"/>
      <c r="O4052" s="5"/>
    </row>
    <row r="4053" spans="1:29" ht="30" customHeight="1" x14ac:dyDescent="0.3">
      <c r="A4053" s="5"/>
      <c r="B4053" s="5"/>
      <c r="C4053" s="5"/>
      <c r="D4053" s="5"/>
      <c r="E4053" s="5"/>
      <c r="F4053" s="9"/>
      <c r="G4053" s="5"/>
      <c r="H4053" s="5"/>
      <c r="I4053" s="5"/>
      <c r="J4053" s="5"/>
      <c r="K4053" s="5"/>
      <c r="L4053" s="5"/>
      <c r="M4053" s="5"/>
      <c r="N4053" s="5"/>
      <c r="O4053" s="5"/>
    </row>
    <row r="4054" spans="1:29" ht="30" customHeight="1" x14ac:dyDescent="0.3">
      <c r="A4054" s="5"/>
      <c r="B4054" s="5"/>
      <c r="C4054" s="5"/>
      <c r="D4054" s="5"/>
      <c r="E4054" s="5"/>
      <c r="F4054" s="9"/>
      <c r="G4054" s="5"/>
      <c r="H4054" s="5"/>
      <c r="I4054" s="5"/>
      <c r="J4054" s="5"/>
      <c r="K4054" s="5"/>
      <c r="L4054" s="5"/>
      <c r="M4054" s="5"/>
      <c r="N4054" s="5"/>
      <c r="O4054" s="5"/>
    </row>
    <row r="4055" spans="1:29" ht="30" customHeight="1" x14ac:dyDescent="0.3">
      <c r="A4055" s="5"/>
      <c r="B4055" s="5"/>
      <c r="C4055" s="5"/>
      <c r="D4055" s="5"/>
      <c r="E4055" s="5"/>
      <c r="F4055" s="9"/>
      <c r="G4055" s="5"/>
      <c r="H4055" s="5"/>
      <c r="I4055" s="5"/>
      <c r="J4055" s="5"/>
      <c r="K4055" s="5"/>
      <c r="L4055" s="5"/>
      <c r="M4055" s="5"/>
      <c r="N4055" s="5"/>
      <c r="O4055" s="5"/>
    </row>
    <row r="4056" spans="1:29" ht="30" customHeight="1" x14ac:dyDescent="0.3">
      <c r="A4056" s="5"/>
      <c r="B4056" s="5"/>
      <c r="C4056" s="5"/>
      <c r="D4056" s="5"/>
      <c r="E4056" s="5"/>
      <c r="F4056" s="9"/>
      <c r="G4056" s="5"/>
      <c r="H4056" s="5"/>
      <c r="I4056" s="5"/>
      <c r="J4056" s="5"/>
      <c r="K4056" s="5"/>
      <c r="L4056" s="5"/>
      <c r="M4056" s="5"/>
      <c r="N4056" s="5"/>
      <c r="O4056" s="5"/>
    </row>
    <row r="4057" spans="1:29" ht="30" customHeight="1" x14ac:dyDescent="0.3">
      <c r="A4057" s="5"/>
      <c r="B4057" s="5"/>
      <c r="C4057" s="5"/>
      <c r="D4057" s="5"/>
      <c r="E4057" s="5"/>
      <c r="F4057" s="9"/>
      <c r="G4057" s="5"/>
      <c r="H4057" s="5"/>
      <c r="I4057" s="5"/>
      <c r="J4057" s="5"/>
      <c r="K4057" s="5"/>
      <c r="L4057" s="5"/>
      <c r="M4057" s="5"/>
      <c r="N4057" s="5"/>
      <c r="O4057" s="5"/>
    </row>
    <row r="4058" spans="1:29" ht="30" customHeight="1" x14ac:dyDescent="0.3">
      <c r="A4058" s="5"/>
      <c r="B4058" s="5"/>
      <c r="C4058" s="5"/>
      <c r="D4058" s="5"/>
      <c r="E4058" s="5"/>
      <c r="F4058" s="9"/>
      <c r="G4058" s="5"/>
      <c r="H4058" s="5"/>
      <c r="I4058" s="5"/>
      <c r="J4058" s="5"/>
      <c r="K4058" s="5"/>
      <c r="L4058" s="5"/>
      <c r="M4058" s="5"/>
      <c r="N4058" s="5"/>
      <c r="O4058" s="5"/>
    </row>
    <row r="4059" spans="1:29" ht="30" customHeight="1" x14ac:dyDescent="0.3">
      <c r="A4059" s="5"/>
      <c r="B4059" s="5"/>
      <c r="C4059" s="5" t="s">
        <v>162</v>
      </c>
      <c r="D4059" s="5"/>
      <c r="E4059" s="5"/>
      <c r="F4059" s="9"/>
      <c r="G4059" s="5"/>
      <c r="H4059" s="5">
        <f>SUMIF(AC4035:AC4058, 1, H4035:H4058)</f>
        <v>9951329</v>
      </c>
      <c r="I4059" s="5"/>
      <c r="J4059" s="5">
        <f>SUMIF(AC4035:AC4058, 1, J4035:J4058)</f>
        <v>0</v>
      </c>
      <c r="K4059" s="5"/>
      <c r="L4059" s="5">
        <f>SUMIF(AC4035:AC4058, 1, L4035:L4058)</f>
        <v>0</v>
      </c>
      <c r="M4059" s="5"/>
      <c r="N4059" s="5">
        <f>H4059+J4059+L4059</f>
        <v>9951329</v>
      </c>
      <c r="O4059" s="5"/>
    </row>
    <row r="4060" spans="1:29" ht="30" customHeight="1" x14ac:dyDescent="0.3">
      <c r="A4060" s="5"/>
      <c r="B4060" s="5"/>
      <c r="C4060" s="6" t="s">
        <v>3672</v>
      </c>
      <c r="D4060" s="6"/>
      <c r="E4060" s="6"/>
      <c r="F4060" s="7"/>
      <c r="G4060" s="6"/>
      <c r="H4060" s="6"/>
      <c r="I4060" s="6"/>
      <c r="J4060" s="6"/>
      <c r="K4060" s="6"/>
      <c r="L4060" s="6"/>
      <c r="M4060" s="6"/>
      <c r="N4060" s="6"/>
      <c r="O4060" s="6"/>
    </row>
    <row r="4061" spans="1:29" ht="30" customHeight="1" x14ac:dyDescent="0.3">
      <c r="A4061" s="8" t="s">
        <v>3673</v>
      </c>
      <c r="B4061" s="8" t="s">
        <v>3674</v>
      </c>
      <c r="C4061" s="8" t="s">
        <v>3675</v>
      </c>
      <c r="D4061" s="8" t="s">
        <v>20</v>
      </c>
      <c r="E4061" s="8" t="s">
        <v>20</v>
      </c>
      <c r="F4061" s="9">
        <v>0</v>
      </c>
      <c r="G4061" s="5">
        <f>TRUNC([1]단가대비표!O1607,0)</f>
        <v>0</v>
      </c>
      <c r="H4061" s="5">
        <f t="shared" ref="H4061:H4091" si="388">TRUNC(F4061*G4061,0)</f>
        <v>0</v>
      </c>
      <c r="I4061" s="5">
        <v>0</v>
      </c>
      <c r="J4061" s="5">
        <f t="shared" ref="J4061:J4091" si="389">TRUNC(F4061*I4061,0)</f>
        <v>0</v>
      </c>
      <c r="K4061" s="5">
        <v>0</v>
      </c>
      <c r="L4061" s="5">
        <f t="shared" ref="L4061:L4091" si="390">TRUNC(F4061*K4061,0)</f>
        <v>0</v>
      </c>
      <c r="M4061" s="5">
        <f t="shared" ref="M4061:N4091" si="391">G4061+I4061+K4061</f>
        <v>0</v>
      </c>
      <c r="N4061" s="5">
        <f t="shared" si="391"/>
        <v>0</v>
      </c>
      <c r="O4061" s="8" t="s">
        <v>20</v>
      </c>
      <c r="T4061">
        <v>0</v>
      </c>
      <c r="AC4061">
        <v>1</v>
      </c>
    </row>
    <row r="4062" spans="1:29" ht="30" customHeight="1" x14ac:dyDescent="0.3">
      <c r="A4062" s="8" t="s">
        <v>3673</v>
      </c>
      <c r="B4062" s="8" t="s">
        <v>3676</v>
      </c>
      <c r="C4062" s="8" t="s">
        <v>2758</v>
      </c>
      <c r="D4062" s="8" t="s">
        <v>3677</v>
      </c>
      <c r="E4062" s="8" t="s">
        <v>179</v>
      </c>
      <c r="F4062" s="9">
        <v>1</v>
      </c>
      <c r="G4062" s="5">
        <f>TRUNC([1]단가대비표!O1608,0)</f>
        <v>1820000</v>
      </c>
      <c r="H4062" s="5">
        <f t="shared" si="388"/>
        <v>1820000</v>
      </c>
      <c r="I4062" s="5">
        <v>1527111</v>
      </c>
      <c r="J4062" s="5">
        <f t="shared" si="389"/>
        <v>1527111</v>
      </c>
      <c r="K4062" s="5">
        <v>0</v>
      </c>
      <c r="L4062" s="5">
        <f t="shared" si="390"/>
        <v>0</v>
      </c>
      <c r="M4062" s="5">
        <f t="shared" si="391"/>
        <v>3347111</v>
      </c>
      <c r="N4062" s="5">
        <f t="shared" si="391"/>
        <v>3347111</v>
      </c>
      <c r="O4062" s="8" t="s">
        <v>20</v>
      </c>
      <c r="T4062">
        <v>0</v>
      </c>
      <c r="AC4062">
        <v>1</v>
      </c>
    </row>
    <row r="4063" spans="1:29" ht="30" customHeight="1" x14ac:dyDescent="0.3">
      <c r="A4063" s="8" t="s">
        <v>3673</v>
      </c>
      <c r="B4063" s="8" t="s">
        <v>3678</v>
      </c>
      <c r="C4063" s="8" t="s">
        <v>2761</v>
      </c>
      <c r="D4063" s="8" t="s">
        <v>2762</v>
      </c>
      <c r="E4063" s="8" t="s">
        <v>179</v>
      </c>
      <c r="F4063" s="9">
        <v>1</v>
      </c>
      <c r="G4063" s="5">
        <f>TRUNC([1]단가대비표!O1609,0)</f>
        <v>4000000</v>
      </c>
      <c r="H4063" s="5">
        <f t="shared" si="388"/>
        <v>4000000</v>
      </c>
      <c r="I4063" s="5">
        <v>0</v>
      </c>
      <c r="J4063" s="5">
        <f t="shared" si="389"/>
        <v>0</v>
      </c>
      <c r="K4063" s="5">
        <v>0</v>
      </c>
      <c r="L4063" s="5">
        <f t="shared" si="390"/>
        <v>0</v>
      </c>
      <c r="M4063" s="5">
        <f t="shared" si="391"/>
        <v>4000000</v>
      </c>
      <c r="N4063" s="5">
        <f t="shared" si="391"/>
        <v>4000000</v>
      </c>
      <c r="O4063" s="8" t="s">
        <v>20</v>
      </c>
      <c r="T4063">
        <v>0</v>
      </c>
      <c r="AC4063">
        <v>1</v>
      </c>
    </row>
    <row r="4064" spans="1:29" ht="30" customHeight="1" x14ac:dyDescent="0.3">
      <c r="A4064" s="8" t="s">
        <v>3673</v>
      </c>
      <c r="B4064" s="8" t="s">
        <v>3679</v>
      </c>
      <c r="C4064" s="8" t="s">
        <v>2773</v>
      </c>
      <c r="D4064" s="8" t="s">
        <v>2774</v>
      </c>
      <c r="E4064" s="8" t="s">
        <v>179</v>
      </c>
      <c r="F4064" s="9">
        <v>1</v>
      </c>
      <c r="G4064" s="5">
        <f>TRUNC([1]단가대비표!O1610,0)</f>
        <v>1600000</v>
      </c>
      <c r="H4064" s="5">
        <f t="shared" si="388"/>
        <v>1600000</v>
      </c>
      <c r="I4064" s="5">
        <v>0</v>
      </c>
      <c r="J4064" s="5">
        <f t="shared" si="389"/>
        <v>0</v>
      </c>
      <c r="K4064" s="5">
        <v>0</v>
      </c>
      <c r="L4064" s="5">
        <f t="shared" si="390"/>
        <v>0</v>
      </c>
      <c r="M4064" s="5">
        <f t="shared" si="391"/>
        <v>1600000</v>
      </c>
      <c r="N4064" s="5">
        <f t="shared" si="391"/>
        <v>1600000</v>
      </c>
      <c r="O4064" s="8" t="s">
        <v>20</v>
      </c>
      <c r="T4064">
        <v>0</v>
      </c>
      <c r="AC4064">
        <v>1</v>
      </c>
    </row>
    <row r="4065" spans="1:29" ht="30" customHeight="1" x14ac:dyDescent="0.3">
      <c r="A4065" s="8" t="s">
        <v>3673</v>
      </c>
      <c r="B4065" s="8" t="s">
        <v>3680</v>
      </c>
      <c r="C4065" s="8" t="s">
        <v>2746</v>
      </c>
      <c r="D4065" s="8" t="s">
        <v>2747</v>
      </c>
      <c r="E4065" s="8" t="s">
        <v>179</v>
      </c>
      <c r="F4065" s="9">
        <v>1</v>
      </c>
      <c r="G4065" s="5">
        <f>TRUNC([1]단가대비표!O1611,0)</f>
        <v>82000</v>
      </c>
      <c r="H4065" s="5">
        <f t="shared" si="388"/>
        <v>82000</v>
      </c>
      <c r="I4065" s="5">
        <v>0</v>
      </c>
      <c r="J4065" s="5">
        <f t="shared" si="389"/>
        <v>0</v>
      </c>
      <c r="K4065" s="5">
        <v>0</v>
      </c>
      <c r="L4065" s="5">
        <f t="shared" si="390"/>
        <v>0</v>
      </c>
      <c r="M4065" s="5">
        <f t="shared" si="391"/>
        <v>82000</v>
      </c>
      <c r="N4065" s="5">
        <f t="shared" si="391"/>
        <v>82000</v>
      </c>
      <c r="O4065" s="8" t="s">
        <v>20</v>
      </c>
      <c r="T4065">
        <v>0</v>
      </c>
      <c r="AC4065">
        <v>1</v>
      </c>
    </row>
    <row r="4066" spans="1:29" ht="30" customHeight="1" x14ac:dyDescent="0.3">
      <c r="A4066" s="8" t="s">
        <v>3673</v>
      </c>
      <c r="B4066" s="8" t="s">
        <v>3681</v>
      </c>
      <c r="C4066" s="8" t="s">
        <v>3682</v>
      </c>
      <c r="D4066" s="8" t="s">
        <v>20</v>
      </c>
      <c r="E4066" s="8" t="s">
        <v>20</v>
      </c>
      <c r="F4066" s="9">
        <v>0</v>
      </c>
      <c r="G4066" s="5">
        <f>TRUNC([1]단가대비표!O1612,0)</f>
        <v>0</v>
      </c>
      <c r="H4066" s="5">
        <f t="shared" si="388"/>
        <v>0</v>
      </c>
      <c r="I4066" s="5">
        <v>0</v>
      </c>
      <c r="J4066" s="5">
        <f t="shared" si="389"/>
        <v>0</v>
      </c>
      <c r="K4066" s="5">
        <v>0</v>
      </c>
      <c r="L4066" s="5">
        <f t="shared" si="390"/>
        <v>0</v>
      </c>
      <c r="M4066" s="5">
        <f t="shared" si="391"/>
        <v>0</v>
      </c>
      <c r="N4066" s="5">
        <f t="shared" si="391"/>
        <v>0</v>
      </c>
      <c r="O4066" s="8" t="s">
        <v>20</v>
      </c>
      <c r="T4066">
        <v>0</v>
      </c>
      <c r="AC4066">
        <v>1</v>
      </c>
    </row>
    <row r="4067" spans="1:29" ht="30" customHeight="1" x14ac:dyDescent="0.3">
      <c r="A4067" s="8" t="s">
        <v>3673</v>
      </c>
      <c r="B4067" s="8" t="s">
        <v>3683</v>
      </c>
      <c r="C4067" s="8" t="s">
        <v>2835</v>
      </c>
      <c r="D4067" s="8" t="s">
        <v>2836</v>
      </c>
      <c r="E4067" s="8" t="s">
        <v>168</v>
      </c>
      <c r="F4067" s="9">
        <v>52</v>
      </c>
      <c r="G4067" s="5">
        <f>TRUNC([1]단가대비표!O1613,0)</f>
        <v>2547</v>
      </c>
      <c r="H4067" s="5">
        <f t="shared" si="388"/>
        <v>132444</v>
      </c>
      <c r="I4067" s="5">
        <v>10881</v>
      </c>
      <c r="J4067" s="5">
        <f t="shared" si="389"/>
        <v>565812</v>
      </c>
      <c r="K4067" s="5">
        <v>0</v>
      </c>
      <c r="L4067" s="5">
        <f t="shared" si="390"/>
        <v>0</v>
      </c>
      <c r="M4067" s="5">
        <f t="shared" si="391"/>
        <v>13428</v>
      </c>
      <c r="N4067" s="5">
        <f t="shared" si="391"/>
        <v>698256</v>
      </c>
      <c r="O4067" s="8" t="s">
        <v>20</v>
      </c>
      <c r="T4067">
        <v>0</v>
      </c>
      <c r="AC4067">
        <v>1</v>
      </c>
    </row>
    <row r="4068" spans="1:29" ht="30" customHeight="1" x14ac:dyDescent="0.3">
      <c r="A4068" s="8" t="s">
        <v>3673</v>
      </c>
      <c r="B4068" s="8" t="s">
        <v>3684</v>
      </c>
      <c r="C4068" s="8" t="s">
        <v>2852</v>
      </c>
      <c r="D4068" s="8" t="s">
        <v>2853</v>
      </c>
      <c r="E4068" s="8" t="s">
        <v>185</v>
      </c>
      <c r="F4068" s="9">
        <v>13</v>
      </c>
      <c r="G4068" s="5">
        <f>TRUNC([1]단가대비표!O1614,0)</f>
        <v>2916</v>
      </c>
      <c r="H4068" s="5">
        <f t="shared" si="388"/>
        <v>37908</v>
      </c>
      <c r="I4068" s="5">
        <v>6529</v>
      </c>
      <c r="J4068" s="5">
        <f t="shared" si="389"/>
        <v>84877</v>
      </c>
      <c r="K4068" s="5">
        <v>0</v>
      </c>
      <c r="L4068" s="5">
        <f t="shared" si="390"/>
        <v>0</v>
      </c>
      <c r="M4068" s="5">
        <f t="shared" si="391"/>
        <v>9445</v>
      </c>
      <c r="N4068" s="5">
        <f t="shared" si="391"/>
        <v>122785</v>
      </c>
      <c r="O4068" s="8" t="s">
        <v>20</v>
      </c>
      <c r="T4068">
        <v>0</v>
      </c>
      <c r="AC4068">
        <v>1</v>
      </c>
    </row>
    <row r="4069" spans="1:29" ht="30" customHeight="1" x14ac:dyDescent="0.3">
      <c r="A4069" s="8" t="s">
        <v>3673</v>
      </c>
      <c r="B4069" s="8" t="s">
        <v>3685</v>
      </c>
      <c r="C4069" s="8" t="s">
        <v>2870</v>
      </c>
      <c r="D4069" s="8" t="s">
        <v>2871</v>
      </c>
      <c r="E4069" s="8" t="s">
        <v>179</v>
      </c>
      <c r="F4069" s="9">
        <v>1</v>
      </c>
      <c r="G4069" s="5">
        <f>TRUNC([1]단가대비표!O1615,0)</f>
        <v>3245</v>
      </c>
      <c r="H4069" s="5">
        <f t="shared" si="388"/>
        <v>3245</v>
      </c>
      <c r="I4069" s="5">
        <v>47879</v>
      </c>
      <c r="J4069" s="5">
        <f t="shared" si="389"/>
        <v>47879</v>
      </c>
      <c r="K4069" s="5">
        <v>0</v>
      </c>
      <c r="L4069" s="5">
        <f t="shared" si="390"/>
        <v>0</v>
      </c>
      <c r="M4069" s="5">
        <f t="shared" si="391"/>
        <v>51124</v>
      </c>
      <c r="N4069" s="5">
        <f t="shared" si="391"/>
        <v>51124</v>
      </c>
      <c r="O4069" s="8" t="s">
        <v>20</v>
      </c>
      <c r="T4069">
        <v>0</v>
      </c>
      <c r="AC4069">
        <v>1</v>
      </c>
    </row>
    <row r="4070" spans="1:29" ht="30" customHeight="1" x14ac:dyDescent="0.3">
      <c r="A4070" s="8" t="s">
        <v>3673</v>
      </c>
      <c r="B4070" s="8" t="s">
        <v>3686</v>
      </c>
      <c r="C4070" s="8" t="s">
        <v>2877</v>
      </c>
      <c r="D4070" s="8" t="s">
        <v>2878</v>
      </c>
      <c r="E4070" s="8" t="s">
        <v>168</v>
      </c>
      <c r="F4070" s="9">
        <v>2</v>
      </c>
      <c r="G4070" s="5">
        <f>TRUNC([1]단가대비표!O1616,0)</f>
        <v>2892</v>
      </c>
      <c r="H4070" s="5">
        <f t="shared" si="388"/>
        <v>5784</v>
      </c>
      <c r="I4070" s="5">
        <v>0</v>
      </c>
      <c r="J4070" s="5">
        <f t="shared" si="389"/>
        <v>0</v>
      </c>
      <c r="K4070" s="5">
        <v>0</v>
      </c>
      <c r="L4070" s="5">
        <f t="shared" si="390"/>
        <v>0</v>
      </c>
      <c r="M4070" s="5">
        <f t="shared" si="391"/>
        <v>2892</v>
      </c>
      <c r="N4070" s="5">
        <f t="shared" si="391"/>
        <v>5784</v>
      </c>
      <c r="O4070" s="8" t="s">
        <v>20</v>
      </c>
      <c r="T4070">
        <v>0</v>
      </c>
      <c r="AC4070">
        <v>1</v>
      </c>
    </row>
    <row r="4071" spans="1:29" ht="30" customHeight="1" x14ac:dyDescent="0.3">
      <c r="A4071" s="8" t="s">
        <v>3673</v>
      </c>
      <c r="B4071" s="8" t="s">
        <v>3687</v>
      </c>
      <c r="C4071" s="8" t="s">
        <v>2880</v>
      </c>
      <c r="D4071" s="8" t="s">
        <v>2881</v>
      </c>
      <c r="E4071" s="8" t="s">
        <v>168</v>
      </c>
      <c r="F4071" s="9">
        <v>30</v>
      </c>
      <c r="G4071" s="5">
        <f>TRUNC([1]단가대비표!O1617,0)</f>
        <v>649</v>
      </c>
      <c r="H4071" s="5">
        <f t="shared" si="388"/>
        <v>19470</v>
      </c>
      <c r="I4071" s="5">
        <v>1813</v>
      </c>
      <c r="J4071" s="5">
        <f t="shared" si="389"/>
        <v>54390</v>
      </c>
      <c r="K4071" s="5">
        <v>0</v>
      </c>
      <c r="L4071" s="5">
        <f t="shared" si="390"/>
        <v>0</v>
      </c>
      <c r="M4071" s="5">
        <f t="shared" si="391"/>
        <v>2462</v>
      </c>
      <c r="N4071" s="5">
        <f t="shared" si="391"/>
        <v>73860</v>
      </c>
      <c r="O4071" s="8" t="s">
        <v>20</v>
      </c>
      <c r="T4071">
        <v>0</v>
      </c>
      <c r="AC4071">
        <v>1</v>
      </c>
    </row>
    <row r="4072" spans="1:29" ht="30" customHeight="1" x14ac:dyDescent="0.3">
      <c r="A4072" s="8" t="s">
        <v>3673</v>
      </c>
      <c r="B4072" s="8" t="s">
        <v>3688</v>
      </c>
      <c r="C4072" s="8" t="s">
        <v>2883</v>
      </c>
      <c r="D4072" s="8" t="s">
        <v>2884</v>
      </c>
      <c r="E4072" s="8" t="s">
        <v>168</v>
      </c>
      <c r="F4072" s="9">
        <v>15</v>
      </c>
      <c r="G4072" s="5">
        <f>TRUNC([1]단가대비표!O1618,0)</f>
        <v>346</v>
      </c>
      <c r="H4072" s="5">
        <f t="shared" si="388"/>
        <v>5190</v>
      </c>
      <c r="I4072" s="5">
        <v>2668</v>
      </c>
      <c r="J4072" s="5">
        <f t="shared" si="389"/>
        <v>40020</v>
      </c>
      <c r="K4072" s="5">
        <v>0</v>
      </c>
      <c r="L4072" s="5">
        <f t="shared" si="390"/>
        <v>0</v>
      </c>
      <c r="M4072" s="5">
        <f t="shared" si="391"/>
        <v>3014</v>
      </c>
      <c r="N4072" s="5">
        <f t="shared" si="391"/>
        <v>45210</v>
      </c>
      <c r="O4072" s="8" t="s">
        <v>20</v>
      </c>
      <c r="T4072">
        <v>0</v>
      </c>
      <c r="AC4072">
        <v>1</v>
      </c>
    </row>
    <row r="4073" spans="1:29" ht="30" customHeight="1" x14ac:dyDescent="0.3">
      <c r="A4073" s="8" t="s">
        <v>3673</v>
      </c>
      <c r="B4073" s="8" t="s">
        <v>3689</v>
      </c>
      <c r="C4073" s="8" t="s">
        <v>2894</v>
      </c>
      <c r="D4073" s="8" t="s">
        <v>2895</v>
      </c>
      <c r="E4073" s="8" t="s">
        <v>168</v>
      </c>
      <c r="F4073" s="9">
        <v>10</v>
      </c>
      <c r="G4073" s="5">
        <f>TRUNC([1]단가대비표!O1619,0)</f>
        <v>400</v>
      </c>
      <c r="H4073" s="5">
        <f t="shared" si="388"/>
        <v>4000</v>
      </c>
      <c r="I4073" s="5">
        <v>4000</v>
      </c>
      <c r="J4073" s="5">
        <f t="shared" si="389"/>
        <v>40000</v>
      </c>
      <c r="K4073" s="5">
        <v>0</v>
      </c>
      <c r="L4073" s="5">
        <f t="shared" si="390"/>
        <v>0</v>
      </c>
      <c r="M4073" s="5">
        <f t="shared" si="391"/>
        <v>4400</v>
      </c>
      <c r="N4073" s="5">
        <f t="shared" si="391"/>
        <v>44000</v>
      </c>
      <c r="O4073" s="8" t="s">
        <v>20</v>
      </c>
      <c r="T4073">
        <v>0</v>
      </c>
      <c r="AC4073">
        <v>1</v>
      </c>
    </row>
    <row r="4074" spans="1:29" ht="30" customHeight="1" x14ac:dyDescent="0.3">
      <c r="A4074" s="8" t="s">
        <v>3673</v>
      </c>
      <c r="B4074" s="8" t="s">
        <v>3690</v>
      </c>
      <c r="C4074" s="8" t="s">
        <v>2897</v>
      </c>
      <c r="D4074" s="8" t="s">
        <v>2898</v>
      </c>
      <c r="E4074" s="8" t="s">
        <v>168</v>
      </c>
      <c r="F4074" s="9">
        <v>137</v>
      </c>
      <c r="G4074" s="5">
        <f>TRUNC([1]단가대비표!O1620,0)</f>
        <v>2700</v>
      </c>
      <c r="H4074" s="5">
        <f t="shared" si="388"/>
        <v>369900</v>
      </c>
      <c r="I4074" s="5">
        <v>4801</v>
      </c>
      <c r="J4074" s="5">
        <f t="shared" si="389"/>
        <v>657737</v>
      </c>
      <c r="K4074" s="5">
        <v>0</v>
      </c>
      <c r="L4074" s="5">
        <f t="shared" si="390"/>
        <v>0</v>
      </c>
      <c r="M4074" s="5">
        <f t="shared" si="391"/>
        <v>7501</v>
      </c>
      <c r="N4074" s="5">
        <f t="shared" si="391"/>
        <v>1027637</v>
      </c>
      <c r="O4074" s="8" t="s">
        <v>20</v>
      </c>
      <c r="T4074">
        <v>0</v>
      </c>
      <c r="AC4074">
        <v>1</v>
      </c>
    </row>
    <row r="4075" spans="1:29" ht="30" customHeight="1" x14ac:dyDescent="0.3">
      <c r="A4075" s="8" t="s">
        <v>3673</v>
      </c>
      <c r="B4075" s="8" t="s">
        <v>3691</v>
      </c>
      <c r="C4075" s="8" t="s">
        <v>2900</v>
      </c>
      <c r="D4075" s="8" t="s">
        <v>2901</v>
      </c>
      <c r="E4075" s="8" t="s">
        <v>161</v>
      </c>
      <c r="F4075" s="9">
        <v>1</v>
      </c>
      <c r="G4075" s="5">
        <f>TRUNC([1]단가대비표!O1621,0)</f>
        <v>26488</v>
      </c>
      <c r="H4075" s="5">
        <f t="shared" si="388"/>
        <v>26488</v>
      </c>
      <c r="I4075" s="5">
        <v>0</v>
      </c>
      <c r="J4075" s="5">
        <f t="shared" si="389"/>
        <v>0</v>
      </c>
      <c r="K4075" s="5">
        <v>0</v>
      </c>
      <c r="L4075" s="5">
        <f t="shared" si="390"/>
        <v>0</v>
      </c>
      <c r="M4075" s="5">
        <f t="shared" si="391"/>
        <v>26488</v>
      </c>
      <c r="N4075" s="5">
        <f t="shared" si="391"/>
        <v>26488</v>
      </c>
      <c r="O4075" s="8" t="s">
        <v>20</v>
      </c>
      <c r="T4075">
        <v>0</v>
      </c>
      <c r="AC4075">
        <v>1</v>
      </c>
    </row>
    <row r="4076" spans="1:29" ht="30" customHeight="1" x14ac:dyDescent="0.3">
      <c r="A4076" s="8" t="s">
        <v>3673</v>
      </c>
      <c r="B4076" s="8" t="s">
        <v>3692</v>
      </c>
      <c r="C4076" s="8" t="s">
        <v>2903</v>
      </c>
      <c r="D4076" s="8" t="s">
        <v>2904</v>
      </c>
      <c r="E4076" s="8" t="s">
        <v>161</v>
      </c>
      <c r="F4076" s="9">
        <v>1</v>
      </c>
      <c r="G4076" s="5">
        <f>TRUNC([1]단가대비표!O1622,0)</f>
        <v>28897</v>
      </c>
      <c r="H4076" s="5">
        <f t="shared" si="388"/>
        <v>28897</v>
      </c>
      <c r="I4076" s="5">
        <v>0</v>
      </c>
      <c r="J4076" s="5">
        <f t="shared" si="389"/>
        <v>0</v>
      </c>
      <c r="K4076" s="5">
        <v>0</v>
      </c>
      <c r="L4076" s="5">
        <f t="shared" si="390"/>
        <v>0</v>
      </c>
      <c r="M4076" s="5">
        <f t="shared" si="391"/>
        <v>28897</v>
      </c>
      <c r="N4076" s="5">
        <f t="shared" si="391"/>
        <v>28897</v>
      </c>
      <c r="O4076" s="8" t="s">
        <v>20</v>
      </c>
      <c r="T4076">
        <v>0</v>
      </c>
      <c r="AC4076">
        <v>1</v>
      </c>
    </row>
    <row r="4077" spans="1:29" ht="30" customHeight="1" x14ac:dyDescent="0.3">
      <c r="A4077" s="8" t="s">
        <v>3673</v>
      </c>
      <c r="B4077" s="8" t="s">
        <v>3693</v>
      </c>
      <c r="C4077" s="8" t="s">
        <v>159</v>
      </c>
      <c r="D4077" s="8" t="s">
        <v>160</v>
      </c>
      <c r="E4077" s="8" t="s">
        <v>161</v>
      </c>
      <c r="F4077" s="9">
        <v>1</v>
      </c>
      <c r="G4077" s="5">
        <f>TRUNC([1]단가대비표!O1623,0)</f>
        <v>60356</v>
      </c>
      <c r="H4077" s="5">
        <f t="shared" si="388"/>
        <v>60356</v>
      </c>
      <c r="I4077" s="5">
        <v>0</v>
      </c>
      <c r="J4077" s="5">
        <f t="shared" si="389"/>
        <v>0</v>
      </c>
      <c r="K4077" s="5">
        <v>0</v>
      </c>
      <c r="L4077" s="5">
        <f t="shared" si="390"/>
        <v>0</v>
      </c>
      <c r="M4077" s="5">
        <f t="shared" si="391"/>
        <v>60356</v>
      </c>
      <c r="N4077" s="5">
        <f t="shared" si="391"/>
        <v>60356</v>
      </c>
      <c r="O4077" s="8" t="s">
        <v>20</v>
      </c>
      <c r="T4077">
        <v>0</v>
      </c>
      <c r="AC4077">
        <v>1</v>
      </c>
    </row>
    <row r="4078" spans="1:29" ht="30" customHeight="1" x14ac:dyDescent="0.3">
      <c r="A4078" s="8" t="s">
        <v>3673</v>
      </c>
      <c r="B4078" s="8" t="s">
        <v>3694</v>
      </c>
      <c r="C4078" s="8" t="s">
        <v>3695</v>
      </c>
      <c r="D4078" s="8" t="s">
        <v>20</v>
      </c>
      <c r="E4078" s="8" t="s">
        <v>20</v>
      </c>
      <c r="F4078" s="9">
        <v>0</v>
      </c>
      <c r="G4078" s="5">
        <f>TRUNC([1]단가대비표!O1624,0)</f>
        <v>0</v>
      </c>
      <c r="H4078" s="5">
        <f t="shared" si="388"/>
        <v>0</v>
      </c>
      <c r="I4078" s="5">
        <v>0</v>
      </c>
      <c r="J4078" s="5">
        <f t="shared" si="389"/>
        <v>0</v>
      </c>
      <c r="K4078" s="5">
        <v>0</v>
      </c>
      <c r="L4078" s="5">
        <f t="shared" si="390"/>
        <v>0</v>
      </c>
      <c r="M4078" s="5">
        <f t="shared" si="391"/>
        <v>0</v>
      </c>
      <c r="N4078" s="5">
        <f t="shared" si="391"/>
        <v>0</v>
      </c>
      <c r="O4078" s="8" t="s">
        <v>20</v>
      </c>
      <c r="T4078">
        <v>0</v>
      </c>
      <c r="AC4078">
        <v>1</v>
      </c>
    </row>
    <row r="4079" spans="1:29" ht="30" customHeight="1" x14ac:dyDescent="0.3">
      <c r="A4079" s="8" t="s">
        <v>3673</v>
      </c>
      <c r="B4079" s="8" t="s">
        <v>3696</v>
      </c>
      <c r="C4079" s="8" t="s">
        <v>2727</v>
      </c>
      <c r="D4079" s="8" t="s">
        <v>2728</v>
      </c>
      <c r="E4079" s="8" t="s">
        <v>2729</v>
      </c>
      <c r="F4079" s="9">
        <v>39</v>
      </c>
      <c r="G4079" s="5">
        <v>0</v>
      </c>
      <c r="H4079" s="5">
        <f t="shared" si="388"/>
        <v>0</v>
      </c>
      <c r="I4079" s="5">
        <f>TRUNC([1]단가대비표!O1625,0)</f>
        <v>17614</v>
      </c>
      <c r="J4079" s="5">
        <f t="shared" si="389"/>
        <v>686946</v>
      </c>
      <c r="K4079" s="5">
        <v>0</v>
      </c>
      <c r="L4079" s="5">
        <f t="shared" si="390"/>
        <v>0</v>
      </c>
      <c r="M4079" s="5">
        <f t="shared" si="391"/>
        <v>17614</v>
      </c>
      <c r="N4079" s="5">
        <f t="shared" si="391"/>
        <v>686946</v>
      </c>
      <c r="O4079" s="8" t="s">
        <v>20</v>
      </c>
      <c r="T4079">
        <v>0</v>
      </c>
      <c r="AC4079">
        <v>1</v>
      </c>
    </row>
    <row r="4080" spans="1:29" ht="30" customHeight="1" x14ac:dyDescent="0.3">
      <c r="A4080" s="8" t="s">
        <v>3673</v>
      </c>
      <c r="B4080" s="8" t="s">
        <v>3697</v>
      </c>
      <c r="C4080" s="8" t="s">
        <v>2727</v>
      </c>
      <c r="D4080" s="8" t="s">
        <v>2910</v>
      </c>
      <c r="E4080" s="8" t="s">
        <v>2911</v>
      </c>
      <c r="F4080" s="9">
        <v>1</v>
      </c>
      <c r="G4080" s="5">
        <v>0</v>
      </c>
      <c r="H4080" s="5">
        <f t="shared" si="388"/>
        <v>0</v>
      </c>
      <c r="I4080" s="5">
        <f>TRUNC([1]단가대비표!O1626,0)</f>
        <v>134983</v>
      </c>
      <c r="J4080" s="5">
        <f t="shared" si="389"/>
        <v>134983</v>
      </c>
      <c r="K4080" s="5">
        <v>0</v>
      </c>
      <c r="L4080" s="5">
        <f t="shared" si="390"/>
        <v>0</v>
      </c>
      <c r="M4080" s="5">
        <f t="shared" si="391"/>
        <v>134983</v>
      </c>
      <c r="N4080" s="5">
        <f t="shared" si="391"/>
        <v>134983</v>
      </c>
      <c r="O4080" s="8" t="s">
        <v>20</v>
      </c>
      <c r="T4080">
        <v>0</v>
      </c>
      <c r="AC4080">
        <v>1</v>
      </c>
    </row>
    <row r="4081" spans="1:29" ht="30" customHeight="1" x14ac:dyDescent="0.3">
      <c r="A4081" s="8" t="s">
        <v>3673</v>
      </c>
      <c r="B4081" s="8" t="s">
        <v>3698</v>
      </c>
      <c r="C4081" s="8" t="s">
        <v>2727</v>
      </c>
      <c r="D4081" s="8" t="s">
        <v>2731</v>
      </c>
      <c r="E4081" s="8" t="s">
        <v>2729</v>
      </c>
      <c r="F4081" s="9">
        <v>39</v>
      </c>
      <c r="G4081" s="5">
        <v>0</v>
      </c>
      <c r="H4081" s="5">
        <f t="shared" si="388"/>
        <v>0</v>
      </c>
      <c r="I4081" s="5">
        <f>TRUNC([1]단가대비표!O1627,0)</f>
        <v>4568</v>
      </c>
      <c r="J4081" s="5">
        <f t="shared" si="389"/>
        <v>178152</v>
      </c>
      <c r="K4081" s="5">
        <v>0</v>
      </c>
      <c r="L4081" s="5">
        <f t="shared" si="390"/>
        <v>0</v>
      </c>
      <c r="M4081" s="5">
        <f t="shared" si="391"/>
        <v>4568</v>
      </c>
      <c r="N4081" s="5">
        <f t="shared" si="391"/>
        <v>178152</v>
      </c>
      <c r="O4081" s="8" t="s">
        <v>20</v>
      </c>
      <c r="T4081">
        <v>0</v>
      </c>
      <c r="AC4081">
        <v>1</v>
      </c>
    </row>
    <row r="4082" spans="1:29" ht="30" customHeight="1" x14ac:dyDescent="0.3">
      <c r="A4082" s="8" t="s">
        <v>3673</v>
      </c>
      <c r="B4082" s="8" t="s">
        <v>3699</v>
      </c>
      <c r="C4082" s="8" t="s">
        <v>2914</v>
      </c>
      <c r="D4082" s="8" t="s">
        <v>2915</v>
      </c>
      <c r="E4082" s="8" t="s">
        <v>2729</v>
      </c>
      <c r="F4082" s="9">
        <v>4</v>
      </c>
      <c r="G4082" s="5">
        <v>0</v>
      </c>
      <c r="H4082" s="5">
        <f t="shared" si="388"/>
        <v>0</v>
      </c>
      <c r="I4082" s="5">
        <f>TRUNC([1]단가대비표!O1628,0)</f>
        <v>9491</v>
      </c>
      <c r="J4082" s="5">
        <f t="shared" si="389"/>
        <v>37964</v>
      </c>
      <c r="K4082" s="5">
        <v>0</v>
      </c>
      <c r="L4082" s="5">
        <f t="shared" si="390"/>
        <v>0</v>
      </c>
      <c r="M4082" s="5">
        <f t="shared" si="391"/>
        <v>9491</v>
      </c>
      <c r="N4082" s="5">
        <f t="shared" si="391"/>
        <v>37964</v>
      </c>
      <c r="O4082" s="8" t="s">
        <v>20</v>
      </c>
      <c r="T4082">
        <v>0</v>
      </c>
      <c r="AC4082">
        <v>1</v>
      </c>
    </row>
    <row r="4083" spans="1:29" ht="30" customHeight="1" x14ac:dyDescent="0.3">
      <c r="A4083" s="8" t="s">
        <v>3673</v>
      </c>
      <c r="B4083" s="8" t="s">
        <v>3700</v>
      </c>
      <c r="C4083" s="8" t="s">
        <v>2914</v>
      </c>
      <c r="D4083" s="8" t="s">
        <v>2917</v>
      </c>
      <c r="E4083" s="8" t="s">
        <v>2729</v>
      </c>
      <c r="F4083" s="9">
        <v>4</v>
      </c>
      <c r="G4083" s="5">
        <v>0</v>
      </c>
      <c r="H4083" s="5">
        <f t="shared" si="388"/>
        <v>0</v>
      </c>
      <c r="I4083" s="5">
        <f>TRUNC([1]단가대비표!O1629,0)</f>
        <v>24211</v>
      </c>
      <c r="J4083" s="5">
        <f t="shared" si="389"/>
        <v>96844</v>
      </c>
      <c r="K4083" s="5">
        <v>0</v>
      </c>
      <c r="L4083" s="5">
        <f t="shared" si="390"/>
        <v>0</v>
      </c>
      <c r="M4083" s="5">
        <f t="shared" si="391"/>
        <v>24211</v>
      </c>
      <c r="N4083" s="5">
        <f t="shared" si="391"/>
        <v>96844</v>
      </c>
      <c r="O4083" s="8" t="s">
        <v>20</v>
      </c>
      <c r="T4083">
        <v>0</v>
      </c>
      <c r="AC4083">
        <v>1</v>
      </c>
    </row>
    <row r="4084" spans="1:29" ht="30" customHeight="1" x14ac:dyDescent="0.3">
      <c r="A4084" s="8" t="s">
        <v>3673</v>
      </c>
      <c r="B4084" s="8" t="s">
        <v>3701</v>
      </c>
      <c r="C4084" s="8" t="s">
        <v>2919</v>
      </c>
      <c r="D4084" s="8" t="s">
        <v>2920</v>
      </c>
      <c r="E4084" s="8" t="s">
        <v>161</v>
      </c>
      <c r="F4084" s="9">
        <v>1</v>
      </c>
      <c r="G4084" s="5">
        <v>0</v>
      </c>
      <c r="H4084" s="5">
        <f t="shared" si="388"/>
        <v>0</v>
      </c>
      <c r="I4084" s="5">
        <v>0</v>
      </c>
      <c r="J4084" s="5">
        <f t="shared" si="389"/>
        <v>0</v>
      </c>
      <c r="K4084" s="5">
        <f>TRUNC([1]단가대비표!O1630,0)</f>
        <v>153650</v>
      </c>
      <c r="L4084" s="5">
        <f t="shared" si="390"/>
        <v>153650</v>
      </c>
      <c r="M4084" s="5">
        <f t="shared" si="391"/>
        <v>153650</v>
      </c>
      <c r="N4084" s="5">
        <f t="shared" si="391"/>
        <v>153650</v>
      </c>
      <c r="O4084" s="8" t="s">
        <v>20</v>
      </c>
      <c r="T4084">
        <v>0</v>
      </c>
      <c r="AC4084">
        <v>1</v>
      </c>
    </row>
    <row r="4085" spans="1:29" ht="30" customHeight="1" x14ac:dyDescent="0.3">
      <c r="A4085" s="8" t="s">
        <v>3673</v>
      </c>
      <c r="B4085" s="8" t="s">
        <v>3702</v>
      </c>
      <c r="C4085" s="8" t="s">
        <v>2922</v>
      </c>
      <c r="D4085" s="8" t="s">
        <v>2923</v>
      </c>
      <c r="E4085" s="8" t="s">
        <v>161</v>
      </c>
      <c r="F4085" s="9">
        <v>1</v>
      </c>
      <c r="G4085" s="5">
        <v>0</v>
      </c>
      <c r="H4085" s="5">
        <f t="shared" si="388"/>
        <v>0</v>
      </c>
      <c r="I4085" s="5">
        <v>0</v>
      </c>
      <c r="J4085" s="5">
        <f t="shared" si="389"/>
        <v>0</v>
      </c>
      <c r="K4085" s="5">
        <f>TRUNC([1]단가대비표!O1631,0)</f>
        <v>41942</v>
      </c>
      <c r="L4085" s="5">
        <f t="shared" si="390"/>
        <v>41942</v>
      </c>
      <c r="M4085" s="5">
        <f t="shared" si="391"/>
        <v>41942</v>
      </c>
      <c r="N4085" s="5">
        <f t="shared" si="391"/>
        <v>41942</v>
      </c>
      <c r="O4085" s="8" t="s">
        <v>20</v>
      </c>
      <c r="T4085">
        <v>0</v>
      </c>
      <c r="AC4085">
        <v>1</v>
      </c>
    </row>
    <row r="4086" spans="1:29" ht="30" customHeight="1" x14ac:dyDescent="0.3">
      <c r="A4086" s="8" t="s">
        <v>3673</v>
      </c>
      <c r="B4086" s="8" t="s">
        <v>3703</v>
      </c>
      <c r="C4086" s="8" t="s">
        <v>2925</v>
      </c>
      <c r="D4086" s="8" t="s">
        <v>2926</v>
      </c>
      <c r="E4086" s="8" t="s">
        <v>161</v>
      </c>
      <c r="F4086" s="9">
        <v>1</v>
      </c>
      <c r="G4086" s="5">
        <v>0</v>
      </c>
      <c r="H4086" s="5">
        <f t="shared" si="388"/>
        <v>0</v>
      </c>
      <c r="I4086" s="5">
        <v>0</v>
      </c>
      <c r="J4086" s="5">
        <f t="shared" si="389"/>
        <v>0</v>
      </c>
      <c r="K4086" s="5">
        <f>TRUNC([1]단가대비표!O1632,0)</f>
        <v>188872</v>
      </c>
      <c r="L4086" s="5">
        <f t="shared" si="390"/>
        <v>188872</v>
      </c>
      <c r="M4086" s="5">
        <f t="shared" si="391"/>
        <v>188872</v>
      </c>
      <c r="N4086" s="5">
        <f t="shared" si="391"/>
        <v>188872</v>
      </c>
      <c r="O4086" s="8" t="s">
        <v>20</v>
      </c>
      <c r="T4086">
        <v>0</v>
      </c>
      <c r="AC4086">
        <v>1</v>
      </c>
    </row>
    <row r="4087" spans="1:29" ht="30" customHeight="1" x14ac:dyDescent="0.3">
      <c r="A4087" s="8" t="s">
        <v>3673</v>
      </c>
      <c r="B4087" s="8" t="s">
        <v>3704</v>
      </c>
      <c r="C4087" s="8" t="s">
        <v>2928</v>
      </c>
      <c r="D4087" s="8" t="s">
        <v>2929</v>
      </c>
      <c r="E4087" s="8" t="s">
        <v>161</v>
      </c>
      <c r="F4087" s="9">
        <v>1</v>
      </c>
      <c r="G4087" s="5">
        <v>0</v>
      </c>
      <c r="H4087" s="5">
        <f t="shared" si="388"/>
        <v>0</v>
      </c>
      <c r="I4087" s="5">
        <v>0</v>
      </c>
      <c r="J4087" s="5">
        <f t="shared" si="389"/>
        <v>0</v>
      </c>
      <c r="K4087" s="5">
        <f>TRUNC([1]단가대비표!O1633,0)</f>
        <v>145187</v>
      </c>
      <c r="L4087" s="5">
        <f t="shared" si="390"/>
        <v>145187</v>
      </c>
      <c r="M4087" s="5">
        <f t="shared" si="391"/>
        <v>145187</v>
      </c>
      <c r="N4087" s="5">
        <f t="shared" si="391"/>
        <v>145187</v>
      </c>
      <c r="O4087" s="8" t="s">
        <v>20</v>
      </c>
      <c r="T4087">
        <v>0</v>
      </c>
      <c r="AC4087">
        <v>1</v>
      </c>
    </row>
    <row r="4088" spans="1:29" ht="30" customHeight="1" x14ac:dyDescent="0.3">
      <c r="A4088" s="8" t="s">
        <v>3673</v>
      </c>
      <c r="B4088" s="8" t="s">
        <v>3705</v>
      </c>
      <c r="C4088" s="8" t="s">
        <v>2931</v>
      </c>
      <c r="D4088" s="8" t="s">
        <v>2932</v>
      </c>
      <c r="E4088" s="8" t="s">
        <v>161</v>
      </c>
      <c r="F4088" s="9">
        <v>1</v>
      </c>
      <c r="G4088" s="5">
        <v>0</v>
      </c>
      <c r="H4088" s="5">
        <f t="shared" si="388"/>
        <v>0</v>
      </c>
      <c r="I4088" s="5">
        <v>0</v>
      </c>
      <c r="J4088" s="5">
        <f t="shared" si="389"/>
        <v>0</v>
      </c>
      <c r="K4088" s="5">
        <f>TRUNC([1]단가대비표!O1634,0)</f>
        <v>17808</v>
      </c>
      <c r="L4088" s="5">
        <f t="shared" si="390"/>
        <v>17808</v>
      </c>
      <c r="M4088" s="5">
        <f t="shared" si="391"/>
        <v>17808</v>
      </c>
      <c r="N4088" s="5">
        <f t="shared" si="391"/>
        <v>17808</v>
      </c>
      <c r="O4088" s="8" t="s">
        <v>20</v>
      </c>
      <c r="T4088">
        <v>0</v>
      </c>
      <c r="AC4088">
        <v>1</v>
      </c>
    </row>
    <row r="4089" spans="1:29" ht="30" customHeight="1" x14ac:dyDescent="0.3">
      <c r="A4089" s="8" t="s">
        <v>3673</v>
      </c>
      <c r="B4089" s="8" t="s">
        <v>3706</v>
      </c>
      <c r="C4089" s="8" t="s">
        <v>2934</v>
      </c>
      <c r="D4089" s="8" t="s">
        <v>2935</v>
      </c>
      <c r="E4089" s="8" t="s">
        <v>161</v>
      </c>
      <c r="F4089" s="9">
        <v>1</v>
      </c>
      <c r="G4089" s="5">
        <v>0</v>
      </c>
      <c r="H4089" s="5">
        <f t="shared" si="388"/>
        <v>0</v>
      </c>
      <c r="I4089" s="5">
        <v>0</v>
      </c>
      <c r="J4089" s="5">
        <f t="shared" si="389"/>
        <v>0</v>
      </c>
      <c r="K4089" s="5">
        <f>TRUNC([1]단가대비표!O1635,0)</f>
        <v>228445</v>
      </c>
      <c r="L4089" s="5">
        <f t="shared" si="390"/>
        <v>228445</v>
      </c>
      <c r="M4089" s="5">
        <f t="shared" si="391"/>
        <v>228445</v>
      </c>
      <c r="N4089" s="5">
        <f t="shared" si="391"/>
        <v>228445</v>
      </c>
      <c r="O4089" s="8" t="s">
        <v>20</v>
      </c>
      <c r="T4089">
        <v>0</v>
      </c>
      <c r="AC4089">
        <v>1</v>
      </c>
    </row>
    <row r="4090" spans="1:29" ht="30" customHeight="1" x14ac:dyDescent="0.3">
      <c r="A4090" s="8" t="s">
        <v>3673</v>
      </c>
      <c r="B4090" s="8" t="s">
        <v>3707</v>
      </c>
      <c r="C4090" s="8" t="s">
        <v>2937</v>
      </c>
      <c r="D4090" s="8" t="s">
        <v>20</v>
      </c>
      <c r="E4090" s="8" t="s">
        <v>161</v>
      </c>
      <c r="F4090" s="9">
        <v>1</v>
      </c>
      <c r="G4090" s="5">
        <f>TRUNC([1]단가대비표!O1636,0)</f>
        <v>1312225</v>
      </c>
      <c r="H4090" s="5">
        <f t="shared" si="388"/>
        <v>1312225</v>
      </c>
      <c r="I4090" s="5">
        <v>0</v>
      </c>
      <c r="J4090" s="5">
        <f t="shared" si="389"/>
        <v>0</v>
      </c>
      <c r="K4090" s="5">
        <v>0</v>
      </c>
      <c r="L4090" s="5">
        <f t="shared" si="390"/>
        <v>0</v>
      </c>
      <c r="M4090" s="5">
        <f t="shared" si="391"/>
        <v>1312225</v>
      </c>
      <c r="N4090" s="5">
        <f t="shared" si="391"/>
        <v>1312225</v>
      </c>
      <c r="O4090" s="8" t="s">
        <v>20</v>
      </c>
      <c r="T4090">
        <v>0</v>
      </c>
      <c r="AC4090">
        <v>1</v>
      </c>
    </row>
    <row r="4091" spans="1:29" ht="30" customHeight="1" x14ac:dyDescent="0.3">
      <c r="A4091" s="8" t="s">
        <v>3673</v>
      </c>
      <c r="B4091" s="8" t="s">
        <v>3708</v>
      </c>
      <c r="C4091" s="8" t="s">
        <v>2467</v>
      </c>
      <c r="D4091" s="8" t="s">
        <v>3709</v>
      </c>
      <c r="E4091" s="8" t="s">
        <v>161</v>
      </c>
      <c r="F4091" s="9">
        <v>1</v>
      </c>
      <c r="G4091" s="5">
        <f>TRUNC([1]단가대비표!O1637,0)</f>
        <v>210000</v>
      </c>
      <c r="H4091" s="5">
        <f t="shared" si="388"/>
        <v>210000</v>
      </c>
      <c r="I4091" s="5">
        <v>0</v>
      </c>
      <c r="J4091" s="5">
        <f t="shared" si="389"/>
        <v>0</v>
      </c>
      <c r="K4091" s="5">
        <v>0</v>
      </c>
      <c r="L4091" s="5">
        <f t="shared" si="390"/>
        <v>0</v>
      </c>
      <c r="M4091" s="5">
        <f t="shared" si="391"/>
        <v>210000</v>
      </c>
      <c r="N4091" s="5">
        <f t="shared" si="391"/>
        <v>210000</v>
      </c>
      <c r="O4091" s="8" t="s">
        <v>20</v>
      </c>
      <c r="T4091">
        <v>0</v>
      </c>
      <c r="AC4091">
        <v>1</v>
      </c>
    </row>
    <row r="4092" spans="1:29" ht="30" customHeight="1" x14ac:dyDescent="0.3">
      <c r="A4092" s="5"/>
      <c r="B4092" s="5"/>
      <c r="C4092" s="5"/>
      <c r="D4092" s="5"/>
      <c r="E4092" s="5"/>
      <c r="F4092" s="9"/>
      <c r="G4092" s="5"/>
      <c r="H4092" s="5"/>
      <c r="I4092" s="5"/>
      <c r="J4092" s="5"/>
      <c r="K4092" s="5"/>
      <c r="L4092" s="5"/>
      <c r="M4092" s="5"/>
      <c r="N4092" s="5"/>
      <c r="O4092" s="5"/>
    </row>
    <row r="4093" spans="1:29" ht="30" customHeight="1" x14ac:dyDescent="0.3">
      <c r="A4093" s="5"/>
      <c r="B4093" s="5"/>
      <c r="C4093" s="5"/>
      <c r="D4093" s="5"/>
      <c r="E4093" s="5"/>
      <c r="F4093" s="9"/>
      <c r="G4093" s="5"/>
      <c r="H4093" s="5"/>
      <c r="I4093" s="5"/>
      <c r="J4093" s="5"/>
      <c r="K4093" s="5"/>
      <c r="L4093" s="5"/>
      <c r="M4093" s="5"/>
      <c r="N4093" s="5"/>
      <c r="O4093" s="5"/>
    </row>
    <row r="4094" spans="1:29" ht="30" customHeight="1" x14ac:dyDescent="0.3">
      <c r="A4094" s="5"/>
      <c r="B4094" s="5"/>
      <c r="C4094" s="5"/>
      <c r="D4094" s="5"/>
      <c r="E4094" s="5"/>
      <c r="F4094" s="9"/>
      <c r="G4094" s="5"/>
      <c r="H4094" s="5"/>
      <c r="I4094" s="5"/>
      <c r="J4094" s="5"/>
      <c r="K4094" s="5"/>
      <c r="L4094" s="5"/>
      <c r="M4094" s="5"/>
      <c r="N4094" s="5"/>
      <c r="O4094" s="5"/>
    </row>
    <row r="4095" spans="1:29" ht="30" customHeight="1" x14ac:dyDescent="0.3">
      <c r="A4095" s="5"/>
      <c r="B4095" s="5"/>
      <c r="C4095" s="5"/>
      <c r="D4095" s="5"/>
      <c r="E4095" s="5"/>
      <c r="F4095" s="9"/>
      <c r="G4095" s="5"/>
      <c r="H4095" s="5"/>
      <c r="I4095" s="5"/>
      <c r="J4095" s="5"/>
      <c r="K4095" s="5"/>
      <c r="L4095" s="5"/>
      <c r="M4095" s="5"/>
      <c r="N4095" s="5"/>
      <c r="O4095" s="5"/>
    </row>
    <row r="4096" spans="1:29" ht="30" customHeight="1" x14ac:dyDescent="0.3">
      <c r="A4096" s="5"/>
      <c r="B4096" s="5"/>
      <c r="C4096" s="5"/>
      <c r="D4096" s="5"/>
      <c r="E4096" s="5"/>
      <c r="F4096" s="9"/>
      <c r="G4096" s="5"/>
      <c r="H4096" s="5"/>
      <c r="I4096" s="5"/>
      <c r="J4096" s="5"/>
      <c r="K4096" s="5"/>
      <c r="L4096" s="5"/>
      <c r="M4096" s="5"/>
      <c r="N4096" s="5"/>
      <c r="O4096" s="5"/>
    </row>
    <row r="4097" spans="1:15" ht="30" customHeight="1" x14ac:dyDescent="0.3">
      <c r="A4097" s="5"/>
      <c r="B4097" s="5"/>
      <c r="C4097" s="5"/>
      <c r="D4097" s="5"/>
      <c r="E4097" s="5"/>
      <c r="F4097" s="9"/>
      <c r="G4097" s="5"/>
      <c r="H4097" s="5"/>
      <c r="I4097" s="5"/>
      <c r="J4097" s="5"/>
      <c r="K4097" s="5"/>
      <c r="L4097" s="5"/>
      <c r="M4097" s="5"/>
      <c r="N4097" s="5"/>
      <c r="O4097" s="5"/>
    </row>
    <row r="4098" spans="1:15" ht="30" customHeight="1" x14ac:dyDescent="0.3">
      <c r="A4098" s="5"/>
      <c r="B4098" s="5"/>
      <c r="C4098" s="5"/>
      <c r="D4098" s="5"/>
      <c r="E4098" s="5"/>
      <c r="F4098" s="9"/>
      <c r="G4098" s="5"/>
      <c r="H4098" s="5"/>
      <c r="I4098" s="5"/>
      <c r="J4098" s="5"/>
      <c r="K4098" s="5"/>
      <c r="L4098" s="5"/>
      <c r="M4098" s="5"/>
      <c r="N4098" s="5"/>
      <c r="O4098" s="5"/>
    </row>
    <row r="4099" spans="1:15" ht="30" customHeight="1" x14ac:dyDescent="0.3">
      <c r="A4099" s="5"/>
      <c r="B4099" s="5"/>
      <c r="C4099" s="5"/>
      <c r="D4099" s="5"/>
      <c r="E4099" s="5"/>
      <c r="F4099" s="9"/>
      <c r="G4099" s="5"/>
      <c r="H4099" s="5"/>
      <c r="I4099" s="5"/>
      <c r="J4099" s="5"/>
      <c r="K4099" s="5"/>
      <c r="L4099" s="5"/>
      <c r="M4099" s="5"/>
      <c r="N4099" s="5"/>
      <c r="O4099" s="5"/>
    </row>
    <row r="4100" spans="1:15" ht="30" customHeight="1" x14ac:dyDescent="0.3">
      <c r="A4100" s="5"/>
      <c r="B4100" s="5"/>
      <c r="C4100" s="5"/>
      <c r="D4100" s="5"/>
      <c r="E4100" s="5"/>
      <c r="F4100" s="9"/>
      <c r="G4100" s="5"/>
      <c r="H4100" s="5"/>
      <c r="I4100" s="5"/>
      <c r="J4100" s="5"/>
      <c r="K4100" s="5"/>
      <c r="L4100" s="5"/>
      <c r="M4100" s="5"/>
      <c r="N4100" s="5"/>
      <c r="O4100" s="5"/>
    </row>
    <row r="4101" spans="1:15" ht="30" customHeight="1" x14ac:dyDescent="0.3">
      <c r="A4101" s="5"/>
      <c r="B4101" s="5"/>
      <c r="C4101" s="5"/>
      <c r="D4101" s="5"/>
      <c r="E4101" s="5"/>
      <c r="F4101" s="9"/>
      <c r="G4101" s="5"/>
      <c r="H4101" s="5"/>
      <c r="I4101" s="5"/>
      <c r="J4101" s="5"/>
      <c r="K4101" s="5"/>
      <c r="L4101" s="5"/>
      <c r="M4101" s="5"/>
      <c r="N4101" s="5"/>
      <c r="O4101" s="5"/>
    </row>
    <row r="4102" spans="1:15" ht="30" customHeight="1" x14ac:dyDescent="0.3">
      <c r="A4102" s="5"/>
      <c r="B4102" s="5"/>
      <c r="C4102" s="5"/>
      <c r="D4102" s="5"/>
      <c r="E4102" s="5"/>
      <c r="F4102" s="9"/>
      <c r="G4102" s="5"/>
      <c r="H4102" s="5"/>
      <c r="I4102" s="5"/>
      <c r="J4102" s="5"/>
      <c r="K4102" s="5"/>
      <c r="L4102" s="5"/>
      <c r="M4102" s="5"/>
      <c r="N4102" s="5"/>
      <c r="O4102" s="5"/>
    </row>
    <row r="4103" spans="1:15" ht="30" customHeight="1" x14ac:dyDescent="0.3">
      <c r="A4103" s="5"/>
      <c r="B4103" s="5"/>
      <c r="C4103" s="5"/>
      <c r="D4103" s="5"/>
      <c r="E4103" s="5"/>
      <c r="F4103" s="9"/>
      <c r="G4103" s="5"/>
      <c r="H4103" s="5"/>
      <c r="I4103" s="5"/>
      <c r="J4103" s="5"/>
      <c r="K4103" s="5"/>
      <c r="L4103" s="5"/>
      <c r="M4103" s="5"/>
      <c r="N4103" s="5"/>
      <c r="O4103" s="5"/>
    </row>
    <row r="4104" spans="1:15" ht="30" customHeight="1" x14ac:dyDescent="0.3">
      <c r="A4104" s="5"/>
      <c r="B4104" s="5"/>
      <c r="C4104" s="5"/>
      <c r="D4104" s="5"/>
      <c r="E4104" s="5"/>
      <c r="F4104" s="9"/>
      <c r="G4104" s="5"/>
      <c r="H4104" s="5"/>
      <c r="I4104" s="5"/>
      <c r="J4104" s="5"/>
      <c r="K4104" s="5"/>
      <c r="L4104" s="5"/>
      <c r="M4104" s="5"/>
      <c r="N4104" s="5"/>
      <c r="O4104" s="5"/>
    </row>
    <row r="4105" spans="1:15" ht="30" customHeight="1" x14ac:dyDescent="0.3">
      <c r="A4105" s="5"/>
      <c r="B4105" s="5"/>
      <c r="C4105" s="5"/>
      <c r="D4105" s="5"/>
      <c r="E4105" s="5"/>
      <c r="F4105" s="9"/>
      <c r="G4105" s="5"/>
      <c r="H4105" s="5"/>
      <c r="I4105" s="5"/>
      <c r="J4105" s="5"/>
      <c r="K4105" s="5"/>
      <c r="L4105" s="5"/>
      <c r="M4105" s="5"/>
      <c r="N4105" s="5"/>
      <c r="O4105" s="5"/>
    </row>
    <row r="4106" spans="1:15" ht="30" customHeight="1" x14ac:dyDescent="0.3">
      <c r="A4106" s="5"/>
      <c r="B4106" s="5"/>
      <c r="C4106" s="5"/>
      <c r="D4106" s="5"/>
      <c r="E4106" s="5"/>
      <c r="F4106" s="9"/>
      <c r="G4106" s="5"/>
      <c r="H4106" s="5"/>
      <c r="I4106" s="5"/>
      <c r="J4106" s="5"/>
      <c r="K4106" s="5"/>
      <c r="L4106" s="5"/>
      <c r="M4106" s="5"/>
      <c r="N4106" s="5"/>
      <c r="O4106" s="5"/>
    </row>
    <row r="4107" spans="1:15" ht="30" customHeight="1" x14ac:dyDescent="0.3">
      <c r="A4107" s="5"/>
      <c r="B4107" s="5"/>
      <c r="C4107" s="5"/>
      <c r="D4107" s="5"/>
      <c r="E4107" s="5"/>
      <c r="F4107" s="9"/>
      <c r="G4107" s="5"/>
      <c r="H4107" s="5"/>
      <c r="I4107" s="5"/>
      <c r="J4107" s="5"/>
      <c r="K4107" s="5"/>
      <c r="L4107" s="5"/>
      <c r="M4107" s="5"/>
      <c r="N4107" s="5"/>
      <c r="O4107" s="5"/>
    </row>
    <row r="4108" spans="1:15" ht="30" customHeight="1" x14ac:dyDescent="0.3">
      <c r="A4108" s="5"/>
      <c r="B4108" s="5"/>
      <c r="C4108" s="5"/>
      <c r="D4108" s="5"/>
      <c r="E4108" s="5"/>
      <c r="F4108" s="9"/>
      <c r="G4108" s="5"/>
      <c r="H4108" s="5"/>
      <c r="I4108" s="5"/>
      <c r="J4108" s="5"/>
      <c r="K4108" s="5"/>
      <c r="L4108" s="5"/>
      <c r="M4108" s="5"/>
      <c r="N4108" s="5"/>
      <c r="O4108" s="5"/>
    </row>
    <row r="4109" spans="1:15" ht="30" customHeight="1" x14ac:dyDescent="0.3">
      <c r="A4109" s="5"/>
      <c r="B4109" s="5"/>
      <c r="C4109" s="5"/>
      <c r="D4109" s="5"/>
      <c r="E4109" s="5"/>
      <c r="F4109" s="9"/>
      <c r="G4109" s="5"/>
      <c r="H4109" s="5"/>
      <c r="I4109" s="5"/>
      <c r="J4109" s="5"/>
      <c r="K4109" s="5"/>
      <c r="L4109" s="5"/>
      <c r="M4109" s="5"/>
      <c r="N4109" s="5"/>
      <c r="O4109" s="5"/>
    </row>
    <row r="4110" spans="1:15" ht="30" customHeight="1" x14ac:dyDescent="0.3">
      <c r="A4110" s="5"/>
      <c r="B4110" s="5"/>
      <c r="C4110" s="5"/>
      <c r="D4110" s="5"/>
      <c r="E4110" s="5"/>
      <c r="F4110" s="9"/>
      <c r="G4110" s="5"/>
      <c r="H4110" s="5"/>
      <c r="I4110" s="5"/>
      <c r="J4110" s="5"/>
      <c r="K4110" s="5"/>
      <c r="L4110" s="5"/>
      <c r="M4110" s="5"/>
      <c r="N4110" s="5"/>
      <c r="O4110" s="5"/>
    </row>
    <row r="4111" spans="1:15" ht="30" customHeight="1" x14ac:dyDescent="0.3">
      <c r="A4111" s="5"/>
      <c r="B4111" s="5"/>
      <c r="C4111" s="5" t="s">
        <v>162</v>
      </c>
      <c r="D4111" s="5"/>
      <c r="E4111" s="5"/>
      <c r="F4111" s="9"/>
      <c r="G4111" s="5"/>
      <c r="H4111" s="5">
        <f>SUMIF(AC4061:AC4110, 1, H4061:H4110)</f>
        <v>9717907</v>
      </c>
      <c r="I4111" s="5"/>
      <c r="J4111" s="5">
        <f>SUMIF(AC4061:AC4110, 1, J4061:J4110)</f>
        <v>4152715</v>
      </c>
      <c r="K4111" s="5"/>
      <c r="L4111" s="5">
        <f>SUMIF(AC4061:AC4110, 1, L4061:L4110)</f>
        <v>775904</v>
      </c>
      <c r="M4111" s="5"/>
      <c r="N4111" s="5">
        <f>H4111+J4111+L4111</f>
        <v>14646526</v>
      </c>
      <c r="O4111" s="5"/>
    </row>
    <row r="4112" spans="1:15" ht="30" customHeight="1" x14ac:dyDescent="0.3">
      <c r="A4112" s="5"/>
      <c r="B4112" s="5"/>
      <c r="C4112" s="6" t="s">
        <v>3710</v>
      </c>
      <c r="D4112" s="6"/>
      <c r="E4112" s="6"/>
      <c r="F4112" s="7"/>
      <c r="G4112" s="6"/>
      <c r="H4112" s="6"/>
      <c r="I4112" s="6"/>
      <c r="J4112" s="6"/>
      <c r="K4112" s="6"/>
      <c r="L4112" s="6"/>
      <c r="M4112" s="6"/>
      <c r="N4112" s="6"/>
      <c r="O4112" s="6"/>
    </row>
    <row r="4113" spans="1:29" ht="30" customHeight="1" x14ac:dyDescent="0.3">
      <c r="A4113" s="8" t="s">
        <v>3711</v>
      </c>
      <c r="B4113" s="8" t="s">
        <v>3712</v>
      </c>
      <c r="C4113" s="8" t="s">
        <v>3713</v>
      </c>
      <c r="D4113" s="8" t="s">
        <v>2506</v>
      </c>
      <c r="E4113" s="8" t="s">
        <v>19</v>
      </c>
      <c r="F4113" s="9">
        <v>1</v>
      </c>
      <c r="G4113" s="5">
        <f>TRUNC([1]단가대비표!O1015,0)</f>
        <v>381000</v>
      </c>
      <c r="H4113" s="5">
        <f>TRUNC(F4113*G4113,0)</f>
        <v>381000</v>
      </c>
      <c r="I4113" s="5">
        <v>0</v>
      </c>
      <c r="J4113" s="5">
        <f>TRUNC(F4113*I4113,0)</f>
        <v>0</v>
      </c>
      <c r="K4113" s="5">
        <v>0</v>
      </c>
      <c r="L4113" s="5">
        <f>TRUNC(F4113*K4113,0)</f>
        <v>0</v>
      </c>
      <c r="M4113" s="5">
        <f t="shared" ref="M4113:N4115" si="392">G4113+I4113+K4113</f>
        <v>381000</v>
      </c>
      <c r="N4113" s="5">
        <f t="shared" si="392"/>
        <v>381000</v>
      </c>
      <c r="O4113" s="8" t="s">
        <v>20</v>
      </c>
      <c r="T4113">
        <v>0</v>
      </c>
      <c r="AC4113">
        <v>1</v>
      </c>
    </row>
    <row r="4114" spans="1:29" ht="30" customHeight="1" x14ac:dyDescent="0.3">
      <c r="A4114" s="8" t="s">
        <v>3711</v>
      </c>
      <c r="B4114" s="8" t="s">
        <v>3714</v>
      </c>
      <c r="C4114" s="8" t="s">
        <v>3715</v>
      </c>
      <c r="D4114" s="8" t="s">
        <v>2509</v>
      </c>
      <c r="E4114" s="8" t="s">
        <v>19</v>
      </c>
      <c r="F4114" s="9">
        <v>1</v>
      </c>
      <c r="G4114" s="5">
        <f>TRUNC([1]단가대비표!O1016,0)</f>
        <v>468000</v>
      </c>
      <c r="H4114" s="5">
        <f>TRUNC(F4114*G4114,0)</f>
        <v>468000</v>
      </c>
      <c r="I4114" s="5">
        <v>0</v>
      </c>
      <c r="J4114" s="5">
        <f>TRUNC(F4114*I4114,0)</f>
        <v>0</v>
      </c>
      <c r="K4114" s="5">
        <v>0</v>
      </c>
      <c r="L4114" s="5">
        <f>TRUNC(F4114*K4114,0)</f>
        <v>0</v>
      </c>
      <c r="M4114" s="5">
        <f t="shared" si="392"/>
        <v>468000</v>
      </c>
      <c r="N4114" s="5">
        <f t="shared" si="392"/>
        <v>468000</v>
      </c>
      <c r="O4114" s="8" t="s">
        <v>20</v>
      </c>
      <c r="T4114">
        <v>0</v>
      </c>
      <c r="AC4114">
        <v>1</v>
      </c>
    </row>
    <row r="4115" spans="1:29" ht="30" customHeight="1" x14ac:dyDescent="0.3">
      <c r="A4115" s="8" t="s">
        <v>3711</v>
      </c>
      <c r="B4115" s="8" t="s">
        <v>3716</v>
      </c>
      <c r="C4115" s="8" t="s">
        <v>2467</v>
      </c>
      <c r="D4115" s="8" t="s">
        <v>2468</v>
      </c>
      <c r="E4115" s="8" t="s">
        <v>161</v>
      </c>
      <c r="F4115" s="9">
        <v>1</v>
      </c>
      <c r="G4115" s="5">
        <f>TRUNC([1]단가대비표!O1929,0)</f>
        <v>4584</v>
      </c>
      <c r="H4115" s="5">
        <f>TRUNC(F4115*G4115,0)</f>
        <v>4584</v>
      </c>
      <c r="I4115" s="5">
        <v>0</v>
      </c>
      <c r="J4115" s="5">
        <f>TRUNC(F4115*I4115,0)</f>
        <v>0</v>
      </c>
      <c r="K4115" s="5">
        <v>0</v>
      </c>
      <c r="L4115" s="5">
        <f>TRUNC(F4115*K4115,0)</f>
        <v>0</v>
      </c>
      <c r="M4115" s="5">
        <f t="shared" si="392"/>
        <v>4584</v>
      </c>
      <c r="N4115" s="5">
        <f t="shared" si="392"/>
        <v>4584</v>
      </c>
      <c r="O4115" s="8" t="s">
        <v>20</v>
      </c>
      <c r="T4115">
        <v>0</v>
      </c>
      <c r="AC4115">
        <v>1</v>
      </c>
    </row>
    <row r="4116" spans="1:29" ht="30" customHeight="1" x14ac:dyDescent="0.3">
      <c r="A4116" s="5"/>
      <c r="B4116" s="5"/>
      <c r="C4116" s="5"/>
      <c r="D4116" s="5"/>
      <c r="E4116" s="5"/>
      <c r="F4116" s="9"/>
      <c r="G4116" s="5"/>
      <c r="H4116" s="5"/>
      <c r="I4116" s="5"/>
      <c r="J4116" s="5"/>
      <c r="K4116" s="5"/>
      <c r="L4116" s="5"/>
      <c r="M4116" s="5"/>
      <c r="N4116" s="5"/>
      <c r="O4116" s="5"/>
    </row>
    <row r="4117" spans="1:29" ht="30" customHeight="1" x14ac:dyDescent="0.3">
      <c r="A4117" s="5"/>
      <c r="B4117" s="5"/>
      <c r="C4117" s="5"/>
      <c r="D4117" s="5"/>
      <c r="E4117" s="5"/>
      <c r="F4117" s="9"/>
      <c r="G4117" s="5"/>
      <c r="H4117" s="5"/>
      <c r="I4117" s="5"/>
      <c r="J4117" s="5"/>
      <c r="K4117" s="5"/>
      <c r="L4117" s="5"/>
      <c r="M4117" s="5"/>
      <c r="N4117" s="5"/>
      <c r="O4117" s="5"/>
    </row>
    <row r="4118" spans="1:29" ht="30" customHeight="1" x14ac:dyDescent="0.3">
      <c r="A4118" s="5"/>
      <c r="B4118" s="5"/>
      <c r="C4118" s="5"/>
      <c r="D4118" s="5"/>
      <c r="E4118" s="5"/>
      <c r="F4118" s="9"/>
      <c r="G4118" s="5"/>
      <c r="H4118" s="5"/>
      <c r="I4118" s="5"/>
      <c r="J4118" s="5"/>
      <c r="K4118" s="5"/>
      <c r="L4118" s="5"/>
      <c r="M4118" s="5"/>
      <c r="N4118" s="5"/>
      <c r="O4118" s="5"/>
    </row>
    <row r="4119" spans="1:29" ht="30" customHeight="1" x14ac:dyDescent="0.3">
      <c r="A4119" s="5"/>
      <c r="B4119" s="5"/>
      <c r="C4119" s="5"/>
      <c r="D4119" s="5"/>
      <c r="E4119" s="5"/>
      <c r="F4119" s="9"/>
      <c r="G4119" s="5"/>
      <c r="H4119" s="5"/>
      <c r="I4119" s="5"/>
      <c r="J4119" s="5"/>
      <c r="K4119" s="5"/>
      <c r="L4119" s="5"/>
      <c r="M4119" s="5"/>
      <c r="N4119" s="5"/>
      <c r="O4119" s="5"/>
    </row>
    <row r="4120" spans="1:29" ht="30" customHeight="1" x14ac:dyDescent="0.3">
      <c r="A4120" s="5"/>
      <c r="B4120" s="5"/>
      <c r="C4120" s="5"/>
      <c r="D4120" s="5"/>
      <c r="E4120" s="5"/>
      <c r="F4120" s="9"/>
      <c r="G4120" s="5"/>
      <c r="H4120" s="5"/>
      <c r="I4120" s="5"/>
      <c r="J4120" s="5"/>
      <c r="K4120" s="5"/>
      <c r="L4120" s="5"/>
      <c r="M4120" s="5"/>
      <c r="N4120" s="5"/>
      <c r="O4120" s="5"/>
    </row>
    <row r="4121" spans="1:29" ht="30" customHeight="1" x14ac:dyDescent="0.3">
      <c r="A4121" s="5"/>
      <c r="B4121" s="5"/>
      <c r="C4121" s="5"/>
      <c r="D4121" s="5"/>
      <c r="E4121" s="5"/>
      <c r="F4121" s="9"/>
      <c r="G4121" s="5"/>
      <c r="H4121" s="5"/>
      <c r="I4121" s="5"/>
      <c r="J4121" s="5"/>
      <c r="K4121" s="5"/>
      <c r="L4121" s="5"/>
      <c r="M4121" s="5"/>
      <c r="N4121" s="5"/>
      <c r="O4121" s="5"/>
    </row>
    <row r="4122" spans="1:29" ht="30" customHeight="1" x14ac:dyDescent="0.3">
      <c r="A4122" s="5"/>
      <c r="B4122" s="5"/>
      <c r="C4122" s="5"/>
      <c r="D4122" s="5"/>
      <c r="E4122" s="5"/>
      <c r="F4122" s="9"/>
      <c r="G4122" s="5"/>
      <c r="H4122" s="5"/>
      <c r="I4122" s="5"/>
      <c r="J4122" s="5"/>
      <c r="K4122" s="5"/>
      <c r="L4122" s="5"/>
      <c r="M4122" s="5"/>
      <c r="N4122" s="5"/>
      <c r="O4122" s="5"/>
    </row>
    <row r="4123" spans="1:29" ht="30" customHeight="1" x14ac:dyDescent="0.3">
      <c r="A4123" s="5"/>
      <c r="B4123" s="5"/>
      <c r="C4123" s="5"/>
      <c r="D4123" s="5"/>
      <c r="E4123" s="5"/>
      <c r="F4123" s="9"/>
      <c r="G4123" s="5"/>
      <c r="H4123" s="5"/>
      <c r="I4123" s="5"/>
      <c r="J4123" s="5"/>
      <c r="K4123" s="5"/>
      <c r="L4123" s="5"/>
      <c r="M4123" s="5"/>
      <c r="N4123" s="5"/>
      <c r="O4123" s="5"/>
    </row>
    <row r="4124" spans="1:29" ht="30" customHeight="1" x14ac:dyDescent="0.3">
      <c r="A4124" s="5"/>
      <c r="B4124" s="5"/>
      <c r="C4124" s="5"/>
      <c r="D4124" s="5"/>
      <c r="E4124" s="5"/>
      <c r="F4124" s="9"/>
      <c r="G4124" s="5"/>
      <c r="H4124" s="5"/>
      <c r="I4124" s="5"/>
      <c r="J4124" s="5"/>
      <c r="K4124" s="5"/>
      <c r="L4124" s="5"/>
      <c r="M4124" s="5"/>
      <c r="N4124" s="5"/>
      <c r="O4124" s="5"/>
    </row>
    <row r="4125" spans="1:29" ht="30" customHeight="1" x14ac:dyDescent="0.3">
      <c r="A4125" s="5"/>
      <c r="B4125" s="5"/>
      <c r="C4125" s="5"/>
      <c r="D4125" s="5"/>
      <c r="E4125" s="5"/>
      <c r="F4125" s="9"/>
      <c r="G4125" s="5"/>
      <c r="H4125" s="5"/>
      <c r="I4125" s="5"/>
      <c r="J4125" s="5"/>
      <c r="K4125" s="5"/>
      <c r="L4125" s="5"/>
      <c r="M4125" s="5"/>
      <c r="N4125" s="5"/>
      <c r="O4125" s="5"/>
    </row>
    <row r="4126" spans="1:29" ht="30" customHeight="1" x14ac:dyDescent="0.3">
      <c r="A4126" s="5"/>
      <c r="B4126" s="5"/>
      <c r="C4126" s="5"/>
      <c r="D4126" s="5"/>
      <c r="E4126" s="5"/>
      <c r="F4126" s="9"/>
      <c r="G4126" s="5"/>
      <c r="H4126" s="5"/>
      <c r="I4126" s="5"/>
      <c r="J4126" s="5"/>
      <c r="K4126" s="5"/>
      <c r="L4126" s="5"/>
      <c r="M4126" s="5"/>
      <c r="N4126" s="5"/>
      <c r="O4126" s="5"/>
    </row>
    <row r="4127" spans="1:29" ht="30" customHeight="1" x14ac:dyDescent="0.3">
      <c r="A4127" s="5"/>
      <c r="B4127" s="5"/>
      <c r="C4127" s="5"/>
      <c r="D4127" s="5"/>
      <c r="E4127" s="5"/>
      <c r="F4127" s="9"/>
      <c r="G4127" s="5"/>
      <c r="H4127" s="5"/>
      <c r="I4127" s="5"/>
      <c r="J4127" s="5"/>
      <c r="K4127" s="5"/>
      <c r="L4127" s="5"/>
      <c r="M4127" s="5"/>
      <c r="N4127" s="5"/>
      <c r="O4127" s="5"/>
    </row>
    <row r="4128" spans="1:29" ht="30" customHeight="1" x14ac:dyDescent="0.3">
      <c r="A4128" s="5"/>
      <c r="B4128" s="5"/>
      <c r="C4128" s="5"/>
      <c r="D4128" s="5"/>
      <c r="E4128" s="5"/>
      <c r="F4128" s="9"/>
      <c r="G4128" s="5"/>
      <c r="H4128" s="5"/>
      <c r="I4128" s="5"/>
      <c r="J4128" s="5"/>
      <c r="K4128" s="5"/>
      <c r="L4128" s="5"/>
      <c r="M4128" s="5"/>
      <c r="N4128" s="5"/>
      <c r="O4128" s="5"/>
    </row>
    <row r="4129" spans="1:29" ht="30" customHeight="1" x14ac:dyDescent="0.3">
      <c r="A4129" s="5"/>
      <c r="B4129" s="5"/>
      <c r="C4129" s="5"/>
      <c r="D4129" s="5"/>
      <c r="E4129" s="5"/>
      <c r="F4129" s="9"/>
      <c r="G4129" s="5"/>
      <c r="H4129" s="5"/>
      <c r="I4129" s="5"/>
      <c r="J4129" s="5"/>
      <c r="K4129" s="5"/>
      <c r="L4129" s="5"/>
      <c r="M4129" s="5"/>
      <c r="N4129" s="5"/>
      <c r="O4129" s="5"/>
    </row>
    <row r="4130" spans="1:29" ht="30" customHeight="1" x14ac:dyDescent="0.3">
      <c r="A4130" s="5"/>
      <c r="B4130" s="5"/>
      <c r="C4130" s="5"/>
      <c r="D4130" s="5"/>
      <c r="E4130" s="5"/>
      <c r="F4130" s="9"/>
      <c r="G4130" s="5"/>
      <c r="H4130" s="5"/>
      <c r="I4130" s="5"/>
      <c r="J4130" s="5"/>
      <c r="K4130" s="5"/>
      <c r="L4130" s="5"/>
      <c r="M4130" s="5"/>
      <c r="N4130" s="5"/>
      <c r="O4130" s="5"/>
    </row>
    <row r="4131" spans="1:29" ht="30" customHeight="1" x14ac:dyDescent="0.3">
      <c r="A4131" s="5"/>
      <c r="B4131" s="5"/>
      <c r="C4131" s="5"/>
      <c r="D4131" s="5"/>
      <c r="E4131" s="5"/>
      <c r="F4131" s="9"/>
      <c r="G4131" s="5"/>
      <c r="H4131" s="5"/>
      <c r="I4131" s="5"/>
      <c r="J4131" s="5"/>
      <c r="K4131" s="5"/>
      <c r="L4131" s="5"/>
      <c r="M4131" s="5"/>
      <c r="N4131" s="5"/>
      <c r="O4131" s="5"/>
    </row>
    <row r="4132" spans="1:29" ht="30" customHeight="1" x14ac:dyDescent="0.3">
      <c r="A4132" s="5"/>
      <c r="B4132" s="5"/>
      <c r="C4132" s="5"/>
      <c r="D4132" s="5"/>
      <c r="E4132" s="5"/>
      <c r="F4132" s="9"/>
      <c r="G4132" s="5"/>
      <c r="H4132" s="5"/>
      <c r="I4132" s="5"/>
      <c r="J4132" s="5"/>
      <c r="K4132" s="5"/>
      <c r="L4132" s="5"/>
      <c r="M4132" s="5"/>
      <c r="N4132" s="5"/>
      <c r="O4132" s="5"/>
    </row>
    <row r="4133" spans="1:29" ht="30" customHeight="1" x14ac:dyDescent="0.3">
      <c r="A4133" s="5"/>
      <c r="B4133" s="5"/>
      <c r="C4133" s="5"/>
      <c r="D4133" s="5"/>
      <c r="E4133" s="5"/>
      <c r="F4133" s="9"/>
      <c r="G4133" s="5"/>
      <c r="H4133" s="5"/>
      <c r="I4133" s="5"/>
      <c r="J4133" s="5"/>
      <c r="K4133" s="5"/>
      <c r="L4133" s="5"/>
      <c r="M4133" s="5"/>
      <c r="N4133" s="5"/>
      <c r="O4133" s="5"/>
    </row>
    <row r="4134" spans="1:29" ht="30" customHeight="1" x14ac:dyDescent="0.3">
      <c r="A4134" s="5"/>
      <c r="B4134" s="5"/>
      <c r="C4134" s="5"/>
      <c r="D4134" s="5"/>
      <c r="E4134" s="5"/>
      <c r="F4134" s="9"/>
      <c r="G4134" s="5"/>
      <c r="H4134" s="5"/>
      <c r="I4134" s="5"/>
      <c r="J4134" s="5"/>
      <c r="K4134" s="5"/>
      <c r="L4134" s="5"/>
      <c r="M4134" s="5"/>
      <c r="N4134" s="5"/>
      <c r="O4134" s="5"/>
    </row>
    <row r="4135" spans="1:29" ht="30" customHeight="1" x14ac:dyDescent="0.3">
      <c r="A4135" s="5"/>
      <c r="B4135" s="5"/>
      <c r="C4135" s="5"/>
      <c r="D4135" s="5"/>
      <c r="E4135" s="5"/>
      <c r="F4135" s="9"/>
      <c r="G4135" s="5"/>
      <c r="H4135" s="5"/>
      <c r="I4135" s="5"/>
      <c r="J4135" s="5"/>
      <c r="K4135" s="5"/>
      <c r="L4135" s="5"/>
      <c r="M4135" s="5"/>
      <c r="N4135" s="5"/>
      <c r="O4135" s="5"/>
    </row>
    <row r="4136" spans="1:29" ht="30" customHeight="1" x14ac:dyDescent="0.3">
      <c r="A4136" s="5"/>
      <c r="B4136" s="5"/>
      <c r="C4136" s="5"/>
      <c r="D4136" s="5"/>
      <c r="E4136" s="5"/>
      <c r="F4136" s="9"/>
      <c r="G4136" s="5"/>
      <c r="H4136" s="5"/>
      <c r="I4136" s="5"/>
      <c r="J4136" s="5"/>
      <c r="K4136" s="5"/>
      <c r="L4136" s="5"/>
      <c r="M4136" s="5"/>
      <c r="N4136" s="5"/>
      <c r="O4136" s="5"/>
    </row>
    <row r="4137" spans="1:29" ht="30" customHeight="1" x14ac:dyDescent="0.3">
      <c r="A4137" s="5"/>
      <c r="B4137" s="5"/>
      <c r="C4137" s="5" t="s">
        <v>162</v>
      </c>
      <c r="D4137" s="5"/>
      <c r="E4137" s="5"/>
      <c r="F4137" s="9"/>
      <c r="G4137" s="5"/>
      <c r="H4137" s="5">
        <f>SUMIF(AC4113:AC4136, 1, H4113:H4136)</f>
        <v>853584</v>
      </c>
      <c r="I4137" s="5"/>
      <c r="J4137" s="5">
        <f>SUMIF(AC4113:AC4136, 1, J4113:J4136)</f>
        <v>0</v>
      </c>
      <c r="K4137" s="5"/>
      <c r="L4137" s="5">
        <f>SUMIF(AC4113:AC4136, 1, L4113:L4136)</f>
        <v>0</v>
      </c>
      <c r="M4137" s="5"/>
      <c r="N4137" s="5">
        <f>H4137+J4137+L4137</f>
        <v>853584</v>
      </c>
      <c r="O4137" s="5"/>
    </row>
    <row r="4138" spans="1:29" ht="30" customHeight="1" x14ac:dyDescent="0.3">
      <c r="A4138" s="5"/>
      <c r="B4138" s="5"/>
      <c r="C4138" s="6" t="s">
        <v>3717</v>
      </c>
      <c r="D4138" s="6"/>
      <c r="E4138" s="6"/>
      <c r="F4138" s="7"/>
      <c r="G4138" s="6"/>
      <c r="H4138" s="6"/>
      <c r="I4138" s="6"/>
      <c r="J4138" s="6"/>
      <c r="K4138" s="6"/>
      <c r="L4138" s="6"/>
      <c r="M4138" s="6"/>
      <c r="N4138" s="6"/>
      <c r="O4138" s="6"/>
    </row>
    <row r="4139" spans="1:29" ht="30" customHeight="1" x14ac:dyDescent="0.3">
      <c r="A4139" s="8" t="s">
        <v>3718</v>
      </c>
      <c r="B4139" s="8" t="s">
        <v>3719</v>
      </c>
      <c r="C4139" s="8" t="s">
        <v>2520</v>
      </c>
      <c r="D4139" s="8" t="s">
        <v>2521</v>
      </c>
      <c r="E4139" s="8" t="s">
        <v>19</v>
      </c>
      <c r="F4139" s="9">
        <v>1</v>
      </c>
      <c r="G4139" s="5">
        <f>TRUNC([1]단가대비표!O1413,0)</f>
        <v>1951000</v>
      </c>
      <c r="H4139" s="5">
        <f t="shared" ref="H4139:H4156" si="393">TRUNC(F4139*G4139,0)</f>
        <v>1951000</v>
      </c>
      <c r="I4139" s="5">
        <v>0</v>
      </c>
      <c r="J4139" s="5">
        <f t="shared" ref="J4139:J4156" si="394">TRUNC(F4139*I4139,0)</f>
        <v>0</v>
      </c>
      <c r="K4139" s="5">
        <v>0</v>
      </c>
      <c r="L4139" s="5">
        <f t="shared" ref="L4139:L4156" si="395">TRUNC(F4139*K4139,0)</f>
        <v>0</v>
      </c>
      <c r="M4139" s="5">
        <f t="shared" ref="M4139:N4156" si="396">G4139+I4139+K4139</f>
        <v>1951000</v>
      </c>
      <c r="N4139" s="5">
        <f t="shared" si="396"/>
        <v>1951000</v>
      </c>
      <c r="O4139" s="8" t="s">
        <v>2522</v>
      </c>
      <c r="T4139">
        <v>0</v>
      </c>
      <c r="AC4139">
        <v>1</v>
      </c>
    </row>
    <row r="4140" spans="1:29" ht="30" customHeight="1" x14ac:dyDescent="0.3">
      <c r="A4140" s="8" t="s">
        <v>3718</v>
      </c>
      <c r="B4140" s="8" t="s">
        <v>3720</v>
      </c>
      <c r="C4140" s="8" t="s">
        <v>2527</v>
      </c>
      <c r="D4140" s="8" t="s">
        <v>3721</v>
      </c>
      <c r="E4140" s="8" t="s">
        <v>19</v>
      </c>
      <c r="F4140" s="9">
        <v>1</v>
      </c>
      <c r="G4140" s="5">
        <f>TRUNC([1]단가대비표!O1414,0)</f>
        <v>440000</v>
      </c>
      <c r="H4140" s="5">
        <f t="shared" si="393"/>
        <v>440000</v>
      </c>
      <c r="I4140" s="5">
        <v>0</v>
      </c>
      <c r="J4140" s="5">
        <f t="shared" si="394"/>
        <v>0</v>
      </c>
      <c r="K4140" s="5">
        <v>0</v>
      </c>
      <c r="L4140" s="5">
        <f t="shared" si="395"/>
        <v>0</v>
      </c>
      <c r="M4140" s="5">
        <f t="shared" si="396"/>
        <v>440000</v>
      </c>
      <c r="N4140" s="5">
        <f t="shared" si="396"/>
        <v>440000</v>
      </c>
      <c r="O4140" s="8" t="s">
        <v>3722</v>
      </c>
      <c r="T4140">
        <v>0</v>
      </c>
      <c r="AC4140">
        <v>1</v>
      </c>
    </row>
    <row r="4141" spans="1:29" ht="30" customHeight="1" x14ac:dyDescent="0.3">
      <c r="A4141" s="8" t="s">
        <v>3718</v>
      </c>
      <c r="B4141" s="8" t="s">
        <v>3723</v>
      </c>
      <c r="C4141" s="8" t="s">
        <v>2527</v>
      </c>
      <c r="D4141" s="8" t="s">
        <v>2528</v>
      </c>
      <c r="E4141" s="8" t="s">
        <v>19</v>
      </c>
      <c r="F4141" s="9">
        <v>2</v>
      </c>
      <c r="G4141" s="5">
        <f>TRUNC([1]단가대비표!O1415,0)</f>
        <v>443000</v>
      </c>
      <c r="H4141" s="5">
        <f t="shared" si="393"/>
        <v>886000</v>
      </c>
      <c r="I4141" s="5">
        <v>0</v>
      </c>
      <c r="J4141" s="5">
        <f t="shared" si="394"/>
        <v>0</v>
      </c>
      <c r="K4141" s="5">
        <v>0</v>
      </c>
      <c r="L4141" s="5">
        <f t="shared" si="395"/>
        <v>0</v>
      </c>
      <c r="M4141" s="5">
        <f t="shared" si="396"/>
        <v>443000</v>
      </c>
      <c r="N4141" s="5">
        <f t="shared" si="396"/>
        <v>886000</v>
      </c>
      <c r="O4141" s="8" t="s">
        <v>2529</v>
      </c>
      <c r="T4141">
        <v>0</v>
      </c>
      <c r="AC4141">
        <v>1</v>
      </c>
    </row>
    <row r="4142" spans="1:29" ht="30" customHeight="1" x14ac:dyDescent="0.3">
      <c r="A4142" s="8" t="s">
        <v>3718</v>
      </c>
      <c r="B4142" s="8" t="s">
        <v>3724</v>
      </c>
      <c r="C4142" s="8" t="s">
        <v>2527</v>
      </c>
      <c r="D4142" s="8" t="s">
        <v>2531</v>
      </c>
      <c r="E4142" s="8" t="s">
        <v>19</v>
      </c>
      <c r="F4142" s="9">
        <v>1</v>
      </c>
      <c r="G4142" s="5">
        <f>TRUNC([1]단가대비표!O1416,0)</f>
        <v>682000</v>
      </c>
      <c r="H4142" s="5">
        <f t="shared" si="393"/>
        <v>682000</v>
      </c>
      <c r="I4142" s="5">
        <v>0</v>
      </c>
      <c r="J4142" s="5">
        <f t="shared" si="394"/>
        <v>0</v>
      </c>
      <c r="K4142" s="5">
        <v>0</v>
      </c>
      <c r="L4142" s="5">
        <f t="shared" si="395"/>
        <v>0</v>
      </c>
      <c r="M4142" s="5">
        <f t="shared" si="396"/>
        <v>682000</v>
      </c>
      <c r="N4142" s="5">
        <f t="shared" si="396"/>
        <v>682000</v>
      </c>
      <c r="O4142" s="8" t="s">
        <v>3725</v>
      </c>
      <c r="T4142">
        <v>0</v>
      </c>
      <c r="AC4142">
        <v>1</v>
      </c>
    </row>
    <row r="4143" spans="1:29" ht="30" customHeight="1" x14ac:dyDescent="0.3">
      <c r="A4143" s="8" t="s">
        <v>3718</v>
      </c>
      <c r="B4143" s="8" t="s">
        <v>3726</v>
      </c>
      <c r="C4143" s="8" t="s">
        <v>2546</v>
      </c>
      <c r="D4143" s="8" t="s">
        <v>20</v>
      </c>
      <c r="E4143" s="8" t="s">
        <v>19</v>
      </c>
      <c r="F4143" s="9">
        <v>4</v>
      </c>
      <c r="G4143" s="5">
        <f>TRUNC([1]단가대비표!O1417,0)</f>
        <v>53400</v>
      </c>
      <c r="H4143" s="5">
        <f t="shared" si="393"/>
        <v>213600</v>
      </c>
      <c r="I4143" s="5">
        <v>0</v>
      </c>
      <c r="J4143" s="5">
        <f t="shared" si="394"/>
        <v>0</v>
      </c>
      <c r="K4143" s="5">
        <v>0</v>
      </c>
      <c r="L4143" s="5">
        <f t="shared" si="395"/>
        <v>0</v>
      </c>
      <c r="M4143" s="5">
        <f t="shared" si="396"/>
        <v>53400</v>
      </c>
      <c r="N4143" s="5">
        <f t="shared" si="396"/>
        <v>213600</v>
      </c>
      <c r="O4143" s="8" t="s">
        <v>2547</v>
      </c>
      <c r="T4143">
        <v>0</v>
      </c>
      <c r="AC4143">
        <v>1</v>
      </c>
    </row>
    <row r="4144" spans="1:29" ht="30" customHeight="1" x14ac:dyDescent="0.3">
      <c r="A4144" s="8" t="s">
        <v>3718</v>
      </c>
      <c r="B4144" s="8" t="s">
        <v>3727</v>
      </c>
      <c r="C4144" s="8" t="s">
        <v>2552</v>
      </c>
      <c r="D4144" s="8" t="s">
        <v>20</v>
      </c>
      <c r="E4144" s="8" t="s">
        <v>428</v>
      </c>
      <c r="F4144" s="9">
        <v>1</v>
      </c>
      <c r="G4144" s="5">
        <f>TRUNC([1]단가대비표!O1418,0)</f>
        <v>246400</v>
      </c>
      <c r="H4144" s="5">
        <f t="shared" si="393"/>
        <v>246400</v>
      </c>
      <c r="I4144" s="5">
        <v>0</v>
      </c>
      <c r="J4144" s="5">
        <f t="shared" si="394"/>
        <v>0</v>
      </c>
      <c r="K4144" s="5">
        <v>0</v>
      </c>
      <c r="L4144" s="5">
        <f t="shared" si="395"/>
        <v>0</v>
      </c>
      <c r="M4144" s="5">
        <f t="shared" si="396"/>
        <v>246400</v>
      </c>
      <c r="N4144" s="5">
        <f t="shared" si="396"/>
        <v>246400</v>
      </c>
      <c r="O4144" s="8" t="s">
        <v>2553</v>
      </c>
      <c r="T4144">
        <v>0</v>
      </c>
      <c r="AC4144">
        <v>1</v>
      </c>
    </row>
    <row r="4145" spans="1:29" ht="30" customHeight="1" x14ac:dyDescent="0.3">
      <c r="A4145" s="8" t="s">
        <v>3718</v>
      </c>
      <c r="B4145" s="8" t="s">
        <v>3728</v>
      </c>
      <c r="C4145" s="8" t="s">
        <v>2555</v>
      </c>
      <c r="D4145" s="8" t="s">
        <v>3628</v>
      </c>
      <c r="E4145" s="8" t="s">
        <v>428</v>
      </c>
      <c r="F4145" s="9">
        <v>3</v>
      </c>
      <c r="G4145" s="5">
        <f>TRUNC([1]단가대비표!O1419,0)</f>
        <v>52100</v>
      </c>
      <c r="H4145" s="5">
        <f t="shared" si="393"/>
        <v>156300</v>
      </c>
      <c r="I4145" s="5">
        <v>0</v>
      </c>
      <c r="J4145" s="5">
        <f t="shared" si="394"/>
        <v>0</v>
      </c>
      <c r="K4145" s="5">
        <v>0</v>
      </c>
      <c r="L4145" s="5">
        <f t="shared" si="395"/>
        <v>0</v>
      </c>
      <c r="M4145" s="5">
        <f t="shared" si="396"/>
        <v>52100</v>
      </c>
      <c r="N4145" s="5">
        <f t="shared" si="396"/>
        <v>156300</v>
      </c>
      <c r="O4145" s="8" t="s">
        <v>2556</v>
      </c>
      <c r="T4145">
        <v>0</v>
      </c>
      <c r="AC4145">
        <v>1</v>
      </c>
    </row>
    <row r="4146" spans="1:29" ht="30" customHeight="1" x14ac:dyDescent="0.3">
      <c r="A4146" s="8" t="s">
        <v>3718</v>
      </c>
      <c r="B4146" s="8" t="s">
        <v>3729</v>
      </c>
      <c r="C4146" s="8" t="s">
        <v>2564</v>
      </c>
      <c r="D4146" s="8" t="s">
        <v>3630</v>
      </c>
      <c r="E4146" s="8" t="s">
        <v>161</v>
      </c>
      <c r="F4146" s="9">
        <v>4</v>
      </c>
      <c r="G4146" s="5">
        <f>TRUNC([1]단가대비표!O1420,0)</f>
        <v>708840</v>
      </c>
      <c r="H4146" s="5">
        <f t="shared" si="393"/>
        <v>2835360</v>
      </c>
      <c r="I4146" s="5">
        <v>0</v>
      </c>
      <c r="J4146" s="5">
        <f t="shared" si="394"/>
        <v>0</v>
      </c>
      <c r="K4146" s="5">
        <v>0</v>
      </c>
      <c r="L4146" s="5">
        <f t="shared" si="395"/>
        <v>0</v>
      </c>
      <c r="M4146" s="5">
        <f t="shared" si="396"/>
        <v>708840</v>
      </c>
      <c r="N4146" s="5">
        <f t="shared" si="396"/>
        <v>2835360</v>
      </c>
      <c r="O4146" s="8" t="s">
        <v>2565</v>
      </c>
      <c r="T4146">
        <v>0</v>
      </c>
      <c r="AC4146">
        <v>1</v>
      </c>
    </row>
    <row r="4147" spans="1:29" ht="30" customHeight="1" x14ac:dyDescent="0.3">
      <c r="A4147" s="8" t="s">
        <v>3718</v>
      </c>
      <c r="B4147" s="8" t="s">
        <v>3730</v>
      </c>
      <c r="C4147" s="8" t="s">
        <v>2567</v>
      </c>
      <c r="D4147" s="8" t="s">
        <v>3632</v>
      </c>
      <c r="E4147" s="8" t="s">
        <v>895</v>
      </c>
      <c r="F4147" s="9">
        <v>117</v>
      </c>
      <c r="G4147" s="5">
        <f>TRUNC([1]단가대비표!O1421,0)</f>
        <v>6800</v>
      </c>
      <c r="H4147" s="5">
        <f t="shared" si="393"/>
        <v>795600</v>
      </c>
      <c r="I4147" s="5">
        <v>0</v>
      </c>
      <c r="J4147" s="5">
        <f t="shared" si="394"/>
        <v>0</v>
      </c>
      <c r="K4147" s="5">
        <v>0</v>
      </c>
      <c r="L4147" s="5">
        <f t="shared" si="395"/>
        <v>0</v>
      </c>
      <c r="M4147" s="5">
        <f t="shared" si="396"/>
        <v>6800</v>
      </c>
      <c r="N4147" s="5">
        <f t="shared" si="396"/>
        <v>795600</v>
      </c>
      <c r="O4147" s="8" t="s">
        <v>2568</v>
      </c>
      <c r="T4147">
        <v>0</v>
      </c>
      <c r="AC4147">
        <v>1</v>
      </c>
    </row>
    <row r="4148" spans="1:29" ht="30" customHeight="1" x14ac:dyDescent="0.3">
      <c r="A4148" s="8" t="s">
        <v>3718</v>
      </c>
      <c r="B4148" s="8" t="s">
        <v>3731</v>
      </c>
      <c r="C4148" s="8" t="s">
        <v>2567</v>
      </c>
      <c r="D4148" s="8" t="s">
        <v>3634</v>
      </c>
      <c r="E4148" s="8" t="s">
        <v>895</v>
      </c>
      <c r="F4148" s="9">
        <v>42</v>
      </c>
      <c r="G4148" s="5">
        <f>TRUNC([1]단가대비표!O1422,0)</f>
        <v>8110</v>
      </c>
      <c r="H4148" s="5">
        <f t="shared" si="393"/>
        <v>340620</v>
      </c>
      <c r="I4148" s="5">
        <v>0</v>
      </c>
      <c r="J4148" s="5">
        <f t="shared" si="394"/>
        <v>0</v>
      </c>
      <c r="K4148" s="5">
        <v>0</v>
      </c>
      <c r="L4148" s="5">
        <f t="shared" si="395"/>
        <v>0</v>
      </c>
      <c r="M4148" s="5">
        <f t="shared" si="396"/>
        <v>8110</v>
      </c>
      <c r="N4148" s="5">
        <f t="shared" si="396"/>
        <v>340620</v>
      </c>
      <c r="O4148" s="8" t="s">
        <v>2570</v>
      </c>
      <c r="T4148">
        <v>0</v>
      </c>
      <c r="AC4148">
        <v>1</v>
      </c>
    </row>
    <row r="4149" spans="1:29" ht="30" customHeight="1" x14ac:dyDescent="0.3">
      <c r="A4149" s="8" t="s">
        <v>3718</v>
      </c>
      <c r="B4149" s="8" t="s">
        <v>3732</v>
      </c>
      <c r="C4149" s="8" t="s">
        <v>2580</v>
      </c>
      <c r="D4149" s="8" t="s">
        <v>3642</v>
      </c>
      <c r="E4149" s="8" t="s">
        <v>895</v>
      </c>
      <c r="F4149" s="9">
        <v>80</v>
      </c>
      <c r="G4149" s="5">
        <f>TRUNC([1]단가대비표!O1423,0)</f>
        <v>6480</v>
      </c>
      <c r="H4149" s="5">
        <f t="shared" si="393"/>
        <v>518400</v>
      </c>
      <c r="I4149" s="5">
        <v>0</v>
      </c>
      <c r="J4149" s="5">
        <f t="shared" si="394"/>
        <v>0</v>
      </c>
      <c r="K4149" s="5">
        <v>0</v>
      </c>
      <c r="L4149" s="5">
        <f t="shared" si="395"/>
        <v>0</v>
      </c>
      <c r="M4149" s="5">
        <f t="shared" si="396"/>
        <v>6480</v>
      </c>
      <c r="N4149" s="5">
        <f t="shared" si="396"/>
        <v>518400</v>
      </c>
      <c r="O4149" s="8" t="s">
        <v>2581</v>
      </c>
      <c r="T4149">
        <v>0</v>
      </c>
      <c r="AC4149">
        <v>1</v>
      </c>
    </row>
    <row r="4150" spans="1:29" ht="30" customHeight="1" x14ac:dyDescent="0.3">
      <c r="A4150" s="8" t="s">
        <v>3718</v>
      </c>
      <c r="B4150" s="8" t="s">
        <v>3733</v>
      </c>
      <c r="C4150" s="8" t="s">
        <v>2589</v>
      </c>
      <c r="D4150" s="8" t="s">
        <v>3644</v>
      </c>
      <c r="E4150" s="8" t="s">
        <v>895</v>
      </c>
      <c r="F4150" s="9">
        <v>20</v>
      </c>
      <c r="G4150" s="5">
        <f>TRUNC([1]단가대비표!O1424,0)</f>
        <v>7320</v>
      </c>
      <c r="H4150" s="5">
        <f t="shared" si="393"/>
        <v>146400</v>
      </c>
      <c r="I4150" s="5">
        <v>0</v>
      </c>
      <c r="J4150" s="5">
        <f t="shared" si="394"/>
        <v>0</v>
      </c>
      <c r="K4150" s="5">
        <v>0</v>
      </c>
      <c r="L4150" s="5">
        <f t="shared" si="395"/>
        <v>0</v>
      </c>
      <c r="M4150" s="5">
        <f t="shared" si="396"/>
        <v>7320</v>
      </c>
      <c r="N4150" s="5">
        <f t="shared" si="396"/>
        <v>146400</v>
      </c>
      <c r="O4150" s="8" t="s">
        <v>2590</v>
      </c>
      <c r="T4150">
        <v>0</v>
      </c>
      <c r="AC4150">
        <v>1</v>
      </c>
    </row>
    <row r="4151" spans="1:29" ht="30" customHeight="1" x14ac:dyDescent="0.3">
      <c r="A4151" s="8" t="s">
        <v>3718</v>
      </c>
      <c r="B4151" s="8" t="s">
        <v>3734</v>
      </c>
      <c r="C4151" s="8" t="s">
        <v>2589</v>
      </c>
      <c r="D4151" s="8" t="s">
        <v>3735</v>
      </c>
      <c r="E4151" s="8" t="s">
        <v>895</v>
      </c>
      <c r="F4151" s="9">
        <v>50</v>
      </c>
      <c r="G4151" s="5">
        <f>TRUNC([1]단가대비표!O1425,0)</f>
        <v>7270</v>
      </c>
      <c r="H4151" s="5">
        <f t="shared" si="393"/>
        <v>363500</v>
      </c>
      <c r="I4151" s="5">
        <v>0</v>
      </c>
      <c r="J4151" s="5">
        <f t="shared" si="394"/>
        <v>0</v>
      </c>
      <c r="K4151" s="5">
        <v>0</v>
      </c>
      <c r="L4151" s="5">
        <f t="shared" si="395"/>
        <v>0</v>
      </c>
      <c r="M4151" s="5">
        <f t="shared" si="396"/>
        <v>7270</v>
      </c>
      <c r="N4151" s="5">
        <f t="shared" si="396"/>
        <v>363500</v>
      </c>
      <c r="O4151" s="8" t="s">
        <v>2592</v>
      </c>
      <c r="T4151">
        <v>0</v>
      </c>
      <c r="AC4151">
        <v>1</v>
      </c>
    </row>
    <row r="4152" spans="1:29" ht="30" customHeight="1" x14ac:dyDescent="0.3">
      <c r="A4152" s="8" t="s">
        <v>3718</v>
      </c>
      <c r="B4152" s="8" t="s">
        <v>3736</v>
      </c>
      <c r="C4152" s="8" t="s">
        <v>2594</v>
      </c>
      <c r="D4152" s="8" t="s">
        <v>20</v>
      </c>
      <c r="E4152" s="8" t="s">
        <v>895</v>
      </c>
      <c r="F4152" s="9">
        <v>195</v>
      </c>
      <c r="G4152" s="5">
        <f>TRUNC([1]단가대비표!O1426,0)</f>
        <v>9890</v>
      </c>
      <c r="H4152" s="5">
        <f t="shared" si="393"/>
        <v>1928550</v>
      </c>
      <c r="I4152" s="5">
        <v>0</v>
      </c>
      <c r="J4152" s="5">
        <f t="shared" si="394"/>
        <v>0</v>
      </c>
      <c r="K4152" s="5">
        <v>0</v>
      </c>
      <c r="L4152" s="5">
        <f t="shared" si="395"/>
        <v>0</v>
      </c>
      <c r="M4152" s="5">
        <f t="shared" si="396"/>
        <v>9890</v>
      </c>
      <c r="N4152" s="5">
        <f t="shared" si="396"/>
        <v>1928550</v>
      </c>
      <c r="O4152" s="8" t="s">
        <v>2595</v>
      </c>
      <c r="T4152">
        <v>0</v>
      </c>
      <c r="AC4152">
        <v>1</v>
      </c>
    </row>
    <row r="4153" spans="1:29" ht="30" customHeight="1" x14ac:dyDescent="0.3">
      <c r="A4153" s="8" t="s">
        <v>3718</v>
      </c>
      <c r="B4153" s="8" t="s">
        <v>3737</v>
      </c>
      <c r="C4153" s="8" t="s">
        <v>1902</v>
      </c>
      <c r="D4153" s="8" t="s">
        <v>3647</v>
      </c>
      <c r="E4153" s="8" t="s">
        <v>19</v>
      </c>
      <c r="F4153" s="9">
        <v>1</v>
      </c>
      <c r="G4153" s="5">
        <f>TRUNC([1]단가대비표!O1427,0)</f>
        <v>388000</v>
      </c>
      <c r="H4153" s="5">
        <f t="shared" si="393"/>
        <v>388000</v>
      </c>
      <c r="I4153" s="5">
        <v>0</v>
      </c>
      <c r="J4153" s="5">
        <f t="shared" si="394"/>
        <v>0</v>
      </c>
      <c r="K4153" s="5">
        <v>0</v>
      </c>
      <c r="L4153" s="5">
        <f t="shared" si="395"/>
        <v>0</v>
      </c>
      <c r="M4153" s="5">
        <f t="shared" si="396"/>
        <v>388000</v>
      </c>
      <c r="N4153" s="5">
        <f t="shared" si="396"/>
        <v>388000</v>
      </c>
      <c r="O4153" s="8" t="s">
        <v>3648</v>
      </c>
      <c r="T4153">
        <v>0</v>
      </c>
      <c r="AC4153">
        <v>1</v>
      </c>
    </row>
    <row r="4154" spans="1:29" ht="30" customHeight="1" x14ac:dyDescent="0.3">
      <c r="A4154" s="8" t="s">
        <v>3718</v>
      </c>
      <c r="B4154" s="8" t="s">
        <v>3738</v>
      </c>
      <c r="C4154" s="8" t="s">
        <v>2599</v>
      </c>
      <c r="D4154" s="8" t="s">
        <v>3650</v>
      </c>
      <c r="E4154" s="8" t="s">
        <v>895</v>
      </c>
      <c r="F4154" s="9">
        <v>6</v>
      </c>
      <c r="G4154" s="5">
        <f>TRUNC([1]단가대비표!O1428,0)</f>
        <v>51920</v>
      </c>
      <c r="H4154" s="5">
        <f t="shared" si="393"/>
        <v>311520</v>
      </c>
      <c r="I4154" s="5">
        <v>0</v>
      </c>
      <c r="J4154" s="5">
        <f t="shared" si="394"/>
        <v>0</v>
      </c>
      <c r="K4154" s="5">
        <v>0</v>
      </c>
      <c r="L4154" s="5">
        <f t="shared" si="395"/>
        <v>0</v>
      </c>
      <c r="M4154" s="5">
        <f t="shared" si="396"/>
        <v>51920</v>
      </c>
      <c r="N4154" s="5">
        <f t="shared" si="396"/>
        <v>311520</v>
      </c>
      <c r="O4154" s="8" t="s">
        <v>2600</v>
      </c>
      <c r="T4154">
        <v>0</v>
      </c>
      <c r="AC4154">
        <v>1</v>
      </c>
    </row>
    <row r="4155" spans="1:29" ht="30" customHeight="1" x14ac:dyDescent="0.3">
      <c r="A4155" s="8" t="s">
        <v>3718</v>
      </c>
      <c r="B4155" s="8" t="s">
        <v>3739</v>
      </c>
      <c r="C4155" s="8" t="s">
        <v>2602</v>
      </c>
      <c r="D4155" s="8" t="s">
        <v>3652</v>
      </c>
      <c r="E4155" s="8" t="s">
        <v>476</v>
      </c>
      <c r="F4155" s="9">
        <v>1</v>
      </c>
      <c r="G4155" s="5">
        <f>TRUNC([1]단가대비표!O1429,0)</f>
        <v>116400</v>
      </c>
      <c r="H4155" s="5">
        <f t="shared" si="393"/>
        <v>116400</v>
      </c>
      <c r="I4155" s="5">
        <v>0</v>
      </c>
      <c r="J4155" s="5">
        <f t="shared" si="394"/>
        <v>0</v>
      </c>
      <c r="K4155" s="5">
        <v>0</v>
      </c>
      <c r="L4155" s="5">
        <f t="shared" si="395"/>
        <v>0</v>
      </c>
      <c r="M4155" s="5">
        <f t="shared" si="396"/>
        <v>116400</v>
      </c>
      <c r="N4155" s="5">
        <f t="shared" si="396"/>
        <v>116400</v>
      </c>
      <c r="O4155" s="8" t="s">
        <v>2603</v>
      </c>
      <c r="T4155">
        <v>0</v>
      </c>
      <c r="AC4155">
        <v>1</v>
      </c>
    </row>
    <row r="4156" spans="1:29" ht="30" customHeight="1" x14ac:dyDescent="0.3">
      <c r="A4156" s="8" t="s">
        <v>3718</v>
      </c>
      <c r="B4156" s="8" t="s">
        <v>3740</v>
      </c>
      <c r="C4156" s="8" t="s">
        <v>2467</v>
      </c>
      <c r="D4156" s="8" t="s">
        <v>2468</v>
      </c>
      <c r="E4156" s="8" t="s">
        <v>161</v>
      </c>
      <c r="F4156" s="9">
        <v>1</v>
      </c>
      <c r="G4156" s="5">
        <f>TRUNC([1]단가대비표!O1430,0)</f>
        <v>66526</v>
      </c>
      <c r="H4156" s="5">
        <f t="shared" si="393"/>
        <v>66526</v>
      </c>
      <c r="I4156" s="5">
        <v>0</v>
      </c>
      <c r="J4156" s="5">
        <f t="shared" si="394"/>
        <v>0</v>
      </c>
      <c r="K4156" s="5">
        <v>0</v>
      </c>
      <c r="L4156" s="5">
        <f t="shared" si="395"/>
        <v>0</v>
      </c>
      <c r="M4156" s="5">
        <f t="shared" si="396"/>
        <v>66526</v>
      </c>
      <c r="N4156" s="5">
        <f t="shared" si="396"/>
        <v>66526</v>
      </c>
      <c r="O4156" s="8" t="s">
        <v>20</v>
      </c>
      <c r="T4156">
        <v>0</v>
      </c>
      <c r="AC4156">
        <v>1</v>
      </c>
    </row>
    <row r="4157" spans="1:29" ht="30" customHeight="1" x14ac:dyDescent="0.3">
      <c r="A4157" s="5"/>
      <c r="B4157" s="5"/>
      <c r="C4157" s="5"/>
      <c r="D4157" s="5"/>
      <c r="E4157" s="5"/>
      <c r="F4157" s="9"/>
      <c r="G4157" s="5"/>
      <c r="H4157" s="5"/>
      <c r="I4157" s="5"/>
      <c r="J4157" s="5"/>
      <c r="K4157" s="5"/>
      <c r="L4157" s="5"/>
      <c r="M4157" s="5"/>
      <c r="N4157" s="5"/>
      <c r="O4157" s="5"/>
    </row>
    <row r="4158" spans="1:29" ht="30" customHeight="1" x14ac:dyDescent="0.3">
      <c r="A4158" s="5"/>
      <c r="B4158" s="5"/>
      <c r="C4158" s="5"/>
      <c r="D4158" s="5"/>
      <c r="E4158" s="5"/>
      <c r="F4158" s="9"/>
      <c r="G4158" s="5"/>
      <c r="H4158" s="5"/>
      <c r="I4158" s="5"/>
      <c r="J4158" s="5"/>
      <c r="K4158" s="5"/>
      <c r="L4158" s="5"/>
      <c r="M4158" s="5"/>
      <c r="N4158" s="5"/>
      <c r="O4158" s="5"/>
    </row>
    <row r="4159" spans="1:29" ht="30" customHeight="1" x14ac:dyDescent="0.3">
      <c r="A4159" s="5"/>
      <c r="B4159" s="5"/>
      <c r="C4159" s="5"/>
      <c r="D4159" s="5"/>
      <c r="E4159" s="5"/>
      <c r="F4159" s="9"/>
      <c r="G4159" s="5"/>
      <c r="H4159" s="5"/>
      <c r="I4159" s="5"/>
      <c r="J4159" s="5"/>
      <c r="K4159" s="5"/>
      <c r="L4159" s="5"/>
      <c r="M4159" s="5"/>
      <c r="N4159" s="5"/>
      <c r="O4159" s="5"/>
    </row>
    <row r="4160" spans="1:29" ht="30" customHeight="1" x14ac:dyDescent="0.3">
      <c r="A4160" s="5"/>
      <c r="B4160" s="5"/>
      <c r="C4160" s="5"/>
      <c r="D4160" s="5"/>
      <c r="E4160" s="5"/>
      <c r="F4160" s="9"/>
      <c r="G4160" s="5"/>
      <c r="H4160" s="5"/>
      <c r="I4160" s="5"/>
      <c r="J4160" s="5"/>
      <c r="K4160" s="5"/>
      <c r="L4160" s="5"/>
      <c r="M4160" s="5"/>
      <c r="N4160" s="5"/>
      <c r="O4160" s="5"/>
    </row>
    <row r="4161" spans="1:29" ht="30" customHeight="1" x14ac:dyDescent="0.3">
      <c r="A4161" s="5"/>
      <c r="B4161" s="5"/>
      <c r="C4161" s="5"/>
      <c r="D4161" s="5"/>
      <c r="E4161" s="5"/>
      <c r="F4161" s="9"/>
      <c r="G4161" s="5"/>
      <c r="H4161" s="5"/>
      <c r="I4161" s="5"/>
      <c r="J4161" s="5"/>
      <c r="K4161" s="5"/>
      <c r="L4161" s="5"/>
      <c r="M4161" s="5"/>
      <c r="N4161" s="5"/>
      <c r="O4161" s="5"/>
    </row>
    <row r="4162" spans="1:29" ht="30" customHeight="1" x14ac:dyDescent="0.3">
      <c r="A4162" s="5"/>
      <c r="B4162" s="5"/>
      <c r="C4162" s="5"/>
      <c r="D4162" s="5"/>
      <c r="E4162" s="5"/>
      <c r="F4162" s="9"/>
      <c r="G4162" s="5"/>
      <c r="H4162" s="5"/>
      <c r="I4162" s="5"/>
      <c r="J4162" s="5"/>
      <c r="K4162" s="5"/>
      <c r="L4162" s="5"/>
      <c r="M4162" s="5"/>
      <c r="N4162" s="5"/>
      <c r="O4162" s="5"/>
    </row>
    <row r="4163" spans="1:29" ht="30" customHeight="1" x14ac:dyDescent="0.3">
      <c r="A4163" s="5"/>
      <c r="B4163" s="5"/>
      <c r="C4163" s="5" t="s">
        <v>162</v>
      </c>
      <c r="D4163" s="5"/>
      <c r="E4163" s="5"/>
      <c r="F4163" s="9"/>
      <c r="G4163" s="5"/>
      <c r="H4163" s="5">
        <f>SUMIF(AC4139:AC4162, 1, H4139:H4162)</f>
        <v>12386176</v>
      </c>
      <c r="I4163" s="5"/>
      <c r="J4163" s="5">
        <f>SUMIF(AC4139:AC4162, 1, J4139:J4162)</f>
        <v>0</v>
      </c>
      <c r="K4163" s="5"/>
      <c r="L4163" s="5">
        <f>SUMIF(AC4139:AC4162, 1, L4139:L4162)</f>
        <v>0</v>
      </c>
      <c r="M4163" s="5"/>
      <c r="N4163" s="5">
        <f>H4163+J4163+L4163</f>
        <v>12386176</v>
      </c>
      <c r="O4163" s="5"/>
    </row>
    <row r="4164" spans="1:29" ht="30" customHeight="1" x14ac:dyDescent="0.3">
      <c r="A4164" s="5"/>
      <c r="B4164" s="5"/>
      <c r="C4164" s="6" t="s">
        <v>3741</v>
      </c>
      <c r="D4164" s="6"/>
      <c r="E4164" s="6"/>
      <c r="F4164" s="7"/>
      <c r="G4164" s="6"/>
      <c r="H4164" s="6"/>
      <c r="I4164" s="6"/>
      <c r="J4164" s="6"/>
      <c r="K4164" s="6"/>
      <c r="L4164" s="6"/>
      <c r="M4164" s="6"/>
      <c r="N4164" s="6"/>
      <c r="O4164" s="6"/>
    </row>
    <row r="4165" spans="1:29" ht="30" customHeight="1" x14ac:dyDescent="0.3">
      <c r="A4165" s="8" t="s">
        <v>3742</v>
      </c>
      <c r="B4165" s="8" t="s">
        <v>3743</v>
      </c>
      <c r="C4165" s="8" t="s">
        <v>2608</v>
      </c>
      <c r="D4165" s="8" t="s">
        <v>3744</v>
      </c>
      <c r="E4165" s="8" t="s">
        <v>19</v>
      </c>
      <c r="F4165" s="9">
        <v>2</v>
      </c>
      <c r="G4165" s="5">
        <f>TRUNC([1]단가대비표!O1472,0)</f>
        <v>530000</v>
      </c>
      <c r="H4165" s="5">
        <f t="shared" ref="H4165:H4172" si="397">TRUNC(F4165*G4165,0)</f>
        <v>1060000</v>
      </c>
      <c r="I4165" s="5">
        <v>0</v>
      </c>
      <c r="J4165" s="5">
        <f t="shared" ref="J4165:J4172" si="398">TRUNC(F4165*I4165,0)</f>
        <v>0</v>
      </c>
      <c r="K4165" s="5">
        <v>0</v>
      </c>
      <c r="L4165" s="5">
        <f t="shared" ref="L4165:L4172" si="399">TRUNC(F4165*K4165,0)</f>
        <v>0</v>
      </c>
      <c r="M4165" s="5">
        <f t="shared" ref="M4165:N4172" si="400">G4165+I4165+K4165</f>
        <v>530000</v>
      </c>
      <c r="N4165" s="5">
        <f t="shared" si="400"/>
        <v>1060000</v>
      </c>
      <c r="O4165" s="8" t="s">
        <v>2613</v>
      </c>
      <c r="T4165">
        <v>0</v>
      </c>
      <c r="AC4165">
        <v>1</v>
      </c>
    </row>
    <row r="4166" spans="1:29" ht="30" customHeight="1" x14ac:dyDescent="0.3">
      <c r="A4166" s="8" t="s">
        <v>3742</v>
      </c>
      <c r="B4166" s="8" t="s">
        <v>3745</v>
      </c>
      <c r="C4166" s="8" t="s">
        <v>3746</v>
      </c>
      <c r="D4166" s="8" t="s">
        <v>3747</v>
      </c>
      <c r="E4166" s="8" t="s">
        <v>161</v>
      </c>
      <c r="F4166" s="9">
        <v>2</v>
      </c>
      <c r="G4166" s="5">
        <f>TRUNC([1]단가대비표!O1473,0)</f>
        <v>1280000</v>
      </c>
      <c r="H4166" s="5">
        <f t="shared" si="397"/>
        <v>2560000</v>
      </c>
      <c r="I4166" s="5">
        <v>0</v>
      </c>
      <c r="J4166" s="5">
        <f t="shared" si="398"/>
        <v>0</v>
      </c>
      <c r="K4166" s="5">
        <v>0</v>
      </c>
      <c r="L4166" s="5">
        <f t="shared" si="399"/>
        <v>0</v>
      </c>
      <c r="M4166" s="5">
        <f t="shared" si="400"/>
        <v>1280000</v>
      </c>
      <c r="N4166" s="5">
        <f t="shared" si="400"/>
        <v>2560000</v>
      </c>
      <c r="O4166" s="8" t="s">
        <v>2632</v>
      </c>
      <c r="T4166">
        <v>0</v>
      </c>
      <c r="AC4166">
        <v>1</v>
      </c>
    </row>
    <row r="4167" spans="1:29" ht="30" customHeight="1" x14ac:dyDescent="0.3">
      <c r="A4167" s="8" t="s">
        <v>3742</v>
      </c>
      <c r="B4167" s="8" t="s">
        <v>3748</v>
      </c>
      <c r="C4167" s="8" t="s">
        <v>3746</v>
      </c>
      <c r="D4167" s="8" t="s">
        <v>3749</v>
      </c>
      <c r="E4167" s="8" t="s">
        <v>895</v>
      </c>
      <c r="F4167" s="9">
        <v>30</v>
      </c>
      <c r="G4167" s="5">
        <f>TRUNC([1]단가대비표!O1474,0)</f>
        <v>17190</v>
      </c>
      <c r="H4167" s="5">
        <f t="shared" si="397"/>
        <v>515700</v>
      </c>
      <c r="I4167" s="5">
        <v>0</v>
      </c>
      <c r="J4167" s="5">
        <f t="shared" si="398"/>
        <v>0</v>
      </c>
      <c r="K4167" s="5">
        <v>0</v>
      </c>
      <c r="L4167" s="5">
        <f t="shared" si="399"/>
        <v>0</v>
      </c>
      <c r="M4167" s="5">
        <f t="shared" si="400"/>
        <v>17190</v>
      </c>
      <c r="N4167" s="5">
        <f t="shared" si="400"/>
        <v>515700</v>
      </c>
      <c r="O4167" s="8" t="s">
        <v>2641</v>
      </c>
      <c r="T4167">
        <v>0</v>
      </c>
      <c r="AC4167">
        <v>1</v>
      </c>
    </row>
    <row r="4168" spans="1:29" ht="30" customHeight="1" x14ac:dyDescent="0.3">
      <c r="A4168" s="8" t="s">
        <v>3742</v>
      </c>
      <c r="B4168" s="8" t="s">
        <v>3750</v>
      </c>
      <c r="C4168" s="8" t="s">
        <v>3746</v>
      </c>
      <c r="D4168" s="8" t="s">
        <v>3751</v>
      </c>
      <c r="E4168" s="8" t="s">
        <v>895</v>
      </c>
      <c r="F4168" s="9">
        <v>16</v>
      </c>
      <c r="G4168" s="5">
        <f>TRUNC([1]단가대비표!O1475,0)</f>
        <v>6170</v>
      </c>
      <c r="H4168" s="5">
        <f t="shared" si="397"/>
        <v>98720</v>
      </c>
      <c r="I4168" s="5">
        <v>0</v>
      </c>
      <c r="J4168" s="5">
        <f t="shared" si="398"/>
        <v>0</v>
      </c>
      <c r="K4168" s="5">
        <v>0</v>
      </c>
      <c r="L4168" s="5">
        <f t="shared" si="399"/>
        <v>0</v>
      </c>
      <c r="M4168" s="5">
        <f t="shared" si="400"/>
        <v>6170</v>
      </c>
      <c r="N4168" s="5">
        <f t="shared" si="400"/>
        <v>98720</v>
      </c>
      <c r="O4168" s="8" t="s">
        <v>2644</v>
      </c>
      <c r="T4168">
        <v>0</v>
      </c>
      <c r="AC4168">
        <v>1</v>
      </c>
    </row>
    <row r="4169" spans="1:29" ht="30" customHeight="1" x14ac:dyDescent="0.3">
      <c r="A4169" s="8" t="s">
        <v>3742</v>
      </c>
      <c r="B4169" s="8" t="s">
        <v>3752</v>
      </c>
      <c r="C4169" s="8" t="s">
        <v>3746</v>
      </c>
      <c r="D4169" s="8" t="s">
        <v>2650</v>
      </c>
      <c r="E4169" s="8" t="s">
        <v>428</v>
      </c>
      <c r="F4169" s="9">
        <v>2</v>
      </c>
      <c r="G4169" s="5">
        <f>TRUNC([1]단가대비표!O1476,0)</f>
        <v>28500</v>
      </c>
      <c r="H4169" s="5">
        <f t="shared" si="397"/>
        <v>57000</v>
      </c>
      <c r="I4169" s="5">
        <v>0</v>
      </c>
      <c r="J4169" s="5">
        <f t="shared" si="398"/>
        <v>0</v>
      </c>
      <c r="K4169" s="5">
        <v>0</v>
      </c>
      <c r="L4169" s="5">
        <f t="shared" si="399"/>
        <v>0</v>
      </c>
      <c r="M4169" s="5">
        <f t="shared" si="400"/>
        <v>28500</v>
      </c>
      <c r="N4169" s="5">
        <f t="shared" si="400"/>
        <v>57000</v>
      </c>
      <c r="O4169" s="8" t="s">
        <v>2651</v>
      </c>
      <c r="T4169">
        <v>0</v>
      </c>
      <c r="AC4169">
        <v>1</v>
      </c>
    </row>
    <row r="4170" spans="1:29" ht="30" customHeight="1" x14ac:dyDescent="0.3">
      <c r="A4170" s="8" t="s">
        <v>3742</v>
      </c>
      <c r="B4170" s="8" t="s">
        <v>3753</v>
      </c>
      <c r="C4170" s="8" t="s">
        <v>3746</v>
      </c>
      <c r="D4170" s="8" t="s">
        <v>2659</v>
      </c>
      <c r="E4170" s="8" t="s">
        <v>895</v>
      </c>
      <c r="F4170" s="9">
        <v>30</v>
      </c>
      <c r="G4170" s="5">
        <f>TRUNC([1]단가대비표!O1477,0)</f>
        <v>3200</v>
      </c>
      <c r="H4170" s="5">
        <f t="shared" si="397"/>
        <v>96000</v>
      </c>
      <c r="I4170" s="5">
        <v>0</v>
      </c>
      <c r="J4170" s="5">
        <f t="shared" si="398"/>
        <v>0</v>
      </c>
      <c r="K4170" s="5">
        <v>0</v>
      </c>
      <c r="L4170" s="5">
        <f t="shared" si="399"/>
        <v>0</v>
      </c>
      <c r="M4170" s="5">
        <f t="shared" si="400"/>
        <v>3200</v>
      </c>
      <c r="N4170" s="5">
        <f t="shared" si="400"/>
        <v>96000</v>
      </c>
      <c r="O4170" s="8" t="s">
        <v>2660</v>
      </c>
      <c r="T4170">
        <v>0</v>
      </c>
      <c r="AC4170">
        <v>1</v>
      </c>
    </row>
    <row r="4171" spans="1:29" ht="30" customHeight="1" x14ac:dyDescent="0.3">
      <c r="A4171" s="8" t="s">
        <v>3742</v>
      </c>
      <c r="B4171" s="8" t="s">
        <v>3754</v>
      </c>
      <c r="C4171" s="8" t="s">
        <v>3746</v>
      </c>
      <c r="D4171" s="8" t="s">
        <v>2662</v>
      </c>
      <c r="E4171" s="8" t="s">
        <v>428</v>
      </c>
      <c r="F4171" s="9">
        <v>2</v>
      </c>
      <c r="G4171" s="5">
        <f>TRUNC([1]단가대비표!O1478,0)</f>
        <v>100000</v>
      </c>
      <c r="H4171" s="5">
        <f t="shared" si="397"/>
        <v>200000</v>
      </c>
      <c r="I4171" s="5">
        <v>0</v>
      </c>
      <c r="J4171" s="5">
        <f t="shared" si="398"/>
        <v>0</v>
      </c>
      <c r="K4171" s="5">
        <v>0</v>
      </c>
      <c r="L4171" s="5">
        <f t="shared" si="399"/>
        <v>0</v>
      </c>
      <c r="M4171" s="5">
        <f t="shared" si="400"/>
        <v>100000</v>
      </c>
      <c r="N4171" s="5">
        <f t="shared" si="400"/>
        <v>200000</v>
      </c>
      <c r="O4171" s="8" t="s">
        <v>2663</v>
      </c>
      <c r="T4171">
        <v>0</v>
      </c>
      <c r="AC4171">
        <v>1</v>
      </c>
    </row>
    <row r="4172" spans="1:29" ht="30" customHeight="1" x14ac:dyDescent="0.3">
      <c r="A4172" s="8" t="s">
        <v>3742</v>
      </c>
      <c r="B4172" s="8" t="s">
        <v>3755</v>
      </c>
      <c r="C4172" s="8" t="s">
        <v>3756</v>
      </c>
      <c r="D4172" s="8" t="s">
        <v>2468</v>
      </c>
      <c r="E4172" s="8" t="s">
        <v>161</v>
      </c>
      <c r="F4172" s="9">
        <v>1</v>
      </c>
      <c r="G4172" s="5">
        <f>TRUNC([1]단가대비표!O1479,0)</f>
        <v>24772</v>
      </c>
      <c r="H4172" s="5">
        <f t="shared" si="397"/>
        <v>24772</v>
      </c>
      <c r="I4172" s="5">
        <v>0</v>
      </c>
      <c r="J4172" s="5">
        <f t="shared" si="398"/>
        <v>0</v>
      </c>
      <c r="K4172" s="5">
        <v>0</v>
      </c>
      <c r="L4172" s="5">
        <f t="shared" si="399"/>
        <v>0</v>
      </c>
      <c r="M4172" s="5">
        <f t="shared" si="400"/>
        <v>24772</v>
      </c>
      <c r="N4172" s="5">
        <f t="shared" si="400"/>
        <v>24772</v>
      </c>
      <c r="O4172" s="8" t="s">
        <v>20</v>
      </c>
      <c r="T4172">
        <v>0</v>
      </c>
      <c r="AC4172">
        <v>1</v>
      </c>
    </row>
    <row r="4173" spans="1:29" ht="30" customHeight="1" x14ac:dyDescent="0.3">
      <c r="A4173" s="5"/>
      <c r="B4173" s="5"/>
      <c r="C4173" s="5"/>
      <c r="D4173" s="5"/>
      <c r="E4173" s="5"/>
      <c r="F4173" s="9"/>
      <c r="G4173" s="5"/>
      <c r="H4173" s="5"/>
      <c r="I4173" s="5"/>
      <c r="J4173" s="5"/>
      <c r="K4173" s="5"/>
      <c r="L4173" s="5"/>
      <c r="M4173" s="5"/>
      <c r="N4173" s="5"/>
      <c r="O4173" s="5"/>
    </row>
    <row r="4174" spans="1:29" ht="30" customHeight="1" x14ac:dyDescent="0.3">
      <c r="A4174" s="5"/>
      <c r="B4174" s="5"/>
      <c r="C4174" s="5"/>
      <c r="D4174" s="5"/>
      <c r="E4174" s="5"/>
      <c r="F4174" s="9"/>
      <c r="G4174" s="5"/>
      <c r="H4174" s="5"/>
      <c r="I4174" s="5"/>
      <c r="J4174" s="5"/>
      <c r="K4174" s="5"/>
      <c r="L4174" s="5"/>
      <c r="M4174" s="5"/>
      <c r="N4174" s="5"/>
      <c r="O4174" s="5"/>
    </row>
    <row r="4175" spans="1:29" ht="30" customHeight="1" x14ac:dyDescent="0.3">
      <c r="A4175" s="5"/>
      <c r="B4175" s="5"/>
      <c r="C4175" s="5"/>
      <c r="D4175" s="5"/>
      <c r="E4175" s="5"/>
      <c r="F4175" s="9"/>
      <c r="G4175" s="5"/>
      <c r="H4175" s="5"/>
      <c r="I4175" s="5"/>
      <c r="J4175" s="5"/>
      <c r="K4175" s="5"/>
      <c r="L4175" s="5"/>
      <c r="M4175" s="5"/>
      <c r="N4175" s="5"/>
      <c r="O4175" s="5"/>
    </row>
    <row r="4176" spans="1:29" ht="30" customHeight="1" x14ac:dyDescent="0.3">
      <c r="A4176" s="5"/>
      <c r="B4176" s="5"/>
      <c r="C4176" s="5"/>
      <c r="D4176" s="5"/>
      <c r="E4176" s="5"/>
      <c r="F4176" s="9"/>
      <c r="G4176" s="5"/>
      <c r="H4176" s="5"/>
      <c r="I4176" s="5"/>
      <c r="J4176" s="5"/>
      <c r="K4176" s="5"/>
      <c r="L4176" s="5"/>
      <c r="M4176" s="5"/>
      <c r="N4176" s="5"/>
      <c r="O4176" s="5"/>
    </row>
    <row r="4177" spans="1:29" ht="30" customHeight="1" x14ac:dyDescent="0.3">
      <c r="A4177" s="5"/>
      <c r="B4177" s="5"/>
      <c r="C4177" s="5"/>
      <c r="D4177" s="5"/>
      <c r="E4177" s="5"/>
      <c r="F4177" s="9"/>
      <c r="G4177" s="5"/>
      <c r="H4177" s="5"/>
      <c r="I4177" s="5"/>
      <c r="J4177" s="5"/>
      <c r="K4177" s="5"/>
      <c r="L4177" s="5"/>
      <c r="M4177" s="5"/>
      <c r="N4177" s="5"/>
      <c r="O4177" s="5"/>
    </row>
    <row r="4178" spans="1:29" ht="30" customHeight="1" x14ac:dyDescent="0.3">
      <c r="A4178" s="5"/>
      <c r="B4178" s="5"/>
      <c r="C4178" s="5"/>
      <c r="D4178" s="5"/>
      <c r="E4178" s="5"/>
      <c r="F4178" s="9"/>
      <c r="G4178" s="5"/>
      <c r="H4178" s="5"/>
      <c r="I4178" s="5"/>
      <c r="J4178" s="5"/>
      <c r="K4178" s="5"/>
      <c r="L4178" s="5"/>
      <c r="M4178" s="5"/>
      <c r="N4178" s="5"/>
      <c r="O4178" s="5"/>
    </row>
    <row r="4179" spans="1:29" ht="30" customHeight="1" x14ac:dyDescent="0.3">
      <c r="A4179" s="5"/>
      <c r="B4179" s="5"/>
      <c r="C4179" s="5"/>
      <c r="D4179" s="5"/>
      <c r="E4179" s="5"/>
      <c r="F4179" s="9"/>
      <c r="G4179" s="5"/>
      <c r="H4179" s="5"/>
      <c r="I4179" s="5"/>
      <c r="J4179" s="5"/>
      <c r="K4179" s="5"/>
      <c r="L4179" s="5"/>
      <c r="M4179" s="5"/>
      <c r="N4179" s="5"/>
      <c r="O4179" s="5"/>
    </row>
    <row r="4180" spans="1:29" ht="30" customHeight="1" x14ac:dyDescent="0.3">
      <c r="A4180" s="5"/>
      <c r="B4180" s="5"/>
      <c r="C4180" s="5"/>
      <c r="D4180" s="5"/>
      <c r="E4180" s="5"/>
      <c r="F4180" s="9"/>
      <c r="G4180" s="5"/>
      <c r="H4180" s="5"/>
      <c r="I4180" s="5"/>
      <c r="J4180" s="5"/>
      <c r="K4180" s="5"/>
      <c r="L4180" s="5"/>
      <c r="M4180" s="5"/>
      <c r="N4180" s="5"/>
      <c r="O4180" s="5"/>
    </row>
    <row r="4181" spans="1:29" ht="30" customHeight="1" x14ac:dyDescent="0.3">
      <c r="A4181" s="5"/>
      <c r="B4181" s="5"/>
      <c r="C4181" s="5"/>
      <c r="D4181" s="5"/>
      <c r="E4181" s="5"/>
      <c r="F4181" s="9"/>
      <c r="G4181" s="5"/>
      <c r="H4181" s="5"/>
      <c r="I4181" s="5"/>
      <c r="J4181" s="5"/>
      <c r="K4181" s="5"/>
      <c r="L4181" s="5"/>
      <c r="M4181" s="5"/>
      <c r="N4181" s="5"/>
      <c r="O4181" s="5"/>
    </row>
    <row r="4182" spans="1:29" ht="30" customHeight="1" x14ac:dyDescent="0.3">
      <c r="A4182" s="5"/>
      <c r="B4182" s="5"/>
      <c r="C4182" s="5"/>
      <c r="D4182" s="5"/>
      <c r="E4182" s="5"/>
      <c r="F4182" s="9"/>
      <c r="G4182" s="5"/>
      <c r="H4182" s="5"/>
      <c r="I4182" s="5"/>
      <c r="J4182" s="5"/>
      <c r="K4182" s="5"/>
      <c r="L4182" s="5"/>
      <c r="M4182" s="5"/>
      <c r="N4182" s="5"/>
      <c r="O4182" s="5"/>
    </row>
    <row r="4183" spans="1:29" ht="30" customHeight="1" x14ac:dyDescent="0.3">
      <c r="A4183" s="5"/>
      <c r="B4183" s="5"/>
      <c r="C4183" s="5"/>
      <c r="D4183" s="5"/>
      <c r="E4183" s="5"/>
      <c r="F4183" s="9"/>
      <c r="G4183" s="5"/>
      <c r="H4183" s="5"/>
      <c r="I4183" s="5"/>
      <c r="J4183" s="5"/>
      <c r="K4183" s="5"/>
      <c r="L4183" s="5"/>
      <c r="M4183" s="5"/>
      <c r="N4183" s="5"/>
      <c r="O4183" s="5"/>
    </row>
    <row r="4184" spans="1:29" ht="30" customHeight="1" x14ac:dyDescent="0.3">
      <c r="A4184" s="5"/>
      <c r="B4184" s="5"/>
      <c r="C4184" s="5"/>
      <c r="D4184" s="5"/>
      <c r="E4184" s="5"/>
      <c r="F4184" s="9"/>
      <c r="G4184" s="5"/>
      <c r="H4184" s="5"/>
      <c r="I4184" s="5"/>
      <c r="J4184" s="5"/>
      <c r="K4184" s="5"/>
      <c r="L4184" s="5"/>
      <c r="M4184" s="5"/>
      <c r="N4184" s="5"/>
      <c r="O4184" s="5"/>
    </row>
    <row r="4185" spans="1:29" ht="30" customHeight="1" x14ac:dyDescent="0.3">
      <c r="A4185" s="5"/>
      <c r="B4185" s="5"/>
      <c r="C4185" s="5"/>
      <c r="D4185" s="5"/>
      <c r="E4185" s="5"/>
      <c r="F4185" s="9"/>
      <c r="G4185" s="5"/>
      <c r="H4185" s="5"/>
      <c r="I4185" s="5"/>
      <c r="J4185" s="5"/>
      <c r="K4185" s="5"/>
      <c r="L4185" s="5"/>
      <c r="M4185" s="5"/>
      <c r="N4185" s="5"/>
      <c r="O4185" s="5"/>
    </row>
    <row r="4186" spans="1:29" ht="30" customHeight="1" x14ac:dyDescent="0.3">
      <c r="A4186" s="5"/>
      <c r="B4186" s="5"/>
      <c r="C4186" s="5"/>
      <c r="D4186" s="5"/>
      <c r="E4186" s="5"/>
      <c r="F4186" s="9"/>
      <c r="G4186" s="5"/>
      <c r="H4186" s="5"/>
      <c r="I4186" s="5"/>
      <c r="J4186" s="5"/>
      <c r="K4186" s="5"/>
      <c r="L4186" s="5"/>
      <c r="M4186" s="5"/>
      <c r="N4186" s="5"/>
      <c r="O4186" s="5"/>
    </row>
    <row r="4187" spans="1:29" ht="30" customHeight="1" x14ac:dyDescent="0.3">
      <c r="A4187" s="5"/>
      <c r="B4187" s="5"/>
      <c r="C4187" s="5"/>
      <c r="D4187" s="5"/>
      <c r="E4187" s="5"/>
      <c r="F4187" s="9"/>
      <c r="G4187" s="5"/>
      <c r="H4187" s="5"/>
      <c r="I4187" s="5"/>
      <c r="J4187" s="5"/>
      <c r="K4187" s="5"/>
      <c r="L4187" s="5"/>
      <c r="M4187" s="5"/>
      <c r="N4187" s="5"/>
      <c r="O4187" s="5"/>
    </row>
    <row r="4188" spans="1:29" ht="30" customHeight="1" x14ac:dyDescent="0.3">
      <c r="A4188" s="5"/>
      <c r="B4188" s="5"/>
      <c r="C4188" s="5"/>
      <c r="D4188" s="5"/>
      <c r="E4188" s="5"/>
      <c r="F4188" s="9"/>
      <c r="G4188" s="5"/>
      <c r="H4188" s="5"/>
      <c r="I4188" s="5"/>
      <c r="J4188" s="5"/>
      <c r="K4188" s="5"/>
      <c r="L4188" s="5"/>
      <c r="M4188" s="5"/>
      <c r="N4188" s="5"/>
      <c r="O4188" s="5"/>
    </row>
    <row r="4189" spans="1:29" ht="30" customHeight="1" x14ac:dyDescent="0.3">
      <c r="A4189" s="5"/>
      <c r="B4189" s="5"/>
      <c r="C4189" s="5" t="s">
        <v>162</v>
      </c>
      <c r="D4189" s="5"/>
      <c r="E4189" s="5"/>
      <c r="F4189" s="9"/>
      <c r="G4189" s="5"/>
      <c r="H4189" s="5">
        <f>SUMIF(AC4165:AC4188, 1, H4165:H4188)</f>
        <v>4612192</v>
      </c>
      <c r="I4189" s="5"/>
      <c r="J4189" s="5">
        <f>SUMIF(AC4165:AC4188, 1, J4165:J4188)</f>
        <v>0</v>
      </c>
      <c r="K4189" s="5"/>
      <c r="L4189" s="5">
        <f>SUMIF(AC4165:AC4188, 1, L4165:L4188)</f>
        <v>0</v>
      </c>
      <c r="M4189" s="5"/>
      <c r="N4189" s="5">
        <f>H4189+J4189+L4189</f>
        <v>4612192</v>
      </c>
      <c r="O4189" s="5"/>
    </row>
    <row r="4190" spans="1:29" ht="30" customHeight="1" x14ac:dyDescent="0.3">
      <c r="A4190" s="5"/>
      <c r="B4190" s="5"/>
      <c r="C4190" s="6" t="s">
        <v>3757</v>
      </c>
      <c r="D4190" s="6"/>
      <c r="E4190" s="6"/>
      <c r="F4190" s="7"/>
      <c r="G4190" s="6"/>
      <c r="H4190" s="6"/>
      <c r="I4190" s="6"/>
      <c r="J4190" s="6"/>
      <c r="K4190" s="6"/>
      <c r="L4190" s="6"/>
      <c r="M4190" s="6"/>
      <c r="N4190" s="6"/>
      <c r="O4190" s="6"/>
    </row>
    <row r="4191" spans="1:29" ht="30" customHeight="1" x14ac:dyDescent="0.3">
      <c r="A4191" s="8" t="s">
        <v>3758</v>
      </c>
      <c r="B4191" s="8" t="s">
        <v>3759</v>
      </c>
      <c r="C4191" s="8" t="s">
        <v>2546</v>
      </c>
      <c r="D4191" s="8" t="s">
        <v>20</v>
      </c>
      <c r="E4191" s="8" t="s">
        <v>19</v>
      </c>
      <c r="F4191" s="9">
        <v>1</v>
      </c>
      <c r="G4191" s="5">
        <f>TRUNC([1]단가대비표!O1431,0)</f>
        <v>53400</v>
      </c>
      <c r="H4191" s="5">
        <f t="shared" ref="H4191:H4199" si="401">TRUNC(F4191*G4191,0)</f>
        <v>53400</v>
      </c>
      <c r="I4191" s="5">
        <v>0</v>
      </c>
      <c r="J4191" s="5">
        <f t="shared" ref="J4191:J4199" si="402">TRUNC(F4191*I4191,0)</f>
        <v>0</v>
      </c>
      <c r="K4191" s="5">
        <v>0</v>
      </c>
      <c r="L4191" s="5">
        <f t="shared" ref="L4191:L4199" si="403">TRUNC(F4191*K4191,0)</f>
        <v>0</v>
      </c>
      <c r="M4191" s="5">
        <f t="shared" ref="M4191:N4199" si="404">G4191+I4191+K4191</f>
        <v>53400</v>
      </c>
      <c r="N4191" s="5">
        <f t="shared" si="404"/>
        <v>53400</v>
      </c>
      <c r="O4191" s="8" t="s">
        <v>2547</v>
      </c>
      <c r="T4191">
        <v>0</v>
      </c>
      <c r="AC4191">
        <v>1</v>
      </c>
    </row>
    <row r="4192" spans="1:29" ht="30" customHeight="1" x14ac:dyDescent="0.3">
      <c r="A4192" s="8" t="s">
        <v>3758</v>
      </c>
      <c r="B4192" s="8" t="s">
        <v>3760</v>
      </c>
      <c r="C4192" s="8" t="s">
        <v>2564</v>
      </c>
      <c r="D4192" s="8" t="s">
        <v>3630</v>
      </c>
      <c r="E4192" s="8" t="s">
        <v>161</v>
      </c>
      <c r="F4192" s="9">
        <v>1</v>
      </c>
      <c r="G4192" s="5">
        <f>TRUNC([1]단가대비표!O1432,0)</f>
        <v>708840</v>
      </c>
      <c r="H4192" s="5">
        <f t="shared" si="401"/>
        <v>708840</v>
      </c>
      <c r="I4192" s="5">
        <v>0</v>
      </c>
      <c r="J4192" s="5">
        <f t="shared" si="402"/>
        <v>0</v>
      </c>
      <c r="K4192" s="5">
        <v>0</v>
      </c>
      <c r="L4192" s="5">
        <f t="shared" si="403"/>
        <v>0</v>
      </c>
      <c r="M4192" s="5">
        <f t="shared" si="404"/>
        <v>708840</v>
      </c>
      <c r="N4192" s="5">
        <f t="shared" si="404"/>
        <v>708840</v>
      </c>
      <c r="O4192" s="8" t="s">
        <v>2565</v>
      </c>
      <c r="T4192">
        <v>0</v>
      </c>
      <c r="AC4192">
        <v>1</v>
      </c>
    </row>
    <row r="4193" spans="1:29" ht="30" customHeight="1" x14ac:dyDescent="0.3">
      <c r="A4193" s="8" t="s">
        <v>3758</v>
      </c>
      <c r="B4193" s="8" t="s">
        <v>3761</v>
      </c>
      <c r="C4193" s="8" t="s">
        <v>2567</v>
      </c>
      <c r="D4193" s="8" t="s">
        <v>3632</v>
      </c>
      <c r="E4193" s="8" t="s">
        <v>895</v>
      </c>
      <c r="F4193" s="9">
        <v>27</v>
      </c>
      <c r="G4193" s="5">
        <f>TRUNC([1]단가대비표!O1433,0)</f>
        <v>6800</v>
      </c>
      <c r="H4193" s="5">
        <f t="shared" si="401"/>
        <v>183600</v>
      </c>
      <c r="I4193" s="5">
        <v>0</v>
      </c>
      <c r="J4193" s="5">
        <f t="shared" si="402"/>
        <v>0</v>
      </c>
      <c r="K4193" s="5">
        <v>0</v>
      </c>
      <c r="L4193" s="5">
        <f t="shared" si="403"/>
        <v>0</v>
      </c>
      <c r="M4193" s="5">
        <f t="shared" si="404"/>
        <v>6800</v>
      </c>
      <c r="N4193" s="5">
        <f t="shared" si="404"/>
        <v>183600</v>
      </c>
      <c r="O4193" s="8" t="s">
        <v>2568</v>
      </c>
      <c r="T4193">
        <v>0</v>
      </c>
      <c r="AC4193">
        <v>1</v>
      </c>
    </row>
    <row r="4194" spans="1:29" ht="30" customHeight="1" x14ac:dyDescent="0.3">
      <c r="A4194" s="8" t="s">
        <v>3758</v>
      </c>
      <c r="B4194" s="8" t="s">
        <v>3762</v>
      </c>
      <c r="C4194" s="8" t="s">
        <v>2580</v>
      </c>
      <c r="D4194" s="8" t="s">
        <v>3642</v>
      </c>
      <c r="E4194" s="8" t="s">
        <v>895</v>
      </c>
      <c r="F4194" s="9">
        <v>10</v>
      </c>
      <c r="G4194" s="5">
        <f>TRUNC([1]단가대비표!O1434,0)</f>
        <v>6480</v>
      </c>
      <c r="H4194" s="5">
        <f t="shared" si="401"/>
        <v>64800</v>
      </c>
      <c r="I4194" s="5">
        <v>0</v>
      </c>
      <c r="J4194" s="5">
        <f t="shared" si="402"/>
        <v>0</v>
      </c>
      <c r="K4194" s="5">
        <v>0</v>
      </c>
      <c r="L4194" s="5">
        <f t="shared" si="403"/>
        <v>0</v>
      </c>
      <c r="M4194" s="5">
        <f t="shared" si="404"/>
        <v>6480</v>
      </c>
      <c r="N4194" s="5">
        <f t="shared" si="404"/>
        <v>64800</v>
      </c>
      <c r="O4194" s="8" t="s">
        <v>2581</v>
      </c>
      <c r="T4194">
        <v>0</v>
      </c>
      <c r="AC4194">
        <v>1</v>
      </c>
    </row>
    <row r="4195" spans="1:29" ht="30" customHeight="1" x14ac:dyDescent="0.3">
      <c r="A4195" s="8" t="s">
        <v>3758</v>
      </c>
      <c r="B4195" s="8" t="s">
        <v>3763</v>
      </c>
      <c r="C4195" s="8" t="s">
        <v>2589</v>
      </c>
      <c r="D4195" s="8" t="s">
        <v>3644</v>
      </c>
      <c r="E4195" s="8" t="s">
        <v>895</v>
      </c>
      <c r="F4195" s="9">
        <v>15</v>
      </c>
      <c r="G4195" s="5">
        <f>TRUNC([1]단가대비표!O1435,0)</f>
        <v>7320</v>
      </c>
      <c r="H4195" s="5">
        <f t="shared" si="401"/>
        <v>109800</v>
      </c>
      <c r="I4195" s="5">
        <v>0</v>
      </c>
      <c r="J4195" s="5">
        <f t="shared" si="402"/>
        <v>0</v>
      </c>
      <c r="K4195" s="5">
        <v>0</v>
      </c>
      <c r="L4195" s="5">
        <f t="shared" si="403"/>
        <v>0</v>
      </c>
      <c r="M4195" s="5">
        <f t="shared" si="404"/>
        <v>7320</v>
      </c>
      <c r="N4195" s="5">
        <f t="shared" si="404"/>
        <v>109800</v>
      </c>
      <c r="O4195" s="8" t="s">
        <v>2590</v>
      </c>
      <c r="T4195">
        <v>0</v>
      </c>
      <c r="AC4195">
        <v>1</v>
      </c>
    </row>
    <row r="4196" spans="1:29" ht="30" customHeight="1" x14ac:dyDescent="0.3">
      <c r="A4196" s="8" t="s">
        <v>3758</v>
      </c>
      <c r="B4196" s="8" t="s">
        <v>3764</v>
      </c>
      <c r="C4196" s="8" t="s">
        <v>2594</v>
      </c>
      <c r="D4196" s="8" t="s">
        <v>20</v>
      </c>
      <c r="E4196" s="8" t="s">
        <v>895</v>
      </c>
      <c r="F4196" s="9">
        <v>27</v>
      </c>
      <c r="G4196" s="5">
        <f>TRUNC([1]단가대비표!O1436,0)</f>
        <v>9890</v>
      </c>
      <c r="H4196" s="5">
        <f t="shared" si="401"/>
        <v>267030</v>
      </c>
      <c r="I4196" s="5">
        <v>0</v>
      </c>
      <c r="J4196" s="5">
        <f t="shared" si="402"/>
        <v>0</v>
      </c>
      <c r="K4196" s="5">
        <v>0</v>
      </c>
      <c r="L4196" s="5">
        <f t="shared" si="403"/>
        <v>0</v>
      </c>
      <c r="M4196" s="5">
        <f t="shared" si="404"/>
        <v>9890</v>
      </c>
      <c r="N4196" s="5">
        <f t="shared" si="404"/>
        <v>267030</v>
      </c>
      <c r="O4196" s="8" t="s">
        <v>2595</v>
      </c>
      <c r="T4196">
        <v>0</v>
      </c>
      <c r="AC4196">
        <v>1</v>
      </c>
    </row>
    <row r="4197" spans="1:29" ht="30" customHeight="1" x14ac:dyDescent="0.3">
      <c r="A4197" s="8" t="s">
        <v>3758</v>
      </c>
      <c r="B4197" s="8" t="s">
        <v>3765</v>
      </c>
      <c r="C4197" s="8" t="s">
        <v>2599</v>
      </c>
      <c r="D4197" s="8" t="s">
        <v>3650</v>
      </c>
      <c r="E4197" s="8" t="s">
        <v>895</v>
      </c>
      <c r="F4197" s="9">
        <v>4</v>
      </c>
      <c r="G4197" s="5">
        <f>TRUNC([1]단가대비표!O1437,0)</f>
        <v>51920</v>
      </c>
      <c r="H4197" s="5">
        <f t="shared" si="401"/>
        <v>207680</v>
      </c>
      <c r="I4197" s="5">
        <v>0</v>
      </c>
      <c r="J4197" s="5">
        <f t="shared" si="402"/>
        <v>0</v>
      </c>
      <c r="K4197" s="5">
        <v>0</v>
      </c>
      <c r="L4197" s="5">
        <f t="shared" si="403"/>
        <v>0</v>
      </c>
      <c r="M4197" s="5">
        <f t="shared" si="404"/>
        <v>51920</v>
      </c>
      <c r="N4197" s="5">
        <f t="shared" si="404"/>
        <v>207680</v>
      </c>
      <c r="O4197" s="8" t="s">
        <v>2600</v>
      </c>
      <c r="T4197">
        <v>0</v>
      </c>
      <c r="AC4197">
        <v>1</v>
      </c>
    </row>
    <row r="4198" spans="1:29" ht="30" customHeight="1" x14ac:dyDescent="0.3">
      <c r="A4198" s="8" t="s">
        <v>3758</v>
      </c>
      <c r="B4198" s="8" t="s">
        <v>3766</v>
      </c>
      <c r="C4198" s="8" t="s">
        <v>3767</v>
      </c>
      <c r="D4198" s="8" t="s">
        <v>3768</v>
      </c>
      <c r="E4198" s="8" t="s">
        <v>476</v>
      </c>
      <c r="F4198" s="9">
        <v>1</v>
      </c>
      <c r="G4198" s="5">
        <f>TRUNC([1]단가대비표!O1438,0)</f>
        <v>32000</v>
      </c>
      <c r="H4198" s="5">
        <f t="shared" si="401"/>
        <v>32000</v>
      </c>
      <c r="I4198" s="5">
        <v>0</v>
      </c>
      <c r="J4198" s="5">
        <f t="shared" si="402"/>
        <v>0</v>
      </c>
      <c r="K4198" s="5">
        <v>0</v>
      </c>
      <c r="L4198" s="5">
        <f t="shared" si="403"/>
        <v>0</v>
      </c>
      <c r="M4198" s="5">
        <f t="shared" si="404"/>
        <v>32000</v>
      </c>
      <c r="N4198" s="5">
        <f t="shared" si="404"/>
        <v>32000</v>
      </c>
      <c r="O4198" s="8" t="s">
        <v>3769</v>
      </c>
      <c r="T4198">
        <v>0</v>
      </c>
      <c r="AC4198">
        <v>1</v>
      </c>
    </row>
    <row r="4199" spans="1:29" ht="30" customHeight="1" x14ac:dyDescent="0.3">
      <c r="A4199" s="8" t="s">
        <v>3758</v>
      </c>
      <c r="B4199" s="8" t="s">
        <v>3770</v>
      </c>
      <c r="C4199" s="8" t="s">
        <v>2467</v>
      </c>
      <c r="D4199" s="8" t="s">
        <v>2468</v>
      </c>
      <c r="E4199" s="8" t="s">
        <v>161</v>
      </c>
      <c r="F4199" s="9">
        <v>1</v>
      </c>
      <c r="G4199" s="5">
        <f>TRUNC([1]단가대비표!O1439,0)</f>
        <v>8787</v>
      </c>
      <c r="H4199" s="5">
        <f t="shared" si="401"/>
        <v>8787</v>
      </c>
      <c r="I4199" s="5">
        <v>0</v>
      </c>
      <c r="J4199" s="5">
        <f t="shared" si="402"/>
        <v>0</v>
      </c>
      <c r="K4199" s="5">
        <v>0</v>
      </c>
      <c r="L4199" s="5">
        <f t="shared" si="403"/>
        <v>0</v>
      </c>
      <c r="M4199" s="5">
        <f t="shared" si="404"/>
        <v>8787</v>
      </c>
      <c r="N4199" s="5">
        <f t="shared" si="404"/>
        <v>8787</v>
      </c>
      <c r="O4199" s="8" t="s">
        <v>20</v>
      </c>
      <c r="T4199">
        <v>0</v>
      </c>
      <c r="AC4199">
        <v>1</v>
      </c>
    </row>
    <row r="4200" spans="1:29" ht="30" customHeight="1" x14ac:dyDescent="0.3">
      <c r="A4200" s="5"/>
      <c r="B4200" s="5"/>
      <c r="C4200" s="5"/>
      <c r="D4200" s="5"/>
      <c r="E4200" s="5"/>
      <c r="F4200" s="9"/>
      <c r="G4200" s="5"/>
      <c r="H4200" s="5"/>
      <c r="I4200" s="5"/>
      <c r="J4200" s="5"/>
      <c r="K4200" s="5"/>
      <c r="L4200" s="5"/>
      <c r="M4200" s="5"/>
      <c r="N4200" s="5"/>
      <c r="O4200" s="5"/>
    </row>
    <row r="4201" spans="1:29" ht="30" customHeight="1" x14ac:dyDescent="0.3">
      <c r="A4201" s="5"/>
      <c r="B4201" s="5"/>
      <c r="C4201" s="5"/>
      <c r="D4201" s="5"/>
      <c r="E4201" s="5"/>
      <c r="F4201" s="9"/>
      <c r="G4201" s="5"/>
      <c r="H4201" s="5"/>
      <c r="I4201" s="5"/>
      <c r="J4201" s="5"/>
      <c r="K4201" s="5"/>
      <c r="L4201" s="5"/>
      <c r="M4201" s="5"/>
      <c r="N4201" s="5"/>
      <c r="O4201" s="5"/>
    </row>
    <row r="4202" spans="1:29" ht="30" customHeight="1" x14ac:dyDescent="0.3">
      <c r="A4202" s="5"/>
      <c r="B4202" s="5"/>
      <c r="C4202" s="5"/>
      <c r="D4202" s="5"/>
      <c r="E4202" s="5"/>
      <c r="F4202" s="9"/>
      <c r="G4202" s="5"/>
      <c r="H4202" s="5"/>
      <c r="I4202" s="5"/>
      <c r="J4202" s="5"/>
      <c r="K4202" s="5"/>
      <c r="L4202" s="5"/>
      <c r="M4202" s="5"/>
      <c r="N4202" s="5"/>
      <c r="O4202" s="5"/>
    </row>
    <row r="4203" spans="1:29" ht="30" customHeight="1" x14ac:dyDescent="0.3">
      <c r="A4203" s="5"/>
      <c r="B4203" s="5"/>
      <c r="C4203" s="5"/>
      <c r="D4203" s="5"/>
      <c r="E4203" s="5"/>
      <c r="F4203" s="9"/>
      <c r="G4203" s="5"/>
      <c r="H4203" s="5"/>
      <c r="I4203" s="5"/>
      <c r="J4203" s="5"/>
      <c r="K4203" s="5"/>
      <c r="L4203" s="5"/>
      <c r="M4203" s="5"/>
      <c r="N4203" s="5"/>
      <c r="O4203" s="5"/>
    </row>
    <row r="4204" spans="1:29" ht="30" customHeight="1" x14ac:dyDescent="0.3">
      <c r="A4204" s="5"/>
      <c r="B4204" s="5"/>
      <c r="C4204" s="5"/>
      <c r="D4204" s="5"/>
      <c r="E4204" s="5"/>
      <c r="F4204" s="9"/>
      <c r="G4204" s="5"/>
      <c r="H4204" s="5"/>
      <c r="I4204" s="5"/>
      <c r="J4204" s="5"/>
      <c r="K4204" s="5"/>
      <c r="L4204" s="5"/>
      <c r="M4204" s="5"/>
      <c r="N4204" s="5"/>
      <c r="O4204" s="5"/>
    </row>
    <row r="4205" spans="1:29" ht="30" customHeight="1" x14ac:dyDescent="0.3">
      <c r="A4205" s="5"/>
      <c r="B4205" s="5"/>
      <c r="C4205" s="5"/>
      <c r="D4205" s="5"/>
      <c r="E4205" s="5"/>
      <c r="F4205" s="9"/>
      <c r="G4205" s="5"/>
      <c r="H4205" s="5"/>
      <c r="I4205" s="5"/>
      <c r="J4205" s="5"/>
      <c r="K4205" s="5"/>
      <c r="L4205" s="5"/>
      <c r="M4205" s="5"/>
      <c r="N4205" s="5"/>
      <c r="O4205" s="5"/>
    </row>
    <row r="4206" spans="1:29" ht="30" customHeight="1" x14ac:dyDescent="0.3">
      <c r="A4206" s="5"/>
      <c r="B4206" s="5"/>
      <c r="C4206" s="5"/>
      <c r="D4206" s="5"/>
      <c r="E4206" s="5"/>
      <c r="F4206" s="9"/>
      <c r="G4206" s="5"/>
      <c r="H4206" s="5"/>
      <c r="I4206" s="5"/>
      <c r="J4206" s="5"/>
      <c r="K4206" s="5"/>
      <c r="L4206" s="5"/>
      <c r="M4206" s="5"/>
      <c r="N4206" s="5"/>
      <c r="O4206" s="5"/>
    </row>
    <row r="4207" spans="1:29" ht="30" customHeight="1" x14ac:dyDescent="0.3">
      <c r="A4207" s="5"/>
      <c r="B4207" s="5"/>
      <c r="C4207" s="5"/>
      <c r="D4207" s="5"/>
      <c r="E4207" s="5"/>
      <c r="F4207" s="9"/>
      <c r="G4207" s="5"/>
      <c r="H4207" s="5"/>
      <c r="I4207" s="5"/>
      <c r="J4207" s="5"/>
      <c r="K4207" s="5"/>
      <c r="L4207" s="5"/>
      <c r="M4207" s="5"/>
      <c r="N4207" s="5"/>
      <c r="O4207" s="5"/>
    </row>
    <row r="4208" spans="1:29" ht="30" customHeight="1" x14ac:dyDescent="0.3">
      <c r="A4208" s="5"/>
      <c r="B4208" s="5"/>
      <c r="C4208" s="5"/>
      <c r="D4208" s="5"/>
      <c r="E4208" s="5"/>
      <c r="F4208" s="9"/>
      <c r="G4208" s="5"/>
      <c r="H4208" s="5"/>
      <c r="I4208" s="5"/>
      <c r="J4208" s="5"/>
      <c r="K4208" s="5"/>
      <c r="L4208" s="5"/>
      <c r="M4208" s="5"/>
      <c r="N4208" s="5"/>
      <c r="O4208" s="5"/>
    </row>
    <row r="4209" spans="1:29" ht="30" customHeight="1" x14ac:dyDescent="0.3">
      <c r="A4209" s="5"/>
      <c r="B4209" s="5"/>
      <c r="C4209" s="5"/>
      <c r="D4209" s="5"/>
      <c r="E4209" s="5"/>
      <c r="F4209" s="9"/>
      <c r="G4209" s="5"/>
      <c r="H4209" s="5"/>
      <c r="I4209" s="5"/>
      <c r="J4209" s="5"/>
      <c r="K4209" s="5"/>
      <c r="L4209" s="5"/>
      <c r="M4209" s="5"/>
      <c r="N4209" s="5"/>
      <c r="O4209" s="5"/>
    </row>
    <row r="4210" spans="1:29" ht="30" customHeight="1" x14ac:dyDescent="0.3">
      <c r="A4210" s="5"/>
      <c r="B4210" s="5"/>
      <c r="C4210" s="5"/>
      <c r="D4210" s="5"/>
      <c r="E4210" s="5"/>
      <c r="F4210" s="9"/>
      <c r="G4210" s="5"/>
      <c r="H4210" s="5"/>
      <c r="I4210" s="5"/>
      <c r="J4210" s="5"/>
      <c r="K4210" s="5"/>
      <c r="L4210" s="5"/>
      <c r="M4210" s="5"/>
      <c r="N4210" s="5"/>
      <c r="O4210" s="5"/>
    </row>
    <row r="4211" spans="1:29" ht="30" customHeight="1" x14ac:dyDescent="0.3">
      <c r="A4211" s="5"/>
      <c r="B4211" s="5"/>
      <c r="C4211" s="5"/>
      <c r="D4211" s="5"/>
      <c r="E4211" s="5"/>
      <c r="F4211" s="9"/>
      <c r="G4211" s="5"/>
      <c r="H4211" s="5"/>
      <c r="I4211" s="5"/>
      <c r="J4211" s="5"/>
      <c r="K4211" s="5"/>
      <c r="L4211" s="5"/>
      <c r="M4211" s="5"/>
      <c r="N4211" s="5"/>
      <c r="O4211" s="5"/>
    </row>
    <row r="4212" spans="1:29" ht="30" customHeight="1" x14ac:dyDescent="0.3">
      <c r="A4212" s="5"/>
      <c r="B4212" s="5"/>
      <c r="C4212" s="5"/>
      <c r="D4212" s="5"/>
      <c r="E4212" s="5"/>
      <c r="F4212" s="9"/>
      <c r="G4212" s="5"/>
      <c r="H4212" s="5"/>
      <c r="I4212" s="5"/>
      <c r="J4212" s="5"/>
      <c r="K4212" s="5"/>
      <c r="L4212" s="5"/>
      <c r="M4212" s="5"/>
      <c r="N4212" s="5"/>
      <c r="O4212" s="5"/>
    </row>
    <row r="4213" spans="1:29" ht="30" customHeight="1" x14ac:dyDescent="0.3">
      <c r="A4213" s="5"/>
      <c r="B4213" s="5"/>
      <c r="C4213" s="5"/>
      <c r="D4213" s="5"/>
      <c r="E4213" s="5"/>
      <c r="F4213" s="9"/>
      <c r="G4213" s="5"/>
      <c r="H4213" s="5"/>
      <c r="I4213" s="5"/>
      <c r="J4213" s="5"/>
      <c r="K4213" s="5"/>
      <c r="L4213" s="5"/>
      <c r="M4213" s="5"/>
      <c r="N4213" s="5"/>
      <c r="O4213" s="5"/>
    </row>
    <row r="4214" spans="1:29" ht="30" customHeight="1" x14ac:dyDescent="0.3">
      <c r="A4214" s="5"/>
      <c r="B4214" s="5"/>
      <c r="C4214" s="5"/>
      <c r="D4214" s="5"/>
      <c r="E4214" s="5"/>
      <c r="F4214" s="9"/>
      <c r="G4214" s="5"/>
      <c r="H4214" s="5"/>
      <c r="I4214" s="5"/>
      <c r="J4214" s="5"/>
      <c r="K4214" s="5"/>
      <c r="L4214" s="5"/>
      <c r="M4214" s="5"/>
      <c r="N4214" s="5"/>
      <c r="O4214" s="5"/>
    </row>
    <row r="4215" spans="1:29" ht="30" customHeight="1" x14ac:dyDescent="0.3">
      <c r="A4215" s="5"/>
      <c r="B4215" s="5"/>
      <c r="C4215" s="5" t="s">
        <v>162</v>
      </c>
      <c r="D4215" s="5"/>
      <c r="E4215" s="5"/>
      <c r="F4215" s="9"/>
      <c r="G4215" s="5"/>
      <c r="H4215" s="5">
        <f>SUMIF(AC4191:AC4214, 1, H4191:H4214)</f>
        <v>1635937</v>
      </c>
      <c r="I4215" s="5"/>
      <c r="J4215" s="5">
        <f>SUMIF(AC4191:AC4214, 1, J4191:J4214)</f>
        <v>0</v>
      </c>
      <c r="K4215" s="5"/>
      <c r="L4215" s="5">
        <f>SUMIF(AC4191:AC4214, 1, L4191:L4214)</f>
        <v>0</v>
      </c>
      <c r="M4215" s="5"/>
      <c r="N4215" s="5">
        <f>H4215+J4215+L4215</f>
        <v>1635937</v>
      </c>
      <c r="O4215" s="5"/>
    </row>
    <row r="4216" spans="1:29" ht="30" customHeight="1" x14ac:dyDescent="0.3">
      <c r="A4216" s="5"/>
      <c r="B4216" s="5"/>
      <c r="C4216" s="6" t="s">
        <v>3771</v>
      </c>
      <c r="D4216" s="6"/>
      <c r="E4216" s="6"/>
      <c r="F4216" s="7"/>
      <c r="G4216" s="6"/>
      <c r="H4216" s="6"/>
      <c r="I4216" s="6"/>
      <c r="J4216" s="6"/>
      <c r="K4216" s="6"/>
      <c r="L4216" s="6"/>
      <c r="M4216" s="6"/>
      <c r="N4216" s="6"/>
      <c r="O4216" s="6"/>
    </row>
    <row r="4217" spans="1:29" ht="30" customHeight="1" x14ac:dyDescent="0.3">
      <c r="A4217" s="8" t="s">
        <v>3772</v>
      </c>
      <c r="B4217" s="8" t="s">
        <v>3773</v>
      </c>
      <c r="C4217" s="8" t="s">
        <v>2608</v>
      </c>
      <c r="D4217" s="8" t="s">
        <v>3774</v>
      </c>
      <c r="E4217" s="8" t="s">
        <v>19</v>
      </c>
      <c r="F4217" s="9">
        <v>1</v>
      </c>
      <c r="G4217" s="5">
        <f>TRUNC([1]단가대비표!O1480,0)</f>
        <v>326000</v>
      </c>
      <c r="H4217" s="5">
        <f t="shared" ref="H4217:H4224" si="405">TRUNC(F4217*G4217,0)</f>
        <v>326000</v>
      </c>
      <c r="I4217" s="5">
        <v>0</v>
      </c>
      <c r="J4217" s="5">
        <f t="shared" ref="J4217:J4224" si="406">TRUNC(F4217*I4217,0)</f>
        <v>0</v>
      </c>
      <c r="K4217" s="5">
        <v>0</v>
      </c>
      <c r="L4217" s="5">
        <f t="shared" ref="L4217:L4224" si="407">TRUNC(F4217*K4217,0)</f>
        <v>0</v>
      </c>
      <c r="M4217" s="5">
        <f t="shared" ref="M4217:N4224" si="408">G4217+I4217+K4217</f>
        <v>326000</v>
      </c>
      <c r="N4217" s="5">
        <f t="shared" si="408"/>
        <v>326000</v>
      </c>
      <c r="O4217" s="8" t="s">
        <v>3775</v>
      </c>
      <c r="T4217">
        <v>0</v>
      </c>
      <c r="AC4217">
        <v>1</v>
      </c>
    </row>
    <row r="4218" spans="1:29" ht="30" customHeight="1" x14ac:dyDescent="0.3">
      <c r="A4218" s="8" t="s">
        <v>3772</v>
      </c>
      <c r="B4218" s="8" t="s">
        <v>3776</v>
      </c>
      <c r="C4218" s="8" t="s">
        <v>3746</v>
      </c>
      <c r="D4218" s="8" t="s">
        <v>3777</v>
      </c>
      <c r="E4218" s="8" t="s">
        <v>161</v>
      </c>
      <c r="F4218" s="9">
        <v>1</v>
      </c>
      <c r="G4218" s="5">
        <f>TRUNC([1]단가대비표!O1481,0)</f>
        <v>1100000</v>
      </c>
      <c r="H4218" s="5">
        <f t="shared" si="405"/>
        <v>1100000</v>
      </c>
      <c r="I4218" s="5">
        <v>0</v>
      </c>
      <c r="J4218" s="5">
        <f t="shared" si="406"/>
        <v>0</v>
      </c>
      <c r="K4218" s="5">
        <v>0</v>
      </c>
      <c r="L4218" s="5">
        <f t="shared" si="407"/>
        <v>0</v>
      </c>
      <c r="M4218" s="5">
        <f t="shared" si="408"/>
        <v>1100000</v>
      </c>
      <c r="N4218" s="5">
        <f t="shared" si="408"/>
        <v>1100000</v>
      </c>
      <c r="O4218" s="8" t="s">
        <v>2629</v>
      </c>
      <c r="T4218">
        <v>0</v>
      </c>
      <c r="AC4218">
        <v>1</v>
      </c>
    </row>
    <row r="4219" spans="1:29" ht="30" customHeight="1" x14ac:dyDescent="0.3">
      <c r="A4219" s="8" t="s">
        <v>3772</v>
      </c>
      <c r="B4219" s="8" t="s">
        <v>3778</v>
      </c>
      <c r="C4219" s="8" t="s">
        <v>3746</v>
      </c>
      <c r="D4219" s="8" t="s">
        <v>3749</v>
      </c>
      <c r="E4219" s="8" t="s">
        <v>895</v>
      </c>
      <c r="F4219" s="9">
        <v>20</v>
      </c>
      <c r="G4219" s="5">
        <f>TRUNC([1]단가대비표!O1482,0)</f>
        <v>17190</v>
      </c>
      <c r="H4219" s="5">
        <f t="shared" si="405"/>
        <v>343800</v>
      </c>
      <c r="I4219" s="5">
        <v>0</v>
      </c>
      <c r="J4219" s="5">
        <f t="shared" si="406"/>
        <v>0</v>
      </c>
      <c r="K4219" s="5">
        <v>0</v>
      </c>
      <c r="L4219" s="5">
        <f t="shared" si="407"/>
        <v>0</v>
      </c>
      <c r="M4219" s="5">
        <f t="shared" si="408"/>
        <v>17190</v>
      </c>
      <c r="N4219" s="5">
        <f t="shared" si="408"/>
        <v>343800</v>
      </c>
      <c r="O4219" s="8" t="s">
        <v>2641</v>
      </c>
      <c r="T4219">
        <v>0</v>
      </c>
      <c r="AC4219">
        <v>1</v>
      </c>
    </row>
    <row r="4220" spans="1:29" ht="30" customHeight="1" x14ac:dyDescent="0.3">
      <c r="A4220" s="8" t="s">
        <v>3772</v>
      </c>
      <c r="B4220" s="8" t="s">
        <v>3779</v>
      </c>
      <c r="C4220" s="8" t="s">
        <v>3746</v>
      </c>
      <c r="D4220" s="8" t="s">
        <v>3751</v>
      </c>
      <c r="E4220" s="8" t="s">
        <v>895</v>
      </c>
      <c r="F4220" s="9">
        <v>8</v>
      </c>
      <c r="G4220" s="5">
        <f>TRUNC([1]단가대비표!O1483,0)</f>
        <v>6170</v>
      </c>
      <c r="H4220" s="5">
        <f t="shared" si="405"/>
        <v>49360</v>
      </c>
      <c r="I4220" s="5">
        <v>0</v>
      </c>
      <c r="J4220" s="5">
        <f t="shared" si="406"/>
        <v>0</v>
      </c>
      <c r="K4220" s="5">
        <v>0</v>
      </c>
      <c r="L4220" s="5">
        <f t="shared" si="407"/>
        <v>0</v>
      </c>
      <c r="M4220" s="5">
        <f t="shared" si="408"/>
        <v>6170</v>
      </c>
      <c r="N4220" s="5">
        <f t="shared" si="408"/>
        <v>49360</v>
      </c>
      <c r="O4220" s="8" t="s">
        <v>2644</v>
      </c>
      <c r="T4220">
        <v>0</v>
      </c>
      <c r="AC4220">
        <v>1</v>
      </c>
    </row>
    <row r="4221" spans="1:29" ht="30" customHeight="1" x14ac:dyDescent="0.3">
      <c r="A4221" s="8" t="s">
        <v>3772</v>
      </c>
      <c r="B4221" s="8" t="s">
        <v>3780</v>
      </c>
      <c r="C4221" s="8" t="s">
        <v>3746</v>
      </c>
      <c r="D4221" s="8" t="s">
        <v>2650</v>
      </c>
      <c r="E4221" s="8" t="s">
        <v>428</v>
      </c>
      <c r="F4221" s="9">
        <v>1</v>
      </c>
      <c r="G4221" s="5">
        <f>TRUNC([1]단가대비표!O1484,0)</f>
        <v>28500</v>
      </c>
      <c r="H4221" s="5">
        <f t="shared" si="405"/>
        <v>28500</v>
      </c>
      <c r="I4221" s="5">
        <v>0</v>
      </c>
      <c r="J4221" s="5">
        <f t="shared" si="406"/>
        <v>0</v>
      </c>
      <c r="K4221" s="5">
        <v>0</v>
      </c>
      <c r="L4221" s="5">
        <f t="shared" si="407"/>
        <v>0</v>
      </c>
      <c r="M4221" s="5">
        <f t="shared" si="408"/>
        <v>28500</v>
      </c>
      <c r="N4221" s="5">
        <f t="shared" si="408"/>
        <v>28500</v>
      </c>
      <c r="O4221" s="8" t="s">
        <v>2651</v>
      </c>
      <c r="T4221">
        <v>0</v>
      </c>
      <c r="AC4221">
        <v>1</v>
      </c>
    </row>
    <row r="4222" spans="1:29" ht="30" customHeight="1" x14ac:dyDescent="0.3">
      <c r="A4222" s="8" t="s">
        <v>3772</v>
      </c>
      <c r="B4222" s="8" t="s">
        <v>3781</v>
      </c>
      <c r="C4222" s="8" t="s">
        <v>3746</v>
      </c>
      <c r="D4222" s="8" t="s">
        <v>2659</v>
      </c>
      <c r="E4222" s="8" t="s">
        <v>895</v>
      </c>
      <c r="F4222" s="9">
        <v>15</v>
      </c>
      <c r="G4222" s="5">
        <f>TRUNC([1]단가대비표!O1485,0)</f>
        <v>3200</v>
      </c>
      <c r="H4222" s="5">
        <f t="shared" si="405"/>
        <v>48000</v>
      </c>
      <c r="I4222" s="5">
        <v>0</v>
      </c>
      <c r="J4222" s="5">
        <f t="shared" si="406"/>
        <v>0</v>
      </c>
      <c r="K4222" s="5">
        <v>0</v>
      </c>
      <c r="L4222" s="5">
        <f t="shared" si="407"/>
        <v>0</v>
      </c>
      <c r="M4222" s="5">
        <f t="shared" si="408"/>
        <v>3200</v>
      </c>
      <c r="N4222" s="5">
        <f t="shared" si="408"/>
        <v>48000</v>
      </c>
      <c r="O4222" s="8" t="s">
        <v>2660</v>
      </c>
      <c r="T4222">
        <v>0</v>
      </c>
      <c r="AC4222">
        <v>1</v>
      </c>
    </row>
    <row r="4223" spans="1:29" ht="30" customHeight="1" x14ac:dyDescent="0.3">
      <c r="A4223" s="8" t="s">
        <v>3772</v>
      </c>
      <c r="B4223" s="8" t="s">
        <v>3782</v>
      </c>
      <c r="C4223" s="8" t="s">
        <v>3746</v>
      </c>
      <c r="D4223" s="8" t="s">
        <v>2662</v>
      </c>
      <c r="E4223" s="8" t="s">
        <v>428</v>
      </c>
      <c r="F4223" s="9">
        <v>1</v>
      </c>
      <c r="G4223" s="5">
        <f>TRUNC([1]단가대비표!O1486,0)</f>
        <v>100000</v>
      </c>
      <c r="H4223" s="5">
        <f t="shared" si="405"/>
        <v>100000</v>
      </c>
      <c r="I4223" s="5">
        <v>0</v>
      </c>
      <c r="J4223" s="5">
        <f t="shared" si="406"/>
        <v>0</v>
      </c>
      <c r="K4223" s="5">
        <v>0</v>
      </c>
      <c r="L4223" s="5">
        <f t="shared" si="407"/>
        <v>0</v>
      </c>
      <c r="M4223" s="5">
        <f t="shared" si="408"/>
        <v>100000</v>
      </c>
      <c r="N4223" s="5">
        <f t="shared" si="408"/>
        <v>100000</v>
      </c>
      <c r="O4223" s="8" t="s">
        <v>2663</v>
      </c>
      <c r="T4223">
        <v>0</v>
      </c>
      <c r="AC4223">
        <v>1</v>
      </c>
    </row>
    <row r="4224" spans="1:29" ht="30" customHeight="1" x14ac:dyDescent="0.3">
      <c r="A4224" s="8" t="s">
        <v>3772</v>
      </c>
      <c r="B4224" s="8" t="s">
        <v>3783</v>
      </c>
      <c r="C4224" s="8" t="s">
        <v>2665</v>
      </c>
      <c r="D4224" s="8" t="s">
        <v>2468</v>
      </c>
      <c r="E4224" s="8" t="s">
        <v>161</v>
      </c>
      <c r="F4224" s="9">
        <v>1</v>
      </c>
      <c r="G4224" s="5">
        <f>TRUNC([1]단가대비표!O1487,0)</f>
        <v>10777</v>
      </c>
      <c r="H4224" s="5">
        <f t="shared" si="405"/>
        <v>10777</v>
      </c>
      <c r="I4224" s="5">
        <v>0</v>
      </c>
      <c r="J4224" s="5">
        <f t="shared" si="406"/>
        <v>0</v>
      </c>
      <c r="K4224" s="5">
        <v>0</v>
      </c>
      <c r="L4224" s="5">
        <f t="shared" si="407"/>
        <v>0</v>
      </c>
      <c r="M4224" s="5">
        <f t="shared" si="408"/>
        <v>10777</v>
      </c>
      <c r="N4224" s="5">
        <f t="shared" si="408"/>
        <v>10777</v>
      </c>
      <c r="O4224" s="8" t="s">
        <v>20</v>
      </c>
      <c r="T4224">
        <v>0</v>
      </c>
      <c r="AC4224">
        <v>1</v>
      </c>
    </row>
    <row r="4225" spans="1:15" ht="30" customHeight="1" x14ac:dyDescent="0.3">
      <c r="A4225" s="5"/>
      <c r="B4225" s="5"/>
      <c r="C4225" s="5"/>
      <c r="D4225" s="5"/>
      <c r="E4225" s="5"/>
      <c r="F4225" s="9"/>
      <c r="G4225" s="5"/>
      <c r="H4225" s="5"/>
      <c r="I4225" s="5"/>
      <c r="J4225" s="5"/>
      <c r="K4225" s="5"/>
      <c r="L4225" s="5"/>
      <c r="M4225" s="5"/>
      <c r="N4225" s="5"/>
      <c r="O4225" s="5"/>
    </row>
    <row r="4226" spans="1:15" ht="30" customHeight="1" x14ac:dyDescent="0.3">
      <c r="A4226" s="5"/>
      <c r="B4226" s="5"/>
      <c r="C4226" s="5"/>
      <c r="D4226" s="5"/>
      <c r="E4226" s="5"/>
      <c r="F4226" s="9"/>
      <c r="G4226" s="5"/>
      <c r="H4226" s="5"/>
      <c r="I4226" s="5"/>
      <c r="J4226" s="5"/>
      <c r="K4226" s="5"/>
      <c r="L4226" s="5"/>
      <c r="M4226" s="5"/>
      <c r="N4226" s="5"/>
      <c r="O4226" s="5"/>
    </row>
    <row r="4227" spans="1:15" ht="30" customHeight="1" x14ac:dyDescent="0.3">
      <c r="A4227" s="5"/>
      <c r="B4227" s="5"/>
      <c r="C4227" s="5"/>
      <c r="D4227" s="5"/>
      <c r="E4227" s="5"/>
      <c r="F4227" s="9"/>
      <c r="G4227" s="5"/>
      <c r="H4227" s="5"/>
      <c r="I4227" s="5"/>
      <c r="J4227" s="5"/>
      <c r="K4227" s="5"/>
      <c r="L4227" s="5"/>
      <c r="M4227" s="5"/>
      <c r="N4227" s="5"/>
      <c r="O4227" s="5"/>
    </row>
    <row r="4228" spans="1:15" ht="30" customHeight="1" x14ac:dyDescent="0.3">
      <c r="A4228" s="5"/>
      <c r="B4228" s="5"/>
      <c r="C4228" s="5"/>
      <c r="D4228" s="5"/>
      <c r="E4228" s="5"/>
      <c r="F4228" s="9"/>
      <c r="G4228" s="5"/>
      <c r="H4228" s="5"/>
      <c r="I4228" s="5"/>
      <c r="J4228" s="5"/>
      <c r="K4228" s="5"/>
      <c r="L4228" s="5"/>
      <c r="M4228" s="5"/>
      <c r="N4228" s="5"/>
      <c r="O4228" s="5"/>
    </row>
    <row r="4229" spans="1:15" ht="30" customHeight="1" x14ac:dyDescent="0.3">
      <c r="A4229" s="5"/>
      <c r="B4229" s="5"/>
      <c r="C4229" s="5"/>
      <c r="D4229" s="5"/>
      <c r="E4229" s="5"/>
      <c r="F4229" s="9"/>
      <c r="G4229" s="5"/>
      <c r="H4229" s="5"/>
      <c r="I4229" s="5"/>
      <c r="J4229" s="5"/>
      <c r="K4229" s="5"/>
      <c r="L4229" s="5"/>
      <c r="M4229" s="5"/>
      <c r="N4229" s="5"/>
      <c r="O4229" s="5"/>
    </row>
    <row r="4230" spans="1:15" ht="30" customHeight="1" x14ac:dyDescent="0.3">
      <c r="A4230" s="5"/>
      <c r="B4230" s="5"/>
      <c r="C4230" s="5"/>
      <c r="D4230" s="5"/>
      <c r="E4230" s="5"/>
      <c r="F4230" s="9"/>
      <c r="G4230" s="5"/>
      <c r="H4230" s="5"/>
      <c r="I4230" s="5"/>
      <c r="J4230" s="5"/>
      <c r="K4230" s="5"/>
      <c r="L4230" s="5"/>
      <c r="M4230" s="5"/>
      <c r="N4230" s="5"/>
      <c r="O4230" s="5"/>
    </row>
    <row r="4231" spans="1:15" ht="30" customHeight="1" x14ac:dyDescent="0.3">
      <c r="A4231" s="5"/>
      <c r="B4231" s="5"/>
      <c r="C4231" s="5"/>
      <c r="D4231" s="5"/>
      <c r="E4231" s="5"/>
      <c r="F4231" s="9"/>
      <c r="G4231" s="5"/>
      <c r="H4231" s="5"/>
      <c r="I4231" s="5"/>
      <c r="J4231" s="5"/>
      <c r="K4231" s="5"/>
      <c r="L4231" s="5"/>
      <c r="M4231" s="5"/>
      <c r="N4231" s="5"/>
      <c r="O4231" s="5"/>
    </row>
    <row r="4232" spans="1:15" ht="30" customHeight="1" x14ac:dyDescent="0.3">
      <c r="A4232" s="5"/>
      <c r="B4232" s="5"/>
      <c r="C4232" s="5"/>
      <c r="D4232" s="5"/>
      <c r="E4232" s="5"/>
      <c r="F4232" s="9"/>
      <c r="G4232" s="5"/>
      <c r="H4232" s="5"/>
      <c r="I4232" s="5"/>
      <c r="J4232" s="5"/>
      <c r="K4232" s="5"/>
      <c r="L4232" s="5"/>
      <c r="M4232" s="5"/>
      <c r="N4232" s="5"/>
      <c r="O4232" s="5"/>
    </row>
    <row r="4233" spans="1:15" ht="30" customHeight="1" x14ac:dyDescent="0.3">
      <c r="A4233" s="5"/>
      <c r="B4233" s="5"/>
      <c r="C4233" s="5"/>
      <c r="D4233" s="5"/>
      <c r="E4233" s="5"/>
      <c r="F4233" s="9"/>
      <c r="G4233" s="5"/>
      <c r="H4233" s="5"/>
      <c r="I4233" s="5"/>
      <c r="J4233" s="5"/>
      <c r="K4233" s="5"/>
      <c r="L4233" s="5"/>
      <c r="M4233" s="5"/>
      <c r="N4233" s="5"/>
      <c r="O4233" s="5"/>
    </row>
    <row r="4234" spans="1:15" ht="30" customHeight="1" x14ac:dyDescent="0.3">
      <c r="A4234" s="5"/>
      <c r="B4234" s="5"/>
      <c r="C4234" s="5"/>
      <c r="D4234" s="5"/>
      <c r="E4234" s="5"/>
      <c r="F4234" s="9"/>
      <c r="G4234" s="5"/>
      <c r="H4234" s="5"/>
      <c r="I4234" s="5"/>
      <c r="J4234" s="5"/>
      <c r="K4234" s="5"/>
      <c r="L4234" s="5"/>
      <c r="M4234" s="5"/>
      <c r="N4234" s="5"/>
      <c r="O4234" s="5"/>
    </row>
    <row r="4235" spans="1:15" ht="30" customHeight="1" x14ac:dyDescent="0.3">
      <c r="A4235" s="5"/>
      <c r="B4235" s="5"/>
      <c r="C4235" s="5"/>
      <c r="D4235" s="5"/>
      <c r="E4235" s="5"/>
      <c r="F4235" s="9"/>
      <c r="G4235" s="5"/>
      <c r="H4235" s="5"/>
      <c r="I4235" s="5"/>
      <c r="J4235" s="5"/>
      <c r="K4235" s="5"/>
      <c r="L4235" s="5"/>
      <c r="M4235" s="5"/>
      <c r="N4235" s="5"/>
      <c r="O4235" s="5"/>
    </row>
    <row r="4236" spans="1:15" ht="30" customHeight="1" x14ac:dyDescent="0.3">
      <c r="A4236" s="5"/>
      <c r="B4236" s="5"/>
      <c r="C4236" s="5"/>
      <c r="D4236" s="5"/>
      <c r="E4236" s="5"/>
      <c r="F4236" s="9"/>
      <c r="G4236" s="5"/>
      <c r="H4236" s="5"/>
      <c r="I4236" s="5"/>
      <c r="J4236" s="5"/>
      <c r="K4236" s="5"/>
      <c r="L4236" s="5"/>
      <c r="M4236" s="5"/>
      <c r="N4236" s="5"/>
      <c r="O4236" s="5"/>
    </row>
    <row r="4237" spans="1:15" ht="30" customHeight="1" x14ac:dyDescent="0.3">
      <c r="A4237" s="5"/>
      <c r="B4237" s="5"/>
      <c r="C4237" s="5"/>
      <c r="D4237" s="5"/>
      <c r="E4237" s="5"/>
      <c r="F4237" s="9"/>
      <c r="G4237" s="5"/>
      <c r="H4237" s="5"/>
      <c r="I4237" s="5"/>
      <c r="J4237" s="5"/>
      <c r="K4237" s="5"/>
      <c r="L4237" s="5"/>
      <c r="M4237" s="5"/>
      <c r="N4237" s="5"/>
      <c r="O4237" s="5"/>
    </row>
    <row r="4238" spans="1:15" ht="30" customHeight="1" x14ac:dyDescent="0.3">
      <c r="A4238" s="5"/>
      <c r="B4238" s="5"/>
      <c r="C4238" s="5"/>
      <c r="D4238" s="5"/>
      <c r="E4238" s="5"/>
      <c r="F4238" s="9"/>
      <c r="G4238" s="5"/>
      <c r="H4238" s="5"/>
      <c r="I4238" s="5"/>
      <c r="J4238" s="5"/>
      <c r="K4238" s="5"/>
      <c r="L4238" s="5"/>
      <c r="M4238" s="5"/>
      <c r="N4238" s="5"/>
      <c r="O4238" s="5"/>
    </row>
    <row r="4239" spans="1:15" ht="30" customHeight="1" x14ac:dyDescent="0.3">
      <c r="A4239" s="5"/>
      <c r="B4239" s="5"/>
      <c r="C4239" s="5"/>
      <c r="D4239" s="5"/>
      <c r="E4239" s="5"/>
      <c r="F4239" s="9"/>
      <c r="G4239" s="5"/>
      <c r="H4239" s="5"/>
      <c r="I4239" s="5"/>
      <c r="J4239" s="5"/>
      <c r="K4239" s="5"/>
      <c r="L4239" s="5"/>
      <c r="M4239" s="5"/>
      <c r="N4239" s="5"/>
      <c r="O4239" s="5"/>
    </row>
    <row r="4240" spans="1:15" ht="30" customHeight="1" x14ac:dyDescent="0.3">
      <c r="A4240" s="5"/>
      <c r="B4240" s="5"/>
      <c r="C4240" s="5"/>
      <c r="D4240" s="5"/>
      <c r="E4240" s="5"/>
      <c r="F4240" s="9"/>
      <c r="G4240" s="5"/>
      <c r="H4240" s="5"/>
      <c r="I4240" s="5"/>
      <c r="J4240" s="5"/>
      <c r="K4240" s="5"/>
      <c r="L4240" s="5"/>
      <c r="M4240" s="5"/>
      <c r="N4240" s="5"/>
      <c r="O4240" s="5"/>
    </row>
    <row r="4241" spans="1:29" ht="30" customHeight="1" x14ac:dyDescent="0.3">
      <c r="A4241" s="5"/>
      <c r="B4241" s="5"/>
      <c r="C4241" s="5" t="s">
        <v>162</v>
      </c>
      <c r="D4241" s="5"/>
      <c r="E4241" s="5"/>
      <c r="F4241" s="9"/>
      <c r="G4241" s="5"/>
      <c r="H4241" s="5">
        <f>SUMIF(AC4217:AC4240, 1, H4217:H4240)</f>
        <v>2006437</v>
      </c>
      <c r="I4241" s="5"/>
      <c r="J4241" s="5">
        <f>SUMIF(AC4217:AC4240, 1, J4217:J4240)</f>
        <v>0</v>
      </c>
      <c r="K4241" s="5"/>
      <c r="L4241" s="5">
        <f>SUMIF(AC4217:AC4240, 1, L4217:L4240)</f>
        <v>0</v>
      </c>
      <c r="M4241" s="5"/>
      <c r="N4241" s="5">
        <f>H4241+J4241+L4241</f>
        <v>2006437</v>
      </c>
      <c r="O4241" s="5"/>
    </row>
    <row r="4242" spans="1:29" ht="30" customHeight="1" x14ac:dyDescent="0.3">
      <c r="A4242" s="5"/>
      <c r="B4242" s="5"/>
      <c r="C4242" s="6" t="s">
        <v>3784</v>
      </c>
      <c r="D4242" s="6"/>
      <c r="E4242" s="6"/>
      <c r="F4242" s="7"/>
      <c r="G4242" s="6"/>
      <c r="H4242" s="6"/>
      <c r="I4242" s="6"/>
      <c r="J4242" s="6"/>
      <c r="K4242" s="6"/>
      <c r="L4242" s="6"/>
      <c r="M4242" s="6"/>
      <c r="N4242" s="6"/>
      <c r="O4242" s="6"/>
    </row>
    <row r="4243" spans="1:29" ht="30" customHeight="1" x14ac:dyDescent="0.3">
      <c r="A4243" s="8" t="s">
        <v>3785</v>
      </c>
      <c r="B4243" s="8" t="s">
        <v>3786</v>
      </c>
      <c r="C4243" s="8" t="s">
        <v>2608</v>
      </c>
      <c r="D4243" s="8" t="s">
        <v>3787</v>
      </c>
      <c r="E4243" s="8" t="s">
        <v>19</v>
      </c>
      <c r="F4243" s="9">
        <v>18</v>
      </c>
      <c r="G4243" s="5">
        <f>TRUNC([1]단가대비표!O1488,0)</f>
        <v>520000</v>
      </c>
      <c r="H4243" s="5">
        <f t="shared" ref="H4243:H4257" si="409">TRUNC(F4243*G4243,0)</f>
        <v>9360000</v>
      </c>
      <c r="I4243" s="5">
        <v>0</v>
      </c>
      <c r="J4243" s="5">
        <f t="shared" ref="J4243:J4257" si="410">TRUNC(F4243*I4243,0)</f>
        <v>0</v>
      </c>
      <c r="K4243" s="5">
        <v>0</v>
      </c>
      <c r="L4243" s="5">
        <f t="shared" ref="L4243:L4257" si="411">TRUNC(F4243*K4243,0)</f>
        <v>0</v>
      </c>
      <c r="M4243" s="5">
        <f t="shared" ref="M4243:N4257" si="412">G4243+I4243+K4243</f>
        <v>520000</v>
      </c>
      <c r="N4243" s="5">
        <f t="shared" si="412"/>
        <v>9360000</v>
      </c>
      <c r="O4243" s="8" t="s">
        <v>2610</v>
      </c>
      <c r="T4243">
        <v>0</v>
      </c>
      <c r="AC4243">
        <v>1</v>
      </c>
    </row>
    <row r="4244" spans="1:29" ht="30" customHeight="1" x14ac:dyDescent="0.3">
      <c r="A4244" s="8" t="s">
        <v>3785</v>
      </c>
      <c r="B4244" s="8" t="s">
        <v>3788</v>
      </c>
      <c r="C4244" s="8" t="s">
        <v>2608</v>
      </c>
      <c r="D4244" s="8" t="s">
        <v>3744</v>
      </c>
      <c r="E4244" s="8" t="s">
        <v>19</v>
      </c>
      <c r="F4244" s="9">
        <v>1</v>
      </c>
      <c r="G4244" s="5">
        <f>TRUNC([1]단가대비표!O1489,0)</f>
        <v>530000</v>
      </c>
      <c r="H4244" s="5">
        <f t="shared" si="409"/>
        <v>530000</v>
      </c>
      <c r="I4244" s="5">
        <v>0</v>
      </c>
      <c r="J4244" s="5">
        <f t="shared" si="410"/>
        <v>0</v>
      </c>
      <c r="K4244" s="5">
        <v>0</v>
      </c>
      <c r="L4244" s="5">
        <f t="shared" si="411"/>
        <v>0</v>
      </c>
      <c r="M4244" s="5">
        <f t="shared" si="412"/>
        <v>530000</v>
      </c>
      <c r="N4244" s="5">
        <f t="shared" si="412"/>
        <v>530000</v>
      </c>
      <c r="O4244" s="8" t="s">
        <v>2613</v>
      </c>
      <c r="T4244">
        <v>0</v>
      </c>
      <c r="AC4244">
        <v>1</v>
      </c>
    </row>
    <row r="4245" spans="1:29" ht="30" customHeight="1" x14ac:dyDescent="0.3">
      <c r="A4245" s="8" t="s">
        <v>3785</v>
      </c>
      <c r="B4245" s="8" t="s">
        <v>3789</v>
      </c>
      <c r="C4245" s="8" t="s">
        <v>2608</v>
      </c>
      <c r="D4245" s="8" t="s">
        <v>3790</v>
      </c>
      <c r="E4245" s="8" t="s">
        <v>19</v>
      </c>
      <c r="F4245" s="9">
        <v>1</v>
      </c>
      <c r="G4245" s="5">
        <f>TRUNC([1]단가대비표!O1490,0)</f>
        <v>1210000</v>
      </c>
      <c r="H4245" s="5">
        <f t="shared" si="409"/>
        <v>1210000</v>
      </c>
      <c r="I4245" s="5">
        <v>0</v>
      </c>
      <c r="J4245" s="5">
        <f t="shared" si="410"/>
        <v>0</v>
      </c>
      <c r="K4245" s="5">
        <v>0</v>
      </c>
      <c r="L4245" s="5">
        <f t="shared" si="411"/>
        <v>0</v>
      </c>
      <c r="M4245" s="5">
        <f t="shared" si="412"/>
        <v>1210000</v>
      </c>
      <c r="N4245" s="5">
        <f t="shared" si="412"/>
        <v>1210000</v>
      </c>
      <c r="O4245" s="8" t="s">
        <v>2625</v>
      </c>
      <c r="T4245">
        <v>0</v>
      </c>
      <c r="AC4245">
        <v>1</v>
      </c>
    </row>
    <row r="4246" spans="1:29" ht="30" customHeight="1" x14ac:dyDescent="0.3">
      <c r="A4246" s="8" t="s">
        <v>3785</v>
      </c>
      <c r="B4246" s="8" t="s">
        <v>3791</v>
      </c>
      <c r="C4246" s="8" t="s">
        <v>3746</v>
      </c>
      <c r="D4246" s="8" t="s">
        <v>3792</v>
      </c>
      <c r="E4246" s="8" t="s">
        <v>161</v>
      </c>
      <c r="F4246" s="9">
        <v>18</v>
      </c>
      <c r="G4246" s="5">
        <f>TRUNC([1]단가대비표!O1491,0)</f>
        <v>1100000</v>
      </c>
      <c r="H4246" s="5">
        <f t="shared" si="409"/>
        <v>19800000</v>
      </c>
      <c r="I4246" s="5">
        <v>0</v>
      </c>
      <c r="J4246" s="5">
        <f t="shared" si="410"/>
        <v>0</v>
      </c>
      <c r="K4246" s="5">
        <v>0</v>
      </c>
      <c r="L4246" s="5">
        <f t="shared" si="411"/>
        <v>0</v>
      </c>
      <c r="M4246" s="5">
        <f t="shared" si="412"/>
        <v>1100000</v>
      </c>
      <c r="N4246" s="5">
        <f t="shared" si="412"/>
        <v>19800000</v>
      </c>
      <c r="O4246" s="8" t="s">
        <v>2629</v>
      </c>
      <c r="T4246">
        <v>0</v>
      </c>
      <c r="AC4246">
        <v>1</v>
      </c>
    </row>
    <row r="4247" spans="1:29" ht="30" customHeight="1" x14ac:dyDescent="0.3">
      <c r="A4247" s="8" t="s">
        <v>3785</v>
      </c>
      <c r="B4247" s="8" t="s">
        <v>3793</v>
      </c>
      <c r="C4247" s="8" t="s">
        <v>3746</v>
      </c>
      <c r="D4247" s="8" t="s">
        <v>3747</v>
      </c>
      <c r="E4247" s="8" t="s">
        <v>161</v>
      </c>
      <c r="F4247" s="9">
        <v>1</v>
      </c>
      <c r="G4247" s="5">
        <f>TRUNC([1]단가대비표!O1492,0)</f>
        <v>1280000</v>
      </c>
      <c r="H4247" s="5">
        <f t="shared" si="409"/>
        <v>1280000</v>
      </c>
      <c r="I4247" s="5">
        <v>0</v>
      </c>
      <c r="J4247" s="5">
        <f t="shared" si="410"/>
        <v>0</v>
      </c>
      <c r="K4247" s="5">
        <v>0</v>
      </c>
      <c r="L4247" s="5">
        <f t="shared" si="411"/>
        <v>0</v>
      </c>
      <c r="M4247" s="5">
        <f t="shared" si="412"/>
        <v>1280000</v>
      </c>
      <c r="N4247" s="5">
        <f t="shared" si="412"/>
        <v>1280000</v>
      </c>
      <c r="O4247" s="8" t="s">
        <v>2632</v>
      </c>
      <c r="T4247">
        <v>0</v>
      </c>
      <c r="AC4247">
        <v>1</v>
      </c>
    </row>
    <row r="4248" spans="1:29" ht="30" customHeight="1" x14ac:dyDescent="0.3">
      <c r="A4248" s="8" t="s">
        <v>3785</v>
      </c>
      <c r="B4248" s="8" t="s">
        <v>3794</v>
      </c>
      <c r="C4248" s="8" t="s">
        <v>3746</v>
      </c>
      <c r="D4248" s="8" t="s">
        <v>3795</v>
      </c>
      <c r="E4248" s="8" t="s">
        <v>161</v>
      </c>
      <c r="F4248" s="9">
        <v>1</v>
      </c>
      <c r="G4248" s="5">
        <f>TRUNC([1]단가대비표!O1493,0)</f>
        <v>1750000</v>
      </c>
      <c r="H4248" s="5">
        <f t="shared" si="409"/>
        <v>1750000</v>
      </c>
      <c r="I4248" s="5">
        <v>0</v>
      </c>
      <c r="J4248" s="5">
        <f t="shared" si="410"/>
        <v>0</v>
      </c>
      <c r="K4248" s="5">
        <v>0</v>
      </c>
      <c r="L4248" s="5">
        <f t="shared" si="411"/>
        <v>0</v>
      </c>
      <c r="M4248" s="5">
        <f t="shared" si="412"/>
        <v>1750000</v>
      </c>
      <c r="N4248" s="5">
        <f t="shared" si="412"/>
        <v>1750000</v>
      </c>
      <c r="O4248" s="8" t="s">
        <v>2638</v>
      </c>
      <c r="T4248">
        <v>0</v>
      </c>
      <c r="AC4248">
        <v>1</v>
      </c>
    </row>
    <row r="4249" spans="1:29" ht="30" customHeight="1" x14ac:dyDescent="0.3">
      <c r="A4249" s="8" t="s">
        <v>3785</v>
      </c>
      <c r="B4249" s="8" t="s">
        <v>3796</v>
      </c>
      <c r="C4249" s="8" t="s">
        <v>3746</v>
      </c>
      <c r="D4249" s="8" t="s">
        <v>3749</v>
      </c>
      <c r="E4249" s="8" t="s">
        <v>895</v>
      </c>
      <c r="F4249" s="9">
        <v>360</v>
      </c>
      <c r="G4249" s="5">
        <f>TRUNC([1]단가대비표!O1494,0)</f>
        <v>17190</v>
      </c>
      <c r="H4249" s="5">
        <f t="shared" si="409"/>
        <v>6188400</v>
      </c>
      <c r="I4249" s="5">
        <v>0</v>
      </c>
      <c r="J4249" s="5">
        <f t="shared" si="410"/>
        <v>0</v>
      </c>
      <c r="K4249" s="5">
        <v>0</v>
      </c>
      <c r="L4249" s="5">
        <f t="shared" si="411"/>
        <v>0</v>
      </c>
      <c r="M4249" s="5">
        <f t="shared" si="412"/>
        <v>17190</v>
      </c>
      <c r="N4249" s="5">
        <f t="shared" si="412"/>
        <v>6188400</v>
      </c>
      <c r="O4249" s="8" t="s">
        <v>2641</v>
      </c>
      <c r="T4249">
        <v>0</v>
      </c>
      <c r="AC4249">
        <v>1</v>
      </c>
    </row>
    <row r="4250" spans="1:29" ht="30" customHeight="1" x14ac:dyDescent="0.3">
      <c r="A4250" s="8" t="s">
        <v>3785</v>
      </c>
      <c r="B4250" s="8" t="s">
        <v>3797</v>
      </c>
      <c r="C4250" s="8" t="s">
        <v>3746</v>
      </c>
      <c r="D4250" s="8" t="s">
        <v>3751</v>
      </c>
      <c r="E4250" s="8" t="s">
        <v>895</v>
      </c>
      <c r="F4250" s="9">
        <v>160</v>
      </c>
      <c r="G4250" s="5">
        <f>TRUNC([1]단가대비표!O1495,0)</f>
        <v>6170</v>
      </c>
      <c r="H4250" s="5">
        <f t="shared" si="409"/>
        <v>987200</v>
      </c>
      <c r="I4250" s="5">
        <v>0</v>
      </c>
      <c r="J4250" s="5">
        <f t="shared" si="410"/>
        <v>0</v>
      </c>
      <c r="K4250" s="5">
        <v>0</v>
      </c>
      <c r="L4250" s="5">
        <f t="shared" si="411"/>
        <v>0</v>
      </c>
      <c r="M4250" s="5">
        <f t="shared" si="412"/>
        <v>6170</v>
      </c>
      <c r="N4250" s="5">
        <f t="shared" si="412"/>
        <v>987200</v>
      </c>
      <c r="O4250" s="8" t="s">
        <v>2644</v>
      </c>
      <c r="T4250">
        <v>0</v>
      </c>
      <c r="AC4250">
        <v>1</v>
      </c>
    </row>
    <row r="4251" spans="1:29" ht="30" customHeight="1" x14ac:dyDescent="0.3">
      <c r="A4251" s="8" t="s">
        <v>3785</v>
      </c>
      <c r="B4251" s="8" t="s">
        <v>3798</v>
      </c>
      <c r="C4251" s="8" t="s">
        <v>3746</v>
      </c>
      <c r="D4251" s="8" t="s">
        <v>3799</v>
      </c>
      <c r="E4251" s="8" t="s">
        <v>895</v>
      </c>
      <c r="F4251" s="9">
        <v>8</v>
      </c>
      <c r="G4251" s="5">
        <f>TRUNC([1]단가대비표!O1496,0)</f>
        <v>13000</v>
      </c>
      <c r="H4251" s="5">
        <f t="shared" si="409"/>
        <v>104000</v>
      </c>
      <c r="I4251" s="5">
        <v>0</v>
      </c>
      <c r="J4251" s="5">
        <f t="shared" si="410"/>
        <v>0</v>
      </c>
      <c r="K4251" s="5">
        <v>0</v>
      </c>
      <c r="L4251" s="5">
        <f t="shared" si="411"/>
        <v>0</v>
      </c>
      <c r="M4251" s="5">
        <f t="shared" si="412"/>
        <v>13000</v>
      </c>
      <c r="N4251" s="5">
        <f t="shared" si="412"/>
        <v>104000</v>
      </c>
      <c r="O4251" s="8" t="s">
        <v>2648</v>
      </c>
      <c r="T4251">
        <v>0</v>
      </c>
      <c r="AC4251">
        <v>1</v>
      </c>
    </row>
    <row r="4252" spans="1:29" ht="30" customHeight="1" x14ac:dyDescent="0.3">
      <c r="A4252" s="8" t="s">
        <v>3785</v>
      </c>
      <c r="B4252" s="8" t="s">
        <v>3800</v>
      </c>
      <c r="C4252" s="8" t="s">
        <v>3746</v>
      </c>
      <c r="D4252" s="8" t="s">
        <v>2650</v>
      </c>
      <c r="E4252" s="8" t="s">
        <v>428</v>
      </c>
      <c r="F4252" s="9">
        <v>20</v>
      </c>
      <c r="G4252" s="5">
        <f>TRUNC([1]단가대비표!O1497,0)</f>
        <v>28500</v>
      </c>
      <c r="H4252" s="5">
        <f t="shared" si="409"/>
        <v>570000</v>
      </c>
      <c r="I4252" s="5">
        <v>0</v>
      </c>
      <c r="J4252" s="5">
        <f t="shared" si="410"/>
        <v>0</v>
      </c>
      <c r="K4252" s="5">
        <v>0</v>
      </c>
      <c r="L4252" s="5">
        <f t="shared" si="411"/>
        <v>0</v>
      </c>
      <c r="M4252" s="5">
        <f t="shared" si="412"/>
        <v>28500</v>
      </c>
      <c r="N4252" s="5">
        <f t="shared" si="412"/>
        <v>570000</v>
      </c>
      <c r="O4252" s="8" t="s">
        <v>2651</v>
      </c>
      <c r="T4252">
        <v>0</v>
      </c>
      <c r="AC4252">
        <v>1</v>
      </c>
    </row>
    <row r="4253" spans="1:29" ht="30" customHeight="1" x14ac:dyDescent="0.3">
      <c r="A4253" s="8" t="s">
        <v>3785</v>
      </c>
      <c r="B4253" s="8" t="s">
        <v>3801</v>
      </c>
      <c r="C4253" s="8" t="s">
        <v>3746</v>
      </c>
      <c r="D4253" s="8" t="s">
        <v>2653</v>
      </c>
      <c r="E4253" s="8" t="s">
        <v>428</v>
      </c>
      <c r="F4253" s="9">
        <v>1</v>
      </c>
      <c r="G4253" s="5">
        <f>TRUNC([1]단가대비표!O1498,0)</f>
        <v>237500</v>
      </c>
      <c r="H4253" s="5">
        <f t="shared" si="409"/>
        <v>237500</v>
      </c>
      <c r="I4253" s="5">
        <v>0</v>
      </c>
      <c r="J4253" s="5">
        <f t="shared" si="410"/>
        <v>0</v>
      </c>
      <c r="K4253" s="5">
        <v>0</v>
      </c>
      <c r="L4253" s="5">
        <f t="shared" si="411"/>
        <v>0</v>
      </c>
      <c r="M4253" s="5">
        <f t="shared" si="412"/>
        <v>237500</v>
      </c>
      <c r="N4253" s="5">
        <f t="shared" si="412"/>
        <v>237500</v>
      </c>
      <c r="O4253" s="8" t="s">
        <v>2654</v>
      </c>
      <c r="T4253">
        <v>0</v>
      </c>
      <c r="AC4253">
        <v>1</v>
      </c>
    </row>
    <row r="4254" spans="1:29" ht="30" customHeight="1" x14ac:dyDescent="0.3">
      <c r="A4254" s="8" t="s">
        <v>3785</v>
      </c>
      <c r="B4254" s="8" t="s">
        <v>3802</v>
      </c>
      <c r="C4254" s="8" t="s">
        <v>3746</v>
      </c>
      <c r="D4254" s="8" t="s">
        <v>2656</v>
      </c>
      <c r="E4254" s="8" t="s">
        <v>895</v>
      </c>
      <c r="F4254" s="9">
        <v>600</v>
      </c>
      <c r="G4254" s="5">
        <f>TRUNC([1]단가대비표!O1499,0)</f>
        <v>4080</v>
      </c>
      <c r="H4254" s="5">
        <f t="shared" si="409"/>
        <v>2448000</v>
      </c>
      <c r="I4254" s="5">
        <v>0</v>
      </c>
      <c r="J4254" s="5">
        <f t="shared" si="410"/>
        <v>0</v>
      </c>
      <c r="K4254" s="5">
        <v>0</v>
      </c>
      <c r="L4254" s="5">
        <f t="shared" si="411"/>
        <v>0</v>
      </c>
      <c r="M4254" s="5">
        <f t="shared" si="412"/>
        <v>4080</v>
      </c>
      <c r="N4254" s="5">
        <f t="shared" si="412"/>
        <v>2448000</v>
      </c>
      <c r="O4254" s="8" t="s">
        <v>2657</v>
      </c>
      <c r="T4254">
        <v>0</v>
      </c>
      <c r="AC4254">
        <v>1</v>
      </c>
    </row>
    <row r="4255" spans="1:29" ht="30" customHeight="1" x14ac:dyDescent="0.3">
      <c r="A4255" s="8" t="s">
        <v>3785</v>
      </c>
      <c r="B4255" s="8" t="s">
        <v>3803</v>
      </c>
      <c r="C4255" s="8" t="s">
        <v>3746</v>
      </c>
      <c r="D4255" s="8" t="s">
        <v>2659</v>
      </c>
      <c r="E4255" s="8" t="s">
        <v>895</v>
      </c>
      <c r="F4255" s="9">
        <v>300</v>
      </c>
      <c r="G4255" s="5">
        <f>TRUNC([1]단가대비표!O1500,0)</f>
        <v>3200</v>
      </c>
      <c r="H4255" s="5">
        <f t="shared" si="409"/>
        <v>960000</v>
      </c>
      <c r="I4255" s="5">
        <v>0</v>
      </c>
      <c r="J4255" s="5">
        <f t="shared" si="410"/>
        <v>0</v>
      </c>
      <c r="K4255" s="5">
        <v>0</v>
      </c>
      <c r="L4255" s="5">
        <f t="shared" si="411"/>
        <v>0</v>
      </c>
      <c r="M4255" s="5">
        <f t="shared" si="412"/>
        <v>3200</v>
      </c>
      <c r="N4255" s="5">
        <f t="shared" si="412"/>
        <v>960000</v>
      </c>
      <c r="O4255" s="8" t="s">
        <v>2660</v>
      </c>
      <c r="T4255">
        <v>0</v>
      </c>
      <c r="AC4255">
        <v>1</v>
      </c>
    </row>
    <row r="4256" spans="1:29" ht="30" customHeight="1" x14ac:dyDescent="0.3">
      <c r="A4256" s="8" t="s">
        <v>3785</v>
      </c>
      <c r="B4256" s="8" t="s">
        <v>3804</v>
      </c>
      <c r="C4256" s="8" t="s">
        <v>3746</v>
      </c>
      <c r="D4256" s="8" t="s">
        <v>2662</v>
      </c>
      <c r="E4256" s="8" t="s">
        <v>428</v>
      </c>
      <c r="F4256" s="9">
        <v>20</v>
      </c>
      <c r="G4256" s="5">
        <f>TRUNC([1]단가대비표!O1501,0)</f>
        <v>100000</v>
      </c>
      <c r="H4256" s="5">
        <f t="shared" si="409"/>
        <v>2000000</v>
      </c>
      <c r="I4256" s="5">
        <v>0</v>
      </c>
      <c r="J4256" s="5">
        <f t="shared" si="410"/>
        <v>0</v>
      </c>
      <c r="K4256" s="5">
        <v>0</v>
      </c>
      <c r="L4256" s="5">
        <f t="shared" si="411"/>
        <v>0</v>
      </c>
      <c r="M4256" s="5">
        <f t="shared" si="412"/>
        <v>100000</v>
      </c>
      <c r="N4256" s="5">
        <f t="shared" si="412"/>
        <v>2000000</v>
      </c>
      <c r="O4256" s="8" t="s">
        <v>2663</v>
      </c>
      <c r="T4256">
        <v>0</v>
      </c>
      <c r="AC4256">
        <v>1</v>
      </c>
    </row>
    <row r="4257" spans="1:29" ht="30" customHeight="1" x14ac:dyDescent="0.3">
      <c r="A4257" s="8" t="s">
        <v>3785</v>
      </c>
      <c r="B4257" s="8" t="s">
        <v>3805</v>
      </c>
      <c r="C4257" s="8" t="s">
        <v>2665</v>
      </c>
      <c r="D4257" s="8" t="s">
        <v>2468</v>
      </c>
      <c r="E4257" s="8" t="s">
        <v>161</v>
      </c>
      <c r="F4257" s="9">
        <v>1</v>
      </c>
      <c r="G4257" s="5">
        <f>TRUNC([1]단가대비표!O1502,0)</f>
        <v>256096</v>
      </c>
      <c r="H4257" s="5">
        <f t="shared" si="409"/>
        <v>256096</v>
      </c>
      <c r="I4257" s="5">
        <v>0</v>
      </c>
      <c r="J4257" s="5">
        <f t="shared" si="410"/>
        <v>0</v>
      </c>
      <c r="K4257" s="5">
        <v>0</v>
      </c>
      <c r="L4257" s="5">
        <f t="shared" si="411"/>
        <v>0</v>
      </c>
      <c r="M4257" s="5">
        <f t="shared" si="412"/>
        <v>256096</v>
      </c>
      <c r="N4257" s="5">
        <f t="shared" si="412"/>
        <v>256096</v>
      </c>
      <c r="O4257" s="8" t="s">
        <v>20</v>
      </c>
      <c r="T4257">
        <v>0</v>
      </c>
      <c r="AC4257">
        <v>1</v>
      </c>
    </row>
    <row r="4258" spans="1:29" ht="30" customHeight="1" x14ac:dyDescent="0.3">
      <c r="A4258" s="5"/>
      <c r="B4258" s="5"/>
      <c r="C4258" s="5"/>
      <c r="D4258" s="5"/>
      <c r="E4258" s="5"/>
      <c r="F4258" s="9"/>
      <c r="G4258" s="5"/>
      <c r="H4258" s="5"/>
      <c r="I4258" s="5"/>
      <c r="J4258" s="5"/>
      <c r="K4258" s="5"/>
      <c r="L4258" s="5"/>
      <c r="M4258" s="5"/>
      <c r="N4258" s="5"/>
      <c r="O4258" s="5"/>
    </row>
    <row r="4259" spans="1:29" ht="30" customHeight="1" x14ac:dyDescent="0.3">
      <c r="A4259" s="5"/>
      <c r="B4259" s="5"/>
      <c r="C4259" s="5"/>
      <c r="D4259" s="5"/>
      <c r="E4259" s="5"/>
      <c r="F4259" s="9"/>
      <c r="G4259" s="5"/>
      <c r="H4259" s="5"/>
      <c r="I4259" s="5"/>
      <c r="J4259" s="5"/>
      <c r="K4259" s="5"/>
      <c r="L4259" s="5"/>
      <c r="M4259" s="5"/>
      <c r="N4259" s="5"/>
      <c r="O4259" s="5"/>
    </row>
    <row r="4260" spans="1:29" ht="30" customHeight="1" x14ac:dyDescent="0.3">
      <c r="A4260" s="5"/>
      <c r="B4260" s="5"/>
      <c r="C4260" s="5"/>
      <c r="D4260" s="5"/>
      <c r="E4260" s="5"/>
      <c r="F4260" s="9"/>
      <c r="G4260" s="5"/>
      <c r="H4260" s="5"/>
      <c r="I4260" s="5"/>
      <c r="J4260" s="5"/>
      <c r="K4260" s="5"/>
      <c r="L4260" s="5"/>
      <c r="M4260" s="5"/>
      <c r="N4260" s="5"/>
      <c r="O4260" s="5"/>
    </row>
    <row r="4261" spans="1:29" ht="30" customHeight="1" x14ac:dyDescent="0.3">
      <c r="A4261" s="5"/>
      <c r="B4261" s="5"/>
      <c r="C4261" s="5"/>
      <c r="D4261" s="5"/>
      <c r="E4261" s="5"/>
      <c r="F4261" s="9"/>
      <c r="G4261" s="5"/>
      <c r="H4261" s="5"/>
      <c r="I4261" s="5"/>
      <c r="J4261" s="5"/>
      <c r="K4261" s="5"/>
      <c r="L4261" s="5"/>
      <c r="M4261" s="5"/>
      <c r="N4261" s="5"/>
      <c r="O4261" s="5"/>
    </row>
    <row r="4262" spans="1:29" ht="30" customHeight="1" x14ac:dyDescent="0.3">
      <c r="A4262" s="5"/>
      <c r="B4262" s="5"/>
      <c r="C4262" s="5"/>
      <c r="D4262" s="5"/>
      <c r="E4262" s="5"/>
      <c r="F4262" s="9"/>
      <c r="G4262" s="5"/>
      <c r="H4262" s="5"/>
      <c r="I4262" s="5"/>
      <c r="J4262" s="5"/>
      <c r="K4262" s="5"/>
      <c r="L4262" s="5"/>
      <c r="M4262" s="5"/>
      <c r="N4262" s="5"/>
      <c r="O4262" s="5"/>
    </row>
    <row r="4263" spans="1:29" ht="30" customHeight="1" x14ac:dyDescent="0.3">
      <c r="A4263" s="5"/>
      <c r="B4263" s="5"/>
      <c r="C4263" s="5"/>
      <c r="D4263" s="5"/>
      <c r="E4263" s="5"/>
      <c r="F4263" s="9"/>
      <c r="G4263" s="5"/>
      <c r="H4263" s="5"/>
      <c r="I4263" s="5"/>
      <c r="J4263" s="5"/>
      <c r="K4263" s="5"/>
      <c r="L4263" s="5"/>
      <c r="M4263" s="5"/>
      <c r="N4263" s="5"/>
      <c r="O4263" s="5"/>
    </row>
    <row r="4264" spans="1:29" ht="30" customHeight="1" x14ac:dyDescent="0.3">
      <c r="A4264" s="5"/>
      <c r="B4264" s="5"/>
      <c r="C4264" s="5"/>
      <c r="D4264" s="5"/>
      <c r="E4264" s="5"/>
      <c r="F4264" s="9"/>
      <c r="G4264" s="5"/>
      <c r="H4264" s="5"/>
      <c r="I4264" s="5"/>
      <c r="J4264" s="5"/>
      <c r="K4264" s="5"/>
      <c r="L4264" s="5"/>
      <c r="M4264" s="5"/>
      <c r="N4264" s="5"/>
      <c r="O4264" s="5"/>
    </row>
    <row r="4265" spans="1:29" ht="30" customHeight="1" x14ac:dyDescent="0.3">
      <c r="A4265" s="5"/>
      <c r="B4265" s="5"/>
      <c r="C4265" s="5"/>
      <c r="D4265" s="5"/>
      <c r="E4265" s="5"/>
      <c r="F4265" s="9"/>
      <c r="G4265" s="5"/>
      <c r="H4265" s="5"/>
      <c r="I4265" s="5"/>
      <c r="J4265" s="5"/>
      <c r="K4265" s="5"/>
      <c r="L4265" s="5"/>
      <c r="M4265" s="5"/>
      <c r="N4265" s="5"/>
      <c r="O4265" s="5"/>
    </row>
    <row r="4266" spans="1:29" ht="30" customHeight="1" x14ac:dyDescent="0.3">
      <c r="A4266" s="5"/>
      <c r="B4266" s="5"/>
      <c r="C4266" s="5"/>
      <c r="D4266" s="5"/>
      <c r="E4266" s="5"/>
      <c r="F4266" s="9"/>
      <c r="G4266" s="5"/>
      <c r="H4266" s="5"/>
      <c r="I4266" s="5"/>
      <c r="J4266" s="5"/>
      <c r="K4266" s="5"/>
      <c r="L4266" s="5"/>
      <c r="M4266" s="5"/>
      <c r="N4266" s="5"/>
      <c r="O4266" s="5"/>
    </row>
    <row r="4267" spans="1:29" ht="30" customHeight="1" x14ac:dyDescent="0.3">
      <c r="A4267" s="5"/>
      <c r="B4267" s="5"/>
      <c r="C4267" s="5" t="s">
        <v>162</v>
      </c>
      <c r="D4267" s="5"/>
      <c r="E4267" s="5"/>
      <c r="F4267" s="9"/>
      <c r="G4267" s="5"/>
      <c r="H4267" s="5">
        <f>SUMIF(AC4243:AC4266, 1, H4243:H4266)</f>
        <v>47681196</v>
      </c>
      <c r="I4267" s="5"/>
      <c r="J4267" s="5">
        <f>SUMIF(AC4243:AC4266, 1, J4243:J4266)</f>
        <v>0</v>
      </c>
      <c r="K4267" s="5"/>
      <c r="L4267" s="5">
        <f>SUMIF(AC4243:AC4266, 1, L4243:L4266)</f>
        <v>0</v>
      </c>
      <c r="M4267" s="5"/>
      <c r="N4267" s="5">
        <f>H4267+J4267+L4267</f>
        <v>47681196</v>
      </c>
      <c r="O4267" s="5"/>
    </row>
    <row r="4268" spans="1:29" ht="30" customHeight="1" x14ac:dyDescent="0.3">
      <c r="A4268" s="5"/>
      <c r="B4268" s="5"/>
      <c r="C4268" s="6" t="s">
        <v>3806</v>
      </c>
      <c r="D4268" s="6"/>
      <c r="E4268" s="6"/>
      <c r="F4268" s="7"/>
      <c r="G4268" s="6"/>
      <c r="H4268" s="6"/>
      <c r="I4268" s="6"/>
      <c r="J4268" s="6"/>
      <c r="K4268" s="6"/>
      <c r="L4268" s="6"/>
      <c r="M4268" s="6"/>
      <c r="N4268" s="6"/>
      <c r="O4268" s="6"/>
    </row>
    <row r="4269" spans="1:29" ht="30" customHeight="1" x14ac:dyDescent="0.3">
      <c r="A4269" s="8" t="s">
        <v>3807</v>
      </c>
      <c r="B4269" s="8" t="s">
        <v>3808</v>
      </c>
      <c r="C4269" s="8" t="s">
        <v>3675</v>
      </c>
      <c r="D4269" s="8" t="s">
        <v>20</v>
      </c>
      <c r="E4269" s="8" t="s">
        <v>20</v>
      </c>
      <c r="F4269" s="9">
        <v>0</v>
      </c>
      <c r="G4269" s="5">
        <f>TRUNC([1]단가대비표!O1638,0)</f>
        <v>0</v>
      </c>
      <c r="H4269" s="5">
        <f t="shared" ref="H4269:H4313" si="413">TRUNC(F4269*G4269,0)</f>
        <v>0</v>
      </c>
      <c r="I4269" s="5">
        <v>0</v>
      </c>
      <c r="J4269" s="5">
        <f t="shared" ref="J4269:J4313" si="414">TRUNC(F4269*I4269,0)</f>
        <v>0</v>
      </c>
      <c r="K4269" s="5">
        <v>0</v>
      </c>
      <c r="L4269" s="5">
        <f t="shared" ref="L4269:L4313" si="415">TRUNC(F4269*K4269,0)</f>
        <v>0</v>
      </c>
      <c r="M4269" s="5">
        <f t="shared" ref="M4269:N4313" si="416">G4269+I4269+K4269</f>
        <v>0</v>
      </c>
      <c r="N4269" s="5">
        <f t="shared" si="416"/>
        <v>0</v>
      </c>
      <c r="O4269" s="8" t="s">
        <v>20</v>
      </c>
      <c r="T4269">
        <v>0</v>
      </c>
      <c r="AC4269">
        <v>1</v>
      </c>
    </row>
    <row r="4270" spans="1:29" ht="30" customHeight="1" x14ac:dyDescent="0.3">
      <c r="A4270" s="8" t="s">
        <v>3807</v>
      </c>
      <c r="B4270" s="8" t="s">
        <v>3809</v>
      </c>
      <c r="C4270" s="8" t="s">
        <v>2758</v>
      </c>
      <c r="D4270" s="8" t="s">
        <v>3677</v>
      </c>
      <c r="E4270" s="8" t="s">
        <v>179</v>
      </c>
      <c r="F4270" s="9">
        <v>1</v>
      </c>
      <c r="G4270" s="5">
        <f>TRUNC([1]단가대비표!O1639,0)</f>
        <v>1820000</v>
      </c>
      <c r="H4270" s="5">
        <f t="shared" si="413"/>
        <v>1820000</v>
      </c>
      <c r="I4270" s="5">
        <v>1527111</v>
      </c>
      <c r="J4270" s="5">
        <f t="shared" si="414"/>
        <v>1527111</v>
      </c>
      <c r="K4270" s="5">
        <v>0</v>
      </c>
      <c r="L4270" s="5">
        <f t="shared" si="415"/>
        <v>0</v>
      </c>
      <c r="M4270" s="5">
        <f t="shared" si="416"/>
        <v>3347111</v>
      </c>
      <c r="N4270" s="5">
        <f t="shared" si="416"/>
        <v>3347111</v>
      </c>
      <c r="O4270" s="8" t="s">
        <v>20</v>
      </c>
      <c r="T4270">
        <v>0</v>
      </c>
      <c r="AC4270">
        <v>1</v>
      </c>
    </row>
    <row r="4271" spans="1:29" ht="30" customHeight="1" x14ac:dyDescent="0.3">
      <c r="A4271" s="8" t="s">
        <v>3807</v>
      </c>
      <c r="B4271" s="8" t="s">
        <v>3810</v>
      </c>
      <c r="C4271" s="8" t="s">
        <v>2761</v>
      </c>
      <c r="D4271" s="8" t="s">
        <v>2762</v>
      </c>
      <c r="E4271" s="8" t="s">
        <v>179</v>
      </c>
      <c r="F4271" s="9">
        <v>1</v>
      </c>
      <c r="G4271" s="5">
        <f>TRUNC([1]단가대비표!O1640,0)</f>
        <v>4000000</v>
      </c>
      <c r="H4271" s="5">
        <f t="shared" si="413"/>
        <v>4000000</v>
      </c>
      <c r="I4271" s="5">
        <v>0</v>
      </c>
      <c r="J4271" s="5">
        <f t="shared" si="414"/>
        <v>0</v>
      </c>
      <c r="K4271" s="5">
        <v>0</v>
      </c>
      <c r="L4271" s="5">
        <f t="shared" si="415"/>
        <v>0</v>
      </c>
      <c r="M4271" s="5">
        <f t="shared" si="416"/>
        <v>4000000</v>
      </c>
      <c r="N4271" s="5">
        <f t="shared" si="416"/>
        <v>4000000</v>
      </c>
      <c r="O4271" s="8" t="s">
        <v>20</v>
      </c>
      <c r="T4271">
        <v>0</v>
      </c>
      <c r="AC4271">
        <v>1</v>
      </c>
    </row>
    <row r="4272" spans="1:29" ht="30" customHeight="1" x14ac:dyDescent="0.3">
      <c r="A4272" s="8" t="s">
        <v>3807</v>
      </c>
      <c r="B4272" s="8" t="s">
        <v>3811</v>
      </c>
      <c r="C4272" s="8" t="s">
        <v>2773</v>
      </c>
      <c r="D4272" s="8" t="s">
        <v>2774</v>
      </c>
      <c r="E4272" s="8" t="s">
        <v>179</v>
      </c>
      <c r="F4272" s="9">
        <v>1</v>
      </c>
      <c r="G4272" s="5">
        <f>TRUNC([1]단가대비표!O1641,0)</f>
        <v>1600000</v>
      </c>
      <c r="H4272" s="5">
        <f t="shared" si="413"/>
        <v>1600000</v>
      </c>
      <c r="I4272" s="5">
        <v>0</v>
      </c>
      <c r="J4272" s="5">
        <f t="shared" si="414"/>
        <v>0</v>
      </c>
      <c r="K4272" s="5">
        <v>0</v>
      </c>
      <c r="L4272" s="5">
        <f t="shared" si="415"/>
        <v>0</v>
      </c>
      <c r="M4272" s="5">
        <f t="shared" si="416"/>
        <v>1600000</v>
      </c>
      <c r="N4272" s="5">
        <f t="shared" si="416"/>
        <v>1600000</v>
      </c>
      <c r="O4272" s="8" t="s">
        <v>20</v>
      </c>
      <c r="T4272">
        <v>0</v>
      </c>
      <c r="AC4272">
        <v>1</v>
      </c>
    </row>
    <row r="4273" spans="1:29" ht="30" customHeight="1" x14ac:dyDescent="0.3">
      <c r="A4273" s="8" t="s">
        <v>3807</v>
      </c>
      <c r="B4273" s="8" t="s">
        <v>3812</v>
      </c>
      <c r="C4273" s="8" t="s">
        <v>2746</v>
      </c>
      <c r="D4273" s="8" t="s">
        <v>2747</v>
      </c>
      <c r="E4273" s="8" t="s">
        <v>179</v>
      </c>
      <c r="F4273" s="9">
        <v>1</v>
      </c>
      <c r="G4273" s="5">
        <f>TRUNC([1]단가대비표!O1642,0)</f>
        <v>82000</v>
      </c>
      <c r="H4273" s="5">
        <f t="shared" si="413"/>
        <v>82000</v>
      </c>
      <c r="I4273" s="5">
        <v>0</v>
      </c>
      <c r="J4273" s="5">
        <f t="shared" si="414"/>
        <v>0</v>
      </c>
      <c r="K4273" s="5">
        <v>0</v>
      </c>
      <c r="L4273" s="5">
        <f t="shared" si="415"/>
        <v>0</v>
      </c>
      <c r="M4273" s="5">
        <f t="shared" si="416"/>
        <v>82000</v>
      </c>
      <c r="N4273" s="5">
        <f t="shared" si="416"/>
        <v>82000</v>
      </c>
      <c r="O4273" s="8" t="s">
        <v>20</v>
      </c>
      <c r="T4273">
        <v>0</v>
      </c>
      <c r="AC4273">
        <v>1</v>
      </c>
    </row>
    <row r="4274" spans="1:29" ht="30" customHeight="1" x14ac:dyDescent="0.3">
      <c r="A4274" s="8" t="s">
        <v>3807</v>
      </c>
      <c r="B4274" s="8" t="s">
        <v>3813</v>
      </c>
      <c r="C4274" s="8" t="s">
        <v>3814</v>
      </c>
      <c r="D4274" s="8" t="s">
        <v>20</v>
      </c>
      <c r="E4274" s="8" t="s">
        <v>20</v>
      </c>
      <c r="F4274" s="9">
        <v>0</v>
      </c>
      <c r="G4274" s="5">
        <f>TRUNC([1]단가대비표!O1643,0)</f>
        <v>0</v>
      </c>
      <c r="H4274" s="5">
        <f t="shared" si="413"/>
        <v>0</v>
      </c>
      <c r="I4274" s="5">
        <v>0</v>
      </c>
      <c r="J4274" s="5">
        <f t="shared" si="414"/>
        <v>0</v>
      </c>
      <c r="K4274" s="5">
        <v>0</v>
      </c>
      <c r="L4274" s="5">
        <f t="shared" si="415"/>
        <v>0</v>
      </c>
      <c r="M4274" s="5">
        <f t="shared" si="416"/>
        <v>0</v>
      </c>
      <c r="N4274" s="5">
        <f t="shared" si="416"/>
        <v>0</v>
      </c>
      <c r="O4274" s="8" t="s">
        <v>20</v>
      </c>
      <c r="T4274">
        <v>0</v>
      </c>
      <c r="AC4274">
        <v>1</v>
      </c>
    </row>
    <row r="4275" spans="1:29" ht="30" customHeight="1" x14ac:dyDescent="0.3">
      <c r="A4275" s="8" t="s">
        <v>3807</v>
      </c>
      <c r="B4275" s="8" t="s">
        <v>3815</v>
      </c>
      <c r="C4275" s="8" t="s">
        <v>2796</v>
      </c>
      <c r="D4275" s="8" t="s">
        <v>3816</v>
      </c>
      <c r="E4275" s="8" t="s">
        <v>179</v>
      </c>
      <c r="F4275" s="9">
        <v>3</v>
      </c>
      <c r="G4275" s="5">
        <f>TRUNC([1]단가대비표!O1644,0)</f>
        <v>495000</v>
      </c>
      <c r="H4275" s="5">
        <f t="shared" si="413"/>
        <v>1485000</v>
      </c>
      <c r="I4275" s="5">
        <v>187999</v>
      </c>
      <c r="J4275" s="5">
        <f t="shared" si="414"/>
        <v>563997</v>
      </c>
      <c r="K4275" s="5">
        <v>0</v>
      </c>
      <c r="L4275" s="5">
        <f t="shared" si="415"/>
        <v>0</v>
      </c>
      <c r="M4275" s="5">
        <f t="shared" si="416"/>
        <v>682999</v>
      </c>
      <c r="N4275" s="5">
        <f t="shared" si="416"/>
        <v>2048997</v>
      </c>
      <c r="O4275" s="8" t="s">
        <v>20</v>
      </c>
      <c r="T4275">
        <v>0</v>
      </c>
      <c r="AC4275">
        <v>1</v>
      </c>
    </row>
    <row r="4276" spans="1:29" ht="30" customHeight="1" x14ac:dyDescent="0.3">
      <c r="A4276" s="8" t="s">
        <v>3807</v>
      </c>
      <c r="B4276" s="8" t="s">
        <v>3817</v>
      </c>
      <c r="C4276" s="8" t="s">
        <v>2796</v>
      </c>
      <c r="D4276" s="8" t="s">
        <v>2799</v>
      </c>
      <c r="E4276" s="8" t="s">
        <v>179</v>
      </c>
      <c r="F4276" s="9">
        <v>1</v>
      </c>
      <c r="G4276" s="5">
        <f>TRUNC([1]단가대비표!O1645,0)</f>
        <v>628000</v>
      </c>
      <c r="H4276" s="5">
        <f t="shared" si="413"/>
        <v>628000</v>
      </c>
      <c r="I4276" s="5">
        <v>187999</v>
      </c>
      <c r="J4276" s="5">
        <f t="shared" si="414"/>
        <v>187999</v>
      </c>
      <c r="K4276" s="5">
        <v>0</v>
      </c>
      <c r="L4276" s="5">
        <f t="shared" si="415"/>
        <v>0</v>
      </c>
      <c r="M4276" s="5">
        <f t="shared" si="416"/>
        <v>815999</v>
      </c>
      <c r="N4276" s="5">
        <f t="shared" si="416"/>
        <v>815999</v>
      </c>
      <c r="O4276" s="8" t="s">
        <v>20</v>
      </c>
      <c r="T4276">
        <v>0</v>
      </c>
      <c r="AC4276">
        <v>1</v>
      </c>
    </row>
    <row r="4277" spans="1:29" ht="30" customHeight="1" x14ac:dyDescent="0.3">
      <c r="A4277" s="8" t="s">
        <v>3807</v>
      </c>
      <c r="B4277" s="8" t="s">
        <v>3818</v>
      </c>
      <c r="C4277" s="8" t="s">
        <v>2805</v>
      </c>
      <c r="D4277" s="8" t="s">
        <v>2806</v>
      </c>
      <c r="E4277" s="8" t="s">
        <v>179</v>
      </c>
      <c r="F4277" s="9">
        <v>4</v>
      </c>
      <c r="G4277" s="5">
        <f>TRUNC([1]단가대비표!O1646,0)</f>
        <v>828000</v>
      </c>
      <c r="H4277" s="5">
        <f t="shared" si="413"/>
        <v>3312000</v>
      </c>
      <c r="I4277" s="5">
        <v>41359</v>
      </c>
      <c r="J4277" s="5">
        <f t="shared" si="414"/>
        <v>165436</v>
      </c>
      <c r="K4277" s="5">
        <v>0</v>
      </c>
      <c r="L4277" s="5">
        <f t="shared" si="415"/>
        <v>0</v>
      </c>
      <c r="M4277" s="5">
        <f t="shared" si="416"/>
        <v>869359</v>
      </c>
      <c r="N4277" s="5">
        <f t="shared" si="416"/>
        <v>3477436</v>
      </c>
      <c r="O4277" s="8" t="s">
        <v>20</v>
      </c>
      <c r="T4277">
        <v>0</v>
      </c>
      <c r="AC4277">
        <v>1</v>
      </c>
    </row>
    <row r="4278" spans="1:29" ht="30" customHeight="1" x14ac:dyDescent="0.3">
      <c r="A4278" s="8" t="s">
        <v>3807</v>
      </c>
      <c r="B4278" s="8" t="s">
        <v>3819</v>
      </c>
      <c r="C4278" s="8" t="s">
        <v>2815</v>
      </c>
      <c r="D4278" s="8" t="s">
        <v>3820</v>
      </c>
      <c r="E4278" s="8" t="s">
        <v>179</v>
      </c>
      <c r="F4278" s="9">
        <v>1</v>
      </c>
      <c r="G4278" s="5">
        <f>TRUNC([1]단가대비표!O1647,0)</f>
        <v>250000</v>
      </c>
      <c r="H4278" s="5">
        <f t="shared" si="413"/>
        <v>250000</v>
      </c>
      <c r="I4278" s="5">
        <v>357199</v>
      </c>
      <c r="J4278" s="5">
        <f t="shared" si="414"/>
        <v>357199</v>
      </c>
      <c r="K4278" s="5">
        <v>0</v>
      </c>
      <c r="L4278" s="5">
        <f t="shared" si="415"/>
        <v>0</v>
      </c>
      <c r="M4278" s="5">
        <f t="shared" si="416"/>
        <v>607199</v>
      </c>
      <c r="N4278" s="5">
        <f t="shared" si="416"/>
        <v>607199</v>
      </c>
      <c r="O4278" s="8" t="s">
        <v>20</v>
      </c>
      <c r="T4278">
        <v>0</v>
      </c>
      <c r="AC4278">
        <v>1</v>
      </c>
    </row>
    <row r="4279" spans="1:29" ht="30" customHeight="1" x14ac:dyDescent="0.3">
      <c r="A4279" s="8" t="s">
        <v>3807</v>
      </c>
      <c r="B4279" s="8" t="s">
        <v>3821</v>
      </c>
      <c r="C4279" s="8" t="s">
        <v>3822</v>
      </c>
      <c r="D4279" s="8" t="s">
        <v>20</v>
      </c>
      <c r="E4279" s="8" t="s">
        <v>20</v>
      </c>
      <c r="F4279" s="9">
        <v>0</v>
      </c>
      <c r="G4279" s="5">
        <f>TRUNC([1]단가대비표!O1648,0)</f>
        <v>0</v>
      </c>
      <c r="H4279" s="5">
        <f t="shared" si="413"/>
        <v>0</v>
      </c>
      <c r="I4279" s="5">
        <v>0</v>
      </c>
      <c r="J4279" s="5">
        <f t="shared" si="414"/>
        <v>0</v>
      </c>
      <c r="K4279" s="5">
        <v>0</v>
      </c>
      <c r="L4279" s="5">
        <f t="shared" si="415"/>
        <v>0</v>
      </c>
      <c r="M4279" s="5">
        <f t="shared" si="416"/>
        <v>0</v>
      </c>
      <c r="N4279" s="5">
        <f t="shared" si="416"/>
        <v>0</v>
      </c>
      <c r="O4279" s="8" t="s">
        <v>20</v>
      </c>
      <c r="T4279">
        <v>0</v>
      </c>
      <c r="AC4279">
        <v>1</v>
      </c>
    </row>
    <row r="4280" spans="1:29" ht="30" customHeight="1" x14ac:dyDescent="0.3">
      <c r="A4280" s="8" t="s">
        <v>3807</v>
      </c>
      <c r="B4280" s="8" t="s">
        <v>3823</v>
      </c>
      <c r="C4280" s="8" t="s">
        <v>2835</v>
      </c>
      <c r="D4280" s="8" t="s">
        <v>2836</v>
      </c>
      <c r="E4280" s="8" t="s">
        <v>168</v>
      </c>
      <c r="F4280" s="9">
        <v>337</v>
      </c>
      <c r="G4280" s="5">
        <f>TRUNC([1]단가대비표!O1649,0)</f>
        <v>2547</v>
      </c>
      <c r="H4280" s="5">
        <f t="shared" si="413"/>
        <v>858339</v>
      </c>
      <c r="I4280" s="5">
        <v>10881</v>
      </c>
      <c r="J4280" s="5">
        <f t="shared" si="414"/>
        <v>3666897</v>
      </c>
      <c r="K4280" s="5">
        <v>0</v>
      </c>
      <c r="L4280" s="5">
        <f t="shared" si="415"/>
        <v>0</v>
      </c>
      <c r="M4280" s="5">
        <f t="shared" si="416"/>
        <v>13428</v>
      </c>
      <c r="N4280" s="5">
        <f t="shared" si="416"/>
        <v>4525236</v>
      </c>
      <c r="O4280" s="8" t="s">
        <v>20</v>
      </c>
      <c r="T4280">
        <v>0</v>
      </c>
      <c r="AC4280">
        <v>1</v>
      </c>
    </row>
    <row r="4281" spans="1:29" ht="30" customHeight="1" x14ac:dyDescent="0.3">
      <c r="A4281" s="8" t="s">
        <v>3807</v>
      </c>
      <c r="B4281" s="8" t="s">
        <v>3824</v>
      </c>
      <c r="C4281" s="8" t="s">
        <v>2835</v>
      </c>
      <c r="D4281" s="8" t="s">
        <v>2838</v>
      </c>
      <c r="E4281" s="8" t="s">
        <v>168</v>
      </c>
      <c r="F4281" s="9">
        <v>13</v>
      </c>
      <c r="G4281" s="5">
        <f>TRUNC([1]단가대비표!O1650,0)</f>
        <v>3354</v>
      </c>
      <c r="H4281" s="5">
        <f t="shared" si="413"/>
        <v>43602</v>
      </c>
      <c r="I4281" s="5">
        <v>13058</v>
      </c>
      <c r="J4281" s="5">
        <f t="shared" si="414"/>
        <v>169754</v>
      </c>
      <c r="K4281" s="5">
        <v>0</v>
      </c>
      <c r="L4281" s="5">
        <f t="shared" si="415"/>
        <v>0</v>
      </c>
      <c r="M4281" s="5">
        <f t="shared" si="416"/>
        <v>16412</v>
      </c>
      <c r="N4281" s="5">
        <f t="shared" si="416"/>
        <v>213356</v>
      </c>
      <c r="O4281" s="8" t="s">
        <v>20</v>
      </c>
      <c r="T4281">
        <v>0</v>
      </c>
      <c r="AC4281">
        <v>1</v>
      </c>
    </row>
    <row r="4282" spans="1:29" ht="30" customHeight="1" x14ac:dyDescent="0.3">
      <c r="A4282" s="8" t="s">
        <v>3807</v>
      </c>
      <c r="B4282" s="8" t="s">
        <v>3825</v>
      </c>
      <c r="C4282" s="8" t="s">
        <v>2835</v>
      </c>
      <c r="D4282" s="8" t="s">
        <v>2840</v>
      </c>
      <c r="E4282" s="8" t="s">
        <v>168</v>
      </c>
      <c r="F4282" s="9">
        <v>8</v>
      </c>
      <c r="G4282" s="5">
        <f>TRUNC([1]단가대비표!O1651,0)</f>
        <v>4696</v>
      </c>
      <c r="H4282" s="5">
        <f t="shared" si="413"/>
        <v>37568</v>
      </c>
      <c r="I4282" s="5">
        <v>17410</v>
      </c>
      <c r="J4282" s="5">
        <f t="shared" si="414"/>
        <v>139280</v>
      </c>
      <c r="K4282" s="5">
        <v>0</v>
      </c>
      <c r="L4282" s="5">
        <f t="shared" si="415"/>
        <v>0</v>
      </c>
      <c r="M4282" s="5">
        <f t="shared" si="416"/>
        <v>22106</v>
      </c>
      <c r="N4282" s="5">
        <f t="shared" si="416"/>
        <v>176848</v>
      </c>
      <c r="O4282" s="8" t="s">
        <v>20</v>
      </c>
      <c r="T4282">
        <v>0</v>
      </c>
      <c r="AC4282">
        <v>1</v>
      </c>
    </row>
    <row r="4283" spans="1:29" ht="30" customHeight="1" x14ac:dyDescent="0.3">
      <c r="A4283" s="8" t="s">
        <v>3807</v>
      </c>
      <c r="B4283" s="8" t="s">
        <v>3826</v>
      </c>
      <c r="C4283" s="8" t="s">
        <v>2844</v>
      </c>
      <c r="D4283" s="8" t="s">
        <v>2845</v>
      </c>
      <c r="E4283" s="8" t="s">
        <v>168</v>
      </c>
      <c r="F4283" s="9">
        <v>6</v>
      </c>
      <c r="G4283" s="5">
        <f>TRUNC([1]단가대비표!O1652,0)</f>
        <v>2260</v>
      </c>
      <c r="H4283" s="5">
        <f t="shared" si="413"/>
        <v>13560</v>
      </c>
      <c r="I4283" s="5">
        <v>9575</v>
      </c>
      <c r="J4283" s="5">
        <f t="shared" si="414"/>
        <v>57450</v>
      </c>
      <c r="K4283" s="5">
        <v>0</v>
      </c>
      <c r="L4283" s="5">
        <f t="shared" si="415"/>
        <v>0</v>
      </c>
      <c r="M4283" s="5">
        <f t="shared" si="416"/>
        <v>11835</v>
      </c>
      <c r="N4283" s="5">
        <f t="shared" si="416"/>
        <v>71010</v>
      </c>
      <c r="O4283" s="8" t="s">
        <v>20</v>
      </c>
      <c r="T4283">
        <v>0</v>
      </c>
      <c r="AC4283">
        <v>1</v>
      </c>
    </row>
    <row r="4284" spans="1:29" ht="30" customHeight="1" x14ac:dyDescent="0.3">
      <c r="A4284" s="8" t="s">
        <v>3807</v>
      </c>
      <c r="B4284" s="8" t="s">
        <v>3827</v>
      </c>
      <c r="C4284" s="8" t="s">
        <v>2844</v>
      </c>
      <c r="D4284" s="8" t="s">
        <v>2847</v>
      </c>
      <c r="E4284" s="8" t="s">
        <v>168</v>
      </c>
      <c r="F4284" s="9">
        <v>1</v>
      </c>
      <c r="G4284" s="5">
        <f>TRUNC([1]단가대비표!O1653,0)</f>
        <v>2880</v>
      </c>
      <c r="H4284" s="5">
        <f t="shared" si="413"/>
        <v>2880</v>
      </c>
      <c r="I4284" s="5">
        <v>12840</v>
      </c>
      <c r="J4284" s="5">
        <f t="shared" si="414"/>
        <v>12840</v>
      </c>
      <c r="K4284" s="5">
        <v>0</v>
      </c>
      <c r="L4284" s="5">
        <f t="shared" si="415"/>
        <v>0</v>
      </c>
      <c r="M4284" s="5">
        <f t="shared" si="416"/>
        <v>15720</v>
      </c>
      <c r="N4284" s="5">
        <f t="shared" si="416"/>
        <v>15720</v>
      </c>
      <c r="O4284" s="8" t="s">
        <v>20</v>
      </c>
      <c r="T4284">
        <v>0</v>
      </c>
      <c r="AC4284">
        <v>1</v>
      </c>
    </row>
    <row r="4285" spans="1:29" ht="30" customHeight="1" x14ac:dyDescent="0.3">
      <c r="A4285" s="8" t="s">
        <v>3807</v>
      </c>
      <c r="B4285" s="8" t="s">
        <v>3828</v>
      </c>
      <c r="C4285" s="8" t="s">
        <v>2849</v>
      </c>
      <c r="D4285" s="8" t="s">
        <v>2845</v>
      </c>
      <c r="E4285" s="8" t="s">
        <v>179</v>
      </c>
      <c r="F4285" s="9">
        <v>24</v>
      </c>
      <c r="G4285" s="5">
        <f>TRUNC([1]단가대비표!O1654,0)</f>
        <v>2700</v>
      </c>
      <c r="H4285" s="5">
        <f t="shared" si="413"/>
        <v>64800</v>
      </c>
      <c r="I4285" s="5">
        <v>0</v>
      </c>
      <c r="J4285" s="5">
        <f t="shared" si="414"/>
        <v>0</v>
      </c>
      <c r="K4285" s="5">
        <v>0</v>
      </c>
      <c r="L4285" s="5">
        <f t="shared" si="415"/>
        <v>0</v>
      </c>
      <c r="M4285" s="5">
        <f t="shared" si="416"/>
        <v>2700</v>
      </c>
      <c r="N4285" s="5">
        <f t="shared" si="416"/>
        <v>64800</v>
      </c>
      <c r="O4285" s="8" t="s">
        <v>20</v>
      </c>
      <c r="T4285">
        <v>0</v>
      </c>
      <c r="AC4285">
        <v>1</v>
      </c>
    </row>
    <row r="4286" spans="1:29" ht="30" customHeight="1" x14ac:dyDescent="0.3">
      <c r="A4286" s="8" t="s">
        <v>3807</v>
      </c>
      <c r="B4286" s="8" t="s">
        <v>3829</v>
      </c>
      <c r="C4286" s="8" t="s">
        <v>2849</v>
      </c>
      <c r="D4286" s="8" t="s">
        <v>2847</v>
      </c>
      <c r="E4286" s="8" t="s">
        <v>179</v>
      </c>
      <c r="F4286" s="9">
        <v>2</v>
      </c>
      <c r="G4286" s="5">
        <f>TRUNC([1]단가대비표!O1655,0)</f>
        <v>3300</v>
      </c>
      <c r="H4286" s="5">
        <f t="shared" si="413"/>
        <v>6600</v>
      </c>
      <c r="I4286" s="5">
        <v>0</v>
      </c>
      <c r="J4286" s="5">
        <f t="shared" si="414"/>
        <v>0</v>
      </c>
      <c r="K4286" s="5">
        <v>0</v>
      </c>
      <c r="L4286" s="5">
        <f t="shared" si="415"/>
        <v>0</v>
      </c>
      <c r="M4286" s="5">
        <f t="shared" si="416"/>
        <v>3300</v>
      </c>
      <c r="N4286" s="5">
        <f t="shared" si="416"/>
        <v>6600</v>
      </c>
      <c r="O4286" s="8" t="s">
        <v>20</v>
      </c>
      <c r="T4286">
        <v>0</v>
      </c>
      <c r="AC4286">
        <v>1</v>
      </c>
    </row>
    <row r="4287" spans="1:29" ht="30" customHeight="1" x14ac:dyDescent="0.3">
      <c r="A4287" s="8" t="s">
        <v>3807</v>
      </c>
      <c r="B4287" s="8" t="s">
        <v>3830</v>
      </c>
      <c r="C4287" s="8" t="s">
        <v>2852</v>
      </c>
      <c r="D4287" s="8" t="s">
        <v>2853</v>
      </c>
      <c r="E4287" s="8" t="s">
        <v>185</v>
      </c>
      <c r="F4287" s="9">
        <v>84</v>
      </c>
      <c r="G4287" s="5">
        <f>TRUNC([1]단가대비표!O1656,0)</f>
        <v>2916</v>
      </c>
      <c r="H4287" s="5">
        <f t="shared" si="413"/>
        <v>244944</v>
      </c>
      <c r="I4287" s="5">
        <v>6529</v>
      </c>
      <c r="J4287" s="5">
        <f t="shared" si="414"/>
        <v>548436</v>
      </c>
      <c r="K4287" s="5">
        <v>0</v>
      </c>
      <c r="L4287" s="5">
        <f t="shared" si="415"/>
        <v>0</v>
      </c>
      <c r="M4287" s="5">
        <f t="shared" si="416"/>
        <v>9445</v>
      </c>
      <c r="N4287" s="5">
        <f t="shared" si="416"/>
        <v>793380</v>
      </c>
      <c r="O4287" s="8" t="s">
        <v>20</v>
      </c>
      <c r="T4287">
        <v>0</v>
      </c>
      <c r="AC4287">
        <v>1</v>
      </c>
    </row>
    <row r="4288" spans="1:29" ht="30" customHeight="1" x14ac:dyDescent="0.3">
      <c r="A4288" s="8" t="s">
        <v>3807</v>
      </c>
      <c r="B4288" s="8" t="s">
        <v>3831</v>
      </c>
      <c r="C4288" s="8" t="s">
        <v>2852</v>
      </c>
      <c r="D4288" s="8" t="s">
        <v>2855</v>
      </c>
      <c r="E4288" s="8" t="s">
        <v>185</v>
      </c>
      <c r="F4288" s="9">
        <v>3</v>
      </c>
      <c r="G4288" s="5">
        <f>TRUNC([1]단가대비표!O1657,0)</f>
        <v>2934</v>
      </c>
      <c r="H4288" s="5">
        <f t="shared" si="413"/>
        <v>8802</v>
      </c>
      <c r="I4288" s="5">
        <v>6529</v>
      </c>
      <c r="J4288" s="5">
        <f t="shared" si="414"/>
        <v>19587</v>
      </c>
      <c r="K4288" s="5">
        <v>0</v>
      </c>
      <c r="L4288" s="5">
        <f t="shared" si="415"/>
        <v>0</v>
      </c>
      <c r="M4288" s="5">
        <f t="shared" si="416"/>
        <v>9463</v>
      </c>
      <c r="N4288" s="5">
        <f t="shared" si="416"/>
        <v>28389</v>
      </c>
      <c r="O4288" s="8" t="s">
        <v>20</v>
      </c>
      <c r="T4288">
        <v>0</v>
      </c>
      <c r="AC4288">
        <v>1</v>
      </c>
    </row>
    <row r="4289" spans="1:29" ht="30" customHeight="1" x14ac:dyDescent="0.3">
      <c r="A4289" s="8" t="s">
        <v>3807</v>
      </c>
      <c r="B4289" s="8" t="s">
        <v>3832</v>
      </c>
      <c r="C4289" s="8" t="s">
        <v>2852</v>
      </c>
      <c r="D4289" s="8" t="s">
        <v>2857</v>
      </c>
      <c r="E4289" s="8" t="s">
        <v>185</v>
      </c>
      <c r="F4289" s="9">
        <v>2</v>
      </c>
      <c r="G4289" s="5">
        <f>TRUNC([1]단가대비표!O1658,0)</f>
        <v>2971</v>
      </c>
      <c r="H4289" s="5">
        <f t="shared" si="413"/>
        <v>5942</v>
      </c>
      <c r="I4289" s="5">
        <v>6529</v>
      </c>
      <c r="J4289" s="5">
        <f t="shared" si="414"/>
        <v>13058</v>
      </c>
      <c r="K4289" s="5">
        <v>0</v>
      </c>
      <c r="L4289" s="5">
        <f t="shared" si="415"/>
        <v>0</v>
      </c>
      <c r="M4289" s="5">
        <f t="shared" si="416"/>
        <v>9500</v>
      </c>
      <c r="N4289" s="5">
        <f t="shared" si="416"/>
        <v>19000</v>
      </c>
      <c r="O4289" s="8" t="s">
        <v>20</v>
      </c>
      <c r="T4289">
        <v>0</v>
      </c>
      <c r="AC4289">
        <v>1</v>
      </c>
    </row>
    <row r="4290" spans="1:29" ht="30" customHeight="1" x14ac:dyDescent="0.3">
      <c r="A4290" s="8" t="s">
        <v>3807</v>
      </c>
      <c r="B4290" s="8" t="s">
        <v>3833</v>
      </c>
      <c r="C4290" s="8" t="s">
        <v>2861</v>
      </c>
      <c r="D4290" s="8" t="s">
        <v>2840</v>
      </c>
      <c r="E4290" s="8" t="s">
        <v>179</v>
      </c>
      <c r="F4290" s="9">
        <v>1</v>
      </c>
      <c r="G4290" s="5">
        <f>TRUNC([1]단가대비표!O1659,0)</f>
        <v>4200</v>
      </c>
      <c r="H4290" s="5">
        <f t="shared" si="413"/>
        <v>4200</v>
      </c>
      <c r="I4290" s="5">
        <v>10881</v>
      </c>
      <c r="J4290" s="5">
        <f t="shared" si="414"/>
        <v>10881</v>
      </c>
      <c r="K4290" s="5">
        <v>0</v>
      </c>
      <c r="L4290" s="5">
        <f t="shared" si="415"/>
        <v>0</v>
      </c>
      <c r="M4290" s="5">
        <f t="shared" si="416"/>
        <v>15081</v>
      </c>
      <c r="N4290" s="5">
        <f t="shared" si="416"/>
        <v>15081</v>
      </c>
      <c r="O4290" s="8" t="s">
        <v>20</v>
      </c>
      <c r="T4290">
        <v>0</v>
      </c>
      <c r="AC4290">
        <v>1</v>
      </c>
    </row>
    <row r="4291" spans="1:29" ht="30" customHeight="1" x14ac:dyDescent="0.3">
      <c r="A4291" s="8" t="s">
        <v>3807</v>
      </c>
      <c r="B4291" s="8" t="s">
        <v>3834</v>
      </c>
      <c r="C4291" s="8" t="s">
        <v>2864</v>
      </c>
      <c r="D4291" s="8" t="s">
        <v>2865</v>
      </c>
      <c r="E4291" s="8" t="s">
        <v>179</v>
      </c>
      <c r="F4291" s="9">
        <v>13</v>
      </c>
      <c r="G4291" s="5">
        <f>TRUNC([1]단가대비표!O1660,0)</f>
        <v>2475</v>
      </c>
      <c r="H4291" s="5">
        <f t="shared" si="413"/>
        <v>32175</v>
      </c>
      <c r="I4291" s="5">
        <v>8705</v>
      </c>
      <c r="J4291" s="5">
        <f t="shared" si="414"/>
        <v>113165</v>
      </c>
      <c r="K4291" s="5">
        <v>0</v>
      </c>
      <c r="L4291" s="5">
        <f t="shared" si="415"/>
        <v>0</v>
      </c>
      <c r="M4291" s="5">
        <f t="shared" si="416"/>
        <v>11180</v>
      </c>
      <c r="N4291" s="5">
        <f t="shared" si="416"/>
        <v>145340</v>
      </c>
      <c r="O4291" s="8" t="s">
        <v>20</v>
      </c>
      <c r="T4291">
        <v>0</v>
      </c>
      <c r="AC4291">
        <v>1</v>
      </c>
    </row>
    <row r="4292" spans="1:29" ht="30" customHeight="1" x14ac:dyDescent="0.3">
      <c r="A4292" s="8" t="s">
        <v>3807</v>
      </c>
      <c r="B4292" s="8" t="s">
        <v>3835</v>
      </c>
      <c r="C4292" s="8" t="s">
        <v>2870</v>
      </c>
      <c r="D4292" s="8" t="s">
        <v>2871</v>
      </c>
      <c r="E4292" s="8" t="s">
        <v>179</v>
      </c>
      <c r="F4292" s="9">
        <v>14</v>
      </c>
      <c r="G4292" s="5">
        <f>TRUNC([1]단가대비표!O1661,0)</f>
        <v>3245</v>
      </c>
      <c r="H4292" s="5">
        <f t="shared" si="413"/>
        <v>45430</v>
      </c>
      <c r="I4292" s="5">
        <v>47879</v>
      </c>
      <c r="J4292" s="5">
        <f t="shared" si="414"/>
        <v>670306</v>
      </c>
      <c r="K4292" s="5">
        <v>0</v>
      </c>
      <c r="L4292" s="5">
        <f t="shared" si="415"/>
        <v>0</v>
      </c>
      <c r="M4292" s="5">
        <f t="shared" si="416"/>
        <v>51124</v>
      </c>
      <c r="N4292" s="5">
        <f t="shared" si="416"/>
        <v>715736</v>
      </c>
      <c r="O4292" s="8" t="s">
        <v>20</v>
      </c>
      <c r="T4292">
        <v>0</v>
      </c>
      <c r="AC4292">
        <v>1</v>
      </c>
    </row>
    <row r="4293" spans="1:29" ht="30" customHeight="1" x14ac:dyDescent="0.3">
      <c r="A4293" s="8" t="s">
        <v>3807</v>
      </c>
      <c r="B4293" s="8" t="s">
        <v>3836</v>
      </c>
      <c r="C4293" s="8" t="s">
        <v>2877</v>
      </c>
      <c r="D4293" s="8" t="s">
        <v>2878</v>
      </c>
      <c r="E4293" s="8" t="s">
        <v>168</v>
      </c>
      <c r="F4293" s="9">
        <v>14</v>
      </c>
      <c r="G4293" s="5">
        <f>TRUNC([1]단가대비표!O1662,0)</f>
        <v>2892</v>
      </c>
      <c r="H4293" s="5">
        <f t="shared" si="413"/>
        <v>40488</v>
      </c>
      <c r="I4293" s="5">
        <v>0</v>
      </c>
      <c r="J4293" s="5">
        <f t="shared" si="414"/>
        <v>0</v>
      </c>
      <c r="K4293" s="5">
        <v>0</v>
      </c>
      <c r="L4293" s="5">
        <f t="shared" si="415"/>
        <v>0</v>
      </c>
      <c r="M4293" s="5">
        <f t="shared" si="416"/>
        <v>2892</v>
      </c>
      <c r="N4293" s="5">
        <f t="shared" si="416"/>
        <v>40488</v>
      </c>
      <c r="O4293" s="8" t="s">
        <v>20</v>
      </c>
      <c r="T4293">
        <v>0</v>
      </c>
      <c r="AC4293">
        <v>1</v>
      </c>
    </row>
    <row r="4294" spans="1:29" ht="30" customHeight="1" x14ac:dyDescent="0.3">
      <c r="A4294" s="8" t="s">
        <v>3807</v>
      </c>
      <c r="B4294" s="8" t="s">
        <v>3837</v>
      </c>
      <c r="C4294" s="8" t="s">
        <v>2883</v>
      </c>
      <c r="D4294" s="8" t="s">
        <v>2884</v>
      </c>
      <c r="E4294" s="8" t="s">
        <v>168</v>
      </c>
      <c r="F4294" s="9">
        <v>82</v>
      </c>
      <c r="G4294" s="5">
        <f>TRUNC([1]단가대비표!O1663,0)</f>
        <v>346</v>
      </c>
      <c r="H4294" s="5">
        <f t="shared" si="413"/>
        <v>28372</v>
      </c>
      <c r="I4294" s="5">
        <v>2668</v>
      </c>
      <c r="J4294" s="5">
        <f t="shared" si="414"/>
        <v>218776</v>
      </c>
      <c r="K4294" s="5">
        <v>0</v>
      </c>
      <c r="L4294" s="5">
        <f t="shared" si="415"/>
        <v>0</v>
      </c>
      <c r="M4294" s="5">
        <f t="shared" si="416"/>
        <v>3014</v>
      </c>
      <c r="N4294" s="5">
        <f t="shared" si="416"/>
        <v>247148</v>
      </c>
      <c r="O4294" s="8" t="s">
        <v>20</v>
      </c>
      <c r="T4294">
        <v>0</v>
      </c>
      <c r="AC4294">
        <v>1</v>
      </c>
    </row>
    <row r="4295" spans="1:29" ht="30" customHeight="1" x14ac:dyDescent="0.3">
      <c r="A4295" s="8" t="s">
        <v>3807</v>
      </c>
      <c r="B4295" s="8" t="s">
        <v>3838</v>
      </c>
      <c r="C4295" s="8" t="s">
        <v>2883</v>
      </c>
      <c r="D4295" s="8" t="s">
        <v>2886</v>
      </c>
      <c r="E4295" s="8" t="s">
        <v>168</v>
      </c>
      <c r="F4295" s="9">
        <v>42</v>
      </c>
      <c r="G4295" s="5">
        <f>TRUNC([1]단가대비표!O1664,0)</f>
        <v>518</v>
      </c>
      <c r="H4295" s="5">
        <f t="shared" si="413"/>
        <v>21756</v>
      </c>
      <c r="I4295" s="5">
        <v>3621</v>
      </c>
      <c r="J4295" s="5">
        <f t="shared" si="414"/>
        <v>152082</v>
      </c>
      <c r="K4295" s="5">
        <v>0</v>
      </c>
      <c r="L4295" s="5">
        <f t="shared" si="415"/>
        <v>0</v>
      </c>
      <c r="M4295" s="5">
        <f t="shared" si="416"/>
        <v>4139</v>
      </c>
      <c r="N4295" s="5">
        <f t="shared" si="416"/>
        <v>173838</v>
      </c>
      <c r="O4295" s="8" t="s">
        <v>20</v>
      </c>
      <c r="T4295">
        <v>0</v>
      </c>
      <c r="AC4295">
        <v>1</v>
      </c>
    </row>
    <row r="4296" spans="1:29" ht="30" customHeight="1" x14ac:dyDescent="0.3">
      <c r="A4296" s="8" t="s">
        <v>3807</v>
      </c>
      <c r="B4296" s="8" t="s">
        <v>3839</v>
      </c>
      <c r="C4296" s="8" t="s">
        <v>2897</v>
      </c>
      <c r="D4296" s="8" t="s">
        <v>2898</v>
      </c>
      <c r="E4296" s="8" t="s">
        <v>168</v>
      </c>
      <c r="F4296" s="9">
        <v>299</v>
      </c>
      <c r="G4296" s="5">
        <f>TRUNC([1]단가대비표!O1665,0)</f>
        <v>2700</v>
      </c>
      <c r="H4296" s="5">
        <f t="shared" si="413"/>
        <v>807300</v>
      </c>
      <c r="I4296" s="5">
        <v>4801</v>
      </c>
      <c r="J4296" s="5">
        <f t="shared" si="414"/>
        <v>1435499</v>
      </c>
      <c r="K4296" s="5">
        <v>0</v>
      </c>
      <c r="L4296" s="5">
        <f t="shared" si="415"/>
        <v>0</v>
      </c>
      <c r="M4296" s="5">
        <f t="shared" si="416"/>
        <v>7501</v>
      </c>
      <c r="N4296" s="5">
        <f t="shared" si="416"/>
        <v>2242799</v>
      </c>
      <c r="O4296" s="8" t="s">
        <v>20</v>
      </c>
      <c r="T4296">
        <v>0</v>
      </c>
      <c r="AC4296">
        <v>1</v>
      </c>
    </row>
    <row r="4297" spans="1:29" ht="30" customHeight="1" x14ac:dyDescent="0.3">
      <c r="A4297" s="8" t="s">
        <v>3807</v>
      </c>
      <c r="B4297" s="8" t="s">
        <v>3840</v>
      </c>
      <c r="C4297" s="8" t="s">
        <v>2900</v>
      </c>
      <c r="D4297" s="8" t="s">
        <v>2901</v>
      </c>
      <c r="E4297" s="8" t="s">
        <v>161</v>
      </c>
      <c r="F4297" s="9">
        <v>1</v>
      </c>
      <c r="G4297" s="5">
        <f>TRUNC([1]단가대비표!O1666,0)</f>
        <v>187901</v>
      </c>
      <c r="H4297" s="5">
        <f t="shared" si="413"/>
        <v>187901</v>
      </c>
      <c r="I4297" s="5">
        <v>0</v>
      </c>
      <c r="J4297" s="5">
        <f t="shared" si="414"/>
        <v>0</v>
      </c>
      <c r="K4297" s="5">
        <v>0</v>
      </c>
      <c r="L4297" s="5">
        <f t="shared" si="415"/>
        <v>0</v>
      </c>
      <c r="M4297" s="5">
        <f t="shared" si="416"/>
        <v>187901</v>
      </c>
      <c r="N4297" s="5">
        <f t="shared" si="416"/>
        <v>187901</v>
      </c>
      <c r="O4297" s="8" t="s">
        <v>20</v>
      </c>
      <c r="T4297">
        <v>0</v>
      </c>
      <c r="AC4297">
        <v>1</v>
      </c>
    </row>
    <row r="4298" spans="1:29" ht="30" customHeight="1" x14ac:dyDescent="0.3">
      <c r="A4298" s="8" t="s">
        <v>3807</v>
      </c>
      <c r="B4298" s="8" t="s">
        <v>3841</v>
      </c>
      <c r="C4298" s="8" t="s">
        <v>2903</v>
      </c>
      <c r="D4298" s="8" t="s">
        <v>2904</v>
      </c>
      <c r="E4298" s="8" t="s">
        <v>161</v>
      </c>
      <c r="F4298" s="9">
        <v>1</v>
      </c>
      <c r="G4298" s="5">
        <f>TRUNC([1]단가대비표!O1667,0)</f>
        <v>113337</v>
      </c>
      <c r="H4298" s="5">
        <f t="shared" si="413"/>
        <v>113337</v>
      </c>
      <c r="I4298" s="5">
        <v>0</v>
      </c>
      <c r="J4298" s="5">
        <f t="shared" si="414"/>
        <v>0</v>
      </c>
      <c r="K4298" s="5">
        <v>0</v>
      </c>
      <c r="L4298" s="5">
        <f t="shared" si="415"/>
        <v>0</v>
      </c>
      <c r="M4298" s="5">
        <f t="shared" si="416"/>
        <v>113337</v>
      </c>
      <c r="N4298" s="5">
        <f t="shared" si="416"/>
        <v>113337</v>
      </c>
      <c r="O4298" s="8" t="s">
        <v>20</v>
      </c>
      <c r="T4298">
        <v>0</v>
      </c>
      <c r="AC4298">
        <v>1</v>
      </c>
    </row>
    <row r="4299" spans="1:29" ht="30" customHeight="1" x14ac:dyDescent="0.3">
      <c r="A4299" s="8" t="s">
        <v>3807</v>
      </c>
      <c r="B4299" s="8" t="s">
        <v>3842</v>
      </c>
      <c r="C4299" s="8" t="s">
        <v>159</v>
      </c>
      <c r="D4299" s="8" t="s">
        <v>160</v>
      </c>
      <c r="E4299" s="8" t="s">
        <v>161</v>
      </c>
      <c r="F4299" s="9">
        <v>1</v>
      </c>
      <c r="G4299" s="5">
        <f>TRUNC([1]단가대비표!O1668,0)</f>
        <v>200595</v>
      </c>
      <c r="H4299" s="5">
        <f t="shared" si="413"/>
        <v>200595</v>
      </c>
      <c r="I4299" s="5">
        <v>0</v>
      </c>
      <c r="J4299" s="5">
        <f t="shared" si="414"/>
        <v>0</v>
      </c>
      <c r="K4299" s="5">
        <v>0</v>
      </c>
      <c r="L4299" s="5">
        <f t="shared" si="415"/>
        <v>0</v>
      </c>
      <c r="M4299" s="5">
        <f t="shared" si="416"/>
        <v>200595</v>
      </c>
      <c r="N4299" s="5">
        <f t="shared" si="416"/>
        <v>200595</v>
      </c>
      <c r="O4299" s="8" t="s">
        <v>20</v>
      </c>
      <c r="T4299">
        <v>0</v>
      </c>
      <c r="AC4299">
        <v>1</v>
      </c>
    </row>
    <row r="4300" spans="1:29" ht="30" customHeight="1" x14ac:dyDescent="0.3">
      <c r="A4300" s="8" t="s">
        <v>3807</v>
      </c>
      <c r="B4300" s="8" t="s">
        <v>3843</v>
      </c>
      <c r="C4300" s="8" t="s">
        <v>3844</v>
      </c>
      <c r="D4300" s="8" t="s">
        <v>20</v>
      </c>
      <c r="E4300" s="8" t="s">
        <v>20</v>
      </c>
      <c r="F4300" s="9">
        <v>0</v>
      </c>
      <c r="G4300" s="5">
        <f>TRUNC([1]단가대비표!O1669,0)</f>
        <v>0</v>
      </c>
      <c r="H4300" s="5">
        <f t="shared" si="413"/>
        <v>0</v>
      </c>
      <c r="I4300" s="5">
        <v>0</v>
      </c>
      <c r="J4300" s="5">
        <f t="shared" si="414"/>
        <v>0</v>
      </c>
      <c r="K4300" s="5">
        <v>0</v>
      </c>
      <c r="L4300" s="5">
        <f t="shared" si="415"/>
        <v>0</v>
      </c>
      <c r="M4300" s="5">
        <f t="shared" si="416"/>
        <v>0</v>
      </c>
      <c r="N4300" s="5">
        <f t="shared" si="416"/>
        <v>0</v>
      </c>
      <c r="O4300" s="8" t="s">
        <v>20</v>
      </c>
      <c r="T4300">
        <v>0</v>
      </c>
      <c r="AC4300">
        <v>1</v>
      </c>
    </row>
    <row r="4301" spans="1:29" ht="30" customHeight="1" x14ac:dyDescent="0.3">
      <c r="A4301" s="8" t="s">
        <v>3807</v>
      </c>
      <c r="B4301" s="8" t="s">
        <v>3845</v>
      </c>
      <c r="C4301" s="8" t="s">
        <v>2727</v>
      </c>
      <c r="D4301" s="8" t="s">
        <v>2728</v>
      </c>
      <c r="E4301" s="8" t="s">
        <v>2729</v>
      </c>
      <c r="F4301" s="9">
        <v>139</v>
      </c>
      <c r="G4301" s="5">
        <v>0</v>
      </c>
      <c r="H4301" s="5">
        <f t="shared" si="413"/>
        <v>0</v>
      </c>
      <c r="I4301" s="5">
        <f>TRUNC([1]단가대비표!O1670,0)</f>
        <v>17614</v>
      </c>
      <c r="J4301" s="5">
        <f t="shared" si="414"/>
        <v>2448346</v>
      </c>
      <c r="K4301" s="5">
        <v>0</v>
      </c>
      <c r="L4301" s="5">
        <f t="shared" si="415"/>
        <v>0</v>
      </c>
      <c r="M4301" s="5">
        <f t="shared" si="416"/>
        <v>17614</v>
      </c>
      <c r="N4301" s="5">
        <f t="shared" si="416"/>
        <v>2448346</v>
      </c>
      <c r="O4301" s="8" t="s">
        <v>20</v>
      </c>
      <c r="T4301">
        <v>0</v>
      </c>
      <c r="AC4301">
        <v>1</v>
      </c>
    </row>
    <row r="4302" spans="1:29" ht="30" customHeight="1" x14ac:dyDescent="0.3">
      <c r="A4302" s="8" t="s">
        <v>3807</v>
      </c>
      <c r="B4302" s="8" t="s">
        <v>3846</v>
      </c>
      <c r="C4302" s="8" t="s">
        <v>2727</v>
      </c>
      <c r="D4302" s="8" t="s">
        <v>2910</v>
      </c>
      <c r="E4302" s="8" t="s">
        <v>2911</v>
      </c>
      <c r="F4302" s="9">
        <v>1</v>
      </c>
      <c r="G4302" s="5">
        <v>0</v>
      </c>
      <c r="H4302" s="5">
        <f t="shared" si="413"/>
        <v>0</v>
      </c>
      <c r="I4302" s="5">
        <f>TRUNC([1]단가대비표!O1671,0)</f>
        <v>134983</v>
      </c>
      <c r="J4302" s="5">
        <f t="shared" si="414"/>
        <v>134983</v>
      </c>
      <c r="K4302" s="5">
        <v>0</v>
      </c>
      <c r="L4302" s="5">
        <f t="shared" si="415"/>
        <v>0</v>
      </c>
      <c r="M4302" s="5">
        <f t="shared" si="416"/>
        <v>134983</v>
      </c>
      <c r="N4302" s="5">
        <f t="shared" si="416"/>
        <v>134983</v>
      </c>
      <c r="O4302" s="8" t="s">
        <v>20</v>
      </c>
      <c r="T4302">
        <v>0</v>
      </c>
      <c r="AC4302">
        <v>1</v>
      </c>
    </row>
    <row r="4303" spans="1:29" ht="30" customHeight="1" x14ac:dyDescent="0.3">
      <c r="A4303" s="8" t="s">
        <v>3807</v>
      </c>
      <c r="B4303" s="8" t="s">
        <v>3847</v>
      </c>
      <c r="C4303" s="8" t="s">
        <v>2727</v>
      </c>
      <c r="D4303" s="8" t="s">
        <v>2731</v>
      </c>
      <c r="E4303" s="8" t="s">
        <v>2729</v>
      </c>
      <c r="F4303" s="9">
        <v>139</v>
      </c>
      <c r="G4303" s="5">
        <v>0</v>
      </c>
      <c r="H4303" s="5">
        <f t="shared" si="413"/>
        <v>0</v>
      </c>
      <c r="I4303" s="5">
        <f>TRUNC([1]단가대비표!O1672,0)</f>
        <v>4568</v>
      </c>
      <c r="J4303" s="5">
        <f t="shared" si="414"/>
        <v>634952</v>
      </c>
      <c r="K4303" s="5">
        <v>0</v>
      </c>
      <c r="L4303" s="5">
        <f t="shared" si="415"/>
        <v>0</v>
      </c>
      <c r="M4303" s="5">
        <f t="shared" si="416"/>
        <v>4568</v>
      </c>
      <c r="N4303" s="5">
        <f t="shared" si="416"/>
        <v>634952</v>
      </c>
      <c r="O4303" s="8" t="s">
        <v>20</v>
      </c>
      <c r="T4303">
        <v>0</v>
      </c>
      <c r="AC4303">
        <v>1</v>
      </c>
    </row>
    <row r="4304" spans="1:29" ht="30" customHeight="1" x14ac:dyDescent="0.3">
      <c r="A4304" s="8" t="s">
        <v>3807</v>
      </c>
      <c r="B4304" s="8" t="s">
        <v>3848</v>
      </c>
      <c r="C4304" s="8" t="s">
        <v>2914</v>
      </c>
      <c r="D4304" s="8" t="s">
        <v>2915</v>
      </c>
      <c r="E4304" s="8" t="s">
        <v>2729</v>
      </c>
      <c r="F4304" s="9">
        <v>12</v>
      </c>
      <c r="G4304" s="5">
        <v>0</v>
      </c>
      <c r="H4304" s="5">
        <f t="shared" si="413"/>
        <v>0</v>
      </c>
      <c r="I4304" s="5">
        <f>TRUNC([1]단가대비표!O1673,0)</f>
        <v>9491</v>
      </c>
      <c r="J4304" s="5">
        <f t="shared" si="414"/>
        <v>113892</v>
      </c>
      <c r="K4304" s="5">
        <v>0</v>
      </c>
      <c r="L4304" s="5">
        <f t="shared" si="415"/>
        <v>0</v>
      </c>
      <c r="M4304" s="5">
        <f t="shared" si="416"/>
        <v>9491</v>
      </c>
      <c r="N4304" s="5">
        <f t="shared" si="416"/>
        <v>113892</v>
      </c>
      <c r="O4304" s="8" t="s">
        <v>20</v>
      </c>
      <c r="T4304">
        <v>0</v>
      </c>
      <c r="AC4304">
        <v>1</v>
      </c>
    </row>
    <row r="4305" spans="1:29" ht="30" customHeight="1" x14ac:dyDescent="0.3">
      <c r="A4305" s="8" t="s">
        <v>3807</v>
      </c>
      <c r="B4305" s="8" t="s">
        <v>3849</v>
      </c>
      <c r="C4305" s="8" t="s">
        <v>2914</v>
      </c>
      <c r="D4305" s="8" t="s">
        <v>2917</v>
      </c>
      <c r="E4305" s="8" t="s">
        <v>2729</v>
      </c>
      <c r="F4305" s="9">
        <v>12</v>
      </c>
      <c r="G4305" s="5">
        <v>0</v>
      </c>
      <c r="H4305" s="5">
        <f t="shared" si="413"/>
        <v>0</v>
      </c>
      <c r="I4305" s="5">
        <f>TRUNC([1]단가대비표!O1674,0)</f>
        <v>24211</v>
      </c>
      <c r="J4305" s="5">
        <f t="shared" si="414"/>
        <v>290532</v>
      </c>
      <c r="K4305" s="5">
        <v>0</v>
      </c>
      <c r="L4305" s="5">
        <f t="shared" si="415"/>
        <v>0</v>
      </c>
      <c r="M4305" s="5">
        <f t="shared" si="416"/>
        <v>24211</v>
      </c>
      <c r="N4305" s="5">
        <f t="shared" si="416"/>
        <v>290532</v>
      </c>
      <c r="O4305" s="8" t="s">
        <v>20</v>
      </c>
      <c r="T4305">
        <v>0</v>
      </c>
      <c r="AC4305">
        <v>1</v>
      </c>
    </row>
    <row r="4306" spans="1:29" ht="30" customHeight="1" x14ac:dyDescent="0.3">
      <c r="A4306" s="8" t="s">
        <v>3807</v>
      </c>
      <c r="B4306" s="8" t="s">
        <v>3850</v>
      </c>
      <c r="C4306" s="8" t="s">
        <v>2919</v>
      </c>
      <c r="D4306" s="8" t="s">
        <v>2920</v>
      </c>
      <c r="E4306" s="8" t="s">
        <v>161</v>
      </c>
      <c r="F4306" s="9">
        <v>1</v>
      </c>
      <c r="G4306" s="5">
        <v>0</v>
      </c>
      <c r="H4306" s="5">
        <f t="shared" si="413"/>
        <v>0</v>
      </c>
      <c r="I4306" s="5">
        <v>0</v>
      </c>
      <c r="J4306" s="5">
        <f t="shared" si="414"/>
        <v>0</v>
      </c>
      <c r="K4306" s="5">
        <f>TRUNC([1]단가대비표!O1675,0)</f>
        <v>505140</v>
      </c>
      <c r="L4306" s="5">
        <f t="shared" si="415"/>
        <v>505140</v>
      </c>
      <c r="M4306" s="5">
        <f t="shared" si="416"/>
        <v>505140</v>
      </c>
      <c r="N4306" s="5">
        <f t="shared" si="416"/>
        <v>505140</v>
      </c>
      <c r="O4306" s="8" t="s">
        <v>20</v>
      </c>
      <c r="T4306">
        <v>0</v>
      </c>
      <c r="AC4306">
        <v>1</v>
      </c>
    </row>
    <row r="4307" spans="1:29" ht="30" customHeight="1" x14ac:dyDescent="0.3">
      <c r="A4307" s="8" t="s">
        <v>3807</v>
      </c>
      <c r="B4307" s="8" t="s">
        <v>3851</v>
      </c>
      <c r="C4307" s="8" t="s">
        <v>2922</v>
      </c>
      <c r="D4307" s="8" t="s">
        <v>2923</v>
      </c>
      <c r="E4307" s="8" t="s">
        <v>161</v>
      </c>
      <c r="F4307" s="9">
        <v>1</v>
      </c>
      <c r="G4307" s="5">
        <v>0</v>
      </c>
      <c r="H4307" s="5">
        <f t="shared" si="413"/>
        <v>0</v>
      </c>
      <c r="I4307" s="5">
        <v>0</v>
      </c>
      <c r="J4307" s="5">
        <f t="shared" si="414"/>
        <v>0</v>
      </c>
      <c r="K4307" s="5">
        <f>TRUNC([1]단가대비표!O1676,0)</f>
        <v>137889</v>
      </c>
      <c r="L4307" s="5">
        <f t="shared" si="415"/>
        <v>137889</v>
      </c>
      <c r="M4307" s="5">
        <f t="shared" si="416"/>
        <v>137889</v>
      </c>
      <c r="N4307" s="5">
        <f t="shared" si="416"/>
        <v>137889</v>
      </c>
      <c r="O4307" s="8" t="s">
        <v>20</v>
      </c>
      <c r="T4307">
        <v>0</v>
      </c>
      <c r="AC4307">
        <v>1</v>
      </c>
    </row>
    <row r="4308" spans="1:29" ht="30" customHeight="1" x14ac:dyDescent="0.3">
      <c r="A4308" s="8" t="s">
        <v>3807</v>
      </c>
      <c r="B4308" s="8" t="s">
        <v>3852</v>
      </c>
      <c r="C4308" s="8" t="s">
        <v>2925</v>
      </c>
      <c r="D4308" s="8" t="s">
        <v>2926</v>
      </c>
      <c r="E4308" s="8" t="s">
        <v>161</v>
      </c>
      <c r="F4308" s="9">
        <v>1</v>
      </c>
      <c r="G4308" s="5">
        <v>0</v>
      </c>
      <c r="H4308" s="5">
        <f t="shared" si="413"/>
        <v>0</v>
      </c>
      <c r="I4308" s="5">
        <v>0</v>
      </c>
      <c r="J4308" s="5">
        <f t="shared" si="414"/>
        <v>0</v>
      </c>
      <c r="K4308" s="5">
        <f>TRUNC([1]단가대비표!O1677,0)</f>
        <v>914360</v>
      </c>
      <c r="L4308" s="5">
        <f t="shared" si="415"/>
        <v>914360</v>
      </c>
      <c r="M4308" s="5">
        <f t="shared" si="416"/>
        <v>914360</v>
      </c>
      <c r="N4308" s="5">
        <f t="shared" si="416"/>
        <v>914360</v>
      </c>
      <c r="O4308" s="8" t="s">
        <v>20</v>
      </c>
      <c r="T4308">
        <v>0</v>
      </c>
      <c r="AC4308">
        <v>1</v>
      </c>
    </row>
    <row r="4309" spans="1:29" ht="30" customHeight="1" x14ac:dyDescent="0.3">
      <c r="A4309" s="8" t="s">
        <v>3807</v>
      </c>
      <c r="B4309" s="8" t="s">
        <v>3853</v>
      </c>
      <c r="C4309" s="8" t="s">
        <v>2928</v>
      </c>
      <c r="D4309" s="8" t="s">
        <v>2929</v>
      </c>
      <c r="E4309" s="8" t="s">
        <v>161</v>
      </c>
      <c r="F4309" s="9">
        <v>1</v>
      </c>
      <c r="G4309" s="5">
        <v>0</v>
      </c>
      <c r="H4309" s="5">
        <f t="shared" si="413"/>
        <v>0</v>
      </c>
      <c r="I4309" s="5">
        <v>0</v>
      </c>
      <c r="J4309" s="5">
        <f t="shared" si="414"/>
        <v>0</v>
      </c>
      <c r="K4309" s="5">
        <f>TRUNC([1]단가대비표!O1678,0)</f>
        <v>477153</v>
      </c>
      <c r="L4309" s="5">
        <f t="shared" si="415"/>
        <v>477153</v>
      </c>
      <c r="M4309" s="5">
        <f t="shared" si="416"/>
        <v>477153</v>
      </c>
      <c r="N4309" s="5">
        <f t="shared" si="416"/>
        <v>477153</v>
      </c>
      <c r="O4309" s="8" t="s">
        <v>20</v>
      </c>
      <c r="T4309">
        <v>0</v>
      </c>
      <c r="AC4309">
        <v>1</v>
      </c>
    </row>
    <row r="4310" spans="1:29" ht="30" customHeight="1" x14ac:dyDescent="0.3">
      <c r="A4310" s="8" t="s">
        <v>3807</v>
      </c>
      <c r="B4310" s="8" t="s">
        <v>3854</v>
      </c>
      <c r="C4310" s="8" t="s">
        <v>2931</v>
      </c>
      <c r="D4310" s="8" t="s">
        <v>2932</v>
      </c>
      <c r="E4310" s="8" t="s">
        <v>161</v>
      </c>
      <c r="F4310" s="9">
        <v>1</v>
      </c>
      <c r="G4310" s="5">
        <v>0</v>
      </c>
      <c r="H4310" s="5">
        <f t="shared" si="413"/>
        <v>0</v>
      </c>
      <c r="I4310" s="5">
        <v>0</v>
      </c>
      <c r="J4310" s="5">
        <f t="shared" si="414"/>
        <v>0</v>
      </c>
      <c r="K4310" s="5">
        <f>TRUNC([1]단가대비표!O1679,0)</f>
        <v>58546</v>
      </c>
      <c r="L4310" s="5">
        <f t="shared" si="415"/>
        <v>58546</v>
      </c>
      <c r="M4310" s="5">
        <f t="shared" si="416"/>
        <v>58546</v>
      </c>
      <c r="N4310" s="5">
        <f t="shared" si="416"/>
        <v>58546</v>
      </c>
      <c r="O4310" s="8" t="s">
        <v>20</v>
      </c>
      <c r="T4310">
        <v>0</v>
      </c>
      <c r="AC4310">
        <v>1</v>
      </c>
    </row>
    <row r="4311" spans="1:29" ht="30" customHeight="1" x14ac:dyDescent="0.3">
      <c r="A4311" s="8" t="s">
        <v>3807</v>
      </c>
      <c r="B4311" s="8" t="s">
        <v>3855</v>
      </c>
      <c r="C4311" s="8" t="s">
        <v>2934</v>
      </c>
      <c r="D4311" s="8" t="s">
        <v>2935</v>
      </c>
      <c r="E4311" s="8" t="s">
        <v>161</v>
      </c>
      <c r="F4311" s="9">
        <v>1</v>
      </c>
      <c r="G4311" s="5">
        <v>0</v>
      </c>
      <c r="H4311" s="5">
        <f t="shared" si="413"/>
        <v>0</v>
      </c>
      <c r="I4311" s="5">
        <v>0</v>
      </c>
      <c r="J4311" s="5">
        <f t="shared" si="414"/>
        <v>0</v>
      </c>
      <c r="K4311" s="5">
        <f>TRUNC([1]단가대비표!O1680,0)</f>
        <v>547563</v>
      </c>
      <c r="L4311" s="5">
        <f t="shared" si="415"/>
        <v>547563</v>
      </c>
      <c r="M4311" s="5">
        <f t="shared" si="416"/>
        <v>547563</v>
      </c>
      <c r="N4311" s="5">
        <f t="shared" si="416"/>
        <v>547563</v>
      </c>
      <c r="O4311" s="8" t="s">
        <v>20</v>
      </c>
      <c r="T4311">
        <v>0</v>
      </c>
      <c r="AC4311">
        <v>1</v>
      </c>
    </row>
    <row r="4312" spans="1:29" ht="30" customHeight="1" x14ac:dyDescent="0.3">
      <c r="A4312" s="8" t="s">
        <v>3807</v>
      </c>
      <c r="B4312" s="8" t="s">
        <v>3856</v>
      </c>
      <c r="C4312" s="8" t="s">
        <v>2937</v>
      </c>
      <c r="D4312" s="8" t="s">
        <v>20</v>
      </c>
      <c r="E4312" s="8" t="s">
        <v>161</v>
      </c>
      <c r="F4312" s="9">
        <v>1</v>
      </c>
      <c r="G4312" s="5">
        <f>TRUNC([1]단가대비표!O1681,0)</f>
        <v>3193870</v>
      </c>
      <c r="H4312" s="5">
        <f t="shared" si="413"/>
        <v>3193870</v>
      </c>
      <c r="I4312" s="5">
        <v>0</v>
      </c>
      <c r="J4312" s="5">
        <f t="shared" si="414"/>
        <v>0</v>
      </c>
      <c r="K4312" s="5">
        <v>0</v>
      </c>
      <c r="L4312" s="5">
        <f t="shared" si="415"/>
        <v>0</v>
      </c>
      <c r="M4312" s="5">
        <f t="shared" si="416"/>
        <v>3193870</v>
      </c>
      <c r="N4312" s="5">
        <f t="shared" si="416"/>
        <v>3193870</v>
      </c>
      <c r="O4312" s="8" t="s">
        <v>20</v>
      </c>
      <c r="T4312">
        <v>0</v>
      </c>
      <c r="AC4312">
        <v>1</v>
      </c>
    </row>
    <row r="4313" spans="1:29" ht="30" customHeight="1" x14ac:dyDescent="0.3">
      <c r="A4313" s="8" t="s">
        <v>3807</v>
      </c>
      <c r="B4313" s="8" t="s">
        <v>3857</v>
      </c>
      <c r="C4313" s="8" t="s">
        <v>2467</v>
      </c>
      <c r="D4313" s="8" t="s">
        <v>3858</v>
      </c>
      <c r="E4313" s="8" t="s">
        <v>161</v>
      </c>
      <c r="F4313" s="9">
        <v>1</v>
      </c>
      <c r="G4313" s="5">
        <f>TRUNC([1]단가대비표!O1682,0)</f>
        <v>530000</v>
      </c>
      <c r="H4313" s="5">
        <f t="shared" si="413"/>
        <v>530000</v>
      </c>
      <c r="I4313" s="5">
        <v>0</v>
      </c>
      <c r="J4313" s="5">
        <f t="shared" si="414"/>
        <v>0</v>
      </c>
      <c r="K4313" s="5">
        <v>0</v>
      </c>
      <c r="L4313" s="5">
        <f t="shared" si="415"/>
        <v>0</v>
      </c>
      <c r="M4313" s="5">
        <f t="shared" si="416"/>
        <v>530000</v>
      </c>
      <c r="N4313" s="5">
        <f t="shared" si="416"/>
        <v>530000</v>
      </c>
      <c r="O4313" s="8" t="s">
        <v>20</v>
      </c>
      <c r="T4313">
        <v>0</v>
      </c>
      <c r="AC4313">
        <v>1</v>
      </c>
    </row>
    <row r="4314" spans="1:29" ht="30" customHeight="1" x14ac:dyDescent="0.3">
      <c r="A4314" s="5"/>
      <c r="B4314" s="5"/>
      <c r="C4314" s="5"/>
      <c r="D4314" s="5"/>
      <c r="E4314" s="5"/>
      <c r="F4314" s="9"/>
      <c r="G4314" s="5"/>
      <c r="H4314" s="5"/>
      <c r="I4314" s="5"/>
      <c r="J4314" s="5"/>
      <c r="K4314" s="5"/>
      <c r="L4314" s="5"/>
      <c r="M4314" s="5"/>
      <c r="N4314" s="5"/>
      <c r="O4314" s="5"/>
    </row>
    <row r="4315" spans="1:29" ht="30" customHeight="1" x14ac:dyDescent="0.3">
      <c r="A4315" s="5"/>
      <c r="B4315" s="5"/>
      <c r="C4315" s="5"/>
      <c r="D4315" s="5"/>
      <c r="E4315" s="5"/>
      <c r="F4315" s="9"/>
      <c r="G4315" s="5"/>
      <c r="H4315" s="5"/>
      <c r="I4315" s="5"/>
      <c r="J4315" s="5"/>
      <c r="K4315" s="5"/>
      <c r="L4315" s="5"/>
      <c r="M4315" s="5"/>
      <c r="N4315" s="5"/>
      <c r="O4315" s="5"/>
    </row>
    <row r="4316" spans="1:29" ht="30" customHeight="1" x14ac:dyDescent="0.3">
      <c r="A4316" s="5"/>
      <c r="B4316" s="5"/>
      <c r="C4316" s="5"/>
      <c r="D4316" s="5"/>
      <c r="E4316" s="5"/>
      <c r="F4316" s="9"/>
      <c r="G4316" s="5"/>
      <c r="H4316" s="5"/>
      <c r="I4316" s="5"/>
      <c r="J4316" s="5"/>
      <c r="K4316" s="5"/>
      <c r="L4316" s="5"/>
      <c r="M4316" s="5"/>
      <c r="N4316" s="5"/>
      <c r="O4316" s="5"/>
    </row>
    <row r="4317" spans="1:29" ht="30" customHeight="1" x14ac:dyDescent="0.3">
      <c r="A4317" s="5"/>
      <c r="B4317" s="5"/>
      <c r="C4317" s="5"/>
      <c r="D4317" s="5"/>
      <c r="E4317" s="5"/>
      <c r="F4317" s="9"/>
      <c r="G4317" s="5"/>
      <c r="H4317" s="5"/>
      <c r="I4317" s="5"/>
      <c r="J4317" s="5"/>
      <c r="K4317" s="5"/>
      <c r="L4317" s="5"/>
      <c r="M4317" s="5"/>
      <c r="N4317" s="5"/>
      <c r="O4317" s="5"/>
    </row>
    <row r="4318" spans="1:29" ht="30" customHeight="1" x14ac:dyDescent="0.3">
      <c r="A4318" s="5"/>
      <c r="B4318" s="5"/>
      <c r="C4318" s="5"/>
      <c r="D4318" s="5"/>
      <c r="E4318" s="5"/>
      <c r="F4318" s="9"/>
      <c r="G4318" s="5"/>
      <c r="H4318" s="5"/>
      <c r="I4318" s="5"/>
      <c r="J4318" s="5"/>
      <c r="K4318" s="5"/>
      <c r="L4318" s="5"/>
      <c r="M4318" s="5"/>
      <c r="N4318" s="5"/>
      <c r="O4318" s="5"/>
    </row>
    <row r="4319" spans="1:29" ht="30" customHeight="1" x14ac:dyDescent="0.3">
      <c r="A4319" s="5"/>
      <c r="B4319" s="5"/>
      <c r="C4319" s="5" t="s">
        <v>162</v>
      </c>
      <c r="D4319" s="5"/>
      <c r="E4319" s="5"/>
      <c r="F4319" s="9"/>
      <c r="G4319" s="5"/>
      <c r="H4319" s="5">
        <f>ROUNDDOWN(SUMIF(AC4269:AC4318, 1, H4269:H4318), 0)</f>
        <v>19669461</v>
      </c>
      <c r="I4319" s="5"/>
      <c r="J4319" s="5">
        <f>ROUNDDOWN(SUMIF(AC4269:AC4318, 1, J4269:J4318), 0)</f>
        <v>13652458</v>
      </c>
      <c r="K4319" s="5"/>
      <c r="L4319" s="5">
        <f>ROUNDDOWN(SUMIF(AC4269:AC4318, 1, L4269:L4318), 0)</f>
        <v>2640651</v>
      </c>
      <c r="M4319" s="5"/>
      <c r="N4319" s="5">
        <f>H4319+J4319+L4319</f>
        <v>35962570</v>
      </c>
      <c r="O4319" s="5"/>
    </row>
    <row r="4320" spans="1:29" hidden="1" x14ac:dyDescent="0.3">
      <c r="A4320" t="s">
        <v>3859</v>
      </c>
    </row>
    <row r="4321" spans="1:15" ht="17.25" x14ac:dyDescent="0.3">
      <c r="A4321" s="18"/>
      <c r="B4321" s="18"/>
      <c r="C4321" s="18" t="s">
        <v>3860</v>
      </c>
      <c r="D4321" s="18"/>
      <c r="E4321" s="18"/>
      <c r="F4321" s="18"/>
      <c r="G4321" s="18"/>
      <c r="H4321" s="18"/>
      <c r="I4321" s="18"/>
      <c r="J4321" s="18"/>
      <c r="K4321" s="18"/>
      <c r="L4321" s="18"/>
      <c r="M4321" s="18"/>
      <c r="N4321" s="18"/>
      <c r="O4321" s="18"/>
    </row>
  </sheetData>
  <mergeCells count="12">
    <mergeCell ref="M2:N2"/>
    <mergeCell ref="O2:O3"/>
    <mergeCell ref="C1:O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나인티나인 주식회사</dc:creator>
  <cp:lastModifiedBy>나인티나인 주식회사</cp:lastModifiedBy>
  <dcterms:created xsi:type="dcterms:W3CDTF">2026-05-02T09:57:52Z</dcterms:created>
  <dcterms:modified xsi:type="dcterms:W3CDTF">2026-05-02T09:58:21Z</dcterms:modified>
</cp:coreProperties>
</file>