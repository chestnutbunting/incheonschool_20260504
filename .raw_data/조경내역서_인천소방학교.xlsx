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o\Documents\"/>
    </mc:Choice>
  </mc:AlternateContent>
  <xr:revisionPtr revIDLastSave="0" documentId="8_{41FA0778-3365-4AA1-A537-E38085E49862}" xr6:coauthVersionLast="47" xr6:coauthVersionMax="47" xr10:uidLastSave="{00000000-0000-0000-0000-000000000000}"/>
  <bookViews>
    <workbookView xWindow="60105" yWindow="1005" windowWidth="21600" windowHeight="11835" xr2:uid="{8A76723C-D7DC-4BD3-90FC-BEB70E6BFE8E}"/>
  </bookViews>
  <sheets>
    <sheet name="Sheet1" sheetId="1" r:id="rId1"/>
  </sheets>
  <externalReferences>
    <externalReference r:id="rId2"/>
  </externalReferenc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325" i="1" l="1"/>
  <c r="BI324" i="1"/>
  <c r="AB324" i="1"/>
  <c r="AD324" i="1" s="1"/>
  <c r="E324" i="1"/>
  <c r="BI323" i="1"/>
  <c r="E323" i="1"/>
  <c r="BI322" i="1"/>
  <c r="E322" i="1"/>
  <c r="BI321" i="1"/>
  <c r="E321" i="1"/>
  <c r="BI320" i="1"/>
  <c r="E320" i="1"/>
  <c r="BI319" i="1"/>
  <c r="E319" i="1"/>
  <c r="BI318" i="1"/>
  <c r="E318" i="1"/>
  <c r="BI317" i="1"/>
  <c r="E317" i="1"/>
  <c r="H316" i="1"/>
  <c r="BI294" i="1"/>
  <c r="I294" i="1"/>
  <c r="J294" i="1" s="1"/>
  <c r="J292" i="1" s="1"/>
  <c r="I58" i="1" s="1"/>
  <c r="J58" i="1" s="1"/>
  <c r="G294" i="1"/>
  <c r="H294" i="1" s="1"/>
  <c r="H292" i="1" s="1"/>
  <c r="G58" i="1" s="1"/>
  <c r="H58" i="1" s="1"/>
  <c r="F294" i="1"/>
  <c r="L294" i="1" s="1"/>
  <c r="E294" i="1"/>
  <c r="K294" i="1" s="1"/>
  <c r="BI293" i="1"/>
  <c r="E293" i="1"/>
  <c r="BI271" i="1"/>
  <c r="I271" i="1"/>
  <c r="J271" i="1" s="1"/>
  <c r="G271" i="1"/>
  <c r="F271" i="1"/>
  <c r="E271" i="1"/>
  <c r="BI270" i="1"/>
  <c r="I270" i="1"/>
  <c r="J270" i="1" s="1"/>
  <c r="G270" i="1"/>
  <c r="H270" i="1" s="1"/>
  <c r="E270" i="1"/>
  <c r="BI269" i="1"/>
  <c r="I269" i="1"/>
  <c r="J269" i="1" s="1"/>
  <c r="J268" i="1" s="1"/>
  <c r="I57" i="1" s="1"/>
  <c r="J57" i="1" s="1"/>
  <c r="H269" i="1"/>
  <c r="G269" i="1"/>
  <c r="E269" i="1"/>
  <c r="BI245" i="1"/>
  <c r="I245" i="1"/>
  <c r="J245" i="1" s="1"/>
  <c r="J244" i="1" s="1"/>
  <c r="I56" i="1" s="1"/>
  <c r="J56" i="1" s="1"/>
  <c r="G245" i="1"/>
  <c r="H245" i="1" s="1"/>
  <c r="H244" i="1" s="1"/>
  <c r="G56" i="1" s="1"/>
  <c r="H56" i="1" s="1"/>
  <c r="E245" i="1"/>
  <c r="BI232" i="1"/>
  <c r="I232" i="1"/>
  <c r="J232" i="1" s="1"/>
  <c r="G232" i="1"/>
  <c r="H232" i="1" s="1"/>
  <c r="E232" i="1"/>
  <c r="BI231" i="1"/>
  <c r="I231" i="1"/>
  <c r="J231" i="1" s="1"/>
  <c r="G231" i="1"/>
  <c r="H231" i="1" s="1"/>
  <c r="E231" i="1"/>
  <c r="BI230" i="1"/>
  <c r="I230" i="1"/>
  <c r="J230" i="1" s="1"/>
  <c r="G230" i="1"/>
  <c r="H230" i="1" s="1"/>
  <c r="E230" i="1"/>
  <c r="BI229" i="1"/>
  <c r="I229" i="1"/>
  <c r="J229" i="1" s="1"/>
  <c r="J228" i="1" s="1"/>
  <c r="I222" i="1" s="1"/>
  <c r="J222" i="1" s="1"/>
  <c r="G229" i="1"/>
  <c r="H229" i="1" s="1"/>
  <c r="E229" i="1"/>
  <c r="L227" i="1"/>
  <c r="K227" i="1"/>
  <c r="BI226" i="1"/>
  <c r="I226" i="1"/>
  <c r="J226" i="1" s="1"/>
  <c r="J225" i="1" s="1"/>
  <c r="I221" i="1" s="1"/>
  <c r="J221" i="1" s="1"/>
  <c r="G226" i="1"/>
  <c r="H226" i="1" s="1"/>
  <c r="H225" i="1" s="1"/>
  <c r="G221" i="1" s="1"/>
  <c r="H221" i="1" s="1"/>
  <c r="E226" i="1"/>
  <c r="L224" i="1"/>
  <c r="K224" i="1"/>
  <c r="L223" i="1"/>
  <c r="K223" i="1"/>
  <c r="BI222" i="1"/>
  <c r="BI221" i="1"/>
  <c r="K206" i="1"/>
  <c r="BI205" i="1"/>
  <c r="AB205" i="1"/>
  <c r="AD205" i="1" s="1"/>
  <c r="E205" i="1"/>
  <c r="BI204" i="1"/>
  <c r="E204" i="1"/>
  <c r="BI203" i="1"/>
  <c r="E203" i="1"/>
  <c r="BI202" i="1"/>
  <c r="E202" i="1"/>
  <c r="BI201" i="1"/>
  <c r="E201" i="1"/>
  <c r="BI200" i="1"/>
  <c r="E200" i="1"/>
  <c r="BI199" i="1"/>
  <c r="E199" i="1"/>
  <c r="BI198" i="1"/>
  <c r="E198" i="1"/>
  <c r="BI197" i="1"/>
  <c r="E197" i="1"/>
  <c r="H196" i="1"/>
  <c r="BI185" i="1"/>
  <c r="I185" i="1"/>
  <c r="J185" i="1" s="1"/>
  <c r="G185" i="1"/>
  <c r="H185" i="1" s="1"/>
  <c r="E185" i="1"/>
  <c r="BI184" i="1"/>
  <c r="K184" i="1"/>
  <c r="I184" i="1"/>
  <c r="J184" i="1" s="1"/>
  <c r="G184" i="1"/>
  <c r="H184" i="1" s="1"/>
  <c r="E184" i="1"/>
  <c r="F184" i="1" s="1"/>
  <c r="L184" i="1" s="1"/>
  <c r="BI183" i="1"/>
  <c r="I183" i="1"/>
  <c r="J183" i="1" s="1"/>
  <c r="J182" i="1" s="1"/>
  <c r="I174" i="1" s="1"/>
  <c r="J174" i="1" s="1"/>
  <c r="G183" i="1"/>
  <c r="H183" i="1" s="1"/>
  <c r="H182" i="1" s="1"/>
  <c r="G174" i="1" s="1"/>
  <c r="H174" i="1" s="1"/>
  <c r="E183" i="1"/>
  <c r="L181" i="1"/>
  <c r="K181" i="1"/>
  <c r="BI180" i="1"/>
  <c r="I180" i="1"/>
  <c r="J180" i="1" s="1"/>
  <c r="G180" i="1"/>
  <c r="H180" i="1" s="1"/>
  <c r="E180" i="1"/>
  <c r="BI179" i="1"/>
  <c r="I179" i="1"/>
  <c r="J179" i="1" s="1"/>
  <c r="G179" i="1"/>
  <c r="H179" i="1" s="1"/>
  <c r="E179" i="1"/>
  <c r="BI178" i="1"/>
  <c r="I178" i="1"/>
  <c r="J178" i="1" s="1"/>
  <c r="J177" i="1" s="1"/>
  <c r="I173" i="1" s="1"/>
  <c r="J173" i="1" s="1"/>
  <c r="G178" i="1"/>
  <c r="H178" i="1" s="1"/>
  <c r="H177" i="1" s="1"/>
  <c r="G173" i="1" s="1"/>
  <c r="H173" i="1" s="1"/>
  <c r="H172" i="1" s="1"/>
  <c r="G35" i="1" s="1"/>
  <c r="H35" i="1" s="1"/>
  <c r="E178" i="1"/>
  <c r="L176" i="1"/>
  <c r="K176" i="1"/>
  <c r="L175" i="1"/>
  <c r="K175" i="1"/>
  <c r="BI174" i="1"/>
  <c r="BI173" i="1"/>
  <c r="BI151" i="1"/>
  <c r="I151" i="1"/>
  <c r="J151" i="1" s="1"/>
  <c r="J148" i="1" s="1"/>
  <c r="I34" i="1" s="1"/>
  <c r="J34" i="1" s="1"/>
  <c r="G151" i="1"/>
  <c r="H151" i="1" s="1"/>
  <c r="H148" i="1" s="1"/>
  <c r="G34" i="1" s="1"/>
  <c r="H34" i="1" s="1"/>
  <c r="E151" i="1"/>
  <c r="BI150" i="1"/>
  <c r="E150" i="1"/>
  <c r="BI149" i="1"/>
  <c r="E149" i="1"/>
  <c r="BI135" i="1"/>
  <c r="I135" i="1"/>
  <c r="J135" i="1" s="1"/>
  <c r="G135" i="1"/>
  <c r="H135" i="1" s="1"/>
  <c r="E135" i="1"/>
  <c r="BI134" i="1"/>
  <c r="I134" i="1"/>
  <c r="J134" i="1" s="1"/>
  <c r="G134" i="1"/>
  <c r="H134" i="1" s="1"/>
  <c r="E134" i="1"/>
  <c r="BI133" i="1"/>
  <c r="I133" i="1"/>
  <c r="J133" i="1" s="1"/>
  <c r="G133" i="1"/>
  <c r="H133" i="1" s="1"/>
  <c r="E133" i="1"/>
  <c r="BI132" i="1"/>
  <c r="I132" i="1"/>
  <c r="J132" i="1" s="1"/>
  <c r="G132" i="1"/>
  <c r="H132" i="1" s="1"/>
  <c r="E132" i="1"/>
  <c r="BI131" i="1"/>
  <c r="I131" i="1"/>
  <c r="J131" i="1" s="1"/>
  <c r="G131" i="1"/>
  <c r="H131" i="1" s="1"/>
  <c r="E131" i="1"/>
  <c r="BI130" i="1"/>
  <c r="I130" i="1"/>
  <c r="J130" i="1" s="1"/>
  <c r="G130" i="1"/>
  <c r="H130" i="1" s="1"/>
  <c r="E130" i="1"/>
  <c r="BI129" i="1"/>
  <c r="I129" i="1"/>
  <c r="J129" i="1" s="1"/>
  <c r="G129" i="1"/>
  <c r="H129" i="1" s="1"/>
  <c r="E129" i="1"/>
  <c r="BI128" i="1"/>
  <c r="I128" i="1"/>
  <c r="J128" i="1" s="1"/>
  <c r="G128" i="1"/>
  <c r="H128" i="1" s="1"/>
  <c r="E128" i="1"/>
  <c r="BI127" i="1"/>
  <c r="I127" i="1"/>
  <c r="J127" i="1" s="1"/>
  <c r="G127" i="1"/>
  <c r="H127" i="1" s="1"/>
  <c r="E127" i="1"/>
  <c r="BI126" i="1"/>
  <c r="I126" i="1"/>
  <c r="J126" i="1" s="1"/>
  <c r="G126" i="1"/>
  <c r="H126" i="1" s="1"/>
  <c r="E126" i="1"/>
  <c r="BI125" i="1"/>
  <c r="I125" i="1"/>
  <c r="J125" i="1" s="1"/>
  <c r="J124" i="1" s="1"/>
  <c r="I33" i="1" s="1"/>
  <c r="J33" i="1" s="1"/>
  <c r="G125" i="1"/>
  <c r="H125" i="1" s="1"/>
  <c r="H124" i="1" s="1"/>
  <c r="G33" i="1" s="1"/>
  <c r="H33" i="1" s="1"/>
  <c r="E125" i="1"/>
  <c r="BI116" i="1"/>
  <c r="I116" i="1"/>
  <c r="J116" i="1" s="1"/>
  <c r="G116" i="1"/>
  <c r="H116" i="1" s="1"/>
  <c r="E116" i="1"/>
  <c r="BI115" i="1"/>
  <c r="I115" i="1"/>
  <c r="J115" i="1" s="1"/>
  <c r="G115" i="1"/>
  <c r="H115" i="1" s="1"/>
  <c r="E115" i="1"/>
  <c r="BI114" i="1"/>
  <c r="I114" i="1"/>
  <c r="J114" i="1" s="1"/>
  <c r="G114" i="1"/>
  <c r="H114" i="1" s="1"/>
  <c r="E114" i="1"/>
  <c r="BI113" i="1"/>
  <c r="E113" i="1"/>
  <c r="BI112" i="1"/>
  <c r="E112" i="1"/>
  <c r="BI111" i="1"/>
  <c r="I111" i="1"/>
  <c r="J111" i="1" s="1"/>
  <c r="G111" i="1"/>
  <c r="H111" i="1" s="1"/>
  <c r="E111" i="1"/>
  <c r="BI110" i="1"/>
  <c r="I110" i="1"/>
  <c r="J110" i="1" s="1"/>
  <c r="G110" i="1"/>
  <c r="H110" i="1" s="1"/>
  <c r="E110" i="1"/>
  <c r="BI109" i="1"/>
  <c r="I109" i="1"/>
  <c r="J109" i="1" s="1"/>
  <c r="G109" i="1"/>
  <c r="H109" i="1" s="1"/>
  <c r="E109" i="1"/>
  <c r="BI108" i="1"/>
  <c r="I108" i="1"/>
  <c r="J108" i="1" s="1"/>
  <c r="G108" i="1"/>
  <c r="H108" i="1" s="1"/>
  <c r="E108" i="1"/>
  <c r="BI107" i="1"/>
  <c r="E107" i="1"/>
  <c r="BI106" i="1"/>
  <c r="I106" i="1"/>
  <c r="J106" i="1" s="1"/>
  <c r="G106" i="1"/>
  <c r="H106" i="1" s="1"/>
  <c r="E106" i="1"/>
  <c r="BI105" i="1"/>
  <c r="I105" i="1"/>
  <c r="J105" i="1" s="1"/>
  <c r="G105" i="1"/>
  <c r="H105" i="1" s="1"/>
  <c r="E105" i="1"/>
  <c r="BI104" i="1"/>
  <c r="I104" i="1"/>
  <c r="J104" i="1" s="1"/>
  <c r="G104" i="1"/>
  <c r="H104" i="1" s="1"/>
  <c r="E104" i="1"/>
  <c r="BI103" i="1"/>
  <c r="I103" i="1"/>
  <c r="J103" i="1" s="1"/>
  <c r="G103" i="1"/>
  <c r="H103" i="1" s="1"/>
  <c r="E103" i="1"/>
  <c r="BI102" i="1"/>
  <c r="I102" i="1"/>
  <c r="J102" i="1" s="1"/>
  <c r="G102" i="1"/>
  <c r="H102" i="1" s="1"/>
  <c r="E102" i="1"/>
  <c r="BI101" i="1"/>
  <c r="I101" i="1"/>
  <c r="J101" i="1" s="1"/>
  <c r="J100" i="1" s="1"/>
  <c r="I32" i="1" s="1"/>
  <c r="J32" i="1" s="1"/>
  <c r="G101" i="1"/>
  <c r="H101" i="1" s="1"/>
  <c r="H100" i="1" s="1"/>
  <c r="G32" i="1" s="1"/>
  <c r="H32" i="1" s="1"/>
  <c r="E101" i="1"/>
  <c r="BI97" i="1"/>
  <c r="I97" i="1"/>
  <c r="J97" i="1" s="1"/>
  <c r="G97" i="1"/>
  <c r="H97" i="1" s="1"/>
  <c r="E97" i="1"/>
  <c r="BI96" i="1"/>
  <c r="I96" i="1"/>
  <c r="J96" i="1" s="1"/>
  <c r="G96" i="1"/>
  <c r="H96" i="1" s="1"/>
  <c r="F96" i="1"/>
  <c r="E96" i="1"/>
  <c r="K96" i="1" s="1"/>
  <c r="BI95" i="1"/>
  <c r="I95" i="1"/>
  <c r="J95" i="1" s="1"/>
  <c r="G95" i="1"/>
  <c r="H95" i="1" s="1"/>
  <c r="E95" i="1"/>
  <c r="BI94" i="1"/>
  <c r="I94" i="1"/>
  <c r="J94" i="1" s="1"/>
  <c r="G94" i="1"/>
  <c r="H94" i="1" s="1"/>
  <c r="E94" i="1"/>
  <c r="BI93" i="1"/>
  <c r="I93" i="1"/>
  <c r="J93" i="1" s="1"/>
  <c r="G93" i="1"/>
  <c r="H93" i="1" s="1"/>
  <c r="E93" i="1"/>
  <c r="BI92" i="1"/>
  <c r="K92" i="1"/>
  <c r="J92" i="1"/>
  <c r="I92" i="1"/>
  <c r="G92" i="1"/>
  <c r="H92" i="1" s="1"/>
  <c r="E92" i="1"/>
  <c r="F92" i="1" s="1"/>
  <c r="L92" i="1" s="1"/>
  <c r="BI91" i="1"/>
  <c r="I91" i="1"/>
  <c r="J91" i="1" s="1"/>
  <c r="G91" i="1"/>
  <c r="H91" i="1" s="1"/>
  <c r="E91" i="1"/>
  <c r="BI90" i="1"/>
  <c r="I90" i="1"/>
  <c r="J90" i="1" s="1"/>
  <c r="J89" i="1" s="1"/>
  <c r="I78" i="1" s="1"/>
  <c r="J78" i="1" s="1"/>
  <c r="G90" i="1"/>
  <c r="H90" i="1" s="1"/>
  <c r="H89" i="1" s="1"/>
  <c r="G78" i="1" s="1"/>
  <c r="H78" i="1" s="1"/>
  <c r="E90" i="1"/>
  <c r="L88" i="1"/>
  <c r="K88" i="1"/>
  <c r="BI87" i="1"/>
  <c r="I87" i="1"/>
  <c r="J87" i="1" s="1"/>
  <c r="G87" i="1"/>
  <c r="H87" i="1" s="1"/>
  <c r="E87" i="1"/>
  <c r="BI86" i="1"/>
  <c r="I86" i="1"/>
  <c r="J86" i="1" s="1"/>
  <c r="G86" i="1"/>
  <c r="H86" i="1" s="1"/>
  <c r="E86" i="1"/>
  <c r="BI85" i="1"/>
  <c r="I85" i="1"/>
  <c r="J85" i="1" s="1"/>
  <c r="G85" i="1"/>
  <c r="H85" i="1" s="1"/>
  <c r="E85" i="1"/>
  <c r="BI84" i="1"/>
  <c r="I84" i="1"/>
  <c r="J84" i="1" s="1"/>
  <c r="G84" i="1"/>
  <c r="H84" i="1" s="1"/>
  <c r="E84" i="1"/>
  <c r="BI83" i="1"/>
  <c r="I83" i="1"/>
  <c r="J83" i="1" s="1"/>
  <c r="G83" i="1"/>
  <c r="H83" i="1" s="1"/>
  <c r="E83" i="1"/>
  <c r="BI82" i="1"/>
  <c r="I82" i="1"/>
  <c r="J82" i="1" s="1"/>
  <c r="J81" i="1" s="1"/>
  <c r="I77" i="1" s="1"/>
  <c r="J77" i="1" s="1"/>
  <c r="J76" i="1" s="1"/>
  <c r="I31" i="1" s="1"/>
  <c r="J31" i="1" s="1"/>
  <c r="G82" i="1"/>
  <c r="H82" i="1" s="1"/>
  <c r="H81" i="1" s="1"/>
  <c r="G77" i="1" s="1"/>
  <c r="H77" i="1" s="1"/>
  <c r="H76" i="1" s="1"/>
  <c r="G31" i="1" s="1"/>
  <c r="H31" i="1" s="1"/>
  <c r="E82" i="1"/>
  <c r="L80" i="1"/>
  <c r="K80" i="1"/>
  <c r="L79" i="1"/>
  <c r="K79" i="1"/>
  <c r="BI78" i="1"/>
  <c r="BI77" i="1"/>
  <c r="BI61" i="1"/>
  <c r="G61" i="1"/>
  <c r="H61" i="1" s="1"/>
  <c r="H60" i="1" s="1"/>
  <c r="K60" i="1"/>
  <c r="L59" i="1"/>
  <c r="K59" i="1"/>
  <c r="BI58" i="1"/>
  <c r="BI57" i="1"/>
  <c r="BI56" i="1"/>
  <c r="BI55" i="1"/>
  <c r="K54" i="1"/>
  <c r="L53" i="1"/>
  <c r="K53" i="1"/>
  <c r="L40" i="1"/>
  <c r="K40" i="1"/>
  <c r="L39" i="1"/>
  <c r="K39" i="1"/>
  <c r="BI38" i="1"/>
  <c r="G38" i="1"/>
  <c r="H38" i="1" s="1"/>
  <c r="H37" i="1" s="1"/>
  <c r="K37" i="1"/>
  <c r="L36" i="1"/>
  <c r="K36" i="1"/>
  <c r="BI35" i="1"/>
  <c r="BI34" i="1"/>
  <c r="BI33" i="1"/>
  <c r="BI32" i="1"/>
  <c r="BI31" i="1"/>
  <c r="K30" i="1"/>
  <c r="L29" i="1"/>
  <c r="K29" i="1"/>
  <c r="BI6" i="1"/>
  <c r="BI5" i="1"/>
  <c r="K324" i="1" l="1"/>
  <c r="F324" i="1"/>
  <c r="L324" i="1" s="1"/>
  <c r="K323" i="1"/>
  <c r="F323" i="1"/>
  <c r="L323" i="1" s="1"/>
  <c r="K322" i="1"/>
  <c r="F322" i="1"/>
  <c r="L322" i="1" s="1"/>
  <c r="K321" i="1"/>
  <c r="F321" i="1"/>
  <c r="L321" i="1" s="1"/>
  <c r="K320" i="1"/>
  <c r="F320" i="1"/>
  <c r="L320" i="1" s="1"/>
  <c r="K319" i="1"/>
  <c r="F319" i="1"/>
  <c r="L319" i="1" s="1"/>
  <c r="K318" i="1"/>
  <c r="F318" i="1"/>
  <c r="L318" i="1" s="1"/>
  <c r="K317" i="1"/>
  <c r="F317" i="1"/>
  <c r="K293" i="1"/>
  <c r="F293" i="1"/>
  <c r="K271" i="1"/>
  <c r="H271" i="1"/>
  <c r="F270" i="1"/>
  <c r="L270" i="1" s="1"/>
  <c r="K270" i="1"/>
  <c r="F269" i="1"/>
  <c r="K269" i="1"/>
  <c r="F245" i="1"/>
  <c r="K245" i="1"/>
  <c r="K232" i="1"/>
  <c r="F232" i="1"/>
  <c r="L232" i="1" s="1"/>
  <c r="K231" i="1"/>
  <c r="F231" i="1"/>
  <c r="L231" i="1" s="1"/>
  <c r="K230" i="1"/>
  <c r="F230" i="1"/>
  <c r="L230" i="1" s="1"/>
  <c r="K229" i="1"/>
  <c r="F229" i="1"/>
  <c r="K226" i="1"/>
  <c r="F226" i="1"/>
  <c r="K205" i="1"/>
  <c r="F205" i="1"/>
  <c r="L205" i="1" s="1"/>
  <c r="K204" i="1"/>
  <c r="F204" i="1"/>
  <c r="L204" i="1" s="1"/>
  <c r="K203" i="1"/>
  <c r="F203" i="1"/>
  <c r="L203" i="1" s="1"/>
  <c r="K202" i="1"/>
  <c r="F202" i="1"/>
  <c r="L202" i="1" s="1"/>
  <c r="F201" i="1"/>
  <c r="L201" i="1" s="1"/>
  <c r="K201" i="1"/>
  <c r="K200" i="1"/>
  <c r="F200" i="1"/>
  <c r="L200" i="1" s="1"/>
  <c r="K199" i="1"/>
  <c r="F199" i="1"/>
  <c r="L199" i="1" s="1"/>
  <c r="K198" i="1"/>
  <c r="F198" i="1"/>
  <c r="L198" i="1" s="1"/>
  <c r="K197" i="1"/>
  <c r="F197" i="1"/>
  <c r="F185" i="1"/>
  <c r="L185" i="1" s="1"/>
  <c r="K185" i="1"/>
  <c r="F183" i="1"/>
  <c r="K183" i="1"/>
  <c r="F180" i="1"/>
  <c r="L180" i="1" s="1"/>
  <c r="K180" i="1"/>
  <c r="F179" i="1"/>
  <c r="L179" i="1" s="1"/>
  <c r="K179" i="1"/>
  <c r="F178" i="1"/>
  <c r="K178" i="1"/>
  <c r="K151" i="1"/>
  <c r="F151" i="1"/>
  <c r="L151" i="1" s="1"/>
  <c r="K150" i="1"/>
  <c r="F150" i="1"/>
  <c r="L150" i="1" s="1"/>
  <c r="F149" i="1"/>
  <c r="K149" i="1"/>
  <c r="F135" i="1"/>
  <c r="L135" i="1" s="1"/>
  <c r="K135" i="1"/>
  <c r="K134" i="1"/>
  <c r="F134" i="1"/>
  <c r="L134" i="1" s="1"/>
  <c r="K133" i="1"/>
  <c r="F133" i="1"/>
  <c r="L133" i="1" s="1"/>
  <c r="F132" i="1"/>
  <c r="L132" i="1" s="1"/>
  <c r="K132" i="1"/>
  <c r="K131" i="1"/>
  <c r="F131" i="1"/>
  <c r="L131" i="1" s="1"/>
  <c r="K130" i="1"/>
  <c r="F130" i="1"/>
  <c r="L130" i="1" s="1"/>
  <c r="K129" i="1"/>
  <c r="F129" i="1"/>
  <c r="L129" i="1" s="1"/>
  <c r="K128" i="1"/>
  <c r="F128" i="1"/>
  <c r="L128" i="1" s="1"/>
  <c r="K127" i="1"/>
  <c r="F127" i="1"/>
  <c r="L127" i="1" s="1"/>
  <c r="F126" i="1"/>
  <c r="L126" i="1" s="1"/>
  <c r="K126" i="1"/>
  <c r="F125" i="1"/>
  <c r="K125" i="1"/>
  <c r="K116" i="1"/>
  <c r="F116" i="1"/>
  <c r="L116" i="1" s="1"/>
  <c r="K115" i="1"/>
  <c r="F115" i="1"/>
  <c r="L115" i="1" s="1"/>
  <c r="F114" i="1"/>
  <c r="L114" i="1" s="1"/>
  <c r="K114" i="1"/>
  <c r="F113" i="1"/>
  <c r="L113" i="1" s="1"/>
  <c r="K113" i="1"/>
  <c r="F112" i="1"/>
  <c r="L112" i="1" s="1"/>
  <c r="K112" i="1"/>
  <c r="K111" i="1"/>
  <c r="F111" i="1"/>
  <c r="L111" i="1" s="1"/>
  <c r="F110" i="1"/>
  <c r="L110" i="1" s="1"/>
  <c r="K110" i="1"/>
  <c r="K109" i="1"/>
  <c r="F109" i="1"/>
  <c r="L109" i="1" s="1"/>
  <c r="K108" i="1"/>
  <c r="F108" i="1"/>
  <c r="L108" i="1" s="1"/>
  <c r="K107" i="1"/>
  <c r="F107" i="1"/>
  <c r="L107" i="1" s="1"/>
  <c r="K106" i="1"/>
  <c r="F106" i="1"/>
  <c r="L106" i="1" s="1"/>
  <c r="K105" i="1"/>
  <c r="F105" i="1"/>
  <c r="L105" i="1" s="1"/>
  <c r="K104" i="1"/>
  <c r="F104" i="1"/>
  <c r="L104" i="1" s="1"/>
  <c r="F103" i="1"/>
  <c r="L103" i="1" s="1"/>
  <c r="K103" i="1"/>
  <c r="K102" i="1"/>
  <c r="F102" i="1"/>
  <c r="L102" i="1" s="1"/>
  <c r="K101" i="1"/>
  <c r="F101" i="1"/>
  <c r="K97" i="1"/>
  <c r="F97" i="1"/>
  <c r="L97" i="1" s="1"/>
  <c r="K95" i="1"/>
  <c r="F95" i="1"/>
  <c r="L95" i="1" s="1"/>
  <c r="K94" i="1"/>
  <c r="F94" i="1"/>
  <c r="L94" i="1" s="1"/>
  <c r="F93" i="1"/>
  <c r="L93" i="1" s="1"/>
  <c r="K93" i="1"/>
  <c r="K91" i="1"/>
  <c r="F91" i="1"/>
  <c r="L91" i="1" s="1"/>
  <c r="K90" i="1"/>
  <c r="F90" i="1"/>
  <c r="F87" i="1"/>
  <c r="L87" i="1" s="1"/>
  <c r="K87" i="1"/>
  <c r="K86" i="1"/>
  <c r="F86" i="1"/>
  <c r="L86" i="1" s="1"/>
  <c r="F85" i="1"/>
  <c r="L85" i="1" s="1"/>
  <c r="K85" i="1"/>
  <c r="F84" i="1"/>
  <c r="L84" i="1" s="1"/>
  <c r="K84" i="1"/>
  <c r="F83" i="1"/>
  <c r="L83" i="1" s="1"/>
  <c r="K83" i="1"/>
  <c r="H28" i="1"/>
  <c r="G5" i="1" s="1"/>
  <c r="H5" i="1" s="1"/>
  <c r="H30" i="1"/>
  <c r="F82" i="1"/>
  <c r="K82" i="1"/>
  <c r="J220" i="1"/>
  <c r="I55" i="1" s="1"/>
  <c r="J55" i="1" s="1"/>
  <c r="J172" i="1"/>
  <c r="I35" i="1" s="1"/>
  <c r="J35" i="1" s="1"/>
  <c r="H228" i="1"/>
  <c r="G222" i="1" s="1"/>
  <c r="H222" i="1" s="1"/>
  <c r="H220" i="1" s="1"/>
  <c r="G55" i="1" s="1"/>
  <c r="H55" i="1" s="1"/>
  <c r="L96" i="1"/>
  <c r="L317" i="1" l="1"/>
  <c r="J325" i="1"/>
  <c r="F316" i="1"/>
  <c r="F292" i="1"/>
  <c r="L293" i="1"/>
  <c r="H268" i="1"/>
  <c r="G57" i="1" s="1"/>
  <c r="H57" i="1" s="1"/>
  <c r="L271" i="1"/>
  <c r="F268" i="1"/>
  <c r="L269" i="1"/>
  <c r="L245" i="1"/>
  <c r="F244" i="1"/>
  <c r="L229" i="1"/>
  <c r="F228" i="1"/>
  <c r="L226" i="1"/>
  <c r="F225" i="1"/>
  <c r="L197" i="1"/>
  <c r="J206" i="1"/>
  <c r="F196" i="1"/>
  <c r="L183" i="1"/>
  <c r="F182" i="1"/>
  <c r="L178" i="1"/>
  <c r="F177" i="1"/>
  <c r="L149" i="1"/>
  <c r="F148" i="1"/>
  <c r="L125" i="1"/>
  <c r="F124" i="1"/>
  <c r="L101" i="1"/>
  <c r="F100" i="1"/>
  <c r="L90" i="1"/>
  <c r="F89" i="1"/>
  <c r="L82" i="1"/>
  <c r="F81" i="1"/>
  <c r="J54" i="1"/>
  <c r="H54" i="1"/>
  <c r="H52" i="1"/>
  <c r="G6" i="1" s="1"/>
  <c r="H6" i="1" s="1"/>
  <c r="H4" i="1" s="1"/>
  <c r="J30" i="1"/>
  <c r="L325" i="1" l="1"/>
  <c r="J316" i="1"/>
  <c r="E61" i="1"/>
  <c r="L292" i="1"/>
  <c r="E58" i="1"/>
  <c r="L268" i="1"/>
  <c r="E57" i="1"/>
  <c r="L244" i="1"/>
  <c r="E56" i="1"/>
  <c r="L228" i="1"/>
  <c r="E222" i="1"/>
  <c r="L225" i="1"/>
  <c r="E221" i="1"/>
  <c r="L206" i="1"/>
  <c r="J196" i="1"/>
  <c r="E38" i="1"/>
  <c r="L182" i="1"/>
  <c r="E174" i="1"/>
  <c r="L177" i="1"/>
  <c r="E173" i="1"/>
  <c r="L148" i="1"/>
  <c r="E34" i="1"/>
  <c r="L124" i="1"/>
  <c r="E33" i="1"/>
  <c r="L100" i="1"/>
  <c r="E32" i="1"/>
  <c r="L89" i="1"/>
  <c r="E78" i="1"/>
  <c r="L81" i="1"/>
  <c r="E77" i="1"/>
  <c r="K61" i="1" l="1"/>
  <c r="F61" i="1"/>
  <c r="F58" i="1"/>
  <c r="L58" i="1" s="1"/>
  <c r="K58" i="1"/>
  <c r="F57" i="1"/>
  <c r="L57" i="1" s="1"/>
  <c r="K57" i="1"/>
  <c r="F56" i="1"/>
  <c r="L56" i="1" s="1"/>
  <c r="K56" i="1"/>
  <c r="F222" i="1"/>
  <c r="L222" i="1" s="1"/>
  <c r="K222" i="1"/>
  <c r="F221" i="1"/>
  <c r="K221" i="1"/>
  <c r="F38" i="1"/>
  <c r="K38" i="1"/>
  <c r="F174" i="1"/>
  <c r="L174" i="1" s="1"/>
  <c r="K174" i="1"/>
  <c r="F173" i="1"/>
  <c r="K173" i="1"/>
  <c r="K34" i="1"/>
  <c r="F34" i="1"/>
  <c r="L34" i="1" s="1"/>
  <c r="F33" i="1"/>
  <c r="L33" i="1" s="1"/>
  <c r="K33" i="1"/>
  <c r="K32" i="1"/>
  <c r="F32" i="1"/>
  <c r="L32" i="1" s="1"/>
  <c r="F78" i="1"/>
  <c r="L78" i="1" s="1"/>
  <c r="K78" i="1"/>
  <c r="F77" i="1"/>
  <c r="K77" i="1"/>
  <c r="I61" i="1"/>
  <c r="J61" i="1" s="1"/>
  <c r="L316" i="1"/>
  <c r="I38" i="1"/>
  <c r="J38" i="1" s="1"/>
  <c r="L196" i="1"/>
  <c r="F60" i="1" l="1"/>
  <c r="L61" i="1"/>
  <c r="L221" i="1"/>
  <c r="F220" i="1"/>
  <c r="L38" i="1"/>
  <c r="F37" i="1"/>
  <c r="L173" i="1"/>
  <c r="F172" i="1"/>
  <c r="F76" i="1"/>
  <c r="L77" i="1"/>
  <c r="J60" i="1"/>
  <c r="J52" i="1"/>
  <c r="I6" i="1" s="1"/>
  <c r="J6" i="1" s="1"/>
  <c r="J37" i="1"/>
  <c r="J28" i="1"/>
  <c r="I5" i="1" s="1"/>
  <c r="J5" i="1" s="1"/>
  <c r="J4" i="1" s="1"/>
  <c r="L220" i="1" l="1"/>
  <c r="E55" i="1"/>
  <c r="L172" i="1"/>
  <c r="E35" i="1"/>
  <c r="L76" i="1"/>
  <c r="E31" i="1"/>
  <c r="L60" i="1"/>
  <c r="L37" i="1"/>
  <c r="F55" i="1" l="1"/>
  <c r="K55" i="1"/>
  <c r="F35" i="1"/>
  <c r="L35" i="1" s="1"/>
  <c r="K35" i="1"/>
  <c r="K31" i="1"/>
  <c r="F31" i="1"/>
  <c r="L55" i="1" l="1"/>
  <c r="F52" i="1"/>
  <c r="F54" i="1"/>
  <c r="L54" i="1" s="1"/>
  <c r="F30" i="1"/>
  <c r="L30" i="1" s="1"/>
  <c r="F28" i="1"/>
  <c r="L31" i="1"/>
  <c r="L52" i="1" l="1"/>
  <c r="E6" i="1"/>
  <c r="L28" i="1"/>
  <c r="E5" i="1"/>
  <c r="F6" i="1" l="1"/>
  <c r="L6" i="1" s="1"/>
  <c r="K6" i="1"/>
  <c r="F5" i="1"/>
  <c r="K5" i="1"/>
  <c r="L5" i="1" l="1"/>
  <c r="F4" i="1"/>
  <c r="L4" i="1" s="1"/>
</calcChain>
</file>

<file path=xl/sharedStrings.xml><?xml version="1.0" encoding="utf-8"?>
<sst xmlns="http://schemas.openxmlformats.org/spreadsheetml/2006/main" count="1155" uniqueCount="341">
  <si>
    <t>내역서</t>
  </si>
  <si>
    <t>공 종 명</t>
  </si>
  <si>
    <t>규 격</t>
  </si>
  <si>
    <t>수량</t>
  </si>
  <si>
    <t>단위</t>
  </si>
  <si>
    <t>재 료 비</t>
  </si>
  <si>
    <t/>
  </si>
  <si>
    <t>노 무 비</t>
  </si>
  <si>
    <t>경    비</t>
  </si>
  <si>
    <t>합    계</t>
  </si>
  <si>
    <t>비 고</t>
  </si>
  <si>
    <t>단 가</t>
  </si>
  <si>
    <t>금 액</t>
  </si>
  <si>
    <t>할 증</t>
  </si>
  <si>
    <t>화폐변환</t>
  </si>
  <si>
    <t>OP값</t>
  </si>
  <si>
    <t>EQ</t>
  </si>
  <si>
    <t>LA</t>
  </si>
  <si>
    <t>MA</t>
  </si>
  <si>
    <t>금액계상</t>
  </si>
  <si>
    <t>식</t>
  </si>
  <si>
    <t>A0001</t>
  </si>
  <si>
    <t xml:space="preserve">   A. 1차 인천소방학교 이전 신축공사</t>
  </si>
  <si>
    <t>10</t>
  </si>
  <si>
    <t>A0010</t>
  </si>
  <si>
    <t xml:space="preserve">   B. 2차 인천소방학교 이전 신축공사</t>
  </si>
  <si>
    <t>20</t>
  </si>
  <si>
    <t>S</t>
  </si>
  <si>
    <t>A0020</t>
  </si>
  <si>
    <t>A. 1차 인천소방학교 이전 신축공사</t>
  </si>
  <si>
    <t xml:space="preserve">   </t>
  </si>
  <si>
    <t>1</t>
  </si>
  <si>
    <t xml:space="preserve">   . 1]. 도급공사</t>
  </si>
  <si>
    <t>5</t>
  </si>
  <si>
    <t xml:space="preserve">   ..1. 식재공사</t>
  </si>
  <si>
    <t>1차공사</t>
  </si>
  <si>
    <t>A0100</t>
  </si>
  <si>
    <t xml:space="preserve">   ..2. 시설물공사</t>
  </si>
  <si>
    <t>A0200</t>
  </si>
  <si>
    <t xml:space="preserve">   ..3. 포장공사</t>
  </si>
  <si>
    <t>30</t>
  </si>
  <si>
    <t>A0300</t>
  </si>
  <si>
    <t xml:space="preserve">   ..4. 부대공사</t>
  </si>
  <si>
    <t>40</t>
  </si>
  <si>
    <t>A0400</t>
  </si>
  <si>
    <t xml:space="preserve">   ..5. 실내조경</t>
  </si>
  <si>
    <t>50</t>
  </si>
  <si>
    <t>A0500</t>
  </si>
  <si>
    <t>60</t>
  </si>
  <si>
    <t xml:space="preserve">   . 2]. 관급 공사</t>
  </si>
  <si>
    <t>70</t>
  </si>
  <si>
    <t xml:space="preserve">   ..1. 관급공사</t>
  </si>
  <si>
    <t>도급자/1차공사</t>
  </si>
  <si>
    <t>80</t>
  </si>
  <si>
    <t>B0100</t>
  </si>
  <si>
    <t>90</t>
  </si>
  <si>
    <t>100</t>
  </si>
  <si>
    <t>B. 2차 인천소방학교 이전 신축공사</t>
  </si>
  <si>
    <t>조경공사</t>
  </si>
  <si>
    <t>2차공사</t>
  </si>
  <si>
    <t>C0100</t>
  </si>
  <si>
    <t>C0200</t>
  </si>
  <si>
    <t>C0300</t>
  </si>
  <si>
    <t>C0400</t>
  </si>
  <si>
    <t>도급자/2차공사</t>
  </si>
  <si>
    <t>D0100</t>
  </si>
  <si>
    <t>1. 식재공사</t>
  </si>
  <si>
    <t xml:space="preserve">   1-1. 식재공사</t>
  </si>
  <si>
    <t>이식공사[정식]</t>
  </si>
  <si>
    <t>A0110</t>
  </si>
  <si>
    <t xml:space="preserve">   1-2. 식재공사</t>
  </si>
  <si>
    <t>신규공사</t>
  </si>
  <si>
    <t>A0120</t>
  </si>
  <si>
    <t>1-1. 식재공사</t>
  </si>
  <si>
    <t xml:space="preserve">   [이식]소나무</t>
  </si>
  <si>
    <t>H10.0xR26 / 정식</t>
  </si>
  <si>
    <t>주</t>
  </si>
  <si>
    <t>No.91</t>
  </si>
  <si>
    <t>TR-ESSM1-01</t>
  </si>
  <si>
    <t>T</t>
  </si>
  <si>
    <t>H9.0xR21 / 정식(R20기준)</t>
  </si>
  <si>
    <t>No.92</t>
  </si>
  <si>
    <t>TR-ESSM1-02</t>
  </si>
  <si>
    <t xml:space="preserve">   [이식]굴참나무</t>
  </si>
  <si>
    <t>H9.0xR28 / 정식</t>
  </si>
  <si>
    <t>No.93</t>
  </si>
  <si>
    <t>TR-ESSM1-03</t>
  </si>
  <si>
    <t xml:space="preserve">   [이식]상수리나무</t>
  </si>
  <si>
    <t>No.94</t>
  </si>
  <si>
    <t>TR-ESSM1-04</t>
  </si>
  <si>
    <t>H10.0xR20 / 정식</t>
  </si>
  <si>
    <t>No.95</t>
  </si>
  <si>
    <t>TR-ESSM1-05</t>
  </si>
  <si>
    <t>H10.0xR28 / 정식</t>
  </si>
  <si>
    <t>No.96</t>
  </si>
  <si>
    <t>TR-ESSM1-06</t>
  </si>
  <si>
    <t>1-2. 식재공사</t>
  </si>
  <si>
    <t xml:space="preserve">   눈주목</t>
  </si>
  <si>
    <t>H0.4xW0.4</t>
  </si>
  <si>
    <t>No.101</t>
  </si>
  <si>
    <t>TU-JMN04</t>
  </si>
  <si>
    <t xml:space="preserve">   황금측백</t>
  </si>
  <si>
    <t>H0.6xW0.4, 단식</t>
  </si>
  <si>
    <t>No.98</t>
  </si>
  <si>
    <t>15</t>
  </si>
  <si>
    <t>TU-HGSB06D</t>
  </si>
  <si>
    <t xml:space="preserve">   장미 - 단식</t>
  </si>
  <si>
    <t>3년생x2가지</t>
  </si>
  <si>
    <t>No.100</t>
  </si>
  <si>
    <t>TU-JM03D</t>
  </si>
  <si>
    <t xml:space="preserve">   산철쭉</t>
  </si>
  <si>
    <t>No.103</t>
  </si>
  <si>
    <t>TU-SCJ04</t>
  </si>
  <si>
    <t xml:space="preserve">   무늬맥문동</t>
  </si>
  <si>
    <t>8cm</t>
  </si>
  <si>
    <t>본</t>
  </si>
  <si>
    <t>No.105</t>
  </si>
  <si>
    <t>TV-MNM08</t>
  </si>
  <si>
    <t xml:space="preserve">   수호초</t>
  </si>
  <si>
    <t>10cm</t>
  </si>
  <si>
    <t>No.107</t>
  </si>
  <si>
    <t>TV-SHC10</t>
  </si>
  <si>
    <t xml:space="preserve">   애란</t>
  </si>
  <si>
    <t>No.106</t>
  </si>
  <si>
    <t>TV-OARAN08</t>
  </si>
  <si>
    <t xml:space="preserve">   잔디</t>
  </si>
  <si>
    <t>1/2줄떼 0.3x0.3x0.03</t>
  </si>
  <si>
    <t>M2</t>
  </si>
  <si>
    <t>No.110</t>
  </si>
  <si>
    <t>TX-ZJDJ</t>
  </si>
  <si>
    <t>2. 시설물공사</t>
  </si>
  <si>
    <t xml:space="preserve">   계단"가"형</t>
  </si>
  <si>
    <t>W300x1200,5단</t>
  </si>
  <si>
    <t>개소</t>
  </si>
  <si>
    <t>No.53</t>
  </si>
  <si>
    <t>SG1-GD01</t>
  </si>
  <si>
    <t xml:space="preserve">   앉음벽"가"형</t>
  </si>
  <si>
    <t>W500xH450</t>
  </si>
  <si>
    <t>M</t>
  </si>
  <si>
    <t>No.57</t>
  </si>
  <si>
    <t>SG2-AUB-1</t>
  </si>
  <si>
    <t xml:space="preserve">   앉음벽"나"형</t>
  </si>
  <si>
    <t>No.58</t>
  </si>
  <si>
    <t>SG2-AUB-2</t>
  </si>
  <si>
    <t xml:space="preserve">   앉음벽"다"형</t>
  </si>
  <si>
    <t>No.59</t>
  </si>
  <si>
    <t>SG2-AUB-3</t>
  </si>
  <si>
    <t xml:space="preserve">   플랜터"가"형</t>
  </si>
  <si>
    <t>W200xH550</t>
  </si>
  <si>
    <t>No.60</t>
  </si>
  <si>
    <t>SG3-PLT-1</t>
  </si>
  <si>
    <t xml:space="preserve">   플랜터"나"형</t>
  </si>
  <si>
    <t>W600xH1200</t>
  </si>
  <si>
    <t>No.61</t>
  </si>
  <si>
    <t>SG3-PLT-2</t>
  </si>
  <si>
    <t xml:space="preserve">   파고라</t>
  </si>
  <si>
    <t>3800x3800xH2910</t>
  </si>
  <si>
    <t>MGS-1PGR</t>
  </si>
  <si>
    <t xml:space="preserve">   평의자</t>
  </si>
  <si>
    <t>1600x450xH420</t>
  </si>
  <si>
    <t>No.62</t>
  </si>
  <si>
    <t>SGS-1UJP</t>
  </si>
  <si>
    <t xml:space="preserve">   등의자</t>
  </si>
  <si>
    <t>1600x550xH770</t>
  </si>
  <si>
    <t>No.63</t>
  </si>
  <si>
    <t>SGS-2UJD</t>
  </si>
  <si>
    <t xml:space="preserve">   휀스출입문</t>
  </si>
  <si>
    <t>W2000xH2000</t>
  </si>
  <si>
    <t>No.64</t>
  </si>
  <si>
    <t>85</t>
  </si>
  <si>
    <t>SGS-3FCGT</t>
  </si>
  <si>
    <t xml:space="preserve">   휀스</t>
  </si>
  <si>
    <t>경간</t>
  </si>
  <si>
    <t>No.65</t>
  </si>
  <si>
    <t>87</t>
  </si>
  <si>
    <t>SGS-4FC</t>
  </si>
  <si>
    <t xml:space="preserve">   POT</t>
  </si>
  <si>
    <t>500x300xH400</t>
  </si>
  <si>
    <t>MGS-PLT</t>
  </si>
  <si>
    <t>91</t>
  </si>
  <si>
    <t xml:space="preserve">   자전거보관대</t>
  </si>
  <si>
    <t>8대x2단,지붕형, 현장설치도</t>
  </si>
  <si>
    <t>MGS-JJG</t>
  </si>
  <si>
    <t>95</t>
  </si>
  <si>
    <t xml:space="preserve">   인공지반"가"형</t>
  </si>
  <si>
    <t>T700</t>
  </si>
  <si>
    <t>No.67</t>
  </si>
  <si>
    <t>SN-IGJB1</t>
  </si>
  <si>
    <t xml:space="preserve">   인공지반"나"형</t>
  </si>
  <si>
    <t>T170</t>
  </si>
  <si>
    <t>No.68</t>
  </si>
  <si>
    <t>110</t>
  </si>
  <si>
    <t>SN-IGJB2</t>
  </si>
  <si>
    <t xml:space="preserve">   인공지반"다"형</t>
  </si>
  <si>
    <t>T110</t>
  </si>
  <si>
    <t>No.69</t>
  </si>
  <si>
    <t>120</t>
  </si>
  <si>
    <t>SN-IGJB3</t>
  </si>
  <si>
    <t>3. 포장공사</t>
  </si>
  <si>
    <t xml:space="preserve">   화강석판석포장"가"형</t>
  </si>
  <si>
    <t>T30, 회색계열, 버너</t>
  </si>
  <si>
    <t>No.71</t>
  </si>
  <si>
    <t>SP-HGSPS30</t>
  </si>
  <si>
    <t xml:space="preserve">   화강석판석포장"나"형</t>
  </si>
  <si>
    <t>No.72</t>
  </si>
  <si>
    <t>SP-HGSPS31</t>
  </si>
  <si>
    <t xml:space="preserve">   화강석판석포장"다"형</t>
  </si>
  <si>
    <t>No.73</t>
  </si>
  <si>
    <t>SP-HGSPS32</t>
  </si>
  <si>
    <t xml:space="preserve">   인조화강석블럭포장"가"형</t>
  </si>
  <si>
    <t>T60, 투수</t>
  </si>
  <si>
    <t>No.74</t>
  </si>
  <si>
    <t>SP-IJHGS60</t>
  </si>
  <si>
    <t xml:space="preserve">   인조화강석블럭포장"나"형</t>
  </si>
  <si>
    <t>No.75</t>
  </si>
  <si>
    <t>SP-IJHGS61</t>
  </si>
  <si>
    <t xml:space="preserve">   인조화강석블럭포장"다"형</t>
  </si>
  <si>
    <t>T60, 불투수</t>
  </si>
  <si>
    <t>No.76</t>
  </si>
  <si>
    <t>SP-IJHGS62</t>
  </si>
  <si>
    <t xml:space="preserve">   자갈 포설"가"형</t>
  </si>
  <si>
    <t>T220,W400,자연자갈</t>
  </si>
  <si>
    <t>No.78</t>
  </si>
  <si>
    <t>SP-KJG01</t>
  </si>
  <si>
    <t xml:space="preserve">   자갈 포설"나"형</t>
  </si>
  <si>
    <t>T200,W400,자연자갈</t>
  </si>
  <si>
    <t>No.79</t>
  </si>
  <si>
    <t>75</t>
  </si>
  <si>
    <t>SP-KJG02</t>
  </si>
  <si>
    <t xml:space="preserve">   녹지경계석"가"형</t>
  </si>
  <si>
    <t>150x150x1000, 직선</t>
  </si>
  <si>
    <t>No.80</t>
  </si>
  <si>
    <t>SPJJ-GJ150</t>
  </si>
  <si>
    <t>150x150x1000, 곡선</t>
  </si>
  <si>
    <t>No.81</t>
  </si>
  <si>
    <t>SPJJ-GJ150R</t>
  </si>
  <si>
    <t xml:space="preserve">   녹지경계석"나"형</t>
  </si>
  <si>
    <t>No.82</t>
  </si>
  <si>
    <t>SPJJ-GJ151</t>
  </si>
  <si>
    <t>4. 부대공사</t>
  </si>
  <si>
    <t xml:space="preserve">   수목명찰</t>
  </si>
  <si>
    <t>교목용</t>
  </si>
  <si>
    <t>MF01200</t>
  </si>
  <si>
    <t xml:space="preserve">   수목명찰(고정형)</t>
  </si>
  <si>
    <t>관목,지피용</t>
  </si>
  <si>
    <t>MF01100</t>
  </si>
  <si>
    <t xml:space="preserve">   관급자재하차</t>
  </si>
  <si>
    <t>지게차2.5TON</t>
  </si>
  <si>
    <t>TON</t>
  </si>
  <si>
    <t>#.2</t>
  </si>
  <si>
    <t>Z_B0100</t>
  </si>
  <si>
    <t>F</t>
  </si>
  <si>
    <t>5. 실내조경</t>
  </si>
  <si>
    <t xml:space="preserve">   5-1. 실내조경</t>
  </si>
  <si>
    <t>식재공사</t>
  </si>
  <si>
    <t>A0510</t>
  </si>
  <si>
    <t xml:space="preserve">   5-2. 실내조경</t>
  </si>
  <si>
    <t>시설물&amp;포장공사</t>
  </si>
  <si>
    <t>A0520</t>
  </si>
  <si>
    <t>5-1. 실내조경</t>
  </si>
  <si>
    <t xml:space="preserve">   남천</t>
  </si>
  <si>
    <t>H1.2x5가지, 실내조경</t>
  </si>
  <si>
    <t>No.104</t>
  </si>
  <si>
    <t>TUS-NC12</t>
  </si>
  <si>
    <t>8cm, 실내조경</t>
  </si>
  <si>
    <t>No.108</t>
  </si>
  <si>
    <t>TV-SN-MNM08</t>
  </si>
  <si>
    <t>No.109</t>
  </si>
  <si>
    <t>TV-SN-OARAN8</t>
  </si>
  <si>
    <t>5-2. 실내조경</t>
  </si>
  <si>
    <t xml:space="preserve">   인공지반"라"형</t>
  </si>
  <si>
    <t>T380</t>
  </si>
  <si>
    <t>No.70</t>
  </si>
  <si>
    <t>SN-IGJB4</t>
  </si>
  <si>
    <t xml:space="preserve">   경관석</t>
  </si>
  <si>
    <t>4목, 400x600x500</t>
  </si>
  <si>
    <t>No.66</t>
  </si>
  <si>
    <t>SN-GGS04</t>
  </si>
  <si>
    <t xml:space="preserve">   백자갈포설</t>
  </si>
  <si>
    <t>T100, Φ20내외</t>
  </si>
  <si>
    <t>No.77</t>
  </si>
  <si>
    <t>SP-JYJG01</t>
  </si>
  <si>
    <t>6. 관급공사</t>
  </si>
  <si>
    <t xml:space="preserve">   이형철근[관급]</t>
  </si>
  <si>
    <t>HD13M/M   0.995KG/M</t>
  </si>
  <si>
    <t>KG</t>
  </si>
  <si>
    <t>M0012006</t>
  </si>
  <si>
    <t>56801007002</t>
  </si>
  <si>
    <t xml:space="preserve">   레미콘[관급]</t>
  </si>
  <si>
    <t>25-18-8(Mpa)</t>
  </si>
  <si>
    <t>M3</t>
  </si>
  <si>
    <t>M0765027</t>
  </si>
  <si>
    <t>25-21-12(Mpa)</t>
  </si>
  <si>
    <t>M0765048</t>
  </si>
  <si>
    <t xml:space="preserve">   보통시멘트[관급]</t>
  </si>
  <si>
    <t>40kg/대</t>
  </si>
  <si>
    <t>M0747044</t>
  </si>
  <si>
    <t>35</t>
  </si>
  <si>
    <t xml:space="preserve">   인조화강석블럭[관급]</t>
  </si>
  <si>
    <t>MPV-IJ-60</t>
  </si>
  <si>
    <t>MPV-IJB-60</t>
  </si>
  <si>
    <t>45</t>
  </si>
  <si>
    <t xml:space="preserve">   화강석판석[관급]</t>
  </si>
  <si>
    <t>T50, 검정, 물갈기</t>
  </si>
  <si>
    <t>MA-PW-PSBM50</t>
  </si>
  <si>
    <t>T50, 회색, 버너</t>
  </si>
  <si>
    <t>MA-PW-PSGB50</t>
  </si>
  <si>
    <t>T30, 회색, 버너</t>
  </si>
  <si>
    <t>MA-PW-PSGB30</t>
  </si>
  <si>
    <t xml:space="preserve">EQ+ = </t>
  </si>
  <si>
    <t xml:space="preserve">EQ = </t>
  </si>
  <si>
    <t xml:space="preserve">   조달수수료</t>
  </si>
  <si>
    <t>0.54%</t>
  </si>
  <si>
    <t>eq=ma(10,0,90)*0.54/100+917</t>
  </si>
  <si>
    <t>7. 식재공사</t>
  </si>
  <si>
    <t>이식공사[가식-정식]</t>
  </si>
  <si>
    <t>C0110</t>
  </si>
  <si>
    <t>C0120</t>
  </si>
  <si>
    <t>7-1. 식재공사</t>
  </si>
  <si>
    <t>H10.0xR26 / 가식-정식</t>
  </si>
  <si>
    <t>No.97</t>
  </si>
  <si>
    <t>TR-ESSM2-01</t>
  </si>
  <si>
    <t>7-2. 식재공사</t>
  </si>
  <si>
    <t xml:space="preserve">   회양목</t>
  </si>
  <si>
    <t>H0.3xW0.3</t>
  </si>
  <si>
    <t>No.99</t>
  </si>
  <si>
    <t>TU-HYM03</t>
  </si>
  <si>
    <t xml:space="preserve">   조팝나무</t>
  </si>
  <si>
    <t>H0.6xW0.3</t>
  </si>
  <si>
    <t>No.102</t>
  </si>
  <si>
    <t>TU-JPN06</t>
  </si>
  <si>
    <t>8. 시설물공사</t>
  </si>
  <si>
    <t xml:space="preserve">   계단"나"형</t>
  </si>
  <si>
    <t>W300x1500,15단</t>
  </si>
  <si>
    <t>No.54</t>
  </si>
  <si>
    <t>SG1-GD02</t>
  </si>
  <si>
    <t>9. 포장공사</t>
  </si>
  <si>
    <t>10. 부대공사</t>
  </si>
  <si>
    <t>11. 관급공사</t>
  </si>
  <si>
    <t>eq=ma(10,0,90)*0.54/100+226</t>
  </si>
  <si>
    <t>◈ 인천소방학교 이전 신축공사 조경공사(1차+2차 공사)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</si>
</sst>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General;\-General\,&quot;&quot;;@"/>
    <numFmt numFmtId="177" formatCode="#,###;\-#,###;&quot;&quot;;@"/>
  </numFmts>
  <fonts count="5" x14ac:knownFonts="1"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sz val="8"/>
      <name val="굴림"/>
      <family val="3"/>
      <charset val="129"/>
    </font>
    <font>
      <u/>
      <sz val="8"/>
      <color indexed="30"/>
      <name val="굴림"/>
      <family val="3"/>
      <charset val="129"/>
    </font>
    <font>
      <sz val="8"/>
      <color indexed="22"/>
      <name val="굴림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indexed="27"/>
        <bgColor indexed="9"/>
      </patternFill>
    </fill>
    <fill>
      <patternFill patternType="solid">
        <fgColor indexed="44"/>
        <bgColor indexed="9"/>
      </patternFill>
    </fill>
    <fill>
      <patternFill patternType="solid">
        <fgColor indexed="22"/>
        <bgColor indexed="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/>
    <xf numFmtId="176" fontId="0" fillId="2" borderId="1" xfId="0" applyNumberFormat="1" applyFill="1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 wrapText="1"/>
    </xf>
    <xf numFmtId="176" fontId="0" fillId="2" borderId="1" xfId="0" applyNumberFormat="1" applyFill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vertical="center" shrinkToFit="1"/>
    </xf>
    <xf numFmtId="0" fontId="0" fillId="0" borderId="1" xfId="0" applyBorder="1" applyAlignment="1">
      <alignment vertical="center" shrinkToFit="1"/>
    </xf>
    <xf numFmtId="176" fontId="0" fillId="0" borderId="1" xfId="0" applyNumberFormat="1" applyBorder="1">
      <alignment vertical="center"/>
    </xf>
    <xf numFmtId="0" fontId="0" fillId="0" borderId="1" xfId="0" applyBorder="1" applyAlignment="1"/>
    <xf numFmtId="177" fontId="0" fillId="0" borderId="1" xfId="0" applyNumberFormat="1" applyBorder="1">
      <alignment vertical="center"/>
    </xf>
    <xf numFmtId="176" fontId="0" fillId="0" borderId="1" xfId="0" applyNumberFormat="1" applyBorder="1" applyAlignment="1">
      <alignment vertical="center" wrapText="1"/>
    </xf>
    <xf numFmtId="0" fontId="3" fillId="0" borderId="0" xfId="0" applyFont="1">
      <alignment vertical="center"/>
    </xf>
    <xf numFmtId="0" fontId="4" fillId="0" borderId="1" xfId="0" applyFont="1" applyBorder="1">
      <alignment vertical="center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176" fontId="0" fillId="0" borderId="1" xfId="0" applyNumberForma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esktop/Temp/09%20AI&#44060;&#48156;/06.%20Data%20Analysis/20250913%20&#45236;&#50669;&#49436;%20&#48516;&#49437;%20&#51204;&#47928;&#44032;/01.%20&#50896;&#48376;&#51088;&#47308;/03%20&#45236;&#50669;&#49436;(&#51068;&#50948;&#45824;&#44032;%20&#48143;%20&#44288;&#44553;&#45236;&#50669;&#54252;&#54632;),%20&#44277;&#45236;&#50669;&#49436;%20OK/04%20&#51312;&#44221;%20OK/01%20&#50896;&#48376;/20230330%20&#51064;&#52380;&#49548;&#48169;&#54617;&#44368;%20&#51060;&#51204;%20&#49888;&#52629;&#44277;&#49324;%20&#51312;&#44221;&#45236;&#50669;&#49436;.XLS" TargetMode="External"/><Relationship Id="rId2" Type="http://schemas.openxmlformats.org/officeDocument/2006/relationships/externalLinkPath" Target="file:///C:\Users\cho\Desktop\Temp\09%20AI&#44060;&#48156;\06.%20Data%20Analysis\20250913%20&#45236;&#50669;&#49436;%20&#48516;&#49437;%20&#51204;&#47928;&#44032;\01.%20&#50896;&#48376;&#51088;&#47308;\03%20&#45236;&#50669;&#49436;(&#51068;&#50948;&#45824;&#44032;%20&#48143;%20&#44288;&#44553;&#45236;&#50669;&#54252;&#54632;),%20&#44277;&#45236;&#50669;&#49436;%20OK\04%20&#51312;&#44221;%20OK\01%20&#50896;&#48376;\20230330%20&#51064;&#52380;&#49548;&#48169;&#54617;&#44368;%20&#51060;&#51204;%20&#49888;&#52629;&#44277;&#49324;%20&#51312;&#44221;&#45236;&#50669;&#49436;.XLS" TargetMode="External"/><Relationship Id="rId1" Type="http://schemas.openxmlformats.org/officeDocument/2006/relationships/externalLinkPath" Target="/Users/cho/Desktop/Temp/09%20AI&#44060;&#48156;/06.%20Data%20Analysis/20250913%20&#45236;&#50669;&#49436;%20&#48516;&#49437;%20&#51204;&#47928;&#44032;/01.%20&#50896;&#48376;&#51088;&#47308;/03%20&#45236;&#50669;&#49436;(&#51068;&#50948;&#45824;&#44032;%20&#48143;%20&#44288;&#44553;&#45236;&#50669;&#54252;&#54632;),%20&#44277;&#45236;&#50669;&#49436;%20OK/04%20&#51312;&#44221;%20OK/01%20&#50896;&#48376;/20230330%20&#51064;&#52380;&#49548;&#48169;&#54617;&#44368;%20&#51060;&#51204;%20&#49888;&#52629;&#44277;&#49324;%20&#51312;&#44221;&#45236;&#50669;&#49436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내역서"/>
      <sheetName val="일위대가목록-호표"/>
      <sheetName val="일위대가_호표"/>
      <sheetName val="일위대가목록-산근"/>
      <sheetName val="일위대가_산근"/>
      <sheetName val="중기사용료목록"/>
      <sheetName val="중기사용료"/>
      <sheetName val="중기기초자료"/>
      <sheetName val="자재"/>
      <sheetName val="노임"/>
      <sheetName val="경비"/>
      <sheetName val="자재조서"/>
      <sheetName val="전역변수"/>
      <sheetName val="중기전역변수"/>
      <sheetName val="Sheet3"/>
    </sheetNames>
    <sheetDataSet>
      <sheetData sheetId="0">
        <row r="197">
          <cell r="F197">
            <v>1061897</v>
          </cell>
        </row>
        <row r="198">
          <cell r="F198">
            <v>8013400</v>
          </cell>
        </row>
        <row r="199">
          <cell r="F199">
            <v>1870820</v>
          </cell>
        </row>
        <row r="200">
          <cell r="F200">
            <v>1779420</v>
          </cell>
        </row>
        <row r="201">
          <cell r="F201">
            <v>39782600</v>
          </cell>
        </row>
        <row r="202">
          <cell r="F202">
            <v>5519800</v>
          </cell>
        </row>
        <row r="203">
          <cell r="F203">
            <v>8360000</v>
          </cell>
        </row>
        <row r="204">
          <cell r="F204">
            <v>230250</v>
          </cell>
        </row>
        <row r="205">
          <cell r="F205">
            <v>14850000</v>
          </cell>
        </row>
        <row r="317">
          <cell r="F317">
            <v>165385</v>
          </cell>
        </row>
        <row r="318">
          <cell r="F318">
            <v>544600</v>
          </cell>
        </row>
        <row r="319">
          <cell r="F319">
            <v>325360</v>
          </cell>
        </row>
        <row r="320">
          <cell r="F320">
            <v>38376</v>
          </cell>
        </row>
        <row r="321">
          <cell r="F321">
            <v>8422700</v>
          </cell>
        </row>
        <row r="322">
          <cell r="F322">
            <v>220000</v>
          </cell>
        </row>
        <row r="323">
          <cell r="F323">
            <v>598650</v>
          </cell>
        </row>
        <row r="324">
          <cell r="F324">
            <v>480000</v>
          </cell>
        </row>
      </sheetData>
      <sheetData sheetId="1">
        <row r="55">
          <cell r="E55">
            <v>74046</v>
          </cell>
          <cell r="F55">
            <v>445981</v>
          </cell>
          <cell r="G55">
            <v>7108</v>
          </cell>
        </row>
        <row r="56">
          <cell r="E56">
            <v>649914</v>
          </cell>
          <cell r="F56">
            <v>3148464</v>
          </cell>
          <cell r="G56">
            <v>37660</v>
          </cell>
        </row>
        <row r="59">
          <cell r="E59">
            <v>44534</v>
          </cell>
          <cell r="F59">
            <v>135465</v>
          </cell>
          <cell r="G59">
            <v>1240</v>
          </cell>
        </row>
        <row r="60">
          <cell r="E60">
            <v>48111</v>
          </cell>
          <cell r="F60">
            <v>184647</v>
          </cell>
          <cell r="G60">
            <v>779</v>
          </cell>
        </row>
        <row r="61">
          <cell r="E61">
            <v>43313</v>
          </cell>
          <cell r="F61">
            <v>170252</v>
          </cell>
          <cell r="G61">
            <v>745</v>
          </cell>
        </row>
        <row r="62">
          <cell r="E62">
            <v>20565</v>
          </cell>
          <cell r="F62">
            <v>132923</v>
          </cell>
          <cell r="G62">
            <v>961</v>
          </cell>
        </row>
        <row r="63">
          <cell r="E63">
            <v>945157</v>
          </cell>
          <cell r="F63">
            <v>19443</v>
          </cell>
          <cell r="G63">
            <v>930</v>
          </cell>
        </row>
        <row r="64">
          <cell r="E64">
            <v>504428</v>
          </cell>
          <cell r="F64">
            <v>10971</v>
          </cell>
          <cell r="G64">
            <v>144</v>
          </cell>
        </row>
        <row r="65">
          <cell r="E65">
            <v>604428</v>
          </cell>
          <cell r="F65">
            <v>10971</v>
          </cell>
          <cell r="G65">
            <v>144</v>
          </cell>
        </row>
        <row r="66">
          <cell r="E66">
            <v>2469980</v>
          </cell>
          <cell r="F66">
            <v>80117</v>
          </cell>
          <cell r="G66">
            <v>369</v>
          </cell>
        </row>
        <row r="67">
          <cell r="E67">
            <v>1918990</v>
          </cell>
          <cell r="F67">
            <v>67696</v>
          </cell>
          <cell r="G67">
            <v>190</v>
          </cell>
        </row>
        <row r="68">
          <cell r="E68">
            <v>25365</v>
          </cell>
          <cell r="F68">
            <v>23865</v>
          </cell>
          <cell r="G68">
            <v>2711</v>
          </cell>
        </row>
        <row r="69">
          <cell r="E69">
            <v>78692</v>
          </cell>
          <cell r="F69">
            <v>47880</v>
          </cell>
          <cell r="G69">
            <v>5770</v>
          </cell>
        </row>
        <row r="70">
          <cell r="E70">
            <v>34522</v>
          </cell>
          <cell r="F70">
            <v>12084</v>
          </cell>
          <cell r="G70">
            <v>1421</v>
          </cell>
        </row>
        <row r="71">
          <cell r="E71">
            <v>29542</v>
          </cell>
          <cell r="F71">
            <v>8032</v>
          </cell>
          <cell r="G71">
            <v>955</v>
          </cell>
        </row>
        <row r="72">
          <cell r="E72">
            <v>52012</v>
          </cell>
          <cell r="F72">
            <v>26267</v>
          </cell>
          <cell r="G72">
            <v>3130</v>
          </cell>
        </row>
        <row r="73">
          <cell r="E73">
            <v>6620</v>
          </cell>
          <cell r="F73">
            <v>71360</v>
          </cell>
          <cell r="G73">
            <v>1400</v>
          </cell>
        </row>
        <row r="74">
          <cell r="E74">
            <v>3806</v>
          </cell>
          <cell r="F74">
            <v>69748</v>
          </cell>
          <cell r="G74">
            <v>979</v>
          </cell>
        </row>
        <row r="75">
          <cell r="E75">
            <v>3678</v>
          </cell>
          <cell r="F75">
            <v>68574</v>
          </cell>
          <cell r="G75">
            <v>814</v>
          </cell>
        </row>
        <row r="76">
          <cell r="E76">
            <v>4645</v>
          </cell>
          <cell r="F76">
            <v>8226</v>
          </cell>
          <cell r="G76">
            <v>1085</v>
          </cell>
        </row>
        <row r="77">
          <cell r="E77">
            <v>4487</v>
          </cell>
          <cell r="F77">
            <v>7047</v>
          </cell>
          <cell r="G77">
            <v>911</v>
          </cell>
        </row>
        <row r="78">
          <cell r="E78">
            <v>4786</v>
          </cell>
          <cell r="F78">
            <v>13432</v>
          </cell>
          <cell r="G78">
            <v>1844</v>
          </cell>
        </row>
        <row r="79">
          <cell r="E79">
            <v>64428</v>
          </cell>
          <cell r="F79">
            <v>2198</v>
          </cell>
          <cell r="G79">
            <v>0</v>
          </cell>
        </row>
        <row r="80">
          <cell r="E80">
            <v>6900</v>
          </cell>
          <cell r="F80">
            <v>4837</v>
          </cell>
          <cell r="G80">
            <v>0</v>
          </cell>
        </row>
        <row r="81">
          <cell r="E81">
            <v>6300</v>
          </cell>
          <cell r="F81">
            <v>4397</v>
          </cell>
          <cell r="G81">
            <v>0</v>
          </cell>
        </row>
        <row r="82">
          <cell r="E82">
            <v>20334</v>
          </cell>
          <cell r="F82">
            <v>16564</v>
          </cell>
          <cell r="G82">
            <v>820</v>
          </cell>
        </row>
        <row r="83">
          <cell r="E83">
            <v>35018</v>
          </cell>
          <cell r="F83">
            <v>17748</v>
          </cell>
          <cell r="G83">
            <v>929</v>
          </cell>
        </row>
        <row r="84">
          <cell r="E84">
            <v>19422</v>
          </cell>
          <cell r="F84">
            <v>12820</v>
          </cell>
          <cell r="G84">
            <v>698</v>
          </cell>
        </row>
        <row r="93">
          <cell r="E93">
            <v>130453</v>
          </cell>
          <cell r="F93">
            <v>845531</v>
          </cell>
          <cell r="G93">
            <v>69490</v>
          </cell>
        </row>
        <row r="94">
          <cell r="E94">
            <v>85877</v>
          </cell>
          <cell r="F94">
            <v>508359</v>
          </cell>
          <cell r="G94">
            <v>43648</v>
          </cell>
        </row>
        <row r="95">
          <cell r="E95">
            <v>130713</v>
          </cell>
          <cell r="F95">
            <v>845531</v>
          </cell>
          <cell r="G95">
            <v>70990</v>
          </cell>
        </row>
        <row r="96">
          <cell r="E96">
            <v>130453</v>
          </cell>
          <cell r="F96">
            <v>845531</v>
          </cell>
          <cell r="G96">
            <v>69490</v>
          </cell>
        </row>
        <row r="97">
          <cell r="E97">
            <v>85877</v>
          </cell>
          <cell r="F97">
            <v>508359</v>
          </cell>
          <cell r="G97">
            <v>43648</v>
          </cell>
        </row>
        <row r="98">
          <cell r="E98">
            <v>130713</v>
          </cell>
          <cell r="F98">
            <v>845531</v>
          </cell>
          <cell r="G98">
            <v>70990</v>
          </cell>
        </row>
        <row r="99">
          <cell r="E99">
            <v>158802</v>
          </cell>
          <cell r="F99">
            <v>1097463</v>
          </cell>
          <cell r="G99">
            <v>107351</v>
          </cell>
        </row>
        <row r="100">
          <cell r="E100">
            <v>11325</v>
          </cell>
          <cell r="F100">
            <v>6143</v>
          </cell>
          <cell r="G100">
            <v>0</v>
          </cell>
        </row>
        <row r="101">
          <cell r="E101">
            <v>4012</v>
          </cell>
          <cell r="F101">
            <v>2507</v>
          </cell>
          <cell r="G101">
            <v>0</v>
          </cell>
        </row>
        <row r="102">
          <cell r="E102">
            <v>3880</v>
          </cell>
          <cell r="F102">
            <v>6143</v>
          </cell>
          <cell r="G102">
            <v>0</v>
          </cell>
        </row>
        <row r="103">
          <cell r="E103">
            <v>22162</v>
          </cell>
          <cell r="F103">
            <v>2507</v>
          </cell>
          <cell r="G103">
            <v>0</v>
          </cell>
        </row>
        <row r="104">
          <cell r="E104">
            <v>1746</v>
          </cell>
          <cell r="F104">
            <v>2507</v>
          </cell>
          <cell r="G104">
            <v>0</v>
          </cell>
        </row>
        <row r="105">
          <cell r="E105">
            <v>3022</v>
          </cell>
          <cell r="F105">
            <v>2507</v>
          </cell>
          <cell r="G105">
            <v>0</v>
          </cell>
        </row>
        <row r="106">
          <cell r="E106">
            <v>12750</v>
          </cell>
          <cell r="F106">
            <v>35185</v>
          </cell>
          <cell r="G106">
            <v>0</v>
          </cell>
        </row>
        <row r="107">
          <cell r="E107">
            <v>2232</v>
          </cell>
          <cell r="F107">
            <v>431</v>
          </cell>
          <cell r="G107">
            <v>0</v>
          </cell>
        </row>
        <row r="108">
          <cell r="E108">
            <v>582</v>
          </cell>
          <cell r="F108">
            <v>431</v>
          </cell>
          <cell r="G108">
            <v>0</v>
          </cell>
        </row>
        <row r="109">
          <cell r="E109">
            <v>2782</v>
          </cell>
          <cell r="F109">
            <v>431</v>
          </cell>
          <cell r="G109">
            <v>0</v>
          </cell>
        </row>
        <row r="110">
          <cell r="E110">
            <v>2232</v>
          </cell>
          <cell r="F110">
            <v>338</v>
          </cell>
          <cell r="G110">
            <v>0</v>
          </cell>
        </row>
        <row r="111">
          <cell r="E111">
            <v>582</v>
          </cell>
          <cell r="F111">
            <v>338</v>
          </cell>
          <cell r="G111">
            <v>0</v>
          </cell>
        </row>
        <row r="112">
          <cell r="E112">
            <v>2566</v>
          </cell>
          <cell r="F112">
            <v>4789</v>
          </cell>
          <cell r="G112">
            <v>0</v>
          </cell>
        </row>
      </sheetData>
      <sheetData sheetId="2"/>
      <sheetData sheetId="3">
        <row r="4">
          <cell r="E4">
            <v>515</v>
          </cell>
          <cell r="F4">
            <v>3548</v>
          </cell>
          <cell r="G4">
            <v>264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>
        <row r="4">
          <cell r="E4">
            <v>1008.45</v>
          </cell>
        </row>
        <row r="9">
          <cell r="E9">
            <v>133.25</v>
          </cell>
        </row>
        <row r="12">
          <cell r="E12">
            <v>77800</v>
          </cell>
        </row>
        <row r="13">
          <cell r="E13">
            <v>81340</v>
          </cell>
        </row>
        <row r="30">
          <cell r="E30">
            <v>110000</v>
          </cell>
        </row>
        <row r="31">
          <cell r="E31">
            <v>30000</v>
          </cell>
        </row>
        <row r="32">
          <cell r="E32">
            <v>46050</v>
          </cell>
        </row>
        <row r="37">
          <cell r="E37">
            <v>62400</v>
          </cell>
        </row>
        <row r="38">
          <cell r="E38">
            <v>49600</v>
          </cell>
        </row>
        <row r="39">
          <cell r="E39">
            <v>15625000</v>
          </cell>
        </row>
        <row r="40">
          <cell r="E40">
            <v>7700000</v>
          </cell>
        </row>
        <row r="41">
          <cell r="E41">
            <v>890000</v>
          </cell>
        </row>
        <row r="50">
          <cell r="E50">
            <v>14300</v>
          </cell>
        </row>
        <row r="51">
          <cell r="E51">
            <v>14300</v>
          </cell>
        </row>
      </sheetData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01B12-2140-4753-BD96-261BE81BD970}">
  <dimension ref="A1:BI326"/>
  <sheetViews>
    <sheetView tabSelected="1" workbookViewId="0">
      <selection activeCell="B6" sqref="B6"/>
    </sheetView>
  </sheetViews>
  <sheetFormatPr defaultRowHeight="16.5" x14ac:dyDescent="0.3"/>
  <cols>
    <col min="1" max="1" width="18.75" style="1" customWidth="1"/>
    <col min="2" max="2" width="15" style="1" customWidth="1"/>
    <col min="3" max="3" width="6" style="1" customWidth="1"/>
    <col min="4" max="4" width="3.75" style="1" customWidth="1"/>
    <col min="5" max="12" width="9.75" style="1" customWidth="1"/>
    <col min="13" max="13" width="7.5" style="1" customWidth="1"/>
    <col min="14" max="59" width="0" style="1" hidden="1" customWidth="1"/>
    <col min="60" max="256" width="9" style="1"/>
    <col min="257" max="257" width="18.75" style="1" customWidth="1"/>
    <col min="258" max="258" width="15" style="1" customWidth="1"/>
    <col min="259" max="259" width="6" style="1" customWidth="1"/>
    <col min="260" max="260" width="3.75" style="1" customWidth="1"/>
    <col min="261" max="268" width="9.75" style="1" customWidth="1"/>
    <col min="269" max="269" width="7.5" style="1" customWidth="1"/>
    <col min="270" max="315" width="0" style="1" hidden="1" customWidth="1"/>
    <col min="316" max="512" width="9" style="1"/>
    <col min="513" max="513" width="18.75" style="1" customWidth="1"/>
    <col min="514" max="514" width="15" style="1" customWidth="1"/>
    <col min="515" max="515" width="6" style="1" customWidth="1"/>
    <col min="516" max="516" width="3.75" style="1" customWidth="1"/>
    <col min="517" max="524" width="9.75" style="1" customWidth="1"/>
    <col min="525" max="525" width="7.5" style="1" customWidth="1"/>
    <col min="526" max="571" width="0" style="1" hidden="1" customWidth="1"/>
    <col min="572" max="768" width="9" style="1"/>
    <col min="769" max="769" width="18.75" style="1" customWidth="1"/>
    <col min="770" max="770" width="15" style="1" customWidth="1"/>
    <col min="771" max="771" width="6" style="1" customWidth="1"/>
    <col min="772" max="772" width="3.75" style="1" customWidth="1"/>
    <col min="773" max="780" width="9.75" style="1" customWidth="1"/>
    <col min="781" max="781" width="7.5" style="1" customWidth="1"/>
    <col min="782" max="827" width="0" style="1" hidden="1" customWidth="1"/>
    <col min="828" max="1024" width="9" style="1"/>
    <col min="1025" max="1025" width="18.75" style="1" customWidth="1"/>
    <col min="1026" max="1026" width="15" style="1" customWidth="1"/>
    <col min="1027" max="1027" width="6" style="1" customWidth="1"/>
    <col min="1028" max="1028" width="3.75" style="1" customWidth="1"/>
    <col min="1029" max="1036" width="9.75" style="1" customWidth="1"/>
    <col min="1037" max="1037" width="7.5" style="1" customWidth="1"/>
    <col min="1038" max="1083" width="0" style="1" hidden="1" customWidth="1"/>
    <col min="1084" max="1280" width="9" style="1"/>
    <col min="1281" max="1281" width="18.75" style="1" customWidth="1"/>
    <col min="1282" max="1282" width="15" style="1" customWidth="1"/>
    <col min="1283" max="1283" width="6" style="1" customWidth="1"/>
    <col min="1284" max="1284" width="3.75" style="1" customWidth="1"/>
    <col min="1285" max="1292" width="9.75" style="1" customWidth="1"/>
    <col min="1293" max="1293" width="7.5" style="1" customWidth="1"/>
    <col min="1294" max="1339" width="0" style="1" hidden="1" customWidth="1"/>
    <col min="1340" max="1536" width="9" style="1"/>
    <col min="1537" max="1537" width="18.75" style="1" customWidth="1"/>
    <col min="1538" max="1538" width="15" style="1" customWidth="1"/>
    <col min="1539" max="1539" width="6" style="1" customWidth="1"/>
    <col min="1540" max="1540" width="3.75" style="1" customWidth="1"/>
    <col min="1541" max="1548" width="9.75" style="1" customWidth="1"/>
    <col min="1549" max="1549" width="7.5" style="1" customWidth="1"/>
    <col min="1550" max="1595" width="0" style="1" hidden="1" customWidth="1"/>
    <col min="1596" max="1792" width="9" style="1"/>
    <col min="1793" max="1793" width="18.75" style="1" customWidth="1"/>
    <col min="1794" max="1794" width="15" style="1" customWidth="1"/>
    <col min="1795" max="1795" width="6" style="1" customWidth="1"/>
    <col min="1796" max="1796" width="3.75" style="1" customWidth="1"/>
    <col min="1797" max="1804" width="9.75" style="1" customWidth="1"/>
    <col min="1805" max="1805" width="7.5" style="1" customWidth="1"/>
    <col min="1806" max="1851" width="0" style="1" hidden="1" customWidth="1"/>
    <col min="1852" max="2048" width="9" style="1"/>
    <col min="2049" max="2049" width="18.75" style="1" customWidth="1"/>
    <col min="2050" max="2050" width="15" style="1" customWidth="1"/>
    <col min="2051" max="2051" width="6" style="1" customWidth="1"/>
    <col min="2052" max="2052" width="3.75" style="1" customWidth="1"/>
    <col min="2053" max="2060" width="9.75" style="1" customWidth="1"/>
    <col min="2061" max="2061" width="7.5" style="1" customWidth="1"/>
    <col min="2062" max="2107" width="0" style="1" hidden="1" customWidth="1"/>
    <col min="2108" max="2304" width="9" style="1"/>
    <col min="2305" max="2305" width="18.75" style="1" customWidth="1"/>
    <col min="2306" max="2306" width="15" style="1" customWidth="1"/>
    <col min="2307" max="2307" width="6" style="1" customWidth="1"/>
    <col min="2308" max="2308" width="3.75" style="1" customWidth="1"/>
    <col min="2309" max="2316" width="9.75" style="1" customWidth="1"/>
    <col min="2317" max="2317" width="7.5" style="1" customWidth="1"/>
    <col min="2318" max="2363" width="0" style="1" hidden="1" customWidth="1"/>
    <col min="2364" max="2560" width="9" style="1"/>
    <col min="2561" max="2561" width="18.75" style="1" customWidth="1"/>
    <col min="2562" max="2562" width="15" style="1" customWidth="1"/>
    <col min="2563" max="2563" width="6" style="1" customWidth="1"/>
    <col min="2564" max="2564" width="3.75" style="1" customWidth="1"/>
    <col min="2565" max="2572" width="9.75" style="1" customWidth="1"/>
    <col min="2573" max="2573" width="7.5" style="1" customWidth="1"/>
    <col min="2574" max="2619" width="0" style="1" hidden="1" customWidth="1"/>
    <col min="2620" max="2816" width="9" style="1"/>
    <col min="2817" max="2817" width="18.75" style="1" customWidth="1"/>
    <col min="2818" max="2818" width="15" style="1" customWidth="1"/>
    <col min="2819" max="2819" width="6" style="1" customWidth="1"/>
    <col min="2820" max="2820" width="3.75" style="1" customWidth="1"/>
    <col min="2821" max="2828" width="9.75" style="1" customWidth="1"/>
    <col min="2829" max="2829" width="7.5" style="1" customWidth="1"/>
    <col min="2830" max="2875" width="0" style="1" hidden="1" customWidth="1"/>
    <col min="2876" max="3072" width="9" style="1"/>
    <col min="3073" max="3073" width="18.75" style="1" customWidth="1"/>
    <col min="3074" max="3074" width="15" style="1" customWidth="1"/>
    <col min="3075" max="3075" width="6" style="1" customWidth="1"/>
    <col min="3076" max="3076" width="3.75" style="1" customWidth="1"/>
    <col min="3077" max="3084" width="9.75" style="1" customWidth="1"/>
    <col min="3085" max="3085" width="7.5" style="1" customWidth="1"/>
    <col min="3086" max="3131" width="0" style="1" hidden="1" customWidth="1"/>
    <col min="3132" max="3328" width="9" style="1"/>
    <col min="3329" max="3329" width="18.75" style="1" customWidth="1"/>
    <col min="3330" max="3330" width="15" style="1" customWidth="1"/>
    <col min="3331" max="3331" width="6" style="1" customWidth="1"/>
    <col min="3332" max="3332" width="3.75" style="1" customWidth="1"/>
    <col min="3333" max="3340" width="9.75" style="1" customWidth="1"/>
    <col min="3341" max="3341" width="7.5" style="1" customWidth="1"/>
    <col min="3342" max="3387" width="0" style="1" hidden="1" customWidth="1"/>
    <col min="3388" max="3584" width="9" style="1"/>
    <col min="3585" max="3585" width="18.75" style="1" customWidth="1"/>
    <col min="3586" max="3586" width="15" style="1" customWidth="1"/>
    <col min="3587" max="3587" width="6" style="1" customWidth="1"/>
    <col min="3588" max="3588" width="3.75" style="1" customWidth="1"/>
    <col min="3589" max="3596" width="9.75" style="1" customWidth="1"/>
    <col min="3597" max="3597" width="7.5" style="1" customWidth="1"/>
    <col min="3598" max="3643" width="0" style="1" hidden="1" customWidth="1"/>
    <col min="3644" max="3840" width="9" style="1"/>
    <col min="3841" max="3841" width="18.75" style="1" customWidth="1"/>
    <col min="3842" max="3842" width="15" style="1" customWidth="1"/>
    <col min="3843" max="3843" width="6" style="1" customWidth="1"/>
    <col min="3844" max="3844" width="3.75" style="1" customWidth="1"/>
    <col min="3845" max="3852" width="9.75" style="1" customWidth="1"/>
    <col min="3853" max="3853" width="7.5" style="1" customWidth="1"/>
    <col min="3854" max="3899" width="0" style="1" hidden="1" customWidth="1"/>
    <col min="3900" max="4096" width="9" style="1"/>
    <col min="4097" max="4097" width="18.75" style="1" customWidth="1"/>
    <col min="4098" max="4098" width="15" style="1" customWidth="1"/>
    <col min="4099" max="4099" width="6" style="1" customWidth="1"/>
    <col min="4100" max="4100" width="3.75" style="1" customWidth="1"/>
    <col min="4101" max="4108" width="9.75" style="1" customWidth="1"/>
    <col min="4109" max="4109" width="7.5" style="1" customWidth="1"/>
    <col min="4110" max="4155" width="0" style="1" hidden="1" customWidth="1"/>
    <col min="4156" max="4352" width="9" style="1"/>
    <col min="4353" max="4353" width="18.75" style="1" customWidth="1"/>
    <col min="4354" max="4354" width="15" style="1" customWidth="1"/>
    <col min="4355" max="4355" width="6" style="1" customWidth="1"/>
    <col min="4356" max="4356" width="3.75" style="1" customWidth="1"/>
    <col min="4357" max="4364" width="9.75" style="1" customWidth="1"/>
    <col min="4365" max="4365" width="7.5" style="1" customWidth="1"/>
    <col min="4366" max="4411" width="0" style="1" hidden="1" customWidth="1"/>
    <col min="4412" max="4608" width="9" style="1"/>
    <col min="4609" max="4609" width="18.75" style="1" customWidth="1"/>
    <col min="4610" max="4610" width="15" style="1" customWidth="1"/>
    <col min="4611" max="4611" width="6" style="1" customWidth="1"/>
    <col min="4612" max="4612" width="3.75" style="1" customWidth="1"/>
    <col min="4613" max="4620" width="9.75" style="1" customWidth="1"/>
    <col min="4621" max="4621" width="7.5" style="1" customWidth="1"/>
    <col min="4622" max="4667" width="0" style="1" hidden="1" customWidth="1"/>
    <col min="4668" max="4864" width="9" style="1"/>
    <col min="4865" max="4865" width="18.75" style="1" customWidth="1"/>
    <col min="4866" max="4866" width="15" style="1" customWidth="1"/>
    <col min="4867" max="4867" width="6" style="1" customWidth="1"/>
    <col min="4868" max="4868" width="3.75" style="1" customWidth="1"/>
    <col min="4869" max="4876" width="9.75" style="1" customWidth="1"/>
    <col min="4877" max="4877" width="7.5" style="1" customWidth="1"/>
    <col min="4878" max="4923" width="0" style="1" hidden="1" customWidth="1"/>
    <col min="4924" max="5120" width="9" style="1"/>
    <col min="5121" max="5121" width="18.75" style="1" customWidth="1"/>
    <col min="5122" max="5122" width="15" style="1" customWidth="1"/>
    <col min="5123" max="5123" width="6" style="1" customWidth="1"/>
    <col min="5124" max="5124" width="3.75" style="1" customWidth="1"/>
    <col min="5125" max="5132" width="9.75" style="1" customWidth="1"/>
    <col min="5133" max="5133" width="7.5" style="1" customWidth="1"/>
    <col min="5134" max="5179" width="0" style="1" hidden="1" customWidth="1"/>
    <col min="5180" max="5376" width="9" style="1"/>
    <col min="5377" max="5377" width="18.75" style="1" customWidth="1"/>
    <col min="5378" max="5378" width="15" style="1" customWidth="1"/>
    <col min="5379" max="5379" width="6" style="1" customWidth="1"/>
    <col min="5380" max="5380" width="3.75" style="1" customWidth="1"/>
    <col min="5381" max="5388" width="9.75" style="1" customWidth="1"/>
    <col min="5389" max="5389" width="7.5" style="1" customWidth="1"/>
    <col min="5390" max="5435" width="0" style="1" hidden="1" customWidth="1"/>
    <col min="5436" max="5632" width="9" style="1"/>
    <col min="5633" max="5633" width="18.75" style="1" customWidth="1"/>
    <col min="5634" max="5634" width="15" style="1" customWidth="1"/>
    <col min="5635" max="5635" width="6" style="1" customWidth="1"/>
    <col min="5636" max="5636" width="3.75" style="1" customWidth="1"/>
    <col min="5637" max="5644" width="9.75" style="1" customWidth="1"/>
    <col min="5645" max="5645" width="7.5" style="1" customWidth="1"/>
    <col min="5646" max="5691" width="0" style="1" hidden="1" customWidth="1"/>
    <col min="5692" max="5888" width="9" style="1"/>
    <col min="5889" max="5889" width="18.75" style="1" customWidth="1"/>
    <col min="5890" max="5890" width="15" style="1" customWidth="1"/>
    <col min="5891" max="5891" width="6" style="1" customWidth="1"/>
    <col min="5892" max="5892" width="3.75" style="1" customWidth="1"/>
    <col min="5893" max="5900" width="9.75" style="1" customWidth="1"/>
    <col min="5901" max="5901" width="7.5" style="1" customWidth="1"/>
    <col min="5902" max="5947" width="0" style="1" hidden="1" customWidth="1"/>
    <col min="5948" max="6144" width="9" style="1"/>
    <col min="6145" max="6145" width="18.75" style="1" customWidth="1"/>
    <col min="6146" max="6146" width="15" style="1" customWidth="1"/>
    <col min="6147" max="6147" width="6" style="1" customWidth="1"/>
    <col min="6148" max="6148" width="3.75" style="1" customWidth="1"/>
    <col min="6149" max="6156" width="9.75" style="1" customWidth="1"/>
    <col min="6157" max="6157" width="7.5" style="1" customWidth="1"/>
    <col min="6158" max="6203" width="0" style="1" hidden="1" customWidth="1"/>
    <col min="6204" max="6400" width="9" style="1"/>
    <col min="6401" max="6401" width="18.75" style="1" customWidth="1"/>
    <col min="6402" max="6402" width="15" style="1" customWidth="1"/>
    <col min="6403" max="6403" width="6" style="1" customWidth="1"/>
    <col min="6404" max="6404" width="3.75" style="1" customWidth="1"/>
    <col min="6405" max="6412" width="9.75" style="1" customWidth="1"/>
    <col min="6413" max="6413" width="7.5" style="1" customWidth="1"/>
    <col min="6414" max="6459" width="0" style="1" hidden="1" customWidth="1"/>
    <col min="6460" max="6656" width="9" style="1"/>
    <col min="6657" max="6657" width="18.75" style="1" customWidth="1"/>
    <col min="6658" max="6658" width="15" style="1" customWidth="1"/>
    <col min="6659" max="6659" width="6" style="1" customWidth="1"/>
    <col min="6660" max="6660" width="3.75" style="1" customWidth="1"/>
    <col min="6661" max="6668" width="9.75" style="1" customWidth="1"/>
    <col min="6669" max="6669" width="7.5" style="1" customWidth="1"/>
    <col min="6670" max="6715" width="0" style="1" hidden="1" customWidth="1"/>
    <col min="6716" max="6912" width="9" style="1"/>
    <col min="6913" max="6913" width="18.75" style="1" customWidth="1"/>
    <col min="6914" max="6914" width="15" style="1" customWidth="1"/>
    <col min="6915" max="6915" width="6" style="1" customWidth="1"/>
    <col min="6916" max="6916" width="3.75" style="1" customWidth="1"/>
    <col min="6917" max="6924" width="9.75" style="1" customWidth="1"/>
    <col min="6925" max="6925" width="7.5" style="1" customWidth="1"/>
    <col min="6926" max="6971" width="0" style="1" hidden="1" customWidth="1"/>
    <col min="6972" max="7168" width="9" style="1"/>
    <col min="7169" max="7169" width="18.75" style="1" customWidth="1"/>
    <col min="7170" max="7170" width="15" style="1" customWidth="1"/>
    <col min="7171" max="7171" width="6" style="1" customWidth="1"/>
    <col min="7172" max="7172" width="3.75" style="1" customWidth="1"/>
    <col min="7173" max="7180" width="9.75" style="1" customWidth="1"/>
    <col min="7181" max="7181" width="7.5" style="1" customWidth="1"/>
    <col min="7182" max="7227" width="0" style="1" hidden="1" customWidth="1"/>
    <col min="7228" max="7424" width="9" style="1"/>
    <col min="7425" max="7425" width="18.75" style="1" customWidth="1"/>
    <col min="7426" max="7426" width="15" style="1" customWidth="1"/>
    <col min="7427" max="7427" width="6" style="1" customWidth="1"/>
    <col min="7428" max="7428" width="3.75" style="1" customWidth="1"/>
    <col min="7429" max="7436" width="9.75" style="1" customWidth="1"/>
    <col min="7437" max="7437" width="7.5" style="1" customWidth="1"/>
    <col min="7438" max="7483" width="0" style="1" hidden="1" customWidth="1"/>
    <col min="7484" max="7680" width="9" style="1"/>
    <col min="7681" max="7681" width="18.75" style="1" customWidth="1"/>
    <col min="7682" max="7682" width="15" style="1" customWidth="1"/>
    <col min="7683" max="7683" width="6" style="1" customWidth="1"/>
    <col min="7684" max="7684" width="3.75" style="1" customWidth="1"/>
    <col min="7685" max="7692" width="9.75" style="1" customWidth="1"/>
    <col min="7693" max="7693" width="7.5" style="1" customWidth="1"/>
    <col min="7694" max="7739" width="0" style="1" hidden="1" customWidth="1"/>
    <col min="7740" max="7936" width="9" style="1"/>
    <col min="7937" max="7937" width="18.75" style="1" customWidth="1"/>
    <col min="7938" max="7938" width="15" style="1" customWidth="1"/>
    <col min="7939" max="7939" width="6" style="1" customWidth="1"/>
    <col min="7940" max="7940" width="3.75" style="1" customWidth="1"/>
    <col min="7941" max="7948" width="9.75" style="1" customWidth="1"/>
    <col min="7949" max="7949" width="7.5" style="1" customWidth="1"/>
    <col min="7950" max="7995" width="0" style="1" hidden="1" customWidth="1"/>
    <col min="7996" max="8192" width="9" style="1"/>
    <col min="8193" max="8193" width="18.75" style="1" customWidth="1"/>
    <col min="8194" max="8194" width="15" style="1" customWidth="1"/>
    <col min="8195" max="8195" width="6" style="1" customWidth="1"/>
    <col min="8196" max="8196" width="3.75" style="1" customWidth="1"/>
    <col min="8197" max="8204" width="9.75" style="1" customWidth="1"/>
    <col min="8205" max="8205" width="7.5" style="1" customWidth="1"/>
    <col min="8206" max="8251" width="0" style="1" hidden="1" customWidth="1"/>
    <col min="8252" max="8448" width="9" style="1"/>
    <col min="8449" max="8449" width="18.75" style="1" customWidth="1"/>
    <col min="8450" max="8450" width="15" style="1" customWidth="1"/>
    <col min="8451" max="8451" width="6" style="1" customWidth="1"/>
    <col min="8452" max="8452" width="3.75" style="1" customWidth="1"/>
    <col min="8453" max="8460" width="9.75" style="1" customWidth="1"/>
    <col min="8461" max="8461" width="7.5" style="1" customWidth="1"/>
    <col min="8462" max="8507" width="0" style="1" hidden="1" customWidth="1"/>
    <col min="8508" max="8704" width="9" style="1"/>
    <col min="8705" max="8705" width="18.75" style="1" customWidth="1"/>
    <col min="8706" max="8706" width="15" style="1" customWidth="1"/>
    <col min="8707" max="8707" width="6" style="1" customWidth="1"/>
    <col min="8708" max="8708" width="3.75" style="1" customWidth="1"/>
    <col min="8709" max="8716" width="9.75" style="1" customWidth="1"/>
    <col min="8717" max="8717" width="7.5" style="1" customWidth="1"/>
    <col min="8718" max="8763" width="0" style="1" hidden="1" customWidth="1"/>
    <col min="8764" max="8960" width="9" style="1"/>
    <col min="8961" max="8961" width="18.75" style="1" customWidth="1"/>
    <col min="8962" max="8962" width="15" style="1" customWidth="1"/>
    <col min="8963" max="8963" width="6" style="1" customWidth="1"/>
    <col min="8964" max="8964" width="3.75" style="1" customWidth="1"/>
    <col min="8965" max="8972" width="9.75" style="1" customWidth="1"/>
    <col min="8973" max="8973" width="7.5" style="1" customWidth="1"/>
    <col min="8974" max="9019" width="0" style="1" hidden="1" customWidth="1"/>
    <col min="9020" max="9216" width="9" style="1"/>
    <col min="9217" max="9217" width="18.75" style="1" customWidth="1"/>
    <col min="9218" max="9218" width="15" style="1" customWidth="1"/>
    <col min="9219" max="9219" width="6" style="1" customWidth="1"/>
    <col min="9220" max="9220" width="3.75" style="1" customWidth="1"/>
    <col min="9221" max="9228" width="9.75" style="1" customWidth="1"/>
    <col min="9229" max="9229" width="7.5" style="1" customWidth="1"/>
    <col min="9230" max="9275" width="0" style="1" hidden="1" customWidth="1"/>
    <col min="9276" max="9472" width="9" style="1"/>
    <col min="9473" max="9473" width="18.75" style="1" customWidth="1"/>
    <col min="9474" max="9474" width="15" style="1" customWidth="1"/>
    <col min="9475" max="9475" width="6" style="1" customWidth="1"/>
    <col min="9476" max="9476" width="3.75" style="1" customWidth="1"/>
    <col min="9477" max="9484" width="9.75" style="1" customWidth="1"/>
    <col min="9485" max="9485" width="7.5" style="1" customWidth="1"/>
    <col min="9486" max="9531" width="0" style="1" hidden="1" customWidth="1"/>
    <col min="9532" max="9728" width="9" style="1"/>
    <col min="9729" max="9729" width="18.75" style="1" customWidth="1"/>
    <col min="9730" max="9730" width="15" style="1" customWidth="1"/>
    <col min="9731" max="9731" width="6" style="1" customWidth="1"/>
    <col min="9732" max="9732" width="3.75" style="1" customWidth="1"/>
    <col min="9733" max="9740" width="9.75" style="1" customWidth="1"/>
    <col min="9741" max="9741" width="7.5" style="1" customWidth="1"/>
    <col min="9742" max="9787" width="0" style="1" hidden="1" customWidth="1"/>
    <col min="9788" max="9984" width="9" style="1"/>
    <col min="9985" max="9985" width="18.75" style="1" customWidth="1"/>
    <col min="9986" max="9986" width="15" style="1" customWidth="1"/>
    <col min="9987" max="9987" width="6" style="1" customWidth="1"/>
    <col min="9988" max="9988" width="3.75" style="1" customWidth="1"/>
    <col min="9989" max="9996" width="9.75" style="1" customWidth="1"/>
    <col min="9997" max="9997" width="7.5" style="1" customWidth="1"/>
    <col min="9998" max="10043" width="0" style="1" hidden="1" customWidth="1"/>
    <col min="10044" max="10240" width="9" style="1"/>
    <col min="10241" max="10241" width="18.75" style="1" customWidth="1"/>
    <col min="10242" max="10242" width="15" style="1" customWidth="1"/>
    <col min="10243" max="10243" width="6" style="1" customWidth="1"/>
    <col min="10244" max="10244" width="3.75" style="1" customWidth="1"/>
    <col min="10245" max="10252" width="9.75" style="1" customWidth="1"/>
    <col min="10253" max="10253" width="7.5" style="1" customWidth="1"/>
    <col min="10254" max="10299" width="0" style="1" hidden="1" customWidth="1"/>
    <col min="10300" max="10496" width="9" style="1"/>
    <col min="10497" max="10497" width="18.75" style="1" customWidth="1"/>
    <col min="10498" max="10498" width="15" style="1" customWidth="1"/>
    <col min="10499" max="10499" width="6" style="1" customWidth="1"/>
    <col min="10500" max="10500" width="3.75" style="1" customWidth="1"/>
    <col min="10501" max="10508" width="9.75" style="1" customWidth="1"/>
    <col min="10509" max="10509" width="7.5" style="1" customWidth="1"/>
    <col min="10510" max="10555" width="0" style="1" hidden="1" customWidth="1"/>
    <col min="10556" max="10752" width="9" style="1"/>
    <col min="10753" max="10753" width="18.75" style="1" customWidth="1"/>
    <col min="10754" max="10754" width="15" style="1" customWidth="1"/>
    <col min="10755" max="10755" width="6" style="1" customWidth="1"/>
    <col min="10756" max="10756" width="3.75" style="1" customWidth="1"/>
    <col min="10757" max="10764" width="9.75" style="1" customWidth="1"/>
    <col min="10765" max="10765" width="7.5" style="1" customWidth="1"/>
    <col min="10766" max="10811" width="0" style="1" hidden="1" customWidth="1"/>
    <col min="10812" max="11008" width="9" style="1"/>
    <col min="11009" max="11009" width="18.75" style="1" customWidth="1"/>
    <col min="11010" max="11010" width="15" style="1" customWidth="1"/>
    <col min="11011" max="11011" width="6" style="1" customWidth="1"/>
    <col min="11012" max="11012" width="3.75" style="1" customWidth="1"/>
    <col min="11013" max="11020" width="9.75" style="1" customWidth="1"/>
    <col min="11021" max="11021" width="7.5" style="1" customWidth="1"/>
    <col min="11022" max="11067" width="0" style="1" hidden="1" customWidth="1"/>
    <col min="11068" max="11264" width="9" style="1"/>
    <col min="11265" max="11265" width="18.75" style="1" customWidth="1"/>
    <col min="11266" max="11266" width="15" style="1" customWidth="1"/>
    <col min="11267" max="11267" width="6" style="1" customWidth="1"/>
    <col min="11268" max="11268" width="3.75" style="1" customWidth="1"/>
    <col min="11269" max="11276" width="9.75" style="1" customWidth="1"/>
    <col min="11277" max="11277" width="7.5" style="1" customWidth="1"/>
    <col min="11278" max="11323" width="0" style="1" hidden="1" customWidth="1"/>
    <col min="11324" max="11520" width="9" style="1"/>
    <col min="11521" max="11521" width="18.75" style="1" customWidth="1"/>
    <col min="11522" max="11522" width="15" style="1" customWidth="1"/>
    <col min="11523" max="11523" width="6" style="1" customWidth="1"/>
    <col min="11524" max="11524" width="3.75" style="1" customWidth="1"/>
    <col min="11525" max="11532" width="9.75" style="1" customWidth="1"/>
    <col min="11533" max="11533" width="7.5" style="1" customWidth="1"/>
    <col min="11534" max="11579" width="0" style="1" hidden="1" customWidth="1"/>
    <col min="11580" max="11776" width="9" style="1"/>
    <col min="11777" max="11777" width="18.75" style="1" customWidth="1"/>
    <col min="11778" max="11778" width="15" style="1" customWidth="1"/>
    <col min="11779" max="11779" width="6" style="1" customWidth="1"/>
    <col min="11780" max="11780" width="3.75" style="1" customWidth="1"/>
    <col min="11781" max="11788" width="9.75" style="1" customWidth="1"/>
    <col min="11789" max="11789" width="7.5" style="1" customWidth="1"/>
    <col min="11790" max="11835" width="0" style="1" hidden="1" customWidth="1"/>
    <col min="11836" max="12032" width="9" style="1"/>
    <col min="12033" max="12033" width="18.75" style="1" customWidth="1"/>
    <col min="12034" max="12034" width="15" style="1" customWidth="1"/>
    <col min="12035" max="12035" width="6" style="1" customWidth="1"/>
    <col min="12036" max="12036" width="3.75" style="1" customWidth="1"/>
    <col min="12037" max="12044" width="9.75" style="1" customWidth="1"/>
    <col min="12045" max="12045" width="7.5" style="1" customWidth="1"/>
    <col min="12046" max="12091" width="0" style="1" hidden="1" customWidth="1"/>
    <col min="12092" max="12288" width="9" style="1"/>
    <col min="12289" max="12289" width="18.75" style="1" customWidth="1"/>
    <col min="12290" max="12290" width="15" style="1" customWidth="1"/>
    <col min="12291" max="12291" width="6" style="1" customWidth="1"/>
    <col min="12292" max="12292" width="3.75" style="1" customWidth="1"/>
    <col min="12293" max="12300" width="9.75" style="1" customWidth="1"/>
    <col min="12301" max="12301" width="7.5" style="1" customWidth="1"/>
    <col min="12302" max="12347" width="0" style="1" hidden="1" customWidth="1"/>
    <col min="12348" max="12544" width="9" style="1"/>
    <col min="12545" max="12545" width="18.75" style="1" customWidth="1"/>
    <col min="12546" max="12546" width="15" style="1" customWidth="1"/>
    <col min="12547" max="12547" width="6" style="1" customWidth="1"/>
    <col min="12548" max="12548" width="3.75" style="1" customWidth="1"/>
    <col min="12549" max="12556" width="9.75" style="1" customWidth="1"/>
    <col min="12557" max="12557" width="7.5" style="1" customWidth="1"/>
    <col min="12558" max="12603" width="0" style="1" hidden="1" customWidth="1"/>
    <col min="12604" max="12800" width="9" style="1"/>
    <col min="12801" max="12801" width="18.75" style="1" customWidth="1"/>
    <col min="12802" max="12802" width="15" style="1" customWidth="1"/>
    <col min="12803" max="12803" width="6" style="1" customWidth="1"/>
    <col min="12804" max="12804" width="3.75" style="1" customWidth="1"/>
    <col min="12805" max="12812" width="9.75" style="1" customWidth="1"/>
    <col min="12813" max="12813" width="7.5" style="1" customWidth="1"/>
    <col min="12814" max="12859" width="0" style="1" hidden="1" customWidth="1"/>
    <col min="12860" max="13056" width="9" style="1"/>
    <col min="13057" max="13057" width="18.75" style="1" customWidth="1"/>
    <col min="13058" max="13058" width="15" style="1" customWidth="1"/>
    <col min="13059" max="13059" width="6" style="1" customWidth="1"/>
    <col min="13060" max="13060" width="3.75" style="1" customWidth="1"/>
    <col min="13061" max="13068" width="9.75" style="1" customWidth="1"/>
    <col min="13069" max="13069" width="7.5" style="1" customWidth="1"/>
    <col min="13070" max="13115" width="0" style="1" hidden="1" customWidth="1"/>
    <col min="13116" max="13312" width="9" style="1"/>
    <col min="13313" max="13313" width="18.75" style="1" customWidth="1"/>
    <col min="13314" max="13314" width="15" style="1" customWidth="1"/>
    <col min="13315" max="13315" width="6" style="1" customWidth="1"/>
    <col min="13316" max="13316" width="3.75" style="1" customWidth="1"/>
    <col min="13317" max="13324" width="9.75" style="1" customWidth="1"/>
    <col min="13325" max="13325" width="7.5" style="1" customWidth="1"/>
    <col min="13326" max="13371" width="0" style="1" hidden="1" customWidth="1"/>
    <col min="13372" max="13568" width="9" style="1"/>
    <col min="13569" max="13569" width="18.75" style="1" customWidth="1"/>
    <col min="13570" max="13570" width="15" style="1" customWidth="1"/>
    <col min="13571" max="13571" width="6" style="1" customWidth="1"/>
    <col min="13572" max="13572" width="3.75" style="1" customWidth="1"/>
    <col min="13573" max="13580" width="9.75" style="1" customWidth="1"/>
    <col min="13581" max="13581" width="7.5" style="1" customWidth="1"/>
    <col min="13582" max="13627" width="0" style="1" hidden="1" customWidth="1"/>
    <col min="13628" max="13824" width="9" style="1"/>
    <col min="13825" max="13825" width="18.75" style="1" customWidth="1"/>
    <col min="13826" max="13826" width="15" style="1" customWidth="1"/>
    <col min="13827" max="13827" width="6" style="1" customWidth="1"/>
    <col min="13828" max="13828" width="3.75" style="1" customWidth="1"/>
    <col min="13829" max="13836" width="9.75" style="1" customWidth="1"/>
    <col min="13837" max="13837" width="7.5" style="1" customWidth="1"/>
    <col min="13838" max="13883" width="0" style="1" hidden="1" customWidth="1"/>
    <col min="13884" max="14080" width="9" style="1"/>
    <col min="14081" max="14081" width="18.75" style="1" customWidth="1"/>
    <col min="14082" max="14082" width="15" style="1" customWidth="1"/>
    <col min="14083" max="14083" width="6" style="1" customWidth="1"/>
    <col min="14084" max="14084" width="3.75" style="1" customWidth="1"/>
    <col min="14085" max="14092" width="9.75" style="1" customWidth="1"/>
    <col min="14093" max="14093" width="7.5" style="1" customWidth="1"/>
    <col min="14094" max="14139" width="0" style="1" hidden="1" customWidth="1"/>
    <col min="14140" max="14336" width="9" style="1"/>
    <col min="14337" max="14337" width="18.75" style="1" customWidth="1"/>
    <col min="14338" max="14338" width="15" style="1" customWidth="1"/>
    <col min="14339" max="14339" width="6" style="1" customWidth="1"/>
    <col min="14340" max="14340" width="3.75" style="1" customWidth="1"/>
    <col min="14341" max="14348" width="9.75" style="1" customWidth="1"/>
    <col min="14349" max="14349" width="7.5" style="1" customWidth="1"/>
    <col min="14350" max="14395" width="0" style="1" hidden="1" customWidth="1"/>
    <col min="14396" max="14592" width="9" style="1"/>
    <col min="14593" max="14593" width="18.75" style="1" customWidth="1"/>
    <col min="14594" max="14594" width="15" style="1" customWidth="1"/>
    <col min="14595" max="14595" width="6" style="1" customWidth="1"/>
    <col min="14596" max="14596" width="3.75" style="1" customWidth="1"/>
    <col min="14597" max="14604" width="9.75" style="1" customWidth="1"/>
    <col min="14605" max="14605" width="7.5" style="1" customWidth="1"/>
    <col min="14606" max="14651" width="0" style="1" hidden="1" customWidth="1"/>
    <col min="14652" max="14848" width="9" style="1"/>
    <col min="14849" max="14849" width="18.75" style="1" customWidth="1"/>
    <col min="14850" max="14850" width="15" style="1" customWidth="1"/>
    <col min="14851" max="14851" width="6" style="1" customWidth="1"/>
    <col min="14852" max="14852" width="3.75" style="1" customWidth="1"/>
    <col min="14853" max="14860" width="9.75" style="1" customWidth="1"/>
    <col min="14861" max="14861" width="7.5" style="1" customWidth="1"/>
    <col min="14862" max="14907" width="0" style="1" hidden="1" customWidth="1"/>
    <col min="14908" max="15104" width="9" style="1"/>
    <col min="15105" max="15105" width="18.75" style="1" customWidth="1"/>
    <col min="15106" max="15106" width="15" style="1" customWidth="1"/>
    <col min="15107" max="15107" width="6" style="1" customWidth="1"/>
    <col min="15108" max="15108" width="3.75" style="1" customWidth="1"/>
    <col min="15109" max="15116" width="9.75" style="1" customWidth="1"/>
    <col min="15117" max="15117" width="7.5" style="1" customWidth="1"/>
    <col min="15118" max="15163" width="0" style="1" hidden="1" customWidth="1"/>
    <col min="15164" max="15360" width="9" style="1"/>
    <col min="15361" max="15361" width="18.75" style="1" customWidth="1"/>
    <col min="15362" max="15362" width="15" style="1" customWidth="1"/>
    <col min="15363" max="15363" width="6" style="1" customWidth="1"/>
    <col min="15364" max="15364" width="3.75" style="1" customWidth="1"/>
    <col min="15365" max="15372" width="9.75" style="1" customWidth="1"/>
    <col min="15373" max="15373" width="7.5" style="1" customWidth="1"/>
    <col min="15374" max="15419" width="0" style="1" hidden="1" customWidth="1"/>
    <col min="15420" max="15616" width="9" style="1"/>
    <col min="15617" max="15617" width="18.75" style="1" customWidth="1"/>
    <col min="15618" max="15618" width="15" style="1" customWidth="1"/>
    <col min="15619" max="15619" width="6" style="1" customWidth="1"/>
    <col min="15620" max="15620" width="3.75" style="1" customWidth="1"/>
    <col min="15621" max="15628" width="9.75" style="1" customWidth="1"/>
    <col min="15629" max="15629" width="7.5" style="1" customWidth="1"/>
    <col min="15630" max="15675" width="0" style="1" hidden="1" customWidth="1"/>
    <col min="15676" max="15872" width="9" style="1"/>
    <col min="15873" max="15873" width="18.75" style="1" customWidth="1"/>
    <col min="15874" max="15874" width="15" style="1" customWidth="1"/>
    <col min="15875" max="15875" width="6" style="1" customWidth="1"/>
    <col min="15876" max="15876" width="3.75" style="1" customWidth="1"/>
    <col min="15877" max="15884" width="9.75" style="1" customWidth="1"/>
    <col min="15885" max="15885" width="7.5" style="1" customWidth="1"/>
    <col min="15886" max="15931" width="0" style="1" hidden="1" customWidth="1"/>
    <col min="15932" max="16128" width="9" style="1"/>
    <col min="16129" max="16129" width="18.75" style="1" customWidth="1"/>
    <col min="16130" max="16130" width="15" style="1" customWidth="1"/>
    <col min="16131" max="16131" width="6" style="1" customWidth="1"/>
    <col min="16132" max="16132" width="3.75" style="1" customWidth="1"/>
    <col min="16133" max="16140" width="9.75" style="1" customWidth="1"/>
    <col min="16141" max="16141" width="7.5" style="1" customWidth="1"/>
    <col min="16142" max="16187" width="0" style="1" hidden="1" customWidth="1"/>
    <col min="16188" max="16384" width="9" style="1"/>
  </cols>
  <sheetData>
    <row r="1" spans="1:61" ht="18.399999999999999" customHeight="1" x14ac:dyDescent="0.3">
      <c r="A1" s="1" t="s">
        <v>0</v>
      </c>
    </row>
    <row r="2" spans="1:61" ht="18.399999999999999" customHeigh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6</v>
      </c>
      <c r="I2" s="2" t="s">
        <v>8</v>
      </c>
      <c r="J2" s="2" t="s">
        <v>6</v>
      </c>
      <c r="K2" s="2" t="s">
        <v>9</v>
      </c>
      <c r="L2" s="2" t="s">
        <v>6</v>
      </c>
      <c r="M2" s="3" t="s">
        <v>10</v>
      </c>
    </row>
    <row r="3" spans="1:61" ht="18.399999999999999" customHeight="1" x14ac:dyDescent="0.3">
      <c r="A3" s="2" t="s">
        <v>6</v>
      </c>
      <c r="B3" s="2" t="s">
        <v>6</v>
      </c>
      <c r="C3" s="2" t="s">
        <v>6</v>
      </c>
      <c r="D3" s="2" t="s">
        <v>6</v>
      </c>
      <c r="E3" s="4" t="s">
        <v>11</v>
      </c>
      <c r="F3" s="4" t="s">
        <v>12</v>
      </c>
      <c r="G3" s="4" t="s">
        <v>11</v>
      </c>
      <c r="H3" s="4" t="s">
        <v>12</v>
      </c>
      <c r="I3" s="4" t="s">
        <v>11</v>
      </c>
      <c r="J3" s="4" t="s">
        <v>12</v>
      </c>
      <c r="K3" s="4" t="s">
        <v>11</v>
      </c>
      <c r="L3" s="4" t="s">
        <v>12</v>
      </c>
      <c r="M3" s="3" t="s">
        <v>6</v>
      </c>
      <c r="S3" s="5" t="s">
        <v>13</v>
      </c>
      <c r="T3" s="5" t="s">
        <v>14</v>
      </c>
      <c r="U3" s="5" t="s">
        <v>15</v>
      </c>
      <c r="V3" s="5" t="s">
        <v>16</v>
      </c>
      <c r="W3" s="5" t="s">
        <v>17</v>
      </c>
      <c r="X3" s="5" t="s">
        <v>18</v>
      </c>
      <c r="Y3" s="5" t="s">
        <v>19</v>
      </c>
    </row>
    <row r="4" spans="1:61" ht="18.399999999999999" customHeight="1" x14ac:dyDescent="0.3">
      <c r="A4" s="6" t="s">
        <v>340</v>
      </c>
      <c r="B4" s="7"/>
      <c r="C4" s="8">
        <v>1</v>
      </c>
      <c r="D4" s="8" t="s">
        <v>20</v>
      </c>
      <c r="E4" s="9"/>
      <c r="F4" s="10">
        <f>TRUNC(F5+F6,0)</f>
        <v>420209764</v>
      </c>
      <c r="G4" s="9"/>
      <c r="H4" s="10">
        <f>TRUNC(H5+H6,0)</f>
        <v>534814908</v>
      </c>
      <c r="I4" s="9"/>
      <c r="J4" s="10">
        <f>TRUNC(J5+J6,0)</f>
        <v>39547349</v>
      </c>
      <c r="K4" s="9"/>
      <c r="L4" s="10">
        <f>F4+H4+J4</f>
        <v>994572021</v>
      </c>
      <c r="M4" s="11" t="s">
        <v>6</v>
      </c>
      <c r="N4" s="1" t="s">
        <v>6</v>
      </c>
      <c r="O4" s="1" t="s">
        <v>21</v>
      </c>
    </row>
    <row r="5" spans="1:61" ht="18.399999999999999" customHeight="1" x14ac:dyDescent="0.3">
      <c r="A5" s="8" t="s">
        <v>22</v>
      </c>
      <c r="B5" s="8"/>
      <c r="C5" s="8">
        <v>1</v>
      </c>
      <c r="D5" s="8" t="s">
        <v>20</v>
      </c>
      <c r="E5" s="10">
        <f>F28</f>
        <v>369909972</v>
      </c>
      <c r="F5" s="10">
        <f>TRUNC(E5*C5,0)</f>
        <v>369909972</v>
      </c>
      <c r="G5" s="10">
        <f>H28</f>
        <v>373623249</v>
      </c>
      <c r="H5" s="10">
        <f>TRUNC(G5*C5,0)</f>
        <v>373623249</v>
      </c>
      <c r="I5" s="10">
        <f>J28</f>
        <v>26115986</v>
      </c>
      <c r="J5" s="10">
        <f>TRUNC(I5*C5,0)</f>
        <v>26115986</v>
      </c>
      <c r="K5" s="10">
        <f>E5+G5+I5</f>
        <v>769649207</v>
      </c>
      <c r="L5" s="10">
        <f>F5+H5+J5</f>
        <v>769649207</v>
      </c>
      <c r="M5" s="11" t="s">
        <v>6</v>
      </c>
      <c r="N5" s="1" t="s">
        <v>6</v>
      </c>
      <c r="P5" s="1" t="s">
        <v>23</v>
      </c>
      <c r="Q5" s="1" t="s">
        <v>6</v>
      </c>
      <c r="R5" s="1" t="s">
        <v>24</v>
      </c>
      <c r="BI5" s="12" t="str">
        <f>HYPERLINK("#내역서!A7","A0010 →")</f>
        <v>A0010 →</v>
      </c>
    </row>
    <row r="6" spans="1:61" ht="18.399999999999999" customHeight="1" x14ac:dyDescent="0.3">
      <c r="A6" s="8" t="s">
        <v>25</v>
      </c>
      <c r="B6" s="8"/>
      <c r="C6" s="8">
        <v>1</v>
      </c>
      <c r="D6" s="8" t="s">
        <v>20</v>
      </c>
      <c r="E6" s="10">
        <f>F52</f>
        <v>50299792</v>
      </c>
      <c r="F6" s="10">
        <f>TRUNC(E6*C6,0)</f>
        <v>50299792</v>
      </c>
      <c r="G6" s="10">
        <f>H52</f>
        <v>161191659</v>
      </c>
      <c r="H6" s="10">
        <f>TRUNC(G6*C6,0)</f>
        <v>161191659</v>
      </c>
      <c r="I6" s="10">
        <f>J52</f>
        <v>13431363</v>
      </c>
      <c r="J6" s="10">
        <f>TRUNC(I6*C6,0)</f>
        <v>13431363</v>
      </c>
      <c r="K6" s="10">
        <f>E6+G6+I6</f>
        <v>224922814</v>
      </c>
      <c r="L6" s="10">
        <f>F6+H6+J6</f>
        <v>224922814</v>
      </c>
      <c r="M6" s="11" t="s">
        <v>6</v>
      </c>
      <c r="N6" s="1" t="s">
        <v>6</v>
      </c>
      <c r="P6" s="1" t="s">
        <v>26</v>
      </c>
      <c r="Q6" s="1" t="s">
        <v>27</v>
      </c>
      <c r="R6" s="1" t="s">
        <v>28</v>
      </c>
      <c r="BI6" s="12" t="str">
        <f>HYPERLINK("#내역서!A20","A0020 →")</f>
        <v>A0020 →</v>
      </c>
    </row>
    <row r="7" spans="1:61" ht="18.399999999999999" customHeight="1" x14ac:dyDescent="0.3">
      <c r="A7" s="8"/>
      <c r="B7" s="8"/>
      <c r="C7" s="8"/>
      <c r="D7" s="8"/>
      <c r="E7" s="10"/>
      <c r="F7" s="10"/>
      <c r="G7" s="10"/>
      <c r="H7" s="10"/>
      <c r="I7" s="10"/>
      <c r="J7" s="10"/>
      <c r="K7" s="10"/>
      <c r="L7" s="10"/>
      <c r="M7" s="11"/>
      <c r="BI7" s="12"/>
    </row>
    <row r="8" spans="1:61" ht="18.399999999999999" customHeight="1" x14ac:dyDescent="0.3">
      <c r="A8" s="8"/>
      <c r="B8" s="8"/>
      <c r="C8" s="8"/>
      <c r="D8" s="8"/>
      <c r="E8" s="10"/>
      <c r="F8" s="10"/>
      <c r="G8" s="10"/>
      <c r="H8" s="10"/>
      <c r="I8" s="10"/>
      <c r="J8" s="10"/>
      <c r="K8" s="10"/>
      <c r="L8" s="10"/>
      <c r="M8" s="11"/>
      <c r="BI8" s="12"/>
    </row>
    <row r="9" spans="1:61" ht="18.399999999999999" customHeight="1" x14ac:dyDescent="0.3">
      <c r="A9" s="8"/>
      <c r="B9" s="8"/>
      <c r="C9" s="8"/>
      <c r="D9" s="8"/>
      <c r="E9" s="10"/>
      <c r="F9" s="10"/>
      <c r="G9" s="10"/>
      <c r="H9" s="10"/>
      <c r="I9" s="10"/>
      <c r="J9" s="10"/>
      <c r="K9" s="10"/>
      <c r="L9" s="10"/>
      <c r="M9" s="11"/>
      <c r="BI9" s="12"/>
    </row>
    <row r="10" spans="1:61" ht="18.399999999999999" customHeight="1" x14ac:dyDescent="0.3">
      <c r="A10" s="8"/>
      <c r="B10" s="8"/>
      <c r="C10" s="8"/>
      <c r="D10" s="8"/>
      <c r="E10" s="10"/>
      <c r="F10" s="10"/>
      <c r="G10" s="10"/>
      <c r="H10" s="10"/>
      <c r="I10" s="10"/>
      <c r="J10" s="10"/>
      <c r="K10" s="10"/>
      <c r="L10" s="10"/>
      <c r="M10" s="11"/>
      <c r="BI10" s="12"/>
    </row>
    <row r="11" spans="1:61" ht="18.399999999999999" customHeight="1" x14ac:dyDescent="0.3">
      <c r="A11" s="8"/>
      <c r="B11" s="8"/>
      <c r="C11" s="8"/>
      <c r="D11" s="8"/>
      <c r="E11" s="10"/>
      <c r="F11" s="10"/>
      <c r="G11" s="10"/>
      <c r="H11" s="10"/>
      <c r="I11" s="10"/>
      <c r="J11" s="10"/>
      <c r="K11" s="10"/>
      <c r="L11" s="10"/>
      <c r="M11" s="11"/>
      <c r="BI11" s="12"/>
    </row>
    <row r="12" spans="1:61" ht="18.399999999999999" customHeight="1" x14ac:dyDescent="0.3">
      <c r="A12" s="8"/>
      <c r="B12" s="8"/>
      <c r="C12" s="8"/>
      <c r="D12" s="8"/>
      <c r="E12" s="10"/>
      <c r="F12" s="10"/>
      <c r="G12" s="10"/>
      <c r="H12" s="10"/>
      <c r="I12" s="10"/>
      <c r="J12" s="10"/>
      <c r="K12" s="10"/>
      <c r="L12" s="10"/>
      <c r="M12" s="11"/>
      <c r="BI12" s="12"/>
    </row>
    <row r="13" spans="1:61" ht="18.399999999999999" customHeight="1" x14ac:dyDescent="0.3">
      <c r="A13" s="8"/>
      <c r="B13" s="8"/>
      <c r="C13" s="8"/>
      <c r="D13" s="8"/>
      <c r="E13" s="10"/>
      <c r="F13" s="10"/>
      <c r="G13" s="10"/>
      <c r="H13" s="10"/>
      <c r="I13" s="10"/>
      <c r="J13" s="10"/>
      <c r="K13" s="10"/>
      <c r="L13" s="10"/>
      <c r="M13" s="11"/>
      <c r="BI13" s="12"/>
    </row>
    <row r="14" spans="1:61" ht="18.399999999999999" customHeight="1" x14ac:dyDescent="0.3">
      <c r="A14" s="8"/>
      <c r="B14" s="8"/>
      <c r="C14" s="8"/>
      <c r="D14" s="8"/>
      <c r="E14" s="10"/>
      <c r="F14" s="10"/>
      <c r="G14" s="10"/>
      <c r="H14" s="10"/>
      <c r="I14" s="10"/>
      <c r="J14" s="10"/>
      <c r="K14" s="10"/>
      <c r="L14" s="10"/>
      <c r="M14" s="11"/>
      <c r="BI14" s="12"/>
    </row>
    <row r="15" spans="1:61" ht="18.399999999999999" customHeight="1" x14ac:dyDescent="0.3">
      <c r="A15" s="8"/>
      <c r="B15" s="8"/>
      <c r="C15" s="8"/>
      <c r="D15" s="8"/>
      <c r="E15" s="10"/>
      <c r="F15" s="10"/>
      <c r="G15" s="10"/>
      <c r="H15" s="10"/>
      <c r="I15" s="10"/>
      <c r="J15" s="10"/>
      <c r="K15" s="10"/>
      <c r="L15" s="10"/>
      <c r="M15" s="11"/>
      <c r="BI15" s="12"/>
    </row>
    <row r="16" spans="1:61" ht="18.399999999999999" customHeight="1" x14ac:dyDescent="0.3">
      <c r="A16" s="8"/>
      <c r="B16" s="8"/>
      <c r="C16" s="8"/>
      <c r="D16" s="8"/>
      <c r="E16" s="10"/>
      <c r="F16" s="10"/>
      <c r="G16" s="10"/>
      <c r="H16" s="10"/>
      <c r="I16" s="10"/>
      <c r="J16" s="10"/>
      <c r="K16" s="10"/>
      <c r="L16" s="10"/>
      <c r="M16" s="11"/>
      <c r="BI16" s="12"/>
    </row>
    <row r="17" spans="1:61" ht="18.399999999999999" customHeight="1" x14ac:dyDescent="0.3">
      <c r="A17" s="8"/>
      <c r="B17" s="8"/>
      <c r="C17" s="8"/>
      <c r="D17" s="8"/>
      <c r="E17" s="10"/>
      <c r="F17" s="10"/>
      <c r="G17" s="10"/>
      <c r="H17" s="10"/>
      <c r="I17" s="10"/>
      <c r="J17" s="10"/>
      <c r="K17" s="10"/>
      <c r="L17" s="10"/>
      <c r="M17" s="11"/>
      <c r="BI17" s="12"/>
    </row>
    <row r="18" spans="1:61" ht="18.399999999999999" customHeight="1" x14ac:dyDescent="0.3">
      <c r="A18" s="8"/>
      <c r="B18" s="8"/>
      <c r="C18" s="8"/>
      <c r="D18" s="8"/>
      <c r="E18" s="10"/>
      <c r="F18" s="10"/>
      <c r="G18" s="10"/>
      <c r="H18" s="10"/>
      <c r="I18" s="10"/>
      <c r="J18" s="10"/>
      <c r="K18" s="10"/>
      <c r="L18" s="10"/>
      <c r="M18" s="11"/>
      <c r="BI18" s="12"/>
    </row>
    <row r="19" spans="1:61" ht="18.399999999999999" customHeight="1" x14ac:dyDescent="0.3">
      <c r="A19" s="8"/>
      <c r="B19" s="8"/>
      <c r="C19" s="8"/>
      <c r="D19" s="8"/>
      <c r="E19" s="10"/>
      <c r="F19" s="10"/>
      <c r="G19" s="10"/>
      <c r="H19" s="10"/>
      <c r="I19" s="10"/>
      <c r="J19" s="10"/>
      <c r="K19" s="10"/>
      <c r="L19" s="10"/>
      <c r="M19" s="11"/>
      <c r="BI19" s="12"/>
    </row>
    <row r="20" spans="1:61" ht="18.399999999999999" customHeight="1" x14ac:dyDescent="0.3">
      <c r="A20" s="8"/>
      <c r="B20" s="8"/>
      <c r="C20" s="8"/>
      <c r="D20" s="8"/>
      <c r="E20" s="10"/>
      <c r="F20" s="10"/>
      <c r="G20" s="10"/>
      <c r="H20" s="10"/>
      <c r="I20" s="10"/>
      <c r="J20" s="10"/>
      <c r="K20" s="10"/>
      <c r="L20" s="10"/>
      <c r="M20" s="11"/>
      <c r="BI20" s="12"/>
    </row>
    <row r="21" spans="1:61" ht="18.399999999999999" customHeight="1" x14ac:dyDescent="0.3">
      <c r="A21" s="8"/>
      <c r="B21" s="8"/>
      <c r="C21" s="8"/>
      <c r="D21" s="8"/>
      <c r="E21" s="10"/>
      <c r="F21" s="10"/>
      <c r="G21" s="10"/>
      <c r="H21" s="10"/>
      <c r="I21" s="10"/>
      <c r="J21" s="10"/>
      <c r="K21" s="10"/>
      <c r="L21" s="10"/>
      <c r="M21" s="11"/>
      <c r="BI21" s="12"/>
    </row>
    <row r="22" spans="1:61" ht="18.399999999999999" customHeight="1" x14ac:dyDescent="0.3">
      <c r="A22" s="8"/>
      <c r="B22" s="8"/>
      <c r="C22" s="8"/>
      <c r="D22" s="8"/>
      <c r="E22" s="10"/>
      <c r="F22" s="10"/>
      <c r="G22" s="10"/>
      <c r="H22" s="10"/>
      <c r="I22" s="10"/>
      <c r="J22" s="10"/>
      <c r="K22" s="10"/>
      <c r="L22" s="10"/>
      <c r="M22" s="11"/>
      <c r="BI22" s="12"/>
    </row>
    <row r="23" spans="1:61" ht="18.399999999999999" customHeight="1" x14ac:dyDescent="0.3">
      <c r="A23" s="8"/>
      <c r="B23" s="8"/>
      <c r="C23" s="8"/>
      <c r="D23" s="8"/>
      <c r="E23" s="10"/>
      <c r="F23" s="10"/>
      <c r="G23" s="10"/>
      <c r="H23" s="10"/>
      <c r="I23" s="10"/>
      <c r="J23" s="10"/>
      <c r="K23" s="10"/>
      <c r="L23" s="10"/>
      <c r="M23" s="11"/>
      <c r="BI23" s="12"/>
    </row>
    <row r="24" spans="1:61" ht="18.399999999999999" customHeight="1" x14ac:dyDescent="0.3">
      <c r="A24" s="8"/>
      <c r="B24" s="8"/>
      <c r="C24" s="8"/>
      <c r="D24" s="8"/>
      <c r="E24" s="10"/>
      <c r="F24" s="10"/>
      <c r="G24" s="10"/>
      <c r="H24" s="10"/>
      <c r="I24" s="10"/>
      <c r="J24" s="10"/>
      <c r="K24" s="10"/>
      <c r="L24" s="10"/>
      <c r="M24" s="11"/>
      <c r="BI24" s="12"/>
    </row>
    <row r="25" spans="1:61" ht="18.399999999999999" customHeight="1" x14ac:dyDescent="0.3">
      <c r="A25" s="8"/>
      <c r="B25" s="8"/>
      <c r="C25" s="8"/>
      <c r="D25" s="8"/>
      <c r="E25" s="10"/>
      <c r="F25" s="10"/>
      <c r="G25" s="10"/>
      <c r="H25" s="10"/>
      <c r="I25" s="10"/>
      <c r="J25" s="10"/>
      <c r="K25" s="10"/>
      <c r="L25" s="10"/>
      <c r="M25" s="11"/>
      <c r="BI25" s="12"/>
    </row>
    <row r="26" spans="1:61" ht="18.399999999999999" customHeight="1" x14ac:dyDescent="0.3">
      <c r="A26" s="8"/>
      <c r="B26" s="8"/>
      <c r="C26" s="8"/>
      <c r="D26" s="8"/>
      <c r="E26" s="10"/>
      <c r="F26" s="10"/>
      <c r="G26" s="10"/>
      <c r="H26" s="10"/>
      <c r="I26" s="10"/>
      <c r="J26" s="10"/>
      <c r="K26" s="10"/>
      <c r="L26" s="10"/>
      <c r="M26" s="11"/>
      <c r="BI26" s="12"/>
    </row>
    <row r="27" spans="1:61" ht="18.399999999999999" customHeight="1" x14ac:dyDescent="0.3">
      <c r="A27" s="8"/>
      <c r="B27" s="8"/>
      <c r="C27" s="8"/>
      <c r="D27" s="8"/>
      <c r="E27" s="10"/>
      <c r="F27" s="10"/>
      <c r="G27" s="10"/>
      <c r="H27" s="10"/>
      <c r="I27" s="10"/>
      <c r="J27" s="10"/>
      <c r="K27" s="10"/>
      <c r="L27" s="10"/>
      <c r="M27" s="11"/>
      <c r="BI27" s="12"/>
    </row>
    <row r="28" spans="1:61" ht="18.399999999999999" customHeight="1" x14ac:dyDescent="0.3">
      <c r="A28" s="8" t="s">
        <v>29</v>
      </c>
      <c r="B28" s="8"/>
      <c r="C28" s="8">
        <v>1</v>
      </c>
      <c r="D28" s="8" t="s">
        <v>20</v>
      </c>
      <c r="E28" s="5"/>
      <c r="F28" s="10">
        <f>TRUNC(F31+F32+F33+F34+F35+F38,0)</f>
        <v>369909972</v>
      </c>
      <c r="G28" s="5"/>
      <c r="H28" s="10">
        <f>TRUNC(H31+H32+H33+H34+H35+H38,0)</f>
        <v>373623249</v>
      </c>
      <c r="I28" s="5"/>
      <c r="J28" s="10">
        <f>TRUNC(J31+J32+J33+J34+J35+J38,0)</f>
        <v>26115986</v>
      </c>
      <c r="K28" s="5"/>
      <c r="L28" s="10">
        <f t="shared" ref="L28:L40" si="0">F28+H28+J28</f>
        <v>769649207</v>
      </c>
      <c r="M28" s="11" t="s">
        <v>6</v>
      </c>
      <c r="N28" s="1" t="s">
        <v>6</v>
      </c>
      <c r="O28" s="1" t="s">
        <v>24</v>
      </c>
    </row>
    <row r="29" spans="1:61" ht="18.399999999999999" customHeight="1" x14ac:dyDescent="0.3">
      <c r="A29" s="8" t="s">
        <v>30</v>
      </c>
      <c r="B29" s="8" t="s">
        <v>6</v>
      </c>
      <c r="C29" s="8"/>
      <c r="D29" s="8" t="s">
        <v>6</v>
      </c>
      <c r="E29" s="5"/>
      <c r="F29" s="10">
        <v>0</v>
      </c>
      <c r="G29" s="5"/>
      <c r="H29" s="10">
        <v>0</v>
      </c>
      <c r="I29" s="5"/>
      <c r="J29" s="10">
        <v>0</v>
      </c>
      <c r="K29" s="10">
        <f t="shared" ref="K29:K40" si="1">E29+G29+I29</f>
        <v>0</v>
      </c>
      <c r="L29" s="10">
        <f t="shared" si="0"/>
        <v>0</v>
      </c>
      <c r="M29" s="11" t="s">
        <v>6</v>
      </c>
      <c r="N29" s="1" t="s">
        <v>6</v>
      </c>
      <c r="P29" s="1" t="s">
        <v>31</v>
      </c>
      <c r="Q29" s="1" t="s">
        <v>6</v>
      </c>
      <c r="R29" s="1" t="s">
        <v>6</v>
      </c>
    </row>
    <row r="30" spans="1:61" ht="18.399999999999999" customHeight="1" x14ac:dyDescent="0.3">
      <c r="A30" s="8" t="s">
        <v>32</v>
      </c>
      <c r="B30" s="8" t="s">
        <v>6</v>
      </c>
      <c r="C30" s="8"/>
      <c r="D30" s="8" t="s">
        <v>20</v>
      </c>
      <c r="E30" s="5"/>
      <c r="F30" s="10">
        <f>TRUNC(F31+F32+F33+F34+F35,0)</f>
        <v>288441785</v>
      </c>
      <c r="G30" s="5"/>
      <c r="H30" s="10">
        <f>TRUNC(H31+H32+H33+H34+H35,0)</f>
        <v>373623249</v>
      </c>
      <c r="I30" s="5"/>
      <c r="J30" s="10">
        <f>TRUNC(J31+J32+J33+J34+J35,0)</f>
        <v>25675173</v>
      </c>
      <c r="K30" s="10">
        <f t="shared" si="1"/>
        <v>0</v>
      </c>
      <c r="L30" s="10">
        <f t="shared" si="0"/>
        <v>687740207</v>
      </c>
      <c r="M30" s="11" t="s">
        <v>6</v>
      </c>
      <c r="N30" s="1" t="s">
        <v>6</v>
      </c>
      <c r="P30" s="1" t="s">
        <v>33</v>
      </c>
      <c r="Q30" s="1" t="s">
        <v>6</v>
      </c>
      <c r="R30" s="1" t="s">
        <v>6</v>
      </c>
    </row>
    <row r="31" spans="1:61" ht="18.399999999999999" customHeight="1" x14ac:dyDescent="0.3">
      <c r="A31" s="8" t="s">
        <v>34</v>
      </c>
      <c r="B31" s="8" t="s">
        <v>35</v>
      </c>
      <c r="C31" s="8">
        <v>1</v>
      </c>
      <c r="D31" s="8" t="s">
        <v>20</v>
      </c>
      <c r="E31" s="10">
        <f>F76</f>
        <v>69442393</v>
      </c>
      <c r="F31" s="10">
        <f>TRUNC(E31*C31,0)</f>
        <v>69442393</v>
      </c>
      <c r="G31" s="10">
        <f>H76</f>
        <v>281033530</v>
      </c>
      <c r="H31" s="10">
        <f>TRUNC(G31*C31,0)</f>
        <v>281033530</v>
      </c>
      <c r="I31" s="10">
        <f>J76</f>
        <v>20322638</v>
      </c>
      <c r="J31" s="10">
        <f>TRUNC(I31*C31,0)</f>
        <v>20322638</v>
      </c>
      <c r="K31" s="10">
        <f t="shared" si="1"/>
        <v>370798561</v>
      </c>
      <c r="L31" s="10">
        <f t="shared" si="0"/>
        <v>370798561</v>
      </c>
      <c r="M31" s="11" t="s">
        <v>6</v>
      </c>
      <c r="N31" s="1" t="s">
        <v>6</v>
      </c>
      <c r="P31" s="1" t="s">
        <v>23</v>
      </c>
      <c r="Q31" s="1" t="s">
        <v>6</v>
      </c>
      <c r="R31" s="1" t="s">
        <v>36</v>
      </c>
      <c r="BI31" s="12" t="str">
        <f>HYPERLINK("#내역서!A30","A0100 →")</f>
        <v>A0100 →</v>
      </c>
    </row>
    <row r="32" spans="1:61" ht="18.399999999999999" customHeight="1" x14ac:dyDescent="0.3">
      <c r="A32" s="8" t="s">
        <v>37</v>
      </c>
      <c r="B32" s="8" t="s">
        <v>35</v>
      </c>
      <c r="C32" s="8">
        <v>1</v>
      </c>
      <c r="D32" s="8" t="s">
        <v>20</v>
      </c>
      <c r="E32" s="10">
        <f>F100</f>
        <v>186418324</v>
      </c>
      <c r="F32" s="10">
        <f>TRUNC(E32*C32,0)</f>
        <v>186418324</v>
      </c>
      <c r="G32" s="10">
        <f>H100</f>
        <v>32745505</v>
      </c>
      <c r="H32" s="10">
        <f>TRUNC(G32*C32,0)</f>
        <v>32745505</v>
      </c>
      <c r="I32" s="10">
        <f>J100</f>
        <v>817702</v>
      </c>
      <c r="J32" s="10">
        <f>TRUNC(I32*C32,0)</f>
        <v>817702</v>
      </c>
      <c r="K32" s="10">
        <f t="shared" si="1"/>
        <v>219981531</v>
      </c>
      <c r="L32" s="10">
        <f t="shared" si="0"/>
        <v>219981531</v>
      </c>
      <c r="M32" s="11" t="s">
        <v>6</v>
      </c>
      <c r="N32" s="1" t="s">
        <v>6</v>
      </c>
      <c r="P32" s="1" t="s">
        <v>26</v>
      </c>
      <c r="Q32" s="1" t="s">
        <v>6</v>
      </c>
      <c r="R32" s="1" t="s">
        <v>38</v>
      </c>
      <c r="BI32" s="12" t="str">
        <f>HYPERLINK("#내역서!A52","A0200 →")</f>
        <v>A0200 →</v>
      </c>
    </row>
    <row r="33" spans="1:61" ht="18.399999999999999" customHeight="1" x14ac:dyDescent="0.3">
      <c r="A33" s="8" t="s">
        <v>39</v>
      </c>
      <c r="B33" s="8" t="s">
        <v>35</v>
      </c>
      <c r="C33" s="8">
        <v>1</v>
      </c>
      <c r="D33" s="8" t="s">
        <v>20</v>
      </c>
      <c r="E33" s="10">
        <f>F124</f>
        <v>28735807</v>
      </c>
      <c r="F33" s="10">
        <f>TRUNC(E33*C33,0)</f>
        <v>28735807</v>
      </c>
      <c r="G33" s="10">
        <f>H124</f>
        <v>56824604</v>
      </c>
      <c r="H33" s="10">
        <f>TRUNC(G33*C33,0)</f>
        <v>56824604</v>
      </c>
      <c r="I33" s="10">
        <f>J124</f>
        <v>4330039</v>
      </c>
      <c r="J33" s="10">
        <f>TRUNC(I33*C33,0)</f>
        <v>4330039</v>
      </c>
      <c r="K33" s="10">
        <f t="shared" si="1"/>
        <v>89890450</v>
      </c>
      <c r="L33" s="10">
        <f t="shared" si="0"/>
        <v>89890450</v>
      </c>
      <c r="M33" s="11" t="s">
        <v>6</v>
      </c>
      <c r="N33" s="1" t="s">
        <v>6</v>
      </c>
      <c r="P33" s="1" t="s">
        <v>40</v>
      </c>
      <c r="Q33" s="1" t="s">
        <v>6</v>
      </c>
      <c r="R33" s="1" t="s">
        <v>41</v>
      </c>
      <c r="BI33" s="12" t="str">
        <f>HYPERLINK("#내역서!A69","A0300 →")</f>
        <v>A0300 →</v>
      </c>
    </row>
    <row r="34" spans="1:61" ht="18.399999999999999" customHeight="1" x14ac:dyDescent="0.3">
      <c r="A34" s="8" t="s">
        <v>42</v>
      </c>
      <c r="B34" s="8" t="s">
        <v>35</v>
      </c>
      <c r="C34" s="8">
        <v>1</v>
      </c>
      <c r="D34" s="8" t="s">
        <v>20</v>
      </c>
      <c r="E34" s="10">
        <f>F148</f>
        <v>1906944</v>
      </c>
      <c r="F34" s="10">
        <f>TRUNC(E34*C34,0)</f>
        <v>1906944</v>
      </c>
      <c r="G34" s="10">
        <f>H148</f>
        <v>1728833</v>
      </c>
      <c r="H34" s="10">
        <f>TRUNC(G34*C34,0)</f>
        <v>1728833</v>
      </c>
      <c r="I34" s="10">
        <f>J148</f>
        <v>128639</v>
      </c>
      <c r="J34" s="10">
        <f>TRUNC(I34*C34,0)</f>
        <v>128639</v>
      </c>
      <c r="K34" s="10">
        <f t="shared" si="1"/>
        <v>3764416</v>
      </c>
      <c r="L34" s="10">
        <f t="shared" si="0"/>
        <v>3764416</v>
      </c>
      <c r="M34" s="11" t="s">
        <v>6</v>
      </c>
      <c r="N34" s="1" t="s">
        <v>6</v>
      </c>
      <c r="P34" s="1" t="s">
        <v>43</v>
      </c>
      <c r="Q34" s="1" t="s">
        <v>6</v>
      </c>
      <c r="R34" s="1" t="s">
        <v>44</v>
      </c>
      <c r="BI34" s="12" t="str">
        <f>HYPERLINK("#내역서!A81","A0400 →")</f>
        <v>A0400 →</v>
      </c>
    </row>
    <row r="35" spans="1:61" ht="18.399999999999999" customHeight="1" x14ac:dyDescent="0.3">
      <c r="A35" s="8" t="s">
        <v>45</v>
      </c>
      <c r="B35" s="8" t="s">
        <v>35</v>
      </c>
      <c r="C35" s="8">
        <v>1</v>
      </c>
      <c r="D35" s="8" t="s">
        <v>20</v>
      </c>
      <c r="E35" s="10">
        <f>F172</f>
        <v>1938317</v>
      </c>
      <c r="F35" s="10">
        <f>TRUNC(E35*C35,0)</f>
        <v>1938317</v>
      </c>
      <c r="G35" s="10">
        <f>H172</f>
        <v>1290777</v>
      </c>
      <c r="H35" s="10">
        <f>TRUNC(G35*C35,0)</f>
        <v>1290777</v>
      </c>
      <c r="I35" s="10">
        <f>J172</f>
        <v>76155</v>
      </c>
      <c r="J35" s="10">
        <f>TRUNC(I35*C35,0)</f>
        <v>76155</v>
      </c>
      <c r="K35" s="10">
        <f t="shared" si="1"/>
        <v>3305249</v>
      </c>
      <c r="L35" s="10">
        <f t="shared" si="0"/>
        <v>3305249</v>
      </c>
      <c r="M35" s="11" t="s">
        <v>6</v>
      </c>
      <c r="N35" s="1" t="s">
        <v>6</v>
      </c>
      <c r="P35" s="1" t="s">
        <v>46</v>
      </c>
      <c r="Q35" s="1" t="s">
        <v>6</v>
      </c>
      <c r="R35" s="1" t="s">
        <v>47</v>
      </c>
      <c r="BI35" s="12" t="str">
        <f>HYPERLINK("#내역서!A85","A0500 →")</f>
        <v>A0500 →</v>
      </c>
    </row>
    <row r="36" spans="1:61" ht="18.399999999999999" customHeight="1" x14ac:dyDescent="0.3">
      <c r="A36" s="8" t="s">
        <v>30</v>
      </c>
      <c r="B36" s="8" t="s">
        <v>6</v>
      </c>
      <c r="C36" s="8"/>
      <c r="D36" s="8" t="s">
        <v>6</v>
      </c>
      <c r="E36" s="5"/>
      <c r="F36" s="10">
        <v>0</v>
      </c>
      <c r="G36" s="5"/>
      <c r="H36" s="10">
        <v>0</v>
      </c>
      <c r="I36" s="5"/>
      <c r="J36" s="10">
        <v>0</v>
      </c>
      <c r="K36" s="10">
        <f t="shared" si="1"/>
        <v>0</v>
      </c>
      <c r="L36" s="10">
        <f t="shared" si="0"/>
        <v>0</v>
      </c>
      <c r="M36" s="11" t="s">
        <v>6</v>
      </c>
      <c r="N36" s="1" t="s">
        <v>6</v>
      </c>
      <c r="P36" s="1" t="s">
        <v>48</v>
      </c>
      <c r="Q36" s="1" t="s">
        <v>6</v>
      </c>
      <c r="R36" s="1" t="s">
        <v>6</v>
      </c>
    </row>
    <row r="37" spans="1:61" ht="18.399999999999999" customHeight="1" x14ac:dyDescent="0.3">
      <c r="A37" s="8" t="s">
        <v>49</v>
      </c>
      <c r="B37" s="8" t="s">
        <v>6</v>
      </c>
      <c r="C37" s="8"/>
      <c r="D37" s="8" t="s">
        <v>6</v>
      </c>
      <c r="E37" s="5"/>
      <c r="F37" s="10">
        <f>TRUNC(F38,0)</f>
        <v>81468187</v>
      </c>
      <c r="G37" s="5"/>
      <c r="H37" s="10">
        <f>TRUNC(H38,0)</f>
        <v>0</v>
      </c>
      <c r="I37" s="5"/>
      <c r="J37" s="10">
        <f>TRUNC(J38,0)</f>
        <v>440813</v>
      </c>
      <c r="K37" s="10">
        <f t="shared" si="1"/>
        <v>0</v>
      </c>
      <c r="L37" s="10">
        <f t="shared" si="0"/>
        <v>81909000</v>
      </c>
      <c r="M37" s="11" t="s">
        <v>6</v>
      </c>
      <c r="N37" s="1" t="s">
        <v>6</v>
      </c>
      <c r="P37" s="1" t="s">
        <v>50</v>
      </c>
      <c r="Q37" s="1" t="s">
        <v>6</v>
      </c>
      <c r="R37" s="1" t="s">
        <v>6</v>
      </c>
    </row>
    <row r="38" spans="1:61" ht="18.399999999999999" customHeight="1" x14ac:dyDescent="0.3">
      <c r="A38" s="8" t="s">
        <v>51</v>
      </c>
      <c r="B38" s="8" t="s">
        <v>52</v>
      </c>
      <c r="C38" s="8">
        <v>1</v>
      </c>
      <c r="D38" s="8" t="s">
        <v>20</v>
      </c>
      <c r="E38" s="10">
        <f>F196</f>
        <v>81468187</v>
      </c>
      <c r="F38" s="10">
        <f>TRUNC(E38*C38,0)</f>
        <v>81468187</v>
      </c>
      <c r="G38" s="10">
        <f>H196</f>
        <v>0</v>
      </c>
      <c r="H38" s="10">
        <f>TRUNC(G38*C38,0)</f>
        <v>0</v>
      </c>
      <c r="I38" s="10">
        <f>J196</f>
        <v>440813</v>
      </c>
      <c r="J38" s="10">
        <f>TRUNC(I38*C38,0)</f>
        <v>440813</v>
      </c>
      <c r="K38" s="10">
        <f t="shared" si="1"/>
        <v>81909000</v>
      </c>
      <c r="L38" s="10">
        <f t="shared" si="0"/>
        <v>81909000</v>
      </c>
      <c r="M38" s="11" t="s">
        <v>6</v>
      </c>
      <c r="N38" s="1" t="s">
        <v>6</v>
      </c>
      <c r="P38" s="1" t="s">
        <v>53</v>
      </c>
      <c r="Q38" s="1" t="s">
        <v>6</v>
      </c>
      <c r="R38" s="1" t="s">
        <v>54</v>
      </c>
      <c r="BI38" s="12" t="str">
        <f>HYPERLINK("#내역서!A99","B0100 →")</f>
        <v>B0100 →</v>
      </c>
    </row>
    <row r="39" spans="1:61" ht="18.399999999999999" customHeight="1" x14ac:dyDescent="0.3">
      <c r="A39" s="8" t="s">
        <v>30</v>
      </c>
      <c r="B39" s="8" t="s">
        <v>6</v>
      </c>
      <c r="C39" s="8"/>
      <c r="D39" s="8" t="s">
        <v>6</v>
      </c>
      <c r="E39" s="5"/>
      <c r="F39" s="10">
        <v>0</v>
      </c>
      <c r="G39" s="5"/>
      <c r="H39" s="10">
        <v>0</v>
      </c>
      <c r="I39" s="5"/>
      <c r="J39" s="10">
        <v>0</v>
      </c>
      <c r="K39" s="10">
        <f t="shared" si="1"/>
        <v>0</v>
      </c>
      <c r="L39" s="10">
        <f t="shared" si="0"/>
        <v>0</v>
      </c>
      <c r="M39" s="11" t="s">
        <v>6</v>
      </c>
      <c r="N39" s="1" t="s">
        <v>6</v>
      </c>
      <c r="P39" s="1" t="s">
        <v>55</v>
      </c>
      <c r="Q39" s="1" t="s">
        <v>6</v>
      </c>
      <c r="R39" s="1" t="s">
        <v>6</v>
      </c>
    </row>
    <row r="40" spans="1:61" ht="18.399999999999999" customHeight="1" x14ac:dyDescent="0.3">
      <c r="A40" s="8" t="s">
        <v>30</v>
      </c>
      <c r="B40" s="8" t="s">
        <v>6</v>
      </c>
      <c r="C40" s="8"/>
      <c r="D40" s="8" t="s">
        <v>6</v>
      </c>
      <c r="E40" s="5"/>
      <c r="F40" s="10">
        <v>0</v>
      </c>
      <c r="G40" s="5"/>
      <c r="H40" s="10">
        <v>0</v>
      </c>
      <c r="I40" s="5"/>
      <c r="J40" s="10">
        <v>0</v>
      </c>
      <c r="K40" s="10">
        <f t="shared" si="1"/>
        <v>0</v>
      </c>
      <c r="L40" s="10">
        <f t="shared" si="0"/>
        <v>0</v>
      </c>
      <c r="M40" s="11" t="s">
        <v>6</v>
      </c>
      <c r="N40" s="1" t="s">
        <v>6</v>
      </c>
      <c r="P40" s="1" t="s">
        <v>56</v>
      </c>
      <c r="Q40" s="1" t="s">
        <v>27</v>
      </c>
      <c r="R40" s="1" t="s">
        <v>6</v>
      </c>
    </row>
    <row r="41" spans="1:61" ht="18.399999999999999" customHeight="1" x14ac:dyDescent="0.3">
      <c r="A41" s="8"/>
      <c r="B41" s="8"/>
      <c r="C41" s="8"/>
      <c r="D41" s="8"/>
      <c r="E41" s="5"/>
      <c r="F41" s="10"/>
      <c r="G41" s="5"/>
      <c r="H41" s="10"/>
      <c r="I41" s="5"/>
      <c r="J41" s="10"/>
      <c r="K41" s="10"/>
      <c r="L41" s="10"/>
      <c r="M41" s="11"/>
    </row>
    <row r="42" spans="1:61" ht="18.399999999999999" customHeight="1" x14ac:dyDescent="0.3">
      <c r="A42" s="8"/>
      <c r="B42" s="8"/>
      <c r="C42" s="8"/>
      <c r="D42" s="8"/>
      <c r="E42" s="5"/>
      <c r="F42" s="10"/>
      <c r="G42" s="5"/>
      <c r="H42" s="10"/>
      <c r="I42" s="5"/>
      <c r="J42" s="10"/>
      <c r="K42" s="10"/>
      <c r="L42" s="10"/>
      <c r="M42" s="11"/>
    </row>
    <row r="43" spans="1:61" ht="18.399999999999999" customHeight="1" x14ac:dyDescent="0.3">
      <c r="A43" s="8"/>
      <c r="B43" s="8"/>
      <c r="C43" s="8"/>
      <c r="D43" s="8"/>
      <c r="E43" s="5"/>
      <c r="F43" s="10"/>
      <c r="G43" s="5"/>
      <c r="H43" s="10"/>
      <c r="I43" s="5"/>
      <c r="J43" s="10"/>
      <c r="K43" s="10"/>
      <c r="L43" s="10"/>
      <c r="M43" s="11"/>
    </row>
    <row r="44" spans="1:61" ht="18.399999999999999" customHeight="1" x14ac:dyDescent="0.3">
      <c r="A44" s="8"/>
      <c r="B44" s="8"/>
      <c r="C44" s="8"/>
      <c r="D44" s="8"/>
      <c r="E44" s="5"/>
      <c r="F44" s="10"/>
      <c r="G44" s="5"/>
      <c r="H44" s="10"/>
      <c r="I44" s="5"/>
      <c r="J44" s="10"/>
      <c r="K44" s="10"/>
      <c r="L44" s="10"/>
      <c r="M44" s="11"/>
    </row>
    <row r="45" spans="1:61" ht="18.399999999999999" customHeight="1" x14ac:dyDescent="0.3">
      <c r="A45" s="8"/>
      <c r="B45" s="8"/>
      <c r="C45" s="8"/>
      <c r="D45" s="8"/>
      <c r="E45" s="5"/>
      <c r="F45" s="10"/>
      <c r="G45" s="5"/>
      <c r="H45" s="10"/>
      <c r="I45" s="5"/>
      <c r="J45" s="10"/>
      <c r="K45" s="10"/>
      <c r="L45" s="10"/>
      <c r="M45" s="11"/>
    </row>
    <row r="46" spans="1:61" ht="18.399999999999999" customHeight="1" x14ac:dyDescent="0.3">
      <c r="A46" s="8"/>
      <c r="B46" s="8"/>
      <c r="C46" s="8"/>
      <c r="D46" s="8"/>
      <c r="E46" s="5"/>
      <c r="F46" s="10"/>
      <c r="G46" s="5"/>
      <c r="H46" s="10"/>
      <c r="I46" s="5"/>
      <c r="J46" s="10"/>
      <c r="K46" s="10"/>
      <c r="L46" s="10"/>
      <c r="M46" s="11"/>
    </row>
    <row r="47" spans="1:61" ht="18.399999999999999" customHeight="1" x14ac:dyDescent="0.3">
      <c r="A47" s="8"/>
      <c r="B47" s="8"/>
      <c r="C47" s="8"/>
      <c r="D47" s="8"/>
      <c r="E47" s="5"/>
      <c r="F47" s="10"/>
      <c r="G47" s="5"/>
      <c r="H47" s="10"/>
      <c r="I47" s="5"/>
      <c r="J47" s="10"/>
      <c r="K47" s="10"/>
      <c r="L47" s="10"/>
      <c r="M47" s="11"/>
    </row>
    <row r="48" spans="1:61" ht="18.399999999999999" customHeight="1" x14ac:dyDescent="0.3">
      <c r="A48" s="8"/>
      <c r="B48" s="8"/>
      <c r="C48" s="8"/>
      <c r="D48" s="8"/>
      <c r="E48" s="5"/>
      <c r="F48" s="10"/>
      <c r="G48" s="5"/>
      <c r="H48" s="10"/>
      <c r="I48" s="5"/>
      <c r="J48" s="10"/>
      <c r="K48" s="10"/>
      <c r="L48" s="10"/>
      <c r="M48" s="11"/>
    </row>
    <row r="49" spans="1:61" ht="18.399999999999999" customHeight="1" x14ac:dyDescent="0.3">
      <c r="A49" s="8"/>
      <c r="B49" s="8"/>
      <c r="C49" s="8"/>
      <c r="D49" s="8"/>
      <c r="E49" s="5"/>
      <c r="F49" s="10"/>
      <c r="G49" s="5"/>
      <c r="H49" s="10"/>
      <c r="I49" s="5"/>
      <c r="J49" s="10"/>
      <c r="K49" s="10"/>
      <c r="L49" s="10"/>
      <c r="M49" s="11"/>
    </row>
    <row r="50" spans="1:61" ht="18.399999999999999" customHeight="1" x14ac:dyDescent="0.3">
      <c r="A50" s="8"/>
      <c r="B50" s="8"/>
      <c r="C50" s="8"/>
      <c r="D50" s="8"/>
      <c r="E50" s="5"/>
      <c r="F50" s="10"/>
      <c r="G50" s="5"/>
      <c r="H50" s="10"/>
      <c r="I50" s="5"/>
      <c r="J50" s="10"/>
      <c r="K50" s="10"/>
      <c r="L50" s="10"/>
      <c r="M50" s="11"/>
    </row>
    <row r="51" spans="1:61" ht="18.399999999999999" customHeight="1" x14ac:dyDescent="0.3">
      <c r="A51" s="8"/>
      <c r="B51" s="8"/>
      <c r="C51" s="8"/>
      <c r="D51" s="8"/>
      <c r="E51" s="5"/>
      <c r="F51" s="10"/>
      <c r="G51" s="5"/>
      <c r="H51" s="10"/>
      <c r="I51" s="5"/>
      <c r="J51" s="10"/>
      <c r="K51" s="10"/>
      <c r="L51" s="10"/>
      <c r="M51" s="11"/>
    </row>
    <row r="52" spans="1:61" ht="18.399999999999999" customHeight="1" x14ac:dyDescent="0.3">
      <c r="A52" s="8" t="s">
        <v>57</v>
      </c>
      <c r="B52" s="8" t="s">
        <v>58</v>
      </c>
      <c r="C52" s="8">
        <v>1</v>
      </c>
      <c r="D52" s="8" t="s">
        <v>20</v>
      </c>
      <c r="E52" s="5"/>
      <c r="F52" s="10">
        <f>TRUNC(F55+F56+F57+F58+F61,0)</f>
        <v>50299792</v>
      </c>
      <c r="G52" s="5"/>
      <c r="H52" s="10">
        <f>TRUNC(H55+H56+H57+H58+H61,0)</f>
        <v>161191659</v>
      </c>
      <c r="I52" s="5"/>
      <c r="J52" s="10">
        <f>TRUNC(J55+J56+J57+J58+J61,0)</f>
        <v>13431363</v>
      </c>
      <c r="K52" s="5"/>
      <c r="L52" s="10">
        <f t="shared" ref="L52:L61" si="2">F52+H52+J52</f>
        <v>224922814</v>
      </c>
      <c r="M52" s="11" t="s">
        <v>6</v>
      </c>
      <c r="N52" s="1" t="s">
        <v>6</v>
      </c>
      <c r="O52" s="1" t="s">
        <v>28</v>
      </c>
    </row>
    <row r="53" spans="1:61" ht="18.399999999999999" customHeight="1" x14ac:dyDescent="0.3">
      <c r="A53" s="8" t="s">
        <v>30</v>
      </c>
      <c r="B53" s="8" t="s">
        <v>6</v>
      </c>
      <c r="C53" s="8"/>
      <c r="D53" s="8" t="s">
        <v>6</v>
      </c>
      <c r="E53" s="5"/>
      <c r="F53" s="10">
        <v>0</v>
      </c>
      <c r="G53" s="5"/>
      <c r="H53" s="10">
        <v>0</v>
      </c>
      <c r="I53" s="5"/>
      <c r="J53" s="10">
        <v>0</v>
      </c>
      <c r="K53" s="10">
        <f t="shared" ref="K53:K61" si="3">E53+G53+I53</f>
        <v>0</v>
      </c>
      <c r="L53" s="10">
        <f t="shared" si="2"/>
        <v>0</v>
      </c>
      <c r="M53" s="11" t="s">
        <v>6</v>
      </c>
      <c r="N53" s="1" t="s">
        <v>6</v>
      </c>
      <c r="P53" s="1" t="s">
        <v>31</v>
      </c>
      <c r="Q53" s="1" t="s">
        <v>6</v>
      </c>
      <c r="R53" s="1" t="s">
        <v>6</v>
      </c>
    </row>
    <row r="54" spans="1:61" ht="18.399999999999999" customHeight="1" x14ac:dyDescent="0.3">
      <c r="A54" s="8" t="s">
        <v>32</v>
      </c>
      <c r="B54" s="8" t="s">
        <v>6</v>
      </c>
      <c r="C54" s="8"/>
      <c r="D54" s="8" t="s">
        <v>20</v>
      </c>
      <c r="E54" s="5"/>
      <c r="F54" s="10">
        <f>TRUNC(F55+F56+F57+F58,0)</f>
        <v>39504721</v>
      </c>
      <c r="G54" s="5"/>
      <c r="H54" s="10">
        <f>TRUNC(H55+H56+H57+H58,0)</f>
        <v>161191659</v>
      </c>
      <c r="I54" s="5"/>
      <c r="J54" s="10">
        <f>TRUNC(J55+J56+J57+J58,0)</f>
        <v>13372434</v>
      </c>
      <c r="K54" s="10">
        <f t="shared" si="3"/>
        <v>0</v>
      </c>
      <c r="L54" s="10">
        <f t="shared" si="2"/>
        <v>214068814</v>
      </c>
      <c r="M54" s="11" t="s">
        <v>6</v>
      </c>
      <c r="N54" s="1" t="s">
        <v>6</v>
      </c>
      <c r="P54" s="1" t="s">
        <v>33</v>
      </c>
      <c r="Q54" s="1" t="s">
        <v>6</v>
      </c>
      <c r="R54" s="1" t="s">
        <v>6</v>
      </c>
    </row>
    <row r="55" spans="1:61" ht="18.399999999999999" customHeight="1" x14ac:dyDescent="0.3">
      <c r="A55" s="8" t="s">
        <v>34</v>
      </c>
      <c r="B55" s="8" t="s">
        <v>59</v>
      </c>
      <c r="C55" s="8">
        <v>1</v>
      </c>
      <c r="D55" s="8" t="s">
        <v>20</v>
      </c>
      <c r="E55" s="10">
        <f>F220</f>
        <v>32304436</v>
      </c>
      <c r="F55" s="10">
        <f>TRUNC(E55*C55,0)</f>
        <v>32304436</v>
      </c>
      <c r="G55" s="10">
        <f>H220</f>
        <v>150295114</v>
      </c>
      <c r="H55" s="10">
        <f>TRUNC(G55*C55,0)</f>
        <v>150295114</v>
      </c>
      <c r="I55" s="10">
        <f>J220</f>
        <v>12560067</v>
      </c>
      <c r="J55" s="10">
        <f>TRUNC(I55*C55,0)</f>
        <v>12560067</v>
      </c>
      <c r="K55" s="10">
        <f t="shared" si="3"/>
        <v>195159617</v>
      </c>
      <c r="L55" s="10">
        <f t="shared" si="2"/>
        <v>195159617</v>
      </c>
      <c r="M55" s="11" t="s">
        <v>6</v>
      </c>
      <c r="N55" s="1" t="s">
        <v>6</v>
      </c>
      <c r="P55" s="1" t="s">
        <v>23</v>
      </c>
      <c r="Q55" s="1" t="s">
        <v>6</v>
      </c>
      <c r="R55" s="1" t="s">
        <v>60</v>
      </c>
      <c r="BI55" s="12" t="str">
        <f>HYPERLINK("#내역서!A110","C0100 →")</f>
        <v>C0100 →</v>
      </c>
    </row>
    <row r="56" spans="1:61" ht="18.399999999999999" customHeight="1" x14ac:dyDescent="0.3">
      <c r="A56" s="8" t="s">
        <v>37</v>
      </c>
      <c r="B56" s="8" t="s">
        <v>59</v>
      </c>
      <c r="C56" s="8">
        <v>1</v>
      </c>
      <c r="D56" s="8" t="s">
        <v>20</v>
      </c>
      <c r="E56" s="10">
        <f>F244</f>
        <v>649914</v>
      </c>
      <c r="F56" s="10">
        <f>TRUNC(E56*C56,0)</f>
        <v>649914</v>
      </c>
      <c r="G56" s="10">
        <f>H244</f>
        <v>3148464</v>
      </c>
      <c r="H56" s="10">
        <f>TRUNC(G56*C56,0)</f>
        <v>3148464</v>
      </c>
      <c r="I56" s="10">
        <f>J244</f>
        <v>37660</v>
      </c>
      <c r="J56" s="10">
        <f>TRUNC(I56*C56,0)</f>
        <v>37660</v>
      </c>
      <c r="K56" s="10">
        <f t="shared" si="3"/>
        <v>3836038</v>
      </c>
      <c r="L56" s="10">
        <f t="shared" si="2"/>
        <v>3836038</v>
      </c>
      <c r="M56" s="11" t="s">
        <v>6</v>
      </c>
      <c r="N56" s="1" t="s">
        <v>6</v>
      </c>
      <c r="P56" s="1" t="s">
        <v>26</v>
      </c>
      <c r="Q56" s="1" t="s">
        <v>6</v>
      </c>
      <c r="R56" s="1" t="s">
        <v>61</v>
      </c>
      <c r="BI56" s="12" t="str">
        <f>HYPERLINK("#내역서!A123","C0200 →")</f>
        <v>C0200 →</v>
      </c>
    </row>
    <row r="57" spans="1:61" ht="18.399999999999999" customHeight="1" x14ac:dyDescent="0.3">
      <c r="A57" s="8" t="s">
        <v>39</v>
      </c>
      <c r="B57" s="8" t="s">
        <v>59</v>
      </c>
      <c r="C57" s="8">
        <v>1</v>
      </c>
      <c r="D57" s="8" t="s">
        <v>20</v>
      </c>
      <c r="E57" s="10">
        <f>F268</f>
        <v>6070033</v>
      </c>
      <c r="F57" s="10">
        <f>TRUNC(E57*C57,0)</f>
        <v>6070033</v>
      </c>
      <c r="G57" s="10">
        <f>H268</f>
        <v>7448134</v>
      </c>
      <c r="H57" s="10">
        <f>TRUNC(G57*C57,0)</f>
        <v>7448134</v>
      </c>
      <c r="I57" s="10">
        <f>J268</f>
        <v>752389</v>
      </c>
      <c r="J57" s="10">
        <f>TRUNC(I57*C57,0)</f>
        <v>752389</v>
      </c>
      <c r="K57" s="10">
        <f t="shared" si="3"/>
        <v>14270556</v>
      </c>
      <c r="L57" s="10">
        <f t="shared" si="2"/>
        <v>14270556</v>
      </c>
      <c r="M57" s="11" t="s">
        <v>6</v>
      </c>
      <c r="N57" s="1" t="s">
        <v>6</v>
      </c>
      <c r="P57" s="1" t="s">
        <v>40</v>
      </c>
      <c r="Q57" s="1" t="s">
        <v>6</v>
      </c>
      <c r="R57" s="1" t="s">
        <v>62</v>
      </c>
      <c r="BI57" s="12" t="str">
        <f>HYPERLINK("#내역서!A125","C0300 →")</f>
        <v>C0300 →</v>
      </c>
    </row>
    <row r="58" spans="1:61" ht="18.399999999999999" customHeight="1" x14ac:dyDescent="0.3">
      <c r="A58" s="8" t="s">
        <v>42</v>
      </c>
      <c r="B58" s="8" t="s">
        <v>59</v>
      </c>
      <c r="C58" s="8">
        <v>1</v>
      </c>
      <c r="D58" s="8" t="s">
        <v>20</v>
      </c>
      <c r="E58" s="10">
        <f>F292</f>
        <v>480338</v>
      </c>
      <c r="F58" s="10">
        <f>TRUNC(E58*C58,0)</f>
        <v>480338</v>
      </c>
      <c r="G58" s="10">
        <f>H292</f>
        <v>299947</v>
      </c>
      <c r="H58" s="10">
        <f>TRUNC(G58*C58,0)</f>
        <v>299947</v>
      </c>
      <c r="I58" s="10">
        <f>J292</f>
        <v>22318</v>
      </c>
      <c r="J58" s="10">
        <f>TRUNC(I58*C58,0)</f>
        <v>22318</v>
      </c>
      <c r="K58" s="10">
        <f t="shared" si="3"/>
        <v>802603</v>
      </c>
      <c r="L58" s="10">
        <f t="shared" si="2"/>
        <v>802603</v>
      </c>
      <c r="M58" s="11" t="s">
        <v>6</v>
      </c>
      <c r="N58" s="1" t="s">
        <v>6</v>
      </c>
      <c r="P58" s="1" t="s">
        <v>43</v>
      </c>
      <c r="Q58" s="1" t="s">
        <v>6</v>
      </c>
      <c r="R58" s="1" t="s">
        <v>63</v>
      </c>
      <c r="BI58" s="12" t="str">
        <f>HYPERLINK("#내역서!A129","C0400 →")</f>
        <v>C0400 →</v>
      </c>
    </row>
    <row r="59" spans="1:61" ht="18.399999999999999" customHeight="1" x14ac:dyDescent="0.3">
      <c r="A59" s="8" t="s">
        <v>30</v>
      </c>
      <c r="B59" s="8" t="s">
        <v>6</v>
      </c>
      <c r="C59" s="8"/>
      <c r="D59" s="8" t="s">
        <v>6</v>
      </c>
      <c r="E59" s="5"/>
      <c r="F59" s="10">
        <v>0</v>
      </c>
      <c r="G59" s="5"/>
      <c r="H59" s="10">
        <v>0</v>
      </c>
      <c r="I59" s="5"/>
      <c r="J59" s="10">
        <v>0</v>
      </c>
      <c r="K59" s="10">
        <f t="shared" si="3"/>
        <v>0</v>
      </c>
      <c r="L59" s="10">
        <f t="shared" si="2"/>
        <v>0</v>
      </c>
      <c r="M59" s="11" t="s">
        <v>6</v>
      </c>
      <c r="N59" s="1" t="s">
        <v>6</v>
      </c>
      <c r="P59" s="1" t="s">
        <v>48</v>
      </c>
      <c r="Q59" s="1" t="s">
        <v>6</v>
      </c>
      <c r="R59" s="1" t="s">
        <v>6</v>
      </c>
    </row>
    <row r="60" spans="1:61" ht="18.399999999999999" customHeight="1" x14ac:dyDescent="0.3">
      <c r="A60" s="8" t="s">
        <v>49</v>
      </c>
      <c r="B60" s="8" t="s">
        <v>6</v>
      </c>
      <c r="C60" s="8"/>
      <c r="D60" s="8" t="s">
        <v>6</v>
      </c>
      <c r="E60" s="5"/>
      <c r="F60" s="10">
        <f>TRUNC(F61,0)</f>
        <v>10795071</v>
      </c>
      <c r="G60" s="5"/>
      <c r="H60" s="10">
        <f>TRUNC(H61,0)</f>
        <v>0</v>
      </c>
      <c r="I60" s="5"/>
      <c r="J60" s="10">
        <f>TRUNC(J61,0)</f>
        <v>58929</v>
      </c>
      <c r="K60" s="10">
        <f t="shared" si="3"/>
        <v>0</v>
      </c>
      <c r="L60" s="10">
        <f t="shared" si="2"/>
        <v>10854000</v>
      </c>
      <c r="M60" s="11" t="s">
        <v>6</v>
      </c>
      <c r="N60" s="1" t="s">
        <v>6</v>
      </c>
      <c r="P60" s="1" t="s">
        <v>50</v>
      </c>
      <c r="Q60" s="1" t="s">
        <v>6</v>
      </c>
      <c r="R60" s="1" t="s">
        <v>6</v>
      </c>
    </row>
    <row r="61" spans="1:61" ht="18.399999999999999" customHeight="1" x14ac:dyDescent="0.3">
      <c r="A61" s="8" t="s">
        <v>51</v>
      </c>
      <c r="B61" s="8" t="s">
        <v>64</v>
      </c>
      <c r="C61" s="8">
        <v>1</v>
      </c>
      <c r="D61" s="8" t="s">
        <v>20</v>
      </c>
      <c r="E61" s="10">
        <f>F316</f>
        <v>10795071</v>
      </c>
      <c r="F61" s="10">
        <f>TRUNC(E61*C61,0)</f>
        <v>10795071</v>
      </c>
      <c r="G61" s="10">
        <f>H316</f>
        <v>0</v>
      </c>
      <c r="H61" s="10">
        <f>TRUNC(G61*C61,0)</f>
        <v>0</v>
      </c>
      <c r="I61" s="10">
        <f>J316</f>
        <v>58929</v>
      </c>
      <c r="J61" s="10">
        <f>TRUNC(I61*C61,0)</f>
        <v>58929</v>
      </c>
      <c r="K61" s="10">
        <f t="shared" si="3"/>
        <v>10854000</v>
      </c>
      <c r="L61" s="10">
        <f t="shared" si="2"/>
        <v>10854000</v>
      </c>
      <c r="M61" s="11" t="s">
        <v>6</v>
      </c>
      <c r="N61" s="1" t="s">
        <v>6</v>
      </c>
      <c r="P61" s="1" t="s">
        <v>53</v>
      </c>
      <c r="Q61" s="1" t="s">
        <v>27</v>
      </c>
      <c r="R61" s="1" t="s">
        <v>65</v>
      </c>
      <c r="BI61" s="12" t="str">
        <f>HYPERLINK("#내역서!A132","D0100 →")</f>
        <v>D0100 →</v>
      </c>
    </row>
    <row r="62" spans="1:61" ht="18.399999999999999" customHeight="1" x14ac:dyDescent="0.3">
      <c r="A62" s="8"/>
      <c r="B62" s="8"/>
      <c r="C62" s="8"/>
      <c r="D62" s="8"/>
      <c r="E62" s="10"/>
      <c r="F62" s="10"/>
      <c r="G62" s="10"/>
      <c r="H62" s="10"/>
      <c r="I62" s="10"/>
      <c r="J62" s="10"/>
      <c r="K62" s="10"/>
      <c r="L62" s="10"/>
      <c r="M62" s="11"/>
      <c r="BI62" s="12"/>
    </row>
    <row r="63" spans="1:61" ht="18.399999999999999" customHeight="1" x14ac:dyDescent="0.3">
      <c r="A63" s="8"/>
      <c r="B63" s="8"/>
      <c r="C63" s="8"/>
      <c r="D63" s="8"/>
      <c r="E63" s="10"/>
      <c r="F63" s="10"/>
      <c r="G63" s="10"/>
      <c r="H63" s="10"/>
      <c r="I63" s="10"/>
      <c r="J63" s="10"/>
      <c r="K63" s="10"/>
      <c r="L63" s="10"/>
      <c r="M63" s="11"/>
      <c r="BI63" s="12"/>
    </row>
    <row r="64" spans="1:61" ht="18.399999999999999" customHeight="1" x14ac:dyDescent="0.3">
      <c r="A64" s="8"/>
      <c r="B64" s="8"/>
      <c r="C64" s="8"/>
      <c r="D64" s="8"/>
      <c r="E64" s="10"/>
      <c r="F64" s="10"/>
      <c r="G64" s="10"/>
      <c r="H64" s="10"/>
      <c r="I64" s="10"/>
      <c r="J64" s="10"/>
      <c r="K64" s="10"/>
      <c r="L64" s="10"/>
      <c r="M64" s="11"/>
      <c r="BI64" s="12"/>
    </row>
    <row r="65" spans="1:61" ht="18.399999999999999" customHeight="1" x14ac:dyDescent="0.3">
      <c r="A65" s="8"/>
      <c r="B65" s="8"/>
      <c r="C65" s="8"/>
      <c r="D65" s="8"/>
      <c r="E65" s="10"/>
      <c r="F65" s="10"/>
      <c r="G65" s="10"/>
      <c r="H65" s="10"/>
      <c r="I65" s="10"/>
      <c r="J65" s="10"/>
      <c r="K65" s="10"/>
      <c r="L65" s="10"/>
      <c r="M65" s="11"/>
      <c r="BI65" s="12"/>
    </row>
    <row r="66" spans="1:61" ht="18.399999999999999" customHeight="1" x14ac:dyDescent="0.3">
      <c r="A66" s="8"/>
      <c r="B66" s="8"/>
      <c r="C66" s="8"/>
      <c r="D66" s="8"/>
      <c r="E66" s="10"/>
      <c r="F66" s="10"/>
      <c r="G66" s="10"/>
      <c r="H66" s="10"/>
      <c r="I66" s="10"/>
      <c r="J66" s="10"/>
      <c r="K66" s="10"/>
      <c r="L66" s="10"/>
      <c r="M66" s="11"/>
      <c r="BI66" s="12"/>
    </row>
    <row r="67" spans="1:61" ht="18.399999999999999" customHeight="1" x14ac:dyDescent="0.3">
      <c r="A67" s="8"/>
      <c r="B67" s="8"/>
      <c r="C67" s="8"/>
      <c r="D67" s="8"/>
      <c r="E67" s="10"/>
      <c r="F67" s="10"/>
      <c r="G67" s="10"/>
      <c r="H67" s="10"/>
      <c r="I67" s="10"/>
      <c r="J67" s="10"/>
      <c r="K67" s="10"/>
      <c r="L67" s="10"/>
      <c r="M67" s="11"/>
      <c r="BI67" s="12"/>
    </row>
    <row r="68" spans="1:61" ht="18.399999999999999" customHeight="1" x14ac:dyDescent="0.3">
      <c r="A68" s="8"/>
      <c r="B68" s="8"/>
      <c r="C68" s="8"/>
      <c r="D68" s="8"/>
      <c r="E68" s="10"/>
      <c r="F68" s="10"/>
      <c r="G68" s="10"/>
      <c r="H68" s="10"/>
      <c r="I68" s="10"/>
      <c r="J68" s="10"/>
      <c r="K68" s="10"/>
      <c r="L68" s="10"/>
      <c r="M68" s="11"/>
      <c r="BI68" s="12"/>
    </row>
    <row r="69" spans="1:61" ht="18.399999999999999" customHeight="1" x14ac:dyDescent="0.3">
      <c r="A69" s="8"/>
      <c r="B69" s="8"/>
      <c r="C69" s="8"/>
      <c r="D69" s="8"/>
      <c r="E69" s="10"/>
      <c r="F69" s="10"/>
      <c r="G69" s="10"/>
      <c r="H69" s="10"/>
      <c r="I69" s="10"/>
      <c r="J69" s="10"/>
      <c r="K69" s="10"/>
      <c r="L69" s="10"/>
      <c r="M69" s="11"/>
      <c r="BI69" s="12"/>
    </row>
    <row r="70" spans="1:61" ht="18.399999999999999" customHeight="1" x14ac:dyDescent="0.3">
      <c r="A70" s="8"/>
      <c r="B70" s="8"/>
      <c r="C70" s="8"/>
      <c r="D70" s="8"/>
      <c r="E70" s="10"/>
      <c r="F70" s="10"/>
      <c r="G70" s="10"/>
      <c r="H70" s="10"/>
      <c r="I70" s="10"/>
      <c r="J70" s="10"/>
      <c r="K70" s="10"/>
      <c r="L70" s="10"/>
      <c r="M70" s="11"/>
      <c r="BI70" s="12"/>
    </row>
    <row r="71" spans="1:61" ht="18.399999999999999" customHeight="1" x14ac:dyDescent="0.3">
      <c r="A71" s="8"/>
      <c r="B71" s="8"/>
      <c r="C71" s="8"/>
      <c r="D71" s="8"/>
      <c r="E71" s="10"/>
      <c r="F71" s="10"/>
      <c r="G71" s="10"/>
      <c r="H71" s="10"/>
      <c r="I71" s="10"/>
      <c r="J71" s="10"/>
      <c r="K71" s="10"/>
      <c r="L71" s="10"/>
      <c r="M71" s="11"/>
      <c r="BI71" s="12"/>
    </row>
    <row r="72" spans="1:61" ht="18.399999999999999" customHeight="1" x14ac:dyDescent="0.3">
      <c r="A72" s="8"/>
      <c r="B72" s="8"/>
      <c r="C72" s="8"/>
      <c r="D72" s="8"/>
      <c r="E72" s="10"/>
      <c r="F72" s="10"/>
      <c r="G72" s="10"/>
      <c r="H72" s="10"/>
      <c r="I72" s="10"/>
      <c r="J72" s="10"/>
      <c r="K72" s="10"/>
      <c r="L72" s="10"/>
      <c r="M72" s="11"/>
      <c r="BI72" s="12"/>
    </row>
    <row r="73" spans="1:61" ht="18.399999999999999" customHeight="1" x14ac:dyDescent="0.3">
      <c r="A73" s="8"/>
      <c r="B73" s="8"/>
      <c r="C73" s="8"/>
      <c r="D73" s="8"/>
      <c r="E73" s="10"/>
      <c r="F73" s="10"/>
      <c r="G73" s="10"/>
      <c r="H73" s="10"/>
      <c r="I73" s="10"/>
      <c r="J73" s="10"/>
      <c r="K73" s="10"/>
      <c r="L73" s="10"/>
      <c r="M73" s="11"/>
      <c r="BI73" s="12"/>
    </row>
    <row r="74" spans="1:61" ht="18.399999999999999" customHeight="1" x14ac:dyDescent="0.3">
      <c r="A74" s="8"/>
      <c r="B74" s="8"/>
      <c r="C74" s="8"/>
      <c r="D74" s="8"/>
      <c r="E74" s="10"/>
      <c r="F74" s="10"/>
      <c r="G74" s="10"/>
      <c r="H74" s="10"/>
      <c r="I74" s="10"/>
      <c r="J74" s="10"/>
      <c r="K74" s="10"/>
      <c r="L74" s="10"/>
      <c r="M74" s="11"/>
      <c r="BI74" s="12"/>
    </row>
    <row r="75" spans="1:61" ht="18.399999999999999" customHeight="1" x14ac:dyDescent="0.3">
      <c r="A75" s="8"/>
      <c r="B75" s="8"/>
      <c r="C75" s="8"/>
      <c r="D75" s="8"/>
      <c r="E75" s="10"/>
      <c r="F75" s="10"/>
      <c r="G75" s="10"/>
      <c r="H75" s="10"/>
      <c r="I75" s="10"/>
      <c r="J75" s="10"/>
      <c r="K75" s="10"/>
      <c r="L75" s="10"/>
      <c r="M75" s="11"/>
      <c r="BI75" s="12"/>
    </row>
    <row r="76" spans="1:61" ht="18.399999999999999" customHeight="1" x14ac:dyDescent="0.3">
      <c r="A76" s="8" t="s">
        <v>66</v>
      </c>
      <c r="B76" s="8" t="s">
        <v>35</v>
      </c>
      <c r="C76" s="8">
        <v>1</v>
      </c>
      <c r="D76" s="8" t="s">
        <v>20</v>
      </c>
      <c r="E76" s="5"/>
      <c r="F76" s="10">
        <f>TRUNC(F77+F78,0)</f>
        <v>69442393</v>
      </c>
      <c r="G76" s="5"/>
      <c r="H76" s="10">
        <f>TRUNC(H77+H78,0)</f>
        <v>281033530</v>
      </c>
      <c r="I76" s="5"/>
      <c r="J76" s="10">
        <f>TRUNC(J77+J78,0)</f>
        <v>20322638</v>
      </c>
      <c r="K76" s="5"/>
      <c r="L76" s="10">
        <f t="shared" ref="L76:L115" si="4">F76+H76+J76</f>
        <v>370798561</v>
      </c>
      <c r="M76" s="11" t="s">
        <v>6</v>
      </c>
      <c r="N76" s="1" t="s">
        <v>6</v>
      </c>
      <c r="O76" s="1" t="s">
        <v>36</v>
      </c>
    </row>
    <row r="77" spans="1:61" ht="18.399999999999999" customHeight="1" x14ac:dyDescent="0.3">
      <c r="A77" s="8" t="s">
        <v>67</v>
      </c>
      <c r="B77" s="8" t="s">
        <v>68</v>
      </c>
      <c r="C77" s="8">
        <v>1</v>
      </c>
      <c r="D77" s="8" t="s">
        <v>20</v>
      </c>
      <c r="E77" s="10">
        <f>F81</f>
        <v>38193569</v>
      </c>
      <c r="F77" s="10">
        <f>TRUNC(E77*C77,0)</f>
        <v>38193569</v>
      </c>
      <c r="G77" s="10">
        <f>H81</f>
        <v>245748763</v>
      </c>
      <c r="H77" s="10">
        <f>TRUNC(G77*C77,0)</f>
        <v>245748763</v>
      </c>
      <c r="I77" s="10">
        <f>J81</f>
        <v>20322638</v>
      </c>
      <c r="J77" s="10">
        <f>TRUNC(I77*C77,0)</f>
        <v>20322638</v>
      </c>
      <c r="K77" s="10">
        <f>E77+G77+I77</f>
        <v>304264970</v>
      </c>
      <c r="L77" s="10">
        <f t="shared" si="4"/>
        <v>304264970</v>
      </c>
      <c r="M77" s="11" t="s">
        <v>6</v>
      </c>
      <c r="N77" s="1" t="s">
        <v>6</v>
      </c>
      <c r="P77" s="1" t="s">
        <v>23</v>
      </c>
      <c r="Q77" s="1" t="s">
        <v>6</v>
      </c>
      <c r="R77" s="1" t="s">
        <v>69</v>
      </c>
      <c r="BI77" s="12" t="str">
        <f>HYPERLINK("#내역서!A35","A0110 →")</f>
        <v>A0110 →</v>
      </c>
    </row>
    <row r="78" spans="1:61" ht="18.399999999999999" customHeight="1" x14ac:dyDescent="0.3">
      <c r="A78" s="8" t="s">
        <v>70</v>
      </c>
      <c r="B78" s="8" t="s">
        <v>71</v>
      </c>
      <c r="C78" s="8">
        <v>1</v>
      </c>
      <c r="D78" s="8" t="s">
        <v>20</v>
      </c>
      <c r="E78" s="10">
        <f>F89</f>
        <v>31248824</v>
      </c>
      <c r="F78" s="10">
        <f>TRUNC(E78*C78,0)</f>
        <v>31248824</v>
      </c>
      <c r="G78" s="10">
        <f>H89</f>
        <v>35284767</v>
      </c>
      <c r="H78" s="10">
        <f>TRUNC(G78*C78,0)</f>
        <v>35284767</v>
      </c>
      <c r="I78" s="10">
        <f>J89</f>
        <v>0</v>
      </c>
      <c r="J78" s="10">
        <f>TRUNC(I78*C78,0)</f>
        <v>0</v>
      </c>
      <c r="K78" s="10">
        <f>E78+G78+I78</f>
        <v>66533591</v>
      </c>
      <c r="L78" s="10">
        <f t="shared" si="4"/>
        <v>66533591</v>
      </c>
      <c r="M78" s="11" t="s">
        <v>6</v>
      </c>
      <c r="N78" s="1" t="s">
        <v>6</v>
      </c>
      <c r="P78" s="1" t="s">
        <v>26</v>
      </c>
      <c r="Q78" s="1" t="s">
        <v>6</v>
      </c>
      <c r="R78" s="1" t="s">
        <v>72</v>
      </c>
      <c r="BI78" s="12" t="str">
        <f>HYPERLINK("#내역서!A43","A0120 →")</f>
        <v>A0120 →</v>
      </c>
    </row>
    <row r="79" spans="1:61" ht="18.399999999999999" customHeight="1" x14ac:dyDescent="0.3">
      <c r="A79" s="8" t="s">
        <v>30</v>
      </c>
      <c r="B79" s="8" t="s">
        <v>6</v>
      </c>
      <c r="C79" s="8"/>
      <c r="D79" s="8" t="s">
        <v>6</v>
      </c>
      <c r="E79" s="5"/>
      <c r="F79" s="10">
        <v>0</v>
      </c>
      <c r="G79" s="5"/>
      <c r="H79" s="10">
        <v>0</v>
      </c>
      <c r="I79" s="5"/>
      <c r="J79" s="10">
        <v>0</v>
      </c>
      <c r="K79" s="10">
        <f>E79+G79+I79</f>
        <v>0</v>
      </c>
      <c r="L79" s="10">
        <f t="shared" si="4"/>
        <v>0</v>
      </c>
      <c r="M79" s="11" t="s">
        <v>6</v>
      </c>
      <c r="N79" s="1" t="s">
        <v>6</v>
      </c>
      <c r="P79" s="1" t="s">
        <v>40</v>
      </c>
      <c r="Q79" s="1" t="s">
        <v>6</v>
      </c>
      <c r="R79" s="1" t="s">
        <v>6</v>
      </c>
    </row>
    <row r="80" spans="1:61" ht="18.399999999999999" customHeight="1" x14ac:dyDescent="0.3">
      <c r="A80" s="8" t="s">
        <v>30</v>
      </c>
      <c r="B80" s="8" t="s">
        <v>6</v>
      </c>
      <c r="C80" s="8"/>
      <c r="D80" s="8" t="s">
        <v>6</v>
      </c>
      <c r="E80" s="5"/>
      <c r="F80" s="10">
        <v>0</v>
      </c>
      <c r="G80" s="5"/>
      <c r="H80" s="10">
        <v>0</v>
      </c>
      <c r="I80" s="5"/>
      <c r="J80" s="10">
        <v>0</v>
      </c>
      <c r="K80" s="10">
        <f>E80+G80+I80</f>
        <v>0</v>
      </c>
      <c r="L80" s="10">
        <f t="shared" si="4"/>
        <v>0</v>
      </c>
      <c r="M80" s="11" t="s">
        <v>6</v>
      </c>
      <c r="N80" s="1" t="s">
        <v>6</v>
      </c>
      <c r="P80" s="1" t="s">
        <v>43</v>
      </c>
      <c r="Q80" s="1" t="s">
        <v>6</v>
      </c>
      <c r="R80" s="1" t="s">
        <v>6</v>
      </c>
    </row>
    <row r="81" spans="1:61" ht="18.399999999999999" customHeight="1" x14ac:dyDescent="0.3">
      <c r="A81" s="8" t="s">
        <v>73</v>
      </c>
      <c r="B81" s="8" t="s">
        <v>68</v>
      </c>
      <c r="C81" s="8">
        <v>1</v>
      </c>
      <c r="D81" s="8" t="s">
        <v>20</v>
      </c>
      <c r="E81" s="5"/>
      <c r="F81" s="10">
        <f>TRUNC(F82+F83+F84+F85+F86+F87,0)</f>
        <v>38193569</v>
      </c>
      <c r="G81" s="5"/>
      <c r="H81" s="10">
        <f>TRUNC(H82+H83+H84+H85+H86+H87,0)</f>
        <v>245748763</v>
      </c>
      <c r="I81" s="5"/>
      <c r="J81" s="10">
        <f>TRUNC(J82+J83+J84+J85+J86+J87,0)</f>
        <v>20322638</v>
      </c>
      <c r="K81" s="5"/>
      <c r="L81" s="10">
        <f t="shared" si="4"/>
        <v>304264970</v>
      </c>
      <c r="M81" s="11" t="s">
        <v>6</v>
      </c>
      <c r="N81" s="1" t="s">
        <v>6</v>
      </c>
      <c r="O81" s="1" t="s">
        <v>69</v>
      </c>
    </row>
    <row r="82" spans="1:61" ht="18.399999999999999" customHeight="1" x14ac:dyDescent="0.3">
      <c r="A82" s="8" t="s">
        <v>74</v>
      </c>
      <c r="B82" s="8" t="s">
        <v>75</v>
      </c>
      <c r="C82" s="8">
        <v>33</v>
      </c>
      <c r="D82" s="8" t="s">
        <v>76</v>
      </c>
      <c r="E82" s="10">
        <f>'[1]일위대가목록-호표'!E93</f>
        <v>130453</v>
      </c>
      <c r="F82" s="10">
        <f t="shared" ref="F82:F87" si="5">TRUNC(E82*C82,0)</f>
        <v>4304949</v>
      </c>
      <c r="G82" s="10">
        <f>'[1]일위대가목록-호표'!F93</f>
        <v>845531</v>
      </c>
      <c r="H82" s="10">
        <f t="shared" ref="H82:H87" si="6">TRUNC(G82*C82,0)</f>
        <v>27902523</v>
      </c>
      <c r="I82" s="10">
        <f>'[1]일위대가목록-호표'!G93</f>
        <v>69490</v>
      </c>
      <c r="J82" s="10">
        <f t="shared" ref="J82:J87" si="7">TRUNC(I82*C82,0)</f>
        <v>2293170</v>
      </c>
      <c r="K82" s="10">
        <f t="shared" ref="K82:K88" si="8">E82+G82+I82</f>
        <v>1045474</v>
      </c>
      <c r="L82" s="10">
        <f t="shared" si="4"/>
        <v>34500642</v>
      </c>
      <c r="M82" s="11" t="s">
        <v>77</v>
      </c>
      <c r="N82" s="1" t="s">
        <v>6</v>
      </c>
      <c r="P82" s="1" t="s">
        <v>23</v>
      </c>
      <c r="Q82" s="1" t="s">
        <v>6</v>
      </c>
      <c r="R82" s="1" t="s">
        <v>78</v>
      </c>
      <c r="T82" s="1" t="s">
        <v>79</v>
      </c>
      <c r="BI82" s="12" t="str">
        <f>HYPERLINK("#일위대가목록!A96","TR-ESSM1-01 →")</f>
        <v>TR-ESSM1-01 →</v>
      </c>
    </row>
    <row r="83" spans="1:61" ht="18.399999999999999" customHeight="1" x14ac:dyDescent="0.3">
      <c r="A83" s="8" t="s">
        <v>74</v>
      </c>
      <c r="B83" s="8" t="s">
        <v>80</v>
      </c>
      <c r="C83" s="8">
        <v>16</v>
      </c>
      <c r="D83" s="8" t="s">
        <v>76</v>
      </c>
      <c r="E83" s="10">
        <f>'[1]일위대가목록-호표'!E94</f>
        <v>85877</v>
      </c>
      <c r="F83" s="10">
        <f t="shared" si="5"/>
        <v>1374032</v>
      </c>
      <c r="G83" s="10">
        <f>'[1]일위대가목록-호표'!F94</f>
        <v>508359</v>
      </c>
      <c r="H83" s="10">
        <f t="shared" si="6"/>
        <v>8133744</v>
      </c>
      <c r="I83" s="10">
        <f>'[1]일위대가목록-호표'!G94</f>
        <v>43648</v>
      </c>
      <c r="J83" s="10">
        <f t="shared" si="7"/>
        <v>698368</v>
      </c>
      <c r="K83" s="10">
        <f t="shared" si="8"/>
        <v>637884</v>
      </c>
      <c r="L83" s="10">
        <f t="shared" si="4"/>
        <v>10206144</v>
      </c>
      <c r="M83" s="11" t="s">
        <v>81</v>
      </c>
      <c r="N83" s="1" t="s">
        <v>6</v>
      </c>
      <c r="P83" s="1" t="s">
        <v>26</v>
      </c>
      <c r="Q83" s="1" t="s">
        <v>6</v>
      </c>
      <c r="R83" s="1" t="s">
        <v>82</v>
      </c>
      <c r="T83" s="1" t="s">
        <v>79</v>
      </c>
      <c r="BI83" s="12" t="str">
        <f>HYPERLINK("#일위대가목록!A97","TR-ESSM1-02 →")</f>
        <v>TR-ESSM1-02 →</v>
      </c>
    </row>
    <row r="84" spans="1:61" ht="18.399999999999999" customHeight="1" x14ac:dyDescent="0.3">
      <c r="A84" s="8" t="s">
        <v>83</v>
      </c>
      <c r="B84" s="8" t="s">
        <v>84</v>
      </c>
      <c r="C84" s="8">
        <v>35</v>
      </c>
      <c r="D84" s="8" t="s">
        <v>76</v>
      </c>
      <c r="E84" s="10">
        <f>'[1]일위대가목록-호표'!E95</f>
        <v>130713</v>
      </c>
      <c r="F84" s="10">
        <f t="shared" si="5"/>
        <v>4574955</v>
      </c>
      <c r="G84" s="10">
        <f>'[1]일위대가목록-호표'!F95</f>
        <v>845531</v>
      </c>
      <c r="H84" s="10">
        <f t="shared" si="6"/>
        <v>29593585</v>
      </c>
      <c r="I84" s="10">
        <f>'[1]일위대가목록-호표'!G95</f>
        <v>70990</v>
      </c>
      <c r="J84" s="10">
        <f t="shared" si="7"/>
        <v>2484650</v>
      </c>
      <c r="K84" s="10">
        <f t="shared" si="8"/>
        <v>1047234</v>
      </c>
      <c r="L84" s="10">
        <f t="shared" si="4"/>
        <v>36653190</v>
      </c>
      <c r="M84" s="11" t="s">
        <v>85</v>
      </c>
      <c r="N84" s="1" t="s">
        <v>6</v>
      </c>
      <c r="P84" s="1" t="s">
        <v>40</v>
      </c>
      <c r="Q84" s="1" t="s">
        <v>6</v>
      </c>
      <c r="R84" s="1" t="s">
        <v>86</v>
      </c>
      <c r="T84" s="1" t="s">
        <v>79</v>
      </c>
      <c r="BI84" s="12" t="str">
        <f>HYPERLINK("#일위대가목록!A98","TR-ESSM1-03 →")</f>
        <v>TR-ESSM1-03 →</v>
      </c>
    </row>
    <row r="85" spans="1:61" ht="18.399999999999999" customHeight="1" x14ac:dyDescent="0.3">
      <c r="A85" s="8" t="s">
        <v>87</v>
      </c>
      <c r="B85" s="8" t="s">
        <v>75</v>
      </c>
      <c r="C85" s="8">
        <v>197</v>
      </c>
      <c r="D85" s="8" t="s">
        <v>76</v>
      </c>
      <c r="E85" s="10">
        <f>'[1]일위대가목록-호표'!E96</f>
        <v>130453</v>
      </c>
      <c r="F85" s="10">
        <f t="shared" si="5"/>
        <v>25699241</v>
      </c>
      <c r="G85" s="10">
        <f>'[1]일위대가목록-호표'!F96</f>
        <v>845531</v>
      </c>
      <c r="H85" s="10">
        <f t="shared" si="6"/>
        <v>166569607</v>
      </c>
      <c r="I85" s="10">
        <f>'[1]일위대가목록-호표'!G96</f>
        <v>69490</v>
      </c>
      <c r="J85" s="10">
        <f t="shared" si="7"/>
        <v>13689530</v>
      </c>
      <c r="K85" s="10">
        <f t="shared" si="8"/>
        <v>1045474</v>
      </c>
      <c r="L85" s="10">
        <f t="shared" si="4"/>
        <v>205958378</v>
      </c>
      <c r="M85" s="11" t="s">
        <v>88</v>
      </c>
      <c r="N85" s="1" t="s">
        <v>6</v>
      </c>
      <c r="P85" s="1" t="s">
        <v>43</v>
      </c>
      <c r="Q85" s="1" t="s">
        <v>6</v>
      </c>
      <c r="R85" s="1" t="s">
        <v>89</v>
      </c>
      <c r="T85" s="1" t="s">
        <v>79</v>
      </c>
      <c r="BI85" s="12" t="str">
        <f>HYPERLINK("#일위대가목록!A99","TR-ESSM1-04 →")</f>
        <v>TR-ESSM1-04 →</v>
      </c>
    </row>
    <row r="86" spans="1:61" ht="18.399999999999999" customHeight="1" x14ac:dyDescent="0.3">
      <c r="A86" s="8" t="s">
        <v>87</v>
      </c>
      <c r="B86" s="8" t="s">
        <v>90</v>
      </c>
      <c r="C86" s="8">
        <v>20</v>
      </c>
      <c r="D86" s="8" t="s">
        <v>76</v>
      </c>
      <c r="E86" s="10">
        <f>'[1]일위대가목록-호표'!E97</f>
        <v>85877</v>
      </c>
      <c r="F86" s="10">
        <f t="shared" si="5"/>
        <v>1717540</v>
      </c>
      <c r="G86" s="10">
        <f>'[1]일위대가목록-호표'!F97</f>
        <v>508359</v>
      </c>
      <c r="H86" s="10">
        <f t="shared" si="6"/>
        <v>10167180</v>
      </c>
      <c r="I86" s="10">
        <f>'[1]일위대가목록-호표'!G97</f>
        <v>43648</v>
      </c>
      <c r="J86" s="10">
        <f t="shared" si="7"/>
        <v>872960</v>
      </c>
      <c r="K86" s="10">
        <f t="shared" si="8"/>
        <v>637884</v>
      </c>
      <c r="L86" s="10">
        <f t="shared" si="4"/>
        <v>12757680</v>
      </c>
      <c r="M86" s="11" t="s">
        <v>91</v>
      </c>
      <c r="N86" s="1" t="s">
        <v>6</v>
      </c>
      <c r="P86" s="1" t="s">
        <v>46</v>
      </c>
      <c r="Q86" s="1" t="s">
        <v>6</v>
      </c>
      <c r="R86" s="1" t="s">
        <v>92</v>
      </c>
      <c r="T86" s="1" t="s">
        <v>79</v>
      </c>
      <c r="BI86" s="12" t="str">
        <f>HYPERLINK("#일위대가목록!A100","TR-ESSM1-05 →")</f>
        <v>TR-ESSM1-05 →</v>
      </c>
    </row>
    <row r="87" spans="1:61" ht="18.399999999999999" customHeight="1" x14ac:dyDescent="0.3">
      <c r="A87" s="8" t="s">
        <v>83</v>
      </c>
      <c r="B87" s="8" t="s">
        <v>93</v>
      </c>
      <c r="C87" s="8">
        <v>4</v>
      </c>
      <c r="D87" s="8" t="s">
        <v>76</v>
      </c>
      <c r="E87" s="10">
        <f>'[1]일위대가목록-호표'!E98</f>
        <v>130713</v>
      </c>
      <c r="F87" s="10">
        <f t="shared" si="5"/>
        <v>522852</v>
      </c>
      <c r="G87" s="10">
        <f>'[1]일위대가목록-호표'!F98</f>
        <v>845531</v>
      </c>
      <c r="H87" s="10">
        <f t="shared" si="6"/>
        <v>3382124</v>
      </c>
      <c r="I87" s="10">
        <f>'[1]일위대가목록-호표'!G98</f>
        <v>70990</v>
      </c>
      <c r="J87" s="10">
        <f t="shared" si="7"/>
        <v>283960</v>
      </c>
      <c r="K87" s="10">
        <f t="shared" si="8"/>
        <v>1047234</v>
      </c>
      <c r="L87" s="10">
        <f t="shared" si="4"/>
        <v>4188936</v>
      </c>
      <c r="M87" s="11" t="s">
        <v>94</v>
      </c>
      <c r="N87" s="1" t="s">
        <v>6</v>
      </c>
      <c r="P87" s="1" t="s">
        <v>48</v>
      </c>
      <c r="Q87" s="1" t="s">
        <v>6</v>
      </c>
      <c r="R87" s="1" t="s">
        <v>95</v>
      </c>
      <c r="T87" s="1" t="s">
        <v>79</v>
      </c>
      <c r="BI87" s="12" t="str">
        <f>HYPERLINK("#일위대가목록!A101","TR-ESSM1-06 →")</f>
        <v>TR-ESSM1-06 →</v>
      </c>
    </row>
    <row r="88" spans="1:61" ht="18.399999999999999" customHeight="1" x14ac:dyDescent="0.3">
      <c r="A88" s="8" t="s">
        <v>30</v>
      </c>
      <c r="B88" s="8" t="s">
        <v>6</v>
      </c>
      <c r="C88" s="8"/>
      <c r="D88" s="8" t="s">
        <v>6</v>
      </c>
      <c r="E88" s="5"/>
      <c r="F88" s="10">
        <v>0</v>
      </c>
      <c r="G88" s="5"/>
      <c r="H88" s="10">
        <v>0</v>
      </c>
      <c r="I88" s="5"/>
      <c r="J88" s="10">
        <v>0</v>
      </c>
      <c r="K88" s="10">
        <f t="shared" si="8"/>
        <v>0</v>
      </c>
      <c r="L88" s="10">
        <f t="shared" si="4"/>
        <v>0</v>
      </c>
      <c r="M88" s="11" t="s">
        <v>6</v>
      </c>
      <c r="N88" s="1" t="s">
        <v>6</v>
      </c>
      <c r="P88" s="1" t="s">
        <v>50</v>
      </c>
      <c r="Q88" s="1" t="s">
        <v>6</v>
      </c>
      <c r="R88" s="1" t="s">
        <v>6</v>
      </c>
    </row>
    <row r="89" spans="1:61" ht="18.399999999999999" customHeight="1" x14ac:dyDescent="0.3">
      <c r="A89" s="8" t="s">
        <v>96</v>
      </c>
      <c r="B89" s="8" t="s">
        <v>71</v>
      </c>
      <c r="C89" s="8">
        <v>1</v>
      </c>
      <c r="D89" s="8" t="s">
        <v>20</v>
      </c>
      <c r="E89" s="5"/>
      <c r="F89" s="10">
        <f>TRUNC(F90+F91+F92+F93+F94+F95+F96+F97,0)</f>
        <v>31248824</v>
      </c>
      <c r="G89" s="5"/>
      <c r="H89" s="10">
        <f>TRUNC(H90+H91+H92+H93+H94+H95+H96+H97,0)</f>
        <v>35284767</v>
      </c>
      <c r="I89" s="5"/>
      <c r="J89" s="10">
        <f>TRUNC(J90+J91+J92+J93+J94+J95+J96+J97,0)</f>
        <v>0</v>
      </c>
      <c r="K89" s="5"/>
      <c r="L89" s="10">
        <f t="shared" si="4"/>
        <v>66533591</v>
      </c>
      <c r="M89" s="11" t="s">
        <v>6</v>
      </c>
      <c r="N89" s="1" t="s">
        <v>6</v>
      </c>
      <c r="O89" s="1" t="s">
        <v>72</v>
      </c>
    </row>
    <row r="90" spans="1:61" ht="18.399999999999999" customHeight="1" x14ac:dyDescent="0.3">
      <c r="A90" s="8" t="s">
        <v>97</v>
      </c>
      <c r="B90" s="8" t="s">
        <v>98</v>
      </c>
      <c r="C90" s="8">
        <v>220</v>
      </c>
      <c r="D90" s="8" t="s">
        <v>76</v>
      </c>
      <c r="E90" s="10">
        <f>'[1]일위대가목록-호표'!E103</f>
        <v>22162</v>
      </c>
      <c r="F90" s="10">
        <f t="shared" ref="F90:F97" si="9">TRUNC(E90*C90,0)</f>
        <v>4875640</v>
      </c>
      <c r="G90" s="10">
        <f>'[1]일위대가목록-호표'!F103</f>
        <v>2507</v>
      </c>
      <c r="H90" s="10">
        <f t="shared" ref="H90:H97" si="10">TRUNC(G90*C90,0)</f>
        <v>551540</v>
      </c>
      <c r="I90" s="10">
        <f>'[1]일위대가목록-호표'!G103</f>
        <v>0</v>
      </c>
      <c r="J90" s="10">
        <f t="shared" ref="J90:J97" si="11">TRUNC(I90*C90,0)</f>
        <v>0</v>
      </c>
      <c r="K90" s="10">
        <f t="shared" ref="K90:K97" si="12">E90+G90+I90</f>
        <v>24669</v>
      </c>
      <c r="L90" s="10">
        <f t="shared" si="4"/>
        <v>5427180</v>
      </c>
      <c r="M90" s="11" t="s">
        <v>99</v>
      </c>
      <c r="N90" s="1" t="s">
        <v>6</v>
      </c>
      <c r="P90" s="1" t="s">
        <v>23</v>
      </c>
      <c r="Q90" s="1" t="s">
        <v>6</v>
      </c>
      <c r="R90" s="1" t="s">
        <v>100</v>
      </c>
      <c r="T90" s="1" t="s">
        <v>79</v>
      </c>
      <c r="BI90" s="12" t="str">
        <f>HYPERLINK("#일위대가목록!A106","TU-JMN04 →")</f>
        <v>TU-JMN04 →</v>
      </c>
    </row>
    <row r="91" spans="1:61" ht="18.399999999999999" customHeight="1" x14ac:dyDescent="0.3">
      <c r="A91" s="8" t="s">
        <v>101</v>
      </c>
      <c r="B91" s="8" t="s">
        <v>102</v>
      </c>
      <c r="C91" s="8">
        <v>18</v>
      </c>
      <c r="D91" s="8" t="s">
        <v>76</v>
      </c>
      <c r="E91" s="10">
        <f>'[1]일위대가목록-호표'!E100</f>
        <v>11325</v>
      </c>
      <c r="F91" s="10">
        <f t="shared" si="9"/>
        <v>203850</v>
      </c>
      <c r="G91" s="10">
        <f>'[1]일위대가목록-호표'!F100</f>
        <v>6143</v>
      </c>
      <c r="H91" s="10">
        <f t="shared" si="10"/>
        <v>110574</v>
      </c>
      <c r="I91" s="10">
        <f>'[1]일위대가목록-호표'!G100</f>
        <v>0</v>
      </c>
      <c r="J91" s="10">
        <f t="shared" si="11"/>
        <v>0</v>
      </c>
      <c r="K91" s="10">
        <f t="shared" si="12"/>
        <v>17468</v>
      </c>
      <c r="L91" s="10">
        <f t="shared" si="4"/>
        <v>314424</v>
      </c>
      <c r="M91" s="11" t="s">
        <v>103</v>
      </c>
      <c r="N91" s="1" t="s">
        <v>6</v>
      </c>
      <c r="P91" s="1" t="s">
        <v>104</v>
      </c>
      <c r="Q91" s="1" t="s">
        <v>6</v>
      </c>
      <c r="R91" s="1" t="s">
        <v>105</v>
      </c>
      <c r="T91" s="1" t="s">
        <v>79</v>
      </c>
      <c r="BI91" s="12" t="str">
        <f>HYPERLINK("#일위대가목록!A103","TU-HGSB06D →")</f>
        <v>TU-HGSB06D →</v>
      </c>
    </row>
    <row r="92" spans="1:61" ht="18.399999999999999" customHeight="1" x14ac:dyDescent="0.3">
      <c r="A92" s="8" t="s">
        <v>106</v>
      </c>
      <c r="B92" s="8" t="s">
        <v>107</v>
      </c>
      <c r="C92" s="8">
        <v>14</v>
      </c>
      <c r="D92" s="8" t="s">
        <v>76</v>
      </c>
      <c r="E92" s="10">
        <f>'[1]일위대가목록-호표'!E102</f>
        <v>3880</v>
      </c>
      <c r="F92" s="10">
        <f t="shared" si="9"/>
        <v>54320</v>
      </c>
      <c r="G92" s="10">
        <f>'[1]일위대가목록-호표'!F102</f>
        <v>6143</v>
      </c>
      <c r="H92" s="10">
        <f t="shared" si="10"/>
        <v>86002</v>
      </c>
      <c r="I92" s="10">
        <f>'[1]일위대가목록-호표'!G102</f>
        <v>0</v>
      </c>
      <c r="J92" s="10">
        <f t="shared" si="11"/>
        <v>0</v>
      </c>
      <c r="K92" s="10">
        <f t="shared" si="12"/>
        <v>10023</v>
      </c>
      <c r="L92" s="10">
        <f t="shared" si="4"/>
        <v>140322</v>
      </c>
      <c r="M92" s="11" t="s">
        <v>108</v>
      </c>
      <c r="N92" s="1" t="s">
        <v>6</v>
      </c>
      <c r="P92" s="1" t="s">
        <v>26</v>
      </c>
      <c r="Q92" s="1" t="s">
        <v>6</v>
      </c>
      <c r="R92" s="1" t="s">
        <v>109</v>
      </c>
      <c r="T92" s="1" t="s">
        <v>79</v>
      </c>
      <c r="BI92" s="12" t="str">
        <f>HYPERLINK("#일위대가목록!A105","TU-JM03D →")</f>
        <v>TU-JM03D →</v>
      </c>
    </row>
    <row r="93" spans="1:61" ht="18.399999999999999" customHeight="1" x14ac:dyDescent="0.3">
      <c r="A93" s="8" t="s">
        <v>110</v>
      </c>
      <c r="B93" s="8" t="s">
        <v>98</v>
      </c>
      <c r="C93" s="8">
        <v>20</v>
      </c>
      <c r="D93" s="8" t="s">
        <v>76</v>
      </c>
      <c r="E93" s="10">
        <f>'[1]일위대가목록-호표'!E105</f>
        <v>3022</v>
      </c>
      <c r="F93" s="10">
        <f t="shared" si="9"/>
        <v>60440</v>
      </c>
      <c r="G93" s="10">
        <f>'[1]일위대가목록-호표'!F105</f>
        <v>2507</v>
      </c>
      <c r="H93" s="10">
        <f t="shared" si="10"/>
        <v>50140</v>
      </c>
      <c r="I93" s="10">
        <f>'[1]일위대가목록-호표'!G105</f>
        <v>0</v>
      </c>
      <c r="J93" s="10">
        <f t="shared" si="11"/>
        <v>0</v>
      </c>
      <c r="K93" s="10">
        <f t="shared" si="12"/>
        <v>5529</v>
      </c>
      <c r="L93" s="10">
        <f t="shared" si="4"/>
        <v>110580</v>
      </c>
      <c r="M93" s="11" t="s">
        <v>111</v>
      </c>
      <c r="N93" s="1" t="s">
        <v>6</v>
      </c>
      <c r="P93" s="1" t="s">
        <v>40</v>
      </c>
      <c r="Q93" s="1" t="s">
        <v>6</v>
      </c>
      <c r="R93" s="1" t="s">
        <v>112</v>
      </c>
      <c r="T93" s="1" t="s">
        <v>79</v>
      </c>
      <c r="BI93" s="12" t="str">
        <f>HYPERLINK("#일위대가목록!A108","TU-SCJ04 →")</f>
        <v>TU-SCJ04 →</v>
      </c>
    </row>
    <row r="94" spans="1:61" ht="18.399999999999999" customHeight="1" x14ac:dyDescent="0.3">
      <c r="A94" s="8" t="s">
        <v>113</v>
      </c>
      <c r="B94" s="8" t="s">
        <v>114</v>
      </c>
      <c r="C94" s="8">
        <v>2070</v>
      </c>
      <c r="D94" s="8" t="s">
        <v>115</v>
      </c>
      <c r="E94" s="10">
        <f>'[1]일위대가목록-호표'!E107</f>
        <v>2232</v>
      </c>
      <c r="F94" s="10">
        <f t="shared" si="9"/>
        <v>4620240</v>
      </c>
      <c r="G94" s="10">
        <f>'[1]일위대가목록-호표'!F107</f>
        <v>431</v>
      </c>
      <c r="H94" s="10">
        <f t="shared" si="10"/>
        <v>892170</v>
      </c>
      <c r="I94" s="10">
        <f>'[1]일위대가목록-호표'!G107</f>
        <v>0</v>
      </c>
      <c r="J94" s="10">
        <f t="shared" si="11"/>
        <v>0</v>
      </c>
      <c r="K94" s="10">
        <f t="shared" si="12"/>
        <v>2663</v>
      </c>
      <c r="L94" s="10">
        <f t="shared" si="4"/>
        <v>5512410</v>
      </c>
      <c r="M94" s="11" t="s">
        <v>116</v>
      </c>
      <c r="N94" s="1" t="s">
        <v>6</v>
      </c>
      <c r="P94" s="1" t="s">
        <v>43</v>
      </c>
      <c r="Q94" s="1" t="s">
        <v>6</v>
      </c>
      <c r="R94" s="1" t="s">
        <v>117</v>
      </c>
      <c r="T94" s="1" t="s">
        <v>79</v>
      </c>
      <c r="BI94" s="12" t="str">
        <f>HYPERLINK("#일위대가목록!A110","TV-MNM08 →")</f>
        <v>TV-MNM08 →</v>
      </c>
    </row>
    <row r="95" spans="1:61" ht="18.399999999999999" customHeight="1" x14ac:dyDescent="0.3">
      <c r="A95" s="8" t="s">
        <v>118</v>
      </c>
      <c r="B95" s="8" t="s">
        <v>119</v>
      </c>
      <c r="C95" s="8">
        <v>1320</v>
      </c>
      <c r="D95" s="8" t="s">
        <v>115</v>
      </c>
      <c r="E95" s="10">
        <f>'[1]일위대가목록-호표'!E109</f>
        <v>2782</v>
      </c>
      <c r="F95" s="10">
        <f t="shared" si="9"/>
        <v>3672240</v>
      </c>
      <c r="G95" s="10">
        <f>'[1]일위대가목록-호표'!F109</f>
        <v>431</v>
      </c>
      <c r="H95" s="10">
        <f t="shared" si="10"/>
        <v>568920</v>
      </c>
      <c r="I95" s="10">
        <f>'[1]일위대가목록-호표'!G109</f>
        <v>0</v>
      </c>
      <c r="J95" s="10">
        <f t="shared" si="11"/>
        <v>0</v>
      </c>
      <c r="K95" s="10">
        <f t="shared" si="12"/>
        <v>3213</v>
      </c>
      <c r="L95" s="10">
        <f t="shared" si="4"/>
        <v>4241160</v>
      </c>
      <c r="M95" s="11" t="s">
        <v>120</v>
      </c>
      <c r="N95" s="1" t="s">
        <v>6</v>
      </c>
      <c r="P95" s="1" t="s">
        <v>46</v>
      </c>
      <c r="Q95" s="1" t="s">
        <v>6</v>
      </c>
      <c r="R95" s="1" t="s">
        <v>121</v>
      </c>
      <c r="T95" s="1" t="s">
        <v>79</v>
      </c>
      <c r="BI95" s="12" t="str">
        <f>HYPERLINK("#일위대가목록!A112","TV-SHC10 →")</f>
        <v>TV-SHC10 →</v>
      </c>
    </row>
    <row r="96" spans="1:61" ht="18.399999999999999" customHeight="1" x14ac:dyDescent="0.3">
      <c r="A96" s="8" t="s">
        <v>122</v>
      </c>
      <c r="B96" s="8" t="s">
        <v>114</v>
      </c>
      <c r="C96" s="8">
        <v>190</v>
      </c>
      <c r="D96" s="8" t="s">
        <v>115</v>
      </c>
      <c r="E96" s="10">
        <f>'[1]일위대가목록-호표'!E108</f>
        <v>582</v>
      </c>
      <c r="F96" s="10">
        <f t="shared" si="9"/>
        <v>110580</v>
      </c>
      <c r="G96" s="10">
        <f>'[1]일위대가목록-호표'!F108</f>
        <v>431</v>
      </c>
      <c r="H96" s="10">
        <f t="shared" si="10"/>
        <v>81890</v>
      </c>
      <c r="I96" s="10">
        <f>'[1]일위대가목록-호표'!G108</f>
        <v>0</v>
      </c>
      <c r="J96" s="10">
        <f t="shared" si="11"/>
        <v>0</v>
      </c>
      <c r="K96" s="10">
        <f t="shared" si="12"/>
        <v>1013</v>
      </c>
      <c r="L96" s="10">
        <f t="shared" si="4"/>
        <v>192470</v>
      </c>
      <c r="M96" s="11" t="s">
        <v>123</v>
      </c>
      <c r="N96" s="1" t="s">
        <v>6</v>
      </c>
      <c r="P96" s="1" t="s">
        <v>48</v>
      </c>
      <c r="Q96" s="1" t="s">
        <v>6</v>
      </c>
      <c r="R96" s="1" t="s">
        <v>124</v>
      </c>
      <c r="T96" s="1" t="s">
        <v>79</v>
      </c>
      <c r="BI96" s="12" t="str">
        <f>HYPERLINK("#일위대가목록!A111","TV-OARAN08 →")</f>
        <v>TV-OARAN08 →</v>
      </c>
    </row>
    <row r="97" spans="1:61" ht="18.399999999999999" customHeight="1" x14ac:dyDescent="0.3">
      <c r="A97" s="8" t="s">
        <v>125</v>
      </c>
      <c r="B97" s="8" t="s">
        <v>126</v>
      </c>
      <c r="C97" s="8">
        <v>6879</v>
      </c>
      <c r="D97" s="8" t="s">
        <v>127</v>
      </c>
      <c r="E97" s="10">
        <f>'[1]일위대가목록-호표'!E112</f>
        <v>2566</v>
      </c>
      <c r="F97" s="10">
        <f t="shared" si="9"/>
        <v>17651514</v>
      </c>
      <c r="G97" s="10">
        <f>'[1]일위대가목록-호표'!F112</f>
        <v>4789</v>
      </c>
      <c r="H97" s="10">
        <f t="shared" si="10"/>
        <v>32943531</v>
      </c>
      <c r="I97" s="10">
        <f>'[1]일위대가목록-호표'!G112</f>
        <v>0</v>
      </c>
      <c r="J97" s="10">
        <f t="shared" si="11"/>
        <v>0</v>
      </c>
      <c r="K97" s="10">
        <f t="shared" si="12"/>
        <v>7355</v>
      </c>
      <c r="L97" s="10">
        <f t="shared" si="4"/>
        <v>50595045</v>
      </c>
      <c r="M97" s="11" t="s">
        <v>128</v>
      </c>
      <c r="N97" s="1" t="s">
        <v>6</v>
      </c>
      <c r="P97" s="1" t="s">
        <v>50</v>
      </c>
      <c r="Q97" s="1" t="s">
        <v>27</v>
      </c>
      <c r="R97" s="1" t="s">
        <v>129</v>
      </c>
      <c r="T97" s="1" t="s">
        <v>79</v>
      </c>
      <c r="BI97" s="12" t="str">
        <f>HYPERLINK("#일위대가목록!A115","TX-ZJDJ →")</f>
        <v>TX-ZJDJ →</v>
      </c>
    </row>
    <row r="98" spans="1:61" ht="18.399999999999999" customHeight="1" x14ac:dyDescent="0.3">
      <c r="A98" s="8"/>
      <c r="B98" s="8"/>
      <c r="C98" s="8"/>
      <c r="D98" s="8"/>
      <c r="E98" s="10"/>
      <c r="F98" s="10"/>
      <c r="G98" s="10"/>
      <c r="H98" s="10"/>
      <c r="I98" s="10"/>
      <c r="J98" s="10"/>
      <c r="K98" s="10"/>
      <c r="L98" s="10"/>
      <c r="M98" s="11"/>
      <c r="BI98" s="12"/>
    </row>
    <row r="99" spans="1:61" ht="18.399999999999999" customHeight="1" x14ac:dyDescent="0.3">
      <c r="A99" s="8"/>
      <c r="B99" s="8"/>
      <c r="C99" s="8"/>
      <c r="D99" s="8"/>
      <c r="E99" s="10"/>
      <c r="F99" s="10"/>
      <c r="G99" s="10"/>
      <c r="H99" s="10"/>
      <c r="I99" s="10"/>
      <c r="J99" s="10"/>
      <c r="K99" s="10"/>
      <c r="L99" s="10"/>
      <c r="M99" s="11"/>
      <c r="BI99" s="12"/>
    </row>
    <row r="100" spans="1:61" ht="18.399999999999999" customHeight="1" x14ac:dyDescent="0.3">
      <c r="A100" s="8" t="s">
        <v>130</v>
      </c>
      <c r="B100" s="8" t="s">
        <v>35</v>
      </c>
      <c r="C100" s="8">
        <v>1</v>
      </c>
      <c r="D100" s="8" t="s">
        <v>20</v>
      </c>
      <c r="E100" s="5"/>
      <c r="F100" s="10">
        <f>TRUNC(F101+F102+F103+F104+F105+F106+F107+F108+F109+F110+F111+F112+F113+F114+F115+F116,0)</f>
        <v>186418324</v>
      </c>
      <c r="G100" s="5"/>
      <c r="H100" s="10">
        <f>TRUNC(H101+H102+H103+H104+H105+H106+H107+H108+H109+H110+H111+H112+H113+H114+H115+H116,0)</f>
        <v>32745505</v>
      </c>
      <c r="I100" s="5"/>
      <c r="J100" s="10">
        <f>TRUNC(J101+J102+J103+J104+J105+J106+J107+J108+J109+J110+J111+J112+J113+J114+J115+J116,0)</f>
        <v>817702</v>
      </c>
      <c r="K100" s="5"/>
      <c r="L100" s="10">
        <f t="shared" si="4"/>
        <v>219981531</v>
      </c>
      <c r="M100" s="11" t="s">
        <v>6</v>
      </c>
      <c r="N100" s="1" t="s">
        <v>6</v>
      </c>
      <c r="O100" s="1" t="s">
        <v>38</v>
      </c>
    </row>
    <row r="101" spans="1:61" ht="18.399999999999999" customHeight="1" x14ac:dyDescent="0.3">
      <c r="A101" s="8" t="s">
        <v>131</v>
      </c>
      <c r="B101" s="8" t="s">
        <v>132</v>
      </c>
      <c r="C101" s="8">
        <v>2</v>
      </c>
      <c r="D101" s="8" t="s">
        <v>133</v>
      </c>
      <c r="E101" s="10">
        <f>'[1]일위대가목록-호표'!E55</f>
        <v>74046</v>
      </c>
      <c r="F101" s="10">
        <f t="shared" ref="F101:F116" si="13">TRUNC(E101*C101,0)</f>
        <v>148092</v>
      </c>
      <c r="G101" s="10">
        <f>'[1]일위대가목록-호표'!F55</f>
        <v>445981</v>
      </c>
      <c r="H101" s="10">
        <f t="shared" ref="H101:H106" si="14">TRUNC(G101*C101,0)</f>
        <v>891962</v>
      </c>
      <c r="I101" s="10">
        <f>'[1]일위대가목록-호표'!G55</f>
        <v>7108</v>
      </c>
      <c r="J101" s="10">
        <f t="shared" ref="J101:J106" si="15">TRUNC(I101*C101,0)</f>
        <v>14216</v>
      </c>
      <c r="K101" s="10">
        <f t="shared" ref="K101:K116" si="16">E101+G101+I101</f>
        <v>527135</v>
      </c>
      <c r="L101" s="10">
        <f t="shared" si="4"/>
        <v>1054270</v>
      </c>
      <c r="M101" s="11" t="s">
        <v>134</v>
      </c>
      <c r="N101" s="1" t="s">
        <v>6</v>
      </c>
      <c r="P101" s="1" t="s">
        <v>33</v>
      </c>
      <c r="Q101" s="1" t="s">
        <v>6</v>
      </c>
      <c r="R101" s="1" t="s">
        <v>135</v>
      </c>
      <c r="T101" s="1" t="s">
        <v>79</v>
      </c>
      <c r="BI101" s="12" t="str">
        <f>HYPERLINK("#일위대가목록!A58","SG1-GD01 →")</f>
        <v>SG1-GD01 →</v>
      </c>
    </row>
    <row r="102" spans="1:61" ht="18.399999999999999" customHeight="1" x14ac:dyDescent="0.3">
      <c r="A102" s="8" t="s">
        <v>136</v>
      </c>
      <c r="B102" s="8" t="s">
        <v>137</v>
      </c>
      <c r="C102" s="8">
        <v>51</v>
      </c>
      <c r="D102" s="8" t="s">
        <v>138</v>
      </c>
      <c r="E102" s="10">
        <f>'[1]일위대가목록-호표'!E59</f>
        <v>44534</v>
      </c>
      <c r="F102" s="10">
        <f t="shared" si="13"/>
        <v>2271234</v>
      </c>
      <c r="G102" s="10">
        <f>'[1]일위대가목록-호표'!F59</f>
        <v>135465</v>
      </c>
      <c r="H102" s="10">
        <f t="shared" si="14"/>
        <v>6908715</v>
      </c>
      <c r="I102" s="10">
        <f>'[1]일위대가목록-호표'!G59</f>
        <v>1240</v>
      </c>
      <c r="J102" s="10">
        <f t="shared" si="15"/>
        <v>63240</v>
      </c>
      <c r="K102" s="10">
        <f t="shared" si="16"/>
        <v>181239</v>
      </c>
      <c r="L102" s="10">
        <f t="shared" si="4"/>
        <v>9243189</v>
      </c>
      <c r="M102" s="11" t="s">
        <v>139</v>
      </c>
      <c r="N102" s="1" t="s">
        <v>6</v>
      </c>
      <c r="P102" s="1" t="s">
        <v>23</v>
      </c>
      <c r="Q102" s="1" t="s">
        <v>6</v>
      </c>
      <c r="R102" s="1" t="s">
        <v>140</v>
      </c>
      <c r="T102" s="1" t="s">
        <v>79</v>
      </c>
      <c r="BI102" s="12" t="str">
        <f>HYPERLINK("#일위대가목록!A62","SG2-AUB-1 →")</f>
        <v>SG2-AUB-1 →</v>
      </c>
    </row>
    <row r="103" spans="1:61" ht="18.399999999999999" customHeight="1" x14ac:dyDescent="0.3">
      <c r="A103" s="8" t="s">
        <v>141</v>
      </c>
      <c r="B103" s="8" t="s">
        <v>137</v>
      </c>
      <c r="C103" s="8">
        <v>38.5</v>
      </c>
      <c r="D103" s="8" t="s">
        <v>138</v>
      </c>
      <c r="E103" s="10">
        <f>'[1]일위대가목록-호표'!E60</f>
        <v>48111</v>
      </c>
      <c r="F103" s="10">
        <f t="shared" si="13"/>
        <v>1852273</v>
      </c>
      <c r="G103" s="10">
        <f>'[1]일위대가목록-호표'!F60</f>
        <v>184647</v>
      </c>
      <c r="H103" s="10">
        <f t="shared" si="14"/>
        <v>7108909</v>
      </c>
      <c r="I103" s="10">
        <f>'[1]일위대가목록-호표'!G60</f>
        <v>779</v>
      </c>
      <c r="J103" s="10">
        <f t="shared" si="15"/>
        <v>29991</v>
      </c>
      <c r="K103" s="10">
        <f t="shared" si="16"/>
        <v>233537</v>
      </c>
      <c r="L103" s="10">
        <f t="shared" si="4"/>
        <v>8991173</v>
      </c>
      <c r="M103" s="11" t="s">
        <v>142</v>
      </c>
      <c r="N103" s="1" t="s">
        <v>6</v>
      </c>
      <c r="P103" s="1" t="s">
        <v>26</v>
      </c>
      <c r="Q103" s="1" t="s">
        <v>6</v>
      </c>
      <c r="R103" s="1" t="s">
        <v>143</v>
      </c>
      <c r="T103" s="1" t="s">
        <v>79</v>
      </c>
      <c r="BI103" s="12" t="str">
        <f>HYPERLINK("#일위대가목록!A63","SG2-AUB-2 →")</f>
        <v>SG2-AUB-2 →</v>
      </c>
    </row>
    <row r="104" spans="1:61" ht="18.399999999999999" customHeight="1" x14ac:dyDescent="0.3">
      <c r="A104" s="8" t="s">
        <v>144</v>
      </c>
      <c r="B104" s="8" t="s">
        <v>137</v>
      </c>
      <c r="C104" s="8">
        <v>33</v>
      </c>
      <c r="D104" s="8" t="s">
        <v>138</v>
      </c>
      <c r="E104" s="10">
        <f>'[1]일위대가목록-호표'!E61</f>
        <v>43313</v>
      </c>
      <c r="F104" s="10">
        <f t="shared" si="13"/>
        <v>1429329</v>
      </c>
      <c r="G104" s="10">
        <f>'[1]일위대가목록-호표'!F61</f>
        <v>170252</v>
      </c>
      <c r="H104" s="10">
        <f t="shared" si="14"/>
        <v>5618316</v>
      </c>
      <c r="I104" s="10">
        <f>'[1]일위대가목록-호표'!G61</f>
        <v>745</v>
      </c>
      <c r="J104" s="10">
        <f t="shared" si="15"/>
        <v>24585</v>
      </c>
      <c r="K104" s="10">
        <f t="shared" si="16"/>
        <v>214310</v>
      </c>
      <c r="L104" s="10">
        <f t="shared" si="4"/>
        <v>7072230</v>
      </c>
      <c r="M104" s="11" t="s">
        <v>145</v>
      </c>
      <c r="N104" s="1" t="s">
        <v>6</v>
      </c>
      <c r="P104" s="1" t="s">
        <v>40</v>
      </c>
      <c r="Q104" s="1" t="s">
        <v>6</v>
      </c>
      <c r="R104" s="1" t="s">
        <v>146</v>
      </c>
      <c r="T104" s="1" t="s">
        <v>79</v>
      </c>
      <c r="BI104" s="12" t="str">
        <f>HYPERLINK("#일위대가목록!A64","SG2-AUB-3 →")</f>
        <v>SG2-AUB-3 →</v>
      </c>
    </row>
    <row r="105" spans="1:61" ht="18.399999999999999" customHeight="1" x14ac:dyDescent="0.3">
      <c r="A105" s="8" t="s">
        <v>147</v>
      </c>
      <c r="B105" s="8" t="s">
        <v>148</v>
      </c>
      <c r="C105" s="8">
        <v>37</v>
      </c>
      <c r="D105" s="8" t="s">
        <v>138</v>
      </c>
      <c r="E105" s="10">
        <f>'[1]일위대가목록-호표'!E62</f>
        <v>20565</v>
      </c>
      <c r="F105" s="10">
        <f t="shared" si="13"/>
        <v>760905</v>
      </c>
      <c r="G105" s="10">
        <f>'[1]일위대가목록-호표'!F62</f>
        <v>132923</v>
      </c>
      <c r="H105" s="10">
        <f t="shared" si="14"/>
        <v>4918151</v>
      </c>
      <c r="I105" s="10">
        <f>'[1]일위대가목록-호표'!G62</f>
        <v>961</v>
      </c>
      <c r="J105" s="10">
        <f t="shared" si="15"/>
        <v>35557</v>
      </c>
      <c r="K105" s="10">
        <f t="shared" si="16"/>
        <v>154449</v>
      </c>
      <c r="L105" s="10">
        <f t="shared" si="4"/>
        <v>5714613</v>
      </c>
      <c r="M105" s="11" t="s">
        <v>149</v>
      </c>
      <c r="N105" s="1" t="s">
        <v>6</v>
      </c>
      <c r="P105" s="1" t="s">
        <v>43</v>
      </c>
      <c r="Q105" s="1" t="s">
        <v>6</v>
      </c>
      <c r="R105" s="1" t="s">
        <v>150</v>
      </c>
      <c r="T105" s="1" t="s">
        <v>79</v>
      </c>
      <c r="BI105" s="12" t="str">
        <f>HYPERLINK("#일위대가목록!A65","SG3-PLT-1 →")</f>
        <v>SG3-PLT-1 →</v>
      </c>
    </row>
    <row r="106" spans="1:61" ht="18.399999999999999" customHeight="1" x14ac:dyDescent="0.3">
      <c r="A106" s="8" t="s">
        <v>151</v>
      </c>
      <c r="B106" s="8" t="s">
        <v>152</v>
      </c>
      <c r="C106" s="8">
        <v>59.5</v>
      </c>
      <c r="D106" s="8" t="s">
        <v>138</v>
      </c>
      <c r="E106" s="10">
        <f>'[1]일위대가목록-호표'!E63</f>
        <v>945157</v>
      </c>
      <c r="F106" s="10">
        <f t="shared" si="13"/>
        <v>56236841</v>
      </c>
      <c r="G106" s="10">
        <f>'[1]일위대가목록-호표'!F63</f>
        <v>19443</v>
      </c>
      <c r="H106" s="10">
        <f t="shared" si="14"/>
        <v>1156858</v>
      </c>
      <c r="I106" s="10">
        <f>'[1]일위대가목록-호표'!G63</f>
        <v>930</v>
      </c>
      <c r="J106" s="10">
        <f t="shared" si="15"/>
        <v>55335</v>
      </c>
      <c r="K106" s="10">
        <f t="shared" si="16"/>
        <v>965530</v>
      </c>
      <c r="L106" s="10">
        <f t="shared" si="4"/>
        <v>57449034</v>
      </c>
      <c r="M106" s="11" t="s">
        <v>153</v>
      </c>
      <c r="N106" s="1" t="s">
        <v>6</v>
      </c>
      <c r="P106" s="1" t="s">
        <v>46</v>
      </c>
      <c r="Q106" s="1" t="s">
        <v>6</v>
      </c>
      <c r="R106" s="1" t="s">
        <v>154</v>
      </c>
      <c r="T106" s="1" t="s">
        <v>79</v>
      </c>
      <c r="BI106" s="12" t="str">
        <f>HYPERLINK("#일위대가목록!A66","SG3-PLT-2 →")</f>
        <v>SG3-PLT-2 →</v>
      </c>
    </row>
    <row r="107" spans="1:61" ht="18.399999999999999" customHeight="1" x14ac:dyDescent="0.3">
      <c r="A107" s="8" t="s">
        <v>155</v>
      </c>
      <c r="B107" s="8" t="s">
        <v>156</v>
      </c>
      <c r="C107" s="8">
        <v>3</v>
      </c>
      <c r="D107" s="8" t="s">
        <v>133</v>
      </c>
      <c r="E107" s="10">
        <f>[1]자재조서!E39</f>
        <v>15625000</v>
      </c>
      <c r="F107" s="10">
        <f t="shared" si="13"/>
        <v>46875000</v>
      </c>
      <c r="G107" s="10">
        <v>0</v>
      </c>
      <c r="H107" s="10"/>
      <c r="I107" s="10">
        <v>0</v>
      </c>
      <c r="J107" s="10"/>
      <c r="K107" s="10">
        <f t="shared" si="16"/>
        <v>15625000</v>
      </c>
      <c r="L107" s="10">
        <f t="shared" si="4"/>
        <v>46875000</v>
      </c>
      <c r="M107" s="11" t="s">
        <v>157</v>
      </c>
      <c r="N107" s="1" t="s">
        <v>6</v>
      </c>
      <c r="P107" s="1" t="s">
        <v>48</v>
      </c>
      <c r="Q107" s="1" t="s">
        <v>6</v>
      </c>
      <c r="R107" s="1" t="s">
        <v>157</v>
      </c>
      <c r="BI107" s="12" t="str">
        <f>HYPERLINK("#자재조서!A39","MGS-1PGR →")</f>
        <v>MGS-1PGR →</v>
      </c>
    </row>
    <row r="108" spans="1:61" ht="18.399999999999999" customHeight="1" x14ac:dyDescent="0.3">
      <c r="A108" s="8" t="s">
        <v>158</v>
      </c>
      <c r="B108" s="8" t="s">
        <v>159</v>
      </c>
      <c r="C108" s="8">
        <v>6</v>
      </c>
      <c r="D108" s="8" t="s">
        <v>133</v>
      </c>
      <c r="E108" s="10">
        <f>'[1]일위대가목록-호표'!E64</f>
        <v>504428</v>
      </c>
      <c r="F108" s="10">
        <f t="shared" si="13"/>
        <v>3026568</v>
      </c>
      <c r="G108" s="10">
        <f>'[1]일위대가목록-호표'!F64</f>
        <v>10971</v>
      </c>
      <c r="H108" s="10">
        <f>TRUNC(G108*C108,0)</f>
        <v>65826</v>
      </c>
      <c r="I108" s="10">
        <f>'[1]일위대가목록-호표'!G64</f>
        <v>144</v>
      </c>
      <c r="J108" s="10">
        <f>TRUNC(I108*C108,0)</f>
        <v>864</v>
      </c>
      <c r="K108" s="10">
        <f t="shared" si="16"/>
        <v>515543</v>
      </c>
      <c r="L108" s="10">
        <f t="shared" si="4"/>
        <v>3093258</v>
      </c>
      <c r="M108" s="11" t="s">
        <v>160</v>
      </c>
      <c r="N108" s="1" t="s">
        <v>6</v>
      </c>
      <c r="P108" s="1" t="s">
        <v>50</v>
      </c>
      <c r="Q108" s="1" t="s">
        <v>6</v>
      </c>
      <c r="R108" s="1" t="s">
        <v>161</v>
      </c>
      <c r="T108" s="1" t="s">
        <v>79</v>
      </c>
      <c r="BI108" s="12" t="str">
        <f>HYPERLINK("#일위대가목록!A67","SGS-1UJP →")</f>
        <v>SGS-1UJP →</v>
      </c>
    </row>
    <row r="109" spans="1:61" ht="18.399999999999999" customHeight="1" x14ac:dyDescent="0.3">
      <c r="A109" s="8" t="s">
        <v>162</v>
      </c>
      <c r="B109" s="8" t="s">
        <v>163</v>
      </c>
      <c r="C109" s="8">
        <v>12</v>
      </c>
      <c r="D109" s="8" t="s">
        <v>133</v>
      </c>
      <c r="E109" s="10">
        <f>'[1]일위대가목록-호표'!E65</f>
        <v>604428</v>
      </c>
      <c r="F109" s="10">
        <f t="shared" si="13"/>
        <v>7253136</v>
      </c>
      <c r="G109" s="10">
        <f>'[1]일위대가목록-호표'!F65</f>
        <v>10971</v>
      </c>
      <c r="H109" s="10">
        <f>TRUNC(G109*C109,0)</f>
        <v>131652</v>
      </c>
      <c r="I109" s="10">
        <f>'[1]일위대가목록-호표'!G65</f>
        <v>144</v>
      </c>
      <c r="J109" s="10">
        <f>TRUNC(I109*C109,0)</f>
        <v>1728</v>
      </c>
      <c r="K109" s="10">
        <f t="shared" si="16"/>
        <v>615543</v>
      </c>
      <c r="L109" s="10">
        <f t="shared" si="4"/>
        <v>7386516</v>
      </c>
      <c r="M109" s="11" t="s">
        <v>164</v>
      </c>
      <c r="N109" s="1" t="s">
        <v>6</v>
      </c>
      <c r="P109" s="1" t="s">
        <v>53</v>
      </c>
      <c r="Q109" s="1" t="s">
        <v>6</v>
      </c>
      <c r="R109" s="1" t="s">
        <v>165</v>
      </c>
      <c r="T109" s="1" t="s">
        <v>79</v>
      </c>
      <c r="BI109" s="12" t="str">
        <f>HYPERLINK("#일위대가목록!A68","SGS-2UJD →")</f>
        <v>SGS-2UJD →</v>
      </c>
    </row>
    <row r="110" spans="1:61" ht="18.399999999999999" customHeight="1" x14ac:dyDescent="0.3">
      <c r="A110" s="8" t="s">
        <v>166</v>
      </c>
      <c r="B110" s="8" t="s">
        <v>167</v>
      </c>
      <c r="C110" s="8">
        <v>2</v>
      </c>
      <c r="D110" s="8" t="s">
        <v>133</v>
      </c>
      <c r="E110" s="10">
        <f>'[1]일위대가목록-호표'!E66</f>
        <v>2469980</v>
      </c>
      <c r="F110" s="10">
        <f t="shared" si="13"/>
        <v>4939960</v>
      </c>
      <c r="G110" s="10">
        <f>'[1]일위대가목록-호표'!F66</f>
        <v>80117</v>
      </c>
      <c r="H110" s="10">
        <f>TRUNC(G110*C110,0)</f>
        <v>160234</v>
      </c>
      <c r="I110" s="10">
        <f>'[1]일위대가목록-호표'!G66</f>
        <v>369</v>
      </c>
      <c r="J110" s="10">
        <f>TRUNC(I110*C110,0)</f>
        <v>738</v>
      </c>
      <c r="K110" s="10">
        <f t="shared" si="16"/>
        <v>2550466</v>
      </c>
      <c r="L110" s="10">
        <f t="shared" si="4"/>
        <v>5100932</v>
      </c>
      <c r="M110" s="11" t="s">
        <v>168</v>
      </c>
      <c r="N110" s="1" t="s">
        <v>6</v>
      </c>
      <c r="P110" s="1" t="s">
        <v>169</v>
      </c>
      <c r="Q110" s="1" t="s">
        <v>6</v>
      </c>
      <c r="R110" s="1" t="s">
        <v>170</v>
      </c>
      <c r="T110" s="1" t="s">
        <v>79</v>
      </c>
      <c r="BI110" s="12" t="str">
        <f>HYPERLINK("#일위대가목록!A69","SGS-3FCGT →")</f>
        <v>SGS-3FCGT →</v>
      </c>
    </row>
    <row r="111" spans="1:61" ht="18.399999999999999" customHeight="1" x14ac:dyDescent="0.3">
      <c r="A111" s="8" t="s">
        <v>171</v>
      </c>
      <c r="B111" s="8" t="s">
        <v>167</v>
      </c>
      <c r="C111" s="8">
        <v>12</v>
      </c>
      <c r="D111" s="8" t="s">
        <v>172</v>
      </c>
      <c r="E111" s="10">
        <f>'[1]일위대가목록-호표'!E67</f>
        <v>1918990</v>
      </c>
      <c r="F111" s="10">
        <f t="shared" si="13"/>
        <v>23027880</v>
      </c>
      <c r="G111" s="10">
        <f>'[1]일위대가목록-호표'!F67</f>
        <v>67696</v>
      </c>
      <c r="H111" s="10">
        <f>TRUNC(G111*C111,0)</f>
        <v>812352</v>
      </c>
      <c r="I111" s="10">
        <f>'[1]일위대가목록-호표'!G67</f>
        <v>190</v>
      </c>
      <c r="J111" s="10">
        <f>TRUNC(I111*C111,0)</f>
        <v>2280</v>
      </c>
      <c r="K111" s="10">
        <f t="shared" si="16"/>
        <v>1986876</v>
      </c>
      <c r="L111" s="10">
        <f t="shared" si="4"/>
        <v>23842512</v>
      </c>
      <c r="M111" s="11" t="s">
        <v>173</v>
      </c>
      <c r="N111" s="1" t="s">
        <v>6</v>
      </c>
      <c r="P111" s="1" t="s">
        <v>174</v>
      </c>
      <c r="Q111" s="1" t="s">
        <v>6</v>
      </c>
      <c r="R111" s="1" t="s">
        <v>175</v>
      </c>
      <c r="T111" s="1" t="s">
        <v>79</v>
      </c>
      <c r="BI111" s="12" t="str">
        <f>HYPERLINK("#일위대가목록!A70","SGS-4FC →")</f>
        <v>SGS-4FC →</v>
      </c>
    </row>
    <row r="112" spans="1:61" ht="18.399999999999999" customHeight="1" x14ac:dyDescent="0.3">
      <c r="A112" s="8" t="s">
        <v>176</v>
      </c>
      <c r="B112" s="8" t="s">
        <v>177</v>
      </c>
      <c r="C112" s="8">
        <v>18</v>
      </c>
      <c r="D112" s="8" t="s">
        <v>133</v>
      </c>
      <c r="E112" s="10">
        <f>[1]자재조서!E41</f>
        <v>890000</v>
      </c>
      <c r="F112" s="10">
        <f t="shared" si="13"/>
        <v>16020000</v>
      </c>
      <c r="G112" s="10">
        <v>0</v>
      </c>
      <c r="H112" s="10"/>
      <c r="I112" s="10">
        <v>0</v>
      </c>
      <c r="J112" s="10"/>
      <c r="K112" s="10">
        <f t="shared" si="16"/>
        <v>890000</v>
      </c>
      <c r="L112" s="10">
        <f t="shared" si="4"/>
        <v>16020000</v>
      </c>
      <c r="M112" s="11" t="s">
        <v>178</v>
      </c>
      <c r="N112" s="1" t="s">
        <v>6</v>
      </c>
      <c r="P112" s="1" t="s">
        <v>179</v>
      </c>
      <c r="Q112" s="1" t="s">
        <v>6</v>
      </c>
      <c r="R112" s="1" t="s">
        <v>178</v>
      </c>
      <c r="BI112" s="12" t="str">
        <f>HYPERLINK("#자재조서!A41","MGS-PLT →")</f>
        <v>MGS-PLT →</v>
      </c>
    </row>
    <row r="113" spans="1:61" ht="18.399999999999999" customHeight="1" x14ac:dyDescent="0.3">
      <c r="A113" s="8" t="s">
        <v>180</v>
      </c>
      <c r="B113" s="8" t="s">
        <v>181</v>
      </c>
      <c r="C113" s="8">
        <v>1</v>
      </c>
      <c r="D113" s="8" t="s">
        <v>133</v>
      </c>
      <c r="E113" s="10">
        <f>[1]자재조서!E40</f>
        <v>7700000</v>
      </c>
      <c r="F113" s="10">
        <f t="shared" si="13"/>
        <v>7700000</v>
      </c>
      <c r="G113" s="10">
        <v>0</v>
      </c>
      <c r="H113" s="10"/>
      <c r="I113" s="10">
        <v>0</v>
      </c>
      <c r="J113" s="10"/>
      <c r="K113" s="10">
        <f t="shared" si="16"/>
        <v>7700000</v>
      </c>
      <c r="L113" s="10">
        <f t="shared" si="4"/>
        <v>7700000</v>
      </c>
      <c r="M113" s="11" t="s">
        <v>182</v>
      </c>
      <c r="N113" s="1" t="s">
        <v>6</v>
      </c>
      <c r="P113" s="1" t="s">
        <v>183</v>
      </c>
      <c r="Q113" s="1" t="s">
        <v>6</v>
      </c>
      <c r="R113" s="1" t="s">
        <v>182</v>
      </c>
      <c r="BI113" s="12" t="str">
        <f>HYPERLINK("#자재조서!A40","MGS-JJG →")</f>
        <v>MGS-JJG →</v>
      </c>
    </row>
    <row r="114" spans="1:61" ht="18.399999999999999" customHeight="1" x14ac:dyDescent="0.3">
      <c r="A114" s="8" t="s">
        <v>184</v>
      </c>
      <c r="B114" s="8" t="s">
        <v>185</v>
      </c>
      <c r="C114" s="8">
        <v>14.5</v>
      </c>
      <c r="D114" s="8" t="s">
        <v>127</v>
      </c>
      <c r="E114" s="10">
        <f>'[1]일위대가목록-호표'!E69</f>
        <v>78692</v>
      </c>
      <c r="F114" s="10">
        <f t="shared" si="13"/>
        <v>1141034</v>
      </c>
      <c r="G114" s="10">
        <f>'[1]일위대가목록-호표'!F69</f>
        <v>47880</v>
      </c>
      <c r="H114" s="10">
        <f>TRUNC(G114*C114,0)</f>
        <v>694260</v>
      </c>
      <c r="I114" s="10">
        <f>'[1]일위대가목록-호표'!G69</f>
        <v>5770</v>
      </c>
      <c r="J114" s="10">
        <f>TRUNC(I114*C114,0)</f>
        <v>83665</v>
      </c>
      <c r="K114" s="10">
        <f t="shared" si="16"/>
        <v>132342</v>
      </c>
      <c r="L114" s="10">
        <f t="shared" si="4"/>
        <v>1918959</v>
      </c>
      <c r="M114" s="11" t="s">
        <v>186</v>
      </c>
      <c r="N114" s="1" t="s">
        <v>6</v>
      </c>
      <c r="P114" s="1" t="s">
        <v>56</v>
      </c>
      <c r="Q114" s="1" t="s">
        <v>6</v>
      </c>
      <c r="R114" s="1" t="s">
        <v>187</v>
      </c>
      <c r="T114" s="1" t="s">
        <v>79</v>
      </c>
      <c r="BI114" s="12" t="str">
        <f>HYPERLINK("#일위대가목록!A72","SN-IGJB1 →")</f>
        <v>SN-IGJB1 →</v>
      </c>
    </row>
    <row r="115" spans="1:61" ht="18.399999999999999" customHeight="1" x14ac:dyDescent="0.3">
      <c r="A115" s="8" t="s">
        <v>188</v>
      </c>
      <c r="B115" s="8" t="s">
        <v>189</v>
      </c>
      <c r="C115" s="8">
        <v>201.5</v>
      </c>
      <c r="D115" s="8" t="s">
        <v>127</v>
      </c>
      <c r="E115" s="10">
        <f>'[1]일위대가목록-호표'!E70</f>
        <v>34522</v>
      </c>
      <c r="F115" s="10">
        <f t="shared" si="13"/>
        <v>6956183</v>
      </c>
      <c r="G115" s="10">
        <f>'[1]일위대가목록-호표'!F70</f>
        <v>12084</v>
      </c>
      <c r="H115" s="10">
        <f>TRUNC(G115*C115,0)</f>
        <v>2434926</v>
      </c>
      <c r="I115" s="10">
        <f>'[1]일위대가목록-호표'!G70</f>
        <v>1421</v>
      </c>
      <c r="J115" s="10">
        <f>TRUNC(I115*C115,0)</f>
        <v>286331</v>
      </c>
      <c r="K115" s="10">
        <f t="shared" si="16"/>
        <v>48027</v>
      </c>
      <c r="L115" s="10">
        <f t="shared" si="4"/>
        <v>9677440</v>
      </c>
      <c r="M115" s="11" t="s">
        <v>190</v>
      </c>
      <c r="N115" s="1" t="s">
        <v>6</v>
      </c>
      <c r="P115" s="1" t="s">
        <v>191</v>
      </c>
      <c r="Q115" s="1" t="s">
        <v>6</v>
      </c>
      <c r="R115" s="1" t="s">
        <v>192</v>
      </c>
      <c r="T115" s="1" t="s">
        <v>79</v>
      </c>
      <c r="BI115" s="12" t="str">
        <f>HYPERLINK("#일위대가목록!A73","SN-IGJB2 →")</f>
        <v>SN-IGJB2 →</v>
      </c>
    </row>
    <row r="116" spans="1:61" ht="18.399999999999999" customHeight="1" x14ac:dyDescent="0.3">
      <c r="A116" s="8" t="s">
        <v>193</v>
      </c>
      <c r="B116" s="8" t="s">
        <v>194</v>
      </c>
      <c r="C116" s="8">
        <v>229.5</v>
      </c>
      <c r="D116" s="8" t="s">
        <v>127</v>
      </c>
      <c r="E116" s="10">
        <f>'[1]일위대가목록-호표'!E71</f>
        <v>29542</v>
      </c>
      <c r="F116" s="10">
        <f t="shared" si="13"/>
        <v>6779889</v>
      </c>
      <c r="G116" s="10">
        <f>'[1]일위대가목록-호표'!F71</f>
        <v>8032</v>
      </c>
      <c r="H116" s="10">
        <f>TRUNC(G116*C116,0)</f>
        <v>1843344</v>
      </c>
      <c r="I116" s="10">
        <f>'[1]일위대가목록-호표'!G71</f>
        <v>955</v>
      </c>
      <c r="J116" s="10">
        <f>TRUNC(I116*C116,0)</f>
        <v>219172</v>
      </c>
      <c r="K116" s="10">
        <f t="shared" si="16"/>
        <v>38529</v>
      </c>
      <c r="L116" s="10">
        <f>F116+H116+J116</f>
        <v>8842405</v>
      </c>
      <c r="M116" s="11" t="s">
        <v>195</v>
      </c>
      <c r="N116" s="1" t="s">
        <v>6</v>
      </c>
      <c r="P116" s="1" t="s">
        <v>196</v>
      </c>
      <c r="Q116" s="1" t="s">
        <v>27</v>
      </c>
      <c r="R116" s="1" t="s">
        <v>197</v>
      </c>
      <c r="T116" s="1" t="s">
        <v>79</v>
      </c>
      <c r="BI116" s="12" t="str">
        <f>HYPERLINK("#일위대가목록!A74","SN-IGJB3 →")</f>
        <v>SN-IGJB3 →</v>
      </c>
    </row>
    <row r="117" spans="1:61" ht="18.399999999999999" customHeight="1" x14ac:dyDescent="0.3">
      <c r="A117" s="8"/>
      <c r="B117" s="8"/>
      <c r="C117" s="8"/>
      <c r="D117" s="8"/>
      <c r="E117" s="10"/>
      <c r="F117" s="10"/>
      <c r="G117" s="10"/>
      <c r="H117" s="10"/>
      <c r="I117" s="10"/>
      <c r="J117" s="10"/>
      <c r="K117" s="10"/>
      <c r="L117" s="10"/>
      <c r="M117" s="11"/>
      <c r="BI117" s="12"/>
    </row>
    <row r="118" spans="1:61" ht="18.399999999999999" customHeight="1" x14ac:dyDescent="0.3">
      <c r="A118" s="8"/>
      <c r="B118" s="8"/>
      <c r="C118" s="8"/>
      <c r="D118" s="8"/>
      <c r="E118" s="10"/>
      <c r="F118" s="10"/>
      <c r="G118" s="10"/>
      <c r="H118" s="10"/>
      <c r="I118" s="10"/>
      <c r="J118" s="10"/>
      <c r="K118" s="10"/>
      <c r="L118" s="10"/>
      <c r="M118" s="11"/>
      <c r="BI118" s="12"/>
    </row>
    <row r="119" spans="1:61" ht="18.399999999999999" customHeight="1" x14ac:dyDescent="0.3">
      <c r="A119" s="8"/>
      <c r="B119" s="8"/>
      <c r="C119" s="8"/>
      <c r="D119" s="8"/>
      <c r="E119" s="10"/>
      <c r="F119" s="10"/>
      <c r="G119" s="10"/>
      <c r="H119" s="10"/>
      <c r="I119" s="10"/>
      <c r="J119" s="10"/>
      <c r="K119" s="10"/>
      <c r="L119" s="10"/>
      <c r="M119" s="11"/>
      <c r="BI119" s="12"/>
    </row>
    <row r="120" spans="1:61" ht="18.399999999999999" customHeight="1" x14ac:dyDescent="0.3">
      <c r="A120" s="8"/>
      <c r="B120" s="8"/>
      <c r="C120" s="8"/>
      <c r="D120" s="8"/>
      <c r="E120" s="10"/>
      <c r="F120" s="10"/>
      <c r="G120" s="10"/>
      <c r="H120" s="10"/>
      <c r="I120" s="10"/>
      <c r="J120" s="10"/>
      <c r="K120" s="10"/>
      <c r="L120" s="10"/>
      <c r="M120" s="11"/>
      <c r="BI120" s="12"/>
    </row>
    <row r="121" spans="1:61" ht="18.399999999999999" customHeight="1" x14ac:dyDescent="0.3">
      <c r="A121" s="8"/>
      <c r="B121" s="8"/>
      <c r="C121" s="8"/>
      <c r="D121" s="8"/>
      <c r="E121" s="10"/>
      <c r="F121" s="10"/>
      <c r="G121" s="10"/>
      <c r="H121" s="10"/>
      <c r="I121" s="10"/>
      <c r="J121" s="10"/>
      <c r="K121" s="10"/>
      <c r="L121" s="10"/>
      <c r="M121" s="11"/>
      <c r="BI121" s="12"/>
    </row>
    <row r="122" spans="1:61" ht="18.399999999999999" customHeight="1" x14ac:dyDescent="0.3">
      <c r="A122" s="8"/>
      <c r="B122" s="8"/>
      <c r="C122" s="8"/>
      <c r="D122" s="8"/>
      <c r="E122" s="10"/>
      <c r="F122" s="10"/>
      <c r="G122" s="10"/>
      <c r="H122" s="10"/>
      <c r="I122" s="10"/>
      <c r="J122" s="10"/>
      <c r="K122" s="10"/>
      <c r="L122" s="10"/>
      <c r="M122" s="11"/>
      <c r="BI122" s="12"/>
    </row>
    <row r="123" spans="1:61" ht="18.399999999999999" customHeight="1" x14ac:dyDescent="0.3">
      <c r="A123" s="8"/>
      <c r="B123" s="8"/>
      <c r="C123" s="8"/>
      <c r="D123" s="8"/>
      <c r="E123" s="10"/>
      <c r="F123" s="10"/>
      <c r="G123" s="10"/>
      <c r="H123" s="10"/>
      <c r="I123" s="10"/>
      <c r="J123" s="10"/>
      <c r="K123" s="10"/>
      <c r="L123" s="10"/>
      <c r="M123" s="11"/>
      <c r="BI123" s="12"/>
    </row>
    <row r="124" spans="1:61" ht="18.399999999999999" customHeight="1" x14ac:dyDescent="0.3">
      <c r="A124" s="8" t="s">
        <v>198</v>
      </c>
      <c r="B124" s="8" t="s">
        <v>35</v>
      </c>
      <c r="C124" s="8">
        <v>1</v>
      </c>
      <c r="D124" s="8" t="s">
        <v>20</v>
      </c>
      <c r="E124" s="5"/>
      <c r="F124" s="10">
        <f>TRUNC(F125+F126+F127+F128+F129+F130+F131+F132+F133+F134+F135,0)</f>
        <v>28735807</v>
      </c>
      <c r="G124" s="5"/>
      <c r="H124" s="10">
        <f>TRUNC(H125+H126+H127+H128+H129+H130+H131+H132+H133+H134+H135,0)</f>
        <v>56824604</v>
      </c>
      <c r="I124" s="5"/>
      <c r="J124" s="10">
        <f>TRUNC(J125+J126+J127+J128+J129+J130+J131+J132+J133+J134+J135,0)</f>
        <v>4330039</v>
      </c>
      <c r="K124" s="5"/>
      <c r="L124" s="10">
        <f t="shared" ref="L124:L135" si="17">F124+H124+J124</f>
        <v>89890450</v>
      </c>
      <c r="M124" s="11" t="s">
        <v>6</v>
      </c>
      <c r="N124" s="1" t="s">
        <v>6</v>
      </c>
      <c r="O124" s="1" t="s">
        <v>41</v>
      </c>
    </row>
    <row r="125" spans="1:61" ht="18.399999999999999" customHeight="1" x14ac:dyDescent="0.3">
      <c r="A125" s="8" t="s">
        <v>199</v>
      </c>
      <c r="B125" s="8" t="s">
        <v>200</v>
      </c>
      <c r="C125" s="8">
        <v>145.5</v>
      </c>
      <c r="D125" s="8" t="s">
        <v>127</v>
      </c>
      <c r="E125" s="10">
        <f>'[1]일위대가목록-호표'!E73</f>
        <v>6620</v>
      </c>
      <c r="F125" s="10">
        <f t="shared" ref="F125:F135" si="18">TRUNC(E125*C125,0)</f>
        <v>963210</v>
      </c>
      <c r="G125" s="10">
        <f>'[1]일위대가목록-호표'!F73</f>
        <v>71360</v>
      </c>
      <c r="H125" s="10">
        <f t="shared" ref="H125:H135" si="19">TRUNC(G125*C125,0)</f>
        <v>10382880</v>
      </c>
      <c r="I125" s="10">
        <f>'[1]일위대가목록-호표'!G73</f>
        <v>1400</v>
      </c>
      <c r="J125" s="10">
        <f t="shared" ref="J125:J135" si="20">TRUNC(I125*C125,0)</f>
        <v>203700</v>
      </c>
      <c r="K125" s="10">
        <f t="shared" ref="K125:K135" si="21">E125+G125+I125</f>
        <v>79380</v>
      </c>
      <c r="L125" s="10">
        <f t="shared" si="17"/>
        <v>11549790</v>
      </c>
      <c r="M125" s="11" t="s">
        <v>201</v>
      </c>
      <c r="N125" s="1" t="s">
        <v>6</v>
      </c>
      <c r="P125" s="1" t="s">
        <v>23</v>
      </c>
      <c r="Q125" s="1" t="s">
        <v>6</v>
      </c>
      <c r="R125" s="1" t="s">
        <v>202</v>
      </c>
      <c r="T125" s="1" t="s">
        <v>79</v>
      </c>
      <c r="BI125" s="12" t="str">
        <f>HYPERLINK("#일위대가목록!A76","SP-HGSPS30 →")</f>
        <v>SP-HGSPS30 →</v>
      </c>
    </row>
    <row r="126" spans="1:61" ht="18.399999999999999" customHeight="1" x14ac:dyDescent="0.3">
      <c r="A126" s="8" t="s">
        <v>203</v>
      </c>
      <c r="B126" s="8" t="s">
        <v>200</v>
      </c>
      <c r="C126" s="8">
        <v>3.5</v>
      </c>
      <c r="D126" s="8" t="s">
        <v>127</v>
      </c>
      <c r="E126" s="10">
        <f>'[1]일위대가목록-호표'!E74</f>
        <v>3806</v>
      </c>
      <c r="F126" s="10">
        <f t="shared" si="18"/>
        <v>13321</v>
      </c>
      <c r="G126" s="10">
        <f>'[1]일위대가목록-호표'!F74</f>
        <v>69748</v>
      </c>
      <c r="H126" s="10">
        <f t="shared" si="19"/>
        <v>244118</v>
      </c>
      <c r="I126" s="10">
        <f>'[1]일위대가목록-호표'!G74</f>
        <v>979</v>
      </c>
      <c r="J126" s="10">
        <f t="shared" si="20"/>
        <v>3426</v>
      </c>
      <c r="K126" s="10">
        <f t="shared" si="21"/>
        <v>74533</v>
      </c>
      <c r="L126" s="10">
        <f t="shared" si="17"/>
        <v>260865</v>
      </c>
      <c r="M126" s="11" t="s">
        <v>204</v>
      </c>
      <c r="N126" s="1" t="s">
        <v>6</v>
      </c>
      <c r="P126" s="1" t="s">
        <v>26</v>
      </c>
      <c r="Q126" s="1" t="s">
        <v>6</v>
      </c>
      <c r="R126" s="1" t="s">
        <v>205</v>
      </c>
      <c r="T126" s="1" t="s">
        <v>79</v>
      </c>
      <c r="BI126" s="12" t="str">
        <f>HYPERLINK("#일위대가목록!A77","SP-HGSPS31 →")</f>
        <v>SP-HGSPS31 →</v>
      </c>
    </row>
    <row r="127" spans="1:61" ht="18.399999999999999" customHeight="1" x14ac:dyDescent="0.3">
      <c r="A127" s="8" t="s">
        <v>206</v>
      </c>
      <c r="B127" s="8" t="s">
        <v>200</v>
      </c>
      <c r="C127" s="8">
        <v>138.5</v>
      </c>
      <c r="D127" s="8" t="s">
        <v>127</v>
      </c>
      <c r="E127" s="10">
        <f>'[1]일위대가목록-호표'!E75</f>
        <v>3678</v>
      </c>
      <c r="F127" s="10">
        <f t="shared" si="18"/>
        <v>509403</v>
      </c>
      <c r="G127" s="10">
        <f>'[1]일위대가목록-호표'!F75</f>
        <v>68574</v>
      </c>
      <c r="H127" s="10">
        <f t="shared" si="19"/>
        <v>9497499</v>
      </c>
      <c r="I127" s="10">
        <f>'[1]일위대가목록-호표'!G75</f>
        <v>814</v>
      </c>
      <c r="J127" s="10">
        <f t="shared" si="20"/>
        <v>112739</v>
      </c>
      <c r="K127" s="10">
        <f t="shared" si="21"/>
        <v>73066</v>
      </c>
      <c r="L127" s="10">
        <f t="shared" si="17"/>
        <v>10119641</v>
      </c>
      <c r="M127" s="11" t="s">
        <v>207</v>
      </c>
      <c r="N127" s="1" t="s">
        <v>6</v>
      </c>
      <c r="P127" s="1" t="s">
        <v>40</v>
      </c>
      <c r="Q127" s="1" t="s">
        <v>6</v>
      </c>
      <c r="R127" s="1" t="s">
        <v>208</v>
      </c>
      <c r="T127" s="1" t="s">
        <v>79</v>
      </c>
      <c r="BI127" s="12" t="str">
        <f>HYPERLINK("#일위대가목록!A78","SP-HGSPS32 →")</f>
        <v>SP-HGSPS32 →</v>
      </c>
    </row>
    <row r="128" spans="1:61" ht="18.399999999999999" customHeight="1" x14ac:dyDescent="0.3">
      <c r="A128" s="8" t="s">
        <v>209</v>
      </c>
      <c r="B128" s="8" t="s">
        <v>210</v>
      </c>
      <c r="C128" s="8">
        <v>2229</v>
      </c>
      <c r="D128" s="8" t="s">
        <v>127</v>
      </c>
      <c r="E128" s="10">
        <f>'[1]일위대가목록-호표'!E76</f>
        <v>4645</v>
      </c>
      <c r="F128" s="10">
        <f t="shared" si="18"/>
        <v>10353705</v>
      </c>
      <c r="G128" s="10">
        <f>'[1]일위대가목록-호표'!F76</f>
        <v>8226</v>
      </c>
      <c r="H128" s="10">
        <f t="shared" si="19"/>
        <v>18335754</v>
      </c>
      <c r="I128" s="10">
        <f>'[1]일위대가목록-호표'!G76</f>
        <v>1085</v>
      </c>
      <c r="J128" s="10">
        <f t="shared" si="20"/>
        <v>2418465</v>
      </c>
      <c r="K128" s="10">
        <f t="shared" si="21"/>
        <v>13956</v>
      </c>
      <c r="L128" s="10">
        <f t="shared" si="17"/>
        <v>31107924</v>
      </c>
      <c r="M128" s="11" t="s">
        <v>211</v>
      </c>
      <c r="N128" s="1" t="s">
        <v>6</v>
      </c>
      <c r="P128" s="1" t="s">
        <v>43</v>
      </c>
      <c r="Q128" s="1" t="s">
        <v>6</v>
      </c>
      <c r="R128" s="1" t="s">
        <v>212</v>
      </c>
      <c r="T128" s="1" t="s">
        <v>79</v>
      </c>
      <c r="BI128" s="12" t="str">
        <f>HYPERLINK("#일위대가목록!A79","SP-IJHGS60 →")</f>
        <v>SP-IJHGS60 →</v>
      </c>
    </row>
    <row r="129" spans="1:61" ht="18.399999999999999" customHeight="1" x14ac:dyDescent="0.3">
      <c r="A129" s="8" t="s">
        <v>213</v>
      </c>
      <c r="B129" s="8" t="s">
        <v>210</v>
      </c>
      <c r="C129" s="8">
        <v>445.5</v>
      </c>
      <c r="D129" s="8" t="s">
        <v>127</v>
      </c>
      <c r="E129" s="10">
        <f>'[1]일위대가목록-호표'!E77</f>
        <v>4487</v>
      </c>
      <c r="F129" s="10">
        <f t="shared" si="18"/>
        <v>1998958</v>
      </c>
      <c r="G129" s="10">
        <f>'[1]일위대가목록-호표'!F77</f>
        <v>7047</v>
      </c>
      <c r="H129" s="10">
        <f t="shared" si="19"/>
        <v>3139438</v>
      </c>
      <c r="I129" s="10">
        <f>'[1]일위대가목록-호표'!G77</f>
        <v>911</v>
      </c>
      <c r="J129" s="10">
        <f t="shared" si="20"/>
        <v>405850</v>
      </c>
      <c r="K129" s="10">
        <f t="shared" si="21"/>
        <v>12445</v>
      </c>
      <c r="L129" s="10">
        <f t="shared" si="17"/>
        <v>5544246</v>
      </c>
      <c r="M129" s="11" t="s">
        <v>214</v>
      </c>
      <c r="N129" s="1" t="s">
        <v>6</v>
      </c>
      <c r="P129" s="1" t="s">
        <v>46</v>
      </c>
      <c r="Q129" s="1" t="s">
        <v>6</v>
      </c>
      <c r="R129" s="1" t="s">
        <v>215</v>
      </c>
      <c r="T129" s="1" t="s">
        <v>79</v>
      </c>
      <c r="BI129" s="12" t="str">
        <f>HYPERLINK("#일위대가목록!A80","SP-IJHGS61 →")</f>
        <v>SP-IJHGS61 →</v>
      </c>
    </row>
    <row r="130" spans="1:61" ht="18.399999999999999" customHeight="1" x14ac:dyDescent="0.3">
      <c r="A130" s="8" t="s">
        <v>216</v>
      </c>
      <c r="B130" s="8" t="s">
        <v>217</v>
      </c>
      <c r="C130" s="8">
        <v>371</v>
      </c>
      <c r="D130" s="8" t="s">
        <v>127</v>
      </c>
      <c r="E130" s="10">
        <f>'[1]일위대가목록-호표'!E78</f>
        <v>4786</v>
      </c>
      <c r="F130" s="10">
        <f t="shared" si="18"/>
        <v>1775606</v>
      </c>
      <c r="G130" s="10">
        <f>'[1]일위대가목록-호표'!F78</f>
        <v>13432</v>
      </c>
      <c r="H130" s="10">
        <f t="shared" si="19"/>
        <v>4983272</v>
      </c>
      <c r="I130" s="10">
        <f>'[1]일위대가목록-호표'!G78</f>
        <v>1844</v>
      </c>
      <c r="J130" s="10">
        <f t="shared" si="20"/>
        <v>684124</v>
      </c>
      <c r="K130" s="10">
        <f t="shared" si="21"/>
        <v>20062</v>
      </c>
      <c r="L130" s="10">
        <f t="shared" si="17"/>
        <v>7443002</v>
      </c>
      <c r="M130" s="11" t="s">
        <v>218</v>
      </c>
      <c r="N130" s="1" t="s">
        <v>6</v>
      </c>
      <c r="P130" s="1" t="s">
        <v>48</v>
      </c>
      <c r="Q130" s="1" t="s">
        <v>6</v>
      </c>
      <c r="R130" s="1" t="s">
        <v>219</v>
      </c>
      <c r="T130" s="1" t="s">
        <v>79</v>
      </c>
      <c r="BI130" s="12" t="str">
        <f>HYPERLINK("#일위대가목록!A81","SP-IJHGS62 →")</f>
        <v>SP-IJHGS62 →</v>
      </c>
    </row>
    <row r="131" spans="1:61" ht="18.399999999999999" customHeight="1" x14ac:dyDescent="0.3">
      <c r="A131" s="8" t="s">
        <v>220</v>
      </c>
      <c r="B131" s="8" t="s">
        <v>221</v>
      </c>
      <c r="C131" s="8">
        <v>13</v>
      </c>
      <c r="D131" s="8" t="s">
        <v>127</v>
      </c>
      <c r="E131" s="10">
        <f>'[1]일위대가목록-호표'!E80</f>
        <v>6900</v>
      </c>
      <c r="F131" s="10">
        <f t="shared" si="18"/>
        <v>89700</v>
      </c>
      <c r="G131" s="10">
        <f>'[1]일위대가목록-호표'!F80</f>
        <v>4837</v>
      </c>
      <c r="H131" s="10">
        <f t="shared" si="19"/>
        <v>62881</v>
      </c>
      <c r="I131" s="10">
        <f>'[1]일위대가목록-호표'!G80</f>
        <v>0</v>
      </c>
      <c r="J131" s="10">
        <f t="shared" si="20"/>
        <v>0</v>
      </c>
      <c r="K131" s="10">
        <f t="shared" si="21"/>
        <v>11737</v>
      </c>
      <c r="L131" s="10">
        <f t="shared" si="17"/>
        <v>152581</v>
      </c>
      <c r="M131" s="11" t="s">
        <v>222</v>
      </c>
      <c r="N131" s="1" t="s">
        <v>6</v>
      </c>
      <c r="P131" s="1" t="s">
        <v>50</v>
      </c>
      <c r="Q131" s="1" t="s">
        <v>6</v>
      </c>
      <c r="R131" s="1" t="s">
        <v>223</v>
      </c>
      <c r="T131" s="1" t="s">
        <v>79</v>
      </c>
      <c r="BI131" s="12" t="str">
        <f>HYPERLINK("#일위대가목록!A83","SP-KJG01 →")</f>
        <v>SP-KJG01 →</v>
      </c>
    </row>
    <row r="132" spans="1:61" ht="18.399999999999999" customHeight="1" x14ac:dyDescent="0.3">
      <c r="A132" s="8" t="s">
        <v>224</v>
      </c>
      <c r="B132" s="8" t="s">
        <v>225</v>
      </c>
      <c r="C132" s="8">
        <v>42</v>
      </c>
      <c r="D132" s="8" t="s">
        <v>127</v>
      </c>
      <c r="E132" s="10">
        <f>'[1]일위대가목록-호표'!E81</f>
        <v>6300</v>
      </c>
      <c r="F132" s="10">
        <f t="shared" si="18"/>
        <v>264600</v>
      </c>
      <c r="G132" s="10">
        <f>'[1]일위대가목록-호표'!F81</f>
        <v>4397</v>
      </c>
      <c r="H132" s="10">
        <f t="shared" si="19"/>
        <v>184674</v>
      </c>
      <c r="I132" s="10">
        <f>'[1]일위대가목록-호표'!G81</f>
        <v>0</v>
      </c>
      <c r="J132" s="10">
        <f t="shared" si="20"/>
        <v>0</v>
      </c>
      <c r="K132" s="10">
        <f t="shared" si="21"/>
        <v>10697</v>
      </c>
      <c r="L132" s="10">
        <f t="shared" si="17"/>
        <v>449274</v>
      </c>
      <c r="M132" s="11" t="s">
        <v>226</v>
      </c>
      <c r="N132" s="1" t="s">
        <v>6</v>
      </c>
      <c r="P132" s="1" t="s">
        <v>227</v>
      </c>
      <c r="Q132" s="1" t="s">
        <v>6</v>
      </c>
      <c r="R132" s="1" t="s">
        <v>228</v>
      </c>
      <c r="T132" s="1" t="s">
        <v>79</v>
      </c>
      <c r="BI132" s="12" t="str">
        <f>HYPERLINK("#일위대가목록!A84","SP-KJG02 →")</f>
        <v>SP-KJG02 →</v>
      </c>
    </row>
    <row r="133" spans="1:61" ht="18.399999999999999" customHeight="1" x14ac:dyDescent="0.3">
      <c r="A133" s="8" t="s">
        <v>229</v>
      </c>
      <c r="B133" s="8" t="s">
        <v>230</v>
      </c>
      <c r="C133" s="8">
        <v>514</v>
      </c>
      <c r="D133" s="8" t="s">
        <v>138</v>
      </c>
      <c r="E133" s="10">
        <f>'[1]일위대가목록-호표'!E82</f>
        <v>20334</v>
      </c>
      <c r="F133" s="10">
        <f t="shared" si="18"/>
        <v>10451676</v>
      </c>
      <c r="G133" s="10">
        <f>'[1]일위대가목록-호표'!F82</f>
        <v>16564</v>
      </c>
      <c r="H133" s="10">
        <f t="shared" si="19"/>
        <v>8513896</v>
      </c>
      <c r="I133" s="10">
        <f>'[1]일위대가목록-호표'!G82</f>
        <v>820</v>
      </c>
      <c r="J133" s="10">
        <f t="shared" si="20"/>
        <v>421480</v>
      </c>
      <c r="K133" s="10">
        <f t="shared" si="21"/>
        <v>37718</v>
      </c>
      <c r="L133" s="10">
        <f t="shared" si="17"/>
        <v>19387052</v>
      </c>
      <c r="M133" s="11" t="s">
        <v>231</v>
      </c>
      <c r="N133" s="1" t="s">
        <v>6</v>
      </c>
      <c r="P133" s="1" t="s">
        <v>53</v>
      </c>
      <c r="Q133" s="1" t="s">
        <v>6</v>
      </c>
      <c r="R133" s="1" t="s">
        <v>232</v>
      </c>
      <c r="T133" s="1" t="s">
        <v>79</v>
      </c>
      <c r="BI133" s="12" t="str">
        <f>HYPERLINK("#일위대가목록!A85","SPJJ-GJ150 →")</f>
        <v>SPJJ-GJ150 →</v>
      </c>
    </row>
    <row r="134" spans="1:61" ht="18.399999999999999" customHeight="1" x14ac:dyDescent="0.3">
      <c r="A134" s="8" t="s">
        <v>229</v>
      </c>
      <c r="B134" s="8" t="s">
        <v>233</v>
      </c>
      <c r="C134" s="8">
        <v>9</v>
      </c>
      <c r="D134" s="8" t="s">
        <v>138</v>
      </c>
      <c r="E134" s="10">
        <f>'[1]일위대가목록-호표'!E83</f>
        <v>35018</v>
      </c>
      <c r="F134" s="10">
        <f t="shared" si="18"/>
        <v>315162</v>
      </c>
      <c r="G134" s="10">
        <f>'[1]일위대가목록-호표'!F83</f>
        <v>17748</v>
      </c>
      <c r="H134" s="10">
        <f t="shared" si="19"/>
        <v>159732</v>
      </c>
      <c r="I134" s="10">
        <f>'[1]일위대가목록-호표'!G83</f>
        <v>929</v>
      </c>
      <c r="J134" s="10">
        <f t="shared" si="20"/>
        <v>8361</v>
      </c>
      <c r="K134" s="10">
        <f t="shared" si="21"/>
        <v>53695</v>
      </c>
      <c r="L134" s="10">
        <f t="shared" si="17"/>
        <v>483255</v>
      </c>
      <c r="M134" s="11" t="s">
        <v>234</v>
      </c>
      <c r="N134" s="1" t="s">
        <v>6</v>
      </c>
      <c r="P134" s="1" t="s">
        <v>55</v>
      </c>
      <c r="Q134" s="1" t="s">
        <v>6</v>
      </c>
      <c r="R134" s="1" t="s">
        <v>235</v>
      </c>
      <c r="T134" s="1" t="s">
        <v>79</v>
      </c>
      <c r="BI134" s="12" t="str">
        <f>HYPERLINK("#일위대가목록!A86","SPJJ-GJ150R →")</f>
        <v>SPJJ-GJ150R →</v>
      </c>
    </row>
    <row r="135" spans="1:61" ht="18.399999999999999" customHeight="1" x14ac:dyDescent="0.3">
      <c r="A135" s="8" t="s">
        <v>236</v>
      </c>
      <c r="B135" s="8" t="s">
        <v>230</v>
      </c>
      <c r="C135" s="8">
        <v>103</v>
      </c>
      <c r="D135" s="8" t="s">
        <v>138</v>
      </c>
      <c r="E135" s="10">
        <f>'[1]일위대가목록-호표'!E84</f>
        <v>19422</v>
      </c>
      <c r="F135" s="10">
        <f t="shared" si="18"/>
        <v>2000466</v>
      </c>
      <c r="G135" s="10">
        <f>'[1]일위대가목록-호표'!F84</f>
        <v>12820</v>
      </c>
      <c r="H135" s="10">
        <f t="shared" si="19"/>
        <v>1320460</v>
      </c>
      <c r="I135" s="10">
        <f>'[1]일위대가목록-호표'!G84</f>
        <v>698</v>
      </c>
      <c r="J135" s="10">
        <f t="shared" si="20"/>
        <v>71894</v>
      </c>
      <c r="K135" s="10">
        <f t="shared" si="21"/>
        <v>32940</v>
      </c>
      <c r="L135" s="10">
        <f t="shared" si="17"/>
        <v>3392820</v>
      </c>
      <c r="M135" s="11" t="s">
        <v>237</v>
      </c>
      <c r="N135" s="1" t="s">
        <v>6</v>
      </c>
      <c r="P135" s="1" t="s">
        <v>56</v>
      </c>
      <c r="Q135" s="1" t="s">
        <v>27</v>
      </c>
      <c r="R135" s="1" t="s">
        <v>238</v>
      </c>
      <c r="T135" s="1" t="s">
        <v>79</v>
      </c>
      <c r="BI135" s="12" t="str">
        <f>HYPERLINK("#일위대가목록!A87","SPJJ-GJ151 →")</f>
        <v>SPJJ-GJ151 →</v>
      </c>
    </row>
    <row r="136" spans="1:61" ht="18.399999999999999" customHeight="1" x14ac:dyDescent="0.3">
      <c r="A136" s="8"/>
      <c r="B136" s="8"/>
      <c r="C136" s="8"/>
      <c r="D136" s="8"/>
      <c r="E136" s="10"/>
      <c r="F136" s="10"/>
      <c r="G136" s="10"/>
      <c r="H136" s="10"/>
      <c r="I136" s="10"/>
      <c r="J136" s="10"/>
      <c r="K136" s="10"/>
      <c r="L136" s="10"/>
      <c r="M136" s="11"/>
      <c r="BI136" s="12"/>
    </row>
    <row r="137" spans="1:61" ht="18.399999999999999" customHeight="1" x14ac:dyDescent="0.3">
      <c r="A137" s="8"/>
      <c r="B137" s="8"/>
      <c r="C137" s="8"/>
      <c r="D137" s="8"/>
      <c r="E137" s="10"/>
      <c r="F137" s="10"/>
      <c r="G137" s="10"/>
      <c r="H137" s="10"/>
      <c r="I137" s="10"/>
      <c r="J137" s="10"/>
      <c r="K137" s="10"/>
      <c r="L137" s="10"/>
      <c r="M137" s="11"/>
      <c r="BI137" s="12"/>
    </row>
    <row r="138" spans="1:61" ht="18.399999999999999" customHeight="1" x14ac:dyDescent="0.3">
      <c r="A138" s="8"/>
      <c r="B138" s="8"/>
      <c r="C138" s="8"/>
      <c r="D138" s="8"/>
      <c r="E138" s="10"/>
      <c r="F138" s="10"/>
      <c r="G138" s="10"/>
      <c r="H138" s="10"/>
      <c r="I138" s="10"/>
      <c r="J138" s="10"/>
      <c r="K138" s="10"/>
      <c r="L138" s="10"/>
      <c r="M138" s="11"/>
      <c r="BI138" s="12"/>
    </row>
    <row r="139" spans="1:61" ht="18.399999999999999" customHeight="1" x14ac:dyDescent="0.3">
      <c r="A139" s="8"/>
      <c r="B139" s="8"/>
      <c r="C139" s="8"/>
      <c r="D139" s="8"/>
      <c r="E139" s="10"/>
      <c r="F139" s="10"/>
      <c r="G139" s="10"/>
      <c r="H139" s="10"/>
      <c r="I139" s="10"/>
      <c r="J139" s="10"/>
      <c r="K139" s="10"/>
      <c r="L139" s="10"/>
      <c r="M139" s="11"/>
      <c r="BI139" s="12"/>
    </row>
    <row r="140" spans="1:61" ht="18.399999999999999" customHeight="1" x14ac:dyDescent="0.3">
      <c r="A140" s="8"/>
      <c r="B140" s="8"/>
      <c r="C140" s="8"/>
      <c r="D140" s="8"/>
      <c r="E140" s="10"/>
      <c r="F140" s="10"/>
      <c r="G140" s="10"/>
      <c r="H140" s="10"/>
      <c r="I140" s="10"/>
      <c r="J140" s="10"/>
      <c r="K140" s="10"/>
      <c r="L140" s="10"/>
      <c r="M140" s="11"/>
      <c r="BI140" s="12"/>
    </row>
    <row r="141" spans="1:61" ht="18.399999999999999" customHeight="1" x14ac:dyDescent="0.3">
      <c r="A141" s="8"/>
      <c r="B141" s="8"/>
      <c r="C141" s="8"/>
      <c r="D141" s="8"/>
      <c r="E141" s="10"/>
      <c r="F141" s="10"/>
      <c r="G141" s="10"/>
      <c r="H141" s="10"/>
      <c r="I141" s="10"/>
      <c r="J141" s="10"/>
      <c r="K141" s="10"/>
      <c r="L141" s="10"/>
      <c r="M141" s="11"/>
      <c r="BI141" s="12"/>
    </row>
    <row r="142" spans="1:61" ht="18.399999999999999" customHeight="1" x14ac:dyDescent="0.3">
      <c r="A142" s="8"/>
      <c r="B142" s="8"/>
      <c r="C142" s="8"/>
      <c r="D142" s="8"/>
      <c r="E142" s="10"/>
      <c r="F142" s="10"/>
      <c r="G142" s="10"/>
      <c r="H142" s="10"/>
      <c r="I142" s="10"/>
      <c r="J142" s="10"/>
      <c r="K142" s="10"/>
      <c r="L142" s="10"/>
      <c r="M142" s="11"/>
      <c r="BI142" s="12"/>
    </row>
    <row r="143" spans="1:61" ht="18.399999999999999" customHeight="1" x14ac:dyDescent="0.3">
      <c r="A143" s="8"/>
      <c r="B143" s="8"/>
      <c r="C143" s="8"/>
      <c r="D143" s="8"/>
      <c r="E143" s="10"/>
      <c r="F143" s="10"/>
      <c r="G143" s="10"/>
      <c r="H143" s="10"/>
      <c r="I143" s="10"/>
      <c r="J143" s="10"/>
      <c r="K143" s="10"/>
      <c r="L143" s="10"/>
      <c r="M143" s="11"/>
      <c r="BI143" s="12"/>
    </row>
    <row r="144" spans="1:61" ht="18.399999999999999" customHeight="1" x14ac:dyDescent="0.3">
      <c r="A144" s="8"/>
      <c r="B144" s="8"/>
      <c r="C144" s="8"/>
      <c r="D144" s="8"/>
      <c r="E144" s="10"/>
      <c r="F144" s="10"/>
      <c r="G144" s="10"/>
      <c r="H144" s="10"/>
      <c r="I144" s="10"/>
      <c r="J144" s="10"/>
      <c r="K144" s="10"/>
      <c r="L144" s="10"/>
      <c r="M144" s="11"/>
      <c r="BI144" s="12"/>
    </row>
    <row r="145" spans="1:61" ht="18.399999999999999" customHeight="1" x14ac:dyDescent="0.3">
      <c r="A145" s="8"/>
      <c r="B145" s="8"/>
      <c r="C145" s="8"/>
      <c r="D145" s="8"/>
      <c r="E145" s="10"/>
      <c r="F145" s="10"/>
      <c r="G145" s="10"/>
      <c r="H145" s="10"/>
      <c r="I145" s="10"/>
      <c r="J145" s="10"/>
      <c r="K145" s="10"/>
      <c r="L145" s="10"/>
      <c r="M145" s="11"/>
      <c r="BI145" s="12"/>
    </row>
    <row r="146" spans="1:61" ht="18.399999999999999" customHeight="1" x14ac:dyDescent="0.3">
      <c r="A146" s="8"/>
      <c r="B146" s="8"/>
      <c r="C146" s="8"/>
      <c r="D146" s="8"/>
      <c r="E146" s="10"/>
      <c r="F146" s="10"/>
      <c r="G146" s="10"/>
      <c r="H146" s="10"/>
      <c r="I146" s="10"/>
      <c r="J146" s="10"/>
      <c r="K146" s="10"/>
      <c r="L146" s="10"/>
      <c r="M146" s="11"/>
      <c r="BI146" s="12"/>
    </row>
    <row r="147" spans="1:61" ht="18.399999999999999" customHeight="1" x14ac:dyDescent="0.3">
      <c r="A147" s="8"/>
      <c r="B147" s="8"/>
      <c r="C147" s="8"/>
      <c r="D147" s="8"/>
      <c r="E147" s="10"/>
      <c r="F147" s="10"/>
      <c r="G147" s="10"/>
      <c r="H147" s="10"/>
      <c r="I147" s="10"/>
      <c r="J147" s="10"/>
      <c r="K147" s="10"/>
      <c r="L147" s="10"/>
      <c r="M147" s="11"/>
      <c r="BI147" s="12"/>
    </row>
    <row r="148" spans="1:61" ht="18.399999999999999" customHeight="1" x14ac:dyDescent="0.3">
      <c r="A148" s="8" t="s">
        <v>239</v>
      </c>
      <c r="B148" s="8" t="s">
        <v>35</v>
      </c>
      <c r="C148" s="8">
        <v>1</v>
      </c>
      <c r="D148" s="8" t="s">
        <v>20</v>
      </c>
      <c r="E148" s="5"/>
      <c r="F148" s="10">
        <f>TRUNC(F149+F150+F151,0)</f>
        <v>1906944</v>
      </c>
      <c r="G148" s="5"/>
      <c r="H148" s="10">
        <f>TRUNC(H149+H150+H151,0)</f>
        <v>1728833</v>
      </c>
      <c r="I148" s="5"/>
      <c r="J148" s="10">
        <f>TRUNC(J149+J150+J151,0)</f>
        <v>128639</v>
      </c>
      <c r="K148" s="5"/>
      <c r="L148" s="10">
        <f>F148+H148+J148</f>
        <v>3764416</v>
      </c>
      <c r="M148" s="11" t="s">
        <v>6</v>
      </c>
      <c r="N148" s="1" t="s">
        <v>6</v>
      </c>
      <c r="O148" s="1" t="s">
        <v>44</v>
      </c>
    </row>
    <row r="149" spans="1:61" ht="18.399999999999999" customHeight="1" x14ac:dyDescent="0.3">
      <c r="A149" s="8" t="s">
        <v>240</v>
      </c>
      <c r="B149" s="8" t="s">
        <v>241</v>
      </c>
      <c r="C149" s="8">
        <v>12</v>
      </c>
      <c r="D149" s="8" t="s">
        <v>133</v>
      </c>
      <c r="E149" s="10">
        <f>[1]자재조서!E38</f>
        <v>49600</v>
      </c>
      <c r="F149" s="10">
        <f>TRUNC(E149*C149,0)</f>
        <v>595200</v>
      </c>
      <c r="G149" s="10">
        <v>0</v>
      </c>
      <c r="H149" s="10"/>
      <c r="I149" s="10">
        <v>0</v>
      </c>
      <c r="J149" s="10"/>
      <c r="K149" s="10">
        <f>E149+G149+I149</f>
        <v>49600</v>
      </c>
      <c r="L149" s="10">
        <f>F149+H149+J149</f>
        <v>595200</v>
      </c>
      <c r="M149" s="11" t="s">
        <v>242</v>
      </c>
      <c r="N149" s="1" t="s">
        <v>6</v>
      </c>
      <c r="P149" s="1" t="s">
        <v>23</v>
      </c>
      <c r="Q149" s="1" t="s">
        <v>6</v>
      </c>
      <c r="R149" s="1" t="s">
        <v>242</v>
      </c>
      <c r="BI149" s="12" t="str">
        <f>HYPERLINK("#자재조서!A38","MF01200 →")</f>
        <v>MF01200 →</v>
      </c>
    </row>
    <row r="150" spans="1:61" ht="18.399999999999999" customHeight="1" x14ac:dyDescent="0.3">
      <c r="A150" s="8" t="s">
        <v>243</v>
      </c>
      <c r="B150" s="8" t="s">
        <v>244</v>
      </c>
      <c r="C150" s="8">
        <v>17</v>
      </c>
      <c r="D150" s="8" t="s">
        <v>133</v>
      </c>
      <c r="E150" s="10">
        <f>[1]자재조서!E37</f>
        <v>62400</v>
      </c>
      <c r="F150" s="10">
        <f>TRUNC(E150*C150,0)</f>
        <v>1060800</v>
      </c>
      <c r="G150" s="10">
        <v>0</v>
      </c>
      <c r="H150" s="10"/>
      <c r="I150" s="10">
        <v>0</v>
      </c>
      <c r="J150" s="10"/>
      <c r="K150" s="10">
        <f>E150+G150+I150</f>
        <v>62400</v>
      </c>
      <c r="L150" s="10">
        <f>F150+H150+J150</f>
        <v>1060800</v>
      </c>
      <c r="M150" s="11" t="s">
        <v>245</v>
      </c>
      <c r="N150" s="1" t="s">
        <v>6</v>
      </c>
      <c r="P150" s="1" t="s">
        <v>26</v>
      </c>
      <c r="Q150" s="1" t="s">
        <v>6</v>
      </c>
      <c r="R150" s="1" t="s">
        <v>245</v>
      </c>
      <c r="BI150" s="12" t="str">
        <f>HYPERLINK("#자재조서!A37","MF01100 →")</f>
        <v>MF01100 →</v>
      </c>
    </row>
    <row r="151" spans="1:61" ht="18.399999999999999" customHeight="1" x14ac:dyDescent="0.3">
      <c r="A151" s="8" t="s">
        <v>246</v>
      </c>
      <c r="B151" s="8" t="s">
        <v>247</v>
      </c>
      <c r="C151" s="8">
        <v>487.27</v>
      </c>
      <c r="D151" s="8" t="s">
        <v>248</v>
      </c>
      <c r="E151" s="10">
        <f>'[1]일위대가목록-산근'!E4</f>
        <v>515</v>
      </c>
      <c r="F151" s="10">
        <f>TRUNC(E151*C151,0)</f>
        <v>250944</v>
      </c>
      <c r="G151" s="10">
        <f>'[1]일위대가목록-산근'!F4</f>
        <v>3548</v>
      </c>
      <c r="H151" s="10">
        <f>TRUNC(G151*C151,0)</f>
        <v>1728833</v>
      </c>
      <c r="I151" s="10">
        <f>'[1]일위대가목록-산근'!G4</f>
        <v>264</v>
      </c>
      <c r="J151" s="10">
        <f>TRUNC(I151*C151,0)</f>
        <v>128639</v>
      </c>
      <c r="K151" s="10">
        <f>E151+G151+I151</f>
        <v>4327</v>
      </c>
      <c r="L151" s="10">
        <f>F151+H151+J151</f>
        <v>2108416</v>
      </c>
      <c r="M151" s="11" t="s">
        <v>249</v>
      </c>
      <c r="N151" s="1" t="s">
        <v>6</v>
      </c>
      <c r="P151" s="1" t="s">
        <v>43</v>
      </c>
      <c r="Q151" s="1" t="s">
        <v>27</v>
      </c>
      <c r="R151" s="1" t="s">
        <v>250</v>
      </c>
      <c r="T151" s="1" t="s">
        <v>251</v>
      </c>
      <c r="BI151" s="12" t="str">
        <f>HYPERLINK("#일위대가목록!A4","Z_B0100 →")</f>
        <v>Z_B0100 →</v>
      </c>
    </row>
    <row r="152" spans="1:61" ht="18.399999999999999" customHeight="1" x14ac:dyDescent="0.3">
      <c r="A152" s="8"/>
      <c r="B152" s="8"/>
      <c r="C152" s="8"/>
      <c r="D152" s="8"/>
      <c r="E152" s="10"/>
      <c r="F152" s="10"/>
      <c r="G152" s="10"/>
      <c r="H152" s="10"/>
      <c r="I152" s="10"/>
      <c r="J152" s="10"/>
      <c r="K152" s="10"/>
      <c r="L152" s="10"/>
      <c r="M152" s="11"/>
      <c r="BI152" s="12"/>
    </row>
    <row r="153" spans="1:61" ht="18.399999999999999" customHeight="1" x14ac:dyDescent="0.3">
      <c r="A153" s="8"/>
      <c r="B153" s="8"/>
      <c r="C153" s="8"/>
      <c r="D153" s="8"/>
      <c r="E153" s="10"/>
      <c r="F153" s="10"/>
      <c r="G153" s="10"/>
      <c r="H153" s="10"/>
      <c r="I153" s="10"/>
      <c r="J153" s="10"/>
      <c r="K153" s="10"/>
      <c r="L153" s="10"/>
      <c r="M153" s="11"/>
      <c r="BI153" s="12"/>
    </row>
    <row r="154" spans="1:61" ht="18.399999999999999" customHeight="1" x14ac:dyDescent="0.3">
      <c r="A154" s="8"/>
      <c r="B154" s="8"/>
      <c r="C154" s="8"/>
      <c r="D154" s="8"/>
      <c r="E154" s="10"/>
      <c r="F154" s="10"/>
      <c r="G154" s="10"/>
      <c r="H154" s="10"/>
      <c r="I154" s="10"/>
      <c r="J154" s="10"/>
      <c r="K154" s="10"/>
      <c r="L154" s="10"/>
      <c r="M154" s="11"/>
      <c r="BI154" s="12"/>
    </row>
    <row r="155" spans="1:61" ht="18.399999999999999" customHeight="1" x14ac:dyDescent="0.3">
      <c r="A155" s="8"/>
      <c r="B155" s="8"/>
      <c r="C155" s="8"/>
      <c r="D155" s="8"/>
      <c r="E155" s="10"/>
      <c r="F155" s="10"/>
      <c r="G155" s="10"/>
      <c r="H155" s="10"/>
      <c r="I155" s="10"/>
      <c r="J155" s="10"/>
      <c r="K155" s="10"/>
      <c r="L155" s="10"/>
      <c r="M155" s="11"/>
      <c r="BI155" s="12"/>
    </row>
    <row r="156" spans="1:61" ht="18.399999999999999" customHeight="1" x14ac:dyDescent="0.3">
      <c r="A156" s="8"/>
      <c r="B156" s="8"/>
      <c r="C156" s="8"/>
      <c r="D156" s="8"/>
      <c r="E156" s="10"/>
      <c r="F156" s="10"/>
      <c r="G156" s="10"/>
      <c r="H156" s="10"/>
      <c r="I156" s="10"/>
      <c r="J156" s="10"/>
      <c r="K156" s="10"/>
      <c r="L156" s="10"/>
      <c r="M156" s="11"/>
      <c r="BI156" s="12"/>
    </row>
    <row r="157" spans="1:61" ht="18.399999999999999" customHeight="1" x14ac:dyDescent="0.3">
      <c r="A157" s="8"/>
      <c r="B157" s="8"/>
      <c r="C157" s="8"/>
      <c r="D157" s="8"/>
      <c r="E157" s="10"/>
      <c r="F157" s="10"/>
      <c r="G157" s="10"/>
      <c r="H157" s="10"/>
      <c r="I157" s="10"/>
      <c r="J157" s="10"/>
      <c r="K157" s="10"/>
      <c r="L157" s="10"/>
      <c r="M157" s="11"/>
      <c r="BI157" s="12"/>
    </row>
    <row r="158" spans="1:61" ht="18.399999999999999" customHeight="1" x14ac:dyDescent="0.3">
      <c r="A158" s="8"/>
      <c r="B158" s="8"/>
      <c r="C158" s="8"/>
      <c r="D158" s="8"/>
      <c r="E158" s="10"/>
      <c r="F158" s="10"/>
      <c r="G158" s="10"/>
      <c r="H158" s="10"/>
      <c r="I158" s="10"/>
      <c r="J158" s="10"/>
      <c r="K158" s="10"/>
      <c r="L158" s="10"/>
      <c r="M158" s="11"/>
      <c r="BI158" s="12"/>
    </row>
    <row r="159" spans="1:61" ht="18.399999999999999" customHeight="1" x14ac:dyDescent="0.3">
      <c r="A159" s="8"/>
      <c r="B159" s="8"/>
      <c r="C159" s="8"/>
      <c r="D159" s="8"/>
      <c r="E159" s="10"/>
      <c r="F159" s="10"/>
      <c r="G159" s="10"/>
      <c r="H159" s="10"/>
      <c r="I159" s="10"/>
      <c r="J159" s="10"/>
      <c r="K159" s="10"/>
      <c r="L159" s="10"/>
      <c r="M159" s="11"/>
      <c r="BI159" s="12"/>
    </row>
    <row r="160" spans="1:61" ht="18.399999999999999" customHeight="1" x14ac:dyDescent="0.3">
      <c r="A160" s="8"/>
      <c r="B160" s="8"/>
      <c r="C160" s="8"/>
      <c r="D160" s="8"/>
      <c r="E160" s="10"/>
      <c r="F160" s="10"/>
      <c r="G160" s="10"/>
      <c r="H160" s="10"/>
      <c r="I160" s="10"/>
      <c r="J160" s="10"/>
      <c r="K160" s="10"/>
      <c r="L160" s="10"/>
      <c r="M160" s="11"/>
      <c r="BI160" s="12"/>
    </row>
    <row r="161" spans="1:61" ht="18.399999999999999" customHeight="1" x14ac:dyDescent="0.3">
      <c r="A161" s="8"/>
      <c r="B161" s="8"/>
      <c r="C161" s="8"/>
      <c r="D161" s="8"/>
      <c r="E161" s="10"/>
      <c r="F161" s="10"/>
      <c r="G161" s="10"/>
      <c r="H161" s="10"/>
      <c r="I161" s="10"/>
      <c r="J161" s="10"/>
      <c r="K161" s="10"/>
      <c r="L161" s="10"/>
      <c r="M161" s="11"/>
      <c r="BI161" s="12"/>
    </row>
    <row r="162" spans="1:61" ht="18.399999999999999" customHeight="1" x14ac:dyDescent="0.3">
      <c r="A162" s="8"/>
      <c r="B162" s="8"/>
      <c r="C162" s="8"/>
      <c r="D162" s="8"/>
      <c r="E162" s="10"/>
      <c r="F162" s="10"/>
      <c r="G162" s="10"/>
      <c r="H162" s="10"/>
      <c r="I162" s="10"/>
      <c r="J162" s="10"/>
      <c r="K162" s="10"/>
      <c r="L162" s="10"/>
      <c r="M162" s="11"/>
      <c r="BI162" s="12"/>
    </row>
    <row r="163" spans="1:61" ht="18.399999999999999" customHeight="1" x14ac:dyDescent="0.3">
      <c r="A163" s="8"/>
      <c r="B163" s="8"/>
      <c r="C163" s="8"/>
      <c r="D163" s="8"/>
      <c r="E163" s="10"/>
      <c r="F163" s="10"/>
      <c r="G163" s="10"/>
      <c r="H163" s="10"/>
      <c r="I163" s="10"/>
      <c r="J163" s="10"/>
      <c r="K163" s="10"/>
      <c r="L163" s="10"/>
      <c r="M163" s="11"/>
      <c r="BI163" s="12"/>
    </row>
    <row r="164" spans="1:61" ht="18.399999999999999" customHeight="1" x14ac:dyDescent="0.3">
      <c r="A164" s="8"/>
      <c r="B164" s="8"/>
      <c r="C164" s="8"/>
      <c r="D164" s="8"/>
      <c r="E164" s="10"/>
      <c r="F164" s="10"/>
      <c r="G164" s="10"/>
      <c r="H164" s="10"/>
      <c r="I164" s="10"/>
      <c r="J164" s="10"/>
      <c r="K164" s="10"/>
      <c r="L164" s="10"/>
      <c r="M164" s="11"/>
      <c r="BI164" s="12"/>
    </row>
    <row r="165" spans="1:61" ht="18.399999999999999" customHeight="1" x14ac:dyDescent="0.3">
      <c r="A165" s="8"/>
      <c r="B165" s="8"/>
      <c r="C165" s="8"/>
      <c r="D165" s="8"/>
      <c r="E165" s="10"/>
      <c r="F165" s="10"/>
      <c r="G165" s="10"/>
      <c r="H165" s="10"/>
      <c r="I165" s="10"/>
      <c r="J165" s="10"/>
      <c r="K165" s="10"/>
      <c r="L165" s="10"/>
      <c r="M165" s="11"/>
      <c r="BI165" s="12"/>
    </row>
    <row r="166" spans="1:61" ht="18.399999999999999" customHeight="1" x14ac:dyDescent="0.3">
      <c r="A166" s="8"/>
      <c r="B166" s="8"/>
      <c r="C166" s="8"/>
      <c r="D166" s="8"/>
      <c r="E166" s="10"/>
      <c r="F166" s="10"/>
      <c r="G166" s="10"/>
      <c r="H166" s="10"/>
      <c r="I166" s="10"/>
      <c r="J166" s="10"/>
      <c r="K166" s="10"/>
      <c r="L166" s="10"/>
      <c r="M166" s="11"/>
      <c r="BI166" s="12"/>
    </row>
    <row r="167" spans="1:61" ht="18.399999999999999" customHeight="1" x14ac:dyDescent="0.3">
      <c r="A167" s="8"/>
      <c r="B167" s="8"/>
      <c r="C167" s="8"/>
      <c r="D167" s="8"/>
      <c r="E167" s="10"/>
      <c r="F167" s="10"/>
      <c r="G167" s="10"/>
      <c r="H167" s="10"/>
      <c r="I167" s="10"/>
      <c r="J167" s="10"/>
      <c r="K167" s="10"/>
      <c r="L167" s="10"/>
      <c r="M167" s="11"/>
      <c r="BI167" s="12"/>
    </row>
    <row r="168" spans="1:61" ht="18.399999999999999" customHeight="1" x14ac:dyDescent="0.3">
      <c r="A168" s="8"/>
      <c r="B168" s="8"/>
      <c r="C168" s="8"/>
      <c r="D168" s="8"/>
      <c r="E168" s="10"/>
      <c r="F168" s="10"/>
      <c r="G168" s="10"/>
      <c r="H168" s="10"/>
      <c r="I168" s="10"/>
      <c r="J168" s="10"/>
      <c r="K168" s="10"/>
      <c r="L168" s="10"/>
      <c r="M168" s="11"/>
      <c r="BI168" s="12"/>
    </row>
    <row r="169" spans="1:61" ht="18.399999999999999" customHeight="1" x14ac:dyDescent="0.3">
      <c r="A169" s="8"/>
      <c r="B169" s="8"/>
      <c r="C169" s="8"/>
      <c r="D169" s="8"/>
      <c r="E169" s="10"/>
      <c r="F169" s="10"/>
      <c r="G169" s="10"/>
      <c r="H169" s="10"/>
      <c r="I169" s="10"/>
      <c r="J169" s="10"/>
      <c r="K169" s="10"/>
      <c r="L169" s="10"/>
      <c r="M169" s="11"/>
      <c r="BI169" s="12"/>
    </row>
    <row r="170" spans="1:61" ht="18.399999999999999" customHeight="1" x14ac:dyDescent="0.3">
      <c r="A170" s="8"/>
      <c r="B170" s="8"/>
      <c r="C170" s="8"/>
      <c r="D170" s="8"/>
      <c r="E170" s="10"/>
      <c r="F170" s="10"/>
      <c r="G170" s="10"/>
      <c r="H170" s="10"/>
      <c r="I170" s="10"/>
      <c r="J170" s="10"/>
      <c r="K170" s="10"/>
      <c r="L170" s="10"/>
      <c r="M170" s="11"/>
      <c r="BI170" s="12"/>
    </row>
    <row r="171" spans="1:61" ht="18.399999999999999" customHeight="1" x14ac:dyDescent="0.3">
      <c r="A171" s="8"/>
      <c r="B171" s="8"/>
      <c r="C171" s="8"/>
      <c r="D171" s="8"/>
      <c r="E171" s="10"/>
      <c r="F171" s="10"/>
      <c r="G171" s="10"/>
      <c r="H171" s="10"/>
      <c r="I171" s="10"/>
      <c r="J171" s="10"/>
      <c r="K171" s="10"/>
      <c r="L171" s="10"/>
      <c r="M171" s="11"/>
      <c r="BI171" s="12"/>
    </row>
    <row r="172" spans="1:61" ht="18.399999999999999" customHeight="1" x14ac:dyDescent="0.3">
      <c r="A172" s="8" t="s">
        <v>252</v>
      </c>
      <c r="B172" s="8" t="s">
        <v>35</v>
      </c>
      <c r="C172" s="8">
        <v>1</v>
      </c>
      <c r="D172" s="8" t="s">
        <v>20</v>
      </c>
      <c r="E172" s="5"/>
      <c r="F172" s="10">
        <f>TRUNC(F173+F174,0)</f>
        <v>1938317</v>
      </c>
      <c r="G172" s="5"/>
      <c r="H172" s="10">
        <f>TRUNC(H173+H174,0)</f>
        <v>1290777</v>
      </c>
      <c r="I172" s="5"/>
      <c r="J172" s="10">
        <f>TRUNC(J173+J174,0)</f>
        <v>76155</v>
      </c>
      <c r="K172" s="5"/>
      <c r="L172" s="10">
        <f t="shared" ref="L172:L185" si="22">F172+H172+J172</f>
        <v>3305249</v>
      </c>
      <c r="M172" s="11" t="s">
        <v>6</v>
      </c>
      <c r="N172" s="1" t="s">
        <v>6</v>
      </c>
      <c r="O172" s="1" t="s">
        <v>47</v>
      </c>
    </row>
    <row r="173" spans="1:61" ht="18.399999999999999" customHeight="1" x14ac:dyDescent="0.3">
      <c r="A173" s="8" t="s">
        <v>253</v>
      </c>
      <c r="B173" s="8" t="s">
        <v>254</v>
      </c>
      <c r="C173" s="8">
        <v>1</v>
      </c>
      <c r="D173" s="8" t="s">
        <v>20</v>
      </c>
      <c r="E173" s="10">
        <f>F177</f>
        <v>513540</v>
      </c>
      <c r="F173" s="10">
        <f>TRUNC(E173*C173,0)</f>
        <v>513540</v>
      </c>
      <c r="G173" s="10">
        <f>H177</f>
        <v>637320</v>
      </c>
      <c r="H173" s="10">
        <f>TRUNC(G173*C173,0)</f>
        <v>637320</v>
      </c>
      <c r="I173" s="10">
        <f>J177</f>
        <v>0</v>
      </c>
      <c r="J173" s="10">
        <f>TRUNC(I173*C173,0)</f>
        <v>0</v>
      </c>
      <c r="K173" s="10">
        <f>E173+G173+I173</f>
        <v>1150860</v>
      </c>
      <c r="L173" s="10">
        <f t="shared" si="22"/>
        <v>1150860</v>
      </c>
      <c r="M173" s="11" t="s">
        <v>6</v>
      </c>
      <c r="N173" s="1" t="s">
        <v>6</v>
      </c>
      <c r="P173" s="1" t="s">
        <v>23</v>
      </c>
      <c r="Q173" s="1" t="s">
        <v>6</v>
      </c>
      <c r="R173" s="1" t="s">
        <v>255</v>
      </c>
      <c r="BI173" s="12" t="str">
        <f>HYPERLINK("#내역서!A90","A0510 →")</f>
        <v>A0510 →</v>
      </c>
    </row>
    <row r="174" spans="1:61" ht="18.399999999999999" customHeight="1" x14ac:dyDescent="0.3">
      <c r="A174" s="8" t="s">
        <v>256</v>
      </c>
      <c r="B174" s="8" t="s">
        <v>257</v>
      </c>
      <c r="C174" s="8">
        <v>1</v>
      </c>
      <c r="D174" s="8" t="s">
        <v>20</v>
      </c>
      <c r="E174" s="10">
        <f>F182</f>
        <v>1424777</v>
      </c>
      <c r="F174" s="10">
        <f>TRUNC(E174*C174,0)</f>
        <v>1424777</v>
      </c>
      <c r="G174" s="10">
        <f>H182</f>
        <v>653457</v>
      </c>
      <c r="H174" s="10">
        <f>TRUNC(G174*C174,0)</f>
        <v>653457</v>
      </c>
      <c r="I174" s="10">
        <f>J182</f>
        <v>76155</v>
      </c>
      <c r="J174" s="10">
        <f>TRUNC(I174*C174,0)</f>
        <v>76155</v>
      </c>
      <c r="K174" s="10">
        <f>E174+G174+I174</f>
        <v>2154389</v>
      </c>
      <c r="L174" s="10">
        <f t="shared" si="22"/>
        <v>2154389</v>
      </c>
      <c r="M174" s="11" t="s">
        <v>6</v>
      </c>
      <c r="N174" s="1" t="s">
        <v>6</v>
      </c>
      <c r="P174" s="1" t="s">
        <v>26</v>
      </c>
      <c r="Q174" s="1" t="s">
        <v>6</v>
      </c>
      <c r="R174" s="1" t="s">
        <v>258</v>
      </c>
      <c r="BI174" s="12" t="str">
        <f>HYPERLINK("#내역서!A95","A0520 →")</f>
        <v>A0520 →</v>
      </c>
    </row>
    <row r="175" spans="1:61" ht="18.399999999999999" customHeight="1" x14ac:dyDescent="0.3">
      <c r="A175" s="8" t="s">
        <v>30</v>
      </c>
      <c r="B175" s="8" t="s">
        <v>6</v>
      </c>
      <c r="C175" s="8"/>
      <c r="D175" s="8" t="s">
        <v>6</v>
      </c>
      <c r="E175" s="5"/>
      <c r="F175" s="10">
        <v>0</v>
      </c>
      <c r="G175" s="5"/>
      <c r="H175" s="10">
        <v>0</v>
      </c>
      <c r="I175" s="5"/>
      <c r="J175" s="10">
        <v>0</v>
      </c>
      <c r="K175" s="10">
        <f>E175+G175+I175</f>
        <v>0</v>
      </c>
      <c r="L175" s="10">
        <f t="shared" si="22"/>
        <v>0</v>
      </c>
      <c r="M175" s="11" t="s">
        <v>6</v>
      </c>
      <c r="N175" s="1" t="s">
        <v>6</v>
      </c>
      <c r="P175" s="1" t="s">
        <v>40</v>
      </c>
      <c r="Q175" s="1" t="s">
        <v>6</v>
      </c>
      <c r="R175" s="1" t="s">
        <v>6</v>
      </c>
    </row>
    <row r="176" spans="1:61" ht="18.399999999999999" customHeight="1" x14ac:dyDescent="0.3">
      <c r="A176" s="8" t="s">
        <v>30</v>
      </c>
      <c r="B176" s="8" t="s">
        <v>6</v>
      </c>
      <c r="C176" s="8"/>
      <c r="D176" s="8" t="s">
        <v>6</v>
      </c>
      <c r="E176" s="5"/>
      <c r="F176" s="10">
        <v>0</v>
      </c>
      <c r="G176" s="5"/>
      <c r="H176" s="10">
        <v>0</v>
      </c>
      <c r="I176" s="5"/>
      <c r="J176" s="10">
        <v>0</v>
      </c>
      <c r="K176" s="10">
        <f>E176+G176+I176</f>
        <v>0</v>
      </c>
      <c r="L176" s="10">
        <f t="shared" si="22"/>
        <v>0</v>
      </c>
      <c r="M176" s="11" t="s">
        <v>6</v>
      </c>
      <c r="N176" s="1" t="s">
        <v>6</v>
      </c>
      <c r="P176" s="1" t="s">
        <v>43</v>
      </c>
      <c r="Q176" s="1" t="s">
        <v>6</v>
      </c>
      <c r="R176" s="1" t="s">
        <v>6</v>
      </c>
    </row>
    <row r="177" spans="1:61" ht="18.399999999999999" customHeight="1" x14ac:dyDescent="0.3">
      <c r="A177" s="8" t="s">
        <v>259</v>
      </c>
      <c r="B177" s="8" t="s">
        <v>254</v>
      </c>
      <c r="C177" s="8">
        <v>1</v>
      </c>
      <c r="D177" s="8" t="s">
        <v>20</v>
      </c>
      <c r="E177" s="5"/>
      <c r="F177" s="10">
        <f>TRUNC(F178+F179+F180,0)</f>
        <v>513540</v>
      </c>
      <c r="G177" s="5"/>
      <c r="H177" s="10">
        <f>TRUNC(H178+H179+H180,0)</f>
        <v>637320</v>
      </c>
      <c r="I177" s="5"/>
      <c r="J177" s="10">
        <f>TRUNC(J178+J179+J180,0)</f>
        <v>0</v>
      </c>
      <c r="K177" s="5"/>
      <c r="L177" s="10">
        <f t="shared" si="22"/>
        <v>1150860</v>
      </c>
      <c r="M177" s="11" t="s">
        <v>6</v>
      </c>
      <c r="N177" s="1" t="s">
        <v>6</v>
      </c>
      <c r="O177" s="1" t="s">
        <v>255</v>
      </c>
    </row>
    <row r="178" spans="1:61" ht="18.399999999999999" customHeight="1" x14ac:dyDescent="0.3">
      <c r="A178" s="8" t="s">
        <v>260</v>
      </c>
      <c r="B178" s="8" t="s">
        <v>261</v>
      </c>
      <c r="C178" s="8">
        <v>16</v>
      </c>
      <c r="D178" s="8" t="s">
        <v>76</v>
      </c>
      <c r="E178" s="10">
        <f>'[1]일위대가목록-호표'!E106</f>
        <v>12750</v>
      </c>
      <c r="F178" s="10">
        <f>TRUNC(E178*C178,0)</f>
        <v>204000</v>
      </c>
      <c r="G178" s="10">
        <f>'[1]일위대가목록-호표'!F106</f>
        <v>35185</v>
      </c>
      <c r="H178" s="10">
        <f>TRUNC(G178*C178,0)</f>
        <v>562960</v>
      </c>
      <c r="I178" s="10">
        <f>'[1]일위대가목록-호표'!G106</f>
        <v>0</v>
      </c>
      <c r="J178" s="10">
        <f>TRUNC(I178*C178,0)</f>
        <v>0</v>
      </c>
      <c r="K178" s="10">
        <f>E178+G178+I178</f>
        <v>47935</v>
      </c>
      <c r="L178" s="10">
        <f t="shared" si="22"/>
        <v>766960</v>
      </c>
      <c r="M178" s="11" t="s">
        <v>262</v>
      </c>
      <c r="N178" s="1" t="s">
        <v>6</v>
      </c>
      <c r="P178" s="1" t="s">
        <v>23</v>
      </c>
      <c r="Q178" s="1" t="s">
        <v>6</v>
      </c>
      <c r="R178" s="1" t="s">
        <v>263</v>
      </c>
      <c r="T178" s="1" t="s">
        <v>79</v>
      </c>
      <c r="BI178" s="12" t="str">
        <f>HYPERLINK("#일위대가목록!A109","TUS-NC12 →")</f>
        <v>TUS-NC12 →</v>
      </c>
    </row>
    <row r="179" spans="1:61" ht="18.399999999999999" customHeight="1" x14ac:dyDescent="0.3">
      <c r="A179" s="8" t="s">
        <v>113</v>
      </c>
      <c r="B179" s="8" t="s">
        <v>264</v>
      </c>
      <c r="C179" s="8">
        <v>110</v>
      </c>
      <c r="D179" s="8" t="s">
        <v>115</v>
      </c>
      <c r="E179" s="10">
        <f>'[1]일위대가목록-호표'!E110</f>
        <v>2232</v>
      </c>
      <c r="F179" s="10">
        <f>TRUNC(E179*C179,0)</f>
        <v>245520</v>
      </c>
      <c r="G179" s="10">
        <f>'[1]일위대가목록-호표'!F110</f>
        <v>338</v>
      </c>
      <c r="H179" s="10">
        <f>TRUNC(G179*C179,0)</f>
        <v>37180</v>
      </c>
      <c r="I179" s="10">
        <f>'[1]일위대가목록-호표'!G110</f>
        <v>0</v>
      </c>
      <c r="J179" s="10">
        <f>TRUNC(I179*C179,0)</f>
        <v>0</v>
      </c>
      <c r="K179" s="10">
        <f>E179+G179+I179</f>
        <v>2570</v>
      </c>
      <c r="L179" s="10">
        <f t="shared" si="22"/>
        <v>282700</v>
      </c>
      <c r="M179" s="11" t="s">
        <v>265</v>
      </c>
      <c r="N179" s="1" t="s">
        <v>6</v>
      </c>
      <c r="P179" s="1" t="s">
        <v>26</v>
      </c>
      <c r="Q179" s="1" t="s">
        <v>6</v>
      </c>
      <c r="R179" s="1" t="s">
        <v>266</v>
      </c>
      <c r="T179" s="1" t="s">
        <v>79</v>
      </c>
      <c r="BI179" s="12" t="str">
        <f>HYPERLINK("#일위대가목록!A113","TV-SN-MNM08 →")</f>
        <v>TV-SN-MNM08 →</v>
      </c>
    </row>
    <row r="180" spans="1:61" ht="18.399999999999999" customHeight="1" x14ac:dyDescent="0.3">
      <c r="A180" s="8" t="s">
        <v>122</v>
      </c>
      <c r="B180" s="8" t="s">
        <v>264</v>
      </c>
      <c r="C180" s="8">
        <v>110</v>
      </c>
      <c r="D180" s="8" t="s">
        <v>115</v>
      </c>
      <c r="E180" s="10">
        <f>'[1]일위대가목록-호표'!E111</f>
        <v>582</v>
      </c>
      <c r="F180" s="10">
        <f>TRUNC(E180*C180,0)</f>
        <v>64020</v>
      </c>
      <c r="G180" s="10">
        <f>'[1]일위대가목록-호표'!F111</f>
        <v>338</v>
      </c>
      <c r="H180" s="10">
        <f>TRUNC(G180*C180,0)</f>
        <v>37180</v>
      </c>
      <c r="I180" s="10">
        <f>'[1]일위대가목록-호표'!G111</f>
        <v>0</v>
      </c>
      <c r="J180" s="10">
        <f>TRUNC(I180*C180,0)</f>
        <v>0</v>
      </c>
      <c r="K180" s="10">
        <f>E180+G180+I180</f>
        <v>920</v>
      </c>
      <c r="L180" s="10">
        <f t="shared" si="22"/>
        <v>101200</v>
      </c>
      <c r="M180" s="11" t="s">
        <v>267</v>
      </c>
      <c r="N180" s="1" t="s">
        <v>6</v>
      </c>
      <c r="P180" s="1" t="s">
        <v>40</v>
      </c>
      <c r="Q180" s="1" t="s">
        <v>6</v>
      </c>
      <c r="R180" s="1" t="s">
        <v>268</v>
      </c>
      <c r="T180" s="1" t="s">
        <v>79</v>
      </c>
      <c r="BI180" s="12" t="str">
        <f>HYPERLINK("#일위대가목록!A114","TV-SN-OARAN8 →")</f>
        <v>TV-SN-OARAN8 →</v>
      </c>
    </row>
    <row r="181" spans="1:61" ht="18.399999999999999" customHeight="1" x14ac:dyDescent="0.3">
      <c r="A181" s="8" t="s">
        <v>30</v>
      </c>
      <c r="B181" s="8" t="s">
        <v>6</v>
      </c>
      <c r="C181" s="8"/>
      <c r="D181" s="8" t="s">
        <v>6</v>
      </c>
      <c r="E181" s="5"/>
      <c r="F181" s="10">
        <v>0</v>
      </c>
      <c r="G181" s="5"/>
      <c r="H181" s="10">
        <v>0</v>
      </c>
      <c r="I181" s="5"/>
      <c r="J181" s="10">
        <v>0</v>
      </c>
      <c r="K181" s="10">
        <f>E181+G181+I181</f>
        <v>0</v>
      </c>
      <c r="L181" s="10">
        <f t="shared" si="22"/>
        <v>0</v>
      </c>
      <c r="M181" s="11" t="s">
        <v>6</v>
      </c>
      <c r="N181" s="1" t="s">
        <v>6</v>
      </c>
      <c r="P181" s="1" t="s">
        <v>43</v>
      </c>
      <c r="Q181" s="1" t="s">
        <v>6</v>
      </c>
      <c r="R181" s="1" t="s">
        <v>6</v>
      </c>
    </row>
    <row r="182" spans="1:61" ht="18.399999999999999" customHeight="1" x14ac:dyDescent="0.3">
      <c r="A182" s="8" t="s">
        <v>269</v>
      </c>
      <c r="B182" s="8" t="s">
        <v>257</v>
      </c>
      <c r="C182" s="8">
        <v>1</v>
      </c>
      <c r="D182" s="8" t="s">
        <v>20</v>
      </c>
      <c r="E182" s="5"/>
      <c r="F182" s="10">
        <f>TRUNC(F183+F184+F185,0)</f>
        <v>1424777</v>
      </c>
      <c r="G182" s="5"/>
      <c r="H182" s="10">
        <f>TRUNC(H183+H184+H185,0)</f>
        <v>653457</v>
      </c>
      <c r="I182" s="5"/>
      <c r="J182" s="10">
        <f>TRUNC(J183+J184+J185,0)</f>
        <v>76155</v>
      </c>
      <c r="K182" s="5"/>
      <c r="L182" s="10">
        <f t="shared" si="22"/>
        <v>2154389</v>
      </c>
      <c r="M182" s="11" t="s">
        <v>6</v>
      </c>
      <c r="N182" s="1" t="s">
        <v>6</v>
      </c>
      <c r="O182" s="1" t="s">
        <v>258</v>
      </c>
    </row>
    <row r="183" spans="1:61" ht="18.399999999999999" customHeight="1" x14ac:dyDescent="0.3">
      <c r="A183" s="8" t="s">
        <v>270</v>
      </c>
      <c r="B183" s="8" t="s">
        <v>271</v>
      </c>
      <c r="C183" s="8">
        <v>20</v>
      </c>
      <c r="D183" s="8" t="s">
        <v>127</v>
      </c>
      <c r="E183" s="10">
        <f>'[1]일위대가목록-호표'!E72</f>
        <v>52012</v>
      </c>
      <c r="F183" s="10">
        <f>TRUNC(E183*C183,0)</f>
        <v>1040240</v>
      </c>
      <c r="G183" s="10">
        <f>'[1]일위대가목록-호표'!F72</f>
        <v>26267</v>
      </c>
      <c r="H183" s="10">
        <f>TRUNC(G183*C183,0)</f>
        <v>525340</v>
      </c>
      <c r="I183" s="10">
        <f>'[1]일위대가목록-호표'!G72</f>
        <v>3130</v>
      </c>
      <c r="J183" s="10">
        <f>TRUNC(I183*C183,0)</f>
        <v>62600</v>
      </c>
      <c r="K183" s="10">
        <f>E183+G183+I183</f>
        <v>81409</v>
      </c>
      <c r="L183" s="10">
        <f t="shared" si="22"/>
        <v>1628180</v>
      </c>
      <c r="M183" s="11" t="s">
        <v>272</v>
      </c>
      <c r="N183" s="1" t="s">
        <v>6</v>
      </c>
      <c r="P183" s="1" t="s">
        <v>23</v>
      </c>
      <c r="Q183" s="1" t="s">
        <v>6</v>
      </c>
      <c r="R183" s="1" t="s">
        <v>273</v>
      </c>
      <c r="T183" s="1" t="s">
        <v>79</v>
      </c>
      <c r="BI183" s="12" t="str">
        <f>HYPERLINK("#일위대가목록!A75","SN-IGJB4 →")</f>
        <v>SN-IGJB4 →</v>
      </c>
    </row>
    <row r="184" spans="1:61" ht="18.399999999999999" customHeight="1" x14ac:dyDescent="0.3">
      <c r="A184" s="8" t="s">
        <v>274</v>
      </c>
      <c r="B184" s="8" t="s">
        <v>275</v>
      </c>
      <c r="C184" s="8">
        <v>5</v>
      </c>
      <c r="D184" s="8" t="s">
        <v>133</v>
      </c>
      <c r="E184" s="10">
        <f>'[1]일위대가목록-호표'!E68</f>
        <v>25365</v>
      </c>
      <c r="F184" s="10">
        <f>TRUNC(E184*C184,0)</f>
        <v>126825</v>
      </c>
      <c r="G184" s="10">
        <f>'[1]일위대가목록-호표'!F68</f>
        <v>23865</v>
      </c>
      <c r="H184" s="10">
        <f>TRUNC(G184*C184,0)</f>
        <v>119325</v>
      </c>
      <c r="I184" s="10">
        <f>'[1]일위대가목록-호표'!G68</f>
        <v>2711</v>
      </c>
      <c r="J184" s="10">
        <f>TRUNC(I184*C184,0)</f>
        <v>13555</v>
      </c>
      <c r="K184" s="10">
        <f>E184+G184+I184</f>
        <v>51941</v>
      </c>
      <c r="L184" s="10">
        <f t="shared" si="22"/>
        <v>259705</v>
      </c>
      <c r="M184" s="11" t="s">
        <v>276</v>
      </c>
      <c r="N184" s="1" t="s">
        <v>6</v>
      </c>
      <c r="P184" s="1" t="s">
        <v>26</v>
      </c>
      <c r="Q184" s="1" t="s">
        <v>6</v>
      </c>
      <c r="R184" s="1" t="s">
        <v>277</v>
      </c>
      <c r="T184" s="1" t="s">
        <v>79</v>
      </c>
      <c r="BI184" s="12" t="str">
        <f>HYPERLINK("#일위대가목록!A71","SN-GGS04 →")</f>
        <v>SN-GGS04 →</v>
      </c>
    </row>
    <row r="185" spans="1:61" ht="18.399999999999999" customHeight="1" x14ac:dyDescent="0.3">
      <c r="A185" s="8" t="s">
        <v>278</v>
      </c>
      <c r="B185" s="8" t="s">
        <v>279</v>
      </c>
      <c r="C185" s="8">
        <v>4</v>
      </c>
      <c r="D185" s="8" t="s">
        <v>127</v>
      </c>
      <c r="E185" s="10">
        <f>'[1]일위대가목록-호표'!E79</f>
        <v>64428</v>
      </c>
      <c r="F185" s="10">
        <f>TRUNC(E185*C185,0)</f>
        <v>257712</v>
      </c>
      <c r="G185" s="10">
        <f>'[1]일위대가목록-호표'!F79</f>
        <v>2198</v>
      </c>
      <c r="H185" s="10">
        <f>TRUNC(G185*C185,0)</f>
        <v>8792</v>
      </c>
      <c r="I185" s="10">
        <f>'[1]일위대가목록-호표'!G79</f>
        <v>0</v>
      </c>
      <c r="J185" s="10">
        <f>TRUNC(I185*C185,0)</f>
        <v>0</v>
      </c>
      <c r="K185" s="10">
        <f>E185+G185+I185</f>
        <v>66626</v>
      </c>
      <c r="L185" s="10">
        <f t="shared" si="22"/>
        <v>266504</v>
      </c>
      <c r="M185" s="11" t="s">
        <v>280</v>
      </c>
      <c r="N185" s="1" t="s">
        <v>6</v>
      </c>
      <c r="P185" s="1" t="s">
        <v>40</v>
      </c>
      <c r="Q185" s="1" t="s">
        <v>27</v>
      </c>
      <c r="R185" s="1" t="s">
        <v>281</v>
      </c>
      <c r="T185" s="1" t="s">
        <v>79</v>
      </c>
      <c r="BI185" s="12" t="str">
        <f>HYPERLINK("#일위대가목록!A82","SP-JYJG01 →")</f>
        <v>SP-JYJG01 →</v>
      </c>
    </row>
    <row r="186" spans="1:61" ht="18.399999999999999" customHeight="1" x14ac:dyDescent="0.3">
      <c r="A186" s="8"/>
      <c r="B186" s="8"/>
      <c r="C186" s="8"/>
      <c r="D186" s="8"/>
      <c r="E186" s="10"/>
      <c r="F186" s="10"/>
      <c r="G186" s="10"/>
      <c r="H186" s="10"/>
      <c r="I186" s="10"/>
      <c r="J186" s="10"/>
      <c r="K186" s="10"/>
      <c r="L186" s="10"/>
      <c r="M186" s="11"/>
      <c r="BI186" s="12"/>
    </row>
    <row r="187" spans="1:61" ht="18.399999999999999" customHeight="1" x14ac:dyDescent="0.3">
      <c r="A187" s="8"/>
      <c r="B187" s="8"/>
      <c r="C187" s="8"/>
      <c r="D187" s="8"/>
      <c r="E187" s="10"/>
      <c r="F187" s="10"/>
      <c r="G187" s="10"/>
      <c r="H187" s="10"/>
      <c r="I187" s="10"/>
      <c r="J187" s="10"/>
      <c r="K187" s="10"/>
      <c r="L187" s="10"/>
      <c r="M187" s="11"/>
      <c r="BI187" s="12"/>
    </row>
    <row r="188" spans="1:61" ht="18.399999999999999" customHeight="1" x14ac:dyDescent="0.3">
      <c r="A188" s="8"/>
      <c r="B188" s="8"/>
      <c r="C188" s="8"/>
      <c r="D188" s="8"/>
      <c r="E188" s="10"/>
      <c r="F188" s="10"/>
      <c r="G188" s="10"/>
      <c r="H188" s="10"/>
      <c r="I188" s="10"/>
      <c r="J188" s="10"/>
      <c r="K188" s="10"/>
      <c r="L188" s="10"/>
      <c r="M188" s="11"/>
      <c r="BI188" s="12"/>
    </row>
    <row r="189" spans="1:61" ht="18.399999999999999" customHeight="1" x14ac:dyDescent="0.3">
      <c r="A189" s="8"/>
      <c r="B189" s="8"/>
      <c r="C189" s="8"/>
      <c r="D189" s="8"/>
      <c r="E189" s="10"/>
      <c r="F189" s="10"/>
      <c r="G189" s="10"/>
      <c r="H189" s="10"/>
      <c r="I189" s="10"/>
      <c r="J189" s="10"/>
      <c r="K189" s="10"/>
      <c r="L189" s="10"/>
      <c r="M189" s="11"/>
      <c r="BI189" s="12"/>
    </row>
    <row r="190" spans="1:61" ht="18.399999999999999" customHeight="1" x14ac:dyDescent="0.3">
      <c r="A190" s="8"/>
      <c r="B190" s="8"/>
      <c r="C190" s="8"/>
      <c r="D190" s="8"/>
      <c r="E190" s="10"/>
      <c r="F190" s="10"/>
      <c r="G190" s="10"/>
      <c r="H190" s="10"/>
      <c r="I190" s="10"/>
      <c r="J190" s="10"/>
      <c r="K190" s="10"/>
      <c r="L190" s="10"/>
      <c r="M190" s="11"/>
      <c r="BI190" s="12"/>
    </row>
    <row r="191" spans="1:61" ht="18.399999999999999" customHeight="1" x14ac:dyDescent="0.3">
      <c r="A191" s="8"/>
      <c r="B191" s="8"/>
      <c r="C191" s="8"/>
      <c r="D191" s="8"/>
      <c r="E191" s="10"/>
      <c r="F191" s="10"/>
      <c r="G191" s="10"/>
      <c r="H191" s="10"/>
      <c r="I191" s="10"/>
      <c r="J191" s="10"/>
      <c r="K191" s="10"/>
      <c r="L191" s="10"/>
      <c r="M191" s="11"/>
      <c r="BI191" s="12"/>
    </row>
    <row r="192" spans="1:61" ht="18.399999999999999" customHeight="1" x14ac:dyDescent="0.3">
      <c r="A192" s="8"/>
      <c r="B192" s="8"/>
      <c r="C192" s="8"/>
      <c r="D192" s="8"/>
      <c r="E192" s="10"/>
      <c r="F192" s="10"/>
      <c r="G192" s="10"/>
      <c r="H192" s="10"/>
      <c r="I192" s="10"/>
      <c r="J192" s="10"/>
      <c r="K192" s="10"/>
      <c r="L192" s="10"/>
      <c r="M192" s="11"/>
      <c r="BI192" s="12"/>
    </row>
    <row r="193" spans="1:61" ht="18.399999999999999" customHeight="1" x14ac:dyDescent="0.3">
      <c r="A193" s="8"/>
      <c r="B193" s="8"/>
      <c r="C193" s="8"/>
      <c r="D193" s="8"/>
      <c r="E193" s="10"/>
      <c r="F193" s="10"/>
      <c r="G193" s="10"/>
      <c r="H193" s="10"/>
      <c r="I193" s="10"/>
      <c r="J193" s="10"/>
      <c r="K193" s="10"/>
      <c r="L193" s="10"/>
      <c r="M193" s="11"/>
      <c r="BI193" s="12"/>
    </row>
    <row r="194" spans="1:61" ht="18.399999999999999" customHeight="1" x14ac:dyDescent="0.3">
      <c r="A194" s="8"/>
      <c r="B194" s="8"/>
      <c r="C194" s="8"/>
      <c r="D194" s="8"/>
      <c r="E194" s="10"/>
      <c r="F194" s="10"/>
      <c r="G194" s="10"/>
      <c r="H194" s="10"/>
      <c r="I194" s="10"/>
      <c r="J194" s="10"/>
      <c r="K194" s="10"/>
      <c r="L194" s="10"/>
      <c r="M194" s="11"/>
      <c r="BI194" s="12"/>
    </row>
    <row r="195" spans="1:61" ht="18.399999999999999" customHeight="1" x14ac:dyDescent="0.3">
      <c r="A195" s="8"/>
      <c r="B195" s="8"/>
      <c r="C195" s="8"/>
      <c r="D195" s="8"/>
      <c r="E195" s="10"/>
      <c r="F195" s="10"/>
      <c r="G195" s="10"/>
      <c r="H195" s="10"/>
      <c r="I195" s="10"/>
      <c r="J195" s="10"/>
      <c r="K195" s="10"/>
      <c r="L195" s="10"/>
      <c r="M195" s="11"/>
      <c r="BI195" s="12"/>
    </row>
    <row r="196" spans="1:61" ht="18.399999999999999" customHeight="1" x14ac:dyDescent="0.3">
      <c r="A196" s="8" t="s">
        <v>282</v>
      </c>
      <c r="B196" s="8" t="s">
        <v>52</v>
      </c>
      <c r="C196" s="8">
        <v>1</v>
      </c>
      <c r="D196" s="8" t="s">
        <v>20</v>
      </c>
      <c r="E196" s="5"/>
      <c r="F196" s="10">
        <f>TRUNC(F197+F198+F199+F200+F201+F202+F203+F204+F205+F206,0)</f>
        <v>81468187</v>
      </c>
      <c r="G196" s="5"/>
      <c r="H196" s="10">
        <f>TRUNC(H197+H198+H199+H200+H201+H202+H203+H204+H205+H206,0)</f>
        <v>0</v>
      </c>
      <c r="I196" s="5"/>
      <c r="J196" s="10">
        <f>TRUNC(J197+J198+J199+J200+J201+J202+J203+J204+J205+J206,0)</f>
        <v>440813</v>
      </c>
      <c r="K196" s="5"/>
      <c r="L196" s="10">
        <f t="shared" ref="L196:L206" si="23">F196+H196+J196</f>
        <v>81909000</v>
      </c>
      <c r="M196" s="11" t="s">
        <v>6</v>
      </c>
      <c r="N196" s="1" t="s">
        <v>6</v>
      </c>
      <c r="O196" s="1" t="s">
        <v>54</v>
      </c>
    </row>
    <row r="197" spans="1:61" ht="18.399999999999999" customHeight="1" x14ac:dyDescent="0.3">
      <c r="A197" s="8" t="s">
        <v>283</v>
      </c>
      <c r="B197" s="8" t="s">
        <v>284</v>
      </c>
      <c r="C197" s="8">
        <v>1053</v>
      </c>
      <c r="D197" s="8" t="s">
        <v>285</v>
      </c>
      <c r="E197" s="10">
        <f>[1]자재조서!E4</f>
        <v>1008.45</v>
      </c>
      <c r="F197" s="10">
        <f t="shared" ref="F197:F205" si="24">TRUNC(E197*C197,0)</f>
        <v>1061897</v>
      </c>
      <c r="G197" s="10">
        <v>0</v>
      </c>
      <c r="H197" s="10"/>
      <c r="I197" s="10">
        <v>0</v>
      </c>
      <c r="J197" s="10"/>
      <c r="K197" s="10">
        <f t="shared" ref="K197:K206" si="25">E197+G197+I197</f>
        <v>1008.45</v>
      </c>
      <c r="L197" s="10">
        <f t="shared" si="23"/>
        <v>1061897</v>
      </c>
      <c r="M197" s="11" t="s">
        <v>286</v>
      </c>
      <c r="N197" s="1" t="s">
        <v>287</v>
      </c>
      <c r="P197" s="1" t="s">
        <v>23</v>
      </c>
      <c r="Q197" s="1" t="s">
        <v>6</v>
      </c>
      <c r="R197" s="1" t="s">
        <v>286</v>
      </c>
      <c r="BI197" s="12" t="str">
        <f>HYPERLINK("#자재조서!A4","M0012006 →")</f>
        <v>M0012006 →</v>
      </c>
    </row>
    <row r="198" spans="1:61" ht="18.399999999999999" customHeight="1" x14ac:dyDescent="0.3">
      <c r="A198" s="8" t="s">
        <v>288</v>
      </c>
      <c r="B198" s="8" t="s">
        <v>289</v>
      </c>
      <c r="C198" s="8">
        <v>103</v>
      </c>
      <c r="D198" s="8" t="s">
        <v>290</v>
      </c>
      <c r="E198" s="10">
        <f>[1]자재조서!E12</f>
        <v>77800</v>
      </c>
      <c r="F198" s="10">
        <f t="shared" si="24"/>
        <v>8013400</v>
      </c>
      <c r="G198" s="10">
        <v>0</v>
      </c>
      <c r="H198" s="10"/>
      <c r="I198" s="10">
        <v>0</v>
      </c>
      <c r="J198" s="10"/>
      <c r="K198" s="10">
        <f t="shared" si="25"/>
        <v>77800</v>
      </c>
      <c r="L198" s="10">
        <f t="shared" si="23"/>
        <v>8013400</v>
      </c>
      <c r="M198" s="11" t="s">
        <v>291</v>
      </c>
      <c r="N198" s="1" t="s">
        <v>6</v>
      </c>
      <c r="P198" s="1" t="s">
        <v>26</v>
      </c>
      <c r="Q198" s="1" t="s">
        <v>6</v>
      </c>
      <c r="R198" s="1" t="s">
        <v>291</v>
      </c>
      <c r="BI198" s="12" t="str">
        <f>HYPERLINK("#자재조서!A12","M0765027 →")</f>
        <v>M0765027 →</v>
      </c>
    </row>
    <row r="199" spans="1:61" ht="18.399999999999999" customHeight="1" x14ac:dyDescent="0.3">
      <c r="A199" s="8" t="s">
        <v>288</v>
      </c>
      <c r="B199" s="8" t="s">
        <v>292</v>
      </c>
      <c r="C199" s="8">
        <v>23</v>
      </c>
      <c r="D199" s="8" t="s">
        <v>290</v>
      </c>
      <c r="E199" s="10">
        <f>[1]자재조서!E13</f>
        <v>81340</v>
      </c>
      <c r="F199" s="10">
        <f t="shared" si="24"/>
        <v>1870820</v>
      </c>
      <c r="G199" s="10">
        <v>0</v>
      </c>
      <c r="H199" s="10"/>
      <c r="I199" s="10">
        <v>0</v>
      </c>
      <c r="J199" s="10"/>
      <c r="K199" s="10">
        <f t="shared" si="25"/>
        <v>81340</v>
      </c>
      <c r="L199" s="10">
        <f t="shared" si="23"/>
        <v>1870820</v>
      </c>
      <c r="M199" s="11" t="s">
        <v>293</v>
      </c>
      <c r="N199" s="1" t="s">
        <v>6</v>
      </c>
      <c r="P199" s="1" t="s">
        <v>40</v>
      </c>
      <c r="Q199" s="1" t="s">
        <v>6</v>
      </c>
      <c r="R199" s="1" t="s">
        <v>293</v>
      </c>
      <c r="BI199" s="12" t="str">
        <f>HYPERLINK("#자재조서!A13","M0765048 →")</f>
        <v>M0765048 →</v>
      </c>
    </row>
    <row r="200" spans="1:61" ht="18.399999999999999" customHeight="1" x14ac:dyDescent="0.3">
      <c r="A200" s="8" t="s">
        <v>294</v>
      </c>
      <c r="B200" s="8" t="s">
        <v>295</v>
      </c>
      <c r="C200" s="8">
        <v>13354</v>
      </c>
      <c r="D200" s="8" t="s">
        <v>285</v>
      </c>
      <c r="E200" s="10">
        <f>[1]자재조서!E9</f>
        <v>133.25</v>
      </c>
      <c r="F200" s="10">
        <f t="shared" si="24"/>
        <v>1779420</v>
      </c>
      <c r="G200" s="10">
        <v>0</v>
      </c>
      <c r="H200" s="10"/>
      <c r="I200" s="10">
        <v>0</v>
      </c>
      <c r="J200" s="10"/>
      <c r="K200" s="10">
        <f t="shared" si="25"/>
        <v>133.25</v>
      </c>
      <c r="L200" s="10">
        <f t="shared" si="23"/>
        <v>1779420</v>
      </c>
      <c r="M200" s="11" t="s">
        <v>296</v>
      </c>
      <c r="N200" s="1" t="s">
        <v>6</v>
      </c>
      <c r="P200" s="1" t="s">
        <v>297</v>
      </c>
      <c r="Q200" s="1" t="s">
        <v>6</v>
      </c>
      <c r="R200" s="1" t="s">
        <v>296</v>
      </c>
      <c r="BI200" s="12" t="str">
        <f>HYPERLINK("#자재조서!A9","M0747044 →")</f>
        <v>M0747044 →</v>
      </c>
    </row>
    <row r="201" spans="1:61" ht="18.399999999999999" customHeight="1" x14ac:dyDescent="0.3">
      <c r="A201" s="8" t="s">
        <v>298</v>
      </c>
      <c r="B201" s="8" t="s">
        <v>210</v>
      </c>
      <c r="C201" s="8">
        <v>2782</v>
      </c>
      <c r="D201" s="8" t="s">
        <v>127</v>
      </c>
      <c r="E201" s="10">
        <f>[1]자재조서!E50</f>
        <v>14300</v>
      </c>
      <c r="F201" s="10">
        <f t="shared" si="24"/>
        <v>39782600</v>
      </c>
      <c r="G201" s="10">
        <v>0</v>
      </c>
      <c r="H201" s="10"/>
      <c r="I201" s="10">
        <v>0</v>
      </c>
      <c r="J201" s="10"/>
      <c r="K201" s="10">
        <f t="shared" si="25"/>
        <v>14300</v>
      </c>
      <c r="L201" s="10">
        <f t="shared" si="23"/>
        <v>39782600</v>
      </c>
      <c r="M201" s="11" t="s">
        <v>299</v>
      </c>
      <c r="N201" s="1" t="s">
        <v>6</v>
      </c>
      <c r="P201" s="1" t="s">
        <v>43</v>
      </c>
      <c r="Q201" s="1" t="s">
        <v>6</v>
      </c>
      <c r="R201" s="1" t="s">
        <v>299</v>
      </c>
      <c r="BI201" s="12" t="str">
        <f>HYPERLINK("#자재조서!A50","MPV-IJ-60 →")</f>
        <v>MPV-IJ-60 →</v>
      </c>
    </row>
    <row r="202" spans="1:61" ht="18.399999999999999" customHeight="1" x14ac:dyDescent="0.3">
      <c r="A202" s="8" t="s">
        <v>298</v>
      </c>
      <c r="B202" s="8" t="s">
        <v>217</v>
      </c>
      <c r="C202" s="8">
        <v>386</v>
      </c>
      <c r="D202" s="8" t="s">
        <v>127</v>
      </c>
      <c r="E202" s="10">
        <f>[1]자재조서!E51</f>
        <v>14300</v>
      </c>
      <c r="F202" s="10">
        <f t="shared" si="24"/>
        <v>5519800</v>
      </c>
      <c r="G202" s="10">
        <v>0</v>
      </c>
      <c r="H202" s="10"/>
      <c r="I202" s="10">
        <v>0</v>
      </c>
      <c r="J202" s="10"/>
      <c r="K202" s="10">
        <f t="shared" si="25"/>
        <v>14300</v>
      </c>
      <c r="L202" s="10">
        <f t="shared" si="23"/>
        <v>5519800</v>
      </c>
      <c r="M202" s="11" t="s">
        <v>300</v>
      </c>
      <c r="N202" s="1" t="s">
        <v>6</v>
      </c>
      <c r="P202" s="1" t="s">
        <v>301</v>
      </c>
      <c r="Q202" s="1" t="s">
        <v>6</v>
      </c>
      <c r="R202" s="1" t="s">
        <v>300</v>
      </c>
      <c r="BI202" s="12" t="str">
        <f>HYPERLINK("#자재조서!A51","MPV-IJB-60 →")</f>
        <v>MPV-IJB-60 →</v>
      </c>
    </row>
    <row r="203" spans="1:61" ht="18.399999999999999" customHeight="1" x14ac:dyDescent="0.3">
      <c r="A203" s="8" t="s">
        <v>302</v>
      </c>
      <c r="B203" s="8" t="s">
        <v>303</v>
      </c>
      <c r="C203" s="8">
        <v>76</v>
      </c>
      <c r="D203" s="8" t="s">
        <v>127</v>
      </c>
      <c r="E203" s="10">
        <f>[1]자재조서!E30</f>
        <v>110000</v>
      </c>
      <c r="F203" s="10">
        <f t="shared" si="24"/>
        <v>8360000</v>
      </c>
      <c r="G203" s="10">
        <v>0</v>
      </c>
      <c r="H203" s="10"/>
      <c r="I203" s="10">
        <v>0</v>
      </c>
      <c r="J203" s="10"/>
      <c r="K203" s="10">
        <f t="shared" si="25"/>
        <v>110000</v>
      </c>
      <c r="L203" s="10">
        <f t="shared" si="23"/>
        <v>8360000</v>
      </c>
      <c r="M203" s="11" t="s">
        <v>304</v>
      </c>
      <c r="N203" s="1" t="s">
        <v>6</v>
      </c>
      <c r="P203" s="1" t="s">
        <v>46</v>
      </c>
      <c r="Q203" s="1" t="s">
        <v>6</v>
      </c>
      <c r="R203" s="1" t="s">
        <v>304</v>
      </c>
      <c r="BI203" s="12" t="str">
        <f>HYPERLINK("#자재조서!A30","MA-PW-PSBM50 →")</f>
        <v>MA-PW-PSBM50 →</v>
      </c>
    </row>
    <row r="204" spans="1:61" ht="18.399999999999999" customHeight="1" x14ac:dyDescent="0.3">
      <c r="A204" s="8" t="s">
        <v>302</v>
      </c>
      <c r="B204" s="8" t="s">
        <v>305</v>
      </c>
      <c r="C204" s="8">
        <v>5</v>
      </c>
      <c r="D204" s="8" t="s">
        <v>127</v>
      </c>
      <c r="E204" s="10">
        <f>[1]자재조서!E32</f>
        <v>46050</v>
      </c>
      <c r="F204" s="10">
        <f t="shared" si="24"/>
        <v>230250</v>
      </c>
      <c r="G204" s="10">
        <v>0</v>
      </c>
      <c r="H204" s="10"/>
      <c r="I204" s="10">
        <v>0</v>
      </c>
      <c r="J204" s="10"/>
      <c r="K204" s="10">
        <f t="shared" si="25"/>
        <v>46050</v>
      </c>
      <c r="L204" s="10">
        <f t="shared" si="23"/>
        <v>230250</v>
      </c>
      <c r="M204" s="11" t="s">
        <v>306</v>
      </c>
      <c r="N204" s="1" t="s">
        <v>6</v>
      </c>
      <c r="P204" s="1" t="s">
        <v>48</v>
      </c>
      <c r="Q204" s="1" t="s">
        <v>6</v>
      </c>
      <c r="R204" s="1" t="s">
        <v>306</v>
      </c>
      <c r="BI204" s="12" t="str">
        <f>HYPERLINK("#자재조서!A32","MA-PW-PSGB50 →")</f>
        <v>MA-PW-PSGB50 →</v>
      </c>
    </row>
    <row r="205" spans="1:61" ht="18.399999999999999" customHeight="1" x14ac:dyDescent="0.3">
      <c r="A205" s="8" t="s">
        <v>302</v>
      </c>
      <c r="B205" s="8" t="s">
        <v>307</v>
      </c>
      <c r="C205" s="8">
        <v>495</v>
      </c>
      <c r="D205" s="8" t="s">
        <v>127</v>
      </c>
      <c r="E205" s="10">
        <f>[1]자재조서!E31</f>
        <v>30000</v>
      </c>
      <c r="F205" s="10">
        <f t="shared" si="24"/>
        <v>14850000</v>
      </c>
      <c r="G205" s="10">
        <v>0</v>
      </c>
      <c r="H205" s="10"/>
      <c r="I205" s="10">
        <v>0</v>
      </c>
      <c r="J205" s="10"/>
      <c r="K205" s="10">
        <f t="shared" si="25"/>
        <v>30000</v>
      </c>
      <c r="L205" s="10">
        <f t="shared" si="23"/>
        <v>14850000</v>
      </c>
      <c r="M205" s="11" t="s">
        <v>308</v>
      </c>
      <c r="N205" s="1" t="s">
        <v>6</v>
      </c>
      <c r="P205" s="1" t="s">
        <v>50</v>
      </c>
      <c r="Q205" s="1" t="s">
        <v>6</v>
      </c>
      <c r="R205" s="1" t="s">
        <v>308</v>
      </c>
      <c r="AA205" s="13" t="s">
        <v>309</v>
      </c>
      <c r="AB205" s="14">
        <f>([1]내역서!F197+[1]내역서!F198+[1]내역서!F199+[1]내역서!F200+[1]내역서!F201+[1]내역서!F202+[1]내역서!F203+[1]내역서!F204+[1]내역서!F205)*0.54/100+917</f>
        <v>440845.20980000007</v>
      </c>
      <c r="AC205" s="13" t="s">
        <v>310</v>
      </c>
      <c r="AD205" s="15">
        <f>$AB205</f>
        <v>440845.20980000007</v>
      </c>
      <c r="BI205" s="12" t="str">
        <f>HYPERLINK("#자재조서!A31","MA-PW-PSGB30 →")</f>
        <v>MA-PW-PSGB30 →</v>
      </c>
    </row>
    <row r="206" spans="1:61" ht="18.399999999999999" customHeight="1" x14ac:dyDescent="0.3">
      <c r="A206" s="8" t="s">
        <v>311</v>
      </c>
      <c r="B206" s="8" t="s">
        <v>312</v>
      </c>
      <c r="C206" s="8">
        <v>1</v>
      </c>
      <c r="D206" s="8" t="s">
        <v>20</v>
      </c>
      <c r="E206" s="5"/>
      <c r="F206" s="10">
        <v>0</v>
      </c>
      <c r="G206" s="5"/>
      <c r="H206" s="10">
        <v>0</v>
      </c>
      <c r="I206" s="5"/>
      <c r="J206" s="10">
        <f>TRUNC(((F197+F198+F199+F200+F201+F202+F203+F204+F205)*0.54/100+885),0)</f>
        <v>440813</v>
      </c>
      <c r="K206" s="10">
        <f t="shared" si="25"/>
        <v>0</v>
      </c>
      <c r="L206" s="10">
        <f t="shared" si="23"/>
        <v>440813</v>
      </c>
      <c r="M206" s="11" t="s">
        <v>6</v>
      </c>
      <c r="N206" s="1" t="s">
        <v>6</v>
      </c>
      <c r="P206" s="1" t="s">
        <v>56</v>
      </c>
      <c r="Q206" s="1" t="s">
        <v>27</v>
      </c>
      <c r="R206" s="1" t="s">
        <v>251</v>
      </c>
      <c r="X206" s="1" t="s">
        <v>313</v>
      </c>
    </row>
    <row r="207" spans="1:61" ht="18.399999999999999" customHeight="1" x14ac:dyDescent="0.3">
      <c r="A207" s="8"/>
      <c r="B207" s="8"/>
      <c r="C207" s="8"/>
      <c r="D207" s="8"/>
      <c r="E207" s="5"/>
      <c r="F207" s="10"/>
      <c r="G207" s="5"/>
      <c r="H207" s="10"/>
      <c r="I207" s="5"/>
      <c r="J207" s="10"/>
      <c r="K207" s="10"/>
      <c r="L207" s="10"/>
      <c r="M207" s="11"/>
    </row>
    <row r="208" spans="1:61" ht="18.399999999999999" customHeight="1" x14ac:dyDescent="0.3">
      <c r="A208" s="8"/>
      <c r="B208" s="8"/>
      <c r="C208" s="8"/>
      <c r="D208" s="8"/>
      <c r="E208" s="5"/>
      <c r="F208" s="10"/>
      <c r="G208" s="5"/>
      <c r="H208" s="10"/>
      <c r="I208" s="5"/>
      <c r="J208" s="10"/>
      <c r="K208" s="10"/>
      <c r="L208" s="10"/>
      <c r="M208" s="11"/>
    </row>
    <row r="209" spans="1:61" ht="18.399999999999999" customHeight="1" x14ac:dyDescent="0.3">
      <c r="A209" s="8"/>
      <c r="B209" s="8"/>
      <c r="C209" s="8"/>
      <c r="D209" s="8"/>
      <c r="E209" s="5"/>
      <c r="F209" s="10"/>
      <c r="G209" s="5"/>
      <c r="H209" s="10"/>
      <c r="I209" s="5"/>
      <c r="J209" s="10"/>
      <c r="K209" s="10"/>
      <c r="L209" s="10"/>
      <c r="M209" s="11"/>
    </row>
    <row r="210" spans="1:61" ht="18.399999999999999" customHeight="1" x14ac:dyDescent="0.3">
      <c r="A210" s="8"/>
      <c r="B210" s="8"/>
      <c r="C210" s="8"/>
      <c r="D210" s="8"/>
      <c r="E210" s="5"/>
      <c r="F210" s="10"/>
      <c r="G210" s="5"/>
      <c r="H210" s="10"/>
      <c r="I210" s="5"/>
      <c r="J210" s="10"/>
      <c r="K210" s="10"/>
      <c r="L210" s="10"/>
      <c r="M210" s="11"/>
    </row>
    <row r="211" spans="1:61" ht="18.399999999999999" customHeight="1" x14ac:dyDescent="0.3">
      <c r="A211" s="8"/>
      <c r="B211" s="8"/>
      <c r="C211" s="8"/>
      <c r="D211" s="8"/>
      <c r="E211" s="5"/>
      <c r="F211" s="10"/>
      <c r="G211" s="5"/>
      <c r="H211" s="10"/>
      <c r="I211" s="5"/>
      <c r="J211" s="10"/>
      <c r="K211" s="10"/>
      <c r="L211" s="10"/>
      <c r="M211" s="11"/>
    </row>
    <row r="212" spans="1:61" ht="18.399999999999999" customHeight="1" x14ac:dyDescent="0.3">
      <c r="A212" s="8"/>
      <c r="B212" s="8"/>
      <c r="C212" s="8"/>
      <c r="D212" s="8"/>
      <c r="E212" s="5"/>
      <c r="F212" s="10"/>
      <c r="G212" s="5"/>
      <c r="H212" s="10"/>
      <c r="I212" s="5"/>
      <c r="J212" s="10"/>
      <c r="K212" s="10"/>
      <c r="L212" s="10"/>
      <c r="M212" s="11"/>
    </row>
    <row r="213" spans="1:61" ht="18.399999999999999" customHeight="1" x14ac:dyDescent="0.3">
      <c r="A213" s="8"/>
      <c r="B213" s="8"/>
      <c r="C213" s="8"/>
      <c r="D213" s="8"/>
      <c r="E213" s="5"/>
      <c r="F213" s="10"/>
      <c r="G213" s="5"/>
      <c r="H213" s="10"/>
      <c r="I213" s="5"/>
      <c r="J213" s="10"/>
      <c r="K213" s="10"/>
      <c r="L213" s="10"/>
      <c r="M213" s="11"/>
    </row>
    <row r="214" spans="1:61" ht="18.399999999999999" customHeight="1" x14ac:dyDescent="0.3">
      <c r="A214" s="8"/>
      <c r="B214" s="8"/>
      <c r="C214" s="8"/>
      <c r="D214" s="8"/>
      <c r="E214" s="5"/>
      <c r="F214" s="10"/>
      <c r="G214" s="5"/>
      <c r="H214" s="10"/>
      <c r="I214" s="5"/>
      <c r="J214" s="10"/>
      <c r="K214" s="10"/>
      <c r="L214" s="10"/>
      <c r="M214" s="11"/>
    </row>
    <row r="215" spans="1:61" ht="18.399999999999999" customHeight="1" x14ac:dyDescent="0.3">
      <c r="A215" s="8"/>
      <c r="B215" s="8"/>
      <c r="C215" s="8"/>
      <c r="D215" s="8"/>
      <c r="E215" s="5"/>
      <c r="F215" s="10"/>
      <c r="G215" s="5"/>
      <c r="H215" s="10"/>
      <c r="I215" s="5"/>
      <c r="J215" s="10"/>
      <c r="K215" s="10"/>
      <c r="L215" s="10"/>
      <c r="M215" s="11"/>
    </row>
    <row r="216" spans="1:61" ht="18.399999999999999" customHeight="1" x14ac:dyDescent="0.3">
      <c r="A216" s="8"/>
      <c r="B216" s="8"/>
      <c r="C216" s="8"/>
      <c r="D216" s="8"/>
      <c r="E216" s="5"/>
      <c r="F216" s="10"/>
      <c r="G216" s="5"/>
      <c r="H216" s="10"/>
      <c r="I216" s="5"/>
      <c r="J216" s="10"/>
      <c r="K216" s="10"/>
      <c r="L216" s="10"/>
      <c r="M216" s="11"/>
    </row>
    <row r="217" spans="1:61" ht="18.399999999999999" customHeight="1" x14ac:dyDescent="0.3">
      <c r="A217" s="8"/>
      <c r="B217" s="8"/>
      <c r="C217" s="8"/>
      <c r="D217" s="8"/>
      <c r="E217" s="5"/>
      <c r="F217" s="10"/>
      <c r="G217" s="5"/>
      <c r="H217" s="10"/>
      <c r="I217" s="5"/>
      <c r="J217" s="10"/>
      <c r="K217" s="10"/>
      <c r="L217" s="10"/>
      <c r="M217" s="11"/>
    </row>
    <row r="218" spans="1:61" ht="18.399999999999999" customHeight="1" x14ac:dyDescent="0.3">
      <c r="A218" s="8"/>
      <c r="B218" s="8"/>
      <c r="C218" s="8"/>
      <c r="D218" s="8"/>
      <c r="E218" s="5"/>
      <c r="F218" s="10"/>
      <c r="G218" s="5"/>
      <c r="H218" s="10"/>
      <c r="I218" s="5"/>
      <c r="J218" s="10"/>
      <c r="K218" s="10"/>
      <c r="L218" s="10"/>
      <c r="M218" s="11"/>
    </row>
    <row r="219" spans="1:61" ht="18.399999999999999" customHeight="1" x14ac:dyDescent="0.3">
      <c r="A219" s="8"/>
      <c r="B219" s="8"/>
      <c r="C219" s="8"/>
      <c r="D219" s="8"/>
      <c r="E219" s="5"/>
      <c r="F219" s="10"/>
      <c r="G219" s="5"/>
      <c r="H219" s="10"/>
      <c r="I219" s="5"/>
      <c r="J219" s="10"/>
      <c r="K219" s="10"/>
      <c r="L219" s="10"/>
      <c r="M219" s="11"/>
    </row>
    <row r="220" spans="1:61" ht="18.399999999999999" customHeight="1" x14ac:dyDescent="0.3">
      <c r="A220" s="8" t="s">
        <v>314</v>
      </c>
      <c r="B220" s="8" t="s">
        <v>59</v>
      </c>
      <c r="C220" s="8">
        <v>1</v>
      </c>
      <c r="D220" s="8" t="s">
        <v>20</v>
      </c>
      <c r="E220" s="5"/>
      <c r="F220" s="10">
        <f>TRUNC(F221+F222,0)</f>
        <v>32304436</v>
      </c>
      <c r="G220" s="5"/>
      <c r="H220" s="10">
        <f>TRUNC(H221+H222,0)</f>
        <v>150295114</v>
      </c>
      <c r="I220" s="5"/>
      <c r="J220" s="10">
        <f>TRUNC(J221+J222,0)</f>
        <v>12560067</v>
      </c>
      <c r="K220" s="5"/>
      <c r="L220" s="10">
        <f t="shared" ref="L220:L232" si="26">F220+H220+J220</f>
        <v>195159617</v>
      </c>
      <c r="M220" s="11" t="s">
        <v>6</v>
      </c>
      <c r="N220" s="1" t="s">
        <v>6</v>
      </c>
      <c r="O220" s="1" t="s">
        <v>60</v>
      </c>
    </row>
    <row r="221" spans="1:61" ht="18.399999999999999" customHeight="1" x14ac:dyDescent="0.3">
      <c r="A221" s="8" t="s">
        <v>67</v>
      </c>
      <c r="B221" s="8" t="s">
        <v>315</v>
      </c>
      <c r="C221" s="8">
        <v>1</v>
      </c>
      <c r="D221" s="8" t="s">
        <v>20</v>
      </c>
      <c r="E221" s="10">
        <f>F225</f>
        <v>18579834</v>
      </c>
      <c r="F221" s="10">
        <f>TRUNC(E221*C221,0)</f>
        <v>18579834</v>
      </c>
      <c r="G221" s="10">
        <f>H225</f>
        <v>128403171</v>
      </c>
      <c r="H221" s="10">
        <f>TRUNC(G221*C221,0)</f>
        <v>128403171</v>
      </c>
      <c r="I221" s="10">
        <f>J225</f>
        <v>12560067</v>
      </c>
      <c r="J221" s="10">
        <f>TRUNC(I221*C221,0)</f>
        <v>12560067</v>
      </c>
      <c r="K221" s="10">
        <f>E221+G221+I221</f>
        <v>159543072</v>
      </c>
      <c r="L221" s="10">
        <f t="shared" si="26"/>
        <v>159543072</v>
      </c>
      <c r="M221" s="11" t="s">
        <v>6</v>
      </c>
      <c r="N221" s="1" t="s">
        <v>6</v>
      </c>
      <c r="P221" s="1" t="s">
        <v>23</v>
      </c>
      <c r="Q221" s="1" t="s">
        <v>6</v>
      </c>
      <c r="R221" s="1" t="s">
        <v>316</v>
      </c>
      <c r="BI221" s="12" t="str">
        <f>HYPERLINK("#내역서!A115","C0110 →")</f>
        <v>C0110 →</v>
      </c>
    </row>
    <row r="222" spans="1:61" ht="18.399999999999999" customHeight="1" x14ac:dyDescent="0.3">
      <c r="A222" s="8" t="s">
        <v>70</v>
      </c>
      <c r="B222" s="8" t="s">
        <v>71</v>
      </c>
      <c r="C222" s="8">
        <v>1</v>
      </c>
      <c r="D222" s="8" t="s">
        <v>20</v>
      </c>
      <c r="E222" s="10">
        <f>F228</f>
        <v>13724602</v>
      </c>
      <c r="F222" s="10">
        <f>TRUNC(E222*C222,0)</f>
        <v>13724602</v>
      </c>
      <c r="G222" s="10">
        <f>H228</f>
        <v>21891943</v>
      </c>
      <c r="H222" s="10">
        <f>TRUNC(G222*C222,0)</f>
        <v>21891943</v>
      </c>
      <c r="I222" s="10">
        <f>J228</f>
        <v>0</v>
      </c>
      <c r="J222" s="10">
        <f>TRUNC(I222*C222,0)</f>
        <v>0</v>
      </c>
      <c r="K222" s="10">
        <f>E222+G222+I222</f>
        <v>35616545</v>
      </c>
      <c r="L222" s="10">
        <f t="shared" si="26"/>
        <v>35616545</v>
      </c>
      <c r="M222" s="11" t="s">
        <v>6</v>
      </c>
      <c r="N222" s="1" t="s">
        <v>6</v>
      </c>
      <c r="P222" s="1" t="s">
        <v>26</v>
      </c>
      <c r="Q222" s="1" t="s">
        <v>6</v>
      </c>
      <c r="R222" s="1" t="s">
        <v>317</v>
      </c>
      <c r="BI222" s="12" t="str">
        <f>HYPERLINK("#내역서!A118","C0120 →")</f>
        <v>C0120 →</v>
      </c>
    </row>
    <row r="223" spans="1:61" ht="18.399999999999999" customHeight="1" x14ac:dyDescent="0.3">
      <c r="A223" s="8" t="s">
        <v>30</v>
      </c>
      <c r="B223" s="8" t="s">
        <v>6</v>
      </c>
      <c r="C223" s="8"/>
      <c r="D223" s="8" t="s">
        <v>6</v>
      </c>
      <c r="E223" s="5"/>
      <c r="F223" s="10">
        <v>0</v>
      </c>
      <c r="G223" s="5"/>
      <c r="H223" s="10">
        <v>0</v>
      </c>
      <c r="I223" s="5"/>
      <c r="J223" s="10">
        <v>0</v>
      </c>
      <c r="K223" s="10">
        <f>E223+G223+I223</f>
        <v>0</v>
      </c>
      <c r="L223" s="10">
        <f t="shared" si="26"/>
        <v>0</v>
      </c>
      <c r="M223" s="11" t="s">
        <v>6</v>
      </c>
      <c r="N223" s="1" t="s">
        <v>6</v>
      </c>
      <c r="P223" s="1" t="s">
        <v>40</v>
      </c>
      <c r="Q223" s="1" t="s">
        <v>6</v>
      </c>
      <c r="R223" s="1" t="s">
        <v>6</v>
      </c>
    </row>
    <row r="224" spans="1:61" ht="18.399999999999999" customHeight="1" x14ac:dyDescent="0.3">
      <c r="A224" s="8" t="s">
        <v>30</v>
      </c>
      <c r="B224" s="8" t="s">
        <v>6</v>
      </c>
      <c r="C224" s="8"/>
      <c r="D224" s="8" t="s">
        <v>6</v>
      </c>
      <c r="E224" s="5"/>
      <c r="F224" s="10">
        <v>0</v>
      </c>
      <c r="G224" s="5"/>
      <c r="H224" s="10">
        <v>0</v>
      </c>
      <c r="I224" s="5"/>
      <c r="J224" s="10">
        <v>0</v>
      </c>
      <c r="K224" s="10">
        <f>E224+G224+I224</f>
        <v>0</v>
      </c>
      <c r="L224" s="10">
        <f t="shared" si="26"/>
        <v>0</v>
      </c>
      <c r="M224" s="11" t="s">
        <v>6</v>
      </c>
      <c r="N224" s="1" t="s">
        <v>6</v>
      </c>
      <c r="P224" s="1" t="s">
        <v>43</v>
      </c>
      <c r="Q224" s="1" t="s">
        <v>6</v>
      </c>
      <c r="R224" s="1" t="s">
        <v>6</v>
      </c>
    </row>
    <row r="225" spans="1:61" ht="18.399999999999999" customHeight="1" x14ac:dyDescent="0.3">
      <c r="A225" s="8" t="s">
        <v>318</v>
      </c>
      <c r="B225" s="8" t="s">
        <v>315</v>
      </c>
      <c r="C225" s="8">
        <v>1</v>
      </c>
      <c r="D225" s="8" t="s">
        <v>20</v>
      </c>
      <c r="E225" s="5"/>
      <c r="F225" s="10">
        <f>TRUNC(F226,0)</f>
        <v>18579834</v>
      </c>
      <c r="G225" s="5"/>
      <c r="H225" s="10">
        <f>TRUNC(H226,0)</f>
        <v>128403171</v>
      </c>
      <c r="I225" s="5"/>
      <c r="J225" s="10">
        <f>TRUNC(J226,0)</f>
        <v>12560067</v>
      </c>
      <c r="K225" s="5"/>
      <c r="L225" s="10">
        <f t="shared" si="26"/>
        <v>159543072</v>
      </c>
      <c r="M225" s="11" t="s">
        <v>6</v>
      </c>
      <c r="N225" s="1" t="s">
        <v>6</v>
      </c>
      <c r="O225" s="1" t="s">
        <v>316</v>
      </c>
    </row>
    <row r="226" spans="1:61" ht="18.399999999999999" customHeight="1" x14ac:dyDescent="0.3">
      <c r="A226" s="8" t="s">
        <v>87</v>
      </c>
      <c r="B226" s="8" t="s">
        <v>319</v>
      </c>
      <c r="C226" s="8">
        <v>117</v>
      </c>
      <c r="D226" s="8" t="s">
        <v>76</v>
      </c>
      <c r="E226" s="10">
        <f>'[1]일위대가목록-호표'!E99</f>
        <v>158802</v>
      </c>
      <c r="F226" s="10">
        <f>TRUNC(E226*C226,0)</f>
        <v>18579834</v>
      </c>
      <c r="G226" s="10">
        <f>'[1]일위대가목록-호표'!F99</f>
        <v>1097463</v>
      </c>
      <c r="H226" s="10">
        <f>TRUNC(G226*C226,0)</f>
        <v>128403171</v>
      </c>
      <c r="I226" s="10">
        <f>'[1]일위대가목록-호표'!G99</f>
        <v>107351</v>
      </c>
      <c r="J226" s="10">
        <f>TRUNC(I226*C226,0)</f>
        <v>12560067</v>
      </c>
      <c r="K226" s="10">
        <f>E226+G226+I226</f>
        <v>1363616</v>
      </c>
      <c r="L226" s="10">
        <f t="shared" si="26"/>
        <v>159543072</v>
      </c>
      <c r="M226" s="11" t="s">
        <v>320</v>
      </c>
      <c r="N226" s="1" t="s">
        <v>6</v>
      </c>
      <c r="P226" s="1" t="s">
        <v>23</v>
      </c>
      <c r="Q226" s="1" t="s">
        <v>6</v>
      </c>
      <c r="R226" s="1" t="s">
        <v>321</v>
      </c>
      <c r="T226" s="1" t="s">
        <v>79</v>
      </c>
      <c r="BI226" s="12" t="str">
        <f>HYPERLINK("#일위대가목록!A102","TR-ESSM2-01 →")</f>
        <v>TR-ESSM2-01 →</v>
      </c>
    </row>
    <row r="227" spans="1:61" ht="18.399999999999999" customHeight="1" x14ac:dyDescent="0.3">
      <c r="A227" s="8" t="s">
        <v>30</v>
      </c>
      <c r="B227" s="8" t="s">
        <v>6</v>
      </c>
      <c r="C227" s="8"/>
      <c r="D227" s="8" t="s">
        <v>6</v>
      </c>
      <c r="E227" s="5"/>
      <c r="F227" s="10">
        <v>0</v>
      </c>
      <c r="G227" s="5"/>
      <c r="H227" s="10">
        <v>0</v>
      </c>
      <c r="I227" s="5"/>
      <c r="J227" s="10">
        <v>0</v>
      </c>
      <c r="K227" s="10">
        <f>E227+G227+I227</f>
        <v>0</v>
      </c>
      <c r="L227" s="10">
        <f t="shared" si="26"/>
        <v>0</v>
      </c>
      <c r="M227" s="11" t="s">
        <v>6</v>
      </c>
      <c r="N227" s="1" t="s">
        <v>6</v>
      </c>
      <c r="P227" s="1" t="s">
        <v>26</v>
      </c>
      <c r="Q227" s="1" t="s">
        <v>6</v>
      </c>
      <c r="R227" s="1" t="s">
        <v>6</v>
      </c>
    </row>
    <row r="228" spans="1:61" ht="18.399999999999999" customHeight="1" x14ac:dyDescent="0.3">
      <c r="A228" s="8" t="s">
        <v>322</v>
      </c>
      <c r="B228" s="8" t="s">
        <v>71</v>
      </c>
      <c r="C228" s="8">
        <v>1</v>
      </c>
      <c r="D228" s="8" t="s">
        <v>20</v>
      </c>
      <c r="E228" s="5"/>
      <c r="F228" s="10">
        <f>TRUNC(F229+F230+F231+F232,0)</f>
        <v>13724602</v>
      </c>
      <c r="G228" s="5"/>
      <c r="H228" s="10">
        <f>TRUNC(H229+H230+H231+H232,0)</f>
        <v>21891943</v>
      </c>
      <c r="I228" s="5"/>
      <c r="J228" s="10">
        <f>TRUNC(J229+J230+J231+J232,0)</f>
        <v>0</v>
      </c>
      <c r="K228" s="5"/>
      <c r="L228" s="10">
        <f t="shared" si="26"/>
        <v>35616545</v>
      </c>
      <c r="M228" s="11" t="s">
        <v>6</v>
      </c>
      <c r="N228" s="1" t="s">
        <v>6</v>
      </c>
      <c r="O228" s="1" t="s">
        <v>317</v>
      </c>
    </row>
    <row r="229" spans="1:61" ht="18.399999999999999" customHeight="1" x14ac:dyDescent="0.3">
      <c r="A229" s="8" t="s">
        <v>323</v>
      </c>
      <c r="B229" s="8" t="s">
        <v>324</v>
      </c>
      <c r="C229" s="8">
        <v>480</v>
      </c>
      <c r="D229" s="8" t="s">
        <v>76</v>
      </c>
      <c r="E229" s="10">
        <f>'[1]일위대가목록-호표'!E101</f>
        <v>4012</v>
      </c>
      <c r="F229" s="10">
        <f>TRUNC(E229*C229,0)</f>
        <v>1925760</v>
      </c>
      <c r="G229" s="10">
        <f>'[1]일위대가목록-호표'!F101</f>
        <v>2507</v>
      </c>
      <c r="H229" s="10">
        <f>TRUNC(G229*C229,0)</f>
        <v>1203360</v>
      </c>
      <c r="I229" s="10">
        <f>'[1]일위대가목록-호표'!G101</f>
        <v>0</v>
      </c>
      <c r="J229" s="10">
        <f>TRUNC(I229*C229,0)</f>
        <v>0</v>
      </c>
      <c r="K229" s="10">
        <f>E229+G229+I229</f>
        <v>6519</v>
      </c>
      <c r="L229" s="10">
        <f t="shared" si="26"/>
        <v>3129120</v>
      </c>
      <c r="M229" s="11" t="s">
        <v>325</v>
      </c>
      <c r="N229" s="1" t="s">
        <v>6</v>
      </c>
      <c r="P229" s="1" t="s">
        <v>23</v>
      </c>
      <c r="Q229" s="1" t="s">
        <v>6</v>
      </c>
      <c r="R229" s="1" t="s">
        <v>326</v>
      </c>
      <c r="T229" s="1" t="s">
        <v>79</v>
      </c>
      <c r="BI229" s="12" t="str">
        <f>HYPERLINK("#일위대가목록!A104","TU-HYM03 →")</f>
        <v>TU-HYM03 →</v>
      </c>
    </row>
    <row r="230" spans="1:61" ht="18.399999999999999" customHeight="1" x14ac:dyDescent="0.3">
      <c r="A230" s="8" t="s">
        <v>110</v>
      </c>
      <c r="B230" s="8" t="s">
        <v>98</v>
      </c>
      <c r="C230" s="8">
        <v>250</v>
      </c>
      <c r="D230" s="8" t="s">
        <v>76</v>
      </c>
      <c r="E230" s="10">
        <f>'[1]일위대가목록-호표'!E105</f>
        <v>3022</v>
      </c>
      <c r="F230" s="10">
        <f>TRUNC(E230*C230,0)</f>
        <v>755500</v>
      </c>
      <c r="G230" s="10">
        <f>'[1]일위대가목록-호표'!F105</f>
        <v>2507</v>
      </c>
      <c r="H230" s="10">
        <f>TRUNC(G230*C230,0)</f>
        <v>626750</v>
      </c>
      <c r="I230" s="10">
        <f>'[1]일위대가목록-호표'!G105</f>
        <v>0</v>
      </c>
      <c r="J230" s="10">
        <f>TRUNC(I230*C230,0)</f>
        <v>0</v>
      </c>
      <c r="K230" s="10">
        <f>E230+G230+I230</f>
        <v>5529</v>
      </c>
      <c r="L230" s="10">
        <f t="shared" si="26"/>
        <v>1382250</v>
      </c>
      <c r="M230" s="11" t="s">
        <v>111</v>
      </c>
      <c r="N230" s="1" t="s">
        <v>6</v>
      </c>
      <c r="P230" s="1" t="s">
        <v>26</v>
      </c>
      <c r="Q230" s="1" t="s">
        <v>6</v>
      </c>
      <c r="R230" s="1" t="s">
        <v>112</v>
      </c>
      <c r="T230" s="1" t="s">
        <v>79</v>
      </c>
      <c r="BI230" s="12" t="str">
        <f>HYPERLINK("#일위대가목록!A108","TU-SCJ04 →")</f>
        <v>TU-SCJ04 →</v>
      </c>
    </row>
    <row r="231" spans="1:61" ht="18.399999999999999" customHeight="1" x14ac:dyDescent="0.3">
      <c r="A231" s="8" t="s">
        <v>327</v>
      </c>
      <c r="B231" s="8" t="s">
        <v>328</v>
      </c>
      <c r="C231" s="8">
        <v>730</v>
      </c>
      <c r="D231" s="8" t="s">
        <v>76</v>
      </c>
      <c r="E231" s="10">
        <f>'[1]일위대가목록-호표'!E104</f>
        <v>1746</v>
      </c>
      <c r="F231" s="10">
        <f>TRUNC(E231*C231,0)</f>
        <v>1274580</v>
      </c>
      <c r="G231" s="10">
        <f>'[1]일위대가목록-호표'!F104</f>
        <v>2507</v>
      </c>
      <c r="H231" s="10">
        <f>TRUNC(G231*C231,0)</f>
        <v>1830110</v>
      </c>
      <c r="I231" s="10">
        <f>'[1]일위대가목록-호표'!G104</f>
        <v>0</v>
      </c>
      <c r="J231" s="10">
        <f>TRUNC(I231*C231,0)</f>
        <v>0</v>
      </c>
      <c r="K231" s="10">
        <f>E231+G231+I231</f>
        <v>4253</v>
      </c>
      <c r="L231" s="10">
        <f t="shared" si="26"/>
        <v>3104690</v>
      </c>
      <c r="M231" s="11" t="s">
        <v>329</v>
      </c>
      <c r="N231" s="1" t="s">
        <v>6</v>
      </c>
      <c r="P231" s="1" t="s">
        <v>40</v>
      </c>
      <c r="Q231" s="1" t="s">
        <v>6</v>
      </c>
      <c r="R231" s="1" t="s">
        <v>330</v>
      </c>
      <c r="T231" s="1" t="s">
        <v>79</v>
      </c>
      <c r="BI231" s="12" t="str">
        <f>HYPERLINK("#일위대가목록!A107","TU-JPN06 →")</f>
        <v>TU-JPN06 →</v>
      </c>
    </row>
    <row r="232" spans="1:61" ht="18.399999999999999" customHeight="1" x14ac:dyDescent="0.3">
      <c r="A232" s="8" t="s">
        <v>125</v>
      </c>
      <c r="B232" s="8" t="s">
        <v>126</v>
      </c>
      <c r="C232" s="8">
        <v>3807</v>
      </c>
      <c r="D232" s="8" t="s">
        <v>127</v>
      </c>
      <c r="E232" s="10">
        <f>'[1]일위대가목록-호표'!E112</f>
        <v>2566</v>
      </c>
      <c r="F232" s="10">
        <f>TRUNC(E232*C232,0)</f>
        <v>9768762</v>
      </c>
      <c r="G232" s="10">
        <f>'[1]일위대가목록-호표'!F112</f>
        <v>4789</v>
      </c>
      <c r="H232" s="10">
        <f>TRUNC(G232*C232,0)</f>
        <v>18231723</v>
      </c>
      <c r="I232" s="10">
        <f>'[1]일위대가목록-호표'!G112</f>
        <v>0</v>
      </c>
      <c r="J232" s="10">
        <f>TRUNC(I232*C232,0)</f>
        <v>0</v>
      </c>
      <c r="K232" s="10">
        <f>E232+G232+I232</f>
        <v>7355</v>
      </c>
      <c r="L232" s="10">
        <f t="shared" si="26"/>
        <v>28000485</v>
      </c>
      <c r="M232" s="11" t="s">
        <v>128</v>
      </c>
      <c r="N232" s="1" t="s">
        <v>6</v>
      </c>
      <c r="P232" s="1" t="s">
        <v>43</v>
      </c>
      <c r="Q232" s="1" t="s">
        <v>27</v>
      </c>
      <c r="R232" s="1" t="s">
        <v>129</v>
      </c>
      <c r="T232" s="1" t="s">
        <v>79</v>
      </c>
      <c r="BI232" s="12" t="str">
        <f>HYPERLINK("#일위대가목록!A115","TX-ZJDJ →")</f>
        <v>TX-ZJDJ →</v>
      </c>
    </row>
    <row r="233" spans="1:61" ht="18.399999999999999" customHeight="1" x14ac:dyDescent="0.3">
      <c r="A233" s="8"/>
      <c r="B233" s="8"/>
      <c r="C233" s="8"/>
      <c r="D233" s="8"/>
      <c r="E233" s="10"/>
      <c r="F233" s="10"/>
      <c r="G233" s="10"/>
      <c r="H233" s="10"/>
      <c r="I233" s="10"/>
      <c r="J233" s="10"/>
      <c r="K233" s="10"/>
      <c r="L233" s="10"/>
      <c r="M233" s="11"/>
      <c r="BI233" s="12"/>
    </row>
    <row r="234" spans="1:61" ht="18.399999999999999" customHeight="1" x14ac:dyDescent="0.3">
      <c r="A234" s="8"/>
      <c r="B234" s="8"/>
      <c r="C234" s="8"/>
      <c r="D234" s="8"/>
      <c r="E234" s="10"/>
      <c r="F234" s="10"/>
      <c r="G234" s="10"/>
      <c r="H234" s="10"/>
      <c r="I234" s="10"/>
      <c r="J234" s="10"/>
      <c r="K234" s="10"/>
      <c r="L234" s="10"/>
      <c r="M234" s="11"/>
      <c r="BI234" s="12"/>
    </row>
    <row r="235" spans="1:61" ht="18.399999999999999" customHeight="1" x14ac:dyDescent="0.3">
      <c r="A235" s="8"/>
      <c r="B235" s="8"/>
      <c r="C235" s="8"/>
      <c r="D235" s="8"/>
      <c r="E235" s="10"/>
      <c r="F235" s="10"/>
      <c r="G235" s="10"/>
      <c r="H235" s="10"/>
      <c r="I235" s="10"/>
      <c r="J235" s="10"/>
      <c r="K235" s="10"/>
      <c r="L235" s="10"/>
      <c r="M235" s="11"/>
      <c r="BI235" s="12"/>
    </row>
    <row r="236" spans="1:61" ht="18.399999999999999" customHeight="1" x14ac:dyDescent="0.3">
      <c r="A236" s="8"/>
      <c r="B236" s="8"/>
      <c r="C236" s="8"/>
      <c r="D236" s="8"/>
      <c r="E236" s="10"/>
      <c r="F236" s="10"/>
      <c r="G236" s="10"/>
      <c r="H236" s="10"/>
      <c r="I236" s="10"/>
      <c r="J236" s="10"/>
      <c r="K236" s="10"/>
      <c r="L236" s="10"/>
      <c r="M236" s="11"/>
      <c r="BI236" s="12"/>
    </row>
    <row r="237" spans="1:61" ht="18.399999999999999" customHeight="1" x14ac:dyDescent="0.3">
      <c r="A237" s="8"/>
      <c r="B237" s="8"/>
      <c r="C237" s="8"/>
      <c r="D237" s="8"/>
      <c r="E237" s="10"/>
      <c r="F237" s="10"/>
      <c r="G237" s="10"/>
      <c r="H237" s="10"/>
      <c r="I237" s="10"/>
      <c r="J237" s="10"/>
      <c r="K237" s="10"/>
      <c r="L237" s="10"/>
      <c r="M237" s="11"/>
      <c r="BI237" s="12"/>
    </row>
    <row r="238" spans="1:61" ht="18.399999999999999" customHeight="1" x14ac:dyDescent="0.3">
      <c r="A238" s="8"/>
      <c r="B238" s="8"/>
      <c r="C238" s="8"/>
      <c r="D238" s="8"/>
      <c r="E238" s="10"/>
      <c r="F238" s="10"/>
      <c r="G238" s="10"/>
      <c r="H238" s="10"/>
      <c r="I238" s="10"/>
      <c r="J238" s="10"/>
      <c r="K238" s="10"/>
      <c r="L238" s="10"/>
      <c r="M238" s="11"/>
      <c r="BI238" s="12"/>
    </row>
    <row r="239" spans="1:61" ht="18.399999999999999" customHeight="1" x14ac:dyDescent="0.3">
      <c r="A239" s="8"/>
      <c r="B239" s="8"/>
      <c r="C239" s="8"/>
      <c r="D239" s="8"/>
      <c r="E239" s="10"/>
      <c r="F239" s="10"/>
      <c r="G239" s="10"/>
      <c r="H239" s="10"/>
      <c r="I239" s="10"/>
      <c r="J239" s="10"/>
      <c r="K239" s="10"/>
      <c r="L239" s="10"/>
      <c r="M239" s="11"/>
      <c r="BI239" s="12"/>
    </row>
    <row r="240" spans="1:61" ht="18.399999999999999" customHeight="1" x14ac:dyDescent="0.3">
      <c r="A240" s="8"/>
      <c r="B240" s="8"/>
      <c r="C240" s="8"/>
      <c r="D240" s="8"/>
      <c r="E240" s="10"/>
      <c r="F240" s="10"/>
      <c r="G240" s="10"/>
      <c r="H240" s="10"/>
      <c r="I240" s="10"/>
      <c r="J240" s="10"/>
      <c r="K240" s="10"/>
      <c r="L240" s="10"/>
      <c r="M240" s="11"/>
      <c r="BI240" s="12"/>
    </row>
    <row r="241" spans="1:61" ht="18.399999999999999" customHeight="1" x14ac:dyDescent="0.3">
      <c r="A241" s="8"/>
      <c r="B241" s="8"/>
      <c r="C241" s="8"/>
      <c r="D241" s="8"/>
      <c r="E241" s="10"/>
      <c r="F241" s="10"/>
      <c r="G241" s="10"/>
      <c r="H241" s="10"/>
      <c r="I241" s="10"/>
      <c r="J241" s="10"/>
      <c r="K241" s="10"/>
      <c r="L241" s="10"/>
      <c r="M241" s="11"/>
      <c r="BI241" s="12"/>
    </row>
    <row r="242" spans="1:61" ht="18.399999999999999" customHeight="1" x14ac:dyDescent="0.3">
      <c r="A242" s="8"/>
      <c r="B242" s="8"/>
      <c r="C242" s="8"/>
      <c r="D242" s="8"/>
      <c r="E242" s="10"/>
      <c r="F242" s="10"/>
      <c r="G242" s="10"/>
      <c r="H242" s="10"/>
      <c r="I242" s="10"/>
      <c r="J242" s="10"/>
      <c r="K242" s="10"/>
      <c r="L242" s="10"/>
      <c r="M242" s="11"/>
      <c r="BI242" s="12"/>
    </row>
    <row r="243" spans="1:61" ht="18.399999999999999" customHeight="1" x14ac:dyDescent="0.3">
      <c r="A243" s="8"/>
      <c r="B243" s="8"/>
      <c r="C243" s="8"/>
      <c r="D243" s="8"/>
      <c r="E243" s="10"/>
      <c r="F243" s="10"/>
      <c r="G243" s="10"/>
      <c r="H243" s="10"/>
      <c r="I243" s="10"/>
      <c r="J243" s="10"/>
      <c r="K243" s="10"/>
      <c r="L243" s="10"/>
      <c r="M243" s="11"/>
      <c r="BI243" s="12"/>
    </row>
    <row r="244" spans="1:61" ht="18.399999999999999" customHeight="1" x14ac:dyDescent="0.3">
      <c r="A244" s="8" t="s">
        <v>331</v>
      </c>
      <c r="B244" s="8" t="s">
        <v>59</v>
      </c>
      <c r="C244" s="8">
        <v>1</v>
      </c>
      <c r="D244" s="8" t="s">
        <v>20</v>
      </c>
      <c r="E244" s="5"/>
      <c r="F244" s="10">
        <f>TRUNC(F245,0)</f>
        <v>649914</v>
      </c>
      <c r="G244" s="5"/>
      <c r="H244" s="10">
        <f>TRUNC(H245,0)</f>
        <v>3148464</v>
      </c>
      <c r="I244" s="5"/>
      <c r="J244" s="10">
        <f>TRUNC(J245,0)</f>
        <v>37660</v>
      </c>
      <c r="K244" s="5"/>
      <c r="L244" s="10">
        <f>F244+H244+J244</f>
        <v>3836038</v>
      </c>
      <c r="M244" s="11" t="s">
        <v>6</v>
      </c>
      <c r="N244" s="1" t="s">
        <v>6</v>
      </c>
      <c r="O244" s="1" t="s">
        <v>61</v>
      </c>
    </row>
    <row r="245" spans="1:61" ht="18.399999999999999" customHeight="1" x14ac:dyDescent="0.3">
      <c r="A245" s="8" t="s">
        <v>332</v>
      </c>
      <c r="B245" s="8" t="s">
        <v>333</v>
      </c>
      <c r="C245" s="8">
        <v>1</v>
      </c>
      <c r="D245" s="8" t="s">
        <v>133</v>
      </c>
      <c r="E245" s="10">
        <f>'[1]일위대가목록-호표'!E56</f>
        <v>649914</v>
      </c>
      <c r="F245" s="10">
        <f>TRUNC(E245*C245,0)</f>
        <v>649914</v>
      </c>
      <c r="G245" s="10">
        <f>'[1]일위대가목록-호표'!F56</f>
        <v>3148464</v>
      </c>
      <c r="H245" s="10">
        <f>TRUNC(G245*C245,0)</f>
        <v>3148464</v>
      </c>
      <c r="I245" s="10">
        <f>'[1]일위대가목록-호표'!G56</f>
        <v>37660</v>
      </c>
      <c r="J245" s="10">
        <f>TRUNC(I245*C245,0)</f>
        <v>37660</v>
      </c>
      <c r="K245" s="10">
        <f>E245+G245+I245</f>
        <v>3836038</v>
      </c>
      <c r="L245" s="10">
        <f>F245+H245+J245</f>
        <v>3836038</v>
      </c>
      <c r="M245" s="11" t="s">
        <v>334</v>
      </c>
      <c r="N245" s="1" t="s">
        <v>6</v>
      </c>
      <c r="P245" s="1" t="s">
        <v>43</v>
      </c>
      <c r="Q245" s="1" t="s">
        <v>27</v>
      </c>
      <c r="R245" s="1" t="s">
        <v>335</v>
      </c>
      <c r="T245" s="1" t="s">
        <v>79</v>
      </c>
      <c r="BI245" s="12" t="str">
        <f>HYPERLINK("#일위대가목록!A59","SG1-GD02 →")</f>
        <v>SG1-GD02 →</v>
      </c>
    </row>
    <row r="246" spans="1:61" ht="18.399999999999999" customHeight="1" x14ac:dyDescent="0.3">
      <c r="A246" s="8"/>
      <c r="B246" s="8"/>
      <c r="C246" s="8"/>
      <c r="D246" s="8"/>
      <c r="E246" s="10"/>
      <c r="F246" s="10"/>
      <c r="G246" s="10"/>
      <c r="H246" s="10"/>
      <c r="I246" s="10"/>
      <c r="J246" s="10"/>
      <c r="K246" s="10"/>
      <c r="L246" s="10"/>
      <c r="M246" s="11"/>
      <c r="BI246" s="12"/>
    </row>
    <row r="247" spans="1:61" ht="18.399999999999999" customHeight="1" x14ac:dyDescent="0.3">
      <c r="A247" s="8"/>
      <c r="B247" s="8"/>
      <c r="C247" s="8"/>
      <c r="D247" s="8"/>
      <c r="E247" s="10"/>
      <c r="F247" s="10"/>
      <c r="G247" s="10"/>
      <c r="H247" s="10"/>
      <c r="I247" s="10"/>
      <c r="J247" s="10"/>
      <c r="K247" s="10"/>
      <c r="L247" s="10"/>
      <c r="M247" s="11"/>
      <c r="BI247" s="12"/>
    </row>
    <row r="248" spans="1:61" ht="18.399999999999999" customHeight="1" x14ac:dyDescent="0.3">
      <c r="A248" s="8"/>
      <c r="B248" s="8"/>
      <c r="C248" s="8"/>
      <c r="D248" s="8"/>
      <c r="E248" s="10"/>
      <c r="F248" s="10"/>
      <c r="G248" s="10"/>
      <c r="H248" s="10"/>
      <c r="I248" s="10"/>
      <c r="J248" s="10"/>
      <c r="K248" s="10"/>
      <c r="L248" s="10"/>
      <c r="M248" s="11"/>
      <c r="BI248" s="12"/>
    </row>
    <row r="249" spans="1:61" ht="18.399999999999999" customHeight="1" x14ac:dyDescent="0.3">
      <c r="A249" s="8"/>
      <c r="B249" s="8"/>
      <c r="C249" s="8"/>
      <c r="D249" s="8"/>
      <c r="E249" s="10"/>
      <c r="F249" s="10"/>
      <c r="G249" s="10"/>
      <c r="H249" s="10"/>
      <c r="I249" s="10"/>
      <c r="J249" s="10"/>
      <c r="K249" s="10"/>
      <c r="L249" s="10"/>
      <c r="M249" s="11"/>
      <c r="BI249" s="12"/>
    </row>
    <row r="250" spans="1:61" ht="18.399999999999999" customHeight="1" x14ac:dyDescent="0.3">
      <c r="A250" s="8"/>
      <c r="B250" s="8"/>
      <c r="C250" s="8"/>
      <c r="D250" s="8"/>
      <c r="E250" s="10"/>
      <c r="F250" s="10"/>
      <c r="G250" s="10"/>
      <c r="H250" s="10"/>
      <c r="I250" s="10"/>
      <c r="J250" s="10"/>
      <c r="K250" s="10"/>
      <c r="L250" s="10"/>
      <c r="M250" s="11"/>
      <c r="BI250" s="12"/>
    </row>
    <row r="251" spans="1:61" ht="18.399999999999999" customHeight="1" x14ac:dyDescent="0.3">
      <c r="A251" s="8"/>
      <c r="B251" s="8"/>
      <c r="C251" s="8"/>
      <c r="D251" s="8"/>
      <c r="E251" s="10"/>
      <c r="F251" s="10"/>
      <c r="G251" s="10"/>
      <c r="H251" s="10"/>
      <c r="I251" s="10"/>
      <c r="J251" s="10"/>
      <c r="K251" s="10"/>
      <c r="L251" s="10"/>
      <c r="M251" s="11"/>
      <c r="BI251" s="12"/>
    </row>
    <row r="252" spans="1:61" ht="18.399999999999999" customHeight="1" x14ac:dyDescent="0.3">
      <c r="A252" s="8"/>
      <c r="B252" s="8"/>
      <c r="C252" s="8"/>
      <c r="D252" s="8"/>
      <c r="E252" s="10"/>
      <c r="F252" s="10"/>
      <c r="G252" s="10"/>
      <c r="H252" s="10"/>
      <c r="I252" s="10"/>
      <c r="J252" s="10"/>
      <c r="K252" s="10"/>
      <c r="L252" s="10"/>
      <c r="M252" s="11"/>
      <c r="BI252" s="12"/>
    </row>
    <row r="253" spans="1:61" ht="18.399999999999999" customHeight="1" x14ac:dyDescent="0.3">
      <c r="A253" s="8"/>
      <c r="B253" s="8"/>
      <c r="C253" s="8"/>
      <c r="D253" s="8"/>
      <c r="E253" s="10"/>
      <c r="F253" s="10"/>
      <c r="G253" s="10"/>
      <c r="H253" s="10"/>
      <c r="I253" s="10"/>
      <c r="J253" s="10"/>
      <c r="K253" s="10"/>
      <c r="L253" s="10"/>
      <c r="M253" s="11"/>
      <c r="BI253" s="12"/>
    </row>
    <row r="254" spans="1:61" ht="18.399999999999999" customHeight="1" x14ac:dyDescent="0.3">
      <c r="A254" s="8"/>
      <c r="B254" s="8"/>
      <c r="C254" s="8"/>
      <c r="D254" s="8"/>
      <c r="E254" s="10"/>
      <c r="F254" s="10"/>
      <c r="G254" s="10"/>
      <c r="H254" s="10"/>
      <c r="I254" s="10"/>
      <c r="J254" s="10"/>
      <c r="K254" s="10"/>
      <c r="L254" s="10"/>
      <c r="M254" s="11"/>
      <c r="BI254" s="12"/>
    </row>
    <row r="255" spans="1:61" ht="18.399999999999999" customHeight="1" x14ac:dyDescent="0.3">
      <c r="A255" s="8"/>
      <c r="B255" s="8"/>
      <c r="C255" s="8"/>
      <c r="D255" s="8"/>
      <c r="E255" s="10"/>
      <c r="F255" s="10"/>
      <c r="G255" s="10"/>
      <c r="H255" s="10"/>
      <c r="I255" s="10"/>
      <c r="J255" s="10"/>
      <c r="K255" s="10"/>
      <c r="L255" s="10"/>
      <c r="M255" s="11"/>
      <c r="BI255" s="12"/>
    </row>
    <row r="256" spans="1:61" ht="18.399999999999999" customHeight="1" x14ac:dyDescent="0.3">
      <c r="A256" s="8"/>
      <c r="B256" s="8"/>
      <c r="C256" s="8"/>
      <c r="D256" s="8"/>
      <c r="E256" s="10"/>
      <c r="F256" s="10"/>
      <c r="G256" s="10"/>
      <c r="H256" s="10"/>
      <c r="I256" s="10"/>
      <c r="J256" s="10"/>
      <c r="K256" s="10"/>
      <c r="L256" s="10"/>
      <c r="M256" s="11"/>
      <c r="BI256" s="12"/>
    </row>
    <row r="257" spans="1:61" ht="18.399999999999999" customHeight="1" x14ac:dyDescent="0.3">
      <c r="A257" s="8"/>
      <c r="B257" s="8"/>
      <c r="C257" s="8"/>
      <c r="D257" s="8"/>
      <c r="E257" s="10"/>
      <c r="F257" s="10"/>
      <c r="G257" s="10"/>
      <c r="H257" s="10"/>
      <c r="I257" s="10"/>
      <c r="J257" s="10"/>
      <c r="K257" s="10"/>
      <c r="L257" s="10"/>
      <c r="M257" s="11"/>
      <c r="BI257" s="12"/>
    </row>
    <row r="258" spans="1:61" ht="18.399999999999999" customHeight="1" x14ac:dyDescent="0.3">
      <c r="A258" s="8"/>
      <c r="B258" s="8"/>
      <c r="C258" s="8"/>
      <c r="D258" s="8"/>
      <c r="E258" s="10"/>
      <c r="F258" s="10"/>
      <c r="G258" s="10"/>
      <c r="H258" s="10"/>
      <c r="I258" s="10"/>
      <c r="J258" s="10"/>
      <c r="K258" s="10"/>
      <c r="L258" s="10"/>
      <c r="M258" s="11"/>
      <c r="BI258" s="12"/>
    </row>
    <row r="259" spans="1:61" ht="18.399999999999999" customHeight="1" x14ac:dyDescent="0.3">
      <c r="A259" s="8"/>
      <c r="B259" s="8"/>
      <c r="C259" s="8"/>
      <c r="D259" s="8"/>
      <c r="E259" s="10"/>
      <c r="F259" s="10"/>
      <c r="G259" s="10"/>
      <c r="H259" s="10"/>
      <c r="I259" s="10"/>
      <c r="J259" s="10"/>
      <c r="K259" s="10"/>
      <c r="L259" s="10"/>
      <c r="M259" s="11"/>
      <c r="BI259" s="12"/>
    </row>
    <row r="260" spans="1:61" ht="18.399999999999999" customHeight="1" x14ac:dyDescent="0.3">
      <c r="A260" s="8"/>
      <c r="B260" s="8"/>
      <c r="C260" s="8"/>
      <c r="D260" s="8"/>
      <c r="E260" s="10"/>
      <c r="F260" s="10"/>
      <c r="G260" s="10"/>
      <c r="H260" s="10"/>
      <c r="I260" s="10"/>
      <c r="J260" s="10"/>
      <c r="K260" s="10"/>
      <c r="L260" s="10"/>
      <c r="M260" s="11"/>
      <c r="BI260" s="12"/>
    </row>
    <row r="261" spans="1:61" ht="18.399999999999999" customHeight="1" x14ac:dyDescent="0.3">
      <c r="A261" s="8"/>
      <c r="B261" s="8"/>
      <c r="C261" s="8"/>
      <c r="D261" s="8"/>
      <c r="E261" s="10"/>
      <c r="F261" s="10"/>
      <c r="G261" s="10"/>
      <c r="H261" s="10"/>
      <c r="I261" s="10"/>
      <c r="J261" s="10"/>
      <c r="K261" s="10"/>
      <c r="L261" s="10"/>
      <c r="M261" s="11"/>
      <c r="BI261" s="12"/>
    </row>
    <row r="262" spans="1:61" ht="18.399999999999999" customHeight="1" x14ac:dyDescent="0.3">
      <c r="A262" s="8"/>
      <c r="B262" s="8"/>
      <c r="C262" s="8"/>
      <c r="D262" s="8"/>
      <c r="E262" s="10"/>
      <c r="F262" s="10"/>
      <c r="G262" s="10"/>
      <c r="H262" s="10"/>
      <c r="I262" s="10"/>
      <c r="J262" s="10"/>
      <c r="K262" s="10"/>
      <c r="L262" s="10"/>
      <c r="M262" s="11"/>
      <c r="BI262" s="12"/>
    </row>
    <row r="263" spans="1:61" ht="18.399999999999999" customHeight="1" x14ac:dyDescent="0.3">
      <c r="A263" s="8"/>
      <c r="B263" s="8"/>
      <c r="C263" s="8"/>
      <c r="D263" s="8"/>
      <c r="E263" s="10"/>
      <c r="F263" s="10"/>
      <c r="G263" s="10"/>
      <c r="H263" s="10"/>
      <c r="I263" s="10"/>
      <c r="J263" s="10"/>
      <c r="K263" s="10"/>
      <c r="L263" s="10"/>
      <c r="M263" s="11"/>
      <c r="BI263" s="12"/>
    </row>
    <row r="264" spans="1:61" ht="18.399999999999999" customHeight="1" x14ac:dyDescent="0.3">
      <c r="A264" s="8"/>
      <c r="B264" s="8"/>
      <c r="C264" s="8"/>
      <c r="D264" s="8"/>
      <c r="E264" s="10"/>
      <c r="F264" s="10"/>
      <c r="G264" s="10"/>
      <c r="H264" s="10"/>
      <c r="I264" s="10"/>
      <c r="J264" s="10"/>
      <c r="K264" s="10"/>
      <c r="L264" s="10"/>
      <c r="M264" s="11"/>
      <c r="BI264" s="12"/>
    </row>
    <row r="265" spans="1:61" ht="18.399999999999999" customHeight="1" x14ac:dyDescent="0.3">
      <c r="A265" s="8"/>
      <c r="B265" s="8"/>
      <c r="C265" s="8"/>
      <c r="D265" s="8"/>
      <c r="E265" s="10"/>
      <c r="F265" s="10"/>
      <c r="G265" s="10"/>
      <c r="H265" s="10"/>
      <c r="I265" s="10"/>
      <c r="J265" s="10"/>
      <c r="K265" s="10"/>
      <c r="L265" s="10"/>
      <c r="M265" s="11"/>
      <c r="BI265" s="12"/>
    </row>
    <row r="266" spans="1:61" ht="18.399999999999999" customHeight="1" x14ac:dyDescent="0.3">
      <c r="A266" s="8"/>
      <c r="B266" s="8"/>
      <c r="C266" s="8"/>
      <c r="D266" s="8"/>
      <c r="E266" s="10"/>
      <c r="F266" s="10"/>
      <c r="G266" s="10"/>
      <c r="H266" s="10"/>
      <c r="I266" s="10"/>
      <c r="J266" s="10"/>
      <c r="K266" s="10"/>
      <c r="L266" s="10"/>
      <c r="M266" s="11"/>
      <c r="BI266" s="12"/>
    </row>
    <row r="267" spans="1:61" ht="18.399999999999999" customHeight="1" x14ac:dyDescent="0.3">
      <c r="A267" s="8"/>
      <c r="B267" s="8"/>
      <c r="C267" s="8"/>
      <c r="D267" s="8"/>
      <c r="E267" s="10"/>
      <c r="F267" s="10"/>
      <c r="G267" s="10"/>
      <c r="H267" s="10"/>
      <c r="I267" s="10"/>
      <c r="J267" s="10"/>
      <c r="K267" s="10"/>
      <c r="L267" s="10"/>
      <c r="M267" s="11"/>
      <c r="BI267" s="12"/>
    </row>
    <row r="268" spans="1:61" ht="18.399999999999999" customHeight="1" x14ac:dyDescent="0.3">
      <c r="A268" s="8" t="s">
        <v>336</v>
      </c>
      <c r="B268" s="8" t="s">
        <v>59</v>
      </c>
      <c r="C268" s="8">
        <v>1</v>
      </c>
      <c r="D268" s="8" t="s">
        <v>20</v>
      </c>
      <c r="E268" s="5"/>
      <c r="F268" s="10">
        <f>TRUNC(F269+F270+F271,0)</f>
        <v>6070033</v>
      </c>
      <c r="G268" s="5"/>
      <c r="H268" s="10">
        <f>TRUNC(H269+H270+H271,0)</f>
        <v>7448134</v>
      </c>
      <c r="I268" s="5"/>
      <c r="J268" s="10">
        <f>TRUNC(J269+J270+J271,0)</f>
        <v>752389</v>
      </c>
      <c r="K268" s="5"/>
      <c r="L268" s="10">
        <f>F268+H268+J268</f>
        <v>14270556</v>
      </c>
      <c r="M268" s="11" t="s">
        <v>6</v>
      </c>
      <c r="N268" s="1" t="s">
        <v>6</v>
      </c>
      <c r="O268" s="1" t="s">
        <v>62</v>
      </c>
    </row>
    <row r="269" spans="1:61" ht="18.399999999999999" customHeight="1" x14ac:dyDescent="0.3">
      <c r="A269" s="8" t="s">
        <v>209</v>
      </c>
      <c r="B269" s="8" t="s">
        <v>210</v>
      </c>
      <c r="C269" s="8">
        <v>566</v>
      </c>
      <c r="D269" s="8" t="s">
        <v>127</v>
      </c>
      <c r="E269" s="10">
        <f>'[1]일위대가목록-호표'!E76</f>
        <v>4645</v>
      </c>
      <c r="F269" s="10">
        <f>TRUNC(E269*C269,0)</f>
        <v>2629070</v>
      </c>
      <c r="G269" s="10">
        <f>'[1]일위대가목록-호표'!F76</f>
        <v>8226</v>
      </c>
      <c r="H269" s="10">
        <f>TRUNC(G269*C269,0)</f>
        <v>4655916</v>
      </c>
      <c r="I269" s="10">
        <f>'[1]일위대가목록-호표'!G76</f>
        <v>1085</v>
      </c>
      <c r="J269" s="10">
        <f>TRUNC(I269*C269,0)</f>
        <v>614110</v>
      </c>
      <c r="K269" s="10">
        <f>E269+G269+I269</f>
        <v>13956</v>
      </c>
      <c r="L269" s="10">
        <f>F269+H269+J269</f>
        <v>7899096</v>
      </c>
      <c r="M269" s="11" t="s">
        <v>211</v>
      </c>
      <c r="N269" s="1" t="s">
        <v>6</v>
      </c>
      <c r="P269" s="1" t="s">
        <v>43</v>
      </c>
      <c r="Q269" s="1" t="s">
        <v>6</v>
      </c>
      <c r="R269" s="1" t="s">
        <v>212</v>
      </c>
      <c r="T269" s="1" t="s">
        <v>79</v>
      </c>
      <c r="BI269" s="12" t="str">
        <f>HYPERLINK("#일위대가목록!A79","SP-IJHGS60 →")</f>
        <v>SP-IJHGS60 →</v>
      </c>
    </row>
    <row r="270" spans="1:61" ht="18.399999999999999" customHeight="1" x14ac:dyDescent="0.3">
      <c r="A270" s="8" t="s">
        <v>229</v>
      </c>
      <c r="B270" s="8" t="s">
        <v>230</v>
      </c>
      <c r="C270" s="8">
        <v>167.5</v>
      </c>
      <c r="D270" s="8" t="s">
        <v>138</v>
      </c>
      <c r="E270" s="10">
        <f>'[1]일위대가목록-호표'!E82</f>
        <v>20334</v>
      </c>
      <c r="F270" s="10">
        <f>TRUNC(E270*C270,0)</f>
        <v>3405945</v>
      </c>
      <c r="G270" s="10">
        <f>'[1]일위대가목록-호표'!F82</f>
        <v>16564</v>
      </c>
      <c r="H270" s="10">
        <f>TRUNC(G270*C270,0)</f>
        <v>2774470</v>
      </c>
      <c r="I270" s="10">
        <f>'[1]일위대가목록-호표'!G82</f>
        <v>820</v>
      </c>
      <c r="J270" s="10">
        <f>TRUNC(I270*C270,0)</f>
        <v>137350</v>
      </c>
      <c r="K270" s="10">
        <f>E270+G270+I270</f>
        <v>37718</v>
      </c>
      <c r="L270" s="10">
        <f>F270+H270+J270</f>
        <v>6317765</v>
      </c>
      <c r="M270" s="11" t="s">
        <v>231</v>
      </c>
      <c r="N270" s="1" t="s">
        <v>6</v>
      </c>
      <c r="P270" s="1" t="s">
        <v>48</v>
      </c>
      <c r="Q270" s="1" t="s">
        <v>6</v>
      </c>
      <c r="R270" s="1" t="s">
        <v>232</v>
      </c>
      <c r="T270" s="1" t="s">
        <v>79</v>
      </c>
      <c r="BI270" s="12" t="str">
        <f>HYPERLINK("#일위대가목록!A85","SPJJ-GJ150 →")</f>
        <v>SPJJ-GJ150 →</v>
      </c>
    </row>
    <row r="271" spans="1:61" ht="18.399999999999999" customHeight="1" x14ac:dyDescent="0.3">
      <c r="A271" s="8" t="s">
        <v>229</v>
      </c>
      <c r="B271" s="8" t="s">
        <v>233</v>
      </c>
      <c r="C271" s="8">
        <v>1</v>
      </c>
      <c r="D271" s="8" t="s">
        <v>138</v>
      </c>
      <c r="E271" s="10">
        <f>'[1]일위대가목록-호표'!E83</f>
        <v>35018</v>
      </c>
      <c r="F271" s="10">
        <f>TRUNC(E271*C271,0)</f>
        <v>35018</v>
      </c>
      <c r="G271" s="10">
        <f>'[1]일위대가목록-호표'!F83</f>
        <v>17748</v>
      </c>
      <c r="H271" s="10">
        <f>TRUNC(G271*C271,0)</f>
        <v>17748</v>
      </c>
      <c r="I271" s="10">
        <f>'[1]일위대가목록-호표'!G83</f>
        <v>929</v>
      </c>
      <c r="J271" s="10">
        <f>TRUNC(I271*C271,0)</f>
        <v>929</v>
      </c>
      <c r="K271" s="10">
        <f>E271+G271+I271</f>
        <v>53695</v>
      </c>
      <c r="L271" s="10">
        <f>F271+H271+J271</f>
        <v>53695</v>
      </c>
      <c r="M271" s="11" t="s">
        <v>234</v>
      </c>
      <c r="N271" s="1" t="s">
        <v>6</v>
      </c>
      <c r="P271" s="1" t="s">
        <v>50</v>
      </c>
      <c r="Q271" s="1" t="s">
        <v>27</v>
      </c>
      <c r="R271" s="1" t="s">
        <v>235</v>
      </c>
      <c r="T271" s="1" t="s">
        <v>79</v>
      </c>
      <c r="BI271" s="12" t="str">
        <f>HYPERLINK("#일위대가목록!A86","SPJJ-GJ150R →")</f>
        <v>SPJJ-GJ150R →</v>
      </c>
    </row>
    <row r="272" spans="1:61" ht="18.399999999999999" customHeight="1" x14ac:dyDescent="0.3">
      <c r="A272" s="8"/>
      <c r="B272" s="8"/>
      <c r="C272" s="8"/>
      <c r="D272" s="8"/>
      <c r="E272" s="10"/>
      <c r="F272" s="10"/>
      <c r="G272" s="10"/>
      <c r="H272" s="10"/>
      <c r="I272" s="10"/>
      <c r="J272" s="10"/>
      <c r="K272" s="10"/>
      <c r="L272" s="10"/>
      <c r="M272" s="11"/>
      <c r="BI272" s="12"/>
    </row>
    <row r="273" spans="1:61" ht="18.399999999999999" customHeight="1" x14ac:dyDescent="0.3">
      <c r="A273" s="8"/>
      <c r="B273" s="8"/>
      <c r="C273" s="8"/>
      <c r="D273" s="8"/>
      <c r="E273" s="10"/>
      <c r="F273" s="10"/>
      <c r="G273" s="10"/>
      <c r="H273" s="10"/>
      <c r="I273" s="10"/>
      <c r="J273" s="10"/>
      <c r="K273" s="10"/>
      <c r="L273" s="10"/>
      <c r="M273" s="11"/>
      <c r="BI273" s="12"/>
    </row>
    <row r="274" spans="1:61" ht="18.399999999999999" customHeight="1" x14ac:dyDescent="0.3">
      <c r="A274" s="8"/>
      <c r="B274" s="8"/>
      <c r="C274" s="8"/>
      <c r="D274" s="8"/>
      <c r="E274" s="10"/>
      <c r="F274" s="10"/>
      <c r="G274" s="10"/>
      <c r="H274" s="10"/>
      <c r="I274" s="10"/>
      <c r="J274" s="10"/>
      <c r="K274" s="10"/>
      <c r="L274" s="10"/>
      <c r="M274" s="11"/>
      <c r="BI274" s="12"/>
    </row>
    <row r="275" spans="1:61" ht="18.399999999999999" customHeight="1" x14ac:dyDescent="0.3">
      <c r="A275" s="8"/>
      <c r="B275" s="8"/>
      <c r="C275" s="8"/>
      <c r="D275" s="8"/>
      <c r="E275" s="10"/>
      <c r="F275" s="10"/>
      <c r="G275" s="10"/>
      <c r="H275" s="10"/>
      <c r="I275" s="10"/>
      <c r="J275" s="10"/>
      <c r="K275" s="10"/>
      <c r="L275" s="10"/>
      <c r="M275" s="11"/>
      <c r="BI275" s="12"/>
    </row>
    <row r="276" spans="1:61" ht="18.399999999999999" customHeight="1" x14ac:dyDescent="0.3">
      <c r="A276" s="8"/>
      <c r="B276" s="8"/>
      <c r="C276" s="8"/>
      <c r="D276" s="8"/>
      <c r="E276" s="10"/>
      <c r="F276" s="10"/>
      <c r="G276" s="10"/>
      <c r="H276" s="10"/>
      <c r="I276" s="10"/>
      <c r="J276" s="10"/>
      <c r="K276" s="10"/>
      <c r="L276" s="10"/>
      <c r="M276" s="11"/>
      <c r="BI276" s="12"/>
    </row>
    <row r="277" spans="1:61" ht="18.399999999999999" customHeight="1" x14ac:dyDescent="0.3">
      <c r="A277" s="8"/>
      <c r="B277" s="8"/>
      <c r="C277" s="8"/>
      <c r="D277" s="8"/>
      <c r="E277" s="10"/>
      <c r="F277" s="10"/>
      <c r="G277" s="10"/>
      <c r="H277" s="10"/>
      <c r="I277" s="10"/>
      <c r="J277" s="10"/>
      <c r="K277" s="10"/>
      <c r="L277" s="10"/>
      <c r="M277" s="11"/>
      <c r="BI277" s="12"/>
    </row>
    <row r="278" spans="1:61" ht="18.399999999999999" customHeight="1" x14ac:dyDescent="0.3">
      <c r="A278" s="8"/>
      <c r="B278" s="8"/>
      <c r="C278" s="8"/>
      <c r="D278" s="8"/>
      <c r="E278" s="10"/>
      <c r="F278" s="10"/>
      <c r="G278" s="10"/>
      <c r="H278" s="10"/>
      <c r="I278" s="10"/>
      <c r="J278" s="10"/>
      <c r="K278" s="10"/>
      <c r="L278" s="10"/>
      <c r="M278" s="11"/>
      <c r="BI278" s="12"/>
    </row>
    <row r="279" spans="1:61" ht="18.399999999999999" customHeight="1" x14ac:dyDescent="0.3">
      <c r="A279" s="8"/>
      <c r="B279" s="8"/>
      <c r="C279" s="8"/>
      <c r="D279" s="8"/>
      <c r="E279" s="10"/>
      <c r="F279" s="10"/>
      <c r="G279" s="10"/>
      <c r="H279" s="10"/>
      <c r="I279" s="10"/>
      <c r="J279" s="10"/>
      <c r="K279" s="10"/>
      <c r="L279" s="10"/>
      <c r="M279" s="11"/>
      <c r="BI279" s="12"/>
    </row>
    <row r="280" spans="1:61" ht="18.399999999999999" customHeight="1" x14ac:dyDescent="0.3">
      <c r="A280" s="8"/>
      <c r="B280" s="8"/>
      <c r="C280" s="8"/>
      <c r="D280" s="8"/>
      <c r="E280" s="10"/>
      <c r="F280" s="10"/>
      <c r="G280" s="10"/>
      <c r="H280" s="10"/>
      <c r="I280" s="10"/>
      <c r="J280" s="10"/>
      <c r="K280" s="10"/>
      <c r="L280" s="10"/>
      <c r="M280" s="11"/>
      <c r="BI280" s="12"/>
    </row>
    <row r="281" spans="1:61" ht="18.399999999999999" customHeight="1" x14ac:dyDescent="0.3">
      <c r="A281" s="8"/>
      <c r="B281" s="8"/>
      <c r="C281" s="8"/>
      <c r="D281" s="8"/>
      <c r="E281" s="10"/>
      <c r="F281" s="10"/>
      <c r="G281" s="10"/>
      <c r="H281" s="10"/>
      <c r="I281" s="10"/>
      <c r="J281" s="10"/>
      <c r="K281" s="10"/>
      <c r="L281" s="10"/>
      <c r="M281" s="11"/>
      <c r="BI281" s="12"/>
    </row>
    <row r="282" spans="1:61" ht="18.399999999999999" customHeight="1" x14ac:dyDescent="0.3">
      <c r="A282" s="8"/>
      <c r="B282" s="8"/>
      <c r="C282" s="8"/>
      <c r="D282" s="8"/>
      <c r="E282" s="10"/>
      <c r="F282" s="10"/>
      <c r="G282" s="10"/>
      <c r="H282" s="10"/>
      <c r="I282" s="10"/>
      <c r="J282" s="10"/>
      <c r="K282" s="10"/>
      <c r="L282" s="10"/>
      <c r="M282" s="11"/>
      <c r="BI282" s="12"/>
    </row>
    <row r="283" spans="1:61" ht="18.399999999999999" customHeight="1" x14ac:dyDescent="0.3">
      <c r="A283" s="8"/>
      <c r="B283" s="8"/>
      <c r="C283" s="8"/>
      <c r="D283" s="8"/>
      <c r="E283" s="10"/>
      <c r="F283" s="10"/>
      <c r="G283" s="10"/>
      <c r="H283" s="10"/>
      <c r="I283" s="10"/>
      <c r="J283" s="10"/>
      <c r="K283" s="10"/>
      <c r="L283" s="10"/>
      <c r="M283" s="11"/>
      <c r="BI283" s="12"/>
    </row>
    <row r="284" spans="1:61" ht="18.399999999999999" customHeight="1" x14ac:dyDescent="0.3">
      <c r="A284" s="8"/>
      <c r="B284" s="8"/>
      <c r="C284" s="8"/>
      <c r="D284" s="8"/>
      <c r="E284" s="10"/>
      <c r="F284" s="10"/>
      <c r="G284" s="10"/>
      <c r="H284" s="10"/>
      <c r="I284" s="10"/>
      <c r="J284" s="10"/>
      <c r="K284" s="10"/>
      <c r="L284" s="10"/>
      <c r="M284" s="11"/>
      <c r="BI284" s="12"/>
    </row>
    <row r="285" spans="1:61" ht="18.399999999999999" customHeight="1" x14ac:dyDescent="0.3">
      <c r="A285" s="8"/>
      <c r="B285" s="8"/>
      <c r="C285" s="8"/>
      <c r="D285" s="8"/>
      <c r="E285" s="10"/>
      <c r="F285" s="10"/>
      <c r="G285" s="10"/>
      <c r="H285" s="10"/>
      <c r="I285" s="10"/>
      <c r="J285" s="10"/>
      <c r="K285" s="10"/>
      <c r="L285" s="10"/>
      <c r="M285" s="11"/>
      <c r="BI285" s="12"/>
    </row>
    <row r="286" spans="1:61" ht="18.399999999999999" customHeight="1" x14ac:dyDescent="0.3">
      <c r="A286" s="8"/>
      <c r="B286" s="8"/>
      <c r="C286" s="8"/>
      <c r="D286" s="8"/>
      <c r="E286" s="10"/>
      <c r="F286" s="10"/>
      <c r="G286" s="10"/>
      <c r="H286" s="10"/>
      <c r="I286" s="10"/>
      <c r="J286" s="10"/>
      <c r="K286" s="10"/>
      <c r="L286" s="10"/>
      <c r="M286" s="11"/>
      <c r="BI286" s="12"/>
    </row>
    <row r="287" spans="1:61" ht="18.399999999999999" customHeight="1" x14ac:dyDescent="0.3">
      <c r="A287" s="8"/>
      <c r="B287" s="8"/>
      <c r="C287" s="8"/>
      <c r="D287" s="8"/>
      <c r="E287" s="10"/>
      <c r="F287" s="10"/>
      <c r="G287" s="10"/>
      <c r="H287" s="10"/>
      <c r="I287" s="10"/>
      <c r="J287" s="10"/>
      <c r="K287" s="10"/>
      <c r="L287" s="10"/>
      <c r="M287" s="11"/>
      <c r="BI287" s="12"/>
    </row>
    <row r="288" spans="1:61" ht="18.399999999999999" customHeight="1" x14ac:dyDescent="0.3">
      <c r="A288" s="8"/>
      <c r="B288" s="8"/>
      <c r="C288" s="8"/>
      <c r="D288" s="8"/>
      <c r="E288" s="10"/>
      <c r="F288" s="10"/>
      <c r="G288" s="10"/>
      <c r="H288" s="10"/>
      <c r="I288" s="10"/>
      <c r="J288" s="10"/>
      <c r="K288" s="10"/>
      <c r="L288" s="10"/>
      <c r="M288" s="11"/>
      <c r="BI288" s="12"/>
    </row>
    <row r="289" spans="1:61" ht="18.399999999999999" customHeight="1" x14ac:dyDescent="0.3">
      <c r="A289" s="8"/>
      <c r="B289" s="8"/>
      <c r="C289" s="8"/>
      <c r="D289" s="8"/>
      <c r="E289" s="10"/>
      <c r="F289" s="10"/>
      <c r="G289" s="10"/>
      <c r="H289" s="10"/>
      <c r="I289" s="10"/>
      <c r="J289" s="10"/>
      <c r="K289" s="10"/>
      <c r="L289" s="10"/>
      <c r="M289" s="11"/>
      <c r="BI289" s="12"/>
    </row>
    <row r="290" spans="1:61" ht="18.399999999999999" customHeight="1" x14ac:dyDescent="0.3">
      <c r="A290" s="8"/>
      <c r="B290" s="8"/>
      <c r="C290" s="8"/>
      <c r="D290" s="8"/>
      <c r="E290" s="10"/>
      <c r="F290" s="10"/>
      <c r="G290" s="10"/>
      <c r="H290" s="10"/>
      <c r="I290" s="10"/>
      <c r="J290" s="10"/>
      <c r="K290" s="10"/>
      <c r="L290" s="10"/>
      <c r="M290" s="11"/>
      <c r="BI290" s="12"/>
    </row>
    <row r="291" spans="1:61" ht="18.399999999999999" customHeight="1" x14ac:dyDescent="0.3">
      <c r="A291" s="8"/>
      <c r="B291" s="8"/>
      <c r="C291" s="8"/>
      <c r="D291" s="8"/>
      <c r="E291" s="10"/>
      <c r="F291" s="10"/>
      <c r="G291" s="10"/>
      <c r="H291" s="10"/>
      <c r="I291" s="10"/>
      <c r="J291" s="10"/>
      <c r="K291" s="10"/>
      <c r="L291" s="10"/>
      <c r="M291" s="11"/>
      <c r="BI291" s="12"/>
    </row>
    <row r="292" spans="1:61" ht="18.399999999999999" customHeight="1" x14ac:dyDescent="0.3">
      <c r="A292" s="8" t="s">
        <v>337</v>
      </c>
      <c r="B292" s="8" t="s">
        <v>59</v>
      </c>
      <c r="C292" s="8">
        <v>1</v>
      </c>
      <c r="D292" s="8" t="s">
        <v>20</v>
      </c>
      <c r="E292" s="5"/>
      <c r="F292" s="10">
        <f>TRUNC(F293+F294,0)</f>
        <v>480338</v>
      </c>
      <c r="G292" s="5"/>
      <c r="H292" s="10">
        <f>TRUNC(H293+H294,0)</f>
        <v>299947</v>
      </c>
      <c r="I292" s="5"/>
      <c r="J292" s="10">
        <f>TRUNC(J293+J294,0)</f>
        <v>22318</v>
      </c>
      <c r="K292" s="5"/>
      <c r="L292" s="10">
        <f>F292+H292+J292</f>
        <v>802603</v>
      </c>
      <c r="M292" s="11" t="s">
        <v>6</v>
      </c>
      <c r="N292" s="1" t="s">
        <v>6</v>
      </c>
      <c r="O292" s="1" t="s">
        <v>63</v>
      </c>
    </row>
    <row r="293" spans="1:61" ht="18.399999999999999" customHeight="1" x14ac:dyDescent="0.3">
      <c r="A293" s="8" t="s">
        <v>243</v>
      </c>
      <c r="B293" s="8" t="s">
        <v>244</v>
      </c>
      <c r="C293" s="8">
        <v>7</v>
      </c>
      <c r="D293" s="8" t="s">
        <v>133</v>
      </c>
      <c r="E293" s="10">
        <f>[1]자재조서!E37</f>
        <v>62400</v>
      </c>
      <c r="F293" s="10">
        <f>TRUNC(E293*C293,0)</f>
        <v>436800</v>
      </c>
      <c r="G293" s="10">
        <v>0</v>
      </c>
      <c r="H293" s="10"/>
      <c r="I293" s="10">
        <v>0</v>
      </c>
      <c r="J293" s="10"/>
      <c r="K293" s="10">
        <f>E293+G293+I293</f>
        <v>62400</v>
      </c>
      <c r="L293" s="10">
        <f>F293+H293+J293</f>
        <v>436800</v>
      </c>
      <c r="M293" s="11" t="s">
        <v>245</v>
      </c>
      <c r="N293" s="1" t="s">
        <v>6</v>
      </c>
      <c r="P293" s="1" t="s">
        <v>26</v>
      </c>
      <c r="Q293" s="1" t="s">
        <v>6</v>
      </c>
      <c r="R293" s="1" t="s">
        <v>245</v>
      </c>
      <c r="BI293" s="12" t="str">
        <f>HYPERLINK("#자재조서!A37","MF01100 →")</f>
        <v>MF01100 →</v>
      </c>
    </row>
    <row r="294" spans="1:61" ht="18.399999999999999" customHeight="1" x14ac:dyDescent="0.3">
      <c r="A294" s="8" t="s">
        <v>246</v>
      </c>
      <c r="B294" s="8" t="s">
        <v>247</v>
      </c>
      <c r="C294" s="8">
        <v>84.54</v>
      </c>
      <c r="D294" s="8" t="s">
        <v>248</v>
      </c>
      <c r="E294" s="10">
        <f>'[1]일위대가목록-산근'!E4</f>
        <v>515</v>
      </c>
      <c r="F294" s="10">
        <f>TRUNC(E294*C294,0)</f>
        <v>43538</v>
      </c>
      <c r="G294" s="10">
        <f>'[1]일위대가목록-산근'!F4</f>
        <v>3548</v>
      </c>
      <c r="H294" s="10">
        <f>TRUNC(G294*C294,0)</f>
        <v>299947</v>
      </c>
      <c r="I294" s="10">
        <f>'[1]일위대가목록-산근'!G4</f>
        <v>264</v>
      </c>
      <c r="J294" s="10">
        <f>TRUNC(I294*C294,0)</f>
        <v>22318</v>
      </c>
      <c r="K294" s="10">
        <f>E294+G294+I294</f>
        <v>4327</v>
      </c>
      <c r="L294" s="10">
        <f>F294+H294+J294</f>
        <v>365803</v>
      </c>
      <c r="M294" s="11" t="s">
        <v>249</v>
      </c>
      <c r="N294" s="1" t="s">
        <v>6</v>
      </c>
      <c r="P294" s="1" t="s">
        <v>43</v>
      </c>
      <c r="Q294" s="1" t="s">
        <v>27</v>
      </c>
      <c r="R294" s="1" t="s">
        <v>250</v>
      </c>
      <c r="T294" s="1" t="s">
        <v>251</v>
      </c>
      <c r="BI294" s="12" t="str">
        <f>HYPERLINK("#일위대가목록!A4","Z_B0100 →")</f>
        <v>Z_B0100 →</v>
      </c>
    </row>
    <row r="295" spans="1:61" ht="18.399999999999999" customHeight="1" x14ac:dyDescent="0.3">
      <c r="A295" s="8"/>
      <c r="B295" s="8"/>
      <c r="C295" s="8"/>
      <c r="D295" s="8"/>
      <c r="E295" s="10"/>
      <c r="F295" s="10"/>
      <c r="G295" s="10"/>
      <c r="H295" s="10"/>
      <c r="I295" s="10"/>
      <c r="J295" s="10"/>
      <c r="K295" s="10"/>
      <c r="L295" s="10"/>
      <c r="M295" s="11"/>
      <c r="BI295" s="12"/>
    </row>
    <row r="296" spans="1:61" ht="18.399999999999999" customHeight="1" x14ac:dyDescent="0.3">
      <c r="A296" s="8"/>
      <c r="B296" s="8"/>
      <c r="C296" s="8"/>
      <c r="D296" s="8"/>
      <c r="E296" s="10"/>
      <c r="F296" s="10"/>
      <c r="G296" s="10"/>
      <c r="H296" s="10"/>
      <c r="I296" s="10"/>
      <c r="J296" s="10"/>
      <c r="K296" s="10"/>
      <c r="L296" s="10"/>
      <c r="M296" s="11"/>
      <c r="BI296" s="12"/>
    </row>
    <row r="297" spans="1:61" ht="18.399999999999999" customHeight="1" x14ac:dyDescent="0.3">
      <c r="A297" s="8"/>
      <c r="B297" s="8"/>
      <c r="C297" s="8"/>
      <c r="D297" s="8"/>
      <c r="E297" s="10"/>
      <c r="F297" s="10"/>
      <c r="G297" s="10"/>
      <c r="H297" s="10"/>
      <c r="I297" s="10"/>
      <c r="J297" s="10"/>
      <c r="K297" s="10"/>
      <c r="L297" s="10"/>
      <c r="M297" s="11"/>
      <c r="BI297" s="12"/>
    </row>
    <row r="298" spans="1:61" ht="18.399999999999999" customHeight="1" x14ac:dyDescent="0.3">
      <c r="A298" s="8"/>
      <c r="B298" s="8"/>
      <c r="C298" s="8"/>
      <c r="D298" s="8"/>
      <c r="E298" s="10"/>
      <c r="F298" s="10"/>
      <c r="G298" s="10"/>
      <c r="H298" s="10"/>
      <c r="I298" s="10"/>
      <c r="J298" s="10"/>
      <c r="K298" s="10"/>
      <c r="L298" s="10"/>
      <c r="M298" s="11"/>
      <c r="BI298" s="12"/>
    </row>
    <row r="299" spans="1:61" ht="18.399999999999999" customHeight="1" x14ac:dyDescent="0.3">
      <c r="A299" s="8"/>
      <c r="B299" s="8"/>
      <c r="C299" s="8"/>
      <c r="D299" s="8"/>
      <c r="E299" s="10"/>
      <c r="F299" s="10"/>
      <c r="G299" s="10"/>
      <c r="H299" s="10"/>
      <c r="I299" s="10"/>
      <c r="J299" s="10"/>
      <c r="K299" s="10"/>
      <c r="L299" s="10"/>
      <c r="M299" s="11"/>
      <c r="BI299" s="12"/>
    </row>
    <row r="300" spans="1:61" ht="18.399999999999999" customHeight="1" x14ac:dyDescent="0.3">
      <c r="A300" s="8"/>
      <c r="B300" s="8"/>
      <c r="C300" s="8"/>
      <c r="D300" s="8"/>
      <c r="E300" s="10"/>
      <c r="F300" s="10"/>
      <c r="G300" s="10"/>
      <c r="H300" s="10"/>
      <c r="I300" s="10"/>
      <c r="J300" s="10"/>
      <c r="K300" s="10"/>
      <c r="L300" s="10"/>
      <c r="M300" s="11"/>
      <c r="BI300" s="12"/>
    </row>
    <row r="301" spans="1:61" ht="18.399999999999999" customHeight="1" x14ac:dyDescent="0.3">
      <c r="A301" s="8"/>
      <c r="B301" s="8"/>
      <c r="C301" s="8"/>
      <c r="D301" s="8"/>
      <c r="E301" s="10"/>
      <c r="F301" s="10"/>
      <c r="G301" s="10"/>
      <c r="H301" s="10"/>
      <c r="I301" s="10"/>
      <c r="J301" s="10"/>
      <c r="K301" s="10"/>
      <c r="L301" s="10"/>
      <c r="M301" s="11"/>
      <c r="BI301" s="12"/>
    </row>
    <row r="302" spans="1:61" ht="18.399999999999999" customHeight="1" x14ac:dyDescent="0.3">
      <c r="A302" s="8"/>
      <c r="B302" s="8"/>
      <c r="C302" s="8"/>
      <c r="D302" s="8"/>
      <c r="E302" s="10"/>
      <c r="F302" s="10"/>
      <c r="G302" s="10"/>
      <c r="H302" s="10"/>
      <c r="I302" s="10"/>
      <c r="J302" s="10"/>
      <c r="K302" s="10"/>
      <c r="L302" s="10"/>
      <c r="M302" s="11"/>
      <c r="BI302" s="12"/>
    </row>
    <row r="303" spans="1:61" ht="18.399999999999999" customHeight="1" x14ac:dyDescent="0.3">
      <c r="A303" s="8"/>
      <c r="B303" s="8"/>
      <c r="C303" s="8"/>
      <c r="D303" s="8"/>
      <c r="E303" s="10"/>
      <c r="F303" s="10"/>
      <c r="G303" s="10"/>
      <c r="H303" s="10"/>
      <c r="I303" s="10"/>
      <c r="J303" s="10"/>
      <c r="K303" s="10"/>
      <c r="L303" s="10"/>
      <c r="M303" s="11"/>
      <c r="BI303" s="12"/>
    </row>
    <row r="304" spans="1:61" ht="18.399999999999999" customHeight="1" x14ac:dyDescent="0.3">
      <c r="A304" s="8"/>
      <c r="B304" s="8"/>
      <c r="C304" s="8"/>
      <c r="D304" s="8"/>
      <c r="E304" s="10"/>
      <c r="F304" s="10"/>
      <c r="G304" s="10"/>
      <c r="H304" s="10"/>
      <c r="I304" s="10"/>
      <c r="J304" s="10"/>
      <c r="K304" s="10"/>
      <c r="L304" s="10"/>
      <c r="M304" s="11"/>
      <c r="BI304" s="12"/>
    </row>
    <row r="305" spans="1:61" ht="18.399999999999999" customHeight="1" x14ac:dyDescent="0.3">
      <c r="A305" s="8"/>
      <c r="B305" s="8"/>
      <c r="C305" s="8"/>
      <c r="D305" s="8"/>
      <c r="E305" s="10"/>
      <c r="F305" s="10"/>
      <c r="G305" s="10"/>
      <c r="H305" s="10"/>
      <c r="I305" s="10"/>
      <c r="J305" s="10"/>
      <c r="K305" s="10"/>
      <c r="L305" s="10"/>
      <c r="M305" s="11"/>
      <c r="BI305" s="12"/>
    </row>
    <row r="306" spans="1:61" ht="18.399999999999999" customHeight="1" x14ac:dyDescent="0.3">
      <c r="A306" s="8"/>
      <c r="B306" s="8"/>
      <c r="C306" s="8"/>
      <c r="D306" s="8"/>
      <c r="E306" s="10"/>
      <c r="F306" s="10"/>
      <c r="G306" s="10"/>
      <c r="H306" s="10"/>
      <c r="I306" s="10"/>
      <c r="J306" s="10"/>
      <c r="K306" s="10"/>
      <c r="L306" s="10"/>
      <c r="M306" s="11"/>
      <c r="BI306" s="12"/>
    </row>
    <row r="307" spans="1:61" ht="18.399999999999999" customHeight="1" x14ac:dyDescent="0.3">
      <c r="A307" s="8"/>
      <c r="B307" s="8"/>
      <c r="C307" s="8"/>
      <c r="D307" s="8"/>
      <c r="E307" s="10"/>
      <c r="F307" s="10"/>
      <c r="G307" s="10"/>
      <c r="H307" s="10"/>
      <c r="I307" s="10"/>
      <c r="J307" s="10"/>
      <c r="K307" s="10"/>
      <c r="L307" s="10"/>
      <c r="M307" s="11"/>
      <c r="BI307" s="12"/>
    </row>
    <row r="308" spans="1:61" ht="18.399999999999999" customHeight="1" x14ac:dyDescent="0.3">
      <c r="A308" s="8"/>
      <c r="B308" s="8"/>
      <c r="C308" s="8"/>
      <c r="D308" s="8"/>
      <c r="E308" s="10"/>
      <c r="F308" s="10"/>
      <c r="G308" s="10"/>
      <c r="H308" s="10"/>
      <c r="I308" s="10"/>
      <c r="J308" s="10"/>
      <c r="K308" s="10"/>
      <c r="L308" s="10"/>
      <c r="M308" s="11"/>
      <c r="BI308" s="12"/>
    </row>
    <row r="309" spans="1:61" ht="18.399999999999999" customHeight="1" x14ac:dyDescent="0.3">
      <c r="A309" s="8"/>
      <c r="B309" s="8"/>
      <c r="C309" s="8"/>
      <c r="D309" s="8"/>
      <c r="E309" s="10"/>
      <c r="F309" s="10"/>
      <c r="G309" s="10"/>
      <c r="H309" s="10"/>
      <c r="I309" s="10"/>
      <c r="J309" s="10"/>
      <c r="K309" s="10"/>
      <c r="L309" s="10"/>
      <c r="M309" s="11"/>
      <c r="BI309" s="12"/>
    </row>
    <row r="310" spans="1:61" ht="18.399999999999999" customHeight="1" x14ac:dyDescent="0.3">
      <c r="A310" s="8"/>
      <c r="B310" s="8"/>
      <c r="C310" s="8"/>
      <c r="D310" s="8"/>
      <c r="E310" s="10"/>
      <c r="F310" s="10"/>
      <c r="G310" s="10"/>
      <c r="H310" s="10"/>
      <c r="I310" s="10"/>
      <c r="J310" s="10"/>
      <c r="K310" s="10"/>
      <c r="L310" s="10"/>
      <c r="M310" s="11"/>
      <c r="BI310" s="12"/>
    </row>
    <row r="311" spans="1:61" ht="18.399999999999999" customHeight="1" x14ac:dyDescent="0.3">
      <c r="A311" s="8"/>
      <c r="B311" s="8"/>
      <c r="C311" s="8"/>
      <c r="D311" s="8"/>
      <c r="E311" s="10"/>
      <c r="F311" s="10"/>
      <c r="G311" s="10"/>
      <c r="H311" s="10"/>
      <c r="I311" s="10"/>
      <c r="J311" s="10"/>
      <c r="K311" s="10"/>
      <c r="L311" s="10"/>
      <c r="M311" s="11"/>
      <c r="BI311" s="12"/>
    </row>
    <row r="312" spans="1:61" ht="18.399999999999999" customHeight="1" x14ac:dyDescent="0.3">
      <c r="A312" s="8"/>
      <c r="B312" s="8"/>
      <c r="C312" s="8"/>
      <c r="D312" s="8"/>
      <c r="E312" s="10"/>
      <c r="F312" s="10"/>
      <c r="G312" s="10"/>
      <c r="H312" s="10"/>
      <c r="I312" s="10"/>
      <c r="J312" s="10"/>
      <c r="K312" s="10"/>
      <c r="L312" s="10"/>
      <c r="M312" s="11"/>
      <c r="BI312" s="12"/>
    </row>
    <row r="313" spans="1:61" ht="18.399999999999999" customHeight="1" x14ac:dyDescent="0.3">
      <c r="A313" s="8"/>
      <c r="B313" s="8"/>
      <c r="C313" s="8"/>
      <c r="D313" s="8"/>
      <c r="E313" s="10"/>
      <c r="F313" s="10"/>
      <c r="G313" s="10"/>
      <c r="H313" s="10"/>
      <c r="I313" s="10"/>
      <c r="J313" s="10"/>
      <c r="K313" s="10"/>
      <c r="L313" s="10"/>
      <c r="M313" s="11"/>
      <c r="BI313" s="12"/>
    </row>
    <row r="314" spans="1:61" ht="18.399999999999999" customHeight="1" x14ac:dyDescent="0.3">
      <c r="A314" s="8"/>
      <c r="B314" s="8"/>
      <c r="C314" s="8"/>
      <c r="D314" s="8"/>
      <c r="E314" s="10"/>
      <c r="F314" s="10"/>
      <c r="G314" s="10"/>
      <c r="H314" s="10"/>
      <c r="I314" s="10"/>
      <c r="J314" s="10"/>
      <c r="K314" s="10"/>
      <c r="L314" s="10"/>
      <c r="M314" s="11"/>
      <c r="BI314" s="12"/>
    </row>
    <row r="315" spans="1:61" ht="18.399999999999999" customHeight="1" x14ac:dyDescent="0.3">
      <c r="A315" s="8"/>
      <c r="B315" s="8"/>
      <c r="C315" s="8"/>
      <c r="D315" s="8"/>
      <c r="E315" s="10"/>
      <c r="F315" s="10"/>
      <c r="G315" s="10"/>
      <c r="H315" s="10"/>
      <c r="I315" s="10"/>
      <c r="J315" s="10"/>
      <c r="K315" s="10"/>
      <c r="L315" s="10"/>
      <c r="M315" s="11"/>
      <c r="BI315" s="12"/>
    </row>
    <row r="316" spans="1:61" ht="18.399999999999999" customHeight="1" x14ac:dyDescent="0.3">
      <c r="A316" s="8" t="s">
        <v>338</v>
      </c>
      <c r="B316" s="8" t="s">
        <v>64</v>
      </c>
      <c r="C316" s="8">
        <v>1</v>
      </c>
      <c r="D316" s="8" t="s">
        <v>20</v>
      </c>
      <c r="E316" s="5"/>
      <c r="F316" s="10">
        <f>TRUNC(F317+F318+F319+F320+F321+F322+F323+F324+F325,0)</f>
        <v>10795071</v>
      </c>
      <c r="G316" s="5"/>
      <c r="H316" s="10">
        <f>TRUNC(H317+H318+H319+H320+H321+H322+H323+H324+H325,0)</f>
        <v>0</v>
      </c>
      <c r="I316" s="5"/>
      <c r="J316" s="10">
        <f>TRUNC(J317+J318+J319+J320+J321+J322+J323+J324+J325,0)</f>
        <v>58929</v>
      </c>
      <c r="K316" s="5"/>
      <c r="L316" s="10">
        <f t="shared" ref="L316:L325" si="27">F316+H316+J316</f>
        <v>10854000</v>
      </c>
      <c r="M316" s="11" t="s">
        <v>6</v>
      </c>
      <c r="N316" s="1" t="s">
        <v>6</v>
      </c>
      <c r="O316" s="1" t="s">
        <v>65</v>
      </c>
    </row>
    <row r="317" spans="1:61" ht="18.399999999999999" customHeight="1" x14ac:dyDescent="0.3">
      <c r="A317" s="8" t="s">
        <v>283</v>
      </c>
      <c r="B317" s="8" t="s">
        <v>284</v>
      </c>
      <c r="C317" s="8">
        <v>164</v>
      </c>
      <c r="D317" s="8" t="s">
        <v>285</v>
      </c>
      <c r="E317" s="10">
        <f>[1]자재조서!E4</f>
        <v>1008.45</v>
      </c>
      <c r="F317" s="10">
        <f t="shared" ref="F317:F324" si="28">TRUNC(E317*C317,0)</f>
        <v>165385</v>
      </c>
      <c r="G317" s="10">
        <v>0</v>
      </c>
      <c r="H317" s="10"/>
      <c r="I317" s="10">
        <v>0</v>
      </c>
      <c r="J317" s="10"/>
      <c r="K317" s="10">
        <f t="shared" ref="K317:K325" si="29">E317+G317+I317</f>
        <v>1008.45</v>
      </c>
      <c r="L317" s="10">
        <f t="shared" si="27"/>
        <v>165385</v>
      </c>
      <c r="M317" s="11" t="s">
        <v>286</v>
      </c>
      <c r="N317" s="1" t="s">
        <v>287</v>
      </c>
      <c r="P317" s="1" t="s">
        <v>23</v>
      </c>
      <c r="Q317" s="1" t="s">
        <v>6</v>
      </c>
      <c r="R317" s="1" t="s">
        <v>286</v>
      </c>
      <c r="BI317" s="12" t="str">
        <f>HYPERLINK("#자재조서!A4","M0012006 →")</f>
        <v>M0012006 →</v>
      </c>
    </row>
    <row r="318" spans="1:61" ht="18.399999999999999" customHeight="1" x14ac:dyDescent="0.3">
      <c r="A318" s="8" t="s">
        <v>288</v>
      </c>
      <c r="B318" s="8" t="s">
        <v>289</v>
      </c>
      <c r="C318" s="8">
        <v>7</v>
      </c>
      <c r="D318" s="8" t="s">
        <v>290</v>
      </c>
      <c r="E318" s="10">
        <f>[1]자재조서!E12</f>
        <v>77800</v>
      </c>
      <c r="F318" s="10">
        <f t="shared" si="28"/>
        <v>544600</v>
      </c>
      <c r="G318" s="10">
        <v>0</v>
      </c>
      <c r="H318" s="10"/>
      <c r="I318" s="10">
        <v>0</v>
      </c>
      <c r="J318" s="10"/>
      <c r="K318" s="10">
        <f t="shared" si="29"/>
        <v>77800</v>
      </c>
      <c r="L318" s="10">
        <f t="shared" si="27"/>
        <v>544600</v>
      </c>
      <c r="M318" s="11" t="s">
        <v>291</v>
      </c>
      <c r="N318" s="1" t="s">
        <v>6</v>
      </c>
      <c r="P318" s="1" t="s">
        <v>26</v>
      </c>
      <c r="Q318" s="1" t="s">
        <v>6</v>
      </c>
      <c r="R318" s="1" t="s">
        <v>291</v>
      </c>
      <c r="BI318" s="12" t="str">
        <f>HYPERLINK("#자재조서!A12","M0765027 →")</f>
        <v>M0765027 →</v>
      </c>
    </row>
    <row r="319" spans="1:61" ht="18.399999999999999" customHeight="1" x14ac:dyDescent="0.3">
      <c r="A319" s="8" t="s">
        <v>288</v>
      </c>
      <c r="B319" s="8" t="s">
        <v>292</v>
      </c>
      <c r="C319" s="8">
        <v>4</v>
      </c>
      <c r="D319" s="8" t="s">
        <v>290</v>
      </c>
      <c r="E319" s="10">
        <f>[1]자재조서!E13</f>
        <v>81340</v>
      </c>
      <c r="F319" s="10">
        <f t="shared" si="28"/>
        <v>325360</v>
      </c>
      <c r="G319" s="10">
        <v>0</v>
      </c>
      <c r="H319" s="10"/>
      <c r="I319" s="10">
        <v>0</v>
      </c>
      <c r="J319" s="10"/>
      <c r="K319" s="10">
        <f t="shared" si="29"/>
        <v>81340</v>
      </c>
      <c r="L319" s="10">
        <f t="shared" si="27"/>
        <v>325360</v>
      </c>
      <c r="M319" s="11" t="s">
        <v>293</v>
      </c>
      <c r="N319" s="1" t="s">
        <v>6</v>
      </c>
      <c r="P319" s="1" t="s">
        <v>40</v>
      </c>
      <c r="Q319" s="1" t="s">
        <v>6</v>
      </c>
      <c r="R319" s="1" t="s">
        <v>293</v>
      </c>
      <c r="BI319" s="12" t="str">
        <f>HYPERLINK("#자재조서!A13","M0765048 →")</f>
        <v>M0765048 →</v>
      </c>
    </row>
    <row r="320" spans="1:61" ht="18.399999999999999" customHeight="1" x14ac:dyDescent="0.3">
      <c r="A320" s="8" t="s">
        <v>294</v>
      </c>
      <c r="B320" s="8" t="s">
        <v>295</v>
      </c>
      <c r="C320" s="8">
        <v>288</v>
      </c>
      <c r="D320" s="8" t="s">
        <v>285</v>
      </c>
      <c r="E320" s="10">
        <f>[1]자재조서!E9</f>
        <v>133.25</v>
      </c>
      <c r="F320" s="10">
        <f t="shared" si="28"/>
        <v>38376</v>
      </c>
      <c r="G320" s="10">
        <v>0</v>
      </c>
      <c r="H320" s="10"/>
      <c r="I320" s="10">
        <v>0</v>
      </c>
      <c r="J320" s="10"/>
      <c r="K320" s="10">
        <f t="shared" si="29"/>
        <v>133.25</v>
      </c>
      <c r="L320" s="10">
        <f t="shared" si="27"/>
        <v>38376</v>
      </c>
      <c r="M320" s="11" t="s">
        <v>296</v>
      </c>
      <c r="N320" s="1" t="s">
        <v>6</v>
      </c>
      <c r="P320" s="1" t="s">
        <v>297</v>
      </c>
      <c r="Q320" s="1" t="s">
        <v>6</v>
      </c>
      <c r="R320" s="1" t="s">
        <v>296</v>
      </c>
      <c r="BI320" s="12" t="str">
        <f>HYPERLINK("#자재조서!A9","M0747044 →")</f>
        <v>M0747044 →</v>
      </c>
    </row>
    <row r="321" spans="1:61" ht="18.399999999999999" customHeight="1" x14ac:dyDescent="0.3">
      <c r="A321" s="8" t="s">
        <v>298</v>
      </c>
      <c r="B321" s="8" t="s">
        <v>210</v>
      </c>
      <c r="C321" s="8">
        <v>589</v>
      </c>
      <c r="D321" s="8" t="s">
        <v>127</v>
      </c>
      <c r="E321" s="10">
        <f>[1]자재조서!E50</f>
        <v>14300</v>
      </c>
      <c r="F321" s="10">
        <f t="shared" si="28"/>
        <v>8422700</v>
      </c>
      <c r="G321" s="10">
        <v>0</v>
      </c>
      <c r="H321" s="10"/>
      <c r="I321" s="10">
        <v>0</v>
      </c>
      <c r="J321" s="10"/>
      <c r="K321" s="10">
        <f t="shared" si="29"/>
        <v>14300</v>
      </c>
      <c r="L321" s="10">
        <f t="shared" si="27"/>
        <v>8422700</v>
      </c>
      <c r="M321" s="11" t="s">
        <v>299</v>
      </c>
      <c r="N321" s="1" t="s">
        <v>6</v>
      </c>
      <c r="P321" s="1" t="s">
        <v>43</v>
      </c>
      <c r="Q321" s="1" t="s">
        <v>6</v>
      </c>
      <c r="R321" s="1" t="s">
        <v>299</v>
      </c>
      <c r="BI321" s="12" t="str">
        <f>HYPERLINK("#자재조서!A50","MPV-IJ-60 →")</f>
        <v>MPV-IJ-60 →</v>
      </c>
    </row>
    <row r="322" spans="1:61" ht="18.399999999999999" customHeight="1" x14ac:dyDescent="0.3">
      <c r="A322" s="8" t="s">
        <v>302</v>
      </c>
      <c r="B322" s="8" t="s">
        <v>303</v>
      </c>
      <c r="C322" s="8">
        <v>2</v>
      </c>
      <c r="D322" s="8" t="s">
        <v>127</v>
      </c>
      <c r="E322" s="10">
        <f>[1]자재조서!E30</f>
        <v>110000</v>
      </c>
      <c r="F322" s="10">
        <f t="shared" si="28"/>
        <v>220000</v>
      </c>
      <c r="G322" s="10">
        <v>0</v>
      </c>
      <c r="H322" s="10"/>
      <c r="I322" s="10">
        <v>0</v>
      </c>
      <c r="J322" s="10"/>
      <c r="K322" s="10">
        <f t="shared" si="29"/>
        <v>110000</v>
      </c>
      <c r="L322" s="10">
        <f t="shared" si="27"/>
        <v>220000</v>
      </c>
      <c r="M322" s="11" t="s">
        <v>304</v>
      </c>
      <c r="N322" s="1" t="s">
        <v>6</v>
      </c>
      <c r="P322" s="1" t="s">
        <v>46</v>
      </c>
      <c r="Q322" s="1" t="s">
        <v>6</v>
      </c>
      <c r="R322" s="1" t="s">
        <v>304</v>
      </c>
      <c r="BI322" s="12" t="str">
        <f>HYPERLINK("#자재조서!A30","MA-PW-PSBM50 →")</f>
        <v>MA-PW-PSBM50 →</v>
      </c>
    </row>
    <row r="323" spans="1:61" ht="18.399999999999999" customHeight="1" x14ac:dyDescent="0.3">
      <c r="A323" s="8" t="s">
        <v>302</v>
      </c>
      <c r="B323" s="8" t="s">
        <v>305</v>
      </c>
      <c r="C323" s="8">
        <v>13</v>
      </c>
      <c r="D323" s="8" t="s">
        <v>127</v>
      </c>
      <c r="E323" s="10">
        <f>[1]자재조서!E32</f>
        <v>46050</v>
      </c>
      <c r="F323" s="10">
        <f t="shared" si="28"/>
        <v>598650</v>
      </c>
      <c r="G323" s="10">
        <v>0</v>
      </c>
      <c r="H323" s="10"/>
      <c r="I323" s="10">
        <v>0</v>
      </c>
      <c r="J323" s="10"/>
      <c r="K323" s="10">
        <f t="shared" si="29"/>
        <v>46050</v>
      </c>
      <c r="L323" s="10">
        <f t="shared" si="27"/>
        <v>598650</v>
      </c>
      <c r="M323" s="11" t="s">
        <v>306</v>
      </c>
      <c r="N323" s="1" t="s">
        <v>6</v>
      </c>
      <c r="P323" s="1" t="s">
        <v>48</v>
      </c>
      <c r="Q323" s="1" t="s">
        <v>6</v>
      </c>
      <c r="R323" s="1" t="s">
        <v>306</v>
      </c>
      <c r="BI323" s="12" t="str">
        <f>HYPERLINK("#자재조서!A32","MA-PW-PSGB50 →")</f>
        <v>MA-PW-PSGB50 →</v>
      </c>
    </row>
    <row r="324" spans="1:61" ht="18.399999999999999" customHeight="1" x14ac:dyDescent="0.3">
      <c r="A324" s="8" t="s">
        <v>302</v>
      </c>
      <c r="B324" s="8" t="s">
        <v>307</v>
      </c>
      <c r="C324" s="8">
        <v>16</v>
      </c>
      <c r="D324" s="8" t="s">
        <v>127</v>
      </c>
      <c r="E324" s="10">
        <f>[1]자재조서!E31</f>
        <v>30000</v>
      </c>
      <c r="F324" s="10">
        <f t="shared" si="28"/>
        <v>480000</v>
      </c>
      <c r="G324" s="10">
        <v>0</v>
      </c>
      <c r="H324" s="10"/>
      <c r="I324" s="10">
        <v>0</v>
      </c>
      <c r="J324" s="10"/>
      <c r="K324" s="10">
        <f t="shared" si="29"/>
        <v>30000</v>
      </c>
      <c r="L324" s="10">
        <f t="shared" si="27"/>
        <v>480000</v>
      </c>
      <c r="M324" s="11" t="s">
        <v>308</v>
      </c>
      <c r="N324" s="1" t="s">
        <v>6</v>
      </c>
      <c r="P324" s="1" t="s">
        <v>50</v>
      </c>
      <c r="Q324" s="1" t="s">
        <v>6</v>
      </c>
      <c r="R324" s="1" t="s">
        <v>308</v>
      </c>
      <c r="AA324" s="13" t="s">
        <v>309</v>
      </c>
      <c r="AB324" s="14">
        <f>([1]내역서!F317+[1]내역서!F318+[1]내역서!F319+[1]내역서!F320+[1]내역서!F321+[1]내역서!F322+[1]내역서!F323+[1]내역서!F324)*0.54/100+226</f>
        <v>58519.383400000006</v>
      </c>
      <c r="AC324" s="13" t="s">
        <v>310</v>
      </c>
      <c r="AD324" s="15">
        <f>$AB324</f>
        <v>58519.383400000006</v>
      </c>
      <c r="BI324" s="12" t="str">
        <f>HYPERLINK("#자재조서!A31","MA-PW-PSGB30 →")</f>
        <v>MA-PW-PSGB30 →</v>
      </c>
    </row>
    <row r="325" spans="1:61" ht="18.399999999999999" customHeight="1" x14ac:dyDescent="0.3">
      <c r="A325" s="8" t="s">
        <v>311</v>
      </c>
      <c r="B325" s="8" t="s">
        <v>312</v>
      </c>
      <c r="C325" s="8">
        <v>1</v>
      </c>
      <c r="D325" s="8" t="s">
        <v>20</v>
      </c>
      <c r="E325" s="5"/>
      <c r="F325" s="10">
        <v>0</v>
      </c>
      <c r="G325" s="5"/>
      <c r="H325" s="10">
        <v>0</v>
      </c>
      <c r="I325" s="5"/>
      <c r="J325" s="10">
        <f>TRUNC(((F317+F318+F319+F320+F321+F322+F323+F324)*0.54/100+636),0)</f>
        <v>58929</v>
      </c>
      <c r="K325" s="10">
        <f t="shared" si="29"/>
        <v>0</v>
      </c>
      <c r="L325" s="10">
        <f t="shared" si="27"/>
        <v>58929</v>
      </c>
      <c r="M325" s="11" t="s">
        <v>6</v>
      </c>
      <c r="N325" s="1" t="s">
        <v>6</v>
      </c>
      <c r="P325" s="1" t="s">
        <v>56</v>
      </c>
      <c r="Q325" s="1" t="s">
        <v>27</v>
      </c>
      <c r="R325" s="1" t="s">
        <v>251</v>
      </c>
      <c r="X325" s="1" t="s">
        <v>339</v>
      </c>
    </row>
    <row r="326" spans="1:61" ht="18.399999999999999" customHeight="1" x14ac:dyDescent="0.3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16"/>
    </row>
  </sheetData>
  <mergeCells count="10">
    <mergeCell ref="I2:J2"/>
    <mergeCell ref="K2:L2"/>
    <mergeCell ref="M2:M3"/>
    <mergeCell ref="A4:B4"/>
    <mergeCell ref="A2:A3"/>
    <mergeCell ref="B2:B3"/>
    <mergeCell ref="C2:C3"/>
    <mergeCell ref="D2:D3"/>
    <mergeCell ref="E2:F2"/>
    <mergeCell ref="G2:H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나인티나인 주식회사</dc:creator>
  <cp:lastModifiedBy>나인티나인 주식회사</cp:lastModifiedBy>
  <dcterms:created xsi:type="dcterms:W3CDTF">2026-05-02T09:56:42Z</dcterms:created>
  <dcterms:modified xsi:type="dcterms:W3CDTF">2026-05-02T09:57:18Z</dcterms:modified>
</cp:coreProperties>
</file>